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5.xml" ContentType="application/vnd.openxmlformats-officedocument.drawing+xml"/>
  <Override PartName="/xl/comments10.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drawings/drawing6.xml" ContentType="application/vnd.openxmlformats-officedocument.drawing+xml"/>
  <Override PartName="/xl/comments11.xml" ContentType="application/vnd.openxmlformats-officedocument.spreadsheetml.comments+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gall163\Downloads\"/>
    </mc:Choice>
  </mc:AlternateContent>
  <xr:revisionPtr revIDLastSave="0" documentId="13_ncr:1_{7B8E8BC6-C159-4235-9AEF-6B2FAD1D7C71}" xr6:coauthVersionLast="47" xr6:coauthVersionMax="47" xr10:uidLastSave="{00000000-0000-0000-0000-000000000000}"/>
  <bookViews>
    <workbookView xWindow="-120" yWindow="-120" windowWidth="29040" windowHeight="15720" xr2:uid="{00000000-000D-0000-FFFF-FFFF00000000}"/>
  </bookViews>
  <sheets>
    <sheet name="Cover" sheetId="12" r:id="rId1"/>
    <sheet name="Summary" sheetId="21" r:id="rId2"/>
    <sheet name="Model Output" sheetId="28" r:id="rId3"/>
    <sheet name="Football Field" sheetId="20" r:id="rId4"/>
    <sheet name="Integrity" sheetId="26" r:id="rId5"/>
    <sheet name="Revenue Build" sheetId="8" r:id="rId6"/>
    <sheet name="_CIQHiddenCacheSheet" sheetId="50" state="veryHidden" r:id="rId7"/>
    <sheet name="Model" sheetId="9" r:id="rId8"/>
    <sheet name="Segment Analysis" sheetId="27" r:id="rId9"/>
    <sheet name="Drivers" sheetId="14" r:id="rId10"/>
    <sheet name="CIQ ID Locater" sheetId="39" r:id="rId11"/>
    <sheet name="Comparables" sheetId="17" r:id="rId12"/>
    <sheet name="Multiples Data" sheetId="19" r:id="rId13"/>
    <sheet name="WACC" sheetId="16" r:id="rId14"/>
    <sheet name="Valuation" sheetId="15" r:id="rId15"/>
    <sheet name="Charts" sheetId="22" r:id="rId16"/>
    <sheet name="Benchmark" sheetId="23" r:id="rId17"/>
    <sheet name="Pre-Earnings" sheetId="24" r:id="rId18"/>
    <sheet name="Post-Earnings" sheetId="2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1_0_Table2_" hidden="1">[1]MERGER!#REF!</definedName>
    <definedName name="__FDS_HYPERLINK_TOGGLE_STATE__" hidden="1">"ON"</definedName>
    <definedName name="_1_0_Table2_" hidden="1">[1]MERGER!#REF!</definedName>
    <definedName name="_2_0_Table2_" hidden="1">[1]MERGER!#REF!</definedName>
    <definedName name="_3_0_Table2_" hidden="1">[1]MERGER!#REF!</definedName>
    <definedName name="_4_0_Table2_" hidden="1">[1]MERGER!#REF!</definedName>
    <definedName name="_5_0_Table2_" hidden="1">[1]MERGER!#REF!</definedName>
    <definedName name="_9_0_Table2_" hidden="1">[1]MERGER!#REF!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01de5d049b6489bbc2025ad50c87030.edm" hidden="1">Model!$1:$1048576</definedName>
    <definedName name="_bdm.146e958bbea04416b86a4d5943392c04.edm" localSheetId="7" hidden="1">Model!$M$102</definedName>
    <definedName name="_bdm.1ff456f35144482ea0525e6d75d0206f.edm" hidden="1" xml:space="preserve"> Integrity!$1:$1048576</definedName>
    <definedName name="_bdm.a65ed6e2cd6142fea39714a1a8762f97.edm" hidden="1" xml:space="preserve"> Integrity!$1:$1048576</definedName>
    <definedName name="_bdm.bf5a9ed53fe44c598e3cfb84ac34b21f.edm" localSheetId="4" hidden="1">Integrity!$F$37</definedName>
    <definedName name="_bdm.dca432f6461240c98baf2847c1b05465.edm" hidden="1" xml:space="preserve"> Integrity!$1:$1048576</definedName>
    <definedName name="_Fill" hidden="1">#REF!</definedName>
    <definedName name="_Key1" hidden="1">#REF!</definedName>
    <definedName name="_Order1" hidden="1">255</definedName>
    <definedName name="_Order2" hidden="1">255</definedName>
    <definedName name="_Sort" hidden="1">#REF!</definedName>
    <definedName name="_Table1_In1" hidden="1">[2]merger!#REF!</definedName>
    <definedName name="_Table1_Out" hidden="1">[2]merger!#REF!</definedName>
    <definedName name="_Table2_In1" hidden="1">[2]merger!#REF!</definedName>
    <definedName name="_Table2_Out" hidden="1">[2]merger!#REF!</definedName>
    <definedName name="a" hidden="1">{"summary1",#N/A,TRUE,"Comps";"summary2",#N/A,TRUE,"Comps";"summary3",#N/A,TRUE,"Comps"}</definedName>
    <definedName name="aaaaaaaa" hidden="1">{"summary1",#N/A,TRUE,"Comps";"summary2",#N/A,TRUE,"Comps";"summary3",#N/A,TRUE,"Comps"}</definedName>
    <definedName name="aaaaaaaaaa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dsfsadfas" hidden="1">{"multiple",#N/A,FALSE,"client (2)";"margins",#N/A,FALSE,"client (2)";"data",#N/A,FALSE,"client (2)";"multiple",#N/A,FALSE,"client";"margins",#N/A,FALSE,"client";"data",#N/A,FALSE,"client"}</definedName>
    <definedName name="adsfsdfe" hidden="1">{"Page1",#N/A,FALSE,"CompCo";"Page2",#N/A,FALSE,"CompCo"}</definedName>
    <definedName name="aefae" hidden="1">{"inputs raw data",#N/A,TRUE,"INPUT"}</definedName>
    <definedName name="aefe" hidden="1">{"cap_structure",#N/A,FALSE,"Graph-Mkt Cap";"price",#N/A,FALSE,"Graph-Price";"ebit",#N/A,FALSE,"Graph-EBITDA";"ebitda",#N/A,FALSE,"Graph-EBITDA"}</definedName>
    <definedName name="aefes" hidden="1">{TRUE,TRUE,-1.25,-15.5,604.5,369,FALSE,FALSE,TRUE,TRUE,0,1,83,1,38,4,5,4,TRUE,TRUE,3,TRUE,1,TRUE,75,"Swvu.inputs._.raw._.data.","ACwvu.inputs._.raw._.data.",#N/A,FALSE,FALSE,0.5,0.5,0.5,0.5,2,"&amp;F","&amp;A&amp;RPage &amp;P",FALSE,FALSE,FALSE,FALSE,1,60,#N/A,#N/A,"=R1C61:R53C89","=C1:C5",#N/A,#N/A,FALSE,FALSE,FALSE,1,600,600,FALSE,FALSE,TRUE,TRUE,TRUE}</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sdfasdfas" hidden="1">{"cap_structure",#N/A,FALSE,"Graph-Mkt Cap";"price",#N/A,FALSE,"Graph-Price";"ebit",#N/A,FALSE,"Graph-EBITDA";"ebitda",#N/A,FALSE,"Graph-EBITDA"}</definedName>
    <definedName name="asdfsdfasdf" hidden="1">{"Page1",#N/A,FALSE,"CompCo";"Page2",#N/A,FALSE,"CompCo"}</definedName>
    <definedName name="augpto">[3]Vacation!$M$56</definedName>
    <definedName name="avg_Health_and_Welfare">[4]PBCFringe!$Q$22</definedName>
    <definedName name="awefaw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wefweawe" hidden="1">{"Page1",#N/A,FALSE,"CompCo";"Page2",#N/A,FALSE,"CompCo"}</definedName>
    <definedName name="b" hidden="1">{"Page1",#N/A,FALSE,"CompCo";"Page2",#N/A,FALSE,"CompCo"}</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 localSheetId="10">[5]Cover!$F$22</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[6]data!$A$5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hangeRange" hidden="1">[7]!ChangeRange</definedName>
    <definedName name="CIQWBGuid" localSheetId="10" hidden="1">"d7d956a9-85b8-4e89-a737-f5bc9d3e451f"</definedName>
    <definedName name="CIQWBGuid" hidden="1">"45893456-12a9-4758-b4e4-d63fc949c4e4"</definedName>
    <definedName name="CIQWBInfo" hidden="1">"{ ""CIQVersion"":""9.51.3510.3078"" }"</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 localSheetId="10">'[5]Multiples Data'!$C$14:$H$26</definedName>
    <definedName name="Company_Cyclical_Multiples_Data">'Multiples Data'!$C$14:$H$26</definedName>
    <definedName name="Company_Name" localSheetId="10">[5]Cover!$F$19</definedName>
    <definedName name="Company_Name">Cover!$F$19</definedName>
    <definedName name="Company_Rev_Methodology" localSheetId="10">'[5]Revenue Build'!$C$7</definedName>
    <definedName name="Company_Rev_Methodology">'Revenue Build'!$C$7</definedName>
    <definedName name="ContentsHelp" hidden="1">[7]!ContentsHelp</definedName>
    <definedName name="copy" hidden="1">{#N/A,#N/A,FALSE,"Title Page";#N/A,#N/A,FALSE,"Conclusions";#N/A,#N/A,FALSE,"Assum.";#N/A,#N/A,FALSE,"Sun  DCF-WC-Dep";#N/A,#N/A,FALSE,"MarketValue";#N/A,#N/A,FALSE,"BalSheet";#N/A,#N/A,FALSE,"WACC";#N/A,#N/A,FALSE,"PC+ Info.";#N/A,#N/A,FALSE,"PC+Info_2"}</definedName>
    <definedName name="Cost_of_Debt" localSheetId="10">[5]WACC!$G$17</definedName>
    <definedName name="Cost_of_Debt">WACC!$G$17</definedName>
    <definedName name="Cost_of_Equity" localSheetId="10">[5]WACC!$G$25</definedName>
    <definedName name="Cost_of_Equity">WACC!$G$25</definedName>
    <definedName name="Cost_of_Preferred" localSheetId="10">[5]WACC!$G$10</definedName>
    <definedName name="Cost_of_Preferred">WACC!$G$10</definedName>
    <definedName name="CreateTable" hidden="1">[7]!CreateTable</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 localSheetId="10">[5]Cover!$F$27</definedName>
    <definedName name="Current_Date">Cover!$F$27</definedName>
    <definedName name="Current_Salary">'[8]Planning Worksheet'!$C:$C</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 localSheetId="10">[5]Valuation!$G$221</definedName>
    <definedName name="Cycle_Period_Toggle">Valuation!$G$221</definedName>
    <definedName name="Cycle_Toggle" localSheetId="10">[5]Valuation!$G$220</definedName>
    <definedName name="Cycle_Toggle">Valuation!$G$220</definedName>
    <definedName name="Cyclical_LTM_NTM_Toggle" localSheetId="10">[5]Valuation!$G$222</definedName>
    <definedName name="Cyclical_LTM_NTM_Toggle">Valuation!$G$222</definedName>
    <definedName name="Cyclical_Peer_Group_Toggle">Valuation!$G$223</definedName>
    <definedName name="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ata" localSheetId="10">[5]Model!$C$25:$AK$159</definedName>
    <definedName name="Data">Model!$C$25:$AK$161</definedName>
    <definedName name="dd" hidden="1">{"Opsys",#N/A,FALSE,"NPV_OPsys";"NT",#N/A,FALSE,"NPV_NT";"DevP",#N/A,FALSE,"NPV_DevPdt";"Office",#N/A,FALSE,"NPV_Office"}</definedName>
    <definedName name="dddddddddddd" hidden="1">{TRUE,TRUE,-1.25,-15.5,604.5,369,FALSE,FALSE,TRUE,TRUE,0,1,83,1,38,4,5,4,TRUE,TRUE,3,TRUE,1,TRUE,75,"Swvu.inputs._.raw._.data.","ACwvu.inputs._.raw._.data.",#N/A,FALSE,FALSE,0.5,0.5,0.5,0.5,2,"&amp;F","&amp;A&amp;RPage &amp;P",FALSE,FALSE,FALSE,FALSE,1,60,#N/A,#N/A,"=R1C61:R53C89","=C1:C5",#N/A,#N/A,FALSE,FALSE,FALSE,1,600,600,FALSE,FALSE,TRUE,TRUE,TRUE}</definedName>
    <definedName name="decpto">[3]Vacation!$Q$56</definedName>
    <definedName name="del" hidden="1">{#N/A,#N/A,FALSE,"Cov";#N/A,#N/A,FALSE,"sum";#N/A,#N/A,FALSE,"baladj";#N/A,#N/A,FALSE,"bs";#N/A,#N/A,FALSE,"is";#N/A,#N/A,FALSE,"pis";#N/A,#N/A,FALSE,"pis";#N/A,#N/A,FALSE,"cf";#N/A,#N/A,FALSE,"balhist";#N/A,#N/A,FALSE,"wc";#N/A,#N/A,FALSE,"ltd";#N/A,#N/A,FALSE,"cover";#N/A,#N/A,FALSE,"fa";#N/A,#N/A,FALSE,"tax";#N/A,#N/A,FALSE,"irr";#N/A,#N/A,FALSE,"in";#N/A,#N/A,FALSE,"DCF Cov";#N/A,#N/A,FALSE,"dcf"}</definedName>
    <definedName name="dele" hidden="1">{#N/A,#N/A,FALSE,"Cov";#N/A,#N/A,FALSE,"sum";#N/A,#N/A,FALSE,"baladj";#N/A,#N/A,FALSE,"bs";#N/A,#N/A,FALSE,"is";#N/A,#N/A,FALSE,"pis";#N/A,#N/A,FALSE,"cf";#N/A,#N/A,FALSE,"balhist";#N/A,#N/A,FALSE,"wc";#N/A,#N/A,FALSE,"ltd";#N/A,#N/A,FALSE,"cover";#N/A,#N/A,FALSE,"fa";#N/A,#N/A,FALSE,"tax";#N/A,#N/A,FALSE,"irr";#N/A,#N/A,FALSE,"in"}</definedName>
    <definedName name="delete" hidden="1">{#N/A,#N/A,FALSE,"DCF Cov";#N/A,#N/A,FALSE,"dcf"}</definedName>
    <definedName name="DeleteRange" hidden="1">[7]!DeleteRange</definedName>
    <definedName name="DeleteTable" hidden="1">[7]!DeleteTable</definedName>
    <definedName name="Denominator">[6]data!$A$6</definedName>
    <definedName name="df09salary">[3]Salaries!$G$26</definedName>
    <definedName name="df10salary">[3]Salaries!$K$26</definedName>
    <definedName name="dff">[9]Salaries!$A$26</definedName>
    <definedName name="dffffffff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 localSheetId="10">[5]Cover!$F$35</definedName>
    <definedName name="Diluted_Shares">Cover!$F$35</definedName>
    <definedName name="Direct_Salary">'[10]Pay Roll &amp; Taxes'!$R$66</definedName>
    <definedName name="Discount_Rate" localSheetId="10">[5]WACC!$O$13</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afeee"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eafeas" hidden="1">{"Page1",#N/A,FALSE,"CompCo";"Page2",#N/A,FALSE,"CompCo"}</definedName>
    <definedName name="eeeeeqq" hidden="1">{"data",#N/A,FALSE,"client (3)";"margins",#N/A,FALSE,"client (3)";"multiple",#N/A,FALSE,"client (3)"}</definedName>
    <definedName name="efasef" hidden="1">{"multiple",#N/A,FALSE,"client (2)";"margins",#N/A,FALSE,"client (2)";"data",#N/A,FALSE,"client (2)";"multiple",#N/A,FALSE,"client";"margins",#N/A,FALSE,"client";"data",#N/A,FALSE,"client"}</definedName>
    <definedName name="efefawwa" hidden="1">{"multiple",#N/A,FALSE,"client";"margins",#N/A,FALSE,"client";"data",#N/A,FALSE,"client"}</definedName>
    <definedName name="End_Bal">'[11]Loan Amortization Schedule'!$I$18:$I$377</definedName>
    <definedName name="eqewq" hidden="1">{"multiple",#N/A,FALSE,"client (2)";"margins",#N/A,FALSE,"client (2)";"data",#N/A,FALSE,"client (2)";"multiple",#N/A,FALSE,"client";"margins",#N/A,FALSE,"client";"data",#N/A,FALSE,"client"}</definedName>
    <definedName name="ERP" localSheetId="10">[5]WACC!$G$7</definedName>
    <definedName name="ERP">WACC!$G$7</definedName>
    <definedName name="erqer" hidden="1">{"cap_structure",#N/A,FALSE,"Graph-Mkt Cap";"price",#N/A,FALSE,"Graph-Price";"ebit",#N/A,FALSE,"Graph-EBITDA";"ebitda",#N/A,FALSE,"Graph-EBITDA"}</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ewaeeeee" hidden="1">{"Page1",#N/A,FALSE,"CompCo";"Page2",#N/A,FALSE,"CompCo"}</definedName>
    <definedName name="ewrwqer" hidden="1">{TRUE,TRUE,-1.25,-15.5,604.5,369,FALSE,FALSE,TRUE,TRUE,0,1,83,1,38,4,5,4,TRUE,TRUE,3,TRUE,1,TRUE,75,"Swvu.inputs._.raw._.data.","ACwvu.inputs._.raw._.data.",#N/A,FALSE,FALSE,0.5,0.5,0.5,0.5,2,"&amp;F","&amp;A&amp;RPage &amp;P",FALSE,FALSE,FALSE,FALSE,1,60,#N/A,#N/A,"=R1C61:R53C89","=C1:C5",#N/A,#N/A,FALSE,FALSE,FALSE,1,600,600,FALSE,FALSE,TRUE,TRUE,TRUE}</definedName>
    <definedName name="fdsfe" hidden="1">{"data",#N/A,FALSE,"client (3)";"margins",#N/A,FALSE,"client (3)";"multiple",#N/A,FALSE,"client (3)"}</definedName>
    <definedName name="febpto">[3]Vacation!$G$56</definedName>
    <definedName name="Fiscal_Periods" localSheetId="10">[5]Model!$C$25:$AG$25</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ender">'[8]Planning Worksheet'!$P:$P</definedName>
    <definedName name="gfg">[9]Salaries!$G$17</definedName>
    <definedName name="Header_Row">ROW('[11]Loan Amortization Schedule'!$A$17:$IV$17)</definedName>
    <definedName name="Hun">Cover!$F$41</definedName>
    <definedName name="ID">[6]Key_Company!$C$2</definedName>
    <definedName name="Interest_Rate">'[11]Loan Amortization Schedule'!$D$6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RATE" hidden="1">"c2192"</definedName>
    <definedName name="IQ_CONVERT_DEBT" hidden="1">"c224"</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"c157"</definedName>
    <definedName name="IQ_EBIT_GROWTH_2" hidden="1">"c161"</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GROWTH_1" hidden="1">"c156"</definedName>
    <definedName name="IQ_EBITDA_GROWTH_2" hidden="1">"c160"</definedName>
    <definedName name="IQ_EBITDA_HIGH_EST" hidden="1">"c370"</definedName>
    <definedName name="IQ_EBITDA_INT" hidden="1">"c373"</definedName>
    <definedName name="IQ_EBITDA_LOW_EST" hidden="1">"c371"</definedName>
    <definedName name="IQ_EBITDA_MARGIN" hidden="1">"c372"</definedName>
    <definedName name="IQ_EBITDA_NO_EST" hidden="1">"c267"</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"c189"</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ACT_EPS" hidden="1">"c1648"</definedName>
    <definedName name="IQ_EST_ACT_FFO_REUT" hidden="1">"c3843"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FFO_DIFF_REUT" hidden="1">"c3890"</definedName>
    <definedName name="IQ_EST_FFO_DIFF_THOM" hidden="1">"c5186"</definedName>
    <definedName name="IQ_EST_FFO_SURPRISE_PERCENT_REUT" hidden="1">"c3891"</definedName>
    <definedName name="IQ_EST_FFO_SURPRISE_PERCENT_THOM" hidden="1">"c5187"</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REV_GROWTH_1YR" hidden="1">"c1638"</definedName>
    <definedName name="IQ_EST_REV_GROWTH_2YR" hidden="1">"c1639"</definedName>
    <definedName name="IQ_EST_REV_GROWTH_Q_1YR" hidden="1">"c1640"</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localSheetId="10" hidden="1">"test"</definedName>
    <definedName name="IQ_EXPENSE_CODE_" hidden="1">"01"</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EST_REUT" hidden="1">"c3837"</definedName>
    <definedName name="IQ_FFO_EST_THOM" hidden="1">"c3999"</definedName>
    <definedName name="IQ_FFO_HIGH_EST" hidden="1">"c419"</definedName>
    <definedName name="IQ_FFO_HIGH_EST_REUT" hidden="1">"c3839"</definedName>
    <definedName name="IQ_FFO_HIGH_EST_THOM" hidden="1">"c4001"</definedName>
    <definedName name="IQ_FFO_LOW_EST" hidden="1">"c420"</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O_EST" hidden="1">"c276"</definedName>
    <definedName name="IQ_FFO_NUM_EST" hidden="1">"c421"</definedName>
    <definedName name="IQ_FFO_NUM_EST_REUT" hidden="1">"c3841"</definedName>
    <definedName name="IQ_FFO_NUM_EST_THOM" hidden="1">"c4003"</definedName>
    <definedName name="IQ_FFO_STDDEV_EST" hidden="1">"c422"</definedName>
    <definedName name="IQ_FFO_STDDEV_EST_REUT" hidden="1">"c3842"</definedName>
    <definedName name="IQ_FFO_STDDEV_EST_THOM" hidden="1">"c4004"</definedName>
    <definedName name="IQ_FH">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GW" hidden="1">"c519"</definedName>
    <definedName name="IQ_GROSS_INTAN" hidden="1">"c520"</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G_REV_OTHER_CASINO" hidden="1">"c8721"</definedName>
    <definedName name="IQ_HG_REV_OTHER_HOTEL_MOTEL" hidden="1">"c8731"</definedName>
    <definedName name="IQ_HG_REV_TOTAL_CASINO_GAMING" hidden="1">"c8723"</definedName>
    <definedName name="IQ_HG_REV_TOTAL_HOTEL_MOTEL" hidden="1">"c8732"</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_ACT_OR_EST" hidden="1">"c4458"</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C_GA_MARGIN" hidden="1">"c9930"</definedName>
    <definedName name="IQ_MC_GA_OPERATING_REV" hidden="1">"c9929"</definedName>
    <definedName name="IQ_MC_MEDICAL_EXPENSE_RATIO" hidden="1">"c9927"</definedName>
    <definedName name="IQ_MC_SGA_MARGIN" hidden="1">"c9932"</definedName>
    <definedName name="IQ_MC_SGA_OPERATING_REV" hidden="1">"c9931"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45615.2432407407</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ISSUED" hidden="1">"c857"</definedName>
    <definedName name="IQ_OPTIONS_OS" hidden="1">"c858"</definedName>
    <definedName name="IQ_ORDER_BACKLOG" hidden="1">"c2090"</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UTSTANDING_FILING_DATE_TOTAL" hidden="1">"c2107"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"c190"</definedName>
    <definedName name="IQ_REVENUE_GROWTH_1" hidden="1">"c155"</definedName>
    <definedName name="IQ_REVENUE_GROWTH_2" hidden="1">"c159"</definedName>
    <definedName name="IQ_REVENUE_HIGH_EST" hidden="1">"c1127"</definedName>
    <definedName name="IQ_REVENUE_LOW_EST" hidden="1">"c1128"</definedName>
    <definedName name="IQ_REVENUE_NO_EST" hidden="1">"c263"</definedName>
    <definedName name="IQ_REVENUE_NUM_EST" hidden="1">"c1129"</definedName>
    <definedName name="IQ_REVOLVING_SECURED_1_–4_NON_ACCRUAL_FFIEC" hidden="1">"c15565"</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OCK_BASED_COGS_FIN" hidden="1">"c2998"</definedName>
    <definedName name="IQ_STOCK_BASED_COGS_UTIL" hidden="1">"c2997"</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IQRAF17" hidden="1">"$AF$18:$AF$269"</definedName>
    <definedName name="IQRC117" hidden="1">"$C$118"</definedName>
    <definedName name="IQRC12" hidden="1">"$C$13"</definedName>
    <definedName name="IQRC121" hidden="1">"$C$122"</definedName>
    <definedName name="IQRC123" hidden="1">"$C$124"</definedName>
    <definedName name="IQRC124" hidden="1">"$C$125"</definedName>
    <definedName name="IQRC125" hidden="1">"$C$126"</definedName>
    <definedName name="IQRC126" hidden="1">"$C$127"</definedName>
    <definedName name="IQRC5" hidden="1">"$C$6:$C$13"</definedName>
    <definedName name="IQRC94" hidden="1">"$C$95"</definedName>
    <definedName name="IQRCIQIDLocaterI13" hidden="1">'CIQ ID Locater'!$K$14:$O$14</definedName>
    <definedName name="IQRCIQIDLocaterI14" hidden="1">'CIQ ID Locater'!$K$15:$O$15</definedName>
    <definedName name="IQRCIQIDLocaterI15" hidden="1">'CIQ ID Locater'!$K$16:$O$16</definedName>
    <definedName name="IQRCIQIDLocaterI16" hidden="1">'CIQ ID Locater'!$K$17:$O$17</definedName>
    <definedName name="IQRCIQIDLocaterI17" hidden="1">'CIQ ID Locater'!$K$18:$N$18</definedName>
    <definedName name="IQRCIQIDLocaterI18" hidden="1">'CIQ ID Locater'!$K$19:$O$19</definedName>
    <definedName name="IQRCIQIDLocaterI19" hidden="1">'CIQ ID Locater'!$K$20:$O$20</definedName>
    <definedName name="IQRCIQIDLocaterI20" hidden="1">'CIQ ID Locater'!$K$21:$O$21</definedName>
    <definedName name="IQRCIQIDLocaterI21" hidden="1">'CIQ ID Locater'!$K$22:$O$22</definedName>
    <definedName name="IQRCIQIDLocaterI22" hidden="1">'CIQ ID Locater'!$K$23:$O$23</definedName>
    <definedName name="IQRCIQIDLocaterI23" hidden="1">'CIQ ID Locater'!$K$24:$O$24</definedName>
    <definedName name="IQRCIQIDLocaterI24" hidden="1">'CIQ ID Locater'!$K$25:$O$25</definedName>
    <definedName name="IQRCIQIDLocaterI25" hidden="1">'CIQ ID Locater'!$K$26:$O$26</definedName>
    <definedName name="IQRCIQIDLocaterI26" hidden="1">'CIQ ID Locater'!$K$27:$O$27</definedName>
    <definedName name="IQRCIQIDLocaterI27" hidden="1">'CIQ ID Locater'!$K$28:$O$28</definedName>
    <definedName name="IQRCIQIDLocaterI28" hidden="1">'CIQ ID Locater'!$K$29:$L$29</definedName>
    <definedName name="IQRCIQIDLocaterI29" hidden="1">'CIQ ID Locater'!$K$30</definedName>
    <definedName name="IQRCIQIDLocaterO13" hidden="1">'CIQ ID Locater'!$Q$14:$U$14</definedName>
    <definedName name="IQRCIQIDLocaterO14" hidden="1">'CIQ ID Locater'!$Q$15:$U$15</definedName>
    <definedName name="IQRCIQIDLocaterO15" hidden="1">'CIQ ID Locater'!$Q$16:$U$16</definedName>
    <definedName name="IQRCIQIDLocaterO16" hidden="1">'CIQ ID Locater'!$Q$17:$U$17</definedName>
    <definedName name="IQRCIQIDLocaterO17" hidden="1">'CIQ ID Locater'!$Q$18:$T$18</definedName>
    <definedName name="IQRCIQIDLocaterO18" hidden="1">'CIQ ID Locater'!$Q$19:$U$19</definedName>
    <definedName name="IQRCIQIDLocaterO19" hidden="1">'CIQ ID Locater'!$Q$20:$U$20</definedName>
    <definedName name="IQRCIQIDLocaterO20" hidden="1">'CIQ ID Locater'!$Q$21:$U$21</definedName>
    <definedName name="IQRCIQIDLocaterO21" hidden="1">'CIQ ID Locater'!$Q$22:$U$22</definedName>
    <definedName name="IQRCIQIDLocaterO22" hidden="1">'CIQ ID Locater'!$Q$23:$U$23</definedName>
    <definedName name="IQRCIQIDLocaterO23" hidden="1">'CIQ ID Locater'!$Q$24:$U$24</definedName>
    <definedName name="IQRCIQIDLocaterO24" hidden="1">'CIQ ID Locater'!$Q$25:$U$25</definedName>
    <definedName name="IQRCIQIDLocaterO25" hidden="1">'CIQ ID Locater'!$Q$26:$U$26</definedName>
    <definedName name="IQRCIQIDLocaterO26" hidden="1">'CIQ ID Locater'!$Q$27:$U$27</definedName>
    <definedName name="IQRCIQIDLocaterO27" hidden="1">'CIQ ID Locater'!$Q$28:$U$28</definedName>
    <definedName name="IQRCIQIDLocaterO28" hidden="1">'CIQ ID Locater'!$Q$29:$R$29</definedName>
    <definedName name="IQRCIQIDLocaterO29" hidden="1">'CIQ ID Locater'!$Q$30</definedName>
    <definedName name="IQRCompaniesH12" hidden="1">'CIQ ID Locater'!#REF!</definedName>
    <definedName name="IQRCompaniesH13" hidden="1">'CIQ ID Locater'!$K$13:$O$13</definedName>
    <definedName name="IQRCompaniesH14" hidden="1">'CIQ ID Locater'!$K$14:$O$14</definedName>
    <definedName name="IQRCompaniesH15" hidden="1">'CIQ ID Locater'!$K$15:$O$15</definedName>
    <definedName name="IQRCompaniesH16" hidden="1">'CIQ ID Locater'!#REF!</definedName>
    <definedName name="IQRCompaniesH17" hidden="1">'CIQ ID Locater'!$K$16:$O$16</definedName>
    <definedName name="IQRCompaniesH18" hidden="1">'CIQ ID Locater'!$K$17:$O$17</definedName>
    <definedName name="IQRCompaniesH19" hidden="1">'CIQ ID Locater'!$K$18:$O$18</definedName>
    <definedName name="IQRCompaniesH20" hidden="1">'CIQ ID Locater'!$K$19:$O$19</definedName>
    <definedName name="IQRCompaniesI12" hidden="1">'CIQ ID Locater'!#REF!</definedName>
    <definedName name="IQRCompaniesI13" hidden="1">'CIQ ID Locater'!$K$13:$L$13</definedName>
    <definedName name="IQRCompaniesI14" hidden="1">'CIQ ID Locater'!$K$14:$M$14</definedName>
    <definedName name="IQRCompaniesI15" hidden="1">'CIQ ID Locater'!$K$15</definedName>
    <definedName name="IQRCompaniesI16" hidden="1">'CIQ ID Locater'!$K$16:$O$16</definedName>
    <definedName name="IQRCompaniesI17" hidden="1">'CIQ ID Locater'!$K$17:$O$17</definedName>
    <definedName name="IQRCompaniesI18" hidden="1">'CIQ ID Locater'!$K$18</definedName>
    <definedName name="IQRCompaniesI19" hidden="1">'CIQ ID Locater'!$K$19</definedName>
    <definedName name="IQRCompaniesI20" hidden="1">'CIQ ID Locater'!$K$20:$L$20</definedName>
    <definedName name="IQRCompaniesI21" hidden="1">'CIQ ID Locater'!$K$21:$O$21</definedName>
    <definedName name="IQRCompaniesI22" hidden="1">'CIQ ID Locater'!$K$22:$O$22</definedName>
    <definedName name="IQRCompaniesI23" hidden="1">'CIQ ID Locater'!$K$23:$O$23</definedName>
    <definedName name="IQRCompaniesI24" hidden="1">'CIQ ID Locater'!$K$24:$O$24</definedName>
    <definedName name="IQRCompaniesI25" hidden="1">'CIQ ID Locater'!$K$25:$O$25</definedName>
    <definedName name="IQRCompaniesI26" hidden="1">'CIQ ID Locater'!$K$26:$O$26</definedName>
    <definedName name="IQRCompaniesI27" hidden="1">'CIQ ID Locater'!$K$27:$O$27</definedName>
    <definedName name="IQRCompaniesI28" hidden="1">'CIQ ID Locater'!$K$28:$L$28</definedName>
    <definedName name="IQRCompaniesI29" hidden="1">'CIQ ID Locater'!$K$29:$L$29</definedName>
    <definedName name="IQRCompaniesI30" hidden="1">'CIQ ID Locater'!$K$30</definedName>
    <definedName name="IQRCompaniesI31" hidden="1">'CIQ ID Locater'!$K$30</definedName>
    <definedName name="IQRCompaniesN12" hidden="1">'CIQ ID Locater'!#REF!</definedName>
    <definedName name="IQRCompaniesN13" hidden="1">'CIQ ID Locater'!$Q$13:$U$13</definedName>
    <definedName name="IQRCompaniesN14" hidden="1">'CIQ ID Locater'!$Q$14:$U$14</definedName>
    <definedName name="IQRCompaniesN15" hidden="1">'CIQ ID Locater'!$Q$15:$U$15</definedName>
    <definedName name="IQRCompaniesN16" hidden="1">'CIQ ID Locater'!#REF!</definedName>
    <definedName name="IQRCompaniesN17" hidden="1">'CIQ ID Locater'!$Q$16:$U$16</definedName>
    <definedName name="IQRCompaniesN18" hidden="1">'CIQ ID Locater'!$Q$17:$U$17</definedName>
    <definedName name="IQRCompaniesN19" hidden="1">'CIQ ID Locater'!$Q$18:$U$18</definedName>
    <definedName name="IQRCompaniesN20" hidden="1">'CIQ ID Locater'!$Q$19:$U$19</definedName>
    <definedName name="IQRCompaniesO12" hidden="1">'CIQ ID Locater'!#REF!</definedName>
    <definedName name="IQRCompaniesO13" hidden="1">'CIQ ID Locater'!$Q$13:$R$13</definedName>
    <definedName name="IQRCompaniesO14" hidden="1">'CIQ ID Locater'!$Q$14:$S$14</definedName>
    <definedName name="IQRCompaniesO15" hidden="1">'CIQ ID Locater'!$Q$15</definedName>
    <definedName name="IQRCompaniesO16" hidden="1">'CIQ ID Locater'!$Q$16:$U$16</definedName>
    <definedName name="IQRCompaniesO17" hidden="1">'CIQ ID Locater'!$Q$17:$U$17</definedName>
    <definedName name="IQRCompaniesO18" hidden="1">'CIQ ID Locater'!$Q$18</definedName>
    <definedName name="IQRCompaniesO19" hidden="1">'CIQ ID Locater'!$Q$19</definedName>
    <definedName name="IQRCompaniesO20" hidden="1">'CIQ ID Locater'!$Q$20:$R$20</definedName>
    <definedName name="IQRCompaniesO21" hidden="1">'CIQ ID Locater'!$Q$21:$U$21</definedName>
    <definedName name="IQRCompaniesO22" hidden="1">'CIQ ID Locater'!$Q$22:$U$22</definedName>
    <definedName name="IQRCompaniesO23" hidden="1">'CIQ ID Locater'!$Q$23:$U$23</definedName>
    <definedName name="IQRCompaniesO24" hidden="1">'CIQ ID Locater'!$Q$24:$U$24</definedName>
    <definedName name="IQRCompaniesO25" hidden="1">'CIQ ID Locater'!$Q$25:$U$25</definedName>
    <definedName name="IQRCompaniesO26" hidden="1">'CIQ ID Locater'!$Q$26:$U$26</definedName>
    <definedName name="IQRCompaniesO27" hidden="1">'CIQ ID Locater'!$Q$27:$U$27</definedName>
    <definedName name="IQRCompaniesO28" hidden="1">'CIQ ID Locater'!$Q$28:$R$28</definedName>
    <definedName name="IQRCompaniesO29" hidden="1">'CIQ ID Locater'!$Q$29:$R$29</definedName>
    <definedName name="IQRCompaniesO30" hidden="1">'CIQ ID Locater'!$Q$30</definedName>
    <definedName name="IQRCompaniesO31" hidden="1">'CIQ ID Locater'!$Q$30</definedName>
    <definedName name="IQRCompayIDLocaterI12" hidden="1">'CIQ ID Locater'!#REF!</definedName>
    <definedName name="IQRCompayIDLocaterI13" hidden="1">'CIQ ID Locater'!$K$13:$L$13</definedName>
    <definedName name="IQRCompayIDLocaterI14" hidden="1">'CIQ ID Locater'!$K$14:$M$14</definedName>
    <definedName name="IQRCompayIDLocaterI15" hidden="1">'CIQ ID Locater'!$K$15</definedName>
    <definedName name="IQRCompayIDLocaterI16" hidden="1">'CIQ ID Locater'!$K$16:$O$16</definedName>
    <definedName name="IQRCompayIDLocaterI17" hidden="1">'CIQ ID Locater'!$K$17:$O$17</definedName>
    <definedName name="IQRCompayIDLocaterI18" hidden="1">'CIQ ID Locater'!$K$18</definedName>
    <definedName name="IQRCompayIDLocaterI19" hidden="1">'CIQ ID Locater'!$K$19</definedName>
    <definedName name="IQRCompayIDLocaterI20" hidden="1">'CIQ ID Locater'!$K$20:$L$20</definedName>
    <definedName name="IQRCompayIDLocaterI21" hidden="1">'CIQ ID Locater'!$K$21:$O$21</definedName>
    <definedName name="IQRCompayIDLocaterI22" hidden="1">'CIQ ID Locater'!$K$22:$O$22</definedName>
    <definedName name="IQRCompayIDLocaterI23" hidden="1">'CIQ ID Locater'!$K$23:$O$23</definedName>
    <definedName name="IQRCompayIDLocaterI24" hidden="1">'CIQ ID Locater'!$K$24:$O$24</definedName>
    <definedName name="IQRCompayIDLocaterI25" hidden="1">'CIQ ID Locater'!$K$25:$O$25</definedName>
    <definedName name="IQRCompayIDLocaterI26" hidden="1">'CIQ ID Locater'!$K$26:$O$26</definedName>
    <definedName name="IQRCompayIDLocaterI27" hidden="1">'CIQ ID Locater'!$K$27:$O$27</definedName>
    <definedName name="IQRCompayIDLocaterI28" hidden="1">'CIQ ID Locater'!$K$28:$L$28</definedName>
    <definedName name="IQRCompayIDLocaterI29" hidden="1">'CIQ ID Locater'!$K$29:$L$29</definedName>
    <definedName name="IQRCompayIDLocaterI30" hidden="1">'CIQ ID Locater'!$K$30</definedName>
    <definedName name="IQRCompayIDLocaterO12" hidden="1">'CIQ ID Locater'!#REF!</definedName>
    <definedName name="IQRCompayIDLocaterO13" hidden="1">'CIQ ID Locater'!$Q$13:$R$13</definedName>
    <definedName name="IQRCompayIDLocaterO14" hidden="1">'CIQ ID Locater'!$Q$14:$S$14</definedName>
    <definedName name="IQRCompayIDLocaterO15" hidden="1">'CIQ ID Locater'!$Q$15</definedName>
    <definedName name="IQRCompayIDLocaterO16" hidden="1">'CIQ ID Locater'!$Q$16:$U$16</definedName>
    <definedName name="IQRCompayIDLocaterO17" hidden="1">'CIQ ID Locater'!$Q$17:$U$17</definedName>
    <definedName name="IQRCompayIDLocaterO18" hidden="1">'CIQ ID Locater'!$Q$18</definedName>
    <definedName name="IQRCompayIDLocaterO19" hidden="1">'CIQ ID Locater'!$Q$19</definedName>
    <definedName name="IQRCompayIDLocaterO20" hidden="1">'CIQ ID Locater'!$Q$20:$R$20</definedName>
    <definedName name="IQRCompayIDLocaterO21" hidden="1">'CIQ ID Locater'!$Q$21:$U$21</definedName>
    <definedName name="IQRCompayIDLocaterO22" hidden="1">'CIQ ID Locater'!$Q$22:$U$22</definedName>
    <definedName name="IQRCompayIDLocaterO23" hidden="1">'CIQ ID Locater'!$Q$23:$U$23</definedName>
    <definedName name="IQRCompayIDLocaterO24" hidden="1">'CIQ ID Locater'!$Q$24:$U$24</definedName>
    <definedName name="IQRCompayIDLocaterO25" hidden="1">'CIQ ID Locater'!$Q$25:$U$25</definedName>
    <definedName name="IQRCompayIDLocaterO26" hidden="1">'CIQ ID Locater'!$Q$26:$U$26</definedName>
    <definedName name="IQRCompayIDLocaterO27" hidden="1">'CIQ ID Locater'!$Q$27:$U$27</definedName>
    <definedName name="IQRCompayIDLocaterO28" hidden="1">'CIQ ID Locater'!$Q$28:$R$28</definedName>
    <definedName name="IQRCompayIDLocaterO29" hidden="1">'CIQ ID Locater'!$Q$29:$R$29</definedName>
    <definedName name="IQRCompayIDLocaterO30" hidden="1">'CIQ ID Locater'!$Q$30</definedName>
    <definedName name="IQRComps1F7" hidden="1">[12]Comps!#REF!</definedName>
    <definedName name="IQRF54" hidden="1">"$F$55:$F$62"</definedName>
    <definedName name="IQRG12" hidden="1">"$H$12:$L$12"</definedName>
    <definedName name="IQRG54" hidden="1">"$G$55:$G$62"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J22" hidden="1">"$J$23"</definedName>
    <definedName name="IQRK10" hidden="1">"$K$11"</definedName>
    <definedName name="IQRK15" hidden="1">"$K$16:$K$23"</definedName>
    <definedName name="IQRL10" hidden="1">"$L$11"</definedName>
    <definedName name="IQRL15" hidden="1">"$L$16:$L$23"</definedName>
    <definedName name="IQRL16" hidden="1">"$L$17:$L$24"</definedName>
    <definedName name="IQRL17" hidden="1">"$L$18:$L$25"</definedName>
    <definedName name="IQRL3" hidden="1">"$L$4:$L$11"</definedName>
    <definedName name="IQRM10" hidden="1">"$M$11:$M$26"</definedName>
    <definedName name="IQRM12" hidden="1">"$N$12:$R$12"</definedName>
    <definedName name="IQRM15" hidden="1">"$M$16:$M$31"</definedName>
    <definedName name="IQRM16" hidden="1">"$M$17:$M$24"</definedName>
    <definedName name="IQRM17" hidden="1">"$M$18:$M$25"</definedName>
    <definedName name="IQRM3" hidden="1">"$M$4:$M$11"</definedName>
    <definedName name="IQRN12" hidden="1">"$O$12:$S$12"</definedName>
    <definedName name="IQRN13" hidden="1">"$O$13:$S$13"</definedName>
    <definedName name="IQRN14" localSheetId="10" hidden="1">"$O$14"</definedName>
    <definedName name="IQRN14" hidden="1">"$N$15:$N$22"</definedName>
    <definedName name="IQRN15" hidden="1">"$O$15:$S$15"</definedName>
    <definedName name="IQRN16" localSheetId="10" hidden="1">"$O$16:$S$16"</definedName>
    <definedName name="IQRN16" hidden="1">"$N$17:$N$24"</definedName>
    <definedName name="IQRN17" localSheetId="10" hidden="1">"$O$17:$S$17"</definedName>
    <definedName name="IQRN17" hidden="1">"$N$18:$N$25"</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3" hidden="1">"$N$4:$N$11"</definedName>
    <definedName name="IQRN4" hidden="1">"$N$5:$N$12"</definedName>
    <definedName name="IQRN69" hidden="1">"$N$70:$N$77"</definedName>
    <definedName name="IQRO14" hidden="1">"$O$15:$O$22"</definedName>
    <definedName name="IQRO16" hidden="1">"$O$17:$O$24"</definedName>
    <definedName name="IQRO17" hidden="1">"$O$18:$O$25"</definedName>
    <definedName name="IQRO3" hidden="1">"$O$4:$O$11"</definedName>
    <definedName name="IQRO4" hidden="1">"$O$5:$O$12"</definedName>
    <definedName name="IQRO69" hidden="1">"$O$70:$O$77"</definedName>
    <definedName name="IQRP14" hidden="1">"$P$15:$P$22"</definedName>
    <definedName name="IQRP3" hidden="1">"$P$4:$P$11"</definedName>
    <definedName name="IQRP4" hidden="1">"$P$5:$P$12"</definedName>
    <definedName name="IQRP69" hidden="1">"$P$70:$P$77"</definedName>
    <definedName name="IQRQ14" hidden="1">"$Q$15:$Q$22"</definedName>
    <definedName name="IQRQ3" hidden="1">"$Q$4:$Q$11"</definedName>
    <definedName name="IQRQ4" hidden="1">"$Q$5:$Q$12"</definedName>
    <definedName name="IQRQ69" hidden="1">"$Q$70:$Q$77"</definedName>
    <definedName name="IQRR14" hidden="1">"$R$15:$R$22"</definedName>
    <definedName name="IQRR3" hidden="1">"$R$4:$R$11"</definedName>
    <definedName name="IQRR69" hidden="1">"$R$70:$R$77"</definedName>
    <definedName name="IQRS14" hidden="1">"$S$15:$S$22"</definedName>
    <definedName name="IQRS3" hidden="1">"$S$4:$S$11"</definedName>
    <definedName name="IQRS69" hidden="1">"$S$70:$S$77"</definedName>
    <definedName name="IQRSheet1H12" hidden="1">'CIQ ID Locater'!#REF!</definedName>
    <definedName name="IQRSheet1H13" hidden="1">'CIQ ID Locater'!$K$13:$O$13</definedName>
    <definedName name="IQRSheet1H14" hidden="1">'CIQ ID Locater'!$K$14</definedName>
    <definedName name="IQRSheet1H15" hidden="1">'CIQ ID Locater'!$K$15:$O$15</definedName>
    <definedName name="IQRSheet1H16" hidden="1">'CIQ ID Locater'!#REF!</definedName>
    <definedName name="IQRSheet1H17" hidden="1">'CIQ ID Locater'!$K$16:$O$16</definedName>
    <definedName name="IQRSheet1H18" hidden="1">'CIQ ID Locater'!$K$17:$O$17</definedName>
    <definedName name="IQRSheet1H19" hidden="1">'CIQ ID Locater'!$K$18:$O$18</definedName>
    <definedName name="IQRSheet1H20" hidden="1">'CIQ ID Locater'!$K$19:$O$19</definedName>
    <definedName name="IQRSheet1I12" hidden="1">'CIQ ID Locater'!#REF!</definedName>
    <definedName name="IQRSheet1I13" hidden="1">'CIQ ID Locater'!$K$14:$O$14</definedName>
    <definedName name="IQRSheet1I14" hidden="1">'CIQ ID Locater'!$K$15:$O$15</definedName>
    <definedName name="IQRSheet1I15" hidden="1">'CIQ ID Locater'!$K$16:$O$16</definedName>
    <definedName name="IQRSheet1I16" hidden="1">'CIQ ID Locater'!$K$17:$O$17</definedName>
    <definedName name="IQRSheet1I17" hidden="1">'CIQ ID Locater'!$K$18:$L$18</definedName>
    <definedName name="IQRSheet1I18" hidden="1">'CIQ ID Locater'!$K$19:$O$19</definedName>
    <definedName name="IQRSheet1I19" hidden="1">'CIQ ID Locater'!$K$20:$O$20</definedName>
    <definedName name="IQRSheet1I20" hidden="1">'CIQ ID Locater'!$K$21:$O$21</definedName>
    <definedName name="IQRSheet1I21" hidden="1">'CIQ ID Locater'!$K$22:$O$22</definedName>
    <definedName name="IQRSheet1I22" hidden="1">'CIQ ID Locater'!$K$23:$O$23</definedName>
    <definedName name="IQRSheet1I23" hidden="1">'CIQ ID Locater'!$K$24:$O$24</definedName>
    <definedName name="IQRSheet1I24" hidden="1">'CIQ ID Locater'!$K$25:$O$25</definedName>
    <definedName name="IQRSheet1I25" hidden="1">'CIQ ID Locater'!$K$26:$O$26</definedName>
    <definedName name="IQRSheet1I26" hidden="1">'CIQ ID Locater'!$K$27:$O$27</definedName>
    <definedName name="IQRSheet1I27" hidden="1">'CIQ ID Locater'!$K$28:$L$28</definedName>
    <definedName name="IQRSheet1I28" hidden="1">'CIQ ID Locater'!$K$29:$L$29</definedName>
    <definedName name="IQRSheet1I29" hidden="1">'CIQ ID Locater'!$K$30</definedName>
    <definedName name="IQRSheet1I30" hidden="1">'CIQ ID Locater'!$K$30</definedName>
    <definedName name="IQRSheet1J12" hidden="1">'CIQ ID Locater'!#REF!</definedName>
    <definedName name="IQRSheet1N12" hidden="1">'CIQ ID Locater'!#REF!</definedName>
    <definedName name="IQRSheet1N13" hidden="1">'CIQ ID Locater'!$Q$13:$U$13</definedName>
    <definedName name="IQRSheet1N14" hidden="1">'CIQ ID Locater'!$Q$14</definedName>
    <definedName name="IQRSheet1N15" hidden="1">'CIQ ID Locater'!$Q$15:$U$15</definedName>
    <definedName name="IQRSheet1N16" hidden="1">'CIQ ID Locater'!#REF!</definedName>
    <definedName name="IQRSheet1N17" hidden="1">'CIQ ID Locater'!$Q$16:$U$16</definedName>
    <definedName name="IQRSheet1N18" hidden="1">'CIQ ID Locater'!$Q$17:$U$17</definedName>
    <definedName name="IQRSheet1N19" hidden="1">'CIQ ID Locater'!$Q$18:$U$18</definedName>
    <definedName name="IQRSheet1N20" hidden="1">'CIQ ID Locater'!$Q$19:$U$19</definedName>
    <definedName name="IQRSheet1O12" hidden="1">'CIQ ID Locater'!#REF!</definedName>
    <definedName name="IQRSheet1O13" hidden="1">'CIQ ID Locater'!$Q$14:$U$14</definedName>
    <definedName name="IQRSheet1O14" hidden="1">'CIQ ID Locater'!$Q$15:$U$15</definedName>
    <definedName name="IQRSheet1O15" hidden="1">'CIQ ID Locater'!$Q$16:$U$16</definedName>
    <definedName name="IQRSheet1O16" hidden="1">'CIQ ID Locater'!$Q$17:$U$17</definedName>
    <definedName name="IQRSheet1O17" hidden="1">'CIQ ID Locater'!$Q$18:$R$18</definedName>
    <definedName name="IQRSheet1O18" hidden="1">'CIQ ID Locater'!$Q$19:$U$19</definedName>
    <definedName name="IQRSheet1O19" hidden="1">'CIQ ID Locater'!$Q$20:$U$20</definedName>
    <definedName name="IQRSheet1O20" hidden="1">'CIQ ID Locater'!$Q$21:$U$21</definedName>
    <definedName name="IQRSheet1O21" hidden="1">'CIQ ID Locater'!$Q$22:$U$22</definedName>
    <definedName name="IQRSheet1O22" hidden="1">'CIQ ID Locater'!$Q$23:$U$23</definedName>
    <definedName name="IQRSheet1O23" hidden="1">'CIQ ID Locater'!$Q$24:$U$24</definedName>
    <definedName name="IQRSheet1O24" hidden="1">'CIQ ID Locater'!$Q$25:$U$25</definedName>
    <definedName name="IQRSheet1O25" hidden="1">'CIQ ID Locater'!$Q$26:$U$26</definedName>
    <definedName name="IQRSheet1O26" hidden="1">'CIQ ID Locater'!$Q$27:$U$27</definedName>
    <definedName name="IQRSheet1O27" hidden="1">'CIQ ID Locater'!$Q$28:$R$28</definedName>
    <definedName name="IQRSheet1O28" hidden="1">'CIQ ID Locater'!$Q$29:$R$29</definedName>
    <definedName name="IQRSheet1O29" hidden="1">'CIQ ID Locater'!$Q$30</definedName>
    <definedName name="IQRSheet1O30" hidden="1">'CIQ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 localSheetId="10">[5]Cover!$F$26</definedName>
    <definedName name="Last_FQR">Cover!$F$26</definedName>
    <definedName name="Last_FYE" localSheetId="10">[5]Cover!$F$24</definedName>
    <definedName name="Last_FYE">Cover!$F$24</definedName>
    <definedName name="lc">'[3]2010 Labor Rates 091130'!$A$356</definedName>
    <definedName name="lcid">'[3]2010 Labor Rates 091130'!$E$363</definedName>
    <definedName name="Line_Items" localSheetId="10">[5]Model!$C$25:$C$159</definedName>
    <definedName name="Line_Items">Model!$C$25:$C$161</definedName>
    <definedName name="ListOffset" hidden="1">1</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b_inputLocation" hidden="1">#REF!</definedName>
    <definedName name="mc09salary">[3]Salaries!$G$27</definedName>
    <definedName name="MerrillPrintIt" hidden="1">[7]!MerrillPrintIt</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 hidden="1">[7]!ChangeRange</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wJSECcustomer" hidden="1">{#N/A,#N/A,FALSE,"Title Page";#N/A,#N/A,FALSE,"Conclusions";#N/A,#N/A,FALSE,"Assum.";#N/A,#N/A,FALSE,"Sun  DCF-WC-Dep";#N/A,#N/A,FALSE,"MarketValue";#N/A,#N/A,FALSE,"BalSheet";#N/A,#N/A,FALSE,"WACC";#N/A,#N/A,FALSE,"PC+ Info.";#N/A,#N/A,FALSE,"PC+Info_2"}</definedName>
    <definedName name="NewRange" hidden="1">[7]!NewRange</definedName>
    <definedName name="Next_FYE" localSheetId="10">[5]Cover!$F$25</definedName>
    <definedName name="Next_FYE">Cover!$F$25</definedName>
    <definedName name="novpto">[3]Vacation!$P$56</definedName>
    <definedName name="NTM_Earnings">Model!$U$46:$X$46</definedName>
    <definedName name="NTM_EBITDA" localSheetId="10">[5]Model!$U$61:$X$61</definedName>
    <definedName name="NTM_EBITDA">Valuation!$F$132</definedName>
    <definedName name="NTM_EPS" localSheetId="10">[5]Model!$U$54:$X$54</definedName>
    <definedName name="NTM_EPS">Valuation!$F$131</definedName>
    <definedName name="Number_of_Payments">MATCH(0.01,End_Bal,-1)+1</definedName>
    <definedName name="octpto">[3]Vacation!$O$56</definedName>
    <definedName name="ohtotalbonus">[3]Salaries!$P$68</definedName>
    <definedName name="ok" hidden="1">{"Opsys",#N/A,FALSE,"NPV_OPsys";"NT",#N/A,FALSE,"NPV_NT";"DevP",#N/A,FALSE,"NPV_DevPdt";"Office",#N/A,FALSE,"NPV_Office"}</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ayment_Date">DATE(YEAR(Loan_Start),MONTH(Loan_Start)+Payment_Number,DAY(Loan_Start))</definedName>
    <definedName name="PCCnewcustomer" hidden="1">{#N/A,#N/A,FALSE,"Title Page";#N/A,#N/A,FALSE,"Conclusions";#N/A,#N/A,FALSE,"Assum.";#N/A,#N/A,FALSE,"Sun  DCF-WC-Dep";#N/A,#N/A,FALSE,"MarketValue";#N/A,#N/A,FALSE,"BalSheet";#N/A,#N/A,FALSE,"WACC";#N/A,#N/A,FALSE,"PC+ Info.";#N/A,#N/A,FALSE,"PC+Info_2"}</definedName>
    <definedName name="PeerGroup2_Cyclical_Valuation_Data" localSheetId="10">'[5]Multiples Data'!$C$58:$H$70</definedName>
    <definedName name="PeerGroup2_Cyclical_Valuation_Data">'Multiples Data'!$C$58:$H$70</definedName>
    <definedName name="PeerGroup3_Cyclical_Valuation_Data" localSheetId="10">'[5]Multiples Data'!$C$80:$H$93</definedName>
    <definedName name="PeerGroup3_Cyclical_Valuation_Data">'Multiples Data'!$C$80:$H$94</definedName>
    <definedName name="Primary_Peer_Cyclical_Valuation_Data" localSheetId="10">'[5]Multiples Data'!$C$36:$H$48</definedName>
    <definedName name="Primary_Peer_Cyclical_Valuation_Data">'Multiples Data'!$C$36:$H$48</definedName>
    <definedName name="_xlnm.Print_Area" localSheetId="16">Benchmark!$B$1:$R$106</definedName>
    <definedName name="_xlnm.Print_Area" localSheetId="3">'Football Field'!$B$3:$V$28</definedName>
    <definedName name="_xlnm.Print_Area" localSheetId="2">'Model Output'!$A$1:$P$72</definedName>
    <definedName name="_xlnm.Print_Area" localSheetId="1">Summary!$B$4:$W$108</definedName>
    <definedName name="Print_Area_Reset">OFFSET(Full_Print,0,0,Last_Row)</definedName>
    <definedName name="qeeee" hidden="1">{"Page1",#N/A,FALSE,"CompCo";"Page2",#N/A,FALSE,"CompCo"}</definedName>
    <definedName name="qeqe" hidden="1">{"Page1",#N/A,FALSE,"CompCo";"Page2",#N/A,FALSE,"CompCo"}</definedName>
    <definedName name="qerqwe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ewqe" hidden="1">{"Page1",#N/A,FALSE,"CompCo";"Page2",#N/A,FALSE,"CompCo"}</definedName>
    <definedName name="qewrqw"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ewrqwer" hidden="1">{"inputs raw data",#N/A,TRUE,"INPUT"}</definedName>
    <definedName name="qewrwe" hidden="1">{"summary1",#N/A,TRUE,"Comps";"summary2",#N/A,TRUE,"Comps";"summary3",#N/A,TRUE,"Comps"}</definedName>
    <definedName name="qewrw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 hidden="1">{"multiple",#N/A,FALSE,"client";"margins",#N/A,FALSE,"client";"data",#N/A,FALSE,"client"}</definedName>
    <definedName name="question">[8]Sheet2!$D$6:$D$7</definedName>
    <definedName name="qweqe" hidden="1">{"multiple",#N/A,FALSE,"client (4)";"margins",#N/A,FALSE,"client (4)";"data",#N/A,FALSE,"client (4)"}</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ality" hidden="1">{#N/A,#N/A,FALSE,"Title Page";#N/A,#N/A,FALSE,"Conclusions";#N/A,#N/A,FALSE,"Assum.";#N/A,#N/A,FALSE,"Sun  DCF-WC-Dep";#N/A,#N/A,FALSE,"MarketValue";#N/A,#N/A,FALSE,"BalSheet";#N/A,#N/A,FALSE,"WACC";#N/A,#N/A,FALSE,"PC+ Info.";#N/A,#N/A,FALSE,"PC+Info_2"}</definedName>
    <definedName name="RedefinePrintTableRange" hidden="1">[7]!RedefinePrintTableRange</definedName>
    <definedName name="ReportGroup" hidden="1">0</definedName>
    <definedName name="Revenue_Data_Summary" localSheetId="10">'[5]Revenue Build'!$C$26:$AG$47</definedName>
    <definedName name="Revenue_Data_Summary">'Revenue Build'!$C$28:$AG$49</definedName>
    <definedName name="Risk_Free_Rate" localSheetId="10">[5]WACC!$G$6</definedName>
    <definedName name="Risk_Free_Rate">WACC!$G$6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dddd" hidden="1">{"inputs raw data",#N/A,TRUE,"INPUT"}</definedName>
    <definedName name="Segment1_Rev_Methodology" localSheetId="10">'[5]Revenue Build'!$C$9</definedName>
    <definedName name="Segment1_Rev_Methodology">'Revenue Build'!$C$9</definedName>
    <definedName name="Segment2_Rev_Methodology" localSheetId="10">'[5]Revenue Build'!$C$11</definedName>
    <definedName name="Segment2_Rev_Methodology">'Revenue Build'!$C$11</definedName>
    <definedName name="Segment3_Rev_Methodology" localSheetId="10">'[5]Revenue Build'!$C$13</definedName>
    <definedName name="Segment3_Rev_Methodology">'Revenue Build'!$C$13</definedName>
    <definedName name="Segment4_Rev_Methodology" localSheetId="10">'[5]Revenue Build'!$C$15</definedName>
    <definedName name="Segment4_Rev_Methodology">'Revenue Build'!$C$15</definedName>
    <definedName name="Segment5_Rev_Methodology" localSheetId="10">'[5]Revenue Build'!$C$17</definedName>
    <definedName name="Segment5_Rev_Methodology">'Revenue Build'!$C$17</definedName>
    <definedName name="Segment6_Rev_Methodology" localSheetId="10">'[5]Revenue Build'!$C$19</definedName>
    <definedName name="Segment6_Rev_Methodology">'Revenue Build'!$C$19</definedName>
    <definedName name="seppto">[3]Vacation!$N$56</definedName>
    <definedName name="Share_Price" localSheetId="10">[5]Cover!$F$29</definedName>
    <definedName name="Share_Price">Cover!$F$29</definedName>
    <definedName name="Share_Price_High" localSheetId="10">[5]Cover!$F$30</definedName>
    <definedName name="Share_Price_High">Cover!$F$30</definedName>
    <definedName name="Share_Price_Low" localSheetId="10">[5]Cover!$F$31</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ssssssssssss"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tart_date">#REF!</definedName>
    <definedName name="suckit" hidden="1">#REF!</definedName>
    <definedName name="Tax_Rate" localSheetId="10">[5]Cover!$F$33</definedName>
    <definedName name="Tax_Rate">Cover!$F$33</definedName>
    <definedName name="Taylor">'[13]P&amp;L Assumptions'!$A$42:$A$81</definedName>
    <definedName name="temp" hidden="1">{"contributory1",#N/A,FALSE,"Contributory Assets Detail";"contributory2",#N/A,FALSE,"Contributory Assets Detail"}</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 localSheetId="10">[5]Cover!$F$20</definedName>
    <definedName name="Ticker">Cover!$F$20</definedName>
    <definedName name="Total_PTO">'[10]Pay Roll &amp; Taxes'!$R$67</definedName>
    <definedName name="utilization_correction_factor">'[10]FY11 CFF - the PLAN'!$X$14</definedName>
    <definedName name="Values_Entered">IF(Loan_Amount*Interest_Rate*Loan_Years*Loan_Start&gt;0,1,0)</definedName>
    <definedName name="we">'[3]2010 Labor Rates 091130'!$A$265</definedName>
    <definedName name="we09salary">[3]Salaries!$G$20</definedName>
    <definedName name="we10salary">[3]Salaries!$K$20</definedName>
    <definedName name="wee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eee" hidden="1">{"multiple",#N/A,FALSE,"client";"margins",#N/A,FALSE,"client";"data",#N/A,FALSE,"client"}</definedName>
    <definedName name="wefwaefeaew" hidden="1">{"Page1",#N/A,FALSE,"CompCo";"Page2",#N/A,FALSE,"CompCo"}</definedName>
    <definedName name="wefweca" hidden="1">{"data",#N/A,FALSE,"client (3)";"margins",#N/A,FALSE,"client (3)";"multiple",#N/A,FALSE,"client (3)"}</definedName>
    <definedName name="wefwefe" hidden="1">{"multiple",#N/A,FALSE,"client (4)";"margins",#N/A,FALSE,"client (4)";"data",#N/A,FALSE,"client (4)"}</definedName>
    <definedName name="weid">'[3]2010 Labor Rates 091130'!$E$272</definedName>
    <definedName name="Weight_of_Debt" localSheetId="10">[5]WACC!$N$6</definedName>
    <definedName name="Weight_of_Debt">WACC!$N$6</definedName>
    <definedName name="Weight_of_Equity">WACC!$N$7</definedName>
    <definedName name="Weight_of_Preferred" localSheetId="10">[5]WACC!$N$8</definedName>
    <definedName name="Weight_of_Preferred">WACC!$N$8</definedName>
    <definedName name="wename">[3]Salaries!$A$20</definedName>
    <definedName name="wfeawa" hidden="1">{"multiple",#N/A,FALSE,"client (4)";"margins",#N/A,FALSE,"client (4)";"data",#N/A,FALSE,"client (4)"}</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PCO." hidden="1">{"Page1",#N/A,FALSE,"CompCo";"Page2",#N/A,FALSE,"CompCo"}</definedName>
    <definedName name="wrn.COMPCo1." hidden="1">{"Page1",#N/A,FALSE,"CompCo";"Page2",#N/A,FALSE,"CompCo"}</definedName>
    <definedName name="wrn.COMPCO3." hidden="1">{"Page1",#N/A,FALSE,"CompCo";"Page2",#N/A,FALSE,"CompCo"}</definedName>
    <definedName name="wrn.contributory._.asset._.charges." hidden="1">{"contributory1",#N/A,FALSE,"Contributory Assets Detail";"contributory2",#N/A,FALSE,"Contributory Assets Detail"}</definedName>
    <definedName name="wrn.Customer_base." hidden="1">{"customer base",#N/A,FALSE,"customer_base";"customer base perf estimates",#N/A,FALSE,"customer_base"}</definedName>
    <definedName name="wrn.DCF." hidden="1">{#N/A,#N/A,FALSE,"DCF Cov";#N/A,#N/A,FALSE,"dcf"}</definedName>
    <definedName name="wrn.documentation." hidden="1">{"documentation1",#N/A,FALSE,"Documentation";"documentation2",#N/A,FALSE,"Documentation"}</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ull._.Model." hidden="1">{#N/A,#N/A,FALSE,"Cov";#N/A,#N/A,FALSE,"sum";#N/A,#N/A,FALSE,"baladj";#N/A,#N/A,FALSE,"bs";#N/A,#N/A,FALSE,"is";#N/A,#N/A,FALSE,"pis";#N/A,#N/A,FALSE,"pis";#N/A,#N/A,FALSE,"cf";#N/A,#N/A,FALSE,"balhist";#N/A,#N/A,FALSE,"wc";#N/A,#N/A,FALSE,"ltd";#N/A,#N/A,FALSE,"cover";#N/A,#N/A,FALSE,"fa";#N/A,#N/A,FALSE,"tax";#N/A,#N/A,FALSE,"irr";#N/A,#N/A,FALSE,"in";#N/A,#N/A,FALSE,"DCF Cov";#N/A,#N/A,FALSE,"dcf"}</definedName>
    <definedName name="wrn.Full._.report." hidden="1">{"multiple",#N/A,FALSE,"client (2)";"margins",#N/A,FALSE,"client (2)";"data",#N/A,FALSE,"client (2)";"multiple",#N/A,FALSE,"client";"margins",#N/A,FALSE,"client";"data",#N/A,FALSE,"client"}</definedName>
    <definedName name="wrn.LBO." hidden="1">{#N/A,#N/A,FALSE,"Cov";#N/A,#N/A,FALSE,"sum";#N/A,#N/A,FALSE,"baladj";#N/A,#N/A,FALSE,"bs";#N/A,#N/A,FALSE,"is";#N/A,#N/A,FALSE,"pis";#N/A,#N/A,FALSE,"cf";#N/A,#N/A,FALSE,"balhist";#N/A,#N/A,FALSE,"wc";#N/A,#N/A,FALSE,"ltd";#N/A,#N/A,FALSE,"cover";#N/A,#N/A,FALSE,"fa";#N/A,#N/A,FALSE,"tax";#N/A,#N/A,FALSE,"irr";#N/A,#N/A,FALSE,"in"}</definedName>
    <definedName name="wrn.Olk._.by._.Qtr." hidden="1">{"Olk by Qtr Full",#N/A,FALSE,"Tot PalmPalm";"Olk by Qtr Full",#N/A,FALSE,"Tot Device";"Olk by Qtr Full",#N/A,FALSE,"Platform";"Olk by Qtr Full",#N/A,FALSE,"Palm.Net";"Olk by Qtr Full",#N/A,FALSE,"Elim"}</definedName>
    <definedName name="wrn.Print." hidden="1">{"vi1",#N/A,FALSE,"Financial Statements";"vi2",#N/A,FALSE,"Financial Statements";#N/A,#N/A,FALSE,"DCF"}</definedName>
    <definedName name="wrn.print._.all._.sheets."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Disk." hidden="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venue._.detail." hidden="1">{"revenue detail 1",#N/A,FALSE,"Revenue Detail";"revenue detail 2",#N/A,FALSE,"Revenue Detail";"revenue detail 3",#N/A,FALSE,"Revenue Detail";"revenue detail 4",#N/A,FALSE,"Revenue Detail"}</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sum." hidden="1">{"Opsys",#N/A,FALSE,"NPV_OPsys";"NT",#N/A,FALSE,"NPV_NT";"DevP",#N/A,FALSE,"NPV_DevPdt";"Office",#N/A,FALSE,"NPV_Office"}</definedName>
    <definedName name="wrn.summary._.schedules." hidden="1">{"summary1",#N/A,FALSE,"Summary of Values";"summary2",#N/A,FALSE,"Summary of Values"}</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rademark._.and._.trade._.name." hidden="1">{"trademark1",#N/A,FALSE,"Trademark(s) and Trade Name(s)"}</definedName>
    <definedName name="wrn.wara." hidden="1">{"weighted average returns",#N/A,FALSE,"WACC and WARA"}</definedName>
    <definedName name="wrn.work._.paper._.shcedules." hidden="1">{"summary1",#N/A,FALSE,"Summary of Values";"summary2",#N/A,FALSE,"Summary of Values";"weighted average returns",#N/A,FALSE,"WACC and WARA";"fixed asset detail",#N/A,FALSE,"Fixed Asset Detail"}</definedName>
    <definedName name="wt09salary">[3]Salaries!$G$32</definedName>
    <definedName name="wt10salary">[3]Salaries!$K$32</definedName>
    <definedName name="wtid">'[3]2010 Labor Rates 091130'!$E$735</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hidden="1">{#N/A,#N/A,FALSE,"Title Page";#N/A,#N/A,FALSE,"Conclusions";#N/A,#N/A,FALSE,"Assum.";#N/A,#N/A,FALSE,"Sun  DCF-WC-Dep";#N/A,#N/A,FALSE,"MarketValue";#N/A,#N/A,FALSE,"BalSheet";#N/A,#N/A,FALSE,"WACC";#N/A,#N/A,FALSE,"PC+ Info.";#N/A,#N/A,FALSE,"PC+Info_2"}</definedName>
    <definedName name="x" hidden="1">{"contributory1",#N/A,FALSE,"Contributory Assets Detail";"contributory2",#N/A,FALSE,"Contributory Assets Detail"}</definedName>
    <definedName name="xxx"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yale" hidden="1">{"Opsys",#N/A,FALSE,"NPV_OPsys";"NT",#N/A,FALSE,"NPV_NT";"DevP",#N/A,FALSE,"NPV_DevPdt";"Office",#N/A,FALSE,"NPV_Office"}</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5" i="15" l="1"/>
  <c r="W88" i="19"/>
  <c r="AC88" i="19"/>
  <c r="M7" i="19"/>
  <c r="U104" i="9"/>
  <c r="U106" i="9"/>
  <c r="U284" i="9"/>
  <c r="U285" i="9" s="1"/>
  <c r="V285" i="9" s="1"/>
  <c r="U256" i="9"/>
  <c r="U269" i="9" s="1"/>
  <c r="U152" i="9"/>
  <c r="U263" i="9" s="1"/>
  <c r="U262" i="9" s="1"/>
  <c r="U151" i="9"/>
  <c r="U149" i="9"/>
  <c r="U144" i="9"/>
  <c r="U143" i="9"/>
  <c r="U138" i="9"/>
  <c r="U137" i="9"/>
  <c r="U139" i="9" s="1"/>
  <c r="U170" i="9"/>
  <c r="U131" i="9"/>
  <c r="U221" i="9" s="1"/>
  <c r="U125" i="9"/>
  <c r="U123" i="9"/>
  <c r="U45" i="9"/>
  <c r="U40" i="9"/>
  <c r="U36" i="9"/>
  <c r="U33" i="9"/>
  <c r="U32" i="9"/>
  <c r="U9" i="27"/>
  <c r="U8" i="27"/>
  <c r="U170" i="14"/>
  <c r="U167" i="14"/>
  <c r="U115" i="14"/>
  <c r="U113" i="14"/>
  <c r="U111" i="14"/>
  <c r="U102" i="14"/>
  <c r="U74" i="14"/>
  <c r="U67" i="14"/>
  <c r="U32" i="14"/>
  <c r="U27" i="14"/>
  <c r="U22" i="14"/>
  <c r="U17" i="14"/>
  <c r="U4" i="14"/>
  <c r="U208" i="27"/>
  <c r="U206" i="27"/>
  <c r="U198" i="27"/>
  <c r="U197" i="27"/>
  <c r="U196" i="27"/>
  <c r="U195" i="27"/>
  <c r="U194" i="27"/>
  <c r="U193" i="27"/>
  <c r="U192" i="27"/>
  <c r="U188" i="27"/>
  <c r="U186" i="27"/>
  <c r="U184" i="27"/>
  <c r="U183" i="27"/>
  <c r="U181" i="27"/>
  <c r="U180" i="27"/>
  <c r="U178" i="27"/>
  <c r="U177" i="27"/>
  <c r="U176" i="27"/>
  <c r="U175" i="27"/>
  <c r="U174" i="27"/>
  <c r="U173" i="27"/>
  <c r="U172" i="27"/>
  <c r="U162" i="27"/>
  <c r="U160" i="27"/>
  <c r="U159" i="27"/>
  <c r="U158" i="27"/>
  <c r="U157" i="27"/>
  <c r="U156" i="27"/>
  <c r="U12" i="14" s="1"/>
  <c r="U155" i="27"/>
  <c r="U154" i="27"/>
  <c r="U146" i="27"/>
  <c r="U182" i="27"/>
  <c r="U75" i="27"/>
  <c r="U74" i="27"/>
  <c r="U73" i="27"/>
  <c r="U72" i="27"/>
  <c r="U71" i="27"/>
  <c r="U70" i="27"/>
  <c r="U51" i="27"/>
  <c r="U64" i="27" s="1"/>
  <c r="U85" i="14" s="1"/>
  <c r="U33" i="27"/>
  <c r="U41" i="27" s="1"/>
  <c r="U30" i="27"/>
  <c r="U23" i="27"/>
  <c r="U31" i="27" s="1"/>
  <c r="U7" i="27"/>
  <c r="U19" i="27" s="1"/>
  <c r="U5" i="27"/>
  <c r="U309" i="9"/>
  <c r="U306" i="9"/>
  <c r="U305" i="9" s="1"/>
  <c r="U304" i="9"/>
  <c r="U274" i="9"/>
  <c r="U261" i="9"/>
  <c r="U258" i="9"/>
  <c r="U242" i="9"/>
  <c r="U226" i="9"/>
  <c r="U225" i="9"/>
  <c r="V225" i="9" s="1"/>
  <c r="U220" i="9"/>
  <c r="U212" i="9"/>
  <c r="U208" i="9"/>
  <c r="U196" i="9"/>
  <c r="U210" i="9" s="1"/>
  <c r="U111" i="9" s="1"/>
  <c r="U185" i="9"/>
  <c r="U123" i="14" s="1"/>
  <c r="U169" i="9"/>
  <c r="U165" i="9"/>
  <c r="U249" i="9"/>
  <c r="U145" i="9"/>
  <c r="U312" i="9"/>
  <c r="U310" i="9" s="1"/>
  <c r="U157" i="14" s="1"/>
  <c r="U132" i="9"/>
  <c r="U198" i="9"/>
  <c r="U166" i="9"/>
  <c r="U164" i="9"/>
  <c r="U113" i="9"/>
  <c r="U61" i="9"/>
  <c r="U24" i="9"/>
  <c r="U25" i="9" s="1"/>
  <c r="U201" i="8"/>
  <c r="U203" i="8" s="1"/>
  <c r="U189" i="8"/>
  <c r="U191" i="8" s="1"/>
  <c r="U158" i="8"/>
  <c r="U153" i="8"/>
  <c r="U141" i="8"/>
  <c r="U129" i="8"/>
  <c r="U117" i="8"/>
  <c r="U105" i="8"/>
  <c r="U93" i="8"/>
  <c r="P36" i="8"/>
  <c r="P33" i="8"/>
  <c r="Y304" i="9"/>
  <c r="Y305" i="9" s="1"/>
  <c r="T312" i="9"/>
  <c r="T309" i="9"/>
  <c r="T310" i="9" s="1"/>
  <c r="T306" i="9"/>
  <c r="T304" i="9"/>
  <c r="T305" i="9" s="1"/>
  <c r="F118" i="15"/>
  <c r="AF55" i="8"/>
  <c r="AG55" i="8"/>
  <c r="AE55" i="8"/>
  <c r="T36" i="8"/>
  <c r="O33" i="8"/>
  <c r="T33" i="8"/>
  <c r="F35" i="12"/>
  <c r="Y104" i="9"/>
  <c r="X170" i="14"/>
  <c r="W170" i="14"/>
  <c r="V170" i="14"/>
  <c r="X162" i="14"/>
  <c r="W162" i="14"/>
  <c r="V162" i="14"/>
  <c r="X157" i="14"/>
  <c r="W157" i="14"/>
  <c r="V157" i="14"/>
  <c r="X153" i="14"/>
  <c r="W153" i="14"/>
  <c r="V153" i="14"/>
  <c r="X151" i="14"/>
  <c r="W151" i="14"/>
  <c r="V151" i="14"/>
  <c r="X150" i="14"/>
  <c r="W150" i="14"/>
  <c r="V150" i="14"/>
  <c r="X148" i="14"/>
  <c r="W148" i="14"/>
  <c r="V148" i="14"/>
  <c r="X146" i="14"/>
  <c r="W146" i="14"/>
  <c r="V146" i="14"/>
  <c r="X145" i="14"/>
  <c r="W145" i="14"/>
  <c r="V145" i="14"/>
  <c r="X143" i="14"/>
  <c r="W143" i="14"/>
  <c r="V143" i="14"/>
  <c r="X141" i="14"/>
  <c r="W141" i="14"/>
  <c r="V141" i="14"/>
  <c r="X140" i="14"/>
  <c r="W140" i="14"/>
  <c r="V140" i="14"/>
  <c r="X133" i="14"/>
  <c r="W133" i="14"/>
  <c r="V133" i="14"/>
  <c r="X131" i="14"/>
  <c r="W131" i="14"/>
  <c r="V131" i="14"/>
  <c r="X129" i="14"/>
  <c r="W129" i="14"/>
  <c r="V129" i="14"/>
  <c r="X128" i="14"/>
  <c r="W128" i="14"/>
  <c r="V128" i="14"/>
  <c r="X123" i="14"/>
  <c r="W123" i="14"/>
  <c r="V123" i="14"/>
  <c r="X121" i="14"/>
  <c r="W121" i="14"/>
  <c r="V121" i="14"/>
  <c r="X119" i="14"/>
  <c r="W119" i="14"/>
  <c r="V119" i="14"/>
  <c r="X118" i="14"/>
  <c r="W118" i="14"/>
  <c r="V118" i="14"/>
  <c r="X106" i="14"/>
  <c r="W106" i="14"/>
  <c r="V106" i="14"/>
  <c r="X100" i="14"/>
  <c r="W100" i="14"/>
  <c r="V100" i="14"/>
  <c r="X98" i="14"/>
  <c r="W98" i="14"/>
  <c r="V98" i="14"/>
  <c r="X97" i="14"/>
  <c r="W97" i="14"/>
  <c r="V97" i="14"/>
  <c r="X90" i="14"/>
  <c r="W90" i="14"/>
  <c r="V90" i="14"/>
  <c r="X80" i="14"/>
  <c r="W80" i="14"/>
  <c r="V80" i="14"/>
  <c r="X78" i="14"/>
  <c r="W78" i="14"/>
  <c r="V78" i="14"/>
  <c r="X77" i="14"/>
  <c r="W77" i="14"/>
  <c r="V77" i="14"/>
  <c r="X72" i="14"/>
  <c r="W72" i="14"/>
  <c r="V72" i="14"/>
  <c r="X69" i="14"/>
  <c r="W69" i="14"/>
  <c r="V69" i="14"/>
  <c r="X65" i="14"/>
  <c r="W65" i="14"/>
  <c r="V65" i="14"/>
  <c r="X63" i="14"/>
  <c r="W63" i="14"/>
  <c r="V63" i="14"/>
  <c r="X62" i="14"/>
  <c r="W62" i="14"/>
  <c r="V62" i="14"/>
  <c r="X58" i="14"/>
  <c r="W58" i="14"/>
  <c r="V58" i="14"/>
  <c r="X56" i="14"/>
  <c r="W56" i="14"/>
  <c r="V56" i="14"/>
  <c r="X55" i="14"/>
  <c r="W55" i="14"/>
  <c r="V55" i="14"/>
  <c r="X50" i="14"/>
  <c r="W50" i="14"/>
  <c r="V50" i="14"/>
  <c r="X48" i="14"/>
  <c r="W48" i="14"/>
  <c r="V48" i="14"/>
  <c r="X46" i="14"/>
  <c r="W46" i="14"/>
  <c r="V46" i="14"/>
  <c r="X45" i="14"/>
  <c r="W45" i="14"/>
  <c r="V45" i="14"/>
  <c r="X43" i="14"/>
  <c r="W43" i="14"/>
  <c r="V43" i="14"/>
  <c r="X41" i="14"/>
  <c r="W41" i="14"/>
  <c r="V41" i="14"/>
  <c r="X40" i="14"/>
  <c r="W40" i="14"/>
  <c r="V40" i="14"/>
  <c r="X32" i="14"/>
  <c r="W32" i="14"/>
  <c r="V32" i="14"/>
  <c r="X27" i="14"/>
  <c r="W27" i="14"/>
  <c r="V27" i="14"/>
  <c r="X22" i="14"/>
  <c r="W22" i="14"/>
  <c r="V22" i="14"/>
  <c r="X17" i="14"/>
  <c r="W17" i="14"/>
  <c r="V17" i="14"/>
  <c r="X12" i="14"/>
  <c r="W12" i="14"/>
  <c r="V12" i="14"/>
  <c r="X7" i="14"/>
  <c r="W7" i="14"/>
  <c r="V7" i="14"/>
  <c r="X232" i="8"/>
  <c r="W232" i="8"/>
  <c r="V232" i="8"/>
  <c r="X228" i="8"/>
  <c r="W228" i="8"/>
  <c r="V228" i="8"/>
  <c r="X220" i="8"/>
  <c r="W220" i="8"/>
  <c r="V220" i="8"/>
  <c r="X216" i="8"/>
  <c r="W216" i="8"/>
  <c r="V216" i="8"/>
  <c r="X208" i="8"/>
  <c r="W208" i="8"/>
  <c r="V208" i="8"/>
  <c r="X204" i="8"/>
  <c r="W204" i="8"/>
  <c r="V204" i="8"/>
  <c r="X196" i="8"/>
  <c r="W196" i="8"/>
  <c r="V196" i="8"/>
  <c r="X192" i="8"/>
  <c r="W192" i="8"/>
  <c r="V192" i="8"/>
  <c r="X184" i="8"/>
  <c r="W184" i="8"/>
  <c r="V184" i="8"/>
  <c r="X180" i="8"/>
  <c r="W180" i="8"/>
  <c r="V180" i="8"/>
  <c r="X172" i="8"/>
  <c r="W172" i="8"/>
  <c r="V172" i="8"/>
  <c r="X168" i="8"/>
  <c r="W168" i="8"/>
  <c r="V168" i="8"/>
  <c r="X158" i="8"/>
  <c r="W158" i="8"/>
  <c r="V158" i="8"/>
  <c r="V157" i="8"/>
  <c r="W157" i="8" s="1"/>
  <c r="X157" i="8" s="1"/>
  <c r="X153" i="8"/>
  <c r="W153" i="8"/>
  <c r="V153" i="8"/>
  <c r="X146" i="8"/>
  <c r="W146" i="8"/>
  <c r="V146" i="8"/>
  <c r="X141" i="8"/>
  <c r="W141" i="8"/>
  <c r="V141" i="8"/>
  <c r="X134" i="8"/>
  <c r="W134" i="8"/>
  <c r="V134" i="8"/>
  <c r="X129" i="8"/>
  <c r="W129" i="8"/>
  <c r="V129" i="8"/>
  <c r="X122" i="8"/>
  <c r="W122" i="8"/>
  <c r="V122" i="8"/>
  <c r="X117" i="8"/>
  <c r="W117" i="8"/>
  <c r="V117" i="8"/>
  <c r="X110" i="8"/>
  <c r="W110" i="8"/>
  <c r="V110" i="8"/>
  <c r="X105" i="8"/>
  <c r="W105" i="8"/>
  <c r="V105" i="8"/>
  <c r="X98" i="8"/>
  <c r="W98" i="8"/>
  <c r="V98" i="8"/>
  <c r="X93" i="8"/>
  <c r="W93" i="8"/>
  <c r="V93" i="8"/>
  <c r="V87" i="8"/>
  <c r="W87" i="8" s="1"/>
  <c r="X87" i="8" s="1"/>
  <c r="V85" i="8"/>
  <c r="W85" i="8" s="1"/>
  <c r="X85" i="8" s="1"/>
  <c r="X78" i="8"/>
  <c r="W78" i="8"/>
  <c r="V78" i="8"/>
  <c r="X72" i="8"/>
  <c r="W72" i="8"/>
  <c r="V72" i="8"/>
  <c r="X66" i="8"/>
  <c r="W66" i="8"/>
  <c r="V66" i="8"/>
  <c r="X63" i="8"/>
  <c r="W63" i="8"/>
  <c r="V63" i="8"/>
  <c r="X61" i="8"/>
  <c r="W61" i="8"/>
  <c r="V61" i="8"/>
  <c r="X60" i="8"/>
  <c r="W60" i="8"/>
  <c r="V60" i="8"/>
  <c r="X57" i="8"/>
  <c r="W57" i="8"/>
  <c r="V57" i="8"/>
  <c r="X55" i="8"/>
  <c r="W55" i="8"/>
  <c r="V55" i="8"/>
  <c r="X54" i="8"/>
  <c r="W54" i="8"/>
  <c r="V54" i="8"/>
  <c r="S52" i="27"/>
  <c r="R52" i="27"/>
  <c r="Q52" i="27"/>
  <c r="P52" i="27"/>
  <c r="X204" i="27"/>
  <c r="W204" i="27"/>
  <c r="V204" i="27"/>
  <c r="X203" i="27"/>
  <c r="W203" i="27"/>
  <c r="X202" i="27"/>
  <c r="W202" i="27"/>
  <c r="V202" i="27"/>
  <c r="X201" i="27"/>
  <c r="W201" i="27"/>
  <c r="V201" i="27"/>
  <c r="X184" i="27"/>
  <c r="W184" i="27"/>
  <c r="V184" i="27"/>
  <c r="X183" i="27"/>
  <c r="W183" i="27"/>
  <c r="V183" i="27"/>
  <c r="X182" i="27"/>
  <c r="W182" i="27"/>
  <c r="X181" i="27"/>
  <c r="W181" i="27"/>
  <c r="V181" i="27"/>
  <c r="X180" i="27"/>
  <c r="W180" i="27"/>
  <c r="V180" i="27"/>
  <c r="X88" i="27"/>
  <c r="X97" i="27" s="1"/>
  <c r="W88" i="27"/>
  <c r="V88" i="27"/>
  <c r="V98" i="27" s="1"/>
  <c r="X23" i="27"/>
  <c r="X30" i="27" s="1"/>
  <c r="W23" i="27"/>
  <c r="V23" i="27"/>
  <c r="V31" i="27" s="1"/>
  <c r="P208" i="27"/>
  <c r="P206" i="27"/>
  <c r="S204" i="27"/>
  <c r="R204" i="27"/>
  <c r="Q204" i="27"/>
  <c r="N204" i="27"/>
  <c r="M204" i="27"/>
  <c r="L204" i="27"/>
  <c r="K204" i="27"/>
  <c r="I204" i="27"/>
  <c r="H204" i="27"/>
  <c r="G204" i="27"/>
  <c r="F204" i="27"/>
  <c r="S203" i="27"/>
  <c r="N203" i="27"/>
  <c r="M203" i="27"/>
  <c r="L203" i="27"/>
  <c r="H203" i="27"/>
  <c r="G203" i="27"/>
  <c r="F203" i="27"/>
  <c r="S202" i="27"/>
  <c r="R202" i="27"/>
  <c r="Q202" i="27"/>
  <c r="N202" i="27"/>
  <c r="M202" i="27"/>
  <c r="L202" i="27"/>
  <c r="H202" i="27"/>
  <c r="G202" i="27"/>
  <c r="F202" i="27"/>
  <c r="S201" i="27"/>
  <c r="R201" i="27"/>
  <c r="Q201" i="27"/>
  <c r="N201" i="27"/>
  <c r="M201" i="27"/>
  <c r="L201" i="27"/>
  <c r="H201" i="27"/>
  <c r="G201" i="27"/>
  <c r="F201" i="27"/>
  <c r="M200" i="27"/>
  <c r="L200" i="27"/>
  <c r="S198" i="27"/>
  <c r="R198" i="27"/>
  <c r="Q198" i="27"/>
  <c r="P198" i="27"/>
  <c r="N198" i="27"/>
  <c r="M198" i="27"/>
  <c r="L198" i="27"/>
  <c r="K198" i="27"/>
  <c r="I198" i="27"/>
  <c r="H198" i="27"/>
  <c r="G198" i="27"/>
  <c r="F198" i="27"/>
  <c r="S197" i="27"/>
  <c r="R197" i="27"/>
  <c r="Q197" i="27"/>
  <c r="P197" i="27"/>
  <c r="N197" i="27"/>
  <c r="M197" i="27"/>
  <c r="L197" i="27"/>
  <c r="K197" i="27"/>
  <c r="I197" i="27"/>
  <c r="H197" i="27"/>
  <c r="G197" i="27"/>
  <c r="F197" i="27"/>
  <c r="S196" i="27"/>
  <c r="R196" i="27"/>
  <c r="Q196" i="27"/>
  <c r="P196" i="27"/>
  <c r="N196" i="27"/>
  <c r="M196" i="27"/>
  <c r="L196" i="27"/>
  <c r="K196" i="27"/>
  <c r="I196" i="27"/>
  <c r="H196" i="27"/>
  <c r="G196" i="27"/>
  <c r="F196" i="27"/>
  <c r="S195" i="27"/>
  <c r="R195" i="27"/>
  <c r="Q195" i="27"/>
  <c r="P195" i="27"/>
  <c r="N195" i="27"/>
  <c r="M195" i="27"/>
  <c r="L195" i="27"/>
  <c r="K195" i="27"/>
  <c r="I195" i="27"/>
  <c r="H195" i="27"/>
  <c r="G195" i="27"/>
  <c r="F195" i="27"/>
  <c r="R194" i="27"/>
  <c r="P194" i="27"/>
  <c r="N194" i="27"/>
  <c r="M194" i="27"/>
  <c r="L194" i="27"/>
  <c r="H194" i="27"/>
  <c r="G194" i="27"/>
  <c r="F194" i="27"/>
  <c r="Q193" i="27"/>
  <c r="P193" i="27"/>
  <c r="N193" i="27"/>
  <c r="M193" i="27"/>
  <c r="L193" i="27"/>
  <c r="K193" i="27"/>
  <c r="I193" i="27"/>
  <c r="H193" i="27"/>
  <c r="G193" i="27"/>
  <c r="F193" i="27"/>
  <c r="P192" i="27"/>
  <c r="P188" i="27"/>
  <c r="P186" i="27"/>
  <c r="S184" i="27"/>
  <c r="R184" i="27"/>
  <c r="Q184" i="27"/>
  <c r="P184" i="27"/>
  <c r="N184" i="27"/>
  <c r="M184" i="27"/>
  <c r="L184" i="27"/>
  <c r="K184" i="27"/>
  <c r="I184" i="27"/>
  <c r="H184" i="27"/>
  <c r="G184" i="27"/>
  <c r="F184" i="27"/>
  <c r="S183" i="27"/>
  <c r="R183" i="27"/>
  <c r="Q183" i="27"/>
  <c r="P183" i="27"/>
  <c r="N183" i="27"/>
  <c r="M183" i="27"/>
  <c r="L183" i="27"/>
  <c r="K183" i="27"/>
  <c r="I183" i="27"/>
  <c r="H183" i="27"/>
  <c r="G183" i="27"/>
  <c r="F183" i="27"/>
  <c r="S182" i="27"/>
  <c r="R182" i="27"/>
  <c r="M182" i="27"/>
  <c r="L182" i="27"/>
  <c r="K182" i="27"/>
  <c r="H182" i="27"/>
  <c r="G182" i="27"/>
  <c r="F182" i="27"/>
  <c r="S181" i="27"/>
  <c r="R181" i="27"/>
  <c r="Q181" i="27"/>
  <c r="P181" i="27"/>
  <c r="M181" i="27"/>
  <c r="L181" i="27"/>
  <c r="K181" i="27"/>
  <c r="H181" i="27"/>
  <c r="G181" i="27"/>
  <c r="F181" i="27"/>
  <c r="S180" i="27"/>
  <c r="R180" i="27"/>
  <c r="Q180" i="27"/>
  <c r="P180" i="27"/>
  <c r="M180" i="27"/>
  <c r="L180" i="27"/>
  <c r="K180" i="27"/>
  <c r="H180" i="27"/>
  <c r="G180" i="27"/>
  <c r="F180" i="27"/>
  <c r="S178" i="27"/>
  <c r="R178" i="27"/>
  <c r="Q178" i="27"/>
  <c r="P178" i="27"/>
  <c r="N178" i="27"/>
  <c r="M178" i="27"/>
  <c r="L178" i="27"/>
  <c r="K178" i="27"/>
  <c r="I178" i="27"/>
  <c r="G178" i="27"/>
  <c r="F178" i="27"/>
  <c r="S177" i="27"/>
  <c r="R177" i="27"/>
  <c r="Q177" i="27"/>
  <c r="P177" i="27"/>
  <c r="N177" i="27"/>
  <c r="M177" i="27"/>
  <c r="L177" i="27"/>
  <c r="K177" i="27"/>
  <c r="J177" i="27"/>
  <c r="I177" i="27"/>
  <c r="G177" i="27"/>
  <c r="F177" i="27"/>
  <c r="S176" i="27"/>
  <c r="R176" i="27"/>
  <c r="Q176" i="27"/>
  <c r="P176" i="27"/>
  <c r="N176" i="27"/>
  <c r="M176" i="27"/>
  <c r="L176" i="27"/>
  <c r="K176" i="27"/>
  <c r="I176" i="27"/>
  <c r="G176" i="27"/>
  <c r="F176" i="27"/>
  <c r="S175" i="27"/>
  <c r="R175" i="27"/>
  <c r="Q175" i="27"/>
  <c r="P175" i="27"/>
  <c r="N175" i="27"/>
  <c r="M175" i="27"/>
  <c r="L175" i="27"/>
  <c r="K175" i="27"/>
  <c r="I175" i="27"/>
  <c r="G175" i="27"/>
  <c r="F175" i="27"/>
  <c r="P174" i="27"/>
  <c r="N174" i="27"/>
  <c r="M174" i="27"/>
  <c r="L174" i="27"/>
  <c r="K174" i="27"/>
  <c r="J174" i="27"/>
  <c r="I174" i="27"/>
  <c r="H174" i="27"/>
  <c r="G174" i="27"/>
  <c r="F174" i="27"/>
  <c r="S173" i="27"/>
  <c r="R173" i="27"/>
  <c r="Q173" i="27"/>
  <c r="P173" i="27"/>
  <c r="M173" i="27"/>
  <c r="L173" i="27"/>
  <c r="K173" i="27"/>
  <c r="H173" i="27"/>
  <c r="G173" i="27"/>
  <c r="F173" i="27"/>
  <c r="P172" i="27"/>
  <c r="Q162" i="27"/>
  <c r="P162" i="27"/>
  <c r="S160" i="27"/>
  <c r="R160" i="27"/>
  <c r="Q160" i="27"/>
  <c r="P160" i="27"/>
  <c r="N160" i="27"/>
  <c r="M160" i="27"/>
  <c r="L160" i="27"/>
  <c r="K160" i="27"/>
  <c r="I160" i="27"/>
  <c r="H160" i="27"/>
  <c r="G160" i="27"/>
  <c r="F160" i="27"/>
  <c r="S159" i="27"/>
  <c r="R159" i="27"/>
  <c r="Q159" i="27"/>
  <c r="P159" i="27"/>
  <c r="N159" i="27"/>
  <c r="M159" i="27"/>
  <c r="L159" i="27"/>
  <c r="K159" i="27"/>
  <c r="I159" i="27"/>
  <c r="H159" i="27"/>
  <c r="G159" i="27"/>
  <c r="F159" i="27"/>
  <c r="S158" i="27"/>
  <c r="R158" i="27"/>
  <c r="Q158" i="27"/>
  <c r="P158" i="27"/>
  <c r="N158" i="27"/>
  <c r="M158" i="27"/>
  <c r="L158" i="27"/>
  <c r="K158" i="27"/>
  <c r="I158" i="27"/>
  <c r="H158" i="27"/>
  <c r="G158" i="27"/>
  <c r="F158" i="27"/>
  <c r="S157" i="27"/>
  <c r="R157" i="27"/>
  <c r="Q157" i="27"/>
  <c r="P157" i="27"/>
  <c r="N157" i="27"/>
  <c r="M157" i="27"/>
  <c r="L157" i="27"/>
  <c r="K157" i="27"/>
  <c r="I157" i="27"/>
  <c r="H157" i="27"/>
  <c r="G157" i="27"/>
  <c r="F157" i="27"/>
  <c r="N156" i="27"/>
  <c r="M156" i="27"/>
  <c r="L156" i="27"/>
  <c r="K156" i="27"/>
  <c r="H156" i="27"/>
  <c r="G156" i="27"/>
  <c r="F156" i="27"/>
  <c r="S155" i="27"/>
  <c r="R155" i="27"/>
  <c r="Q155" i="27"/>
  <c r="P155" i="27"/>
  <c r="O155" i="27"/>
  <c r="N155" i="27"/>
  <c r="M155" i="27"/>
  <c r="L155" i="27"/>
  <c r="K155" i="27"/>
  <c r="H155" i="27"/>
  <c r="G155" i="27"/>
  <c r="F155" i="27"/>
  <c r="P154" i="27"/>
  <c r="Q146" i="27"/>
  <c r="P146" i="27"/>
  <c r="O142" i="27"/>
  <c r="J142" i="27"/>
  <c r="O141" i="27"/>
  <c r="J141" i="27"/>
  <c r="O140" i="27"/>
  <c r="J140" i="27"/>
  <c r="O139" i="27"/>
  <c r="J139" i="27"/>
  <c r="O138" i="27"/>
  <c r="J138" i="27"/>
  <c r="O135" i="27"/>
  <c r="J135" i="27"/>
  <c r="O134" i="27"/>
  <c r="J134" i="27"/>
  <c r="O133" i="27"/>
  <c r="J133" i="27"/>
  <c r="O132" i="27"/>
  <c r="J132" i="27"/>
  <c r="O131" i="27"/>
  <c r="J131" i="27"/>
  <c r="O128" i="27"/>
  <c r="J128" i="27"/>
  <c r="O127" i="27"/>
  <c r="J127" i="27"/>
  <c r="O126" i="27"/>
  <c r="J126" i="27"/>
  <c r="O125" i="27"/>
  <c r="J125" i="27"/>
  <c r="O124" i="27"/>
  <c r="J124" i="27"/>
  <c r="O121" i="27"/>
  <c r="J121" i="27"/>
  <c r="O120" i="27"/>
  <c r="J120" i="27"/>
  <c r="O119" i="27"/>
  <c r="J119" i="27"/>
  <c r="O118" i="27"/>
  <c r="J118" i="27"/>
  <c r="O117" i="27"/>
  <c r="J117" i="27"/>
  <c r="O114" i="27"/>
  <c r="J114" i="27"/>
  <c r="O113" i="27"/>
  <c r="J113" i="27"/>
  <c r="O112" i="27"/>
  <c r="J112" i="27"/>
  <c r="O111" i="27"/>
  <c r="J111" i="27"/>
  <c r="O110" i="27"/>
  <c r="J110" i="27"/>
  <c r="O107" i="27"/>
  <c r="J107" i="27"/>
  <c r="O106" i="27"/>
  <c r="J106" i="27"/>
  <c r="O105" i="27"/>
  <c r="J105" i="27"/>
  <c r="O104" i="27"/>
  <c r="J104" i="27"/>
  <c r="O103" i="27"/>
  <c r="J103" i="27"/>
  <c r="N96" i="27"/>
  <c r="L96" i="27"/>
  <c r="K96" i="27"/>
  <c r="O93" i="27"/>
  <c r="J93" i="27"/>
  <c r="J184" i="27" s="1"/>
  <c r="O92" i="27"/>
  <c r="P204" i="27" s="1"/>
  <c r="J92" i="27"/>
  <c r="J183" i="27" s="1"/>
  <c r="Q91" i="27"/>
  <c r="V182" i="27" s="1"/>
  <c r="P91" i="27"/>
  <c r="P203" i="27" s="1"/>
  <c r="O91" i="27"/>
  <c r="I91" i="27"/>
  <c r="O90" i="27"/>
  <c r="I90" i="27"/>
  <c r="I181" i="27" s="1"/>
  <c r="O89" i="27"/>
  <c r="I89" i="27"/>
  <c r="S88" i="27"/>
  <c r="R88" i="27"/>
  <c r="N88" i="27"/>
  <c r="N98" i="27" s="1"/>
  <c r="M88" i="27"/>
  <c r="M98" i="27" s="1"/>
  <c r="L88" i="27"/>
  <c r="L100" i="27" s="1"/>
  <c r="K88" i="27"/>
  <c r="K100" i="27" s="1"/>
  <c r="H88" i="27"/>
  <c r="H96" i="27" s="1"/>
  <c r="G88" i="27"/>
  <c r="G96" i="27" s="1"/>
  <c r="F88" i="27"/>
  <c r="F98" i="27" s="1"/>
  <c r="S75" i="27"/>
  <c r="R75" i="27"/>
  <c r="Q75" i="27"/>
  <c r="P75" i="27"/>
  <c r="N75" i="27"/>
  <c r="M75" i="27"/>
  <c r="L75" i="27"/>
  <c r="K75" i="27"/>
  <c r="I75" i="27"/>
  <c r="H75" i="27"/>
  <c r="G75" i="27"/>
  <c r="F75" i="27"/>
  <c r="S74" i="27"/>
  <c r="R74" i="27"/>
  <c r="Q74" i="27"/>
  <c r="P74" i="27"/>
  <c r="N74" i="27"/>
  <c r="M74" i="27"/>
  <c r="L74" i="27"/>
  <c r="K74" i="27"/>
  <c r="I74" i="27"/>
  <c r="H74" i="27"/>
  <c r="G74" i="27"/>
  <c r="F74" i="27"/>
  <c r="S73" i="27"/>
  <c r="R73" i="27"/>
  <c r="Q73" i="27"/>
  <c r="P73" i="27"/>
  <c r="N73" i="27"/>
  <c r="M73" i="27"/>
  <c r="L73" i="27"/>
  <c r="K73" i="27"/>
  <c r="I73" i="27"/>
  <c r="H73" i="27"/>
  <c r="G73" i="27"/>
  <c r="F73" i="27"/>
  <c r="S72" i="27"/>
  <c r="R72" i="27"/>
  <c r="Q72" i="27"/>
  <c r="P72" i="27"/>
  <c r="N72" i="27"/>
  <c r="M72" i="27"/>
  <c r="L72" i="27"/>
  <c r="K72" i="27"/>
  <c r="I72" i="27"/>
  <c r="H72" i="27"/>
  <c r="G72" i="27"/>
  <c r="F72" i="27"/>
  <c r="R71" i="27"/>
  <c r="Q71" i="27"/>
  <c r="P71" i="27"/>
  <c r="N71" i="27"/>
  <c r="M71" i="27"/>
  <c r="L71" i="27"/>
  <c r="K71" i="27"/>
  <c r="H71" i="27"/>
  <c r="G71" i="27"/>
  <c r="F71" i="27"/>
  <c r="R70" i="27"/>
  <c r="Q70" i="27"/>
  <c r="N70" i="27"/>
  <c r="M70" i="27"/>
  <c r="L70" i="27"/>
  <c r="K70" i="27"/>
  <c r="G70" i="27"/>
  <c r="F70" i="27"/>
  <c r="M67" i="27"/>
  <c r="K65" i="27"/>
  <c r="M64" i="27"/>
  <c r="L64" i="27"/>
  <c r="M62" i="27"/>
  <c r="L62" i="27"/>
  <c r="K62" i="27"/>
  <c r="M59" i="27"/>
  <c r="O57" i="27"/>
  <c r="J57" i="27"/>
  <c r="O56" i="27"/>
  <c r="J56" i="27"/>
  <c r="O55" i="27"/>
  <c r="J55" i="27"/>
  <c r="O54" i="27"/>
  <c r="J54" i="27"/>
  <c r="O53" i="27"/>
  <c r="J53" i="27"/>
  <c r="O52" i="27"/>
  <c r="N52" i="27"/>
  <c r="M52" i="27"/>
  <c r="L52" i="27"/>
  <c r="K52" i="27"/>
  <c r="I52" i="27"/>
  <c r="H52" i="27"/>
  <c r="G52" i="27"/>
  <c r="F52" i="27"/>
  <c r="S51" i="27"/>
  <c r="R51" i="27"/>
  <c r="Q51" i="27"/>
  <c r="Q69" i="27" s="1"/>
  <c r="P51" i="27"/>
  <c r="P69" i="27" s="1"/>
  <c r="N51" i="27"/>
  <c r="M51" i="27"/>
  <c r="M66" i="27" s="1"/>
  <c r="L51" i="27"/>
  <c r="L67" i="27" s="1"/>
  <c r="K51" i="27"/>
  <c r="K67" i="27" s="1"/>
  <c r="Q49" i="27"/>
  <c r="N49" i="27"/>
  <c r="M49" i="27"/>
  <c r="L49" i="27"/>
  <c r="K49" i="27"/>
  <c r="Q48" i="27"/>
  <c r="Q47" i="27"/>
  <c r="N47" i="27"/>
  <c r="Q46" i="27"/>
  <c r="N46" i="27"/>
  <c r="M46" i="27"/>
  <c r="L46" i="27"/>
  <c r="P45" i="27"/>
  <c r="Q41" i="27"/>
  <c r="O39" i="27"/>
  <c r="J39" i="27"/>
  <c r="O38" i="27"/>
  <c r="J38" i="27"/>
  <c r="O37" i="27"/>
  <c r="J37" i="27"/>
  <c r="O36" i="27"/>
  <c r="J36" i="27"/>
  <c r="S35" i="27"/>
  <c r="S71" i="27" s="1"/>
  <c r="O35" i="27"/>
  <c r="I35" i="27"/>
  <c r="I156" i="27" s="1"/>
  <c r="S34" i="27"/>
  <c r="O34" i="27"/>
  <c r="I34" i="27"/>
  <c r="R33" i="27"/>
  <c r="R46" i="27" s="1"/>
  <c r="Q33" i="27"/>
  <c r="Q45" i="27" s="1"/>
  <c r="P33" i="27"/>
  <c r="P48" i="27" s="1"/>
  <c r="N33" i="27"/>
  <c r="N48" i="27" s="1"/>
  <c r="M33" i="27"/>
  <c r="M48" i="27" s="1"/>
  <c r="L33" i="27"/>
  <c r="L44" i="27" s="1"/>
  <c r="K33" i="27"/>
  <c r="K47" i="27" s="1"/>
  <c r="H33" i="27"/>
  <c r="H49" i="27" s="1"/>
  <c r="G33" i="27"/>
  <c r="F33" i="27"/>
  <c r="N30" i="27"/>
  <c r="M29" i="27"/>
  <c r="L29" i="27"/>
  <c r="K29" i="27"/>
  <c r="G29" i="27"/>
  <c r="O26" i="27"/>
  <c r="J26" i="27"/>
  <c r="O25" i="27"/>
  <c r="J25" i="27"/>
  <c r="O24" i="27"/>
  <c r="J24" i="27"/>
  <c r="S23" i="27"/>
  <c r="S30" i="27" s="1"/>
  <c r="R23" i="27"/>
  <c r="R29" i="27" s="1"/>
  <c r="Q23" i="27"/>
  <c r="Q29" i="27" s="1"/>
  <c r="P23" i="27"/>
  <c r="P29" i="27" s="1"/>
  <c r="N23" i="27"/>
  <c r="N29" i="27" s="1"/>
  <c r="M23" i="27"/>
  <c r="M30" i="27" s="1"/>
  <c r="L23" i="27"/>
  <c r="L30" i="27" s="1"/>
  <c r="K23" i="27"/>
  <c r="I23" i="27"/>
  <c r="I31" i="27" s="1"/>
  <c r="H23" i="27"/>
  <c r="G23" i="27"/>
  <c r="G31" i="27" s="1"/>
  <c r="F23" i="27"/>
  <c r="F31" i="27" s="1"/>
  <c r="K17" i="27"/>
  <c r="I17" i="27"/>
  <c r="O13" i="27"/>
  <c r="J13" i="27"/>
  <c r="J178" i="27" s="1"/>
  <c r="O12" i="27"/>
  <c r="J12" i="27"/>
  <c r="O11" i="27"/>
  <c r="J11" i="27"/>
  <c r="J176" i="27" s="1"/>
  <c r="O10" i="27"/>
  <c r="O175" i="27" s="1"/>
  <c r="J10" i="27"/>
  <c r="J175" i="27" s="1"/>
  <c r="R9" i="27"/>
  <c r="Q9" i="27"/>
  <c r="P9" i="27"/>
  <c r="O9" i="27"/>
  <c r="J9" i="27"/>
  <c r="I9" i="27"/>
  <c r="I194" i="27" s="1"/>
  <c r="S8" i="27"/>
  <c r="R8" i="27"/>
  <c r="Q8" i="27"/>
  <c r="P8" i="27"/>
  <c r="O8" i="27"/>
  <c r="I8" i="27"/>
  <c r="N173" i="27" s="1"/>
  <c r="N7" i="27"/>
  <c r="N20" i="27" s="1"/>
  <c r="M7" i="27"/>
  <c r="L7" i="27"/>
  <c r="L28" i="9" s="1"/>
  <c r="K7" i="27"/>
  <c r="I7" i="27"/>
  <c r="I19" i="27" s="1"/>
  <c r="H7" i="27"/>
  <c r="H19" i="27" s="1"/>
  <c r="G7" i="27"/>
  <c r="G19" i="27" s="1"/>
  <c r="F7" i="27"/>
  <c r="F19" i="27" s="1"/>
  <c r="V328" i="9"/>
  <c r="W328" i="9" s="1"/>
  <c r="X328" i="9" s="1"/>
  <c r="X316" i="9"/>
  <c r="W316" i="9"/>
  <c r="V316" i="9"/>
  <c r="X280" i="9"/>
  <c r="W280" i="9"/>
  <c r="V280" i="9"/>
  <c r="V241" i="9"/>
  <c r="V247" i="9" s="1"/>
  <c r="V226" i="9"/>
  <c r="V144" i="9" s="1"/>
  <c r="V211" i="9"/>
  <c r="W211" i="9" s="1"/>
  <c r="X211" i="9" s="1"/>
  <c r="W209" i="9"/>
  <c r="W85" i="9" s="1"/>
  <c r="V209" i="9"/>
  <c r="V85" i="9"/>
  <c r="S312" i="9"/>
  <c r="R312" i="9"/>
  <c r="Q312" i="9"/>
  <c r="O312" i="9"/>
  <c r="P309" i="9" s="1"/>
  <c r="N312" i="9"/>
  <c r="M312" i="9"/>
  <c r="K312" i="9"/>
  <c r="H312" i="9"/>
  <c r="I309" i="9" s="1"/>
  <c r="F312" i="9"/>
  <c r="S311" i="9"/>
  <c r="R311" i="9"/>
  <c r="P311" i="9"/>
  <c r="L310" i="9"/>
  <c r="S309" i="9"/>
  <c r="S310" i="9" s="1"/>
  <c r="R309" i="9"/>
  <c r="R310" i="9" s="1"/>
  <c r="L309" i="9"/>
  <c r="L311" i="9" s="1"/>
  <c r="J309" i="9"/>
  <c r="F309" i="9"/>
  <c r="S306" i="9"/>
  <c r="S305" i="9" s="1"/>
  <c r="R306" i="9"/>
  <c r="P306" i="9"/>
  <c r="P305" i="9" s="1"/>
  <c r="M306" i="9"/>
  <c r="N304" i="9" s="1"/>
  <c r="L306" i="9"/>
  <c r="K306" i="9"/>
  <c r="J306" i="9"/>
  <c r="K304" i="9" s="1"/>
  <c r="O304" i="9" s="1"/>
  <c r="O305" i="9" s="1"/>
  <c r="I306" i="9"/>
  <c r="I305" i="9" s="1"/>
  <c r="H306" i="9"/>
  <c r="G306" i="9"/>
  <c r="F306" i="9"/>
  <c r="K305" i="9"/>
  <c r="S304" i="9"/>
  <c r="Q304" i="9"/>
  <c r="M304" i="9"/>
  <c r="M305" i="9" s="1"/>
  <c r="L304" i="9"/>
  <c r="I304" i="9"/>
  <c r="H304" i="9"/>
  <c r="H305" i="9" s="1"/>
  <c r="G304" i="9"/>
  <c r="G305" i="9" s="1"/>
  <c r="F304" i="9"/>
  <c r="J304" i="9" s="1"/>
  <c r="J305" i="9" s="1"/>
  <c r="T286" i="9"/>
  <c r="O286" i="9"/>
  <c r="J286" i="9"/>
  <c r="J285" i="9" s="1"/>
  <c r="R285" i="9"/>
  <c r="Q285" i="9"/>
  <c r="P285" i="9"/>
  <c r="O285" i="9"/>
  <c r="N285" i="9"/>
  <c r="M285" i="9"/>
  <c r="L285" i="9"/>
  <c r="K285" i="9"/>
  <c r="I285" i="9"/>
  <c r="H285" i="9"/>
  <c r="G285" i="9"/>
  <c r="F285" i="9"/>
  <c r="S284" i="9"/>
  <c r="R284" i="9"/>
  <c r="O284" i="9"/>
  <c r="J284" i="9"/>
  <c r="T282" i="9"/>
  <c r="Q282" i="9"/>
  <c r="P282" i="9"/>
  <c r="O282" i="9"/>
  <c r="M282" i="9"/>
  <c r="M256" i="9" s="1"/>
  <c r="L282" i="9"/>
  <c r="K282" i="9"/>
  <c r="K256" i="9" s="1"/>
  <c r="K269" i="9" s="1"/>
  <c r="J282" i="9"/>
  <c r="I282" i="9"/>
  <c r="H282" i="9"/>
  <c r="G282" i="9"/>
  <c r="F282" i="9"/>
  <c r="T281" i="9"/>
  <c r="T280" i="9"/>
  <c r="P275" i="9"/>
  <c r="I275" i="9"/>
  <c r="H275" i="9"/>
  <c r="G275" i="9"/>
  <c r="T274" i="9"/>
  <c r="S274" i="9"/>
  <c r="R274" i="9"/>
  <c r="Q274" i="9"/>
  <c r="P274" i="9"/>
  <c r="N274" i="9"/>
  <c r="M274" i="9"/>
  <c r="L274" i="9"/>
  <c r="K274" i="9"/>
  <c r="J274" i="9"/>
  <c r="I274" i="9"/>
  <c r="H274" i="9"/>
  <c r="G274" i="9"/>
  <c r="F274" i="9"/>
  <c r="T273" i="9"/>
  <c r="O273" i="9"/>
  <c r="J273" i="9"/>
  <c r="R269" i="9"/>
  <c r="Q269" i="9"/>
  <c r="P269" i="9"/>
  <c r="P266" i="9" s="1"/>
  <c r="R268" i="9"/>
  <c r="Q268" i="9"/>
  <c r="P268" i="9"/>
  <c r="O268" i="9"/>
  <c r="N268" i="9"/>
  <c r="M268" i="9"/>
  <c r="L268" i="9"/>
  <c r="K268" i="9"/>
  <c r="J268" i="9"/>
  <c r="I268" i="9"/>
  <c r="H268" i="9"/>
  <c r="G268" i="9"/>
  <c r="F268" i="9"/>
  <c r="P267" i="9"/>
  <c r="R263" i="9"/>
  <c r="Q263" i="9"/>
  <c r="P263" i="9"/>
  <c r="N263" i="9"/>
  <c r="M263" i="9"/>
  <c r="L263" i="9"/>
  <c r="K263" i="9"/>
  <c r="I263" i="9"/>
  <c r="H263" i="9"/>
  <c r="G263" i="9"/>
  <c r="F263" i="9"/>
  <c r="F262" i="9" s="1"/>
  <c r="S261" i="9"/>
  <c r="M261" i="9"/>
  <c r="L261" i="9"/>
  <c r="L262" i="9" s="1"/>
  <c r="J261" i="9"/>
  <c r="I261" i="9"/>
  <c r="H261" i="9"/>
  <c r="G261" i="9"/>
  <c r="F261" i="9"/>
  <c r="S258" i="9"/>
  <c r="R258" i="9"/>
  <c r="P258" i="9"/>
  <c r="O258" i="9"/>
  <c r="T254" i="9" s="1"/>
  <c r="N258" i="9"/>
  <c r="M258" i="9"/>
  <c r="L258" i="9"/>
  <c r="K258" i="9"/>
  <c r="I258" i="9"/>
  <c r="H258" i="9"/>
  <c r="G258" i="9"/>
  <c r="F258" i="9"/>
  <c r="Q256" i="9"/>
  <c r="L256" i="9"/>
  <c r="L269" i="9" s="1"/>
  <c r="I256" i="9"/>
  <c r="I269" i="9" s="1"/>
  <c r="H256" i="9"/>
  <c r="H269" i="9" s="1"/>
  <c r="H266" i="9" s="1"/>
  <c r="H267" i="9" s="1"/>
  <c r="G256" i="9"/>
  <c r="G269" i="9" s="1"/>
  <c r="G266" i="9" s="1"/>
  <c r="G267" i="9" s="1"/>
  <c r="F256" i="9"/>
  <c r="S254" i="9"/>
  <c r="R254" i="9"/>
  <c r="Q254" i="9"/>
  <c r="P254" i="9"/>
  <c r="M254" i="9"/>
  <c r="L254" i="9"/>
  <c r="I254" i="9"/>
  <c r="F254" i="9"/>
  <c r="J254" i="9" s="1"/>
  <c r="Q249" i="9"/>
  <c r="P249" i="9"/>
  <c r="N249" i="9"/>
  <c r="M249" i="9"/>
  <c r="I249" i="9"/>
  <c r="G249" i="9"/>
  <c r="F249" i="9"/>
  <c r="S248" i="9"/>
  <c r="T248" i="9" s="1"/>
  <c r="O248" i="9"/>
  <c r="N248" i="9"/>
  <c r="J248" i="9"/>
  <c r="T247" i="9"/>
  <c r="O247" i="9"/>
  <c r="J247" i="9"/>
  <c r="T243" i="9"/>
  <c r="O243" i="9"/>
  <c r="O274" i="9" s="1"/>
  <c r="J243" i="9"/>
  <c r="S242" i="9"/>
  <c r="R242" i="9"/>
  <c r="Q242" i="9"/>
  <c r="P242" i="9"/>
  <c r="N242" i="9"/>
  <c r="M242" i="9"/>
  <c r="L242" i="9"/>
  <c r="K242" i="9"/>
  <c r="I242" i="9"/>
  <c r="H242" i="9"/>
  <c r="G242" i="9"/>
  <c r="F242" i="9"/>
  <c r="S234" i="9"/>
  <c r="Q227" i="9"/>
  <c r="P227" i="9"/>
  <c r="S226" i="9"/>
  <c r="T226" i="9" s="1"/>
  <c r="R226" i="9"/>
  <c r="Q226" i="9"/>
  <c r="R225" i="9"/>
  <c r="Q225" i="9"/>
  <c r="P225" i="9"/>
  <c r="O225" i="9"/>
  <c r="N225" i="9"/>
  <c r="N227" i="9" s="1"/>
  <c r="M225" i="9"/>
  <c r="M227" i="9" s="1"/>
  <c r="L225" i="9"/>
  <c r="L227" i="9" s="1"/>
  <c r="K225" i="9"/>
  <c r="F225" i="9"/>
  <c r="I223" i="9"/>
  <c r="R221" i="9"/>
  <c r="Q221" i="9"/>
  <c r="P221" i="9"/>
  <c r="I221" i="9"/>
  <c r="I222" i="9" s="1"/>
  <c r="H221" i="9"/>
  <c r="H222" i="9" s="1"/>
  <c r="S220" i="9"/>
  <c r="S222" i="9" s="1"/>
  <c r="S223" i="9" s="1"/>
  <c r="R220" i="9"/>
  <c r="R222" i="9" s="1"/>
  <c r="P220" i="9"/>
  <c r="N220" i="9"/>
  <c r="M220" i="9"/>
  <c r="L220" i="9"/>
  <c r="K220" i="9"/>
  <c r="J220" i="9"/>
  <c r="I220" i="9"/>
  <c r="H220" i="9"/>
  <c r="G220" i="9"/>
  <c r="F220" i="9"/>
  <c r="M216" i="9"/>
  <c r="T212" i="9"/>
  <c r="S212" i="9"/>
  <c r="R212" i="9"/>
  <c r="M212" i="9"/>
  <c r="L212" i="9"/>
  <c r="K212" i="9"/>
  <c r="J212" i="9"/>
  <c r="I212" i="9"/>
  <c r="H212" i="9"/>
  <c r="I208" i="9" s="1"/>
  <c r="G212" i="9"/>
  <c r="F212" i="9"/>
  <c r="T211" i="9"/>
  <c r="O211" i="9"/>
  <c r="J211" i="9"/>
  <c r="S210" i="9"/>
  <c r="S216" i="9" s="1"/>
  <c r="R210" i="9"/>
  <c r="Q210" i="9"/>
  <c r="P210" i="9"/>
  <c r="M210" i="9"/>
  <c r="T209" i="9"/>
  <c r="O209" i="9"/>
  <c r="J209" i="9"/>
  <c r="S208" i="9"/>
  <c r="N208" i="9"/>
  <c r="M208" i="9"/>
  <c r="L208" i="9"/>
  <c r="K208" i="9"/>
  <c r="O208" i="9" s="1"/>
  <c r="H208" i="9"/>
  <c r="G208" i="9"/>
  <c r="F208" i="9"/>
  <c r="J208" i="9" s="1"/>
  <c r="R203" i="9"/>
  <c r="S198" i="9"/>
  <c r="R198" i="9"/>
  <c r="M198" i="9"/>
  <c r="L198" i="9"/>
  <c r="K198" i="9"/>
  <c r="L203" i="9" s="1"/>
  <c r="J198" i="9"/>
  <c r="J203" i="9" s="1"/>
  <c r="I198" i="9"/>
  <c r="H198" i="9"/>
  <c r="I203" i="9" s="1"/>
  <c r="G198" i="9"/>
  <c r="F198" i="9"/>
  <c r="T197" i="9"/>
  <c r="O197" i="9"/>
  <c r="J197" i="9"/>
  <c r="S196" i="9"/>
  <c r="R196" i="9"/>
  <c r="Q196" i="9"/>
  <c r="T196" i="9" s="1"/>
  <c r="P196" i="9"/>
  <c r="N196" i="9"/>
  <c r="M196" i="9"/>
  <c r="M111" i="9" s="1"/>
  <c r="L196" i="9"/>
  <c r="K196" i="9"/>
  <c r="J196" i="9"/>
  <c r="I196" i="9"/>
  <c r="H196" i="9"/>
  <c r="G196" i="9"/>
  <c r="F196" i="9"/>
  <c r="T195" i="9"/>
  <c r="S195" i="9"/>
  <c r="S113" i="9" s="1"/>
  <c r="Q195" i="9"/>
  <c r="R195" i="9" s="1"/>
  <c r="R113" i="9" s="1"/>
  <c r="O195" i="9"/>
  <c r="J195" i="9"/>
  <c r="T194" i="9"/>
  <c r="S185" i="9"/>
  <c r="R185" i="9"/>
  <c r="K185" i="9"/>
  <c r="I185" i="9"/>
  <c r="P178" i="9"/>
  <c r="R174" i="9"/>
  <c r="R171" i="9"/>
  <c r="Q171" i="9"/>
  <c r="P171" i="9"/>
  <c r="N171" i="9"/>
  <c r="K171" i="9"/>
  <c r="F171" i="9"/>
  <c r="S170" i="9"/>
  <c r="R170" i="9"/>
  <c r="P170" i="9"/>
  <c r="N170" i="9"/>
  <c r="M170" i="9"/>
  <c r="I170" i="9"/>
  <c r="F170" i="9"/>
  <c r="S169" i="9"/>
  <c r="R169" i="9"/>
  <c r="R172" i="9" s="1"/>
  <c r="Q169" i="9"/>
  <c r="Q172" i="9" s="1"/>
  <c r="P169" i="9"/>
  <c r="K169" i="9"/>
  <c r="G169" i="9"/>
  <c r="F169" i="9"/>
  <c r="R166" i="9"/>
  <c r="Q166" i="9"/>
  <c r="P166" i="9"/>
  <c r="O166" i="9"/>
  <c r="N166" i="9"/>
  <c r="K166" i="9"/>
  <c r="I166" i="9"/>
  <c r="H166" i="9"/>
  <c r="G166" i="9"/>
  <c r="S165" i="9"/>
  <c r="T165" i="9" s="1"/>
  <c r="R165" i="9"/>
  <c r="Q165" i="9"/>
  <c r="P165" i="9"/>
  <c r="Q185" i="9" s="1"/>
  <c r="N165" i="9"/>
  <c r="M165" i="9"/>
  <c r="N185" i="9" s="1"/>
  <c r="L165" i="9"/>
  <c r="K165" i="9"/>
  <c r="L185" i="9" s="1"/>
  <c r="I165" i="9"/>
  <c r="H165" i="9"/>
  <c r="G165" i="9"/>
  <c r="H185" i="9" s="1"/>
  <c r="F165" i="9"/>
  <c r="S164" i="9"/>
  <c r="R164" i="9"/>
  <c r="R167" i="9" s="1"/>
  <c r="Q164" i="9"/>
  <c r="M164" i="9"/>
  <c r="L164" i="9"/>
  <c r="K164" i="9"/>
  <c r="H164" i="9"/>
  <c r="F164" i="9"/>
  <c r="P158" i="9"/>
  <c r="P156" i="9"/>
  <c r="N156" i="9"/>
  <c r="O156" i="9" s="1"/>
  <c r="M156" i="9"/>
  <c r="T155" i="9"/>
  <c r="O155" i="9"/>
  <c r="M155" i="9"/>
  <c r="J155" i="9"/>
  <c r="Q153" i="9"/>
  <c r="Q156" i="9" s="1"/>
  <c r="P153" i="9"/>
  <c r="N153" i="9"/>
  <c r="O153" i="9" s="1"/>
  <c r="M153" i="9"/>
  <c r="L153" i="9"/>
  <c r="L156" i="9" s="1"/>
  <c r="K153" i="9"/>
  <c r="K156" i="9" s="1"/>
  <c r="G153" i="9"/>
  <c r="G156" i="9" s="1"/>
  <c r="F153" i="9"/>
  <c r="F156" i="9" s="1"/>
  <c r="S152" i="9"/>
  <c r="O152" i="9"/>
  <c r="J152" i="9"/>
  <c r="S151" i="9"/>
  <c r="T151" i="9" s="1"/>
  <c r="O151" i="9"/>
  <c r="J151" i="9"/>
  <c r="T150" i="9"/>
  <c r="Q150" i="9"/>
  <c r="Q258" i="9" s="1"/>
  <c r="O150" i="9"/>
  <c r="J150" i="9"/>
  <c r="J258" i="9" s="1"/>
  <c r="K254" i="9" s="1"/>
  <c r="O254" i="9" s="1"/>
  <c r="F150" i="9"/>
  <c r="S149" i="9"/>
  <c r="R149" i="9"/>
  <c r="Q149" i="9"/>
  <c r="P149" i="9"/>
  <c r="O149" i="9"/>
  <c r="O249" i="9" s="1"/>
  <c r="N149" i="9"/>
  <c r="M149" i="9"/>
  <c r="L149" i="9"/>
  <c r="L249" i="9" s="1"/>
  <c r="K149" i="9"/>
  <c r="K249" i="9" s="1"/>
  <c r="I149" i="9"/>
  <c r="I153" i="9" s="1"/>
  <c r="H149" i="9"/>
  <c r="G149" i="9"/>
  <c r="F149" i="9"/>
  <c r="R145" i="9"/>
  <c r="P145" i="9"/>
  <c r="N145" i="9"/>
  <c r="O145" i="9" s="1"/>
  <c r="S144" i="9"/>
  <c r="T144" i="9" s="1"/>
  <c r="R144" i="9"/>
  <c r="Q144" i="9"/>
  <c r="P144" i="9"/>
  <c r="P226" i="9" s="1"/>
  <c r="N144" i="9"/>
  <c r="N226" i="9" s="1"/>
  <c r="M144" i="9"/>
  <c r="M226" i="9" s="1"/>
  <c r="L144" i="9"/>
  <c r="L226" i="9" s="1"/>
  <c r="K144" i="9"/>
  <c r="I144" i="9"/>
  <c r="J144" i="9" s="1"/>
  <c r="J226" i="9" s="1"/>
  <c r="H144" i="9"/>
  <c r="H226" i="9" s="1"/>
  <c r="G144" i="9"/>
  <c r="G226" i="9" s="1"/>
  <c r="F144" i="9"/>
  <c r="F226" i="9" s="1"/>
  <c r="F227" i="9" s="1"/>
  <c r="F228" i="9" s="1"/>
  <c r="S143" i="9"/>
  <c r="O143" i="9"/>
  <c r="L143" i="9"/>
  <c r="K143" i="9"/>
  <c r="I143" i="9"/>
  <c r="H143" i="9"/>
  <c r="G143" i="9"/>
  <c r="G225" i="9" s="1"/>
  <c r="F143" i="9"/>
  <c r="T142" i="9"/>
  <c r="Q142" i="9"/>
  <c r="P142" i="9"/>
  <c r="P312" i="9" s="1"/>
  <c r="N142" i="9"/>
  <c r="O142" i="9" s="1"/>
  <c r="M142" i="9"/>
  <c r="M145" i="9" s="1"/>
  <c r="L142" i="9"/>
  <c r="L312" i="9" s="1"/>
  <c r="M309" i="9" s="1"/>
  <c r="I142" i="9"/>
  <c r="G142" i="9"/>
  <c r="T141" i="9"/>
  <c r="Q141" i="9"/>
  <c r="P141" i="9"/>
  <c r="N141" i="9"/>
  <c r="O141" i="9" s="1"/>
  <c r="O306" i="9" s="1"/>
  <c r="P304" i="9" s="1"/>
  <c r="J141" i="9"/>
  <c r="S139" i="9"/>
  <c r="R139" i="9"/>
  <c r="Q139" i="9"/>
  <c r="S138" i="9"/>
  <c r="S171" i="9" s="1"/>
  <c r="R138" i="9"/>
  <c r="Q138" i="9"/>
  <c r="P138" i="9"/>
  <c r="N138" i="9"/>
  <c r="O138" i="9" s="1"/>
  <c r="O171" i="9" s="1"/>
  <c r="M138" i="9"/>
  <c r="M171" i="9" s="1"/>
  <c r="L138" i="9"/>
  <c r="L171" i="9" s="1"/>
  <c r="K138" i="9"/>
  <c r="I138" i="9"/>
  <c r="H138" i="9"/>
  <c r="H171" i="9" s="1"/>
  <c r="G138" i="9"/>
  <c r="F138" i="9"/>
  <c r="T137" i="9"/>
  <c r="Q137" i="9"/>
  <c r="Q170" i="9" s="1"/>
  <c r="O137" i="9"/>
  <c r="O170" i="9" s="1"/>
  <c r="M137" i="9"/>
  <c r="L137" i="9"/>
  <c r="L170" i="9" s="1"/>
  <c r="K137" i="9"/>
  <c r="J137" i="9"/>
  <c r="J170" i="9" s="1"/>
  <c r="I137" i="9"/>
  <c r="H137" i="9"/>
  <c r="H170" i="9" s="1"/>
  <c r="G137" i="9"/>
  <c r="G170" i="9" s="1"/>
  <c r="F137" i="9"/>
  <c r="S136" i="9"/>
  <c r="T136" i="9" s="1"/>
  <c r="R136" i="9"/>
  <c r="Q136" i="9"/>
  <c r="P136" i="9"/>
  <c r="P139" i="9" s="1"/>
  <c r="P147" i="9" s="1"/>
  <c r="N136" i="9"/>
  <c r="N139" i="9" s="1"/>
  <c r="M136" i="9"/>
  <c r="M139" i="9" s="1"/>
  <c r="M147" i="9" s="1"/>
  <c r="L136" i="9"/>
  <c r="K136" i="9"/>
  <c r="I136" i="9"/>
  <c r="I169" i="9" s="1"/>
  <c r="H136" i="9"/>
  <c r="H169" i="9" s="1"/>
  <c r="G136" i="9"/>
  <c r="F136" i="9"/>
  <c r="F139" i="9" s="1"/>
  <c r="S132" i="9"/>
  <c r="T132" i="9" s="1"/>
  <c r="R132" i="9"/>
  <c r="L132" i="9"/>
  <c r="I132" i="9"/>
  <c r="J132" i="9" s="1"/>
  <c r="H132" i="9"/>
  <c r="H134" i="9" s="1"/>
  <c r="T131" i="9"/>
  <c r="S131" i="9"/>
  <c r="S221" i="9" s="1"/>
  <c r="T221" i="9" s="1"/>
  <c r="R131" i="9"/>
  <c r="Q131" i="9"/>
  <c r="P131" i="9"/>
  <c r="N131" i="9"/>
  <c r="M131" i="9"/>
  <c r="L131" i="9"/>
  <c r="L221" i="9" s="1"/>
  <c r="K131" i="9"/>
  <c r="J131" i="9"/>
  <c r="J221" i="9" s="1"/>
  <c r="J222" i="9" s="1"/>
  <c r="J223" i="9" s="1"/>
  <c r="I131" i="9"/>
  <c r="H131" i="9"/>
  <c r="G131" i="9"/>
  <c r="F131" i="9"/>
  <c r="T130" i="9"/>
  <c r="Q130" i="9"/>
  <c r="Q220" i="9" s="1"/>
  <c r="Q222" i="9" s="1"/>
  <c r="O130" i="9"/>
  <c r="O220" i="9" s="1"/>
  <c r="J130" i="9"/>
  <c r="T129" i="9"/>
  <c r="N129" i="9"/>
  <c r="N212" i="9" s="1"/>
  <c r="J129" i="9"/>
  <c r="T128" i="9"/>
  <c r="Q128" i="9"/>
  <c r="Q198" i="9" s="1"/>
  <c r="P128" i="9"/>
  <c r="N128" i="9"/>
  <c r="J128" i="9"/>
  <c r="R126" i="9"/>
  <c r="Q126" i="9"/>
  <c r="P126" i="9"/>
  <c r="O126" i="9"/>
  <c r="N126" i="9"/>
  <c r="F126" i="9"/>
  <c r="S125" i="9"/>
  <c r="S166" i="9" s="1"/>
  <c r="T166" i="9" s="1"/>
  <c r="R125" i="9"/>
  <c r="Q125" i="9"/>
  <c r="P125" i="9"/>
  <c r="N125" i="9"/>
  <c r="O125" i="9" s="1"/>
  <c r="M125" i="9"/>
  <c r="L125" i="9"/>
  <c r="K125" i="9"/>
  <c r="J125" i="9"/>
  <c r="J166" i="9" s="1"/>
  <c r="I125" i="9"/>
  <c r="H125" i="9"/>
  <c r="G125" i="9"/>
  <c r="F125" i="9"/>
  <c r="F166" i="9" s="1"/>
  <c r="T124" i="9"/>
  <c r="O124" i="9"/>
  <c r="O165" i="9" s="1"/>
  <c r="J124" i="9"/>
  <c r="J165" i="9" s="1"/>
  <c r="S123" i="9"/>
  <c r="S126" i="9" s="1"/>
  <c r="R123" i="9"/>
  <c r="Q123" i="9"/>
  <c r="P123" i="9"/>
  <c r="P164" i="9" s="1"/>
  <c r="N123" i="9"/>
  <c r="N164" i="9" s="1"/>
  <c r="M123" i="9"/>
  <c r="L123" i="9"/>
  <c r="K123" i="9"/>
  <c r="K126" i="9" s="1"/>
  <c r="I123" i="9"/>
  <c r="H123" i="9"/>
  <c r="H126" i="9" s="1"/>
  <c r="G123" i="9"/>
  <c r="F123" i="9"/>
  <c r="T122" i="9"/>
  <c r="O122" i="9"/>
  <c r="J122" i="9"/>
  <c r="T113" i="9"/>
  <c r="Q113" i="9"/>
  <c r="P113" i="9"/>
  <c r="O113" i="9"/>
  <c r="N113" i="9"/>
  <c r="M113" i="9"/>
  <c r="L113" i="9"/>
  <c r="K113" i="9"/>
  <c r="I113" i="9"/>
  <c r="H113" i="9"/>
  <c r="G113" i="9"/>
  <c r="J113" i="9" s="1"/>
  <c r="F113" i="9"/>
  <c r="T106" i="9"/>
  <c r="T105" i="9"/>
  <c r="T104" i="9"/>
  <c r="T102" i="9"/>
  <c r="T101" i="9"/>
  <c r="T100" i="9"/>
  <c r="T98" i="9"/>
  <c r="T97" i="9"/>
  <c r="T96" i="9"/>
  <c r="T95" i="9"/>
  <c r="T94" i="9"/>
  <c r="T93" i="9"/>
  <c r="T92" i="9"/>
  <c r="T91" i="9"/>
  <c r="T89" i="9"/>
  <c r="T87" i="9"/>
  <c r="T86" i="9"/>
  <c r="T85" i="9"/>
  <c r="T84" i="9"/>
  <c r="T82" i="9"/>
  <c r="T81" i="9"/>
  <c r="T80" i="9"/>
  <c r="T79" i="9"/>
  <c r="T78" i="9"/>
  <c r="T77" i="9"/>
  <c r="S61" i="9"/>
  <c r="R61" i="9"/>
  <c r="Q61" i="9"/>
  <c r="P61" i="9"/>
  <c r="T61" i="9" s="1"/>
  <c r="N61" i="9"/>
  <c r="M61" i="9"/>
  <c r="L61" i="9"/>
  <c r="O61" i="9" s="1"/>
  <c r="K61" i="9"/>
  <c r="I61" i="9"/>
  <c r="H61" i="9"/>
  <c r="G61" i="9"/>
  <c r="F61" i="9"/>
  <c r="T51" i="9"/>
  <c r="O51" i="9"/>
  <c r="J51" i="9"/>
  <c r="T50" i="9"/>
  <c r="O50" i="9"/>
  <c r="J50" i="9"/>
  <c r="T49" i="9"/>
  <c r="O49" i="9"/>
  <c r="J49" i="9"/>
  <c r="T48" i="9"/>
  <c r="O48" i="9"/>
  <c r="J48" i="9"/>
  <c r="O45" i="9"/>
  <c r="J45" i="9"/>
  <c r="T42" i="9"/>
  <c r="O42" i="9"/>
  <c r="J42" i="9"/>
  <c r="T41" i="9"/>
  <c r="O41" i="9"/>
  <c r="J41" i="9"/>
  <c r="T40" i="9"/>
  <c r="O40" i="9"/>
  <c r="J40" i="9"/>
  <c r="T39" i="9"/>
  <c r="O39" i="9"/>
  <c r="J39" i="9"/>
  <c r="T36" i="9"/>
  <c r="S36" i="9"/>
  <c r="R36" i="9"/>
  <c r="O36" i="9"/>
  <c r="J36" i="9"/>
  <c r="F36" i="9"/>
  <c r="T35" i="9"/>
  <c r="O35" i="9"/>
  <c r="J35" i="9"/>
  <c r="T34" i="9"/>
  <c r="J34" i="9"/>
  <c r="T33" i="9"/>
  <c r="O33" i="9"/>
  <c r="N33" i="9"/>
  <c r="J33" i="9"/>
  <c r="I33" i="9"/>
  <c r="S32" i="9"/>
  <c r="R32" i="9"/>
  <c r="Q32" i="9"/>
  <c r="P32" i="9"/>
  <c r="M32" i="9"/>
  <c r="L32" i="9"/>
  <c r="K32" i="9"/>
  <c r="H32" i="9"/>
  <c r="G32" i="9"/>
  <c r="F32" i="9"/>
  <c r="T29" i="9"/>
  <c r="O29" i="9"/>
  <c r="J29" i="9"/>
  <c r="N28" i="9"/>
  <c r="T26" i="9"/>
  <c r="O26" i="9"/>
  <c r="J26" i="9"/>
  <c r="AC72" i="14"/>
  <c r="AB72" i="14"/>
  <c r="AA72" i="14"/>
  <c r="Z72" i="14"/>
  <c r="AC58" i="14"/>
  <c r="AB58" i="14"/>
  <c r="AA58" i="14"/>
  <c r="Z58" i="14"/>
  <c r="AF43" i="14"/>
  <c r="AG43" i="14"/>
  <c r="AE43" i="14"/>
  <c r="AC43" i="14"/>
  <c r="AB43" i="14"/>
  <c r="AA43" i="14"/>
  <c r="Z43" i="14"/>
  <c r="AC98" i="14"/>
  <c r="AB98" i="14"/>
  <c r="AA98" i="14"/>
  <c r="Z98" i="14"/>
  <c r="AA55" i="8"/>
  <c r="AB55" i="8"/>
  <c r="AC55" i="8"/>
  <c r="AA57" i="8"/>
  <c r="AB57" i="8"/>
  <c r="AC57" i="8"/>
  <c r="Z57" i="8"/>
  <c r="Z55" i="8"/>
  <c r="AF57" i="8"/>
  <c r="AA41" i="14"/>
  <c r="AB41" i="14"/>
  <c r="AC41" i="14"/>
  <c r="N178" i="15"/>
  <c r="P177" i="15"/>
  <c r="AE24" i="15"/>
  <c r="L151" i="15"/>
  <c r="I86" i="19"/>
  <c r="I87" i="19" s="1"/>
  <c r="O176" i="27" l="1"/>
  <c r="K172" i="27"/>
  <c r="O177" i="27"/>
  <c r="O178" i="27"/>
  <c r="K20" i="27"/>
  <c r="I18" i="27"/>
  <c r="O157" i="27"/>
  <c r="O158" i="27"/>
  <c r="S29" i="27"/>
  <c r="N31" i="27"/>
  <c r="P30" i="27"/>
  <c r="P31" i="27"/>
  <c r="P46" i="27"/>
  <c r="P47" i="27"/>
  <c r="M44" i="27"/>
  <c r="P44" i="27"/>
  <c r="P49" i="27"/>
  <c r="H45" i="27"/>
  <c r="L45" i="27"/>
  <c r="M45" i="27"/>
  <c r="J159" i="27"/>
  <c r="K45" i="27"/>
  <c r="N45" i="27"/>
  <c r="K97" i="27"/>
  <c r="L97" i="27"/>
  <c r="G98" i="27"/>
  <c r="L99" i="27"/>
  <c r="K98" i="27"/>
  <c r="L98" i="27"/>
  <c r="K99" i="27"/>
  <c r="M99" i="27"/>
  <c r="N99" i="27"/>
  <c r="H99" i="27"/>
  <c r="H98" i="27"/>
  <c r="N100" i="27"/>
  <c r="H100" i="27"/>
  <c r="U268" i="9"/>
  <c r="U266" i="9" s="1"/>
  <c r="U267" i="9" s="1"/>
  <c r="U275" i="9"/>
  <c r="U106" i="14" s="1"/>
  <c r="U222" i="9"/>
  <c r="U223" i="9" s="1"/>
  <c r="U147" i="9"/>
  <c r="U203" i="9"/>
  <c r="U77" i="14" s="1"/>
  <c r="Q182" i="27"/>
  <c r="P182" i="27"/>
  <c r="R203" i="27"/>
  <c r="O184" i="27"/>
  <c r="X98" i="27"/>
  <c r="M100" i="27"/>
  <c r="X99" i="27"/>
  <c r="O183" i="27"/>
  <c r="V203" i="27"/>
  <c r="P88" i="27"/>
  <c r="M96" i="27"/>
  <c r="Q203" i="27"/>
  <c r="Q88" i="27"/>
  <c r="R200" i="27" s="1"/>
  <c r="N188" i="9"/>
  <c r="N19" i="27"/>
  <c r="L16" i="27"/>
  <c r="N16" i="27"/>
  <c r="L17" i="27"/>
  <c r="L172" i="27"/>
  <c r="L20" i="27"/>
  <c r="N172" i="27"/>
  <c r="N17" i="27"/>
  <c r="N21" i="27"/>
  <c r="N190" i="9"/>
  <c r="G30" i="27"/>
  <c r="Q30" i="27"/>
  <c r="R30" i="27"/>
  <c r="U29" i="27"/>
  <c r="Q31" i="27"/>
  <c r="S31" i="27"/>
  <c r="X31" i="27"/>
  <c r="F30" i="27"/>
  <c r="R31" i="27"/>
  <c r="O72" i="27"/>
  <c r="J74" i="27"/>
  <c r="K41" i="27"/>
  <c r="O74" i="27"/>
  <c r="R69" i="27"/>
  <c r="R83" i="27" s="1"/>
  <c r="N41" i="27"/>
  <c r="L47" i="27"/>
  <c r="L41" i="27"/>
  <c r="J75" i="27"/>
  <c r="M41" i="27"/>
  <c r="P41" i="27"/>
  <c r="M47" i="27"/>
  <c r="N44" i="27"/>
  <c r="Q44" i="27"/>
  <c r="K63" i="27"/>
  <c r="L63" i="27"/>
  <c r="M63" i="27"/>
  <c r="K66" i="27"/>
  <c r="L66" i="27"/>
  <c r="S62" i="27"/>
  <c r="P59" i="27"/>
  <c r="U63" i="27"/>
  <c r="U84" i="14" s="1"/>
  <c r="U66" i="27"/>
  <c r="U87" i="14" s="1"/>
  <c r="P81" i="27"/>
  <c r="U62" i="27"/>
  <c r="U83" i="14" s="1"/>
  <c r="U65" i="27"/>
  <c r="U86" i="14" s="1"/>
  <c r="U67" i="27"/>
  <c r="U88" i="14" s="1"/>
  <c r="U69" i="27"/>
  <c r="U82" i="27" s="1"/>
  <c r="U20" i="27"/>
  <c r="U16" i="27"/>
  <c r="U21" i="27"/>
  <c r="U17" i="27"/>
  <c r="U45" i="27"/>
  <c r="U46" i="27"/>
  <c r="U47" i="27"/>
  <c r="U48" i="27"/>
  <c r="U44" i="27"/>
  <c r="U49" i="27"/>
  <c r="U59" i="27"/>
  <c r="U88" i="27"/>
  <c r="V200" i="27" s="1"/>
  <c r="U18" i="27"/>
  <c r="U178" i="9"/>
  <c r="U180" i="9" s="1"/>
  <c r="U167" i="9"/>
  <c r="V293" i="9"/>
  <c r="V94" i="9"/>
  <c r="U28" i="8"/>
  <c r="U64" i="9"/>
  <c r="U311" i="9"/>
  <c r="U162" i="14" s="1"/>
  <c r="U153" i="9"/>
  <c r="U156" i="9" s="1"/>
  <c r="U227" i="9"/>
  <c r="U228" i="9" s="1"/>
  <c r="U126" i="9"/>
  <c r="U134" i="9" s="1"/>
  <c r="U234" i="9"/>
  <c r="U133" i="14" s="1"/>
  <c r="Y309" i="9"/>
  <c r="U171" i="9"/>
  <c r="U216" i="9"/>
  <c r="U90" i="14" s="1"/>
  <c r="U196" i="8"/>
  <c r="U192" i="8"/>
  <c r="U204" i="8"/>
  <c r="U208" i="8"/>
  <c r="T311" i="9"/>
  <c r="J185" i="9"/>
  <c r="V116" i="8"/>
  <c r="V152" i="8"/>
  <c r="V128" i="8"/>
  <c r="V104" i="8"/>
  <c r="V140" i="8"/>
  <c r="V86" i="8"/>
  <c r="V92" i="8"/>
  <c r="Q78" i="27"/>
  <c r="Q81" i="27"/>
  <c r="W30" i="27"/>
  <c r="W29" i="27"/>
  <c r="W31" i="27"/>
  <c r="V30" i="27"/>
  <c r="V29" i="27"/>
  <c r="V97" i="27"/>
  <c r="V96" i="27"/>
  <c r="V99" i="27"/>
  <c r="V100" i="27"/>
  <c r="W97" i="27"/>
  <c r="W200" i="27"/>
  <c r="W96" i="27"/>
  <c r="W99" i="27"/>
  <c r="W98" i="27"/>
  <c r="W100" i="27"/>
  <c r="X100" i="27"/>
  <c r="X29" i="27"/>
  <c r="X96" i="27"/>
  <c r="X200" i="27"/>
  <c r="M192" i="27"/>
  <c r="M18" i="27"/>
  <c r="M19" i="27"/>
  <c r="M21" i="27"/>
  <c r="O156" i="27"/>
  <c r="N192" i="27"/>
  <c r="H31" i="27"/>
  <c r="H29" i="27"/>
  <c r="J23" i="27"/>
  <c r="F41" i="27"/>
  <c r="F47" i="27"/>
  <c r="F48" i="27"/>
  <c r="F46" i="27"/>
  <c r="F44" i="27"/>
  <c r="M16" i="27"/>
  <c r="O23" i="27"/>
  <c r="O31" i="27" s="1"/>
  <c r="K30" i="27"/>
  <c r="G47" i="27"/>
  <c r="G41" i="27"/>
  <c r="G48" i="27"/>
  <c r="G46" i="27"/>
  <c r="G44" i="27"/>
  <c r="O71" i="27"/>
  <c r="Q98" i="27"/>
  <c r="F45" i="27"/>
  <c r="R99" i="27"/>
  <c r="R100" i="27"/>
  <c r="R98" i="27"/>
  <c r="R96" i="27"/>
  <c r="G45" i="27"/>
  <c r="S99" i="27"/>
  <c r="S96" i="27"/>
  <c r="S200" i="27"/>
  <c r="S100" i="27"/>
  <c r="S98" i="27"/>
  <c r="H30" i="27"/>
  <c r="I180" i="27"/>
  <c r="I88" i="27"/>
  <c r="J88" i="27" s="1"/>
  <c r="N180" i="27"/>
  <c r="I30" i="27"/>
  <c r="N69" i="27"/>
  <c r="N83" i="27" s="1"/>
  <c r="N65" i="27"/>
  <c r="N62" i="27"/>
  <c r="N67" i="27"/>
  <c r="N63" i="27"/>
  <c r="J89" i="27"/>
  <c r="M20" i="27"/>
  <c r="O51" i="27"/>
  <c r="O65" i="27" s="1"/>
  <c r="J73" i="27"/>
  <c r="N66" i="27"/>
  <c r="P201" i="27"/>
  <c r="M172" i="27"/>
  <c r="O174" i="27"/>
  <c r="P65" i="27"/>
  <c r="P67" i="27"/>
  <c r="P63" i="27"/>
  <c r="O73" i="27"/>
  <c r="P79" i="27"/>
  <c r="N181" i="27"/>
  <c r="K202" i="27"/>
  <c r="I202" i="27"/>
  <c r="P96" i="27"/>
  <c r="S156" i="27"/>
  <c r="P156" i="27"/>
  <c r="Q62" i="27"/>
  <c r="Q67" i="27"/>
  <c r="Q63" i="27"/>
  <c r="Q65" i="27"/>
  <c r="Q59" i="27"/>
  <c r="P66" i="27"/>
  <c r="Q79" i="27"/>
  <c r="J90" i="27"/>
  <c r="O181" i="27" s="1"/>
  <c r="L184" i="9"/>
  <c r="L68" i="9"/>
  <c r="R45" i="27"/>
  <c r="R49" i="27"/>
  <c r="R44" i="27"/>
  <c r="R47" i="27"/>
  <c r="R48" i="27"/>
  <c r="R62" i="27"/>
  <c r="R66" i="27"/>
  <c r="R67" i="27"/>
  <c r="R63" i="27"/>
  <c r="R65" i="27"/>
  <c r="R59" i="27"/>
  <c r="Q66" i="27"/>
  <c r="P202" i="27"/>
  <c r="M28" i="9"/>
  <c r="M189" i="9" s="1"/>
  <c r="F20" i="27"/>
  <c r="F17" i="27"/>
  <c r="F172" i="27"/>
  <c r="F28" i="9"/>
  <c r="F188" i="9" s="1"/>
  <c r="F192" i="27"/>
  <c r="F18" i="27"/>
  <c r="F16" i="27"/>
  <c r="R174" i="27"/>
  <c r="R156" i="27"/>
  <c r="M17" i="27"/>
  <c r="S33" i="27"/>
  <c r="S44" i="27" s="1"/>
  <c r="S66" i="27"/>
  <c r="S67" i="27"/>
  <c r="S63" i="27"/>
  <c r="S65" i="27"/>
  <c r="S59" i="27"/>
  <c r="P83" i="27"/>
  <c r="I203" i="27"/>
  <c r="K203" i="27"/>
  <c r="I182" i="27"/>
  <c r="J91" i="27"/>
  <c r="N184" i="9"/>
  <c r="N71" i="9"/>
  <c r="N70" i="9"/>
  <c r="N30" i="9"/>
  <c r="N67" i="9" s="1"/>
  <c r="G17" i="27"/>
  <c r="G172" i="27"/>
  <c r="G28" i="9"/>
  <c r="G204" i="9" s="1"/>
  <c r="G192" i="27"/>
  <c r="G18" i="27"/>
  <c r="G20" i="27"/>
  <c r="G16" i="27"/>
  <c r="S9" i="27"/>
  <c r="K31" i="27"/>
  <c r="I155" i="27"/>
  <c r="I33" i="27"/>
  <c r="J33" i="27" s="1"/>
  <c r="F49" i="27"/>
  <c r="F51" i="27"/>
  <c r="F62" i="27" s="1"/>
  <c r="J52" i="27"/>
  <c r="N64" i="27"/>
  <c r="Q83" i="27"/>
  <c r="R97" i="27"/>
  <c r="N189" i="9"/>
  <c r="H17" i="27"/>
  <c r="H172" i="27"/>
  <c r="H28" i="9"/>
  <c r="H30" i="9" s="1"/>
  <c r="H21" i="27"/>
  <c r="H192" i="27"/>
  <c r="H18" i="27"/>
  <c r="H20" i="27"/>
  <c r="H16" i="27"/>
  <c r="L31" i="27"/>
  <c r="J34" i="27"/>
  <c r="S45" i="27"/>
  <c r="G49" i="27"/>
  <c r="G51" i="27"/>
  <c r="G62" i="27" s="1"/>
  <c r="O75" i="27"/>
  <c r="S97" i="27"/>
  <c r="J157" i="27"/>
  <c r="N182" i="27"/>
  <c r="I201" i="27"/>
  <c r="N251" i="9"/>
  <c r="I172" i="27"/>
  <c r="I28" i="9"/>
  <c r="I188" i="9" s="1"/>
  <c r="I21" i="27"/>
  <c r="I192" i="27"/>
  <c r="I20" i="27"/>
  <c r="F21" i="27"/>
  <c r="M31" i="27"/>
  <c r="H51" i="27"/>
  <c r="H62" i="27" s="1"/>
  <c r="H70" i="27"/>
  <c r="P64" i="27"/>
  <c r="K201" i="27"/>
  <c r="J7" i="27"/>
  <c r="J21" i="27" s="1"/>
  <c r="G21" i="27"/>
  <c r="I51" i="27"/>
  <c r="I62" i="27" s="1"/>
  <c r="I70" i="27"/>
  <c r="Q64" i="27"/>
  <c r="P80" i="27"/>
  <c r="K28" i="9"/>
  <c r="K188" i="9" s="1"/>
  <c r="K21" i="27"/>
  <c r="K192" i="27"/>
  <c r="K18" i="27"/>
  <c r="O7" i="27"/>
  <c r="O21" i="27" s="1"/>
  <c r="K16" i="27"/>
  <c r="K19" i="27"/>
  <c r="N59" i="27"/>
  <c r="R64" i="27"/>
  <c r="I71" i="27"/>
  <c r="Q80" i="27"/>
  <c r="Q174" i="27"/>
  <c r="Q156" i="27"/>
  <c r="L21" i="27"/>
  <c r="L192" i="27"/>
  <c r="L18" i="27"/>
  <c r="L19" i="27"/>
  <c r="I29" i="27"/>
  <c r="J35" i="27"/>
  <c r="R41" i="27"/>
  <c r="S64" i="27"/>
  <c r="Q194" i="27"/>
  <c r="H47" i="27"/>
  <c r="H44" i="27"/>
  <c r="P82" i="27"/>
  <c r="J160" i="27"/>
  <c r="Q82" i="27"/>
  <c r="F100" i="27"/>
  <c r="F200" i="27"/>
  <c r="F97" i="27"/>
  <c r="J8" i="27"/>
  <c r="O173" i="27" s="1"/>
  <c r="H46" i="27"/>
  <c r="G100" i="27"/>
  <c r="G200" i="27"/>
  <c r="G97" i="27"/>
  <c r="F99" i="27"/>
  <c r="K44" i="27"/>
  <c r="O33" i="27"/>
  <c r="O45" i="27" s="1"/>
  <c r="H200" i="27"/>
  <c r="G99" i="27"/>
  <c r="P7" i="27"/>
  <c r="P17" i="27" s="1"/>
  <c r="J31" i="27"/>
  <c r="P62" i="27"/>
  <c r="P70" i="27"/>
  <c r="P78" i="27" s="1"/>
  <c r="M97" i="27"/>
  <c r="N200" i="27"/>
  <c r="Q7" i="27"/>
  <c r="Q17" i="27" s="1"/>
  <c r="K46" i="27"/>
  <c r="H48" i="27"/>
  <c r="S70" i="27"/>
  <c r="N97" i="27"/>
  <c r="K194" i="27"/>
  <c r="R7" i="27"/>
  <c r="R17" i="27" s="1"/>
  <c r="R193" i="27"/>
  <c r="I16" i="27"/>
  <c r="F29" i="27"/>
  <c r="O160" i="27"/>
  <c r="K59" i="27"/>
  <c r="K69" i="27"/>
  <c r="K82" i="27" s="1"/>
  <c r="O159" i="27"/>
  <c r="I173" i="27"/>
  <c r="L59" i="27"/>
  <c r="L69" i="27"/>
  <c r="L82" i="27" s="1"/>
  <c r="L65" i="27"/>
  <c r="O70" i="27"/>
  <c r="S193" i="27"/>
  <c r="J158" i="27"/>
  <c r="H41" i="27"/>
  <c r="K48" i="27"/>
  <c r="M69" i="27"/>
  <c r="M83" i="27" s="1"/>
  <c r="M65" i="27"/>
  <c r="J72" i="27"/>
  <c r="K64" i="27"/>
  <c r="O88" i="27"/>
  <c r="O98" i="27" s="1"/>
  <c r="F96" i="27"/>
  <c r="L48" i="27"/>
  <c r="H97" i="27"/>
  <c r="N18" i="27"/>
  <c r="V227" i="9"/>
  <c r="V228" i="9" s="1"/>
  <c r="W225" i="9"/>
  <c r="V143" i="9"/>
  <c r="W226" i="9"/>
  <c r="X209" i="9"/>
  <c r="X85" i="9" s="1"/>
  <c r="W241" i="9"/>
  <c r="P111" i="9"/>
  <c r="T210" i="9"/>
  <c r="R261" i="9"/>
  <c r="M228" i="9"/>
  <c r="R176" i="9"/>
  <c r="S145" i="9"/>
  <c r="T145" i="9" s="1"/>
  <c r="S225" i="9"/>
  <c r="N32" i="9"/>
  <c r="N68" i="9" s="1"/>
  <c r="N69" i="9"/>
  <c r="K134" i="9"/>
  <c r="Q223" i="9"/>
  <c r="T143" i="9"/>
  <c r="R223" i="9"/>
  <c r="L139" i="9"/>
  <c r="L147" i="9" s="1"/>
  <c r="L158" i="9" s="1"/>
  <c r="L169" i="9"/>
  <c r="Q167" i="9"/>
  <c r="Q174" i="9" s="1"/>
  <c r="Q178" i="9"/>
  <c r="Q180" i="9" s="1"/>
  <c r="Q111" i="9"/>
  <c r="Q266" i="9"/>
  <c r="Q267" i="9" s="1"/>
  <c r="Q275" i="9"/>
  <c r="T269" i="9"/>
  <c r="N221" i="9"/>
  <c r="O131" i="9"/>
  <c r="O221" i="9" s="1"/>
  <c r="Q261" i="9"/>
  <c r="Q262" i="9" s="1"/>
  <c r="R275" i="9"/>
  <c r="R266" i="9"/>
  <c r="R267" i="9" s="1"/>
  <c r="P198" i="9"/>
  <c r="Q203" i="9" s="1"/>
  <c r="N228" i="9"/>
  <c r="Q145" i="9"/>
  <c r="Q147" i="9" s="1"/>
  <c r="Q158" i="9" s="1"/>
  <c r="Q306" i="9"/>
  <c r="T220" i="9"/>
  <c r="T222" i="9" s="1"/>
  <c r="H172" i="9"/>
  <c r="K178" i="9"/>
  <c r="K167" i="9"/>
  <c r="M269" i="9"/>
  <c r="N256" i="9"/>
  <c r="N269" i="9" s="1"/>
  <c r="L178" i="9"/>
  <c r="G171" i="9"/>
  <c r="G139" i="9"/>
  <c r="I262" i="9"/>
  <c r="O134" i="9"/>
  <c r="O160" i="9" s="1"/>
  <c r="M158" i="9"/>
  <c r="T234" i="9"/>
  <c r="O227" i="9"/>
  <c r="O228" i="9" s="1"/>
  <c r="O139" i="9"/>
  <c r="O147" i="9" s="1"/>
  <c r="O158" i="9" s="1"/>
  <c r="N147" i="9"/>
  <c r="N158" i="9" s="1"/>
  <c r="J138" i="9"/>
  <c r="J171" i="9" s="1"/>
  <c r="I171" i="9"/>
  <c r="S178" i="9"/>
  <c r="S167" i="9"/>
  <c r="S174" i="9" s="1"/>
  <c r="S176" i="9" s="1"/>
  <c r="F210" i="9"/>
  <c r="J242" i="9"/>
  <c r="J241" i="9"/>
  <c r="K70" i="9"/>
  <c r="K30" i="9"/>
  <c r="O136" i="9"/>
  <c r="O169" i="9" s="1"/>
  <c r="I145" i="9"/>
  <c r="J145" i="9" s="1"/>
  <c r="I312" i="9"/>
  <c r="T164" i="9"/>
  <c r="G203" i="9"/>
  <c r="G210" i="9"/>
  <c r="G216" i="9" s="1"/>
  <c r="L30" i="9"/>
  <c r="L72" i="9"/>
  <c r="L202" i="9"/>
  <c r="L70" i="9"/>
  <c r="L69" i="9"/>
  <c r="L190" i="9"/>
  <c r="J142" i="9"/>
  <c r="J312" i="9" s="1"/>
  <c r="K145" i="9"/>
  <c r="K226" i="9"/>
  <c r="K227" i="9" s="1"/>
  <c r="H153" i="9"/>
  <c r="H156" i="9" s="1"/>
  <c r="H249" i="9"/>
  <c r="G185" i="9"/>
  <c r="F167" i="9"/>
  <c r="F174" i="9" s="1"/>
  <c r="F176" i="9" s="1"/>
  <c r="F185" i="9"/>
  <c r="S172" i="9"/>
  <c r="L189" i="9"/>
  <c r="H68" i="9"/>
  <c r="N167" i="9"/>
  <c r="N178" i="9"/>
  <c r="N180" i="9" s="1"/>
  <c r="I156" i="9"/>
  <c r="J156" i="9" s="1"/>
  <c r="J153" i="9"/>
  <c r="S263" i="9"/>
  <c r="S262" i="9" s="1"/>
  <c r="T152" i="9"/>
  <c r="T170" i="9"/>
  <c r="P167" i="9"/>
  <c r="T198" i="9"/>
  <c r="S203" i="9"/>
  <c r="P222" i="9"/>
  <c r="P310" i="9"/>
  <c r="F172" i="9"/>
  <c r="I226" i="9"/>
  <c r="F111" i="9"/>
  <c r="N134" i="9"/>
  <c r="N160" i="9" s="1"/>
  <c r="F221" i="9"/>
  <c r="F234" i="9" s="1"/>
  <c r="F132" i="9"/>
  <c r="F134" i="9" s="1"/>
  <c r="F160" i="9" s="1"/>
  <c r="M185" i="9"/>
  <c r="F178" i="9"/>
  <c r="F180" i="9" s="1"/>
  <c r="H262" i="9"/>
  <c r="N132" i="9"/>
  <c r="O132" i="9" s="1"/>
  <c r="N198" i="9"/>
  <c r="K203" i="9"/>
  <c r="L251" i="9"/>
  <c r="F305" i="9"/>
  <c r="Q309" i="9"/>
  <c r="G145" i="9"/>
  <c r="G312" i="9"/>
  <c r="G221" i="9"/>
  <c r="G222" i="9" s="1"/>
  <c r="G132" i="9"/>
  <c r="N111" i="9"/>
  <c r="J256" i="9"/>
  <c r="F269" i="9"/>
  <c r="P185" i="9"/>
  <c r="T185" i="9"/>
  <c r="M169" i="9"/>
  <c r="K222" i="9"/>
  <c r="K223" i="9" s="1"/>
  <c r="T242" i="9"/>
  <c r="T241" i="9"/>
  <c r="N309" i="9"/>
  <c r="N311" i="9" s="1"/>
  <c r="M310" i="9"/>
  <c r="H139" i="9"/>
  <c r="H147" i="9" s="1"/>
  <c r="N169" i="9"/>
  <c r="R178" i="9"/>
  <c r="R180" i="9" s="1"/>
  <c r="F203" i="9"/>
  <c r="K170" i="9"/>
  <c r="K139" i="9"/>
  <c r="K147" i="9" s="1"/>
  <c r="K158" i="9" s="1"/>
  <c r="I139" i="9"/>
  <c r="R249" i="9"/>
  <c r="R153" i="9"/>
  <c r="R156" i="9" s="1"/>
  <c r="T32" i="9"/>
  <c r="S153" i="9"/>
  <c r="S249" i="9"/>
  <c r="T249" i="9" s="1"/>
  <c r="T149" i="9"/>
  <c r="P172" i="9"/>
  <c r="N261" i="9"/>
  <c r="N262" i="9" s="1"/>
  <c r="M262" i="9"/>
  <c r="L71" i="9"/>
  <c r="O128" i="9"/>
  <c r="O198" i="9" s="1"/>
  <c r="M221" i="9"/>
  <c r="M132" i="9"/>
  <c r="T139" i="9"/>
  <c r="H178" i="9"/>
  <c r="H167" i="9"/>
  <c r="H174" i="9" s="1"/>
  <c r="Q228" i="9"/>
  <c r="K275" i="9"/>
  <c r="K266" i="9"/>
  <c r="K267" i="9" s="1"/>
  <c r="O269" i="9"/>
  <c r="H203" i="9"/>
  <c r="H111" i="9"/>
  <c r="H210" i="9"/>
  <c r="H216" i="9" s="1"/>
  <c r="I234" i="9"/>
  <c r="G254" i="9"/>
  <c r="R262" i="9"/>
  <c r="F310" i="9"/>
  <c r="G309" i="9"/>
  <c r="G311" i="9" s="1"/>
  <c r="R134" i="9"/>
  <c r="T171" i="9"/>
  <c r="I210" i="9"/>
  <c r="I216" i="9" s="1"/>
  <c r="J234" i="9"/>
  <c r="H254" i="9"/>
  <c r="S268" i="9"/>
  <c r="S285" i="9"/>
  <c r="K132" i="9"/>
  <c r="K221" i="9"/>
  <c r="T138" i="9"/>
  <c r="T284" i="9"/>
  <c r="L166" i="9"/>
  <c r="L188" i="9" s="1"/>
  <c r="L126" i="9"/>
  <c r="L134" i="9" s="1"/>
  <c r="G227" i="9"/>
  <c r="G228" i="9" s="1"/>
  <c r="I266" i="9"/>
  <c r="I267" i="9" s="1"/>
  <c r="O185" i="9"/>
  <c r="I164" i="9"/>
  <c r="I126" i="9"/>
  <c r="M166" i="9"/>
  <c r="M126" i="9"/>
  <c r="H225" i="9"/>
  <c r="H227" i="9" s="1"/>
  <c r="H145" i="9"/>
  <c r="L145" i="9"/>
  <c r="L275" i="9"/>
  <c r="L266" i="9"/>
  <c r="L267" i="9" s="1"/>
  <c r="M203" i="9"/>
  <c r="Q234" i="9"/>
  <c r="R234" i="9"/>
  <c r="N310" i="9"/>
  <c r="G164" i="9"/>
  <c r="G126" i="9"/>
  <c r="G134" i="9" s="1"/>
  <c r="G172" i="9"/>
  <c r="N203" i="9"/>
  <c r="N204" i="9"/>
  <c r="N210" i="9"/>
  <c r="N216" i="9" s="1"/>
  <c r="N254" i="9"/>
  <c r="J61" i="9"/>
  <c r="J123" i="9"/>
  <c r="J164" i="9" s="1"/>
  <c r="R147" i="9"/>
  <c r="I225" i="9"/>
  <c r="J143" i="9"/>
  <c r="J225" i="9" s="1"/>
  <c r="J227" i="9" s="1"/>
  <c r="J228" i="9" s="1"/>
  <c r="J230" i="9" s="1"/>
  <c r="R227" i="9"/>
  <c r="R228" i="9" s="1"/>
  <c r="K210" i="9"/>
  <c r="O196" i="9"/>
  <c r="O241" i="9"/>
  <c r="O242" i="9"/>
  <c r="I32" i="9"/>
  <c r="M311" i="9"/>
  <c r="T169" i="9"/>
  <c r="L210" i="9"/>
  <c r="L204" i="9"/>
  <c r="N72" i="9"/>
  <c r="N202" i="9"/>
  <c r="S134" i="9"/>
  <c r="T126" i="9"/>
  <c r="T134" i="9" s="1"/>
  <c r="J136" i="9"/>
  <c r="J169" i="9" s="1"/>
  <c r="S111" i="9"/>
  <c r="G202" i="9"/>
  <c r="L305" i="9"/>
  <c r="R111" i="9"/>
  <c r="S256" i="9"/>
  <c r="S269" i="9" s="1"/>
  <c r="T123" i="9"/>
  <c r="F145" i="9"/>
  <c r="F147" i="9" s="1"/>
  <c r="F158" i="9" s="1"/>
  <c r="G262" i="9"/>
  <c r="F311" i="9"/>
  <c r="O123" i="9"/>
  <c r="O164" i="9" s="1"/>
  <c r="M178" i="9"/>
  <c r="M180" i="9" s="1"/>
  <c r="L222" i="9"/>
  <c r="L223" i="9" s="1"/>
  <c r="T45" i="9"/>
  <c r="T125" i="9"/>
  <c r="O129" i="9"/>
  <c r="O144" i="9"/>
  <c r="O226" i="9" s="1"/>
  <c r="J149" i="9"/>
  <c r="J249" i="9" s="1"/>
  <c r="I202" i="9"/>
  <c r="N306" i="9"/>
  <c r="N305" i="9" s="1"/>
  <c r="J86" i="19"/>
  <c r="J87" i="19" s="1"/>
  <c r="K87" i="19" s="1"/>
  <c r="K86" i="19"/>
  <c r="G189" i="9" l="1"/>
  <c r="I184" i="9"/>
  <c r="I71" i="9"/>
  <c r="G68" i="9"/>
  <c r="H251" i="9"/>
  <c r="G69" i="9"/>
  <c r="H202" i="9"/>
  <c r="H186" i="9"/>
  <c r="R16" i="27"/>
  <c r="G190" i="9"/>
  <c r="I69" i="9"/>
  <c r="H190" i="9"/>
  <c r="G30" i="9"/>
  <c r="G67" i="9" s="1"/>
  <c r="I204" i="9"/>
  <c r="H72" i="9"/>
  <c r="O44" i="27"/>
  <c r="R80" i="27"/>
  <c r="R82" i="27"/>
  <c r="O64" i="27"/>
  <c r="R81" i="27"/>
  <c r="R79" i="27"/>
  <c r="R78" i="27"/>
  <c r="I97" i="27"/>
  <c r="Q100" i="27"/>
  <c r="Q97" i="27"/>
  <c r="Q200" i="27"/>
  <c r="P200" i="27"/>
  <c r="Q99" i="27"/>
  <c r="P99" i="27"/>
  <c r="U158" i="9"/>
  <c r="U160" i="9" s="1"/>
  <c r="U230" i="9"/>
  <c r="U78" i="27"/>
  <c r="Q96" i="27"/>
  <c r="P98" i="27"/>
  <c r="P100" i="27"/>
  <c r="P97" i="27"/>
  <c r="M68" i="9"/>
  <c r="M190" i="9"/>
  <c r="F186" i="9"/>
  <c r="M69" i="9"/>
  <c r="M188" i="9"/>
  <c r="M202" i="9"/>
  <c r="M72" i="9"/>
  <c r="F189" i="9"/>
  <c r="J47" i="27"/>
  <c r="J46" i="27"/>
  <c r="I44" i="27"/>
  <c r="K79" i="27"/>
  <c r="M80" i="27"/>
  <c r="L79" i="27"/>
  <c r="L78" i="27"/>
  <c r="N82" i="27"/>
  <c r="M82" i="27"/>
  <c r="L81" i="27"/>
  <c r="N80" i="27"/>
  <c r="N81" i="27"/>
  <c r="U79" i="27"/>
  <c r="U81" i="27"/>
  <c r="U83" i="27"/>
  <c r="U80" i="27"/>
  <c r="U97" i="27"/>
  <c r="U96" i="27"/>
  <c r="U98" i="27"/>
  <c r="U99" i="27"/>
  <c r="U100" i="27"/>
  <c r="U218" i="9"/>
  <c r="U75" i="9"/>
  <c r="U206" i="9"/>
  <c r="U288" i="9"/>
  <c r="U162" i="9"/>
  <c r="U236" i="9"/>
  <c r="U277" i="9"/>
  <c r="U192" i="9"/>
  <c r="U120" i="9"/>
  <c r="U172" i="9"/>
  <c r="U174" i="9" s="1"/>
  <c r="U176" i="9" s="1"/>
  <c r="U51" i="8"/>
  <c r="U89" i="8"/>
  <c r="U163" i="8"/>
  <c r="U112" i="9"/>
  <c r="W140" i="8"/>
  <c r="W92" i="8"/>
  <c r="W128" i="8"/>
  <c r="W104" i="8"/>
  <c r="W116" i="8"/>
  <c r="V151" i="8"/>
  <c r="W152" i="8"/>
  <c r="V84" i="8"/>
  <c r="W86" i="8"/>
  <c r="K72" i="9"/>
  <c r="O100" i="27"/>
  <c r="O99" i="27"/>
  <c r="G71" i="9"/>
  <c r="G188" i="9"/>
  <c r="G251" i="9"/>
  <c r="K69" i="9"/>
  <c r="O30" i="27"/>
  <c r="F67" i="27"/>
  <c r="F64" i="27"/>
  <c r="F66" i="27"/>
  <c r="F69" i="27"/>
  <c r="F59" i="27"/>
  <c r="F63" i="27"/>
  <c r="F65" i="27"/>
  <c r="H78" i="27"/>
  <c r="G67" i="27"/>
  <c r="G64" i="27"/>
  <c r="G66" i="27"/>
  <c r="G69" i="27"/>
  <c r="G59" i="27"/>
  <c r="G63" i="27"/>
  <c r="G65" i="27"/>
  <c r="P19" i="27"/>
  <c r="P21" i="27"/>
  <c r="P18" i="27"/>
  <c r="P28" i="9"/>
  <c r="P20" i="27"/>
  <c r="P16" i="27"/>
  <c r="J156" i="27"/>
  <c r="J71" i="27"/>
  <c r="J45" i="27"/>
  <c r="F71" i="9"/>
  <c r="F70" i="9"/>
  <c r="F30" i="9"/>
  <c r="F68" i="9"/>
  <c r="F251" i="9"/>
  <c r="F202" i="9"/>
  <c r="F72" i="9"/>
  <c r="O29" i="27"/>
  <c r="J18" i="27"/>
  <c r="J48" i="27"/>
  <c r="J49" i="27"/>
  <c r="J41" i="27"/>
  <c r="G70" i="9"/>
  <c r="M78" i="27"/>
  <c r="O48" i="27"/>
  <c r="O49" i="27"/>
  <c r="O46" i="27"/>
  <c r="O41" i="27"/>
  <c r="O47" i="27"/>
  <c r="F190" i="9"/>
  <c r="I251" i="9"/>
  <c r="I70" i="9"/>
  <c r="I30" i="9"/>
  <c r="I67" i="9" s="1"/>
  <c r="I189" i="9"/>
  <c r="I72" i="9"/>
  <c r="I186" i="9"/>
  <c r="I187" i="9" s="1"/>
  <c r="I47" i="27"/>
  <c r="I48" i="27"/>
  <c r="I46" i="27"/>
  <c r="I49" i="27"/>
  <c r="I41" i="27"/>
  <c r="I45" i="27"/>
  <c r="O97" i="27"/>
  <c r="N79" i="27"/>
  <c r="H67" i="27"/>
  <c r="H64" i="27"/>
  <c r="H59" i="27"/>
  <c r="H66" i="27"/>
  <c r="H63" i="27"/>
  <c r="H65" i="27"/>
  <c r="H69" i="27"/>
  <c r="R19" i="27"/>
  <c r="R21" i="27"/>
  <c r="R172" i="27"/>
  <c r="R28" i="9"/>
  <c r="R301" i="9" s="1"/>
  <c r="R18" i="27"/>
  <c r="R20" i="27"/>
  <c r="R192" i="27"/>
  <c r="J99" i="27"/>
  <c r="J100" i="27"/>
  <c r="O67" i="27"/>
  <c r="J51" i="27"/>
  <c r="J70" i="27"/>
  <c r="J62" i="27"/>
  <c r="J182" i="27"/>
  <c r="O182" i="27"/>
  <c r="J98" i="27"/>
  <c r="G72" i="9"/>
  <c r="O62" i="27"/>
  <c r="M71" i="9"/>
  <c r="M184" i="9"/>
  <c r="M30" i="9"/>
  <c r="M67" i="9" s="1"/>
  <c r="M251" i="9"/>
  <c r="H189" i="9"/>
  <c r="I64" i="27"/>
  <c r="I59" i="27"/>
  <c r="I65" i="27"/>
  <c r="I67" i="27"/>
  <c r="I63" i="27"/>
  <c r="I66" i="27"/>
  <c r="I69" i="27"/>
  <c r="I78" i="27" s="1"/>
  <c r="J97" i="27"/>
  <c r="J181" i="27"/>
  <c r="M79" i="27"/>
  <c r="J180" i="27"/>
  <c r="J96" i="27"/>
  <c r="K71" i="9"/>
  <c r="L80" i="27"/>
  <c r="L83" i="27"/>
  <c r="F184" i="9"/>
  <c r="F187" i="9" s="1"/>
  <c r="F204" i="9"/>
  <c r="I200" i="27"/>
  <c r="K200" i="27"/>
  <c r="I99" i="27"/>
  <c r="I100" i="27"/>
  <c r="I96" i="27"/>
  <c r="J30" i="27"/>
  <c r="J29" i="27"/>
  <c r="J173" i="27"/>
  <c r="J16" i="27"/>
  <c r="O63" i="27"/>
  <c r="O59" i="27"/>
  <c r="O66" i="27"/>
  <c r="O69" i="27"/>
  <c r="O81" i="27" s="1"/>
  <c r="K204" i="9"/>
  <c r="K68" i="9"/>
  <c r="Q19" i="27"/>
  <c r="Q172" i="27"/>
  <c r="Q21" i="27"/>
  <c r="Q192" i="27"/>
  <c r="Q16" i="27"/>
  <c r="Q18" i="27"/>
  <c r="Q28" i="9"/>
  <c r="Q20" i="27"/>
  <c r="K186" i="9"/>
  <c r="N37" i="9"/>
  <c r="N60" i="9" s="1"/>
  <c r="G186" i="9"/>
  <c r="H70" i="9"/>
  <c r="H188" i="9"/>
  <c r="J28" i="9"/>
  <c r="J190" i="9" s="1"/>
  <c r="M204" i="9"/>
  <c r="H69" i="9"/>
  <c r="K202" i="9"/>
  <c r="N78" i="27"/>
  <c r="S49" i="27"/>
  <c r="S47" i="27"/>
  <c r="S48" i="27"/>
  <c r="S69" i="27"/>
  <c r="S46" i="27"/>
  <c r="S41" i="27"/>
  <c r="O96" i="27"/>
  <c r="O19" i="27"/>
  <c r="O18" i="27"/>
  <c r="O172" i="27"/>
  <c r="O20" i="27"/>
  <c r="O16" i="27"/>
  <c r="J44" i="27"/>
  <c r="J155" i="27"/>
  <c r="S174" i="27"/>
  <c r="S7" i="27"/>
  <c r="S194" i="27"/>
  <c r="O17" i="27"/>
  <c r="J20" i="27"/>
  <c r="J172" i="27"/>
  <c r="J19" i="27"/>
  <c r="F69" i="9"/>
  <c r="H204" i="9"/>
  <c r="K251" i="9"/>
  <c r="H71" i="9"/>
  <c r="K190" i="9"/>
  <c r="O28" i="9"/>
  <c r="O72" i="9" s="1"/>
  <c r="K78" i="27"/>
  <c r="K80" i="27"/>
  <c r="K83" i="27"/>
  <c r="M81" i="27"/>
  <c r="K81" i="27"/>
  <c r="I98" i="27"/>
  <c r="O180" i="27"/>
  <c r="J17" i="27"/>
  <c r="W144" i="9"/>
  <c r="X226" i="9"/>
  <c r="X144" i="9" s="1"/>
  <c r="W227" i="9"/>
  <c r="W228" i="9" s="1"/>
  <c r="X225" i="9"/>
  <c r="W143" i="9"/>
  <c r="X241" i="9"/>
  <c r="W247" i="9"/>
  <c r="K228" i="9"/>
  <c r="K230" i="9" s="1"/>
  <c r="L228" i="9"/>
  <c r="L230" i="9" s="1"/>
  <c r="H223" i="9"/>
  <c r="K160" i="9"/>
  <c r="R112" i="9"/>
  <c r="O203" i="9"/>
  <c r="O167" i="9"/>
  <c r="O178" i="9"/>
  <c r="K216" i="9"/>
  <c r="O210" i="9"/>
  <c r="O216" i="9" s="1"/>
  <c r="K111" i="9"/>
  <c r="O111" i="9" s="1"/>
  <c r="I111" i="9"/>
  <c r="Q230" i="9"/>
  <c r="H158" i="9"/>
  <c r="H160" i="9" s="1"/>
  <c r="Q310" i="9"/>
  <c r="Q311" i="9"/>
  <c r="K184" i="9"/>
  <c r="N234" i="9"/>
  <c r="N222" i="9"/>
  <c r="N223" i="9" s="1"/>
  <c r="N230" i="9" s="1"/>
  <c r="S227" i="9"/>
  <c r="S228" i="9" s="1"/>
  <c r="S230" i="9" s="1"/>
  <c r="T225" i="9"/>
  <c r="T227" i="9" s="1"/>
  <c r="T228" i="9" s="1"/>
  <c r="T111" i="9"/>
  <c r="J262" i="9"/>
  <c r="J263" i="9" s="1"/>
  <c r="K261" i="9" s="1"/>
  <c r="R230" i="9"/>
  <c r="L160" i="9"/>
  <c r="T275" i="9"/>
  <c r="T153" i="9"/>
  <c r="S156" i="9"/>
  <c r="T156" i="9" s="1"/>
  <c r="J210" i="9"/>
  <c r="J216" i="9" s="1"/>
  <c r="F216" i="9"/>
  <c r="I227" i="9"/>
  <c r="I228" i="9" s="1"/>
  <c r="I230" i="9" s="1"/>
  <c r="T268" i="9"/>
  <c r="T266" i="9" s="1"/>
  <c r="T267" i="9" s="1"/>
  <c r="T285" i="9"/>
  <c r="R160" i="9"/>
  <c r="S147" i="9"/>
  <c r="S158" i="9" s="1"/>
  <c r="S160" i="9" s="1"/>
  <c r="P228" i="9"/>
  <c r="L167" i="9"/>
  <c r="R158" i="9"/>
  <c r="T147" i="9"/>
  <c r="L180" i="9"/>
  <c r="I134" i="9"/>
  <c r="J126" i="9"/>
  <c r="J134" i="9" s="1"/>
  <c r="K189" i="9"/>
  <c r="K172" i="9"/>
  <c r="G160" i="9"/>
  <c r="N112" i="9"/>
  <c r="N301" i="9"/>
  <c r="O266" i="9"/>
  <c r="O267" i="9" s="1"/>
  <c r="O32" i="9"/>
  <c r="O68" i="9" s="1"/>
  <c r="M234" i="9"/>
  <c r="M222" i="9"/>
  <c r="M223" i="9" s="1"/>
  <c r="F112" i="9"/>
  <c r="F301" i="9"/>
  <c r="T178" i="9"/>
  <c r="T167" i="9"/>
  <c r="J310" i="9"/>
  <c r="K309" i="9"/>
  <c r="J311" i="9"/>
  <c r="M167" i="9"/>
  <c r="J178" i="9"/>
  <c r="J180" i="9" s="1"/>
  <c r="J167" i="9"/>
  <c r="J174" i="9" s="1"/>
  <c r="J176" i="9" s="1"/>
  <c r="Q301" i="9"/>
  <c r="Q112" i="9"/>
  <c r="I68" i="9"/>
  <c r="G178" i="9"/>
  <c r="G180" i="9" s="1"/>
  <c r="G167" i="9"/>
  <c r="G174" i="9" s="1"/>
  <c r="G176" i="9" s="1"/>
  <c r="G184" i="9"/>
  <c r="I310" i="9"/>
  <c r="I311" i="9"/>
  <c r="H67" i="9"/>
  <c r="H37" i="9"/>
  <c r="H60" i="9" s="1"/>
  <c r="J172" i="9"/>
  <c r="O230" i="9"/>
  <c r="G111" i="9"/>
  <c r="J111" i="9" s="1"/>
  <c r="G147" i="9"/>
  <c r="G158" i="9" s="1"/>
  <c r="O234" i="9"/>
  <c r="O222" i="9"/>
  <c r="O223" i="9" s="1"/>
  <c r="S180" i="9"/>
  <c r="O256" i="9"/>
  <c r="T172" i="9"/>
  <c r="K234" i="9"/>
  <c r="L234" i="9"/>
  <c r="M186" i="9"/>
  <c r="M172" i="9"/>
  <c r="P174" i="9"/>
  <c r="L67" i="9"/>
  <c r="L37" i="9"/>
  <c r="L60" i="9" s="1"/>
  <c r="I190" i="9"/>
  <c r="I172" i="9"/>
  <c r="M266" i="9"/>
  <c r="M267" i="9" s="1"/>
  <c r="M275" i="9"/>
  <c r="O212" i="9"/>
  <c r="P129" i="9"/>
  <c r="K174" i="9"/>
  <c r="K176" i="9" s="1"/>
  <c r="T256" i="9"/>
  <c r="F222" i="9"/>
  <c r="F223" i="9" s="1"/>
  <c r="F230" i="9" s="1"/>
  <c r="P234" i="9"/>
  <c r="F266" i="9"/>
  <c r="F267" i="9" s="1"/>
  <c r="J269" i="9"/>
  <c r="O275" i="9" s="1"/>
  <c r="F275" i="9"/>
  <c r="K67" i="9"/>
  <c r="K37" i="9"/>
  <c r="K60" i="9" s="1"/>
  <c r="Q176" i="9"/>
  <c r="I178" i="9"/>
  <c r="I180" i="9" s="1"/>
  <c r="I167" i="9"/>
  <c r="R304" i="9"/>
  <c r="R305" i="9" s="1"/>
  <c r="Q305" i="9"/>
  <c r="M112" i="9"/>
  <c r="M301" i="9"/>
  <c r="G234" i="9"/>
  <c r="H234" i="9"/>
  <c r="O172" i="9"/>
  <c r="N172" i="9"/>
  <c r="N174" i="9" s="1"/>
  <c r="N186" i="9"/>
  <c r="N187" i="9" s="1"/>
  <c r="N275" i="9"/>
  <c r="N266" i="9"/>
  <c r="N267" i="9" s="1"/>
  <c r="M230" i="9"/>
  <c r="L216" i="9"/>
  <c r="L111" i="9"/>
  <c r="J32" i="9"/>
  <c r="P203" i="9"/>
  <c r="T203" i="9"/>
  <c r="S275" i="9"/>
  <c r="S266" i="9"/>
  <c r="S267" i="9" s="1"/>
  <c r="H228" i="9"/>
  <c r="H230" i="9" s="1"/>
  <c r="K180" i="9"/>
  <c r="M134" i="9"/>
  <c r="M160" i="9" s="1"/>
  <c r="H184" i="9"/>
  <c r="H187" i="9" s="1"/>
  <c r="I147" i="9"/>
  <c r="I158" i="9" s="1"/>
  <c r="J139" i="9"/>
  <c r="J147" i="9" s="1"/>
  <c r="J158" i="9" s="1"/>
  <c r="G310" i="9"/>
  <c r="H309" i="9"/>
  <c r="L186" i="9"/>
  <c r="L187" i="9" s="1"/>
  <c r="L172" i="9"/>
  <c r="G15" i="16"/>
  <c r="F12" i="19"/>
  <c r="C15" i="24"/>
  <c r="CI88" i="19"/>
  <c r="CC88" i="19"/>
  <c r="BW88" i="19"/>
  <c r="BQ88" i="19"/>
  <c r="BK88" i="19"/>
  <c r="BI88" i="19"/>
  <c r="BC88" i="19"/>
  <c r="AW88" i="19"/>
  <c r="AQ88" i="19"/>
  <c r="AK88" i="19"/>
  <c r="AI88" i="19"/>
  <c r="F31" i="19"/>
  <c r="Q88" i="19"/>
  <c r="G37" i="9" l="1"/>
  <c r="G60" i="9" s="1"/>
  <c r="J189" i="9"/>
  <c r="J184" i="9"/>
  <c r="G187" i="9"/>
  <c r="J69" i="9"/>
  <c r="F119" i="15"/>
  <c r="F123" i="15" s="1"/>
  <c r="E151" i="15" s="1"/>
  <c r="F151" i="15" s="1"/>
  <c r="O71" i="9"/>
  <c r="O186" i="9"/>
  <c r="O184" i="9"/>
  <c r="J68" i="9"/>
  <c r="K187" i="9"/>
  <c r="J70" i="9"/>
  <c r="X116" i="8"/>
  <c r="X104" i="8"/>
  <c r="X128" i="8"/>
  <c r="X140" i="8"/>
  <c r="W84" i="8"/>
  <c r="X86" i="8"/>
  <c r="X84" i="8" s="1"/>
  <c r="X92" i="8"/>
  <c r="W151" i="8"/>
  <c r="X152" i="8"/>
  <c r="X151" i="8" s="1"/>
  <c r="S81" i="27"/>
  <c r="S79" i="27"/>
  <c r="S82" i="27"/>
  <c r="S80" i="27"/>
  <c r="S83" i="27"/>
  <c r="H83" i="27"/>
  <c r="H80" i="27"/>
  <c r="H81" i="27"/>
  <c r="H79" i="27"/>
  <c r="H82" i="27"/>
  <c r="M187" i="9"/>
  <c r="S19" i="27"/>
  <c r="S21" i="27"/>
  <c r="S172" i="27"/>
  <c r="S28" i="9"/>
  <c r="S20" i="27"/>
  <c r="S192" i="27"/>
  <c r="S18" i="27"/>
  <c r="S16" i="27"/>
  <c r="S17" i="27"/>
  <c r="O82" i="27"/>
  <c r="O80" i="27"/>
  <c r="I37" i="9"/>
  <c r="I60" i="9" s="1"/>
  <c r="P69" i="9"/>
  <c r="P68" i="9"/>
  <c r="P188" i="9"/>
  <c r="P204" i="9"/>
  <c r="P72" i="9"/>
  <c r="P186" i="9"/>
  <c r="P189" i="9"/>
  <c r="P30" i="9"/>
  <c r="P37" i="9" s="1"/>
  <c r="P71" i="9"/>
  <c r="P202" i="9"/>
  <c r="P190" i="9"/>
  <c r="P251" i="9"/>
  <c r="P70" i="9"/>
  <c r="T28" i="9"/>
  <c r="T301" i="9" s="1"/>
  <c r="I81" i="27"/>
  <c r="I80" i="27"/>
  <c r="I83" i="27"/>
  <c r="I82" i="27"/>
  <c r="J59" i="27"/>
  <c r="J69" i="27"/>
  <c r="J79" i="27" s="1"/>
  <c r="J63" i="27"/>
  <c r="J66" i="27"/>
  <c r="J64" i="27"/>
  <c r="J65" i="27"/>
  <c r="J67" i="27"/>
  <c r="O78" i="27"/>
  <c r="I79" i="27"/>
  <c r="P184" i="9"/>
  <c r="H43" i="9"/>
  <c r="H73" i="9" s="1"/>
  <c r="H206" i="27"/>
  <c r="H186" i="27"/>
  <c r="H162" i="27"/>
  <c r="H154" i="27"/>
  <c r="F79" i="27"/>
  <c r="F82" i="27"/>
  <c r="F78" i="27"/>
  <c r="F81" i="27"/>
  <c r="F83" i="27"/>
  <c r="F80" i="27"/>
  <c r="J204" i="9"/>
  <c r="J202" i="9"/>
  <c r="J251" i="9"/>
  <c r="J71" i="9"/>
  <c r="J72" i="9"/>
  <c r="J188" i="9"/>
  <c r="J301" i="9"/>
  <c r="O188" i="9"/>
  <c r="O69" i="9"/>
  <c r="O202" i="9"/>
  <c r="O190" i="9"/>
  <c r="O189" i="9"/>
  <c r="O251" i="9"/>
  <c r="K154" i="27"/>
  <c r="G43" i="9"/>
  <c r="G73" i="9" s="1"/>
  <c r="G186" i="27"/>
  <c r="G154" i="27"/>
  <c r="O204" i="9"/>
  <c r="O79" i="27"/>
  <c r="G83" i="27"/>
  <c r="G82" i="27"/>
  <c r="G78" i="27"/>
  <c r="G81" i="27"/>
  <c r="G80" i="27"/>
  <c r="G79" i="27"/>
  <c r="L43" i="9"/>
  <c r="L46" i="9" s="1"/>
  <c r="L162" i="27"/>
  <c r="L154" i="27"/>
  <c r="L206" i="27"/>
  <c r="L186" i="27"/>
  <c r="F37" i="9"/>
  <c r="F67" i="9"/>
  <c r="J30" i="9"/>
  <c r="J67" i="9" s="1"/>
  <c r="O83" i="27"/>
  <c r="N43" i="9"/>
  <c r="N154" i="27"/>
  <c r="J186" i="9"/>
  <c r="J187" i="9" s="1"/>
  <c r="O30" i="9"/>
  <c r="O67" i="9" s="1"/>
  <c r="Q71" i="9"/>
  <c r="Q30" i="9"/>
  <c r="Q68" i="9"/>
  <c r="Q204" i="9"/>
  <c r="Q72" i="9"/>
  <c r="Q186" i="9"/>
  <c r="Q189" i="9"/>
  <c r="Q184" i="9"/>
  <c r="Q187" i="9" s="1"/>
  <c r="Q188" i="9"/>
  <c r="Q70" i="9"/>
  <c r="Q69" i="9"/>
  <c r="Q251" i="9"/>
  <c r="Q202" i="9"/>
  <c r="Q190" i="9"/>
  <c r="S78" i="27"/>
  <c r="R30" i="9"/>
  <c r="R190" i="9"/>
  <c r="R71" i="9"/>
  <c r="R68" i="9"/>
  <c r="R186" i="9"/>
  <c r="R72" i="9"/>
  <c r="R184" i="9"/>
  <c r="R204" i="9"/>
  <c r="R251" i="9"/>
  <c r="R202" i="9"/>
  <c r="R70" i="9"/>
  <c r="R69" i="9"/>
  <c r="R188" i="9"/>
  <c r="R189" i="9"/>
  <c r="X227" i="9"/>
  <c r="X228" i="9" s="1"/>
  <c r="X143" i="9"/>
  <c r="W293" i="9"/>
  <c r="W94" i="9"/>
  <c r="X247" i="9"/>
  <c r="M174" i="9"/>
  <c r="O174" i="9"/>
  <c r="O176" i="9" s="1"/>
  <c r="I174" i="9"/>
  <c r="I176" i="9" s="1"/>
  <c r="P212" i="9"/>
  <c r="P216" i="9" s="1"/>
  <c r="Q129" i="9"/>
  <c r="P132" i="9"/>
  <c r="P134" i="9" s="1"/>
  <c r="P160" i="9" s="1"/>
  <c r="I160" i="9"/>
  <c r="P223" i="9"/>
  <c r="O180" i="9"/>
  <c r="O301" i="9" s="1"/>
  <c r="P180" i="9"/>
  <c r="K311" i="9"/>
  <c r="K310" i="9"/>
  <c r="O309" i="9"/>
  <c r="H180" i="9"/>
  <c r="T223" i="9"/>
  <c r="J160" i="9"/>
  <c r="I301" i="9"/>
  <c r="I112" i="9"/>
  <c r="P208" i="9"/>
  <c r="L301" i="9"/>
  <c r="L112" i="9"/>
  <c r="G301" i="9"/>
  <c r="G112" i="9"/>
  <c r="H311" i="9"/>
  <c r="H310" i="9"/>
  <c r="L174" i="9"/>
  <c r="L176" i="9" s="1"/>
  <c r="K301" i="9"/>
  <c r="K112" i="9"/>
  <c r="O112" i="9" s="1"/>
  <c r="S112" i="9"/>
  <c r="T174" i="9"/>
  <c r="T176" i="9" s="1"/>
  <c r="G223" i="9"/>
  <c r="G230" i="9" s="1"/>
  <c r="P230" i="9"/>
  <c r="O261" i="9"/>
  <c r="K262" i="9"/>
  <c r="O262" i="9" s="1"/>
  <c r="T230" i="9"/>
  <c r="J266" i="9"/>
  <c r="J267" i="9" s="1"/>
  <c r="J275" i="9"/>
  <c r="T180" i="9"/>
  <c r="H176" i="9"/>
  <c r="T158" i="9"/>
  <c r="T160" i="9" s="1"/>
  <c r="K43" i="9"/>
  <c r="P176" i="9"/>
  <c r="AG41" i="14"/>
  <c r="AF41" i="14"/>
  <c r="AE41" i="14"/>
  <c r="Z41" i="14"/>
  <c r="AG46" i="14"/>
  <c r="AF46" i="14"/>
  <c r="AE46" i="14"/>
  <c r="AG48" i="14"/>
  <c r="AF48" i="14"/>
  <c r="AE48" i="14"/>
  <c r="AC48" i="14"/>
  <c r="AB48" i="14"/>
  <c r="AA48" i="14"/>
  <c r="Z48" i="14"/>
  <c r="AC46" i="14"/>
  <c r="AB46" i="14"/>
  <c r="AA46" i="14"/>
  <c r="Z46" i="14"/>
  <c r="AG45" i="14"/>
  <c r="AG69" i="9" s="1"/>
  <c r="AF45" i="14"/>
  <c r="AF69" i="9" s="1"/>
  <c r="AE45" i="14"/>
  <c r="AE69" i="9" s="1"/>
  <c r="AC45" i="14"/>
  <c r="AC69" i="9" s="1"/>
  <c r="AB45" i="14"/>
  <c r="AB69" i="9" s="1"/>
  <c r="AA45" i="14"/>
  <c r="AA69" i="9" s="1"/>
  <c r="Z45" i="14"/>
  <c r="Z69" i="9" s="1"/>
  <c r="I20" i="24"/>
  <c r="I18" i="24"/>
  <c r="I16" i="24"/>
  <c r="J78" i="27" l="1"/>
  <c r="N186" i="27"/>
  <c r="K162" i="27"/>
  <c r="H46" i="9"/>
  <c r="O187" i="9"/>
  <c r="G206" i="27"/>
  <c r="F60" i="9"/>
  <c r="L73" i="9"/>
  <c r="G46" i="9"/>
  <c r="G110" i="9" s="1"/>
  <c r="G114" i="9" s="1"/>
  <c r="R187" i="9"/>
  <c r="Q37" i="9"/>
  <c r="Q60" i="9" s="1"/>
  <c r="Q67" i="9"/>
  <c r="P187" i="9"/>
  <c r="P60" i="9"/>
  <c r="P67" i="9"/>
  <c r="S71" i="9"/>
  <c r="S72" i="9"/>
  <c r="S68" i="9"/>
  <c r="S204" i="9"/>
  <c r="S202" i="9"/>
  <c r="S70" i="9"/>
  <c r="S184" i="9"/>
  <c r="S251" i="9"/>
  <c r="S190" i="9"/>
  <c r="S69" i="9"/>
  <c r="S30" i="9"/>
  <c r="S189" i="9"/>
  <c r="S186" i="9"/>
  <c r="S188" i="9"/>
  <c r="T204" i="9"/>
  <c r="T188" i="9"/>
  <c r="T71" i="9"/>
  <c r="T190" i="9"/>
  <c r="T72" i="9"/>
  <c r="T184" i="9"/>
  <c r="T202" i="9"/>
  <c r="T70" i="9"/>
  <c r="T69" i="9"/>
  <c r="T189" i="9"/>
  <c r="T68" i="9"/>
  <c r="T251" i="9"/>
  <c r="T186" i="9"/>
  <c r="R67" i="9"/>
  <c r="R37" i="9"/>
  <c r="R60" i="9" s="1"/>
  <c r="N46" i="9"/>
  <c r="N73" i="9"/>
  <c r="K186" i="27"/>
  <c r="S301" i="9"/>
  <c r="G162" i="27"/>
  <c r="J83" i="27"/>
  <c r="J82" i="27"/>
  <c r="J80" i="27"/>
  <c r="J81" i="27"/>
  <c r="I43" i="9"/>
  <c r="I206" i="27"/>
  <c r="I186" i="27"/>
  <c r="I162" i="27"/>
  <c r="I154" i="27"/>
  <c r="F206" i="27"/>
  <c r="F186" i="27"/>
  <c r="F162" i="27"/>
  <c r="F154" i="27"/>
  <c r="J37" i="9"/>
  <c r="F43" i="9"/>
  <c r="X293" i="9"/>
  <c r="X94" i="9"/>
  <c r="K46" i="9"/>
  <c r="K73" i="9"/>
  <c r="T208" i="9"/>
  <c r="T216" i="9"/>
  <c r="Q212" i="9"/>
  <c r="Q132" i="9"/>
  <c r="Q134" i="9" s="1"/>
  <c r="Q160" i="9" s="1"/>
  <c r="Q208" i="9"/>
  <c r="Q216" i="9"/>
  <c r="H301" i="9"/>
  <c r="H112" i="9"/>
  <c r="J112" i="9" s="1"/>
  <c r="L255" i="9"/>
  <c r="L257" i="9" s="1"/>
  <c r="L110" i="9"/>
  <c r="L114" i="9" s="1"/>
  <c r="L55" i="9"/>
  <c r="L54" i="9"/>
  <c r="L239" i="9" s="1"/>
  <c r="L52" i="9"/>
  <c r="O311" i="9"/>
  <c r="O310" i="9"/>
  <c r="M176" i="9"/>
  <c r="O263" i="9"/>
  <c r="P301" i="9"/>
  <c r="P112" i="9"/>
  <c r="T112" i="9" s="1"/>
  <c r="H54" i="9"/>
  <c r="H239" i="9" s="1"/>
  <c r="H110" i="9"/>
  <c r="H114" i="9" s="1"/>
  <c r="H52" i="9"/>
  <c r="H255" i="9"/>
  <c r="H257" i="9" s="1"/>
  <c r="H55" i="9"/>
  <c r="N176" i="9"/>
  <c r="AG151" i="14"/>
  <c r="AF151" i="14"/>
  <c r="AE151" i="14"/>
  <c r="AG146" i="14"/>
  <c r="AF146" i="14"/>
  <c r="AE146" i="14"/>
  <c r="AG129" i="14"/>
  <c r="AF129" i="14"/>
  <c r="AE129" i="14"/>
  <c r="AG119" i="14"/>
  <c r="AF119" i="14"/>
  <c r="AE119" i="14"/>
  <c r="AG109" i="14"/>
  <c r="AF109" i="14"/>
  <c r="AG107" i="14"/>
  <c r="AF107" i="14"/>
  <c r="AE109" i="14"/>
  <c r="AE107" i="14"/>
  <c r="T187" i="9" l="1"/>
  <c r="G55" i="9"/>
  <c r="G255" i="9"/>
  <c r="G257" i="9" s="1"/>
  <c r="G52" i="9"/>
  <c r="G58" i="9" s="1"/>
  <c r="G54" i="9"/>
  <c r="G239" i="9" s="1"/>
  <c r="S37" i="9"/>
  <c r="S60" i="9" s="1"/>
  <c r="S67" i="9"/>
  <c r="N54" i="9"/>
  <c r="N239" i="9" s="1"/>
  <c r="N52" i="9"/>
  <c r="N110" i="9"/>
  <c r="N114" i="9" s="1"/>
  <c r="N55" i="9"/>
  <c r="N255" i="9"/>
  <c r="N257" i="9" s="1"/>
  <c r="F46" i="9"/>
  <c r="J43" i="9"/>
  <c r="J73" i="9" s="1"/>
  <c r="F73" i="9"/>
  <c r="P43" i="9"/>
  <c r="R43" i="9"/>
  <c r="R154" i="27"/>
  <c r="R162" i="27"/>
  <c r="R206" i="27"/>
  <c r="J186" i="27"/>
  <c r="J154" i="27"/>
  <c r="K206" i="27"/>
  <c r="I46" i="9"/>
  <c r="I73" i="9"/>
  <c r="Q43" i="9"/>
  <c r="Q154" i="27"/>
  <c r="Q186" i="27"/>
  <c r="Q206" i="27"/>
  <c r="T30" i="9"/>
  <c r="T67" i="9" s="1"/>
  <c r="S187" i="9"/>
  <c r="G57" i="9"/>
  <c r="G62" i="9"/>
  <c r="G116" i="9"/>
  <c r="G117" i="9"/>
  <c r="G118" i="9" s="1"/>
  <c r="L116" i="9"/>
  <c r="L117" i="9"/>
  <c r="L118" i="9" s="1"/>
  <c r="T261" i="9"/>
  <c r="P261" i="9"/>
  <c r="P262" i="9" s="1"/>
  <c r="T262" i="9" s="1"/>
  <c r="H62" i="9"/>
  <c r="H57" i="9"/>
  <c r="H58" i="9"/>
  <c r="H116" i="9"/>
  <c r="H117" i="9"/>
  <c r="H118" i="9" s="1"/>
  <c r="L58" i="9"/>
  <c r="L57" i="9"/>
  <c r="L62" i="9"/>
  <c r="K110" i="9"/>
  <c r="K114" i="9" s="1"/>
  <c r="K52" i="9"/>
  <c r="K54" i="9"/>
  <c r="K239" i="9" s="1"/>
  <c r="K255" i="9"/>
  <c r="K55" i="9"/>
  <c r="R208" i="9"/>
  <c r="R216" i="9"/>
  <c r="AG57" i="8"/>
  <c r="AE57" i="8"/>
  <c r="T37" i="9" l="1"/>
  <c r="L146" i="27"/>
  <c r="L188" i="27"/>
  <c r="H146" i="27"/>
  <c r="H208" i="27"/>
  <c r="H188" i="27"/>
  <c r="P73" i="9"/>
  <c r="P46" i="9"/>
  <c r="J46" i="9"/>
  <c r="F52" i="9"/>
  <c r="F255" i="9"/>
  <c r="F55" i="9"/>
  <c r="F110" i="9"/>
  <c r="F114" i="9" s="1"/>
  <c r="F54" i="9"/>
  <c r="F239" i="9" s="1"/>
  <c r="R73" i="9"/>
  <c r="R46" i="9"/>
  <c r="N117" i="9"/>
  <c r="N118" i="9" s="1"/>
  <c r="N116" i="9"/>
  <c r="N58" i="9"/>
  <c r="N57" i="9"/>
  <c r="N62" i="9"/>
  <c r="Q46" i="9"/>
  <c r="Q73" i="9"/>
  <c r="I52" i="9"/>
  <c r="I54" i="9"/>
  <c r="I239" i="9" s="1"/>
  <c r="K240" i="9" s="1"/>
  <c r="I110" i="9"/>
  <c r="I114" i="9" s="1"/>
  <c r="I255" i="9"/>
  <c r="I257" i="9" s="1"/>
  <c r="I55" i="9"/>
  <c r="G188" i="27"/>
  <c r="G146" i="27"/>
  <c r="S43" i="9"/>
  <c r="S154" i="27"/>
  <c r="S186" i="27"/>
  <c r="S162" i="27"/>
  <c r="S206" i="27"/>
  <c r="T263" i="9"/>
  <c r="K58" i="9"/>
  <c r="K57" i="9"/>
  <c r="K117" i="9"/>
  <c r="K118" i="9" s="1"/>
  <c r="K116" i="9"/>
  <c r="K257" i="9"/>
  <c r="AC321" i="9"/>
  <c r="AB321" i="9"/>
  <c r="AA321" i="9"/>
  <c r="Z321" i="9"/>
  <c r="T43" i="9" l="1"/>
  <c r="T73" i="9" s="1"/>
  <c r="S73" i="9"/>
  <c r="F33" i="12" s="1"/>
  <c r="F116" i="9"/>
  <c r="F117" i="9"/>
  <c r="F118" i="9" s="1"/>
  <c r="F257" i="9"/>
  <c r="J257" i="9" s="1"/>
  <c r="J255" i="9"/>
  <c r="J52" i="9"/>
  <c r="F62" i="9"/>
  <c r="F57" i="9"/>
  <c r="F58" i="9"/>
  <c r="J110" i="9"/>
  <c r="J114" i="9" s="1"/>
  <c r="J54" i="9"/>
  <c r="J239" i="9" s="1"/>
  <c r="J240" i="9" s="1"/>
  <c r="J55" i="9"/>
  <c r="P55" i="9"/>
  <c r="P110" i="9"/>
  <c r="P114" i="9" s="1"/>
  <c r="P255" i="9"/>
  <c r="P52" i="9"/>
  <c r="P54" i="9"/>
  <c r="P239" i="9" s="1"/>
  <c r="S46" i="9"/>
  <c r="T46" i="9" s="1"/>
  <c r="Q54" i="9"/>
  <c r="Q239" i="9" s="1"/>
  <c r="Q52" i="9"/>
  <c r="Q110" i="9"/>
  <c r="Q114" i="9" s="1"/>
  <c r="Q55" i="9"/>
  <c r="Q255" i="9"/>
  <c r="Q257" i="9" s="1"/>
  <c r="L240" i="9"/>
  <c r="N146" i="27"/>
  <c r="R55" i="9"/>
  <c r="R110" i="9"/>
  <c r="R114" i="9" s="1"/>
  <c r="R54" i="9"/>
  <c r="R239" i="9" s="1"/>
  <c r="R255" i="9"/>
  <c r="R257" i="9" s="1"/>
  <c r="R52" i="9"/>
  <c r="F240" i="9"/>
  <c r="G240" i="9"/>
  <c r="I240" i="9"/>
  <c r="H240" i="9"/>
  <c r="I116" i="9"/>
  <c r="I117" i="9"/>
  <c r="I118" i="9" s="1"/>
  <c r="I62" i="9"/>
  <c r="N188" i="27" s="1"/>
  <c r="I58" i="9"/>
  <c r="I57" i="9"/>
  <c r="K62" i="9"/>
  <c r="F28" i="39"/>
  <c r="Q12" i="39"/>
  <c r="F30" i="39" s="1"/>
  <c r="K12" i="39"/>
  <c r="E30" i="39" s="1"/>
  <c r="L3" i="39"/>
  <c r="L4" i="39" s="1"/>
  <c r="L5" i="39" s="1"/>
  <c r="L6" i="39" s="1"/>
  <c r="P23" i="39"/>
  <c r="P17" i="39"/>
  <c r="J28" i="39"/>
  <c r="J24" i="39"/>
  <c r="J20" i="39"/>
  <c r="J15" i="39"/>
  <c r="P26" i="39"/>
  <c r="P16" i="39"/>
  <c r="P29" i="39"/>
  <c r="P13" i="39"/>
  <c r="J16" i="39"/>
  <c r="P28" i="39"/>
  <c r="J14" i="39"/>
  <c r="P30" i="39"/>
  <c r="P21" i="39"/>
  <c r="P14" i="39"/>
  <c r="J27" i="39"/>
  <c r="J23" i="39"/>
  <c r="J19" i="39"/>
  <c r="J13" i="39"/>
  <c r="G30" i="39"/>
  <c r="G26" i="39"/>
  <c r="P24" i="39"/>
  <c r="P15" i="39"/>
  <c r="G20" i="39"/>
  <c r="P27" i="39"/>
  <c r="P20" i="39"/>
  <c r="AC2" i="39"/>
  <c r="J30" i="39"/>
  <c r="J26" i="39"/>
  <c r="J22" i="39"/>
  <c r="J18" i="39"/>
  <c r="P22" i="39"/>
  <c r="P25" i="39"/>
  <c r="P18" i="39"/>
  <c r="J17" i="39"/>
  <c r="J29" i="39"/>
  <c r="J25" i="39"/>
  <c r="J21" i="39"/>
  <c r="G28" i="39"/>
  <c r="P19" i="39"/>
  <c r="P257" i="9" l="1"/>
  <c r="K146" i="27"/>
  <c r="K208" i="27"/>
  <c r="K188" i="27"/>
  <c r="L208" i="27"/>
  <c r="J58" i="9"/>
  <c r="J60" i="9"/>
  <c r="J57" i="9"/>
  <c r="R57" i="9"/>
  <c r="R58" i="9"/>
  <c r="R62" i="9"/>
  <c r="R240" i="9"/>
  <c r="P117" i="9"/>
  <c r="P118" i="9" s="1"/>
  <c r="P116" i="9"/>
  <c r="T54" i="9"/>
  <c r="T239" i="9" s="1"/>
  <c r="T240" i="9" s="1"/>
  <c r="T110" i="9"/>
  <c r="T114" i="9" s="1"/>
  <c r="T55" i="9"/>
  <c r="F188" i="27"/>
  <c r="F146" i="27"/>
  <c r="F208" i="27"/>
  <c r="G208" i="27"/>
  <c r="J62" i="9"/>
  <c r="P57" i="9"/>
  <c r="P62" i="9"/>
  <c r="P58" i="9"/>
  <c r="R117" i="9"/>
  <c r="R118" i="9" s="1"/>
  <c r="R116" i="9"/>
  <c r="Q116" i="9"/>
  <c r="Q117" i="9"/>
  <c r="Q118" i="9" s="1"/>
  <c r="I146" i="27"/>
  <c r="I208" i="27"/>
  <c r="I188" i="27"/>
  <c r="J116" i="9"/>
  <c r="J117" i="9"/>
  <c r="J118" i="9" s="1"/>
  <c r="Q58" i="9"/>
  <c r="Q57" i="9"/>
  <c r="Q62" i="9"/>
  <c r="S255" i="9"/>
  <c r="S257" i="9" s="1"/>
  <c r="S55" i="9"/>
  <c r="S52" i="9"/>
  <c r="T52" i="9" s="1"/>
  <c r="S110" i="9"/>
  <c r="S114" i="9" s="1"/>
  <c r="S54" i="9"/>
  <c r="S239" i="9" s="1"/>
  <c r="S240" i="9" s="1"/>
  <c r="F20" i="39"/>
  <c r="F26" i="39"/>
  <c r="F14" i="39"/>
  <c r="F16" i="39"/>
  <c r="F19" i="39"/>
  <c r="F21" i="39"/>
  <c r="F22" i="39"/>
  <c r="F23" i="39"/>
  <c r="R12" i="39"/>
  <c r="S12" i="39" s="1"/>
  <c r="T12" i="39" s="1"/>
  <c r="U12" i="39" s="1"/>
  <c r="F24" i="39"/>
  <c r="F13" i="39"/>
  <c r="F25" i="39"/>
  <c r="F15" i="39"/>
  <c r="F27" i="39"/>
  <c r="F17" i="39"/>
  <c r="F29" i="39"/>
  <c r="F18" i="39"/>
  <c r="C14" i="39"/>
  <c r="C13" i="39"/>
  <c r="C15" i="39"/>
  <c r="C16" i="39"/>
  <c r="C18" i="39"/>
  <c r="C19" i="39"/>
  <c r="C20" i="39"/>
  <c r="C21" i="39"/>
  <c r="C22" i="39"/>
  <c r="C23" i="39"/>
  <c r="C24" i="39"/>
  <c r="C25" i="39"/>
  <c r="C26" i="39"/>
  <c r="C27" i="39"/>
  <c r="C28" i="39"/>
  <c r="C29" i="39"/>
  <c r="C30" i="39"/>
  <c r="C17" i="39"/>
  <c r="L12" i="39"/>
  <c r="M12" i="39" s="1"/>
  <c r="N12" i="39" s="1"/>
  <c r="O12" i="39" s="1"/>
  <c r="E13" i="39"/>
  <c r="E14" i="39"/>
  <c r="E15" i="39"/>
  <c r="E16" i="39"/>
  <c r="E17" i="39"/>
  <c r="E18" i="39"/>
  <c r="E19" i="39"/>
  <c r="E20" i="39"/>
  <c r="E21" i="39"/>
  <c r="E22" i="39"/>
  <c r="E23" i="39"/>
  <c r="E24" i="39"/>
  <c r="E25" i="39"/>
  <c r="E26" i="39"/>
  <c r="E27" i="39"/>
  <c r="E28" i="39"/>
  <c r="E29" i="39"/>
  <c r="G14" i="39"/>
  <c r="G22" i="39"/>
  <c r="G13" i="39"/>
  <c r="G17" i="39"/>
  <c r="G16" i="39"/>
  <c r="G23" i="39"/>
  <c r="G25" i="39"/>
  <c r="G29" i="39"/>
  <c r="G19" i="39"/>
  <c r="G15" i="39"/>
  <c r="G18" i="39"/>
  <c r="G21" i="39"/>
  <c r="G24" i="39"/>
  <c r="G27" i="39"/>
  <c r="T117" i="9" l="1"/>
  <c r="T118" i="9" s="1"/>
  <c r="T116" i="9"/>
  <c r="T60" i="9"/>
  <c r="T57" i="9"/>
  <c r="T58" i="9"/>
  <c r="R208" i="27"/>
  <c r="R146" i="27"/>
  <c r="S117" i="9"/>
  <c r="S118" i="9" s="1"/>
  <c r="S116" i="9"/>
  <c r="J146" i="27"/>
  <c r="J188" i="27"/>
  <c r="S58" i="9"/>
  <c r="S62" i="9"/>
  <c r="S57" i="9"/>
  <c r="Q208" i="27"/>
  <c r="Q188" i="27"/>
  <c r="T257" i="9"/>
  <c r="T255" i="9"/>
  <c r="N90" i="17"/>
  <c r="I90" i="17"/>
  <c r="X70" i="17" s="1"/>
  <c r="X51" i="17" s="1"/>
  <c r="N89" i="17"/>
  <c r="I89" i="17"/>
  <c r="E89" i="17"/>
  <c r="N88" i="17"/>
  <c r="I88" i="17"/>
  <c r="E88" i="17"/>
  <c r="L86" i="17"/>
  <c r="G86" i="17"/>
  <c r="D86" i="17"/>
  <c r="T81" i="17"/>
  <c r="S81" i="17"/>
  <c r="R81" i="17"/>
  <c r="Q81" i="17"/>
  <c r="P81" i="17"/>
  <c r="O81" i="17"/>
  <c r="N81" i="17"/>
  <c r="M81" i="17"/>
  <c r="L81" i="17"/>
  <c r="K81" i="17"/>
  <c r="J81" i="17"/>
  <c r="I81" i="17"/>
  <c r="H81" i="17"/>
  <c r="G81" i="17"/>
  <c r="T80" i="17"/>
  <c r="S80" i="17"/>
  <c r="R80" i="17"/>
  <c r="Q80" i="17"/>
  <c r="P80" i="17"/>
  <c r="O80" i="17"/>
  <c r="N80" i="17"/>
  <c r="M80" i="17"/>
  <c r="L80" i="17"/>
  <c r="K80" i="17"/>
  <c r="J80" i="17"/>
  <c r="I80" i="17"/>
  <c r="H80" i="17"/>
  <c r="G80" i="17"/>
  <c r="T79" i="17"/>
  <c r="S79" i="17"/>
  <c r="R79" i="17"/>
  <c r="Q79" i="17"/>
  <c r="P79" i="17"/>
  <c r="O79" i="17"/>
  <c r="N79" i="17"/>
  <c r="M79" i="17"/>
  <c r="L79" i="17"/>
  <c r="K79" i="17"/>
  <c r="J79" i="17"/>
  <c r="I79" i="17"/>
  <c r="H79" i="17"/>
  <c r="G79" i="17"/>
  <c r="T78" i="17"/>
  <c r="S78" i="17"/>
  <c r="R78" i="17"/>
  <c r="Q78" i="17"/>
  <c r="P78" i="17"/>
  <c r="O78" i="17"/>
  <c r="N78" i="17"/>
  <c r="M78" i="17"/>
  <c r="L78" i="17"/>
  <c r="K78" i="17"/>
  <c r="J78" i="17"/>
  <c r="I78" i="17"/>
  <c r="H78" i="17"/>
  <c r="G78" i="17"/>
  <c r="AU76" i="17"/>
  <c r="AT76" i="17"/>
  <c r="AT57" i="17" s="1"/>
  <c r="AB76" i="17"/>
  <c r="AB57" i="17" s="1"/>
  <c r="X76" i="17"/>
  <c r="B76" i="17"/>
  <c r="B57" i="17" s="1"/>
  <c r="AU75" i="17"/>
  <c r="AT75" i="17"/>
  <c r="AT56" i="17" s="1"/>
  <c r="AB75" i="17"/>
  <c r="AB56" i="17" s="1"/>
  <c r="X75" i="17"/>
  <c r="X56" i="17" s="1"/>
  <c r="F75" i="17"/>
  <c r="F56" i="17" s="1"/>
  <c r="D75" i="17"/>
  <c r="B75" i="17"/>
  <c r="AU74" i="17"/>
  <c r="AT74" i="17"/>
  <c r="AB74" i="17"/>
  <c r="AB55" i="17" s="1"/>
  <c r="X74" i="17"/>
  <c r="X55" i="17" s="1"/>
  <c r="F74" i="17"/>
  <c r="F55" i="17" s="1"/>
  <c r="D74" i="17"/>
  <c r="B74" i="17"/>
  <c r="B55" i="17" s="1"/>
  <c r="AU73" i="17"/>
  <c r="AT73" i="17"/>
  <c r="AT54" i="17" s="1"/>
  <c r="AB73" i="17"/>
  <c r="X73" i="17"/>
  <c r="F73" i="17"/>
  <c r="F54" i="17" s="1"/>
  <c r="D73" i="17"/>
  <c r="B73" i="17"/>
  <c r="B54" i="17" s="1"/>
  <c r="AU72" i="17"/>
  <c r="AT72" i="17"/>
  <c r="AB72" i="17"/>
  <c r="AB53" i="17" s="1"/>
  <c r="X72" i="17"/>
  <c r="X53" i="17" s="1"/>
  <c r="F72" i="17"/>
  <c r="F53" i="17" s="1"/>
  <c r="D72" i="17"/>
  <c r="B72" i="17"/>
  <c r="B53" i="17" s="1"/>
  <c r="AU70" i="17"/>
  <c r="AT70" i="17"/>
  <c r="B70" i="17"/>
  <c r="B51" i="17" s="1"/>
  <c r="BN68" i="17"/>
  <c r="BM68" i="17"/>
  <c r="BL68" i="17"/>
  <c r="BK68" i="17"/>
  <c r="BJ68" i="17"/>
  <c r="BI68" i="17"/>
  <c r="BH68" i="17"/>
  <c r="BG68" i="17"/>
  <c r="BF68" i="17"/>
  <c r="BE68" i="17"/>
  <c r="BD68" i="17"/>
  <c r="BC68" i="17"/>
  <c r="BB68" i="17"/>
  <c r="BA68" i="17"/>
  <c r="AZ68" i="17"/>
  <c r="AY68" i="17"/>
  <c r="AX68" i="17"/>
  <c r="AR68" i="17"/>
  <c r="AQ68" i="17"/>
  <c r="AP68" i="17"/>
  <c r="AO68" i="17"/>
  <c r="AN68" i="17"/>
  <c r="AM68" i="17"/>
  <c r="AL68" i="17"/>
  <c r="AK68" i="17"/>
  <c r="AJ68" i="17"/>
  <c r="AI68" i="17"/>
  <c r="AH68" i="17"/>
  <c r="AG68" i="17"/>
  <c r="AF68" i="17"/>
  <c r="AE68" i="17"/>
  <c r="AD68" i="17"/>
  <c r="AC68" i="17"/>
  <c r="AB68" i="17"/>
  <c r="T68" i="17"/>
  <c r="S68" i="17"/>
  <c r="R68" i="17"/>
  <c r="Q68" i="17"/>
  <c r="P68" i="17"/>
  <c r="O68" i="17"/>
  <c r="N68" i="17"/>
  <c r="M68" i="17"/>
  <c r="L68" i="17"/>
  <c r="K68" i="17"/>
  <c r="J68" i="17"/>
  <c r="I68" i="17"/>
  <c r="H68" i="17"/>
  <c r="G68" i="17"/>
  <c r="F68" i="17"/>
  <c r="BL67" i="17"/>
  <c r="BK67" i="17"/>
  <c r="BJ67" i="17"/>
  <c r="BI67" i="17"/>
  <c r="BH67" i="17"/>
  <c r="BA67" i="17"/>
  <c r="AP67" i="17"/>
  <c r="AO67" i="17"/>
  <c r="AN67" i="17"/>
  <c r="AM67" i="17"/>
  <c r="AL67" i="17"/>
  <c r="AE67" i="17"/>
  <c r="T67" i="17"/>
  <c r="S67" i="17"/>
  <c r="R67" i="17"/>
  <c r="Q67" i="17"/>
  <c r="P67" i="17"/>
  <c r="I67" i="17"/>
  <c r="BE66" i="17"/>
  <c r="AI66" i="17"/>
  <c r="M66" i="17"/>
  <c r="BM65" i="17"/>
  <c r="BK65" i="17"/>
  <c r="BB65" i="17"/>
  <c r="AY65" i="17"/>
  <c r="AV65" i="17"/>
  <c r="AQ65" i="17"/>
  <c r="AO65" i="17"/>
  <c r="AF65" i="17"/>
  <c r="AC65" i="17"/>
  <c r="Z65" i="17"/>
  <c r="U65" i="17"/>
  <c r="S65" i="17"/>
  <c r="J65" i="17"/>
  <c r="G65" i="17"/>
  <c r="D65" i="17"/>
  <c r="AV62" i="17"/>
  <c r="Z62" i="17"/>
  <c r="V62" i="17"/>
  <c r="U62" i="17"/>
  <c r="T62" i="17"/>
  <c r="S62" i="17"/>
  <c r="R62" i="17"/>
  <c r="Q62" i="17"/>
  <c r="P62" i="17"/>
  <c r="O62" i="17"/>
  <c r="N62" i="17"/>
  <c r="M62" i="17"/>
  <c r="L62" i="17"/>
  <c r="K62" i="17"/>
  <c r="J62" i="17"/>
  <c r="I62" i="17"/>
  <c r="H62" i="17"/>
  <c r="G62" i="17"/>
  <c r="D62" i="17"/>
  <c r="AV61" i="17"/>
  <c r="Z61" i="17"/>
  <c r="V61" i="17"/>
  <c r="U61" i="17"/>
  <c r="T61" i="17"/>
  <c r="S61" i="17"/>
  <c r="R61" i="17"/>
  <c r="Q61" i="17"/>
  <c r="P61" i="17"/>
  <c r="O61" i="17"/>
  <c r="N61" i="17"/>
  <c r="M61" i="17"/>
  <c r="L61" i="17"/>
  <c r="K61" i="17"/>
  <c r="J61" i="17"/>
  <c r="I61" i="17"/>
  <c r="H61" i="17"/>
  <c r="G61" i="17"/>
  <c r="D61" i="17"/>
  <c r="AV60" i="17"/>
  <c r="Z60" i="17"/>
  <c r="V60" i="17"/>
  <c r="U60" i="17"/>
  <c r="T60" i="17"/>
  <c r="S60" i="17"/>
  <c r="R60" i="17"/>
  <c r="Q60" i="17"/>
  <c r="P60" i="17"/>
  <c r="O60" i="17"/>
  <c r="N60" i="17"/>
  <c r="M60" i="17"/>
  <c r="L60" i="17"/>
  <c r="K60" i="17"/>
  <c r="J60" i="17"/>
  <c r="I60" i="17"/>
  <c r="H60" i="17"/>
  <c r="G60" i="17"/>
  <c r="D60" i="17"/>
  <c r="AV59" i="17"/>
  <c r="Z59" i="17"/>
  <c r="V59" i="17"/>
  <c r="U59" i="17"/>
  <c r="T59" i="17"/>
  <c r="S59" i="17"/>
  <c r="R59" i="17"/>
  <c r="Q59" i="17"/>
  <c r="P59" i="17"/>
  <c r="O59" i="17"/>
  <c r="N59" i="17"/>
  <c r="M59" i="17"/>
  <c r="L59" i="17"/>
  <c r="K59" i="17"/>
  <c r="J59" i="17"/>
  <c r="I59" i="17"/>
  <c r="H59" i="17"/>
  <c r="G59" i="17"/>
  <c r="D59" i="17"/>
  <c r="AX57" i="17"/>
  <c r="AX76" i="17" s="1"/>
  <c r="X57" i="17"/>
  <c r="AX56" i="17"/>
  <c r="AX75" i="17" s="1"/>
  <c r="B56" i="17"/>
  <c r="AX55" i="17"/>
  <c r="AX74" i="17" s="1"/>
  <c r="AT55" i="17"/>
  <c r="AX54" i="17"/>
  <c r="AX73" i="17" s="1"/>
  <c r="AB54" i="17"/>
  <c r="X54" i="17"/>
  <c r="AX53" i="17"/>
  <c r="AX72" i="17" s="1"/>
  <c r="AT53" i="17"/>
  <c r="AX51" i="17"/>
  <c r="AX70" i="17" s="1"/>
  <c r="AV51" i="17"/>
  <c r="AV70" i="17" s="1"/>
  <c r="AT51" i="17"/>
  <c r="AB51" i="17"/>
  <c r="AB70" i="17" s="1"/>
  <c r="Z51" i="17"/>
  <c r="Z70" i="17" s="1"/>
  <c r="BA49" i="17"/>
  <c r="AZ49" i="17"/>
  <c r="AY49" i="17"/>
  <c r="AX49" i="17"/>
  <c r="AE49" i="17"/>
  <c r="AD49" i="17"/>
  <c r="AC49" i="17"/>
  <c r="AB49" i="17"/>
  <c r="U49" i="17"/>
  <c r="S49" i="17"/>
  <c r="Q49" i="17"/>
  <c r="O49" i="17"/>
  <c r="M49" i="17"/>
  <c r="K49" i="17"/>
  <c r="I49" i="17"/>
  <c r="H49" i="17"/>
  <c r="G49" i="17"/>
  <c r="F49" i="17"/>
  <c r="BM48" i="17"/>
  <c r="BK48" i="17"/>
  <c r="BI48" i="17"/>
  <c r="BG48" i="17"/>
  <c r="BE48" i="17"/>
  <c r="BC48" i="17"/>
  <c r="BA48" i="17"/>
  <c r="AZ48" i="17"/>
  <c r="AY48" i="17"/>
  <c r="AQ48" i="17"/>
  <c r="AO48" i="17"/>
  <c r="AM48" i="17"/>
  <c r="AK48" i="17"/>
  <c r="AI48" i="17"/>
  <c r="AG48" i="17"/>
  <c r="AE48" i="17"/>
  <c r="AD48" i="17"/>
  <c r="AC48" i="17"/>
  <c r="U48" i="17"/>
  <c r="S48" i="17"/>
  <c r="Q48" i="17"/>
  <c r="O48" i="17"/>
  <c r="M48" i="17"/>
  <c r="K48" i="17"/>
  <c r="I48" i="17"/>
  <c r="H48" i="17"/>
  <c r="G48" i="17"/>
  <c r="BL47" i="17"/>
  <c r="BI47" i="17"/>
  <c r="AP47" i="17"/>
  <c r="AM47" i="17"/>
  <c r="T47" i="17"/>
  <c r="Q47" i="17"/>
  <c r="BL39" i="17"/>
  <c r="BK39" i="17"/>
  <c r="BJ39" i="17"/>
  <c r="BI39" i="17"/>
  <c r="BH39" i="17"/>
  <c r="BG39" i="17"/>
  <c r="BF39" i="17"/>
  <c r="BE39" i="17"/>
  <c r="BD39" i="17"/>
  <c r="BC39" i="17"/>
  <c r="BB39" i="17"/>
  <c r="BA39" i="17"/>
  <c r="AZ39" i="17"/>
  <c r="AY39" i="17"/>
  <c r="AV39" i="17"/>
  <c r="AV81" i="17" s="1"/>
  <c r="AP39" i="17"/>
  <c r="AO39" i="17"/>
  <c r="AN39" i="17"/>
  <c r="AM39" i="17"/>
  <c r="AL39" i="17"/>
  <c r="AK39" i="17"/>
  <c r="AJ39" i="17"/>
  <c r="AI39" i="17"/>
  <c r="AH39" i="17"/>
  <c r="AG39" i="17"/>
  <c r="AF39" i="17"/>
  <c r="AE39" i="17"/>
  <c r="AD39" i="17"/>
  <c r="AC39" i="17"/>
  <c r="Z39" i="17"/>
  <c r="Z81" i="17" s="1"/>
  <c r="T39" i="17"/>
  <c r="S39" i="17"/>
  <c r="R39" i="17"/>
  <c r="Q39" i="17"/>
  <c r="P39" i="17"/>
  <c r="O39" i="17"/>
  <c r="N39" i="17"/>
  <c r="M39" i="17"/>
  <c r="L39" i="17"/>
  <c r="K39" i="17"/>
  <c r="J39" i="17"/>
  <c r="I39" i="17"/>
  <c r="H39" i="17"/>
  <c r="G39" i="17"/>
  <c r="D39" i="17"/>
  <c r="D81" i="17" s="1"/>
  <c r="BL38" i="17"/>
  <c r="BK38" i="17"/>
  <c r="BJ38" i="17"/>
  <c r="BI38" i="17"/>
  <c r="BH38" i="17"/>
  <c r="BG38" i="17"/>
  <c r="BF38" i="17"/>
  <c r="BE38" i="17"/>
  <c r="BD38" i="17"/>
  <c r="BC38" i="17"/>
  <c r="BB38" i="17"/>
  <c r="BA38" i="17"/>
  <c r="AZ38" i="17"/>
  <c r="AY38" i="17"/>
  <c r="AV38" i="17"/>
  <c r="AV80" i="17" s="1"/>
  <c r="AP38" i="17"/>
  <c r="AO38" i="17"/>
  <c r="AN38" i="17"/>
  <c r="AM38" i="17"/>
  <c r="AL38" i="17"/>
  <c r="AK38" i="17"/>
  <c r="AJ38" i="17"/>
  <c r="AI38" i="17"/>
  <c r="AH38" i="17"/>
  <c r="AG38" i="17"/>
  <c r="AF38" i="17"/>
  <c r="AE38" i="17"/>
  <c r="AD38" i="17"/>
  <c r="AC38" i="17"/>
  <c r="Z38" i="17"/>
  <c r="Z80" i="17" s="1"/>
  <c r="T38" i="17"/>
  <c r="S38" i="17"/>
  <c r="R38" i="17"/>
  <c r="Q38" i="17"/>
  <c r="P38" i="17"/>
  <c r="O38" i="17"/>
  <c r="N38" i="17"/>
  <c r="M38" i="17"/>
  <c r="L38" i="17"/>
  <c r="K38" i="17"/>
  <c r="J38" i="17"/>
  <c r="I38" i="17"/>
  <c r="H38" i="17"/>
  <c r="G38" i="17"/>
  <c r="D38" i="17"/>
  <c r="D80" i="17" s="1"/>
  <c r="BL37" i="17"/>
  <c r="BK37" i="17"/>
  <c r="BJ37" i="17"/>
  <c r="BI37" i="17"/>
  <c r="BH37" i="17"/>
  <c r="BG37" i="17"/>
  <c r="BF37" i="17"/>
  <c r="BE37" i="17"/>
  <c r="BD37" i="17"/>
  <c r="BC37" i="17"/>
  <c r="BB37" i="17"/>
  <c r="BA37" i="17"/>
  <c r="AZ37" i="17"/>
  <c r="AY37" i="17"/>
  <c r="AV37" i="17"/>
  <c r="AV79" i="17" s="1"/>
  <c r="AP37" i="17"/>
  <c r="AO37" i="17"/>
  <c r="AN37" i="17"/>
  <c r="AM37" i="17"/>
  <c r="AL37" i="17"/>
  <c r="AK37" i="17"/>
  <c r="AJ37" i="17"/>
  <c r="AI37" i="17"/>
  <c r="AH37" i="17"/>
  <c r="AG37" i="17"/>
  <c r="AF37" i="17"/>
  <c r="AE37" i="17"/>
  <c r="AD37" i="17"/>
  <c r="AC37" i="17"/>
  <c r="Z37" i="17"/>
  <c r="Z79" i="17" s="1"/>
  <c r="T37" i="17"/>
  <c r="S37" i="17"/>
  <c r="R37" i="17"/>
  <c r="Q37" i="17"/>
  <c r="P37" i="17"/>
  <c r="O37" i="17"/>
  <c r="N37" i="17"/>
  <c r="M37" i="17"/>
  <c r="L37" i="17"/>
  <c r="K37" i="17"/>
  <c r="J37" i="17"/>
  <c r="I37" i="17"/>
  <c r="H37" i="17"/>
  <c r="G37" i="17"/>
  <c r="D37" i="17"/>
  <c r="D79" i="17" s="1"/>
  <c r="BL36" i="17"/>
  <c r="BK36" i="17"/>
  <c r="BJ36" i="17"/>
  <c r="BI36" i="17"/>
  <c r="BH36" i="17"/>
  <c r="BG36" i="17"/>
  <c r="BF36" i="17"/>
  <c r="BE36" i="17"/>
  <c r="BD36" i="17"/>
  <c r="BC36" i="17"/>
  <c r="BB36" i="17"/>
  <c r="BA36" i="17"/>
  <c r="AZ36" i="17"/>
  <c r="AY36" i="17"/>
  <c r="AV36" i="17"/>
  <c r="AV78" i="17" s="1"/>
  <c r="AP36" i="17"/>
  <c r="AO36" i="17"/>
  <c r="AN36" i="17"/>
  <c r="AM36" i="17"/>
  <c r="AL36" i="17"/>
  <c r="AK36" i="17"/>
  <c r="AJ36" i="17"/>
  <c r="AI36" i="17"/>
  <c r="AH36" i="17"/>
  <c r="AG36" i="17"/>
  <c r="AF36" i="17"/>
  <c r="AE36" i="17"/>
  <c r="AD36" i="17"/>
  <c r="AC36" i="17"/>
  <c r="Z36" i="17"/>
  <c r="Z78" i="17" s="1"/>
  <c r="T36" i="17"/>
  <c r="S36" i="17"/>
  <c r="R36" i="17"/>
  <c r="Q36" i="17"/>
  <c r="P36" i="17"/>
  <c r="O36" i="17"/>
  <c r="N36" i="17"/>
  <c r="M36" i="17"/>
  <c r="L36" i="17"/>
  <c r="K36" i="17"/>
  <c r="J36" i="17"/>
  <c r="I36" i="17"/>
  <c r="H36" i="17"/>
  <c r="G36" i="17"/>
  <c r="D36" i="17"/>
  <c r="D78" i="17" s="1"/>
  <c r="D33" i="17"/>
  <c r="D32" i="17"/>
  <c r="D31" i="17"/>
  <c r="D30" i="17"/>
  <c r="AV28" i="17"/>
  <c r="Z28" i="17"/>
  <c r="D28" i="17"/>
  <c r="BN21" i="17"/>
  <c r="BM21" i="17"/>
  <c r="BL21" i="17"/>
  <c r="BK21" i="17"/>
  <c r="BJ21" i="17"/>
  <c r="BI21" i="17"/>
  <c r="BH21" i="17"/>
  <c r="BG21" i="17"/>
  <c r="BF21" i="17"/>
  <c r="BE21" i="17"/>
  <c r="BD21" i="17"/>
  <c r="BC21" i="17"/>
  <c r="BB21" i="17"/>
  <c r="BA21" i="17"/>
  <c r="AZ21" i="17"/>
  <c r="AY21" i="17"/>
  <c r="AR21" i="17"/>
  <c r="AQ21" i="17"/>
  <c r="AP21" i="17"/>
  <c r="AO21" i="17"/>
  <c r="AN21" i="17"/>
  <c r="AM21" i="17"/>
  <c r="AL21" i="17"/>
  <c r="AK21" i="17"/>
  <c r="AJ21" i="17"/>
  <c r="AI21" i="17"/>
  <c r="AH21" i="17"/>
  <c r="AG21" i="17"/>
  <c r="AF21" i="17"/>
  <c r="AE21" i="17"/>
  <c r="AD21" i="17"/>
  <c r="AC21" i="17"/>
  <c r="V21" i="17"/>
  <c r="U21" i="17"/>
  <c r="T21" i="17"/>
  <c r="S21" i="17"/>
  <c r="R21" i="17"/>
  <c r="Q21" i="17"/>
  <c r="P21" i="17"/>
  <c r="O21" i="17"/>
  <c r="N21" i="17"/>
  <c r="M21" i="17"/>
  <c r="L21" i="17"/>
  <c r="K21" i="17"/>
  <c r="J21" i="17"/>
  <c r="I21" i="17"/>
  <c r="H21" i="17"/>
  <c r="G21" i="17"/>
  <c r="BN20" i="17"/>
  <c r="BM20" i="17"/>
  <c r="BL20" i="17"/>
  <c r="BK20" i="17"/>
  <c r="BJ20" i="17"/>
  <c r="BI20" i="17"/>
  <c r="BH20" i="17"/>
  <c r="BG20" i="17"/>
  <c r="BF20" i="17"/>
  <c r="BE20" i="17"/>
  <c r="BD20" i="17"/>
  <c r="BC20" i="17"/>
  <c r="BB20" i="17"/>
  <c r="BA20" i="17"/>
  <c r="AZ20" i="17"/>
  <c r="AY20" i="17"/>
  <c r="AR20" i="17"/>
  <c r="AQ20" i="17"/>
  <c r="AP20" i="17"/>
  <c r="AO20" i="17"/>
  <c r="AN20" i="17"/>
  <c r="AM20" i="17"/>
  <c r="AL20" i="17"/>
  <c r="AK20" i="17"/>
  <c r="AJ20" i="17"/>
  <c r="AI20" i="17"/>
  <c r="AH20" i="17"/>
  <c r="AG20" i="17"/>
  <c r="AF20" i="17"/>
  <c r="AE20" i="17"/>
  <c r="AD20" i="17"/>
  <c r="AC20" i="17"/>
  <c r="V20" i="17"/>
  <c r="U20" i="17"/>
  <c r="T20" i="17"/>
  <c r="S20" i="17"/>
  <c r="R20" i="17"/>
  <c r="Q20" i="17"/>
  <c r="P20" i="17"/>
  <c r="O20" i="17"/>
  <c r="N20" i="17"/>
  <c r="M20" i="17"/>
  <c r="L20" i="17"/>
  <c r="K20" i="17"/>
  <c r="J20" i="17"/>
  <c r="I20" i="17"/>
  <c r="H20" i="17"/>
  <c r="G20" i="17"/>
  <c r="BN19" i="17"/>
  <c r="BM19" i="17"/>
  <c r="BL19" i="17"/>
  <c r="BK19" i="17"/>
  <c r="BJ19" i="17"/>
  <c r="BI19" i="17"/>
  <c r="BH19" i="17"/>
  <c r="BG19" i="17"/>
  <c r="BF19" i="17"/>
  <c r="BE19" i="17"/>
  <c r="BD19" i="17"/>
  <c r="BC19" i="17"/>
  <c r="BB19" i="17"/>
  <c r="BA19" i="17"/>
  <c r="AZ19" i="17"/>
  <c r="AY19" i="17"/>
  <c r="AR19" i="17"/>
  <c r="AQ19" i="17"/>
  <c r="AP19" i="17"/>
  <c r="AO19" i="17"/>
  <c r="AN19" i="17"/>
  <c r="AM19" i="17"/>
  <c r="AL19" i="17"/>
  <c r="AK19" i="17"/>
  <c r="AJ19" i="17"/>
  <c r="AI19" i="17"/>
  <c r="AH19" i="17"/>
  <c r="AG19" i="17"/>
  <c r="AF19" i="17"/>
  <c r="AE19" i="17"/>
  <c r="AD19" i="17"/>
  <c r="AC19" i="17"/>
  <c r="V19" i="17"/>
  <c r="U19" i="17"/>
  <c r="T19" i="17"/>
  <c r="S19" i="17"/>
  <c r="R19" i="17"/>
  <c r="Q19" i="17"/>
  <c r="P19" i="17"/>
  <c r="O19" i="17"/>
  <c r="N19" i="17"/>
  <c r="M19" i="17"/>
  <c r="L19" i="17"/>
  <c r="K19" i="17"/>
  <c r="J19" i="17"/>
  <c r="I19" i="17"/>
  <c r="H19" i="17"/>
  <c r="G19" i="17"/>
  <c r="BN18" i="17"/>
  <c r="BM18" i="17"/>
  <c r="BL18" i="17"/>
  <c r="BK18" i="17"/>
  <c r="BJ18" i="17"/>
  <c r="BI18" i="17"/>
  <c r="BH18" i="17"/>
  <c r="BG18" i="17"/>
  <c r="BF18" i="17"/>
  <c r="BE18" i="17"/>
  <c r="BD18" i="17"/>
  <c r="BC18" i="17"/>
  <c r="BB18" i="17"/>
  <c r="BA18" i="17"/>
  <c r="AZ18" i="17"/>
  <c r="AY18" i="17"/>
  <c r="AR18" i="17"/>
  <c r="AQ18" i="17"/>
  <c r="AP18" i="17"/>
  <c r="AO18" i="17"/>
  <c r="AN18" i="17"/>
  <c r="AM18" i="17"/>
  <c r="AL18" i="17"/>
  <c r="AK18" i="17"/>
  <c r="AJ18" i="17"/>
  <c r="AI18" i="17"/>
  <c r="AH18" i="17"/>
  <c r="AG18" i="17"/>
  <c r="AF18" i="17"/>
  <c r="AE18" i="17"/>
  <c r="AD18" i="17"/>
  <c r="AC18" i="17"/>
  <c r="V18" i="17"/>
  <c r="U18" i="17"/>
  <c r="T18" i="17"/>
  <c r="S18" i="17"/>
  <c r="R18" i="17"/>
  <c r="Q18" i="17"/>
  <c r="P18" i="17"/>
  <c r="O18" i="17"/>
  <c r="N18" i="17"/>
  <c r="M18" i="17"/>
  <c r="L18" i="17"/>
  <c r="K18" i="17"/>
  <c r="J18" i="17"/>
  <c r="I18" i="17"/>
  <c r="H18" i="17"/>
  <c r="G18" i="17"/>
  <c r="AV10" i="17"/>
  <c r="BM8" i="17"/>
  <c r="BM49" i="17" s="1"/>
  <c r="BK8" i="17"/>
  <c r="BK49" i="17" s="1"/>
  <c r="BI8" i="17"/>
  <c r="BI49" i="17" s="1"/>
  <c r="BG8" i="17"/>
  <c r="BG49" i="17" s="1"/>
  <c r="BE8" i="17"/>
  <c r="BE49" i="17" s="1"/>
  <c r="BC8" i="17"/>
  <c r="BC49" i="17" s="1"/>
  <c r="AQ8" i="17"/>
  <c r="AQ49" i="17" s="1"/>
  <c r="AO8" i="17"/>
  <c r="AO49" i="17" s="1"/>
  <c r="AM8" i="17"/>
  <c r="AM49" i="17" s="1"/>
  <c r="AK8" i="17"/>
  <c r="AK49" i="17" s="1"/>
  <c r="AI8" i="17"/>
  <c r="AI49" i="17" s="1"/>
  <c r="AG8" i="17"/>
  <c r="AG49" i="17" s="1"/>
  <c r="AV4" i="17"/>
  <c r="AV46" i="17" s="1"/>
  <c r="Z4" i="17"/>
  <c r="Z46" i="17" s="1"/>
  <c r="D4" i="17"/>
  <c r="D46" i="17" s="1"/>
  <c r="D2" i="17"/>
  <c r="D1" i="17"/>
  <c r="AH72" i="17"/>
  <c r="AG70" i="17"/>
  <c r="AH55" i="17"/>
  <c r="BK75" i="17"/>
  <c r="BF76" i="17"/>
  <c r="AQ51" i="17"/>
  <c r="AK56" i="17"/>
  <c r="AR75" i="17"/>
  <c r="AF57" i="17"/>
  <c r="AN72" i="17"/>
  <c r="BB57" i="17"/>
  <c r="AJ53" i="17"/>
  <c r="AM72" i="17"/>
  <c r="BF55" i="17"/>
  <c r="AL76" i="17"/>
  <c r="AI55" i="17"/>
  <c r="AN70" i="17"/>
  <c r="AM70" i="17"/>
  <c r="AL57" i="17"/>
  <c r="AM56" i="17"/>
  <c r="AR72" i="17"/>
  <c r="AY73" i="17"/>
  <c r="AH53" i="17"/>
  <c r="AI74" i="17"/>
  <c r="AQ70" i="17"/>
  <c r="BC76" i="17"/>
  <c r="AL56" i="17"/>
  <c r="AO72" i="17"/>
  <c r="AR70" i="17"/>
  <c r="AF55" i="17"/>
  <c r="BI72" i="17"/>
  <c r="BD70" i="17"/>
  <c r="AF56" i="17"/>
  <c r="AJ54" i="17"/>
  <c r="BL74" i="17"/>
  <c r="AG76" i="17"/>
  <c r="AK51" i="17"/>
  <c r="BD76" i="17"/>
  <c r="BN74" i="17"/>
  <c r="BK55" i="17"/>
  <c r="BJ70" i="17"/>
  <c r="BB56" i="17"/>
  <c r="BH72" i="17"/>
  <c r="AH73" i="17"/>
  <c r="BD53" i="17"/>
  <c r="AJ76" i="17"/>
  <c r="BI54" i="17"/>
  <c r="BE70" i="17"/>
  <c r="AK75" i="17"/>
  <c r="AK54" i="17"/>
  <c r="BE74" i="17"/>
  <c r="BD74" i="17"/>
  <c r="BM73" i="17"/>
  <c r="AF54" i="17"/>
  <c r="BI74" i="17"/>
  <c r="AO53" i="17"/>
  <c r="AK76" i="17"/>
  <c r="BG57" i="17"/>
  <c r="AQ55" i="17"/>
  <c r="BN72" i="17"/>
  <c r="BG74" i="17"/>
  <c r="AO54" i="17"/>
  <c r="AQ75" i="17"/>
  <c r="BH56" i="17"/>
  <c r="BM74" i="17"/>
  <c r="AM51" i="17"/>
  <c r="AJ57" i="17"/>
  <c r="BM75" i="17"/>
  <c r="AI70" i="17"/>
  <c r="BB55" i="17"/>
  <c r="BE53" i="17"/>
  <c r="AC70" i="17"/>
  <c r="BK73" i="17"/>
  <c r="AI76" i="17"/>
  <c r="BG76" i="17"/>
  <c r="AO74" i="17"/>
  <c r="AL54" i="17"/>
  <c r="AK70" i="17"/>
  <c r="BE55" i="17"/>
  <c r="BF53" i="17"/>
  <c r="AJ56" i="17"/>
  <c r="AG75" i="17"/>
  <c r="BI53" i="17"/>
  <c r="BI51" i="17"/>
  <c r="BH70" i="17"/>
  <c r="BJ75" i="17"/>
  <c r="BH53" i="17"/>
  <c r="BI57" i="17"/>
  <c r="BC74" i="17"/>
  <c r="AR73" i="17"/>
  <c r="AN73" i="17"/>
  <c r="AM76" i="17"/>
  <c r="BK57" i="17"/>
  <c r="BD51" i="17"/>
  <c r="BK51" i="17"/>
  <c r="AJ75" i="17"/>
  <c r="BF72" i="17"/>
  <c r="AR76" i="17"/>
  <c r="AM55" i="17"/>
  <c r="BL75" i="17"/>
  <c r="BE51" i="17"/>
  <c r="BE73" i="17"/>
  <c r="AH74" i="17"/>
  <c r="AH51" i="17"/>
  <c r="BH57" i="17"/>
  <c r="BC73" i="17"/>
  <c r="BF70" i="17"/>
  <c r="BD57" i="17"/>
  <c r="BE57" i="17"/>
  <c r="BD54" i="17"/>
  <c r="AL53" i="17"/>
  <c r="BD56" i="17"/>
  <c r="AL73" i="17"/>
  <c r="AI51" i="17"/>
  <c r="AH76" i="17"/>
  <c r="BG73" i="17"/>
  <c r="AY75" i="17"/>
  <c r="AI57" i="17"/>
  <c r="AL55" i="17"/>
  <c r="BH76" i="17"/>
  <c r="BF75" i="17"/>
  <c r="BG54" i="17"/>
  <c r="BE76" i="17"/>
  <c r="BD72" i="17"/>
  <c r="AI72" i="17"/>
  <c r="BL73" i="17"/>
  <c r="BH54" i="17"/>
  <c r="AI75" i="17"/>
  <c r="AJ51" i="17"/>
  <c r="AO57" i="17"/>
  <c r="AP70" i="17"/>
  <c r="BF56" i="17"/>
  <c r="BI73" i="17"/>
  <c r="AK72" i="17"/>
  <c r="BE75" i="17"/>
  <c r="BC75" i="17"/>
  <c r="BN76" i="17"/>
  <c r="BF74" i="17"/>
  <c r="AY76" i="17"/>
  <c r="BL72" i="17"/>
  <c r="AR74" i="17"/>
  <c r="BG75" i="17"/>
  <c r="BM70" i="17"/>
  <c r="AO73" i="17"/>
  <c r="AJ73" i="17"/>
  <c r="BG72" i="17"/>
  <c r="AK57" i="17"/>
  <c r="BH51" i="17"/>
  <c r="BK72" i="17"/>
  <c r="BG70" i="17"/>
  <c r="AO51" i="17"/>
  <c r="BD75" i="17"/>
  <c r="BI76" i="17"/>
  <c r="BF57" i="17"/>
  <c r="BH75" i="17"/>
  <c r="BM56" i="17"/>
  <c r="BF73" i="17"/>
  <c r="BJ76" i="17"/>
  <c r="AQ76" i="17"/>
  <c r="AM74" i="17"/>
  <c r="AM57" i="17"/>
  <c r="AF51" i="17"/>
  <c r="AK74" i="17"/>
  <c r="AQ74" i="17"/>
  <c r="AJ72" i="17"/>
  <c r="BG55" i="17"/>
  <c r="BI56" i="17"/>
  <c r="AI53" i="17"/>
  <c r="BK76" i="17"/>
  <c r="AL72" i="17"/>
  <c r="AO55" i="17"/>
  <c r="AP74" i="17"/>
  <c r="AL51" i="17"/>
  <c r="AJ70" i="17"/>
  <c r="BM72" i="17"/>
  <c r="BM55" i="17"/>
  <c r="BK70" i="17"/>
  <c r="BN70" i="17"/>
  <c r="AI56" i="17"/>
  <c r="AN74" i="17"/>
  <c r="AP75" i="17"/>
  <c r="BL70" i="17"/>
  <c r="BH74" i="17"/>
  <c r="AG72" i="17"/>
  <c r="BH73" i="17"/>
  <c r="AF53" i="17"/>
  <c r="AJ55" i="17"/>
  <c r="BI70" i="17"/>
  <c r="AC74" i="17"/>
  <c r="BK53" i="17"/>
  <c r="AP72" i="17"/>
  <c r="BK56" i="17"/>
  <c r="BM76" i="17"/>
  <c r="BM57" i="17"/>
  <c r="AC76" i="17"/>
  <c r="BE56" i="17"/>
  <c r="BJ72" i="17"/>
  <c r="BM54" i="17"/>
  <c r="BF54" i="17"/>
  <c r="AI54" i="17"/>
  <c r="AJ74" i="17"/>
  <c r="AO70" i="17"/>
  <c r="AP76" i="17"/>
  <c r="BG53" i="17"/>
  <c r="BM53" i="17"/>
  <c r="BB53" i="17"/>
  <c r="AC72" i="17"/>
  <c r="AN75" i="17"/>
  <c r="BB54" i="17"/>
  <c r="AL74" i="17"/>
  <c r="BB51" i="17"/>
  <c r="AM73" i="17"/>
  <c r="AM54" i="17"/>
  <c r="AK53" i="17"/>
  <c r="BG51" i="17"/>
  <c r="AQ73" i="17"/>
  <c r="AH57" i="17"/>
  <c r="AQ54" i="17"/>
  <c r="AG73" i="17"/>
  <c r="BI55" i="17"/>
  <c r="BK54" i="17"/>
  <c r="BG56" i="17"/>
  <c r="AO75" i="17"/>
  <c r="BI75" i="17"/>
  <c r="BD55" i="17"/>
  <c r="BJ74" i="17"/>
  <c r="BE54" i="17"/>
  <c r="BE72" i="17"/>
  <c r="AH70" i="17"/>
  <c r="AY72" i="17"/>
  <c r="AH75" i="17"/>
  <c r="AL75" i="17"/>
  <c r="AN76" i="17"/>
  <c r="AM53" i="17"/>
  <c r="BM51" i="17"/>
  <c r="BF51" i="17"/>
  <c r="AQ57" i="17"/>
  <c r="BJ73" i="17"/>
  <c r="BN75" i="17"/>
  <c r="AC75" i="17"/>
  <c r="AH56" i="17"/>
  <c r="AP73" i="17"/>
  <c r="BK74" i="17"/>
  <c r="AQ72" i="17"/>
  <c r="BH55" i="17"/>
  <c r="AM75" i="17"/>
  <c r="BL76" i="17"/>
  <c r="AO56" i="17"/>
  <c r="AK73" i="17"/>
  <c r="BC72" i="17"/>
  <c r="AO76" i="17"/>
  <c r="AG74" i="17"/>
  <c r="AL70" i="17"/>
  <c r="AY70" i="17"/>
  <c r="AQ53" i="17"/>
  <c r="BD73" i="17"/>
  <c r="AH54" i="17"/>
  <c r="AI73" i="17"/>
  <c r="AY74" i="17"/>
  <c r="BN73" i="17"/>
  <c r="BC70" i="17"/>
  <c r="AK55" i="17"/>
  <c r="AC73" i="17"/>
  <c r="AQ56" i="17"/>
  <c r="BA74" i="17"/>
  <c r="AC54" i="17"/>
  <c r="AZ57" i="17"/>
  <c r="AD72" i="17"/>
  <c r="AZ56" i="17"/>
  <c r="AD57" i="17"/>
  <c r="BA73" i="17"/>
  <c r="AD55" i="17"/>
  <c r="AP53" i="17"/>
  <c r="Z54" i="17"/>
  <c r="BC53" i="17"/>
  <c r="BJ53" i="17"/>
  <c r="AN56" i="17"/>
  <c r="AG53" i="17"/>
  <c r="AR51" i="17"/>
  <c r="AZ75" i="17"/>
  <c r="BC51" i="17"/>
  <c r="BL51" i="17"/>
  <c r="BL54" i="17"/>
  <c r="AE51" i="17"/>
  <c r="BL53" i="17"/>
  <c r="AY55" i="17"/>
  <c r="AE72" i="17"/>
  <c r="AR53" i="17"/>
  <c r="BL55" i="17"/>
  <c r="BN53" i="17"/>
  <c r="AE53" i="17"/>
  <c r="AD51" i="17"/>
  <c r="AZ76" i="17"/>
  <c r="Z57" i="17"/>
  <c r="AG51" i="17"/>
  <c r="AY56" i="17"/>
  <c r="AN53" i="17"/>
  <c r="AN54" i="17"/>
  <c r="BC55" i="17"/>
  <c r="AN57" i="17"/>
  <c r="BN56" i="17"/>
  <c r="AC55" i="17"/>
  <c r="BJ54" i="17"/>
  <c r="BL56" i="17"/>
  <c r="AD54" i="17"/>
  <c r="BN55" i="17"/>
  <c r="AV55" i="17"/>
  <c r="BJ56" i="17"/>
  <c r="BC54" i="17"/>
  <c r="AD70" i="17"/>
  <c r="AV56" i="17"/>
  <c r="AE54" i="17"/>
  <c r="AC57" i="17"/>
  <c r="BC57" i="17"/>
  <c r="AG55" i="17"/>
  <c r="AZ73" i="17"/>
  <c r="AZ72" i="17"/>
  <c r="BN51" i="17"/>
  <c r="AC56" i="17"/>
  <c r="BA76" i="17"/>
  <c r="AZ70" i="17"/>
  <c r="AP55" i="17"/>
  <c r="Z56" i="17"/>
  <c r="AY53" i="17"/>
  <c r="Z53" i="17"/>
  <c r="AC53" i="17"/>
  <c r="BA56" i="17"/>
  <c r="AP56" i="17"/>
  <c r="BJ55" i="17"/>
  <c r="Z55" i="17"/>
  <c r="BA54" i="17"/>
  <c r="AD75" i="17"/>
  <c r="AE75" i="17"/>
  <c r="AD76" i="17"/>
  <c r="AD53" i="17"/>
  <c r="AZ74" i="17"/>
  <c r="AE56" i="17"/>
  <c r="AN51" i="17"/>
  <c r="BA55" i="17"/>
  <c r="AE74" i="17"/>
  <c r="BC56" i="17"/>
  <c r="BA70" i="17"/>
  <c r="AR55" i="17"/>
  <c r="AD73" i="17"/>
  <c r="AR54" i="17"/>
  <c r="AY57" i="17"/>
  <c r="BA53" i="17"/>
  <c r="AR57" i="17"/>
  <c r="AE57" i="17"/>
  <c r="AV54" i="17"/>
  <c r="AE55" i="17"/>
  <c r="BA51" i="17"/>
  <c r="BL57" i="17"/>
  <c r="AV57" i="17"/>
  <c r="BN57" i="17"/>
  <c r="AY54" i="17"/>
  <c r="AV53" i="17"/>
  <c r="BA57" i="17"/>
  <c r="AG56" i="17"/>
  <c r="BN54" i="17"/>
  <c r="BA72" i="17"/>
  <c r="AC51" i="17"/>
  <c r="AN55" i="17"/>
  <c r="AE73" i="17"/>
  <c r="AD56" i="17"/>
  <c r="BJ57" i="17"/>
  <c r="AE70" i="17"/>
  <c r="AY51" i="17"/>
  <c r="AZ55" i="17"/>
  <c r="AD74" i="17"/>
  <c r="AP57" i="17"/>
  <c r="AE76" i="17"/>
  <c r="AG54" i="17"/>
  <c r="BJ51" i="17"/>
  <c r="AG57" i="17"/>
  <c r="AZ53" i="17"/>
  <c r="AP54" i="17"/>
  <c r="AR56" i="17"/>
  <c r="BA75" i="17"/>
  <c r="AZ54" i="17"/>
  <c r="AP51" i="17"/>
  <c r="AZ51" i="17"/>
  <c r="T258" i="9" l="1"/>
  <c r="U254" i="9" s="1"/>
  <c r="S208" i="27"/>
  <c r="S188" i="27"/>
  <c r="S146" i="27"/>
  <c r="T62" i="9"/>
  <c r="Z10" i="17"/>
  <c r="BG59" i="17"/>
  <c r="AJ62" i="17"/>
  <c r="BK61" i="17"/>
  <c r="AN59" i="17"/>
  <c r="AY61" i="17"/>
  <c r="BC61" i="17"/>
  <c r="AG81" i="17"/>
  <c r="BA80" i="17"/>
  <c r="BD61" i="17"/>
  <c r="BH59" i="17"/>
  <c r="BL61" i="17"/>
  <c r="AD62" i="17"/>
  <c r="AH61" i="17"/>
  <c r="AP62" i="17"/>
  <c r="AV12" i="17"/>
  <c r="BE61" i="17"/>
  <c r="BI61" i="17"/>
  <c r="BM59" i="17"/>
  <c r="AV74" i="17"/>
  <c r="Z75" i="17"/>
  <c r="Z15" i="17" s="1"/>
  <c r="AD81" i="17"/>
  <c r="AI81" i="17"/>
  <c r="AM81" i="17"/>
  <c r="AY81" i="17"/>
  <c r="BD81" i="17"/>
  <c r="BH80" i="17"/>
  <c r="BL80" i="17"/>
  <c r="AK81" i="17"/>
  <c r="AO81" i="17"/>
  <c r="BJ81" i="17"/>
  <c r="AG61" i="17"/>
  <c r="Z30" i="17"/>
  <c r="AE62" i="17"/>
  <c r="AI61" i="17"/>
  <c r="AM61" i="17"/>
  <c r="AQ62" i="17"/>
  <c r="BB61" i="17"/>
  <c r="BF61" i="17"/>
  <c r="BJ61" i="17"/>
  <c r="BN61" i="17"/>
  <c r="Z74" i="17"/>
  <c r="Z14" i="17" s="1"/>
  <c r="AE81" i="17"/>
  <c r="AJ81" i="17"/>
  <c r="AN80" i="17"/>
  <c r="AZ79" i="17"/>
  <c r="BE81" i="17"/>
  <c r="BI79" i="17"/>
  <c r="Z34" i="17"/>
  <c r="BF79" i="17"/>
  <c r="AC61" i="17"/>
  <c r="AK59" i="17"/>
  <c r="AO61" i="17"/>
  <c r="AZ61" i="17"/>
  <c r="Z73" i="17"/>
  <c r="Z13" i="17" s="1"/>
  <c r="AV75" i="17"/>
  <c r="AV76" i="17"/>
  <c r="AC81" i="17"/>
  <c r="AH80" i="17"/>
  <c r="AL81" i="17"/>
  <c r="AP81" i="17"/>
  <c r="BC79" i="17"/>
  <c r="BG80" i="17"/>
  <c r="BK81" i="17"/>
  <c r="AV34" i="17"/>
  <c r="AV15" i="17"/>
  <c r="AV33" i="17"/>
  <c r="AV30" i="17"/>
  <c r="AV16" i="17"/>
  <c r="Z31" i="17"/>
  <c r="Z33" i="17"/>
  <c r="AH59" i="17"/>
  <c r="AV32" i="17"/>
  <c r="AV14" i="17"/>
  <c r="AH60" i="17"/>
  <c r="AN61" i="17"/>
  <c r="BD62" i="17"/>
  <c r="AV72" i="17"/>
  <c r="AM79" i="17"/>
  <c r="AN60" i="17"/>
  <c r="AH62" i="17"/>
  <c r="BC60" i="17"/>
  <c r="AN62" i="17"/>
  <c r="AG78" i="17"/>
  <c r="AG80" i="17"/>
  <c r="BD60" i="17"/>
  <c r="BC80" i="17"/>
  <c r="BC62" i="17"/>
  <c r="Z32" i="17"/>
  <c r="AD59" i="17"/>
  <c r="AP59" i="17"/>
  <c r="AG60" i="17"/>
  <c r="BJ60" i="17"/>
  <c r="AK61" i="17"/>
  <c r="AG62" i="17"/>
  <c r="BJ62" i="17"/>
  <c r="AC78" i="17"/>
  <c r="AO78" i="17"/>
  <c r="BH78" i="17"/>
  <c r="AJ79" i="17"/>
  <c r="AC80" i="17"/>
  <c r="AO80" i="17"/>
  <c r="AE59" i="17"/>
  <c r="AQ59" i="17"/>
  <c r="BB60" i="17"/>
  <c r="BN60" i="17"/>
  <c r="BB62" i="17"/>
  <c r="BN62" i="17"/>
  <c r="AD78" i="17"/>
  <c r="AP78" i="17"/>
  <c r="BL78" i="17"/>
  <c r="AL79" i="17"/>
  <c r="AD80" i="17"/>
  <c r="AP80" i="17"/>
  <c r="AK60" i="17"/>
  <c r="AD61" i="17"/>
  <c r="AP61" i="17"/>
  <c r="AK62" i="17"/>
  <c r="AZ78" i="17"/>
  <c r="AZ80" i="17"/>
  <c r="AJ59" i="17"/>
  <c r="AM60" i="17"/>
  <c r="AE61" i="17"/>
  <c r="AQ61" i="17"/>
  <c r="AM62" i="17"/>
  <c r="AI78" i="17"/>
  <c r="BA78" i="17"/>
  <c r="AP79" i="17"/>
  <c r="AI80" i="17"/>
  <c r="AJ78" i="17"/>
  <c r="BF78" i="17"/>
  <c r="AD79" i="17"/>
  <c r="AJ80" i="17"/>
  <c r="BF80" i="17"/>
  <c r="BH60" i="17"/>
  <c r="BH62" i="17"/>
  <c r="AE60" i="17"/>
  <c r="AQ60" i="17"/>
  <c r="BI60" i="17"/>
  <c r="AJ61" i="17"/>
  <c r="BI62" i="17"/>
  <c r="Z76" i="17"/>
  <c r="Z16" i="17" s="1"/>
  <c r="AM78" i="17"/>
  <c r="BG78" i="17"/>
  <c r="AG79" i="17"/>
  <c r="AM80" i="17"/>
  <c r="AV73" i="17"/>
  <c r="AV31" i="17"/>
  <c r="AV13" i="17"/>
  <c r="AF62" i="17"/>
  <c r="AF60" i="17"/>
  <c r="AF61" i="17"/>
  <c r="AF59" i="17"/>
  <c r="AL62" i="17"/>
  <c r="AL60" i="17"/>
  <c r="AL61" i="17"/>
  <c r="AL59" i="17"/>
  <c r="AR62" i="17"/>
  <c r="AR60" i="17"/>
  <c r="AR61" i="17"/>
  <c r="AR59" i="17"/>
  <c r="BA62" i="17"/>
  <c r="BA60" i="17"/>
  <c r="BA61" i="17"/>
  <c r="BG62" i="17"/>
  <c r="BG60" i="17"/>
  <c r="BG61" i="17"/>
  <c r="BM62" i="17"/>
  <c r="BM60" i="17"/>
  <c r="BM61" i="17"/>
  <c r="BA59" i="17"/>
  <c r="BI80" i="17"/>
  <c r="AZ81" i="17"/>
  <c r="BF81" i="17"/>
  <c r="BL81" i="17"/>
  <c r="BE79" i="17"/>
  <c r="BB59" i="17"/>
  <c r="BN59" i="17"/>
  <c r="AY60" i="17"/>
  <c r="BH61" i="17"/>
  <c r="BE62" i="17"/>
  <c r="BK62" i="17"/>
  <c r="BC78" i="17"/>
  <c r="BL79" i="17"/>
  <c r="BC59" i="17"/>
  <c r="BI59" i="17"/>
  <c r="AC60" i="17"/>
  <c r="AI60" i="17"/>
  <c r="AO60" i="17"/>
  <c r="AZ60" i="17"/>
  <c r="BF60" i="17"/>
  <c r="BL60" i="17"/>
  <c r="AC62" i="17"/>
  <c r="AI62" i="17"/>
  <c r="AO62" i="17"/>
  <c r="AZ62" i="17"/>
  <c r="BF62" i="17"/>
  <c r="BL62" i="17"/>
  <c r="Z72" i="17"/>
  <c r="Z12" i="17" s="1"/>
  <c r="AE78" i="17"/>
  <c r="AK78" i="17"/>
  <c r="BD78" i="17"/>
  <c r="BJ78" i="17"/>
  <c r="AH79" i="17"/>
  <c r="AN79" i="17"/>
  <c r="BA79" i="17"/>
  <c r="BG79" i="17"/>
  <c r="AE80" i="17"/>
  <c r="AK80" i="17"/>
  <c r="BD80" i="17"/>
  <c r="BJ80" i="17"/>
  <c r="AH81" i="17"/>
  <c r="AN81" i="17"/>
  <c r="BA81" i="17"/>
  <c r="BG81" i="17"/>
  <c r="AY79" i="17"/>
  <c r="BK79" i="17"/>
  <c r="BE60" i="17"/>
  <c r="BK60" i="17"/>
  <c r="AY62" i="17"/>
  <c r="BI78" i="17"/>
  <c r="AG59" i="17"/>
  <c r="AM59" i="17"/>
  <c r="BD59" i="17"/>
  <c r="BJ59" i="17"/>
  <c r="AD60" i="17"/>
  <c r="AJ60" i="17"/>
  <c r="AP60" i="17"/>
  <c r="AL78" i="17"/>
  <c r="AY78" i="17"/>
  <c r="BE78" i="17"/>
  <c r="BK78" i="17"/>
  <c r="AC79" i="17"/>
  <c r="AI79" i="17"/>
  <c r="AO79" i="17"/>
  <c r="BH79" i="17"/>
  <c r="AL80" i="17"/>
  <c r="AY80" i="17"/>
  <c r="BE80" i="17"/>
  <c r="BK80" i="17"/>
  <c r="BH81" i="17"/>
  <c r="BC81" i="17"/>
  <c r="BI81" i="17"/>
  <c r="AY59" i="17"/>
  <c r="BE59" i="17"/>
  <c r="BK59" i="17"/>
  <c r="AC59" i="17"/>
  <c r="AI59" i="17"/>
  <c r="AO59" i="17"/>
  <c r="AZ59" i="17"/>
  <c r="BF59" i="17"/>
  <c r="BL59" i="17"/>
  <c r="AH78" i="17"/>
  <c r="AN78" i="17"/>
  <c r="AE79" i="17"/>
  <c r="AK79" i="17"/>
  <c r="BD79" i="17"/>
  <c r="BJ79" i="17"/>
  <c r="BB75" i="17"/>
  <c r="BB73" i="17"/>
  <c r="BB76" i="17"/>
  <c r="BB72" i="17"/>
  <c r="BB74" i="17"/>
  <c r="BB70" i="17"/>
  <c r="AF70" i="17"/>
  <c r="AF74" i="17"/>
  <c r="AF75" i="17"/>
  <c r="AF76" i="17"/>
  <c r="AF73" i="17"/>
  <c r="AF72" i="17"/>
  <c r="AF81" i="17" l="1"/>
  <c r="AF80" i="17"/>
  <c r="AF78" i="17"/>
  <c r="AF79" i="17"/>
  <c r="BB81" i="17"/>
  <c r="BB79" i="17"/>
  <c r="BB80" i="17"/>
  <c r="BB78" i="17"/>
  <c r="AF153" i="14" l="1"/>
  <c r="AE153" i="14"/>
  <c r="AH151" i="14"/>
  <c r="AC153" i="14"/>
  <c r="AB153" i="14"/>
  <c r="AA153" i="14"/>
  <c r="Z153" i="14"/>
  <c r="AC151" i="14"/>
  <c r="AB151" i="14"/>
  <c r="AA151" i="14"/>
  <c r="Z151" i="14"/>
  <c r="AG148" i="14"/>
  <c r="AF148" i="14"/>
  <c r="AE148" i="14"/>
  <c r="AC148" i="14"/>
  <c r="AB148" i="14"/>
  <c r="AA148" i="14"/>
  <c r="AC146" i="14"/>
  <c r="AB146" i="14"/>
  <c r="AA146" i="14"/>
  <c r="Z148" i="14"/>
  <c r="Z146" i="14"/>
  <c r="AG143" i="14"/>
  <c r="AF143" i="14"/>
  <c r="AG141" i="14"/>
  <c r="AF141" i="14"/>
  <c r="AE143" i="14"/>
  <c r="AE141" i="14"/>
  <c r="AC143" i="14"/>
  <c r="AB143" i="14"/>
  <c r="AA143" i="14"/>
  <c r="AC141" i="14"/>
  <c r="AB141" i="14"/>
  <c r="AA141" i="14"/>
  <c r="Z141" i="14"/>
  <c r="Z143" i="14"/>
  <c r="AG100" i="14"/>
  <c r="AF100" i="14"/>
  <c r="AE100" i="14"/>
  <c r="AC100" i="14"/>
  <c r="AB100" i="14"/>
  <c r="AA100" i="14"/>
  <c r="Z100" i="14"/>
  <c r="AG80" i="14"/>
  <c r="AF80" i="14"/>
  <c r="AE80" i="14"/>
  <c r="AG78" i="14"/>
  <c r="AF78" i="14"/>
  <c r="AE78" i="14"/>
  <c r="AC80" i="14"/>
  <c r="AB80" i="14"/>
  <c r="AA80" i="14"/>
  <c r="Z80" i="14"/>
  <c r="AC78" i="14"/>
  <c r="AB78" i="14"/>
  <c r="AA78" i="14"/>
  <c r="Z78" i="14"/>
  <c r="AG65" i="14"/>
  <c r="AF65" i="14"/>
  <c r="AE65" i="14"/>
  <c r="AC65" i="14"/>
  <c r="AB65" i="14"/>
  <c r="AA65" i="14"/>
  <c r="Z65" i="14"/>
  <c r="AG63" i="14"/>
  <c r="AF63" i="14"/>
  <c r="AE63" i="14"/>
  <c r="AC63" i="14"/>
  <c r="AB63" i="14"/>
  <c r="AA63" i="14"/>
  <c r="Z63" i="14"/>
  <c r="AG56" i="14"/>
  <c r="AF56" i="14"/>
  <c r="AE56" i="14"/>
  <c r="AC56" i="14"/>
  <c r="AB56" i="14"/>
  <c r="AA56" i="14"/>
  <c r="Z56" i="14"/>
  <c r="AH136" i="14" l="1"/>
  <c r="AH134" i="14"/>
  <c r="AG131" i="14"/>
  <c r="AF131" i="14"/>
  <c r="AE131" i="14"/>
  <c r="AC131" i="14"/>
  <c r="AB131" i="14"/>
  <c r="AA131" i="14"/>
  <c r="Z131" i="14"/>
  <c r="AC129" i="14"/>
  <c r="AB129" i="14"/>
  <c r="AA129" i="14"/>
  <c r="Z129" i="14"/>
  <c r="AG121" i="14"/>
  <c r="AF121" i="14"/>
  <c r="AE121" i="14"/>
  <c r="AC121" i="14"/>
  <c r="AB121" i="14"/>
  <c r="AA121" i="14"/>
  <c r="Z121" i="14"/>
  <c r="AC119" i="14"/>
  <c r="AB119" i="14"/>
  <c r="AA119" i="14"/>
  <c r="Z119" i="14"/>
  <c r="AG61" i="8" l="1"/>
  <c r="AF61" i="8"/>
  <c r="AE61" i="8"/>
  <c r="AC61" i="8"/>
  <c r="AB61" i="8"/>
  <c r="AA61" i="8"/>
  <c r="Z61" i="8"/>
  <c r="AG63" i="8"/>
  <c r="AF63" i="8"/>
  <c r="AE63" i="8"/>
  <c r="AC63" i="8"/>
  <c r="AB63" i="8"/>
  <c r="AA63" i="8"/>
  <c r="Z63" i="8"/>
  <c r="J33" i="8" l="1"/>
  <c r="AC316" i="9" l="1"/>
  <c r="AB316" i="9"/>
  <c r="AA316" i="9"/>
  <c r="Z316" i="9"/>
  <c r="G86" i="21" l="1"/>
  <c r="H67" i="21"/>
  <c r="H62" i="21"/>
  <c r="H61" i="21"/>
  <c r="I61" i="21"/>
  <c r="H50" i="21"/>
  <c r="H49" i="21"/>
  <c r="H48" i="21"/>
  <c r="I43" i="21"/>
  <c r="H35" i="21"/>
  <c r="G55" i="21"/>
  <c r="G54" i="21"/>
  <c r="G48" i="21"/>
  <c r="P46" i="8"/>
  <c r="K43" i="8"/>
  <c r="M34" i="8"/>
  <c r="L37" i="8"/>
  <c r="H37" i="8"/>
  <c r="G45" i="14"/>
  <c r="F40" i="8"/>
  <c r="K84" i="14"/>
  <c r="O32" i="8"/>
  <c r="O91" i="8" s="1"/>
  <c r="I35" i="8"/>
  <c r="I177" i="8" s="1"/>
  <c r="Z328" i="9"/>
  <c r="AA328" i="9" s="1"/>
  <c r="AB328" i="9" s="1"/>
  <c r="D20" i="26"/>
  <c r="C1" i="25"/>
  <c r="C2" i="25"/>
  <c r="M10" i="25"/>
  <c r="M24" i="25" s="1"/>
  <c r="N10" i="25"/>
  <c r="N40" i="25" s="1"/>
  <c r="C12" i="25"/>
  <c r="C13" i="25"/>
  <c r="C14" i="25"/>
  <c r="C15" i="25"/>
  <c r="C16" i="25"/>
  <c r="C17" i="25"/>
  <c r="C18" i="25"/>
  <c r="C19" i="25"/>
  <c r="C21" i="25"/>
  <c r="I24" i="25"/>
  <c r="J24" i="25"/>
  <c r="C32" i="25"/>
  <c r="C33" i="25"/>
  <c r="C34" i="25"/>
  <c r="C35" i="25"/>
  <c r="C36" i="25"/>
  <c r="C37" i="25"/>
  <c r="I40" i="25"/>
  <c r="J40" i="25"/>
  <c r="C42" i="25"/>
  <c r="C43" i="25"/>
  <c r="C44" i="25"/>
  <c r="C1" i="24"/>
  <c r="C2" i="24"/>
  <c r="L10" i="24"/>
  <c r="L24" i="24" s="1"/>
  <c r="C12" i="24"/>
  <c r="C13" i="24"/>
  <c r="C14" i="24"/>
  <c r="C16" i="24"/>
  <c r="C17" i="24"/>
  <c r="C18" i="24"/>
  <c r="C19" i="24"/>
  <c r="C21" i="24"/>
  <c r="H24" i="24"/>
  <c r="I24" i="24"/>
  <c r="C32" i="24"/>
  <c r="C33" i="24"/>
  <c r="C34" i="24"/>
  <c r="C35" i="24"/>
  <c r="C36" i="24"/>
  <c r="C37" i="24"/>
  <c r="H40" i="24"/>
  <c r="I40" i="24"/>
  <c r="C42" i="24"/>
  <c r="C43" i="24"/>
  <c r="C44" i="24"/>
  <c r="C1" i="23"/>
  <c r="C2" i="23"/>
  <c r="E5" i="23"/>
  <c r="C8" i="23" s="1"/>
  <c r="G5" i="23"/>
  <c r="H5" i="23"/>
  <c r="I5" i="23"/>
  <c r="J5" i="23"/>
  <c r="K5" i="23"/>
  <c r="L5" i="23"/>
  <c r="D12" i="23"/>
  <c r="P12" i="23" s="1"/>
  <c r="D13" i="23"/>
  <c r="D14" i="23"/>
  <c r="D15" i="23"/>
  <c r="D16" i="23"/>
  <c r="D17" i="23"/>
  <c r="B14" i="23"/>
  <c r="B15" i="23" s="1"/>
  <c r="B16" i="23" s="1"/>
  <c r="B17" i="23" s="1"/>
  <c r="C26" i="23"/>
  <c r="O26" i="23"/>
  <c r="O42" i="23" s="1"/>
  <c r="O58" i="23" s="1"/>
  <c r="O74" i="23" s="1"/>
  <c r="O90" i="23" s="1"/>
  <c r="O106" i="23" s="1"/>
  <c r="O122" i="23" s="1"/>
  <c r="O138" i="23" s="1"/>
  <c r="O154" i="23" s="1"/>
  <c r="D28" i="23"/>
  <c r="P28" i="23" s="1"/>
  <c r="D29" i="23"/>
  <c r="D30" i="23"/>
  <c r="D31" i="23"/>
  <c r="D32" i="23"/>
  <c r="D33" i="23"/>
  <c r="B30" i="23"/>
  <c r="B31" i="23" s="1"/>
  <c r="B32" i="23" s="1"/>
  <c r="C42" i="23"/>
  <c r="C58" i="23" s="1"/>
  <c r="C74" i="23" s="1"/>
  <c r="C90" i="23" s="1"/>
  <c r="C106" i="23" s="1"/>
  <c r="C122" i="23" s="1"/>
  <c r="C138" i="23" s="1"/>
  <c r="C154" i="23" s="1"/>
  <c r="D44" i="23"/>
  <c r="P44" i="23" s="1"/>
  <c r="D45" i="23"/>
  <c r="D46" i="23"/>
  <c r="D47" i="23"/>
  <c r="D48" i="23"/>
  <c r="D49" i="23"/>
  <c r="B46" i="23"/>
  <c r="B47" i="23" s="1"/>
  <c r="B48" i="23" s="1"/>
  <c r="D60" i="23"/>
  <c r="P60" i="23" s="1"/>
  <c r="D61" i="23"/>
  <c r="D62" i="23"/>
  <c r="D63" i="23"/>
  <c r="D64" i="23"/>
  <c r="D65" i="23"/>
  <c r="B62" i="23"/>
  <c r="B63" i="23" s="1"/>
  <c r="D76" i="23"/>
  <c r="P76" i="23" s="1"/>
  <c r="D77" i="23"/>
  <c r="D78" i="23"/>
  <c r="D79" i="23"/>
  <c r="D80" i="23"/>
  <c r="D81" i="23"/>
  <c r="B78" i="23"/>
  <c r="B79" i="23" s="1"/>
  <c r="B80" i="23" s="1"/>
  <c r="D92" i="23"/>
  <c r="P92" i="23" s="1"/>
  <c r="D93" i="23"/>
  <c r="D94" i="23"/>
  <c r="D95" i="23"/>
  <c r="D96" i="23"/>
  <c r="B94" i="23"/>
  <c r="B95" i="23" s="1"/>
  <c r="D97" i="23"/>
  <c r="D108" i="23"/>
  <c r="P108" i="23" s="1"/>
  <c r="D109" i="23"/>
  <c r="D110" i="23"/>
  <c r="D111" i="23"/>
  <c r="D112" i="23"/>
  <c r="D113" i="23"/>
  <c r="B110" i="23"/>
  <c r="B111" i="23" s="1"/>
  <c r="D124" i="23"/>
  <c r="P124" i="23" s="1"/>
  <c r="D125" i="23"/>
  <c r="D126" i="23"/>
  <c r="D127" i="23"/>
  <c r="D128" i="23"/>
  <c r="D129" i="23"/>
  <c r="B126" i="23"/>
  <c r="B127" i="23" s="1"/>
  <c r="P140" i="23"/>
  <c r="B141" i="23"/>
  <c r="B142" i="23" s="1"/>
  <c r="B143" i="23" s="1"/>
  <c r="P156" i="23"/>
  <c r="B157" i="23"/>
  <c r="B158" i="23" s="1"/>
  <c r="B159" i="23" s="1"/>
  <c r="B160" i="23" s="1"/>
  <c r="B161" i="23" s="1"/>
  <c r="P161" i="23" s="1"/>
  <c r="C1" i="22"/>
  <c r="C2" i="22"/>
  <c r="C25" i="22"/>
  <c r="K28" i="22"/>
  <c r="K31" i="22" s="1"/>
  <c r="C68" i="22"/>
  <c r="K68" i="22"/>
  <c r="C71" i="22"/>
  <c r="K71" i="22"/>
  <c r="C88" i="22"/>
  <c r="C91" i="22" s="1"/>
  <c r="R88" i="22"/>
  <c r="E92" i="22"/>
  <c r="F92" i="22"/>
  <c r="G92" i="22"/>
  <c r="D116" i="22"/>
  <c r="E116" i="22"/>
  <c r="F116" i="22"/>
  <c r="G116" i="22"/>
  <c r="H116" i="22"/>
  <c r="I116" i="22"/>
  <c r="C133" i="22"/>
  <c r="E135" i="22"/>
  <c r="F135" i="22" s="1"/>
  <c r="G135" i="22" s="1"/>
  <c r="H135" i="22" s="1"/>
  <c r="I135" i="22" s="1"/>
  <c r="J135" i="22" s="1"/>
  <c r="K135" i="22" s="1"/>
  <c r="L135" i="22" s="1"/>
  <c r="M135" i="22" s="1"/>
  <c r="N135" i="22" s="1"/>
  <c r="O135" i="22" s="1"/>
  <c r="P135" i="22" s="1"/>
  <c r="Q135" i="22" s="1"/>
  <c r="E159" i="22"/>
  <c r="F159" i="22" s="1"/>
  <c r="G159" i="22" s="1"/>
  <c r="H159" i="22" s="1"/>
  <c r="I159" i="22" s="1"/>
  <c r="M159" i="22"/>
  <c r="N159" i="22" s="1"/>
  <c r="O159" i="22" s="1"/>
  <c r="P159" i="22" s="1"/>
  <c r="Q159" i="22" s="1"/>
  <c r="C177" i="22"/>
  <c r="C180" i="22"/>
  <c r="F181" i="22"/>
  <c r="G181" i="22"/>
  <c r="H181" i="22"/>
  <c r="O183" i="22"/>
  <c r="P183" i="22"/>
  <c r="O184" i="22"/>
  <c r="P184" i="22"/>
  <c r="C1" i="19"/>
  <c r="C2" i="19"/>
  <c r="L4" i="19"/>
  <c r="AL4" i="19"/>
  <c r="BL4" i="19"/>
  <c r="C6" i="19"/>
  <c r="I6" i="19"/>
  <c r="I8" i="19" s="1"/>
  <c r="K8" i="19" s="1"/>
  <c r="M6" i="19"/>
  <c r="N6" i="19"/>
  <c r="O6" i="19"/>
  <c r="P6" i="19"/>
  <c r="Q6" i="19"/>
  <c r="W6" i="19" s="1"/>
  <c r="AM6" i="19"/>
  <c r="AN6" i="19"/>
  <c r="AO6" i="19"/>
  <c r="AP6" i="19"/>
  <c r="AQ6" i="19"/>
  <c r="BL6" i="19"/>
  <c r="BM6" i="19"/>
  <c r="BN6" i="19"/>
  <c r="BO6" i="19"/>
  <c r="BP6" i="19"/>
  <c r="BQ6" i="19"/>
  <c r="BX6" i="19"/>
  <c r="CD6" i="19"/>
  <c r="L7" i="19"/>
  <c r="R7" i="19" s="1"/>
  <c r="AE7" i="19"/>
  <c r="N7" i="19"/>
  <c r="Z7" i="19" s="1"/>
  <c r="O7" i="19"/>
  <c r="AG7" i="19" s="1"/>
  <c r="P7" i="19"/>
  <c r="Q7" i="19"/>
  <c r="AI7" i="19" s="1"/>
  <c r="AL7" i="19"/>
  <c r="AR7" i="19" s="1"/>
  <c r="AM7" i="19"/>
  <c r="AS7" i="19" s="1"/>
  <c r="AY7" i="19" s="1"/>
  <c r="BE7" i="19" s="1"/>
  <c r="AN7" i="19"/>
  <c r="AT7" i="19" s="1"/>
  <c r="AZ7" i="19" s="1"/>
  <c r="BF7" i="19" s="1"/>
  <c r="AO7" i="19"/>
  <c r="AU7" i="19" s="1"/>
  <c r="BA7" i="19" s="1"/>
  <c r="BG7" i="19" s="1"/>
  <c r="AP7" i="19"/>
  <c r="AV7" i="19" s="1"/>
  <c r="BB7" i="19" s="1"/>
  <c r="BH7" i="19" s="1"/>
  <c r="AQ7" i="19"/>
  <c r="AW7" i="19" s="1"/>
  <c r="BC7" i="19" s="1"/>
  <c r="BI7" i="19" s="1"/>
  <c r="BL7" i="19"/>
  <c r="BM7" i="19"/>
  <c r="BS7" i="19" s="1"/>
  <c r="BY7" i="19" s="1"/>
  <c r="CE7" i="19" s="1"/>
  <c r="BN7" i="19"/>
  <c r="BT7" i="19" s="1"/>
  <c r="BZ7" i="19" s="1"/>
  <c r="CF7" i="19" s="1"/>
  <c r="BO7" i="19"/>
  <c r="BU7" i="19" s="1"/>
  <c r="CA7" i="19" s="1"/>
  <c r="CG7" i="19" s="1"/>
  <c r="BP7" i="19"/>
  <c r="BV7" i="19" s="1"/>
  <c r="CB7" i="19" s="1"/>
  <c r="CH7" i="19" s="1"/>
  <c r="BQ7" i="19"/>
  <c r="BW7" i="19" s="1"/>
  <c r="CC7" i="19" s="1"/>
  <c r="CI7" i="19" s="1"/>
  <c r="BX7" i="19"/>
  <c r="CD7" i="19"/>
  <c r="AL8" i="19"/>
  <c r="BL8" i="19" s="1"/>
  <c r="AR8" i="19"/>
  <c r="BR8" i="19" s="1"/>
  <c r="AX8" i="19"/>
  <c r="BX8" i="19" s="1"/>
  <c r="E9" i="19"/>
  <c r="F9" i="19"/>
  <c r="G9" i="19"/>
  <c r="H9" i="19"/>
  <c r="AL9" i="19"/>
  <c r="BL9" i="19" s="1"/>
  <c r="AR9" i="19"/>
  <c r="BR9" i="19" s="1"/>
  <c r="AX9" i="19"/>
  <c r="BX9" i="19" s="1"/>
  <c r="E10" i="19"/>
  <c r="F10" i="19"/>
  <c r="G10" i="19"/>
  <c r="H10" i="19"/>
  <c r="AL10" i="19"/>
  <c r="BL10" i="19" s="1"/>
  <c r="AR10" i="19"/>
  <c r="BR10" i="19" s="1"/>
  <c r="AX10" i="19"/>
  <c r="BX10" i="19" s="1"/>
  <c r="E11" i="19"/>
  <c r="F11" i="19"/>
  <c r="G11" i="19"/>
  <c r="H11" i="19"/>
  <c r="AL11" i="19"/>
  <c r="BL11" i="19" s="1"/>
  <c r="AR11" i="19"/>
  <c r="BR11" i="19" s="1"/>
  <c r="AX11" i="19"/>
  <c r="BX11" i="19" s="1"/>
  <c r="E12" i="19"/>
  <c r="G12" i="19"/>
  <c r="H12" i="19"/>
  <c r="AL12" i="19"/>
  <c r="BL12" i="19" s="1"/>
  <c r="AR12" i="19"/>
  <c r="BR12" i="19" s="1"/>
  <c r="AX12" i="19"/>
  <c r="BX12" i="19" s="1"/>
  <c r="AL13" i="19"/>
  <c r="BL13" i="19" s="1"/>
  <c r="AR13" i="19"/>
  <c r="BR13" i="19" s="1"/>
  <c r="AX13" i="19"/>
  <c r="BX13" i="19" s="1"/>
  <c r="AL14" i="19"/>
  <c r="BL14" i="19" s="1"/>
  <c r="AR14" i="19"/>
  <c r="BR14" i="19" s="1"/>
  <c r="AX14" i="19"/>
  <c r="BX14" i="19" s="1"/>
  <c r="E15" i="19"/>
  <c r="F15" i="19"/>
  <c r="G15" i="19"/>
  <c r="H15" i="19"/>
  <c r="AL15" i="19"/>
  <c r="BL15" i="19" s="1"/>
  <c r="AR15" i="19"/>
  <c r="BR15" i="19" s="1"/>
  <c r="AX15" i="19"/>
  <c r="BX15" i="19" s="1"/>
  <c r="E20" i="19"/>
  <c r="E24" i="19"/>
  <c r="F20" i="19"/>
  <c r="F24" i="19"/>
  <c r="G20" i="19"/>
  <c r="G24" i="19"/>
  <c r="H20" i="19"/>
  <c r="AL16" i="19"/>
  <c r="BL16" i="19" s="1"/>
  <c r="AR16" i="19"/>
  <c r="BR16" i="19" s="1"/>
  <c r="AX16" i="19"/>
  <c r="BX16" i="19" s="1"/>
  <c r="E21" i="19"/>
  <c r="E25" i="19"/>
  <c r="F21" i="19"/>
  <c r="F25" i="19"/>
  <c r="G21" i="19"/>
  <c r="G25" i="19"/>
  <c r="H21" i="19"/>
  <c r="H25" i="19"/>
  <c r="AL17" i="19"/>
  <c r="BL17" i="19" s="1"/>
  <c r="AR17" i="19"/>
  <c r="BR17" i="19" s="1"/>
  <c r="AX17" i="19"/>
  <c r="BX17" i="19" s="1"/>
  <c r="E22" i="19"/>
  <c r="E26" i="19"/>
  <c r="F22" i="19"/>
  <c r="F26" i="19"/>
  <c r="G22" i="19"/>
  <c r="G26" i="19"/>
  <c r="H22" i="19"/>
  <c r="H26" i="19"/>
  <c r="AL18" i="19"/>
  <c r="BL18" i="19" s="1"/>
  <c r="AR18" i="19"/>
  <c r="BR18" i="19" s="1"/>
  <c r="AX18" i="19"/>
  <c r="BX18" i="19" s="1"/>
  <c r="E19" i="19"/>
  <c r="F19" i="19"/>
  <c r="G19" i="19"/>
  <c r="H19" i="19"/>
  <c r="AL19" i="19"/>
  <c r="BL19" i="19" s="1"/>
  <c r="AR19" i="19"/>
  <c r="BR19" i="19" s="1"/>
  <c r="AX19" i="19"/>
  <c r="BX19" i="19" s="1"/>
  <c r="AL20" i="19"/>
  <c r="BL20" i="19" s="1"/>
  <c r="AR20" i="19"/>
  <c r="BR20" i="19" s="1"/>
  <c r="AX20" i="19"/>
  <c r="BX20" i="19" s="1"/>
  <c r="AL21" i="19"/>
  <c r="BL21" i="19" s="1"/>
  <c r="AR21" i="19"/>
  <c r="BR21" i="19" s="1"/>
  <c r="AX21" i="19"/>
  <c r="BX21" i="19" s="1"/>
  <c r="AL22" i="19"/>
  <c r="BL22" i="19" s="1"/>
  <c r="AR22" i="19"/>
  <c r="BR22" i="19" s="1"/>
  <c r="AX22" i="19"/>
  <c r="BX22" i="19" s="1"/>
  <c r="BD22" i="19"/>
  <c r="CD22" i="19" s="1"/>
  <c r="E23" i="19"/>
  <c r="F23" i="19"/>
  <c r="G23" i="19"/>
  <c r="H23" i="19"/>
  <c r="AL23" i="19"/>
  <c r="BL23" i="19" s="1"/>
  <c r="AR23" i="19"/>
  <c r="BR23" i="19" s="1"/>
  <c r="AX23" i="19"/>
  <c r="BX23" i="19" s="1"/>
  <c r="BD23" i="19"/>
  <c r="CD23" i="19" s="1"/>
  <c r="H24" i="19"/>
  <c r="AL24" i="19"/>
  <c r="BL24" i="19" s="1"/>
  <c r="AR24" i="19"/>
  <c r="BR24" i="19" s="1"/>
  <c r="AX24" i="19"/>
  <c r="BX24" i="19" s="1"/>
  <c r="BD24" i="19"/>
  <c r="CD24" i="19" s="1"/>
  <c r="AL25" i="19"/>
  <c r="BL25" i="19" s="1"/>
  <c r="AR25" i="19"/>
  <c r="BR25" i="19" s="1"/>
  <c r="AX25" i="19"/>
  <c r="BX25" i="19" s="1"/>
  <c r="BD25" i="19"/>
  <c r="CD25" i="19" s="1"/>
  <c r="AL26" i="19"/>
  <c r="BL26" i="19" s="1"/>
  <c r="AR26" i="19"/>
  <c r="BR26" i="19" s="1"/>
  <c r="AX26" i="19"/>
  <c r="BX26" i="19" s="1"/>
  <c r="BD26" i="19"/>
  <c r="CD26" i="19" s="1"/>
  <c r="AL27" i="19"/>
  <c r="BL27" i="19" s="1"/>
  <c r="AR27" i="19"/>
  <c r="BR27" i="19" s="1"/>
  <c r="AX27" i="19"/>
  <c r="BX27" i="19" s="1"/>
  <c r="BD27" i="19"/>
  <c r="CD27" i="19" s="1"/>
  <c r="C28" i="19"/>
  <c r="AL28" i="19"/>
  <c r="BL28" i="19" s="1"/>
  <c r="AR28" i="19"/>
  <c r="BR28" i="19" s="1"/>
  <c r="AX28" i="19"/>
  <c r="BX28" i="19" s="1"/>
  <c r="BD28" i="19"/>
  <c r="CD28" i="19" s="1"/>
  <c r="AL29" i="19"/>
  <c r="BL29" i="19" s="1"/>
  <c r="AR29" i="19"/>
  <c r="BR29" i="19" s="1"/>
  <c r="AX29" i="19"/>
  <c r="BX29" i="19" s="1"/>
  <c r="BD29" i="19"/>
  <c r="CD29" i="19" s="1"/>
  <c r="AL30" i="19"/>
  <c r="BL30" i="19" s="1"/>
  <c r="AR30" i="19"/>
  <c r="BR30" i="19" s="1"/>
  <c r="AX30" i="19"/>
  <c r="BX30" i="19" s="1"/>
  <c r="BD30" i="19"/>
  <c r="CD30" i="19" s="1"/>
  <c r="E31" i="19"/>
  <c r="G31" i="19"/>
  <c r="H31" i="19"/>
  <c r="AL31" i="19"/>
  <c r="BL31" i="19" s="1"/>
  <c r="AR31" i="19"/>
  <c r="BR31" i="19" s="1"/>
  <c r="AX31" i="19"/>
  <c r="BX31" i="19" s="1"/>
  <c r="BD31" i="19"/>
  <c r="CD31" i="19" s="1"/>
  <c r="E32" i="19"/>
  <c r="F32" i="19"/>
  <c r="G32" i="19"/>
  <c r="H32" i="19"/>
  <c r="AL32" i="19"/>
  <c r="BL32" i="19" s="1"/>
  <c r="AR32" i="19"/>
  <c r="BR32" i="19" s="1"/>
  <c r="AX32" i="19"/>
  <c r="BX32" i="19" s="1"/>
  <c r="BD32" i="19"/>
  <c r="CD32" i="19" s="1"/>
  <c r="E33" i="19"/>
  <c r="F33" i="19"/>
  <c r="G33" i="19"/>
  <c r="H33" i="19"/>
  <c r="AL33" i="19"/>
  <c r="AR33" i="19"/>
  <c r="BR33" i="19" s="1"/>
  <c r="AX33" i="19"/>
  <c r="BX33" i="19" s="1"/>
  <c r="BD33" i="19"/>
  <c r="CD33" i="19" s="1"/>
  <c r="BL33" i="19"/>
  <c r="E34" i="19"/>
  <c r="F34" i="19"/>
  <c r="G34" i="19"/>
  <c r="H34" i="19"/>
  <c r="AL34" i="19"/>
  <c r="BL34" i="19" s="1"/>
  <c r="AR34" i="19"/>
  <c r="BR34" i="19" s="1"/>
  <c r="AX34" i="19"/>
  <c r="BX34" i="19" s="1"/>
  <c r="BD34" i="19"/>
  <c r="CD34" i="19" s="1"/>
  <c r="AL35" i="19"/>
  <c r="BL35" i="19" s="1"/>
  <c r="AR35" i="19"/>
  <c r="BR35" i="19" s="1"/>
  <c r="AX35" i="19"/>
  <c r="BX35" i="19" s="1"/>
  <c r="BD35" i="19"/>
  <c r="CD35" i="19" s="1"/>
  <c r="AL36" i="19"/>
  <c r="BL36" i="19" s="1"/>
  <c r="AR36" i="19"/>
  <c r="BR36" i="19" s="1"/>
  <c r="AX36" i="19"/>
  <c r="BX36" i="19" s="1"/>
  <c r="BD36" i="19"/>
  <c r="CD36" i="19" s="1"/>
  <c r="E37" i="19"/>
  <c r="F37" i="19"/>
  <c r="G37" i="19"/>
  <c r="H37" i="19"/>
  <c r="AL37" i="19"/>
  <c r="BL37" i="19" s="1"/>
  <c r="AR37" i="19"/>
  <c r="BR37" i="19" s="1"/>
  <c r="AX37" i="19"/>
  <c r="BX37" i="19" s="1"/>
  <c r="BD37" i="19"/>
  <c r="CD37" i="19" s="1"/>
  <c r="E42" i="19"/>
  <c r="E46" i="19"/>
  <c r="F42" i="19"/>
  <c r="F46" i="19"/>
  <c r="G42" i="19"/>
  <c r="G46" i="19"/>
  <c r="H42" i="19"/>
  <c r="H46" i="19"/>
  <c r="AL38" i="19"/>
  <c r="BL38" i="19" s="1"/>
  <c r="AR38" i="19"/>
  <c r="BR38" i="19" s="1"/>
  <c r="AX38" i="19"/>
  <c r="BX38" i="19" s="1"/>
  <c r="BD38" i="19"/>
  <c r="CD38" i="19" s="1"/>
  <c r="E43" i="19"/>
  <c r="E47" i="19"/>
  <c r="F43" i="19"/>
  <c r="F47" i="19"/>
  <c r="G43" i="19"/>
  <c r="G47" i="19"/>
  <c r="H43" i="19"/>
  <c r="H47" i="19"/>
  <c r="AL39" i="19"/>
  <c r="BL39" i="19" s="1"/>
  <c r="AR39" i="19"/>
  <c r="BR39" i="19" s="1"/>
  <c r="AX39" i="19"/>
  <c r="BX39" i="19" s="1"/>
  <c r="BD39" i="19"/>
  <c r="CD39" i="19" s="1"/>
  <c r="E44" i="19"/>
  <c r="E48" i="19"/>
  <c r="F44" i="19"/>
  <c r="F48" i="19"/>
  <c r="G44" i="19"/>
  <c r="G48" i="19"/>
  <c r="H44" i="19"/>
  <c r="H48" i="19"/>
  <c r="AL40" i="19"/>
  <c r="BL40" i="19" s="1"/>
  <c r="AR40" i="19"/>
  <c r="BR40" i="19" s="1"/>
  <c r="AX40" i="19"/>
  <c r="BX40" i="19" s="1"/>
  <c r="BD40" i="19"/>
  <c r="CD40" i="19" s="1"/>
  <c r="E41" i="19"/>
  <c r="F41" i="19"/>
  <c r="G41" i="19"/>
  <c r="H41" i="19"/>
  <c r="AL41" i="19"/>
  <c r="BL41" i="19" s="1"/>
  <c r="AR41" i="19"/>
  <c r="BR41" i="19" s="1"/>
  <c r="AX41" i="19"/>
  <c r="BX41" i="19" s="1"/>
  <c r="BD41" i="19"/>
  <c r="CD41" i="19" s="1"/>
  <c r="AL42" i="19"/>
  <c r="BL42" i="19" s="1"/>
  <c r="AR42" i="19"/>
  <c r="BR42" i="19" s="1"/>
  <c r="AX42" i="19"/>
  <c r="BX42" i="19" s="1"/>
  <c r="BD42" i="19"/>
  <c r="CD42" i="19" s="1"/>
  <c r="AL43" i="19"/>
  <c r="BL43" i="19" s="1"/>
  <c r="AR43" i="19"/>
  <c r="BR43" i="19" s="1"/>
  <c r="AX43" i="19"/>
  <c r="BX43" i="19" s="1"/>
  <c r="BD43" i="19"/>
  <c r="CD43" i="19" s="1"/>
  <c r="AL44" i="19"/>
  <c r="BL44" i="19" s="1"/>
  <c r="AR44" i="19"/>
  <c r="BR44" i="19" s="1"/>
  <c r="AX44" i="19"/>
  <c r="BX44" i="19" s="1"/>
  <c r="BD44" i="19"/>
  <c r="CD44" i="19" s="1"/>
  <c r="E45" i="19"/>
  <c r="F45" i="19"/>
  <c r="G45" i="19"/>
  <c r="H45" i="19"/>
  <c r="AL45" i="19"/>
  <c r="BL45" i="19" s="1"/>
  <c r="AR45" i="19"/>
  <c r="BR45" i="19" s="1"/>
  <c r="AX45" i="19"/>
  <c r="BX45" i="19" s="1"/>
  <c r="BD45" i="19"/>
  <c r="CD45" i="19" s="1"/>
  <c r="AL46" i="19"/>
  <c r="BL46" i="19" s="1"/>
  <c r="AR46" i="19"/>
  <c r="BR46" i="19" s="1"/>
  <c r="AX46" i="19"/>
  <c r="BX46" i="19" s="1"/>
  <c r="BD46" i="19"/>
  <c r="CD46" i="19" s="1"/>
  <c r="AL47" i="19"/>
  <c r="BL47" i="19" s="1"/>
  <c r="AR47" i="19"/>
  <c r="BR47" i="19" s="1"/>
  <c r="AX47" i="19"/>
  <c r="BX47" i="19" s="1"/>
  <c r="BD47" i="19"/>
  <c r="CD47" i="19" s="1"/>
  <c r="AL48" i="19"/>
  <c r="BL48" i="19" s="1"/>
  <c r="AR48" i="19"/>
  <c r="BR48" i="19" s="1"/>
  <c r="AX48" i="19"/>
  <c r="BX48" i="19" s="1"/>
  <c r="BD48" i="19"/>
  <c r="CD48" i="19" s="1"/>
  <c r="AL49" i="19"/>
  <c r="BL49" i="19" s="1"/>
  <c r="AR49" i="19"/>
  <c r="BR49" i="19" s="1"/>
  <c r="AX49" i="19"/>
  <c r="BX49" i="19" s="1"/>
  <c r="BD49" i="19"/>
  <c r="CD49" i="19" s="1"/>
  <c r="C50" i="19"/>
  <c r="AL50" i="19"/>
  <c r="BL50" i="19" s="1"/>
  <c r="AR50" i="19"/>
  <c r="BR50" i="19" s="1"/>
  <c r="AX50" i="19"/>
  <c r="BX50" i="19" s="1"/>
  <c r="BD50" i="19"/>
  <c r="CD50" i="19" s="1"/>
  <c r="AL51" i="19"/>
  <c r="BL51" i="19" s="1"/>
  <c r="AR51" i="19"/>
  <c r="BR51" i="19" s="1"/>
  <c r="AX51" i="19"/>
  <c r="BX51" i="19" s="1"/>
  <c r="BD51" i="19"/>
  <c r="CD51" i="19" s="1"/>
  <c r="AL52" i="19"/>
  <c r="BL52" i="19" s="1"/>
  <c r="AR52" i="19"/>
  <c r="BR52" i="19" s="1"/>
  <c r="AX52" i="19"/>
  <c r="BX52" i="19" s="1"/>
  <c r="BD52" i="19"/>
  <c r="CD52" i="19" s="1"/>
  <c r="E53" i="19"/>
  <c r="F53" i="19"/>
  <c r="G53" i="19"/>
  <c r="H53" i="19"/>
  <c r="AL53" i="19"/>
  <c r="BL53" i="19" s="1"/>
  <c r="AR53" i="19"/>
  <c r="BR53" i="19" s="1"/>
  <c r="AX53" i="19"/>
  <c r="BX53" i="19" s="1"/>
  <c r="BD53" i="19"/>
  <c r="CD53" i="19" s="1"/>
  <c r="E54" i="19"/>
  <c r="F54" i="19"/>
  <c r="G54" i="19"/>
  <c r="H54" i="19"/>
  <c r="AL54" i="19"/>
  <c r="BL54" i="19" s="1"/>
  <c r="AR54" i="19"/>
  <c r="BR54" i="19" s="1"/>
  <c r="AX54" i="19"/>
  <c r="BX54" i="19" s="1"/>
  <c r="BD54" i="19"/>
  <c r="CD54" i="19" s="1"/>
  <c r="E55" i="19"/>
  <c r="F55" i="19"/>
  <c r="G55" i="19"/>
  <c r="H55" i="19"/>
  <c r="AL55" i="19"/>
  <c r="BL55" i="19" s="1"/>
  <c r="AR55" i="19"/>
  <c r="BR55" i="19" s="1"/>
  <c r="AX55" i="19"/>
  <c r="BX55" i="19" s="1"/>
  <c r="BD55" i="19"/>
  <c r="CD55" i="19" s="1"/>
  <c r="E56" i="19"/>
  <c r="F56" i="19"/>
  <c r="G56" i="19"/>
  <c r="H56" i="19"/>
  <c r="AL56" i="19"/>
  <c r="BL56" i="19" s="1"/>
  <c r="AR56" i="19"/>
  <c r="BR56" i="19" s="1"/>
  <c r="AX56" i="19"/>
  <c r="BX56" i="19" s="1"/>
  <c r="BD56" i="19"/>
  <c r="CD56" i="19" s="1"/>
  <c r="AL57" i="19"/>
  <c r="BL57" i="19" s="1"/>
  <c r="AR57" i="19"/>
  <c r="BR57" i="19" s="1"/>
  <c r="AX57" i="19"/>
  <c r="BX57" i="19" s="1"/>
  <c r="BD57" i="19"/>
  <c r="CD57" i="19" s="1"/>
  <c r="AL58" i="19"/>
  <c r="BL58" i="19" s="1"/>
  <c r="AR58" i="19"/>
  <c r="BR58" i="19" s="1"/>
  <c r="AX58" i="19"/>
  <c r="BX58" i="19" s="1"/>
  <c r="BD58" i="19"/>
  <c r="CD58" i="19" s="1"/>
  <c r="E59" i="19"/>
  <c r="F59" i="19"/>
  <c r="G59" i="19"/>
  <c r="H59" i="19"/>
  <c r="AL59" i="19"/>
  <c r="BL59" i="19" s="1"/>
  <c r="AR59" i="19"/>
  <c r="BR59" i="19" s="1"/>
  <c r="AX59" i="19"/>
  <c r="BX59" i="19" s="1"/>
  <c r="BD59" i="19"/>
  <c r="CD59" i="19" s="1"/>
  <c r="E64" i="19"/>
  <c r="E68" i="19"/>
  <c r="F64" i="19"/>
  <c r="F68" i="19"/>
  <c r="G64" i="19"/>
  <c r="G68" i="19"/>
  <c r="H64" i="19"/>
  <c r="H60" i="19" s="1"/>
  <c r="AL60" i="19"/>
  <c r="BL60" i="19" s="1"/>
  <c r="AR60" i="19"/>
  <c r="BR60" i="19" s="1"/>
  <c r="AX60" i="19"/>
  <c r="BX60" i="19" s="1"/>
  <c r="BD60" i="19"/>
  <c r="CD60" i="19" s="1"/>
  <c r="E65" i="19"/>
  <c r="E69" i="19"/>
  <c r="F65" i="19"/>
  <c r="F69" i="19"/>
  <c r="G65" i="19"/>
  <c r="G69" i="19"/>
  <c r="H65" i="19"/>
  <c r="H69" i="19"/>
  <c r="AL61" i="19"/>
  <c r="BL61" i="19" s="1"/>
  <c r="AR61" i="19"/>
  <c r="BR61" i="19" s="1"/>
  <c r="AX61" i="19"/>
  <c r="BX61" i="19" s="1"/>
  <c r="BD61" i="19"/>
  <c r="CD61" i="19" s="1"/>
  <c r="E66" i="19"/>
  <c r="E70" i="19"/>
  <c r="F66" i="19"/>
  <c r="F70" i="19"/>
  <c r="G66" i="19"/>
  <c r="G70" i="19"/>
  <c r="H66" i="19"/>
  <c r="H70" i="19"/>
  <c r="AL62" i="19"/>
  <c r="BL62" i="19" s="1"/>
  <c r="AR62" i="19"/>
  <c r="BR62" i="19" s="1"/>
  <c r="AX62" i="19"/>
  <c r="BX62" i="19" s="1"/>
  <c r="BD62" i="19"/>
  <c r="CD62" i="19" s="1"/>
  <c r="E63" i="19"/>
  <c r="F63" i="19"/>
  <c r="G63" i="19"/>
  <c r="H63" i="19"/>
  <c r="AL63" i="19"/>
  <c r="BL63" i="19" s="1"/>
  <c r="AR63" i="19"/>
  <c r="BR63" i="19" s="1"/>
  <c r="AX63" i="19"/>
  <c r="BX63" i="19" s="1"/>
  <c r="BD63" i="19"/>
  <c r="CD63" i="19" s="1"/>
  <c r="AL64" i="19"/>
  <c r="BL64" i="19" s="1"/>
  <c r="AR64" i="19"/>
  <c r="BR64" i="19" s="1"/>
  <c r="AX64" i="19"/>
  <c r="BX64" i="19" s="1"/>
  <c r="BD64" i="19"/>
  <c r="CD64" i="19" s="1"/>
  <c r="AL65" i="19"/>
  <c r="BL65" i="19" s="1"/>
  <c r="AR65" i="19"/>
  <c r="BR65" i="19" s="1"/>
  <c r="AX65" i="19"/>
  <c r="BX65" i="19" s="1"/>
  <c r="BD65" i="19"/>
  <c r="CD65" i="19" s="1"/>
  <c r="AL66" i="19"/>
  <c r="BL66" i="19" s="1"/>
  <c r="AR66" i="19"/>
  <c r="BR66" i="19" s="1"/>
  <c r="AX66" i="19"/>
  <c r="BX66" i="19" s="1"/>
  <c r="BD66" i="19"/>
  <c r="CD66" i="19" s="1"/>
  <c r="E67" i="19"/>
  <c r="F67" i="19"/>
  <c r="G67" i="19"/>
  <c r="H67" i="19"/>
  <c r="AL67" i="19"/>
  <c r="BL67" i="19" s="1"/>
  <c r="AR67" i="19"/>
  <c r="BR67" i="19" s="1"/>
  <c r="AX67" i="19"/>
  <c r="BX67" i="19" s="1"/>
  <c r="BD67" i="19"/>
  <c r="CD67" i="19" s="1"/>
  <c r="H68" i="19"/>
  <c r="AL68" i="19"/>
  <c r="BL68" i="19" s="1"/>
  <c r="AR68" i="19"/>
  <c r="BR68" i="19" s="1"/>
  <c r="AX68" i="19"/>
  <c r="BX68" i="19" s="1"/>
  <c r="BD68" i="19"/>
  <c r="CD68" i="19" s="1"/>
  <c r="AL69" i="19"/>
  <c r="BL69" i="19" s="1"/>
  <c r="AR69" i="19"/>
  <c r="BR69" i="19" s="1"/>
  <c r="AX69" i="19"/>
  <c r="BX69" i="19" s="1"/>
  <c r="BD69" i="19"/>
  <c r="CD69" i="19" s="1"/>
  <c r="AL70" i="19"/>
  <c r="BL70" i="19" s="1"/>
  <c r="AR70" i="19"/>
  <c r="BR70" i="19" s="1"/>
  <c r="AX70" i="19"/>
  <c r="BX70" i="19" s="1"/>
  <c r="BD70" i="19"/>
  <c r="CD70" i="19" s="1"/>
  <c r="AL71" i="19"/>
  <c r="BL71" i="19" s="1"/>
  <c r="AR71" i="19"/>
  <c r="BR71" i="19" s="1"/>
  <c r="AX71" i="19"/>
  <c r="BX71" i="19" s="1"/>
  <c r="BD71" i="19"/>
  <c r="CD71" i="19" s="1"/>
  <c r="C72" i="19"/>
  <c r="AL72" i="19"/>
  <c r="BL72" i="19" s="1"/>
  <c r="AR72" i="19"/>
  <c r="BR72" i="19" s="1"/>
  <c r="AX72" i="19"/>
  <c r="BX72" i="19" s="1"/>
  <c r="BD72" i="19"/>
  <c r="CD72" i="19" s="1"/>
  <c r="AL73" i="19"/>
  <c r="BL73" i="19" s="1"/>
  <c r="AR73" i="19"/>
  <c r="BR73" i="19" s="1"/>
  <c r="AX73" i="19"/>
  <c r="BX73" i="19" s="1"/>
  <c r="BD73" i="19"/>
  <c r="CD73" i="19" s="1"/>
  <c r="AL74" i="19"/>
  <c r="BL74" i="19" s="1"/>
  <c r="AR74" i="19"/>
  <c r="BR74" i="19" s="1"/>
  <c r="AX74" i="19"/>
  <c r="BX74" i="19" s="1"/>
  <c r="BD74" i="19"/>
  <c r="CD74" i="19" s="1"/>
  <c r="E75" i="19"/>
  <c r="F75" i="19"/>
  <c r="G75" i="19"/>
  <c r="H75" i="19"/>
  <c r="AL75" i="19"/>
  <c r="BL75" i="19" s="1"/>
  <c r="AR75" i="19"/>
  <c r="BR75" i="19" s="1"/>
  <c r="AX75" i="19"/>
  <c r="BX75" i="19" s="1"/>
  <c r="BD75" i="19"/>
  <c r="CD75" i="19" s="1"/>
  <c r="E76" i="19"/>
  <c r="F76" i="19"/>
  <c r="G76" i="19"/>
  <c r="H76" i="19"/>
  <c r="AL76" i="19"/>
  <c r="BL76" i="19" s="1"/>
  <c r="AR76" i="19"/>
  <c r="BR76" i="19" s="1"/>
  <c r="AX76" i="19"/>
  <c r="BX76" i="19" s="1"/>
  <c r="BD76" i="19"/>
  <c r="CD76" i="19" s="1"/>
  <c r="E77" i="19"/>
  <c r="F77" i="19"/>
  <c r="G77" i="19"/>
  <c r="H77" i="19"/>
  <c r="AL77" i="19"/>
  <c r="BL77" i="19" s="1"/>
  <c r="AR77" i="19"/>
  <c r="BR77" i="19" s="1"/>
  <c r="AX77" i="19"/>
  <c r="BX77" i="19" s="1"/>
  <c r="BD77" i="19"/>
  <c r="CD77" i="19" s="1"/>
  <c r="E78" i="19"/>
  <c r="F78" i="19"/>
  <c r="G78" i="19"/>
  <c r="H78" i="19"/>
  <c r="AL78" i="19"/>
  <c r="BL78" i="19" s="1"/>
  <c r="AR78" i="19"/>
  <c r="BR78" i="19" s="1"/>
  <c r="AX78" i="19"/>
  <c r="BX78" i="19" s="1"/>
  <c r="BD78" i="19"/>
  <c r="CD78" i="19" s="1"/>
  <c r="AL79" i="19"/>
  <c r="BL79" i="19" s="1"/>
  <c r="AR79" i="19"/>
  <c r="BR79" i="19" s="1"/>
  <c r="AX79" i="19"/>
  <c r="BX79" i="19" s="1"/>
  <c r="BD79" i="19"/>
  <c r="CD79" i="19" s="1"/>
  <c r="AL80" i="19"/>
  <c r="BL80" i="19" s="1"/>
  <c r="AR80" i="19"/>
  <c r="BR80" i="19" s="1"/>
  <c r="AX80" i="19"/>
  <c r="BX80" i="19" s="1"/>
  <c r="BD80" i="19"/>
  <c r="CD80" i="19" s="1"/>
  <c r="E81" i="19"/>
  <c r="F81" i="19"/>
  <c r="G81" i="19"/>
  <c r="H81" i="19"/>
  <c r="AL81" i="19"/>
  <c r="BL81" i="19" s="1"/>
  <c r="AR81" i="19"/>
  <c r="BR81" i="19" s="1"/>
  <c r="AX81" i="19"/>
  <c r="BX81" i="19" s="1"/>
  <c r="BD81" i="19"/>
  <c r="CD81" i="19" s="1"/>
  <c r="E88" i="19"/>
  <c r="E92" i="19"/>
  <c r="F88" i="19"/>
  <c r="F92" i="19"/>
  <c r="G88" i="19"/>
  <c r="G92" i="19"/>
  <c r="H88" i="19"/>
  <c r="H82" i="19" s="1"/>
  <c r="AL82" i="19"/>
  <c r="BL82" i="19" s="1"/>
  <c r="AR82" i="19"/>
  <c r="BR82" i="19" s="1"/>
  <c r="AX82" i="19"/>
  <c r="BX82" i="19" s="1"/>
  <c r="BD82" i="19"/>
  <c r="CD82" i="19" s="1"/>
  <c r="E89" i="19"/>
  <c r="E93" i="19"/>
  <c r="F89" i="19"/>
  <c r="F93" i="19"/>
  <c r="G89" i="19"/>
  <c r="G93" i="19"/>
  <c r="H89" i="19"/>
  <c r="H93" i="19"/>
  <c r="AL83" i="19"/>
  <c r="BL83" i="19" s="1"/>
  <c r="AR83" i="19"/>
  <c r="BR83" i="19" s="1"/>
  <c r="AX83" i="19"/>
  <c r="BX83" i="19" s="1"/>
  <c r="BD83" i="19"/>
  <c r="CD83" i="19" s="1"/>
  <c r="E90" i="19"/>
  <c r="E94" i="19"/>
  <c r="F90" i="19"/>
  <c r="F94" i="19"/>
  <c r="G90" i="19"/>
  <c r="G94" i="19"/>
  <c r="H90" i="19"/>
  <c r="H94" i="19"/>
  <c r="AL84" i="19"/>
  <c r="BL84" i="19" s="1"/>
  <c r="AR84" i="19"/>
  <c r="BR84" i="19" s="1"/>
  <c r="AX84" i="19"/>
  <c r="BX84" i="19" s="1"/>
  <c r="BD84" i="19"/>
  <c r="CD84" i="19" s="1"/>
  <c r="E85" i="19"/>
  <c r="F85" i="19"/>
  <c r="G85" i="19"/>
  <c r="H85" i="19"/>
  <c r="E91" i="19"/>
  <c r="F91" i="19"/>
  <c r="G91" i="19"/>
  <c r="H91" i="19"/>
  <c r="H92" i="19"/>
  <c r="C1" i="15"/>
  <c r="C2" i="15"/>
  <c r="W4" i="15"/>
  <c r="D7" i="15"/>
  <c r="AB67" i="15"/>
  <c r="D10" i="15"/>
  <c r="R60" i="15"/>
  <c r="K67" i="15"/>
  <c r="R67" i="15" s="1"/>
  <c r="R69" i="15"/>
  <c r="R71" i="15"/>
  <c r="F11" i="15"/>
  <c r="G11" i="15"/>
  <c r="H11" i="15"/>
  <c r="I11" i="15"/>
  <c r="B12" i="15"/>
  <c r="D12" i="15"/>
  <c r="D17" i="15" s="1"/>
  <c r="F12" i="15"/>
  <c r="G12" i="15"/>
  <c r="H12" i="15"/>
  <c r="I12" i="15"/>
  <c r="M12" i="15"/>
  <c r="M13" i="15"/>
  <c r="M14" i="15"/>
  <c r="N130" i="15"/>
  <c r="R130" i="15" s="1"/>
  <c r="N132" i="15"/>
  <c r="R132" i="15" s="1"/>
  <c r="D15" i="15"/>
  <c r="M15" i="15"/>
  <c r="F16" i="15"/>
  <c r="G16" i="15"/>
  <c r="H16" i="15"/>
  <c r="I16" i="15"/>
  <c r="J16" i="15"/>
  <c r="F17" i="15"/>
  <c r="G17" i="15"/>
  <c r="H17" i="15"/>
  <c r="I17" i="15"/>
  <c r="J17" i="15"/>
  <c r="M17" i="15"/>
  <c r="M18" i="15"/>
  <c r="M19" i="15"/>
  <c r="D20" i="15"/>
  <c r="M20" i="15"/>
  <c r="F21" i="15"/>
  <c r="G21" i="15"/>
  <c r="H21" i="15"/>
  <c r="I21" i="15"/>
  <c r="J21" i="15"/>
  <c r="F22" i="15"/>
  <c r="G22" i="15"/>
  <c r="H22" i="15"/>
  <c r="I22" i="15"/>
  <c r="J22" i="15"/>
  <c r="M22" i="15"/>
  <c r="R277" i="15"/>
  <c r="R279" i="15"/>
  <c r="O26" i="15"/>
  <c r="P26" i="15" s="1"/>
  <c r="Q26" i="15" s="1"/>
  <c r="R26" i="15" s="1"/>
  <c r="C31" i="15"/>
  <c r="C32" i="15"/>
  <c r="C33" i="15"/>
  <c r="C34" i="15"/>
  <c r="C38" i="15"/>
  <c r="C39" i="15"/>
  <c r="C40" i="15"/>
  <c r="C42" i="15"/>
  <c r="C43" i="15"/>
  <c r="K60" i="15"/>
  <c r="S27" i="28" s="1"/>
  <c r="E92" i="15"/>
  <c r="F92" i="15" s="1"/>
  <c r="J92" i="15"/>
  <c r="K92" i="15" s="1"/>
  <c r="G98" i="15"/>
  <c r="I98" i="15"/>
  <c r="J98" i="15" s="1"/>
  <c r="R98" i="15" s="1"/>
  <c r="M98" i="15"/>
  <c r="P98" i="15"/>
  <c r="E100" i="15"/>
  <c r="E99" i="15" s="1"/>
  <c r="N99" i="15"/>
  <c r="O99" i="15"/>
  <c r="P99" i="15"/>
  <c r="Q99" i="15"/>
  <c r="R99" i="15"/>
  <c r="N100" i="15"/>
  <c r="O100" i="15"/>
  <c r="P100" i="15"/>
  <c r="Q100" i="15"/>
  <c r="R100" i="15"/>
  <c r="M101" i="15"/>
  <c r="N101" i="15"/>
  <c r="O101" i="15"/>
  <c r="P101" i="15"/>
  <c r="Q101" i="15"/>
  <c r="R101" i="15"/>
  <c r="E102" i="15"/>
  <c r="E110" i="15" s="1"/>
  <c r="M110" i="15" s="1"/>
  <c r="N102" i="15"/>
  <c r="O102" i="15"/>
  <c r="P102" i="15"/>
  <c r="Q102" i="15"/>
  <c r="R102" i="15"/>
  <c r="N103" i="15"/>
  <c r="O103" i="15"/>
  <c r="P103" i="15"/>
  <c r="Q103" i="15"/>
  <c r="R103" i="15"/>
  <c r="G106" i="15"/>
  <c r="O106" i="15" s="1"/>
  <c r="I106" i="15"/>
  <c r="J106" i="15" s="1"/>
  <c r="R106" i="15" s="1"/>
  <c r="M106" i="15"/>
  <c r="P106" i="15"/>
  <c r="N107" i="15"/>
  <c r="O107" i="15"/>
  <c r="P107" i="15"/>
  <c r="Q107" i="15"/>
  <c r="R107" i="15"/>
  <c r="N108" i="15"/>
  <c r="O108" i="15"/>
  <c r="P108" i="15"/>
  <c r="Q108" i="15"/>
  <c r="R108" i="15"/>
  <c r="M109" i="15"/>
  <c r="N109" i="15"/>
  <c r="O109" i="15"/>
  <c r="P109" i="15"/>
  <c r="Q109" i="15"/>
  <c r="R109" i="15"/>
  <c r="N110" i="15"/>
  <c r="O110" i="15"/>
  <c r="P110" i="15"/>
  <c r="Q110" i="15"/>
  <c r="R110" i="15"/>
  <c r="N111" i="15"/>
  <c r="O111" i="15"/>
  <c r="P111" i="15"/>
  <c r="Q111" i="15"/>
  <c r="R111" i="15"/>
  <c r="H144" i="15"/>
  <c r="F160" i="15"/>
  <c r="N160" i="15" s="1"/>
  <c r="G161" i="15"/>
  <c r="F161" i="15" s="1"/>
  <c r="N161" i="15" s="1"/>
  <c r="I161" i="15"/>
  <c r="J161" i="15" s="1"/>
  <c r="R161" i="15" s="1"/>
  <c r="M161" i="15"/>
  <c r="P161" i="15"/>
  <c r="N162" i="15"/>
  <c r="O162" i="15"/>
  <c r="P162" i="15"/>
  <c r="Q162" i="15"/>
  <c r="R162" i="15"/>
  <c r="N163" i="15"/>
  <c r="O163" i="15"/>
  <c r="P163" i="15"/>
  <c r="Q163" i="15"/>
  <c r="R163" i="15"/>
  <c r="N164" i="15"/>
  <c r="O164" i="15"/>
  <c r="P164" i="15"/>
  <c r="Q164" i="15"/>
  <c r="R164" i="15"/>
  <c r="N165" i="15"/>
  <c r="O165" i="15"/>
  <c r="P165" i="15"/>
  <c r="Q165" i="15"/>
  <c r="R165" i="15"/>
  <c r="N166" i="15"/>
  <c r="O166" i="15"/>
  <c r="P166" i="15"/>
  <c r="Q166" i="15"/>
  <c r="R166" i="15"/>
  <c r="F168" i="15"/>
  <c r="N168" i="15" s="1"/>
  <c r="G169" i="15"/>
  <c r="I169" i="15"/>
  <c r="M169" i="15"/>
  <c r="P169" i="15"/>
  <c r="N170" i="15"/>
  <c r="O170" i="15"/>
  <c r="P170" i="15"/>
  <c r="Q170" i="15"/>
  <c r="R170" i="15"/>
  <c r="N171" i="15"/>
  <c r="O171" i="15"/>
  <c r="P171" i="15"/>
  <c r="Q171" i="15"/>
  <c r="R171" i="15"/>
  <c r="N172" i="15"/>
  <c r="O172" i="15"/>
  <c r="P172" i="15"/>
  <c r="Q172" i="15"/>
  <c r="R172" i="15"/>
  <c r="N173" i="15"/>
  <c r="O173" i="15"/>
  <c r="P173" i="15"/>
  <c r="Q173" i="15"/>
  <c r="R173" i="15"/>
  <c r="N174" i="15"/>
  <c r="O174" i="15"/>
  <c r="P174" i="15"/>
  <c r="Q174" i="15"/>
  <c r="R174" i="15"/>
  <c r="F176" i="15"/>
  <c r="N176" i="15" s="1"/>
  <c r="G177" i="15"/>
  <c r="O177" i="15" s="1"/>
  <c r="I177" i="15"/>
  <c r="J177" i="15" s="1"/>
  <c r="R177" i="15" s="1"/>
  <c r="M177" i="15"/>
  <c r="E178" i="15"/>
  <c r="M178" i="15" s="1"/>
  <c r="O178" i="15"/>
  <c r="P178" i="15"/>
  <c r="Q178" i="15"/>
  <c r="R178" i="15"/>
  <c r="E179" i="15"/>
  <c r="M179" i="15" s="1"/>
  <c r="N179" i="15"/>
  <c r="O179" i="15"/>
  <c r="P179" i="15"/>
  <c r="Q179" i="15"/>
  <c r="R179" i="15"/>
  <c r="M180" i="15"/>
  <c r="N180" i="15"/>
  <c r="O180" i="15"/>
  <c r="P180" i="15"/>
  <c r="Q180" i="15"/>
  <c r="R180" i="15"/>
  <c r="E181" i="15"/>
  <c r="M181" i="15" s="1"/>
  <c r="N181" i="15"/>
  <c r="O181" i="15"/>
  <c r="P181" i="15"/>
  <c r="Q181" i="15"/>
  <c r="R181" i="15"/>
  <c r="E182" i="15"/>
  <c r="M182" i="15" s="1"/>
  <c r="N182" i="15"/>
  <c r="O182" i="15"/>
  <c r="P182" i="15"/>
  <c r="Q182" i="15"/>
  <c r="R182" i="15"/>
  <c r="F184" i="15"/>
  <c r="N184" i="15" s="1"/>
  <c r="G185" i="15"/>
  <c r="O185" i="15" s="1"/>
  <c r="I185" i="15"/>
  <c r="M185" i="15"/>
  <c r="P185" i="15"/>
  <c r="E186" i="15"/>
  <c r="M186" i="15" s="1"/>
  <c r="N186" i="15"/>
  <c r="O186" i="15"/>
  <c r="P186" i="15"/>
  <c r="Q186" i="15"/>
  <c r="R186" i="15"/>
  <c r="E187" i="15"/>
  <c r="M187" i="15" s="1"/>
  <c r="N187" i="15"/>
  <c r="O187" i="15"/>
  <c r="P187" i="15"/>
  <c r="Q187" i="15"/>
  <c r="R187" i="15"/>
  <c r="M188" i="15"/>
  <c r="N188" i="15"/>
  <c r="O188" i="15"/>
  <c r="P188" i="15"/>
  <c r="Q188" i="15"/>
  <c r="R188" i="15"/>
  <c r="E189" i="15"/>
  <c r="M189" i="15" s="1"/>
  <c r="N189" i="15"/>
  <c r="O189" i="15"/>
  <c r="P189" i="15"/>
  <c r="Q189" i="15"/>
  <c r="R189" i="15"/>
  <c r="E190" i="15"/>
  <c r="M190" i="15" s="1"/>
  <c r="N190" i="15"/>
  <c r="O190" i="15"/>
  <c r="P190" i="15"/>
  <c r="Q190" i="15"/>
  <c r="R190" i="15"/>
  <c r="H222" i="15"/>
  <c r="F236" i="15"/>
  <c r="G237" i="15"/>
  <c r="F237" i="15" s="1"/>
  <c r="N237" i="15" s="1"/>
  <c r="I237" i="15"/>
  <c r="J237" i="15" s="1"/>
  <c r="R237" i="15" s="1"/>
  <c r="M237" i="15"/>
  <c r="P237" i="15"/>
  <c r="N238" i="15"/>
  <c r="O238" i="15"/>
  <c r="P238" i="15"/>
  <c r="Q238" i="15"/>
  <c r="R238" i="15"/>
  <c r="N239" i="15"/>
  <c r="O239" i="15"/>
  <c r="P239" i="15"/>
  <c r="Q239" i="15"/>
  <c r="R239" i="15"/>
  <c r="N240" i="15"/>
  <c r="O240" i="15"/>
  <c r="P240" i="15"/>
  <c r="Q240" i="15"/>
  <c r="R240" i="15"/>
  <c r="N241" i="15"/>
  <c r="O241" i="15"/>
  <c r="P241" i="15"/>
  <c r="Q241" i="15"/>
  <c r="R241" i="15"/>
  <c r="N242" i="15"/>
  <c r="O242" i="15"/>
  <c r="P242" i="15"/>
  <c r="Q242" i="15"/>
  <c r="R242" i="15"/>
  <c r="F244" i="15"/>
  <c r="N244" i="15" s="1"/>
  <c r="G245" i="15"/>
  <c r="F245" i="15" s="1"/>
  <c r="N245" i="15" s="1"/>
  <c r="I245" i="15"/>
  <c r="J245" i="15" s="1"/>
  <c r="R245" i="15" s="1"/>
  <c r="M245" i="15"/>
  <c r="P245" i="15"/>
  <c r="N246" i="15"/>
  <c r="O246" i="15"/>
  <c r="P246" i="15"/>
  <c r="Q246" i="15"/>
  <c r="R246" i="15"/>
  <c r="N247" i="15"/>
  <c r="O247" i="15"/>
  <c r="P247" i="15"/>
  <c r="Q247" i="15"/>
  <c r="R247" i="15"/>
  <c r="N248" i="15"/>
  <c r="O248" i="15"/>
  <c r="P248" i="15"/>
  <c r="Q248" i="15"/>
  <c r="R248" i="15"/>
  <c r="N249" i="15"/>
  <c r="O249" i="15"/>
  <c r="P249" i="15"/>
  <c r="Q249" i="15"/>
  <c r="R249" i="15"/>
  <c r="N250" i="15"/>
  <c r="O250" i="15"/>
  <c r="P250" i="15"/>
  <c r="Q250" i="15"/>
  <c r="R250" i="15"/>
  <c r="F252" i="15"/>
  <c r="N252" i="15" s="1"/>
  <c r="G253" i="15"/>
  <c r="I253" i="15"/>
  <c r="J253" i="15" s="1"/>
  <c r="R253" i="15" s="1"/>
  <c r="M253" i="15"/>
  <c r="P253" i="15"/>
  <c r="E254" i="15"/>
  <c r="M254" i="15" s="1"/>
  <c r="N254" i="15"/>
  <c r="O254" i="15"/>
  <c r="P254" i="15"/>
  <c r="Q254" i="15"/>
  <c r="R254" i="15"/>
  <c r="E255" i="15"/>
  <c r="M255" i="15" s="1"/>
  <c r="N255" i="15"/>
  <c r="O255" i="15"/>
  <c r="P255" i="15"/>
  <c r="Q255" i="15"/>
  <c r="R255" i="15"/>
  <c r="N256" i="15"/>
  <c r="O256" i="15"/>
  <c r="P256" i="15"/>
  <c r="Q256" i="15"/>
  <c r="R256" i="15"/>
  <c r="E257" i="15"/>
  <c r="M257" i="15" s="1"/>
  <c r="N257" i="15"/>
  <c r="O257" i="15"/>
  <c r="P257" i="15"/>
  <c r="Q257" i="15"/>
  <c r="R257" i="15"/>
  <c r="E258" i="15"/>
  <c r="M258" i="15" s="1"/>
  <c r="N258" i="15"/>
  <c r="O258" i="15"/>
  <c r="P258" i="15"/>
  <c r="Q258" i="15"/>
  <c r="R258" i="15"/>
  <c r="F260" i="15"/>
  <c r="N260" i="15" s="1"/>
  <c r="G261" i="15"/>
  <c r="F261" i="15" s="1"/>
  <c r="N261" i="15" s="1"/>
  <c r="I261" i="15"/>
  <c r="J261" i="15" s="1"/>
  <c r="R261" i="15" s="1"/>
  <c r="M261" i="15"/>
  <c r="P261" i="15"/>
  <c r="E262" i="15"/>
  <c r="M262" i="15" s="1"/>
  <c r="N262" i="15"/>
  <c r="O262" i="15"/>
  <c r="P262" i="15"/>
  <c r="Q262" i="15"/>
  <c r="R262" i="15"/>
  <c r="E263" i="15"/>
  <c r="M263" i="15" s="1"/>
  <c r="N263" i="15"/>
  <c r="O263" i="15"/>
  <c r="P263" i="15"/>
  <c r="Q263" i="15"/>
  <c r="R263" i="15"/>
  <c r="N264" i="15"/>
  <c r="O264" i="15"/>
  <c r="P264" i="15"/>
  <c r="Q264" i="15"/>
  <c r="R264" i="15"/>
  <c r="E265" i="15"/>
  <c r="M265" i="15" s="1"/>
  <c r="N265" i="15"/>
  <c r="O265" i="15"/>
  <c r="P265" i="15"/>
  <c r="Q265" i="15"/>
  <c r="R265" i="15"/>
  <c r="E266" i="15"/>
  <c r="M266" i="15" s="1"/>
  <c r="N266" i="15"/>
  <c r="O266" i="15"/>
  <c r="P266" i="15"/>
  <c r="Q266" i="15"/>
  <c r="R266" i="15"/>
  <c r="C272" i="15"/>
  <c r="C289" i="15" s="1"/>
  <c r="C273" i="15"/>
  <c r="C290" i="15" s="1"/>
  <c r="C274" i="15"/>
  <c r="C291" i="15" s="1"/>
  <c r="C275" i="15"/>
  <c r="C292" i="15" s="1"/>
  <c r="C276" i="15"/>
  <c r="C293" i="15" s="1"/>
  <c r="C277" i="15"/>
  <c r="C294" i="15" s="1"/>
  <c r="C1" i="16"/>
  <c r="C2" i="16"/>
  <c r="G22" i="16"/>
  <c r="G49" i="16"/>
  <c r="G24" i="16" s="1"/>
  <c r="G23" i="16"/>
  <c r="O8" i="16"/>
  <c r="C22" i="16"/>
  <c r="C23" i="16"/>
  <c r="M23" i="16"/>
  <c r="L23" i="16" s="1"/>
  <c r="O23" i="16"/>
  <c r="P23" i="16" s="1"/>
  <c r="C28" i="16"/>
  <c r="D33" i="16"/>
  <c r="E33" i="16"/>
  <c r="F33" i="16"/>
  <c r="M33" i="16"/>
  <c r="N33" i="16" s="1"/>
  <c r="D34" i="16"/>
  <c r="E34" i="16"/>
  <c r="F34" i="16"/>
  <c r="D35" i="16"/>
  <c r="E35" i="16"/>
  <c r="F35" i="16"/>
  <c r="D36" i="16"/>
  <c r="E36" i="16"/>
  <c r="F36" i="16"/>
  <c r="D37" i="16"/>
  <c r="E37" i="16"/>
  <c r="F37" i="16"/>
  <c r="C43" i="16"/>
  <c r="E47" i="16"/>
  <c r="C49" i="16"/>
  <c r="L6" i="19"/>
  <c r="C1" i="14"/>
  <c r="C2" i="14"/>
  <c r="C5" i="14"/>
  <c r="C27" i="14" s="1"/>
  <c r="Z7" i="14"/>
  <c r="AA7" i="14"/>
  <c r="AB7" i="14"/>
  <c r="AC7" i="14"/>
  <c r="AE7" i="14"/>
  <c r="AF7" i="14"/>
  <c r="AG7" i="14"/>
  <c r="Z12" i="14"/>
  <c r="AA12" i="14"/>
  <c r="AB12" i="14"/>
  <c r="AC12" i="14"/>
  <c r="AE12" i="14"/>
  <c r="AF12" i="14"/>
  <c r="AG12" i="14"/>
  <c r="Z17" i="14"/>
  <c r="AA17" i="14"/>
  <c r="AB17" i="14"/>
  <c r="AC17" i="14"/>
  <c r="AE17" i="14"/>
  <c r="AF17" i="14"/>
  <c r="AG17" i="14"/>
  <c r="Z22" i="14"/>
  <c r="AA22" i="14"/>
  <c r="AB22" i="14"/>
  <c r="AC22" i="14"/>
  <c r="AE22" i="14"/>
  <c r="AF22" i="14"/>
  <c r="AG22" i="14"/>
  <c r="Z27" i="14"/>
  <c r="AA27" i="14"/>
  <c r="AB27" i="14"/>
  <c r="AC27" i="14"/>
  <c r="AE27" i="14"/>
  <c r="AF27" i="14"/>
  <c r="AG27" i="14"/>
  <c r="Z32" i="14"/>
  <c r="AA32" i="14"/>
  <c r="AB32" i="14"/>
  <c r="AC32" i="14"/>
  <c r="AE32" i="14"/>
  <c r="AF32" i="14"/>
  <c r="AG32" i="14"/>
  <c r="C40" i="14"/>
  <c r="Z40" i="14"/>
  <c r="Z68" i="9" s="1"/>
  <c r="AA40" i="14"/>
  <c r="AA68" i="9" s="1"/>
  <c r="AB40" i="14"/>
  <c r="AB68" i="9" s="1"/>
  <c r="AC40" i="14"/>
  <c r="AC68" i="9" s="1"/>
  <c r="AE40" i="14"/>
  <c r="AE68" i="9" s="1"/>
  <c r="AF40" i="14"/>
  <c r="AF68" i="9" s="1"/>
  <c r="AG40" i="14"/>
  <c r="AG68" i="9" s="1"/>
  <c r="C50" i="14"/>
  <c r="Z50" i="14"/>
  <c r="Z70" i="9" s="1"/>
  <c r="AA50" i="14"/>
  <c r="AA70" i="9" s="1"/>
  <c r="AB50" i="14"/>
  <c r="AB70" i="9" s="1"/>
  <c r="AC50" i="14"/>
  <c r="AC70" i="9" s="1"/>
  <c r="AE50" i="14"/>
  <c r="AE70" i="9" s="1"/>
  <c r="AF50" i="14"/>
  <c r="AF70" i="9" s="1"/>
  <c r="AG50" i="14"/>
  <c r="AG70" i="9" s="1"/>
  <c r="C55" i="14"/>
  <c r="Z55" i="14"/>
  <c r="Z71" i="9" s="1"/>
  <c r="AA55" i="14"/>
  <c r="AA71" i="9" s="1"/>
  <c r="AB55" i="14"/>
  <c r="AB71" i="9" s="1"/>
  <c r="AC55" i="14"/>
  <c r="AC71" i="9" s="1"/>
  <c r="AE55" i="14"/>
  <c r="AE71" i="9" s="1"/>
  <c r="AF55" i="14"/>
  <c r="AF71" i="9" s="1"/>
  <c r="AG55" i="14"/>
  <c r="AG71" i="9" s="1"/>
  <c r="C62" i="14"/>
  <c r="Z62" i="14"/>
  <c r="Z72" i="9" s="1"/>
  <c r="AA62" i="14"/>
  <c r="AA72" i="9" s="1"/>
  <c r="AB62" i="14"/>
  <c r="AB72" i="9" s="1"/>
  <c r="AC62" i="14"/>
  <c r="AC72" i="9" s="1"/>
  <c r="AE62" i="14"/>
  <c r="AE72" i="9" s="1"/>
  <c r="AF62" i="14"/>
  <c r="AF72" i="9" s="1"/>
  <c r="AG62" i="14"/>
  <c r="AG72" i="9" s="1"/>
  <c r="C67" i="14"/>
  <c r="F67" i="14"/>
  <c r="G67" i="14"/>
  <c r="H67" i="14"/>
  <c r="I67" i="14"/>
  <c r="K67" i="14"/>
  <c r="L67" i="14"/>
  <c r="M67" i="14"/>
  <c r="N67" i="14"/>
  <c r="P67" i="14"/>
  <c r="Q67" i="14"/>
  <c r="R67" i="14"/>
  <c r="S67" i="14"/>
  <c r="C69" i="14"/>
  <c r="Z69" i="14"/>
  <c r="Z73" i="9" s="1"/>
  <c r="AA69" i="14"/>
  <c r="AA73" i="9" s="1"/>
  <c r="AB69" i="14"/>
  <c r="AB73" i="9" s="1"/>
  <c r="AC69" i="14"/>
  <c r="AC73" i="9" s="1"/>
  <c r="AE69" i="14"/>
  <c r="AE73" i="9" s="1"/>
  <c r="AF69" i="14"/>
  <c r="AF73" i="9" s="1"/>
  <c r="AG69" i="14"/>
  <c r="AG73" i="9" s="1"/>
  <c r="C77" i="14"/>
  <c r="Z77" i="14"/>
  <c r="Z203" i="9" s="1"/>
  <c r="AA77" i="14"/>
  <c r="AA203" i="9" s="1"/>
  <c r="AB77" i="14"/>
  <c r="AB203" i="9" s="1"/>
  <c r="AC77" i="14"/>
  <c r="AC203" i="9" s="1"/>
  <c r="AE77" i="14"/>
  <c r="AE203" i="9" s="1"/>
  <c r="AF77" i="14"/>
  <c r="AF203" i="9" s="1"/>
  <c r="AG77" i="14"/>
  <c r="AG203" i="9" s="1"/>
  <c r="C82" i="14"/>
  <c r="C90" i="14"/>
  <c r="Z90" i="14"/>
  <c r="Z216" i="9" s="1"/>
  <c r="AA90" i="14"/>
  <c r="AA216" i="9" s="1"/>
  <c r="AB90" i="14"/>
  <c r="AB216" i="9" s="1"/>
  <c r="AC90" i="14"/>
  <c r="AC216" i="9" s="1"/>
  <c r="AE90" i="14"/>
  <c r="AE216" i="9" s="1"/>
  <c r="AF90" i="14"/>
  <c r="AF216" i="9" s="1"/>
  <c r="AG90" i="14"/>
  <c r="AG216" i="9" s="1"/>
  <c r="C97" i="14"/>
  <c r="Z97" i="14"/>
  <c r="Z202" i="9" s="1"/>
  <c r="AA97" i="14"/>
  <c r="AA202" i="9" s="1"/>
  <c r="AB97" i="14"/>
  <c r="AB202" i="9" s="1"/>
  <c r="AC97" i="14"/>
  <c r="AC202" i="9" s="1"/>
  <c r="AE97" i="14"/>
  <c r="AE202" i="9" s="1"/>
  <c r="AF97" i="14"/>
  <c r="AF202" i="9" s="1"/>
  <c r="AG97" i="14"/>
  <c r="AG202" i="9" s="1"/>
  <c r="C102" i="14"/>
  <c r="F102" i="14"/>
  <c r="G102" i="14"/>
  <c r="H102" i="14"/>
  <c r="I102" i="14"/>
  <c r="J102" i="14"/>
  <c r="K102" i="14"/>
  <c r="L102" i="14"/>
  <c r="M102" i="14"/>
  <c r="N102" i="14"/>
  <c r="O102" i="14"/>
  <c r="P102" i="14"/>
  <c r="Q102" i="14"/>
  <c r="R102" i="14"/>
  <c r="S102" i="14"/>
  <c r="T102" i="14"/>
  <c r="C106" i="14"/>
  <c r="Z106" i="14"/>
  <c r="Z275" i="9" s="1"/>
  <c r="AA106" i="14"/>
  <c r="AA275" i="9" s="1"/>
  <c r="AB106" i="14"/>
  <c r="AB275" i="9" s="1"/>
  <c r="AC106" i="14"/>
  <c r="AC275" i="9" s="1"/>
  <c r="AE106" i="14"/>
  <c r="AE275" i="9" s="1"/>
  <c r="AF106" i="14"/>
  <c r="AF275" i="9" s="1"/>
  <c r="AG106" i="14"/>
  <c r="AG275" i="9" s="1"/>
  <c r="C111" i="14"/>
  <c r="F111" i="14"/>
  <c r="G111" i="14"/>
  <c r="H111" i="14"/>
  <c r="I111" i="14"/>
  <c r="J111" i="14"/>
  <c r="K111" i="14"/>
  <c r="L111" i="14"/>
  <c r="M111" i="14"/>
  <c r="N111" i="14"/>
  <c r="O111" i="14"/>
  <c r="P111" i="14"/>
  <c r="Q111" i="14"/>
  <c r="R111" i="14"/>
  <c r="S111" i="14"/>
  <c r="T111" i="14"/>
  <c r="C113" i="14"/>
  <c r="F113" i="14"/>
  <c r="G113" i="14"/>
  <c r="H113" i="14"/>
  <c r="I113" i="14"/>
  <c r="J113" i="14"/>
  <c r="K113" i="14"/>
  <c r="L113" i="14"/>
  <c r="M113" i="14"/>
  <c r="N113" i="14"/>
  <c r="O113" i="14"/>
  <c r="P113" i="14"/>
  <c r="Q113" i="14"/>
  <c r="R113" i="14"/>
  <c r="S113" i="14"/>
  <c r="T113" i="14"/>
  <c r="C118" i="14"/>
  <c r="Z118" i="14"/>
  <c r="Z184" i="9" s="1"/>
  <c r="O98" i="21" s="1"/>
  <c r="AA118" i="14"/>
  <c r="AA184" i="9" s="1"/>
  <c r="P98" i="21" s="1"/>
  <c r="AB118" i="14"/>
  <c r="AB184" i="9" s="1"/>
  <c r="AC118" i="14"/>
  <c r="AC184" i="9" s="1"/>
  <c r="AE118" i="14"/>
  <c r="AE184" i="9" s="1"/>
  <c r="AF118" i="14"/>
  <c r="AF184" i="9" s="1"/>
  <c r="Z98" i="21" s="1"/>
  <c r="AG118" i="14"/>
  <c r="AG184" i="9" s="1"/>
  <c r="AA98" i="21" s="1"/>
  <c r="C123" i="14"/>
  <c r="Z123" i="14"/>
  <c r="Z185" i="9" s="1"/>
  <c r="AA123" i="14"/>
  <c r="AA185" i="9" s="1"/>
  <c r="AB123" i="14"/>
  <c r="AB185" i="9" s="1"/>
  <c r="Q99" i="21" s="1"/>
  <c r="AC123" i="14"/>
  <c r="AC185" i="9" s="1"/>
  <c r="R99" i="21" s="1"/>
  <c r="AE123" i="14"/>
  <c r="AE185" i="9" s="1"/>
  <c r="Y99" i="21" s="1"/>
  <c r="I69" i="28" s="1"/>
  <c r="AF123" i="14"/>
  <c r="AF185" i="9" s="1"/>
  <c r="Z99" i="21" s="1"/>
  <c r="J69" i="28" s="1"/>
  <c r="AG123" i="14"/>
  <c r="AG185" i="9" s="1"/>
  <c r="AA99" i="21" s="1"/>
  <c r="K69" i="28" s="1"/>
  <c r="C128" i="14"/>
  <c r="Z128" i="14"/>
  <c r="Z188" i="9" s="1"/>
  <c r="AA128" i="14"/>
  <c r="AA188" i="9" s="1"/>
  <c r="C133" i="14"/>
  <c r="F133" i="14"/>
  <c r="J133" i="14"/>
  <c r="Z133" i="14"/>
  <c r="Z234" i="9" s="1"/>
  <c r="AA133" i="14"/>
  <c r="AA234" i="9" s="1"/>
  <c r="AB133" i="14"/>
  <c r="AB234" i="9" s="1"/>
  <c r="AC133" i="14"/>
  <c r="AC234" i="9" s="1"/>
  <c r="AE133" i="14"/>
  <c r="AE234" i="9" s="1"/>
  <c r="AF133" i="14"/>
  <c r="AF234" i="9" s="1"/>
  <c r="AG133" i="14"/>
  <c r="AG234" i="9" s="1"/>
  <c r="C140" i="14"/>
  <c r="Z140" i="14"/>
  <c r="Z186" i="9" s="1"/>
  <c r="AA140" i="14"/>
  <c r="AA186" i="9" s="1"/>
  <c r="AB140" i="14"/>
  <c r="AB186" i="9" s="1"/>
  <c r="AC140" i="14"/>
  <c r="AC186" i="9" s="1"/>
  <c r="AE140" i="14"/>
  <c r="AE186" i="9" s="1"/>
  <c r="AF140" i="14"/>
  <c r="AF186" i="9" s="1"/>
  <c r="AG140" i="14"/>
  <c r="AG186" i="9" s="1"/>
  <c r="C145" i="14"/>
  <c r="Z145" i="14"/>
  <c r="Z189" i="9" s="1"/>
  <c r="AA145" i="14"/>
  <c r="AA189" i="9" s="1"/>
  <c r="AB145" i="14"/>
  <c r="AB189" i="9" s="1"/>
  <c r="AC145" i="14"/>
  <c r="AC189" i="9" s="1"/>
  <c r="AE145" i="14"/>
  <c r="AE189" i="9" s="1"/>
  <c r="AF145" i="14"/>
  <c r="AF189" i="9" s="1"/>
  <c r="AG145" i="14"/>
  <c r="AG189" i="9" s="1"/>
  <c r="C150" i="14"/>
  <c r="Z150" i="14"/>
  <c r="Z190" i="9" s="1"/>
  <c r="AA150" i="14"/>
  <c r="AA190" i="9" s="1"/>
  <c r="AB150" i="14"/>
  <c r="AB190" i="9" s="1"/>
  <c r="AC150" i="14"/>
  <c r="AC190" i="9" s="1"/>
  <c r="AE150" i="14"/>
  <c r="AE190" i="9" s="1"/>
  <c r="AF150" i="14"/>
  <c r="AF190" i="9" s="1"/>
  <c r="AG150" i="14"/>
  <c r="AG190" i="9" s="1"/>
  <c r="C157" i="14"/>
  <c r="Z157" i="14"/>
  <c r="Z297" i="9" s="1"/>
  <c r="Z310" i="9" s="1"/>
  <c r="Z92" i="9" s="1"/>
  <c r="AA157" i="14"/>
  <c r="AA297" i="9" s="1"/>
  <c r="AA310" i="9" s="1"/>
  <c r="AA92" i="9" s="1"/>
  <c r="AB157" i="14"/>
  <c r="AB297" i="9" s="1"/>
  <c r="AB310" i="9" s="1"/>
  <c r="AB92" i="9" s="1"/>
  <c r="AC157" i="14"/>
  <c r="AC297" i="9" s="1"/>
  <c r="AC310" i="9" s="1"/>
  <c r="AC92" i="9" s="1"/>
  <c r="AE157" i="14"/>
  <c r="AE297" i="9" s="1"/>
  <c r="AE310" i="9" s="1"/>
  <c r="AE92" i="9" s="1"/>
  <c r="AF157" i="14"/>
  <c r="AF297" i="9" s="1"/>
  <c r="AF310" i="9" s="1"/>
  <c r="AF92" i="9" s="1"/>
  <c r="AG157" i="14"/>
  <c r="AG297" i="9" s="1"/>
  <c r="AG310" i="9" s="1"/>
  <c r="AG92" i="9" s="1"/>
  <c r="C162" i="14"/>
  <c r="Z162" i="14"/>
  <c r="Z298" i="9" s="1"/>
  <c r="Z311" i="9" s="1"/>
  <c r="Z93" i="9" s="1"/>
  <c r="AA162" i="14"/>
  <c r="AA298" i="9" s="1"/>
  <c r="AA311" i="9" s="1"/>
  <c r="AA93" i="9" s="1"/>
  <c r="AB162" i="14"/>
  <c r="AB298" i="9" s="1"/>
  <c r="AB311" i="9" s="1"/>
  <c r="AB93" i="9" s="1"/>
  <c r="AC162" i="14"/>
  <c r="AC298" i="9" s="1"/>
  <c r="AC311" i="9" s="1"/>
  <c r="AC93" i="9" s="1"/>
  <c r="AE162" i="14"/>
  <c r="AE298" i="9" s="1"/>
  <c r="AE311" i="9" s="1"/>
  <c r="AE93" i="9" s="1"/>
  <c r="AF162" i="14"/>
  <c r="AF298" i="9" s="1"/>
  <c r="AF311" i="9" s="1"/>
  <c r="AF93" i="9" s="1"/>
  <c r="AG162" i="14"/>
  <c r="AG298" i="9" s="1"/>
  <c r="AG311" i="9" s="1"/>
  <c r="AG93" i="9" s="1"/>
  <c r="C170" i="14"/>
  <c r="Z170" i="14"/>
  <c r="Z274" i="9" s="1"/>
  <c r="Z243" i="9" s="1"/>
  <c r="AA170" i="14"/>
  <c r="AA274" i="9" s="1"/>
  <c r="AA243" i="9" s="1"/>
  <c r="AB170" i="14"/>
  <c r="AC170" i="14"/>
  <c r="AC274" i="9" s="1"/>
  <c r="AC243" i="9" s="1"/>
  <c r="AE170" i="14"/>
  <c r="AE274" i="9" s="1"/>
  <c r="AE243" i="9" s="1"/>
  <c r="AF170" i="14"/>
  <c r="AF274" i="9" s="1"/>
  <c r="AF243" i="9" s="1"/>
  <c r="AG170" i="14"/>
  <c r="AG274" i="9" s="1"/>
  <c r="AG243" i="9" s="1"/>
  <c r="C1" i="27"/>
  <c r="C2" i="27"/>
  <c r="C8" i="27"/>
  <c r="C109" i="27" s="1"/>
  <c r="T8" i="27"/>
  <c r="T32" i="8" s="1"/>
  <c r="T53" i="8" s="1"/>
  <c r="C9" i="27"/>
  <c r="C35" i="8" s="1"/>
  <c r="C48" i="22" s="1"/>
  <c r="C51" i="22" s="1"/>
  <c r="T9" i="27"/>
  <c r="T35" i="8" s="1"/>
  <c r="T103" i="8" s="1"/>
  <c r="C10" i="27"/>
  <c r="J38" i="8"/>
  <c r="J65" i="8" s="1"/>
  <c r="T10" i="27"/>
  <c r="C11" i="27"/>
  <c r="J41" i="8"/>
  <c r="J127" i="8" s="1"/>
  <c r="T11" i="27"/>
  <c r="T41" i="8" s="1"/>
  <c r="C12" i="27"/>
  <c r="T12" i="27"/>
  <c r="T44" i="8" s="1"/>
  <c r="T213" i="8" s="1"/>
  <c r="C13" i="27"/>
  <c r="J47" i="8"/>
  <c r="J83" i="8" s="1"/>
  <c r="T13" i="27"/>
  <c r="T47" i="8" s="1"/>
  <c r="Z23" i="27"/>
  <c r="AA23" i="27"/>
  <c r="AA30" i="27" s="1"/>
  <c r="AB23" i="27"/>
  <c r="AB29" i="27" s="1"/>
  <c r="AC23" i="27"/>
  <c r="AE23" i="27"/>
  <c r="AE29" i="27" s="1"/>
  <c r="AF23" i="27"/>
  <c r="AF29" i="27" s="1"/>
  <c r="AG23" i="27"/>
  <c r="C24" i="27"/>
  <c r="T24" i="27"/>
  <c r="Y24" i="27"/>
  <c r="AD24" i="27"/>
  <c r="C25" i="27"/>
  <c r="T25" i="27"/>
  <c r="Y25" i="27"/>
  <c r="AD25" i="27"/>
  <c r="C26" i="27"/>
  <c r="T26" i="27"/>
  <c r="Y26" i="27"/>
  <c r="AD26" i="27"/>
  <c r="C34" i="27"/>
  <c r="T34" i="27"/>
  <c r="C35" i="27"/>
  <c r="T35" i="27"/>
  <c r="C36" i="27"/>
  <c r="T36" i="27"/>
  <c r="C37" i="27"/>
  <c r="T37" i="27"/>
  <c r="C38" i="27"/>
  <c r="T38" i="27"/>
  <c r="C39" i="27"/>
  <c r="T39" i="27"/>
  <c r="C44" i="27"/>
  <c r="C45" i="27"/>
  <c r="C46" i="27"/>
  <c r="C47" i="27"/>
  <c r="C48" i="27"/>
  <c r="C49" i="27"/>
  <c r="T54" i="27"/>
  <c r="T55" i="27"/>
  <c r="T56" i="27"/>
  <c r="T57" i="27"/>
  <c r="Z62" i="27"/>
  <c r="AA62" i="27"/>
  <c r="AB62" i="27"/>
  <c r="AC62" i="27"/>
  <c r="Z63" i="27"/>
  <c r="AA63" i="27"/>
  <c r="AB63" i="27"/>
  <c r="AC63" i="27"/>
  <c r="Z64" i="27"/>
  <c r="AA64" i="27"/>
  <c r="AB64" i="27"/>
  <c r="AC64" i="27"/>
  <c r="Z65" i="27"/>
  <c r="AA65" i="27"/>
  <c r="AB65" i="27"/>
  <c r="AC65" i="27"/>
  <c r="Z66" i="27"/>
  <c r="AA66" i="27"/>
  <c r="AB66" i="27"/>
  <c r="AC66" i="27"/>
  <c r="Z67" i="27"/>
  <c r="AA67" i="27"/>
  <c r="AB67" i="27"/>
  <c r="AC67" i="27"/>
  <c r="C52" i="27"/>
  <c r="AE62" i="27"/>
  <c r="AF62" i="27"/>
  <c r="AG62" i="27"/>
  <c r="C53" i="27"/>
  <c r="AE63" i="27"/>
  <c r="AF63" i="27"/>
  <c r="AG63" i="27"/>
  <c r="C54" i="27"/>
  <c r="AE64" i="27"/>
  <c r="AF64" i="27"/>
  <c r="AG64" i="27"/>
  <c r="C55" i="27"/>
  <c r="AE65" i="27"/>
  <c r="AF65" i="27"/>
  <c r="AG65" i="27"/>
  <c r="C56" i="27"/>
  <c r="AE66" i="27"/>
  <c r="AF66" i="27"/>
  <c r="AG66" i="27"/>
  <c r="C57" i="27"/>
  <c r="AE67" i="27"/>
  <c r="AF67" i="27"/>
  <c r="AG67" i="27"/>
  <c r="C62" i="27"/>
  <c r="C83" i="14" s="1"/>
  <c r="C63" i="27"/>
  <c r="C84" i="14" s="1"/>
  <c r="C64" i="27"/>
  <c r="C85" i="14" s="1"/>
  <c r="C65" i="27"/>
  <c r="C86" i="14" s="1"/>
  <c r="C66" i="27"/>
  <c r="C87" i="14" s="1"/>
  <c r="C67" i="27"/>
  <c r="C88" i="14" s="1"/>
  <c r="C70" i="27"/>
  <c r="C71" i="27"/>
  <c r="C72" i="27"/>
  <c r="C73" i="27"/>
  <c r="C74" i="27"/>
  <c r="C75" i="27"/>
  <c r="C78" i="27"/>
  <c r="C79" i="27"/>
  <c r="C80" i="27"/>
  <c r="C81" i="27"/>
  <c r="C82" i="27"/>
  <c r="C83" i="27"/>
  <c r="Z88" i="27"/>
  <c r="Z96" i="27" s="1"/>
  <c r="AA88" i="27"/>
  <c r="AA99" i="27" s="1"/>
  <c r="AB88" i="27"/>
  <c r="AB96" i="27" s="1"/>
  <c r="AC88" i="27"/>
  <c r="AC98" i="27" s="1"/>
  <c r="AE88" i="27"/>
  <c r="AE99" i="27" s="1"/>
  <c r="AF88" i="27"/>
  <c r="AG88" i="27"/>
  <c r="AG97" i="27" s="1"/>
  <c r="T89" i="27"/>
  <c r="U201" i="27" s="1"/>
  <c r="Y89" i="27"/>
  <c r="AD89" i="27"/>
  <c r="AE201" i="27" s="1"/>
  <c r="T90" i="27"/>
  <c r="U202" i="27" s="1"/>
  <c r="Y90" i="27"/>
  <c r="AD90" i="27"/>
  <c r="T91" i="27"/>
  <c r="U203" i="27" s="1"/>
  <c r="Y91" i="27"/>
  <c r="AD91" i="27"/>
  <c r="AE203" i="27" s="1"/>
  <c r="T92" i="27"/>
  <c r="U204" i="27" s="1"/>
  <c r="Y92" i="27"/>
  <c r="AD92" i="27"/>
  <c r="T93" i="27"/>
  <c r="Y93" i="27"/>
  <c r="AD93" i="27"/>
  <c r="C96" i="27"/>
  <c r="C97" i="27"/>
  <c r="C98" i="27"/>
  <c r="C99" i="27"/>
  <c r="C100" i="27"/>
  <c r="C103" i="27"/>
  <c r="T103" i="27"/>
  <c r="Y103" i="27"/>
  <c r="AD103" i="27"/>
  <c r="C104" i="27"/>
  <c r="T104" i="27"/>
  <c r="Y104" i="27"/>
  <c r="AD104" i="27"/>
  <c r="C105" i="27"/>
  <c r="T105" i="27"/>
  <c r="Y105" i="27"/>
  <c r="AD105" i="27"/>
  <c r="C106" i="27"/>
  <c r="T106" i="27"/>
  <c r="Y106" i="27"/>
  <c r="AD106" i="27"/>
  <c r="C107" i="27"/>
  <c r="T107" i="27"/>
  <c r="Y107" i="27"/>
  <c r="AD107" i="27"/>
  <c r="C110" i="27"/>
  <c r="T110" i="27"/>
  <c r="Y110" i="27"/>
  <c r="AD110" i="27"/>
  <c r="C111" i="27"/>
  <c r="T111" i="27"/>
  <c r="Y111" i="27"/>
  <c r="AD111" i="27"/>
  <c r="C112" i="27"/>
  <c r="T112" i="27"/>
  <c r="Y112" i="27"/>
  <c r="AD112" i="27"/>
  <c r="C113" i="27"/>
  <c r="T113" i="27"/>
  <c r="Y113" i="27"/>
  <c r="AD113" i="27"/>
  <c r="C114" i="27"/>
  <c r="T114" i="27"/>
  <c r="Y114" i="27"/>
  <c r="AD114" i="27"/>
  <c r="C117" i="27"/>
  <c r="T117" i="27"/>
  <c r="Y117" i="27"/>
  <c r="AD117" i="27"/>
  <c r="C118" i="27"/>
  <c r="T118" i="27"/>
  <c r="Y118" i="27"/>
  <c r="AD118" i="27"/>
  <c r="C119" i="27"/>
  <c r="T119" i="27"/>
  <c r="Y119" i="27"/>
  <c r="AD119" i="27"/>
  <c r="C120" i="27"/>
  <c r="T120" i="27"/>
  <c r="Y120" i="27"/>
  <c r="AD120" i="27"/>
  <c r="C121" i="27"/>
  <c r="T121" i="27"/>
  <c r="Y121" i="27"/>
  <c r="AD121" i="27"/>
  <c r="C124" i="27"/>
  <c r="T124" i="27"/>
  <c r="Y124" i="27"/>
  <c r="AD124" i="27"/>
  <c r="C125" i="27"/>
  <c r="T125" i="27"/>
  <c r="Y125" i="27"/>
  <c r="AD125" i="27"/>
  <c r="C126" i="27"/>
  <c r="T126" i="27"/>
  <c r="Y126" i="27"/>
  <c r="AD126" i="27"/>
  <c r="C127" i="27"/>
  <c r="T127" i="27"/>
  <c r="Y127" i="27"/>
  <c r="AD127" i="27"/>
  <c r="C128" i="27"/>
  <c r="T128" i="27"/>
  <c r="Y128" i="27"/>
  <c r="AD128" i="27"/>
  <c r="C131" i="27"/>
  <c r="T131" i="27"/>
  <c r="Y131" i="27"/>
  <c r="AD131" i="27"/>
  <c r="C132" i="27"/>
  <c r="T132" i="27"/>
  <c r="Y132" i="27"/>
  <c r="AD132" i="27"/>
  <c r="C133" i="27"/>
  <c r="T133" i="27"/>
  <c r="Y133" i="27"/>
  <c r="AD133" i="27"/>
  <c r="C134" i="27"/>
  <c r="T134" i="27"/>
  <c r="Y134" i="27"/>
  <c r="AD134" i="27"/>
  <c r="C135" i="27"/>
  <c r="T135" i="27"/>
  <c r="Y135" i="27"/>
  <c r="AD135" i="27"/>
  <c r="C138" i="27"/>
  <c r="T138" i="27"/>
  <c r="Y138" i="27"/>
  <c r="AD138" i="27"/>
  <c r="C139" i="27"/>
  <c r="T139" i="27"/>
  <c r="Y139" i="27"/>
  <c r="AD139" i="27"/>
  <c r="C140" i="27"/>
  <c r="T140" i="27"/>
  <c r="Y140" i="27"/>
  <c r="AD140" i="27"/>
  <c r="C141" i="27"/>
  <c r="T141" i="27"/>
  <c r="Y141" i="27"/>
  <c r="AD141" i="27"/>
  <c r="C142" i="27"/>
  <c r="T142" i="27"/>
  <c r="Y142" i="27"/>
  <c r="AD142" i="27"/>
  <c r="C147" i="27"/>
  <c r="C148" i="27"/>
  <c r="C149" i="27"/>
  <c r="C150" i="27"/>
  <c r="C151" i="27"/>
  <c r="C152" i="27"/>
  <c r="C155" i="27"/>
  <c r="C156" i="27"/>
  <c r="F12" i="14"/>
  <c r="G12" i="14"/>
  <c r="H12" i="14"/>
  <c r="K12" i="14"/>
  <c r="L12" i="14"/>
  <c r="M12" i="14"/>
  <c r="P12" i="14"/>
  <c r="Q12" i="14"/>
  <c r="R12" i="14"/>
  <c r="S12" i="14"/>
  <c r="C157" i="27"/>
  <c r="F17" i="14"/>
  <c r="G17" i="14"/>
  <c r="H17" i="14"/>
  <c r="I17" i="14"/>
  <c r="K17" i="14"/>
  <c r="L17" i="14"/>
  <c r="M17" i="14"/>
  <c r="N17" i="14"/>
  <c r="P17" i="14"/>
  <c r="Q17" i="14"/>
  <c r="R17" i="14"/>
  <c r="S17" i="14"/>
  <c r="C158" i="27"/>
  <c r="F22" i="14"/>
  <c r="G22" i="14"/>
  <c r="H22" i="14"/>
  <c r="I22" i="14"/>
  <c r="K22" i="14"/>
  <c r="L22" i="14"/>
  <c r="M22" i="14"/>
  <c r="N22" i="14"/>
  <c r="P22" i="14"/>
  <c r="Q22" i="14"/>
  <c r="R22" i="14"/>
  <c r="S22" i="14"/>
  <c r="C159" i="27"/>
  <c r="F27" i="14"/>
  <c r="G27" i="14"/>
  <c r="H27" i="14"/>
  <c r="I27" i="14"/>
  <c r="K27" i="14"/>
  <c r="L27" i="14"/>
  <c r="M27" i="14"/>
  <c r="N27" i="14"/>
  <c r="P27" i="14"/>
  <c r="Q27" i="14"/>
  <c r="R27" i="14"/>
  <c r="S27" i="14"/>
  <c r="C160" i="27"/>
  <c r="F32" i="14"/>
  <c r="G32" i="14"/>
  <c r="H32" i="14"/>
  <c r="I32" i="14"/>
  <c r="K32" i="14"/>
  <c r="L32" i="14"/>
  <c r="M32" i="14"/>
  <c r="N32" i="14"/>
  <c r="P32" i="14"/>
  <c r="Q32" i="14"/>
  <c r="R32" i="14"/>
  <c r="S32" i="14"/>
  <c r="C163" i="27"/>
  <c r="C164" i="27"/>
  <c r="C165" i="27"/>
  <c r="C166" i="27"/>
  <c r="C167" i="27"/>
  <c r="C168" i="27"/>
  <c r="C173" i="27"/>
  <c r="C174" i="27"/>
  <c r="C175" i="27"/>
  <c r="C176" i="27"/>
  <c r="C177" i="27"/>
  <c r="C178" i="27"/>
  <c r="C180" i="27"/>
  <c r="Z180" i="27"/>
  <c r="AA180" i="27"/>
  <c r="AB180" i="27"/>
  <c r="AC180" i="27"/>
  <c r="AE180" i="27"/>
  <c r="AF180" i="27"/>
  <c r="AG180" i="27"/>
  <c r="C181" i="27"/>
  <c r="Z181" i="27"/>
  <c r="AA181" i="27"/>
  <c r="AB181" i="27"/>
  <c r="AC181" i="27"/>
  <c r="AE181" i="27"/>
  <c r="AF181" i="27"/>
  <c r="AG181" i="27"/>
  <c r="C182" i="27"/>
  <c r="Z182" i="27"/>
  <c r="AA182" i="27"/>
  <c r="AB182" i="27"/>
  <c r="AC182" i="27"/>
  <c r="AE182" i="27"/>
  <c r="AF182" i="27"/>
  <c r="AG182" i="27"/>
  <c r="C183" i="27"/>
  <c r="Z183" i="27"/>
  <c r="AA183" i="27"/>
  <c r="AB183" i="27"/>
  <c r="AC183" i="27"/>
  <c r="AE183" i="27"/>
  <c r="AF183" i="27"/>
  <c r="AG183" i="27"/>
  <c r="C184" i="27"/>
  <c r="Z184" i="27"/>
  <c r="AA184" i="27"/>
  <c r="AB184" i="27"/>
  <c r="AC184" i="27"/>
  <c r="AE184" i="27"/>
  <c r="AF184" i="27"/>
  <c r="AG184" i="27"/>
  <c r="C193" i="27"/>
  <c r="G33" i="8"/>
  <c r="G54" i="8" s="1"/>
  <c r="H33" i="8"/>
  <c r="H54" i="8" s="1"/>
  <c r="M33" i="8"/>
  <c r="M54" i="8" s="1"/>
  <c r="Q33" i="8"/>
  <c r="Q54" i="8" s="1"/>
  <c r="R33" i="8"/>
  <c r="R54" i="8" s="1"/>
  <c r="C194" i="27"/>
  <c r="G36" i="8"/>
  <c r="G60" i="8" s="1"/>
  <c r="H36" i="8"/>
  <c r="H60" i="8" s="1"/>
  <c r="C195" i="27"/>
  <c r="G39" i="8"/>
  <c r="G66" i="8" s="1"/>
  <c r="H39" i="8"/>
  <c r="H66" i="8" s="1"/>
  <c r="I39" i="8"/>
  <c r="I66" i="8" s="1"/>
  <c r="C196" i="27"/>
  <c r="G42" i="8"/>
  <c r="G72" i="8" s="1"/>
  <c r="H42" i="8"/>
  <c r="H72" i="8" s="1"/>
  <c r="I42" i="8"/>
  <c r="I72" i="8" s="1"/>
  <c r="K42" i="8"/>
  <c r="K72" i="8" s="1"/>
  <c r="L42" i="8"/>
  <c r="L72" i="8" s="1"/>
  <c r="M42" i="8"/>
  <c r="M72" i="8" s="1"/>
  <c r="P42" i="8"/>
  <c r="P72" i="8" s="1"/>
  <c r="Q42" i="8"/>
  <c r="Q72" i="8" s="1"/>
  <c r="R42" i="8"/>
  <c r="R72" i="8" s="1"/>
  <c r="C197" i="27"/>
  <c r="G45" i="8"/>
  <c r="G78" i="8" s="1"/>
  <c r="H45" i="8"/>
  <c r="H78" i="8" s="1"/>
  <c r="I45" i="8"/>
  <c r="I78" i="8" s="1"/>
  <c r="C198" i="27"/>
  <c r="G48" i="8"/>
  <c r="G84" i="8" s="1"/>
  <c r="H48" i="8"/>
  <c r="H84" i="8" s="1"/>
  <c r="I48" i="8"/>
  <c r="I84" i="8" s="1"/>
  <c r="K48" i="8"/>
  <c r="K84" i="8" s="1"/>
  <c r="L48" i="8"/>
  <c r="L84" i="8" s="1"/>
  <c r="M48" i="8"/>
  <c r="M84" i="8" s="1"/>
  <c r="N48" i="8"/>
  <c r="N84" i="8" s="1"/>
  <c r="P48" i="8"/>
  <c r="P84" i="8" s="1"/>
  <c r="Q48" i="8"/>
  <c r="Q84" i="8" s="1"/>
  <c r="R48" i="8"/>
  <c r="R84" i="8" s="1"/>
  <c r="S48" i="8"/>
  <c r="S84" i="8" s="1"/>
  <c r="C200" i="27"/>
  <c r="C201" i="27"/>
  <c r="Z201" i="27"/>
  <c r="AA201" i="27"/>
  <c r="AB201" i="27"/>
  <c r="AC201" i="27"/>
  <c r="AF201" i="27"/>
  <c r="AG201" i="27"/>
  <c r="C202" i="27"/>
  <c r="Z202" i="27"/>
  <c r="AA202" i="27"/>
  <c r="AB202" i="27"/>
  <c r="AC202" i="27"/>
  <c r="AF202" i="27"/>
  <c r="AG202" i="27"/>
  <c r="C203" i="27"/>
  <c r="Z203" i="27"/>
  <c r="AA203" i="27"/>
  <c r="AB203" i="27"/>
  <c r="AC203" i="27"/>
  <c r="AF203" i="27"/>
  <c r="AG203" i="27"/>
  <c r="C204" i="27"/>
  <c r="Z204" i="27"/>
  <c r="AA204" i="27"/>
  <c r="AB204" i="27"/>
  <c r="AC204" i="27"/>
  <c r="AF204" i="27"/>
  <c r="AG204" i="27"/>
  <c r="C1" i="9"/>
  <c r="C2" i="9"/>
  <c r="C11" i="9"/>
  <c r="C12" i="9"/>
  <c r="C13" i="9"/>
  <c r="C14" i="9"/>
  <c r="C15" i="9"/>
  <c r="C16" i="9"/>
  <c r="C17" i="9"/>
  <c r="C18" i="9"/>
  <c r="C19" i="9"/>
  <c r="C20" i="9"/>
  <c r="Y26" i="9"/>
  <c r="AD26" i="9"/>
  <c r="Z197" i="9"/>
  <c r="AA197" i="9"/>
  <c r="AB197" i="9"/>
  <c r="AC197" i="9"/>
  <c r="AE197" i="9"/>
  <c r="AF197" i="9"/>
  <c r="T85" i="21"/>
  <c r="D60" i="28" s="1"/>
  <c r="U85" i="21"/>
  <c r="E60" i="28" s="1"/>
  <c r="V85" i="21"/>
  <c r="F60" i="28" s="1"/>
  <c r="J67" i="14"/>
  <c r="O67" i="14"/>
  <c r="T67" i="14"/>
  <c r="Z41" i="9"/>
  <c r="AA41" i="9"/>
  <c r="AB41" i="9"/>
  <c r="AC41" i="9"/>
  <c r="AE41" i="9"/>
  <c r="AF41" i="9"/>
  <c r="AG41" i="9"/>
  <c r="Y48" i="9"/>
  <c r="AD48" i="9"/>
  <c r="Y49" i="9"/>
  <c r="AD49" i="9"/>
  <c r="Y50" i="9"/>
  <c r="AD50" i="9"/>
  <c r="Y51" i="9"/>
  <c r="AD51" i="9"/>
  <c r="Z86" i="9"/>
  <c r="AA86" i="9"/>
  <c r="AB86" i="9"/>
  <c r="AC86" i="9"/>
  <c r="AE86" i="9"/>
  <c r="AF86" i="9"/>
  <c r="AG86" i="9"/>
  <c r="Z97" i="9"/>
  <c r="AA97" i="9"/>
  <c r="AB97" i="9"/>
  <c r="AC97" i="9"/>
  <c r="AE97" i="9"/>
  <c r="AF97" i="9"/>
  <c r="AG97" i="9"/>
  <c r="Z100" i="9"/>
  <c r="AA100" i="9"/>
  <c r="AB100" i="9"/>
  <c r="AC100" i="9"/>
  <c r="AE100" i="9"/>
  <c r="AF100" i="9"/>
  <c r="AG100" i="9"/>
  <c r="Y101" i="9"/>
  <c r="AD101" i="9"/>
  <c r="Y102" i="9"/>
  <c r="AD102" i="9"/>
  <c r="V36" i="21"/>
  <c r="V34" i="21"/>
  <c r="T37" i="21"/>
  <c r="V37" i="21"/>
  <c r="T40" i="21"/>
  <c r="U40" i="21"/>
  <c r="AG197" i="9"/>
  <c r="V42" i="21"/>
  <c r="T50" i="21"/>
  <c r="V54" i="21"/>
  <c r="V55" i="21"/>
  <c r="T62" i="21"/>
  <c r="T63" i="21"/>
  <c r="U63" i="21"/>
  <c r="V63" i="21"/>
  <c r="T64" i="21"/>
  <c r="U64" i="21"/>
  <c r="V64" i="21"/>
  <c r="Z262" i="9"/>
  <c r="AA262" i="9"/>
  <c r="AB262" i="9"/>
  <c r="AC262" i="9"/>
  <c r="AE262" i="9"/>
  <c r="AF262" i="9"/>
  <c r="AG262" i="9"/>
  <c r="T67" i="21"/>
  <c r="U67" i="21"/>
  <c r="C164" i="9"/>
  <c r="C165" i="9"/>
  <c r="C166" i="9"/>
  <c r="C169" i="9"/>
  <c r="C170" i="9"/>
  <c r="C171" i="9"/>
  <c r="Y211" i="9"/>
  <c r="Z211" i="9" s="1"/>
  <c r="AA211" i="9" s="1"/>
  <c r="AB211" i="9" s="1"/>
  <c r="AC211" i="9" s="1"/>
  <c r="O170" i="14"/>
  <c r="AD257" i="9"/>
  <c r="Z280" i="9"/>
  <c r="AA280" i="9"/>
  <c r="AB280" i="9"/>
  <c r="AC280" i="9"/>
  <c r="AE280" i="9"/>
  <c r="AF280" i="9"/>
  <c r="AG280" i="9"/>
  <c r="Y273" i="9"/>
  <c r="AD273" i="9"/>
  <c r="G170" i="14"/>
  <c r="K170" i="14"/>
  <c r="L170" i="14"/>
  <c r="M170" i="14"/>
  <c r="N170" i="14"/>
  <c r="P170" i="14"/>
  <c r="Q170" i="14"/>
  <c r="R170" i="14"/>
  <c r="AA285" i="9"/>
  <c r="C1" i="8"/>
  <c r="C2" i="8"/>
  <c r="C6" i="8"/>
  <c r="C9" i="8"/>
  <c r="C11" i="8"/>
  <c r="C13" i="8"/>
  <c r="C15" i="8"/>
  <c r="C17" i="8"/>
  <c r="C19" i="8"/>
  <c r="Z54" i="8"/>
  <c r="Z60" i="8"/>
  <c r="Z66" i="8"/>
  <c r="Z72" i="8"/>
  <c r="Z78" i="8"/>
  <c r="AA54" i="8"/>
  <c r="AA60" i="8"/>
  <c r="AA66" i="8"/>
  <c r="AA72" i="8"/>
  <c r="AA78" i="8"/>
  <c r="AB54" i="8"/>
  <c r="AB60" i="8"/>
  <c r="AB66" i="8"/>
  <c r="AB72" i="8"/>
  <c r="AB78" i="8"/>
  <c r="AC54" i="8"/>
  <c r="AC60" i="8"/>
  <c r="AC66" i="8"/>
  <c r="AC72" i="8"/>
  <c r="AC78" i="8"/>
  <c r="AE54" i="8"/>
  <c r="AE60" i="8"/>
  <c r="AE66" i="8"/>
  <c r="AE72" i="8"/>
  <c r="AE78" i="8"/>
  <c r="AF54" i="8"/>
  <c r="AF60" i="8"/>
  <c r="AF66" i="8"/>
  <c r="AF72" i="8"/>
  <c r="AF78" i="8"/>
  <c r="AG54" i="8"/>
  <c r="AG60" i="8"/>
  <c r="AG66" i="8"/>
  <c r="AG72" i="8"/>
  <c r="AG78" i="8"/>
  <c r="C31" i="8"/>
  <c r="F32" i="8"/>
  <c r="F53" i="8" s="1"/>
  <c r="G32" i="8"/>
  <c r="G91" i="8" s="1"/>
  <c r="G97" i="8" s="1"/>
  <c r="H32" i="8"/>
  <c r="H165" i="8" s="1"/>
  <c r="K32" i="8"/>
  <c r="K91" i="8" s="1"/>
  <c r="K97" i="8" s="1"/>
  <c r="L32" i="8"/>
  <c r="L53" i="8" s="1"/>
  <c r="M32" i="8"/>
  <c r="M91" i="8" s="1"/>
  <c r="M97" i="8" s="1"/>
  <c r="P32" i="8"/>
  <c r="P91" i="8" s="1"/>
  <c r="P97" i="8" s="1"/>
  <c r="Q32" i="8"/>
  <c r="Q91" i="8" s="1"/>
  <c r="Q97" i="8" s="1"/>
  <c r="R32" i="8"/>
  <c r="R53" i="8" s="1"/>
  <c r="S32" i="8"/>
  <c r="C33" i="8"/>
  <c r="F35" i="8"/>
  <c r="F59" i="8" s="1"/>
  <c r="G35" i="8"/>
  <c r="G177" i="8" s="1"/>
  <c r="H35" i="8"/>
  <c r="H177" i="8" s="1"/>
  <c r="K35" i="8"/>
  <c r="K177" i="8" s="1"/>
  <c r="L35" i="8"/>
  <c r="L103" i="8" s="1"/>
  <c r="L109" i="8" s="1"/>
  <c r="M35" i="8"/>
  <c r="P35" i="8"/>
  <c r="P177" i="8" s="1"/>
  <c r="Q35" i="8"/>
  <c r="Q59" i="8" s="1"/>
  <c r="R35" i="8"/>
  <c r="R59" i="8" s="1"/>
  <c r="S35" i="8"/>
  <c r="S59" i="8" s="1"/>
  <c r="F38" i="8"/>
  <c r="F65" i="8" s="1"/>
  <c r="G38" i="8"/>
  <c r="G115" i="8" s="1"/>
  <c r="G121" i="8" s="1"/>
  <c r="H38" i="8"/>
  <c r="H65" i="8" s="1"/>
  <c r="I38" i="8"/>
  <c r="I65" i="8" s="1"/>
  <c r="K38" i="8"/>
  <c r="K65" i="8" s="1"/>
  <c r="L38" i="8"/>
  <c r="L65" i="8" s="1"/>
  <c r="M38" i="8"/>
  <c r="N38" i="8"/>
  <c r="N115" i="8" s="1"/>
  <c r="N121" i="8" s="1"/>
  <c r="P38" i="8"/>
  <c r="P115" i="8" s="1"/>
  <c r="P121" i="8" s="1"/>
  <c r="Q38" i="8"/>
  <c r="Q65" i="8" s="1"/>
  <c r="R38" i="8"/>
  <c r="R115" i="8" s="1"/>
  <c r="R121" i="8" s="1"/>
  <c r="S38" i="8"/>
  <c r="S65" i="8" s="1"/>
  <c r="F41" i="8"/>
  <c r="F71" i="8" s="1"/>
  <c r="G41" i="8"/>
  <c r="H41" i="8"/>
  <c r="H71" i="8" s="1"/>
  <c r="I41" i="8"/>
  <c r="I71" i="8" s="1"/>
  <c r="K41" i="8"/>
  <c r="K71" i="8" s="1"/>
  <c r="L41" i="8"/>
  <c r="L71" i="8" s="1"/>
  <c r="M41" i="8"/>
  <c r="M71" i="8" s="1"/>
  <c r="N41" i="8"/>
  <c r="N71" i="8" s="1"/>
  <c r="P41" i="8"/>
  <c r="P71" i="8" s="1"/>
  <c r="Q41" i="8"/>
  <c r="Q71" i="8" s="1"/>
  <c r="R41" i="8"/>
  <c r="R127" i="8" s="1"/>
  <c r="R133" i="8" s="1"/>
  <c r="S41" i="8"/>
  <c r="S127" i="8" s="1"/>
  <c r="S133" i="8" s="1"/>
  <c r="F44" i="8"/>
  <c r="F139" i="8" s="1"/>
  <c r="F145" i="8" s="1"/>
  <c r="G44" i="8"/>
  <c r="G77" i="8" s="1"/>
  <c r="H44" i="8"/>
  <c r="H213" i="8" s="1"/>
  <c r="H215" i="8" s="1"/>
  <c r="I44" i="8"/>
  <c r="I77" i="8" s="1"/>
  <c r="K44" i="8"/>
  <c r="K77" i="8" s="1"/>
  <c r="L44" i="8"/>
  <c r="L213" i="8" s="1"/>
  <c r="L215" i="8" s="1"/>
  <c r="L220" i="8" s="1"/>
  <c r="M44" i="8"/>
  <c r="M139" i="8" s="1"/>
  <c r="M145" i="8" s="1"/>
  <c r="N44" i="8"/>
  <c r="N77" i="8" s="1"/>
  <c r="P44" i="8"/>
  <c r="P77" i="8" s="1"/>
  <c r="Q44" i="8"/>
  <c r="Q139" i="8" s="1"/>
  <c r="Q145" i="8" s="1"/>
  <c r="R44" i="8"/>
  <c r="R77" i="8" s="1"/>
  <c r="S44" i="8"/>
  <c r="S77" i="8" s="1"/>
  <c r="F47" i="8"/>
  <c r="F83" i="8" s="1"/>
  <c r="G47" i="8"/>
  <c r="G83" i="8" s="1"/>
  <c r="H47" i="8"/>
  <c r="H83" i="8" s="1"/>
  <c r="I47" i="8"/>
  <c r="I83" i="8" s="1"/>
  <c r="K47" i="8"/>
  <c r="K83" i="8" s="1"/>
  <c r="L47" i="8"/>
  <c r="L83" i="8" s="1"/>
  <c r="M47" i="8"/>
  <c r="M151" i="8" s="1"/>
  <c r="N47" i="8"/>
  <c r="N83" i="8" s="1"/>
  <c r="P47" i="8"/>
  <c r="P83" i="8" s="1"/>
  <c r="Q47" i="8"/>
  <c r="Q83" i="8" s="1"/>
  <c r="R47" i="8"/>
  <c r="R83" i="8" s="1"/>
  <c r="S47" i="8"/>
  <c r="S225" i="8" s="1"/>
  <c r="S227" i="8" s="1"/>
  <c r="O48" i="8"/>
  <c r="O84" i="8" s="1"/>
  <c r="T48" i="8"/>
  <c r="T84" i="8" s="1"/>
  <c r="C54" i="8"/>
  <c r="J54" i="8"/>
  <c r="C60" i="8"/>
  <c r="J60" i="8"/>
  <c r="C66" i="8"/>
  <c r="J66" i="8"/>
  <c r="C72" i="8"/>
  <c r="J72" i="8"/>
  <c r="C78" i="8"/>
  <c r="J78" i="8"/>
  <c r="C84" i="8"/>
  <c r="J84" i="8"/>
  <c r="Z85" i="8"/>
  <c r="AA85" i="8" s="1"/>
  <c r="AB85" i="8" s="1"/>
  <c r="AC85" i="8" s="1"/>
  <c r="AE85" i="8" s="1"/>
  <c r="AF85" i="8" s="1"/>
  <c r="AG85" i="8" s="1"/>
  <c r="Z87" i="8"/>
  <c r="AA87" i="8" s="1"/>
  <c r="AB87" i="8" s="1"/>
  <c r="AC87" i="8" s="1"/>
  <c r="AE87" i="8" s="1"/>
  <c r="AF87" i="8" s="1"/>
  <c r="AG87" i="8" s="1"/>
  <c r="Z93" i="8"/>
  <c r="Z98" i="8"/>
  <c r="AA93" i="8"/>
  <c r="AA98" i="8"/>
  <c r="AB93" i="8"/>
  <c r="AB98" i="8"/>
  <c r="AC93" i="8"/>
  <c r="AC98" i="8"/>
  <c r="AE93" i="8"/>
  <c r="AE98" i="8"/>
  <c r="AF93" i="8"/>
  <c r="AF98" i="8"/>
  <c r="AG93" i="8"/>
  <c r="AG98" i="8"/>
  <c r="J92" i="8"/>
  <c r="O92" i="8"/>
  <c r="T92" i="8"/>
  <c r="G93" i="8"/>
  <c r="H93" i="8"/>
  <c r="I93" i="8"/>
  <c r="K93" i="8"/>
  <c r="L93" i="8"/>
  <c r="M93" i="8"/>
  <c r="N93" i="8"/>
  <c r="P93" i="8"/>
  <c r="Q93" i="8"/>
  <c r="R93" i="8"/>
  <c r="S93" i="8"/>
  <c r="Z105" i="8"/>
  <c r="Z110" i="8"/>
  <c r="AA105" i="8"/>
  <c r="AA110" i="8"/>
  <c r="AB105" i="8"/>
  <c r="AB110" i="8"/>
  <c r="AC105" i="8"/>
  <c r="AC110" i="8"/>
  <c r="AE105" i="8"/>
  <c r="AE110" i="8"/>
  <c r="AF105" i="8"/>
  <c r="AF110" i="8"/>
  <c r="AG105" i="8"/>
  <c r="AG110" i="8"/>
  <c r="J104" i="8"/>
  <c r="O104" i="8"/>
  <c r="T104" i="8"/>
  <c r="G105" i="8"/>
  <c r="H105" i="8"/>
  <c r="I105" i="8"/>
  <c r="K105" i="8"/>
  <c r="L105" i="8"/>
  <c r="M105" i="8"/>
  <c r="N105" i="8"/>
  <c r="P105" i="8"/>
  <c r="Q105" i="8"/>
  <c r="R105" i="8"/>
  <c r="S105" i="8"/>
  <c r="Z117" i="8"/>
  <c r="Z122" i="8"/>
  <c r="AA117" i="8"/>
  <c r="AA122" i="8"/>
  <c r="AB117" i="8"/>
  <c r="AB122" i="8"/>
  <c r="AC117" i="8"/>
  <c r="AC122" i="8"/>
  <c r="AE117" i="8"/>
  <c r="AE122" i="8"/>
  <c r="AF117" i="8"/>
  <c r="AF122" i="8"/>
  <c r="AG117" i="8"/>
  <c r="AG122" i="8"/>
  <c r="J116" i="8"/>
  <c r="O116" i="8"/>
  <c r="T116" i="8"/>
  <c r="G117" i="8"/>
  <c r="H117" i="8"/>
  <c r="I117" i="8"/>
  <c r="K117" i="8"/>
  <c r="L117" i="8"/>
  <c r="M117" i="8"/>
  <c r="N117" i="8"/>
  <c r="P117" i="8"/>
  <c r="Q117" i="8"/>
  <c r="R117" i="8"/>
  <c r="S117" i="8"/>
  <c r="Z129" i="8"/>
  <c r="Z134" i="8"/>
  <c r="AA129" i="8"/>
  <c r="AA134" i="8"/>
  <c r="AB129" i="8"/>
  <c r="AB134" i="8"/>
  <c r="AC129" i="8"/>
  <c r="AC134" i="8"/>
  <c r="AE129" i="8"/>
  <c r="AE134" i="8"/>
  <c r="AF129" i="8"/>
  <c r="AF134" i="8"/>
  <c r="AG129" i="8"/>
  <c r="AG134" i="8"/>
  <c r="J128" i="8"/>
  <c r="O128" i="8"/>
  <c r="T128" i="8"/>
  <c r="G129" i="8"/>
  <c r="H129" i="8"/>
  <c r="I129" i="8"/>
  <c r="K129" i="8"/>
  <c r="L129" i="8"/>
  <c r="M129" i="8"/>
  <c r="N129" i="8"/>
  <c r="P129" i="8"/>
  <c r="Q129" i="8"/>
  <c r="R129" i="8"/>
  <c r="S129" i="8"/>
  <c r="Z141" i="8"/>
  <c r="Z146" i="8"/>
  <c r="AA141" i="8"/>
  <c r="AA146" i="8"/>
  <c r="AB141" i="8"/>
  <c r="AB146" i="8"/>
  <c r="AC141" i="8"/>
  <c r="AC146" i="8"/>
  <c r="AE141" i="8"/>
  <c r="AE146" i="8"/>
  <c r="AF141" i="8"/>
  <c r="AF146" i="8"/>
  <c r="AG141" i="8"/>
  <c r="AG146" i="8"/>
  <c r="J140" i="8"/>
  <c r="O140" i="8"/>
  <c r="T140" i="8"/>
  <c r="G141" i="8"/>
  <c r="H141" i="8"/>
  <c r="I141" i="8"/>
  <c r="K141" i="8"/>
  <c r="L141" i="8"/>
  <c r="M141" i="8"/>
  <c r="N141" i="8"/>
  <c r="P141" i="8"/>
  <c r="Q141" i="8"/>
  <c r="R141" i="8"/>
  <c r="S141" i="8"/>
  <c r="Z153" i="8"/>
  <c r="Z158" i="8"/>
  <c r="AA153" i="8"/>
  <c r="AA158" i="8"/>
  <c r="AB153" i="8"/>
  <c r="AB158" i="8"/>
  <c r="AC153" i="8"/>
  <c r="AC158" i="8"/>
  <c r="AE153" i="8"/>
  <c r="AE158" i="8"/>
  <c r="AE157" i="8" s="1"/>
  <c r="AF153" i="8"/>
  <c r="AF158" i="8"/>
  <c r="AG153" i="8"/>
  <c r="AG158" i="8"/>
  <c r="G153" i="8"/>
  <c r="H153" i="8"/>
  <c r="I153" i="8"/>
  <c r="K153" i="8"/>
  <c r="L153" i="8"/>
  <c r="M153" i="8"/>
  <c r="N153" i="8"/>
  <c r="O153" i="8"/>
  <c r="P153" i="8"/>
  <c r="Q153" i="8"/>
  <c r="R153" i="8"/>
  <c r="S153" i="8"/>
  <c r="T153" i="8"/>
  <c r="G158" i="8"/>
  <c r="H158" i="8"/>
  <c r="I158" i="8"/>
  <c r="K158" i="8"/>
  <c r="L158" i="8"/>
  <c r="M158" i="8"/>
  <c r="N158" i="8"/>
  <c r="O158" i="8"/>
  <c r="P158" i="8"/>
  <c r="Q158" i="8"/>
  <c r="R158" i="8"/>
  <c r="S158" i="8"/>
  <c r="T158" i="8"/>
  <c r="Z168" i="8"/>
  <c r="Z172" i="8"/>
  <c r="AA168" i="8"/>
  <c r="AA172" i="8"/>
  <c r="AB168" i="8"/>
  <c r="AB172" i="8"/>
  <c r="AC168" i="8"/>
  <c r="AC172" i="8"/>
  <c r="AE168" i="8"/>
  <c r="AE172" i="8"/>
  <c r="AF168" i="8"/>
  <c r="AF172" i="8"/>
  <c r="AG168" i="8"/>
  <c r="AG172" i="8"/>
  <c r="F166" i="8"/>
  <c r="G166" i="8"/>
  <c r="H166" i="8"/>
  <c r="I166" i="8"/>
  <c r="J166" i="8" s="1"/>
  <c r="K166" i="8"/>
  <c r="L166" i="8"/>
  <c r="Z180" i="8"/>
  <c r="Z184" i="8"/>
  <c r="AA180" i="8"/>
  <c r="AA184" i="8"/>
  <c r="AB180" i="8"/>
  <c r="AB184" i="8"/>
  <c r="AC180" i="8"/>
  <c r="AC184" i="8"/>
  <c r="AE180" i="8"/>
  <c r="AE184" i="8"/>
  <c r="AF180" i="8"/>
  <c r="AF184" i="8"/>
  <c r="AG180" i="8"/>
  <c r="AG184" i="8"/>
  <c r="F178" i="8"/>
  <c r="G178" i="8"/>
  <c r="H178" i="8"/>
  <c r="I178" i="8"/>
  <c r="K178" i="8"/>
  <c r="L178" i="8"/>
  <c r="F189" i="8"/>
  <c r="F191" i="8" s="1"/>
  <c r="G189" i="8"/>
  <c r="G191" i="8" s="1"/>
  <c r="H189" i="8"/>
  <c r="H191" i="8" s="1"/>
  <c r="I189" i="8"/>
  <c r="I191" i="8" s="1"/>
  <c r="J189" i="8"/>
  <c r="K189" i="8"/>
  <c r="K191" i="8" s="1"/>
  <c r="L189" i="8"/>
  <c r="L191" i="8" s="1"/>
  <c r="M189" i="8"/>
  <c r="M191" i="8" s="1"/>
  <c r="M196" i="8" s="1"/>
  <c r="N189" i="8"/>
  <c r="N191" i="8" s="1"/>
  <c r="O189" i="8"/>
  <c r="P189" i="8"/>
  <c r="P191" i="8" s="1"/>
  <c r="Q189" i="8"/>
  <c r="Q191" i="8" s="1"/>
  <c r="R189" i="8"/>
  <c r="R191" i="8" s="1"/>
  <c r="R196" i="8" s="1"/>
  <c r="S189" i="8"/>
  <c r="S191" i="8" s="1"/>
  <c r="T189" i="8"/>
  <c r="Z192" i="8"/>
  <c r="Z196" i="8"/>
  <c r="AA192" i="8"/>
  <c r="AA196" i="8"/>
  <c r="AB192" i="8"/>
  <c r="AB196" i="8"/>
  <c r="AC192" i="8"/>
  <c r="AC196" i="8"/>
  <c r="AE192" i="8"/>
  <c r="AE196" i="8"/>
  <c r="AF192" i="8"/>
  <c r="AF196" i="8"/>
  <c r="AG192" i="8"/>
  <c r="AG196" i="8"/>
  <c r="F201" i="8"/>
  <c r="F203" i="8" s="1"/>
  <c r="F208" i="8" s="1"/>
  <c r="G201" i="8"/>
  <c r="G203" i="8" s="1"/>
  <c r="H201" i="8"/>
  <c r="H203" i="8" s="1"/>
  <c r="I201" i="8"/>
  <c r="I203" i="8" s="1"/>
  <c r="J201" i="8"/>
  <c r="K201" i="8"/>
  <c r="K203" i="8" s="1"/>
  <c r="K208" i="8" s="1"/>
  <c r="L201" i="8"/>
  <c r="L203" i="8" s="1"/>
  <c r="M201" i="8"/>
  <c r="M203" i="8" s="1"/>
  <c r="N201" i="8"/>
  <c r="N203" i="8" s="1"/>
  <c r="N208" i="8" s="1"/>
  <c r="O201" i="8"/>
  <c r="P201" i="8"/>
  <c r="P203" i="8" s="1"/>
  <c r="Q201" i="8"/>
  <c r="Q203" i="8" s="1"/>
  <c r="R201" i="8"/>
  <c r="R203" i="8" s="1"/>
  <c r="S201" i="8"/>
  <c r="S203" i="8" s="1"/>
  <c r="T201" i="8"/>
  <c r="Z204" i="8"/>
  <c r="Z208" i="8"/>
  <c r="AA204" i="8"/>
  <c r="AA208" i="8"/>
  <c r="AB204" i="8"/>
  <c r="AB208" i="8"/>
  <c r="AC204" i="8"/>
  <c r="AC208" i="8"/>
  <c r="AE204" i="8"/>
  <c r="AE208" i="8"/>
  <c r="AF204" i="8"/>
  <c r="AF208" i="8"/>
  <c r="AG204" i="8"/>
  <c r="AG208" i="8"/>
  <c r="Z216" i="8"/>
  <c r="Z220" i="8"/>
  <c r="AA216" i="8"/>
  <c r="AA220" i="8"/>
  <c r="AB216" i="8"/>
  <c r="AB220" i="8"/>
  <c r="AC216" i="8"/>
  <c r="AC220" i="8"/>
  <c r="AE216" i="8"/>
  <c r="AE220" i="8"/>
  <c r="AF216" i="8"/>
  <c r="AF220" i="8"/>
  <c r="AG216" i="8"/>
  <c r="AG220" i="8"/>
  <c r="Z228" i="8"/>
  <c r="Z232" i="8"/>
  <c r="AA228" i="8"/>
  <c r="AA232" i="8"/>
  <c r="AB228" i="8"/>
  <c r="AB232" i="8"/>
  <c r="AC228" i="8"/>
  <c r="AC232" i="8"/>
  <c r="AE228" i="8"/>
  <c r="AE232" i="8"/>
  <c r="AF228" i="8"/>
  <c r="AF232" i="8"/>
  <c r="AG228" i="8"/>
  <c r="AG232" i="8"/>
  <c r="C1" i="26"/>
  <c r="D8" i="26"/>
  <c r="D9" i="26"/>
  <c r="D17" i="26"/>
  <c r="D18" i="26"/>
  <c r="D19" i="26"/>
  <c r="D21" i="26"/>
  <c r="C1" i="20"/>
  <c r="C2" i="20"/>
  <c r="T5" i="20"/>
  <c r="V5" i="20"/>
  <c r="T6" i="20"/>
  <c r="V6" i="20"/>
  <c r="T8" i="20"/>
  <c r="V8" i="20"/>
  <c r="T9" i="20"/>
  <c r="V9" i="20"/>
  <c r="T10" i="20"/>
  <c r="V10" i="20"/>
  <c r="T11" i="20"/>
  <c r="V11" i="20"/>
  <c r="T13" i="20"/>
  <c r="V13" i="20"/>
  <c r="T14" i="20"/>
  <c r="V14" i="20"/>
  <c r="T15" i="20"/>
  <c r="V15" i="20"/>
  <c r="T16" i="20"/>
  <c r="V16" i="20"/>
  <c r="T18" i="20"/>
  <c r="V18" i="20"/>
  <c r="B1" i="28"/>
  <c r="N1" i="28"/>
  <c r="S1" i="28" s="1"/>
  <c r="B2" i="28"/>
  <c r="S30" i="28" s="1"/>
  <c r="O2" i="28"/>
  <c r="O3" i="28"/>
  <c r="B4" i="28"/>
  <c r="I7" i="28"/>
  <c r="I8" i="28"/>
  <c r="I9" i="28"/>
  <c r="I10" i="28"/>
  <c r="I12" i="28"/>
  <c r="I13" i="28"/>
  <c r="I14" i="28"/>
  <c r="I15" i="28"/>
  <c r="I16" i="28"/>
  <c r="B22" i="28"/>
  <c r="B25" i="28"/>
  <c r="B26" i="28"/>
  <c r="B29" i="28"/>
  <c r="B30" i="28"/>
  <c r="B33" i="28"/>
  <c r="B34" i="28"/>
  <c r="B37" i="28"/>
  <c r="B44" i="28"/>
  <c r="B45" i="28"/>
  <c r="B46" i="28"/>
  <c r="B47" i="28"/>
  <c r="B49" i="28"/>
  <c r="B50" i="28"/>
  <c r="B51" i="28"/>
  <c r="B52" i="28"/>
  <c r="B54" i="28"/>
  <c r="B55" i="28"/>
  <c r="B56" i="28"/>
  <c r="B59" i="28"/>
  <c r="B66" i="28"/>
  <c r="B67" i="28"/>
  <c r="B71" i="28"/>
  <c r="C1" i="21"/>
  <c r="C2" i="21"/>
  <c r="C6" i="21"/>
  <c r="C8" i="21"/>
  <c r="B21" i="28" s="1"/>
  <c r="C11" i="21"/>
  <c r="B24" i="28" s="1"/>
  <c r="C15" i="21"/>
  <c r="C19" i="21"/>
  <c r="B32" i="28" s="1"/>
  <c r="C23" i="21"/>
  <c r="B36" i="28" s="1"/>
  <c r="C27" i="21"/>
  <c r="B28" i="28" s="1"/>
  <c r="G31" i="21"/>
  <c r="T31" i="21"/>
  <c r="T72" i="21" s="1"/>
  <c r="C32" i="21"/>
  <c r="C34" i="21"/>
  <c r="G34" i="21"/>
  <c r="H34" i="21"/>
  <c r="I34" i="21"/>
  <c r="J34" i="21"/>
  <c r="C35" i="21"/>
  <c r="C36" i="21"/>
  <c r="G36" i="21"/>
  <c r="I36" i="21"/>
  <c r="J36" i="21"/>
  <c r="C37" i="21"/>
  <c r="G37" i="21"/>
  <c r="H37" i="21"/>
  <c r="I37" i="21"/>
  <c r="J37" i="21"/>
  <c r="C38" i="21"/>
  <c r="C40" i="21"/>
  <c r="G40" i="21"/>
  <c r="H40" i="21"/>
  <c r="I40" i="21"/>
  <c r="J40" i="21"/>
  <c r="C41" i="21"/>
  <c r="G41" i="21"/>
  <c r="H41" i="21"/>
  <c r="I41" i="21"/>
  <c r="J41" i="21"/>
  <c r="C42" i="21"/>
  <c r="G42" i="21"/>
  <c r="H42" i="21"/>
  <c r="I42" i="21"/>
  <c r="J42" i="21"/>
  <c r="C43" i="21"/>
  <c r="H43" i="21"/>
  <c r="C44" i="21"/>
  <c r="C46" i="21"/>
  <c r="C48" i="21"/>
  <c r="C49" i="21"/>
  <c r="I49" i="21"/>
  <c r="J49" i="21"/>
  <c r="C50" i="21"/>
  <c r="I50" i="21"/>
  <c r="J50" i="21"/>
  <c r="C51" i="21"/>
  <c r="C53" i="21"/>
  <c r="G53" i="21"/>
  <c r="H53" i="21"/>
  <c r="I53" i="21"/>
  <c r="J53" i="21"/>
  <c r="C54" i="21"/>
  <c r="H54" i="21"/>
  <c r="I54" i="21"/>
  <c r="J54" i="21"/>
  <c r="C55" i="21"/>
  <c r="H55" i="21"/>
  <c r="I55" i="21"/>
  <c r="J55" i="21"/>
  <c r="C56" i="21"/>
  <c r="G56" i="21"/>
  <c r="H56" i="21"/>
  <c r="I56" i="21"/>
  <c r="J56" i="21"/>
  <c r="C57" i="21"/>
  <c r="C59" i="21"/>
  <c r="C61" i="21"/>
  <c r="C62" i="21"/>
  <c r="G62" i="21"/>
  <c r="I62" i="21"/>
  <c r="J62" i="21"/>
  <c r="C63" i="21"/>
  <c r="G63" i="21"/>
  <c r="H63" i="21"/>
  <c r="I63" i="21"/>
  <c r="J63" i="21"/>
  <c r="C64" i="21"/>
  <c r="G64" i="21"/>
  <c r="H64" i="21"/>
  <c r="I64" i="21"/>
  <c r="J64" i="21"/>
  <c r="C65" i="21"/>
  <c r="C67" i="21"/>
  <c r="G67" i="21"/>
  <c r="C68" i="21"/>
  <c r="C70" i="21"/>
  <c r="G72" i="21"/>
  <c r="S82" i="21"/>
  <c r="G85" i="21"/>
  <c r="H85" i="21"/>
  <c r="I85" i="21"/>
  <c r="J85" i="21"/>
  <c r="I86" i="21"/>
  <c r="J86" i="21"/>
  <c r="C98" i="21"/>
  <c r="B68" i="28" s="1"/>
  <c r="C99" i="21"/>
  <c r="B69" i="28" s="1"/>
  <c r="C100" i="21"/>
  <c r="B70" i="28" s="1"/>
  <c r="C1" i="12"/>
  <c r="G87" i="15"/>
  <c r="AB60" i="15"/>
  <c r="E11" i="15" l="1"/>
  <c r="J122" i="15" s="1"/>
  <c r="C123" i="27"/>
  <c r="H176" i="27"/>
  <c r="C116" i="27"/>
  <c r="H175" i="27"/>
  <c r="C137" i="27"/>
  <c r="H178" i="27"/>
  <c r="C130" i="27"/>
  <c r="H177" i="27"/>
  <c r="AE285" i="9"/>
  <c r="AF285" i="9" s="1"/>
  <c r="AG285" i="9" s="1"/>
  <c r="V191" i="8"/>
  <c r="S208" i="8"/>
  <c r="S45" i="14"/>
  <c r="AC328" i="9"/>
  <c r="AE328" i="9" s="1"/>
  <c r="AF328" i="9" s="1"/>
  <c r="AG328" i="9" s="1"/>
  <c r="AD328" i="9"/>
  <c r="Q46" i="8"/>
  <c r="I9" i="19"/>
  <c r="P41" i="15"/>
  <c r="K222" i="15"/>
  <c r="J196" i="15"/>
  <c r="BV6" i="19"/>
  <c r="CB6" i="19" s="1"/>
  <c r="CH6" i="19" s="1"/>
  <c r="C41" i="15"/>
  <c r="BU6" i="19"/>
  <c r="CA6" i="19" s="1"/>
  <c r="CG6" i="19" s="1"/>
  <c r="I34" i="15"/>
  <c r="O222" i="15"/>
  <c r="O221" i="15"/>
  <c r="BT6" i="19"/>
  <c r="BZ6" i="19" s="1"/>
  <c r="CF6" i="19" s="1"/>
  <c r="AG6" i="19"/>
  <c r="Z140" i="8"/>
  <c r="AA140" i="8" s="1"/>
  <c r="Y128" i="8"/>
  <c r="Y116" i="8"/>
  <c r="Y104" i="8"/>
  <c r="Y92" i="8"/>
  <c r="H34" i="15"/>
  <c r="M222" i="15"/>
  <c r="M221" i="15"/>
  <c r="G10" i="15"/>
  <c r="I10" i="15"/>
  <c r="K221" i="15"/>
  <c r="AE6" i="19"/>
  <c r="J15" i="15"/>
  <c r="N119" i="15"/>
  <c r="N123" i="15" s="1"/>
  <c r="AV6" i="19"/>
  <c r="BB6" i="19" s="1"/>
  <c r="BH6" i="19" s="1"/>
  <c r="G20" i="15"/>
  <c r="AU6" i="19"/>
  <c r="BA6" i="19" s="1"/>
  <c r="BG6" i="19" s="1"/>
  <c r="C19" i="15"/>
  <c r="B11" i="15" s="1"/>
  <c r="R41" i="15"/>
  <c r="AT6" i="19"/>
  <c r="AZ6" i="19" s="1"/>
  <c r="BF6" i="19" s="1"/>
  <c r="C14" i="15"/>
  <c r="B10" i="15" s="1"/>
  <c r="Q41" i="15"/>
  <c r="C9" i="15"/>
  <c r="J147" i="15" s="1"/>
  <c r="D22" i="15"/>
  <c r="G140" i="14"/>
  <c r="G61" i="21"/>
  <c r="G65" i="21" s="1"/>
  <c r="G68" i="21" s="1"/>
  <c r="G93" i="21" s="1"/>
  <c r="G35" i="21"/>
  <c r="G38" i="21" s="1"/>
  <c r="S24" i="28"/>
  <c r="N196" i="15"/>
  <c r="N12" i="14"/>
  <c r="M40" i="25"/>
  <c r="L40" i="24"/>
  <c r="U7" i="19"/>
  <c r="T7" i="19"/>
  <c r="H16" i="19"/>
  <c r="C38" i="8"/>
  <c r="C12" i="8" s="1"/>
  <c r="H53" i="8"/>
  <c r="K86" i="14"/>
  <c r="K83" i="14"/>
  <c r="L30" i="8"/>
  <c r="K88" i="14"/>
  <c r="K85" i="14"/>
  <c r="Q36" i="8"/>
  <c r="Q60" i="8" s="1"/>
  <c r="K87" i="14"/>
  <c r="H15" i="15"/>
  <c r="H20" i="15"/>
  <c r="AG95" i="9"/>
  <c r="AF95" i="9"/>
  <c r="G145" i="14"/>
  <c r="S145" i="14"/>
  <c r="AA100" i="21"/>
  <c r="K70" i="28" s="1"/>
  <c r="Y100" i="21"/>
  <c r="I70" i="28" s="1"/>
  <c r="Q100" i="21"/>
  <c r="P100" i="21"/>
  <c r="O100" i="21"/>
  <c r="R100" i="21"/>
  <c r="Q39" i="8"/>
  <c r="Q66" i="8" s="1"/>
  <c r="L39" i="8"/>
  <c r="L66" i="8" s="1"/>
  <c r="K33" i="8"/>
  <c r="K54" i="8" s="1"/>
  <c r="R36" i="8"/>
  <c r="R60" i="8" s="1"/>
  <c r="Q45" i="8"/>
  <c r="Q78" i="8" s="1"/>
  <c r="K40" i="8"/>
  <c r="M36" i="8"/>
  <c r="M60" i="8" s="1"/>
  <c r="L45" i="8"/>
  <c r="L78" i="8" s="1"/>
  <c r="S39" i="8"/>
  <c r="S66" i="8" s="1"/>
  <c r="N39" i="8"/>
  <c r="N66" i="8" s="1"/>
  <c r="L36" i="8"/>
  <c r="L60" i="8" s="1"/>
  <c r="L33" i="8"/>
  <c r="L54" i="8" s="1"/>
  <c r="P45" i="8"/>
  <c r="P78" i="8" s="1"/>
  <c r="S45" i="8"/>
  <c r="S78" i="8" s="1"/>
  <c r="N45" i="8"/>
  <c r="N78" i="8" s="1"/>
  <c r="K45" i="8"/>
  <c r="K78" i="8" s="1"/>
  <c r="R39" i="8"/>
  <c r="R66" i="8" s="1"/>
  <c r="M39" i="8"/>
  <c r="M66" i="8" s="1"/>
  <c r="N35" i="8"/>
  <c r="N59" i="8" s="1"/>
  <c r="R30" i="8"/>
  <c r="P60" i="8"/>
  <c r="S36" i="8"/>
  <c r="S60" i="8" s="1"/>
  <c r="O35" i="8"/>
  <c r="G53" i="8"/>
  <c r="K30" i="8"/>
  <c r="P39" i="8"/>
  <c r="P66" i="8" s="1"/>
  <c r="K39" i="8"/>
  <c r="K66" i="8" s="1"/>
  <c r="K49" i="8"/>
  <c r="K37" i="8"/>
  <c r="S42" i="8"/>
  <c r="S72" i="8" s="1"/>
  <c r="N42" i="8"/>
  <c r="N72" i="8" s="1"/>
  <c r="O22" i="14"/>
  <c r="K46" i="8"/>
  <c r="K34" i="8"/>
  <c r="Q30" i="8"/>
  <c r="R45" i="8"/>
  <c r="R78" i="8" s="1"/>
  <c r="M45" i="8"/>
  <c r="M78" i="8" s="1"/>
  <c r="P54" i="8"/>
  <c r="P53" i="8"/>
  <c r="AB30" i="27"/>
  <c r="F115" i="8"/>
  <c r="F121" i="8" s="1"/>
  <c r="G122" i="8" s="1"/>
  <c r="N118" i="15"/>
  <c r="H17" i="19"/>
  <c r="P157" i="23"/>
  <c r="S139" i="8"/>
  <c r="S145" i="8" s="1"/>
  <c r="R225" i="8"/>
  <c r="R227" i="8" s="1"/>
  <c r="R232" i="8" s="1"/>
  <c r="O141" i="8"/>
  <c r="T105" i="8"/>
  <c r="F197" i="15"/>
  <c r="F201" i="15" s="1"/>
  <c r="Q245" i="15"/>
  <c r="O11" i="20"/>
  <c r="Q192" i="8"/>
  <c r="M165" i="8"/>
  <c r="M167" i="8" s="1"/>
  <c r="L127" i="8"/>
  <c r="L133" i="8" s="1"/>
  <c r="AD184" i="27"/>
  <c r="Q161" i="15"/>
  <c r="I20" i="15"/>
  <c r="G82" i="19"/>
  <c r="R91" i="8"/>
  <c r="R97" i="8" s="1"/>
  <c r="R98" i="8" s="1"/>
  <c r="AB98" i="27"/>
  <c r="G39" i="19"/>
  <c r="D39" i="16"/>
  <c r="AB31" i="27"/>
  <c r="J118" i="15"/>
  <c r="H18" i="19"/>
  <c r="P165" i="8"/>
  <c r="AB128" i="14"/>
  <c r="AB188" i="9" s="1"/>
  <c r="U13" i="20"/>
  <c r="S177" i="8"/>
  <c r="S179" i="8" s="1"/>
  <c r="M127" i="8"/>
  <c r="M133" i="8" s="1"/>
  <c r="O8" i="20"/>
  <c r="G43" i="21"/>
  <c r="G44" i="21" s="1"/>
  <c r="T24" i="28"/>
  <c r="U24" i="28" s="1"/>
  <c r="O15" i="20"/>
  <c r="Z157" i="8"/>
  <c r="AA157" i="8" s="1"/>
  <c r="AB157" i="8" s="1"/>
  <c r="AC157" i="8" s="1"/>
  <c r="AF31" i="27"/>
  <c r="Q253" i="15"/>
  <c r="O14" i="20"/>
  <c r="O237" i="15"/>
  <c r="Q98" i="15"/>
  <c r="F10" i="15"/>
  <c r="E84" i="19"/>
  <c r="O13" i="20"/>
  <c r="O9" i="20"/>
  <c r="Z86" i="8"/>
  <c r="Z84" i="8" s="1"/>
  <c r="C41" i="8"/>
  <c r="C127" i="8" s="1"/>
  <c r="Q162" i="14"/>
  <c r="Y183" i="27"/>
  <c r="AF30" i="27"/>
  <c r="T23" i="27"/>
  <c r="T29" i="27" s="1"/>
  <c r="D21" i="15"/>
  <c r="I15" i="15"/>
  <c r="E62" i="19"/>
  <c r="F61" i="19"/>
  <c r="G16" i="19"/>
  <c r="U11" i="20"/>
  <c r="O6" i="20"/>
  <c r="O93" i="8"/>
  <c r="C47" i="8"/>
  <c r="C83" i="8" s="1"/>
  <c r="T75" i="27"/>
  <c r="T74" i="27"/>
  <c r="T155" i="27"/>
  <c r="AA31" i="27"/>
  <c r="C17" i="14"/>
  <c r="C19" i="14" s="1"/>
  <c r="E12" i="15"/>
  <c r="E61" i="19"/>
  <c r="H40" i="19"/>
  <c r="P141" i="23"/>
  <c r="Z291" i="9"/>
  <c r="F15" i="15"/>
  <c r="AS6" i="19"/>
  <c r="AY6" i="19" s="1"/>
  <c r="BE6" i="19" s="1"/>
  <c r="U86" i="21"/>
  <c r="E61" i="28" s="1"/>
  <c r="V86" i="21"/>
  <c r="F61" i="28" s="1"/>
  <c r="T86" i="21"/>
  <c r="D61" i="28" s="1"/>
  <c r="N236" i="15"/>
  <c r="O16" i="20"/>
  <c r="J169" i="15"/>
  <c r="R169" i="15" s="1"/>
  <c r="O10" i="20"/>
  <c r="Q169" i="15"/>
  <c r="R118" i="15"/>
  <c r="BW6" i="19"/>
  <c r="CC6" i="19" s="1"/>
  <c r="CI6" i="19" s="1"/>
  <c r="J20" i="15"/>
  <c r="BS6" i="19"/>
  <c r="BY6" i="19" s="1"/>
  <c r="CE6" i="19" s="1"/>
  <c r="F20" i="15"/>
  <c r="L85" i="14"/>
  <c r="L83" i="14"/>
  <c r="I48" i="21"/>
  <c r="I51" i="21" s="1"/>
  <c r="I106" i="21" s="1"/>
  <c r="I67" i="21"/>
  <c r="S91" i="8"/>
  <c r="S97" i="8" s="1"/>
  <c r="S53" i="8"/>
  <c r="O97" i="8"/>
  <c r="R37" i="8"/>
  <c r="N197" i="15"/>
  <c r="N201" i="15" s="1"/>
  <c r="R196" i="15"/>
  <c r="AH6" i="19"/>
  <c r="V6" i="19"/>
  <c r="AB6" i="19"/>
  <c r="I32" i="8"/>
  <c r="J32" i="8"/>
  <c r="J91" i="8" s="1"/>
  <c r="J97" i="8" s="1"/>
  <c r="I33" i="8"/>
  <c r="I54" i="8" s="1"/>
  <c r="N40" i="8"/>
  <c r="S33" i="8"/>
  <c r="S54" i="8" s="1"/>
  <c r="N32" i="8"/>
  <c r="N165" i="8" s="1"/>
  <c r="N167" i="8" s="1"/>
  <c r="N172" i="8" s="1"/>
  <c r="AC30" i="27"/>
  <c r="AC29" i="27"/>
  <c r="H86" i="21"/>
  <c r="G208" i="8"/>
  <c r="G204" i="8"/>
  <c r="AA95" i="9"/>
  <c r="AA200" i="27"/>
  <c r="AE100" i="27"/>
  <c r="H84" i="14"/>
  <c r="H85" i="14"/>
  <c r="T173" i="27"/>
  <c r="T54" i="8" s="1"/>
  <c r="R204" i="8"/>
  <c r="T141" i="8"/>
  <c r="O32" i="14"/>
  <c r="O27" i="14"/>
  <c r="O17" i="14"/>
  <c r="E39" i="16"/>
  <c r="F120" i="15"/>
  <c r="G84" i="19"/>
  <c r="H83" i="19"/>
  <c r="G61" i="19"/>
  <c r="F60" i="19"/>
  <c r="F39" i="19"/>
  <c r="G38" i="19"/>
  <c r="E18" i="19"/>
  <c r="G17" i="19"/>
  <c r="E17" i="19"/>
  <c r="I35" i="21"/>
  <c r="I38" i="21" s="1"/>
  <c r="I192" i="8"/>
  <c r="AA98" i="27"/>
  <c r="G36" i="16"/>
  <c r="F177" i="15"/>
  <c r="N177" i="15" s="1"/>
  <c r="F106" i="15"/>
  <c r="N106" i="15" s="1"/>
  <c r="L204" i="8"/>
  <c r="T93" i="8"/>
  <c r="T72" i="27"/>
  <c r="G37" i="16"/>
  <c r="H84" i="19"/>
  <c r="G83" i="19"/>
  <c r="F62" i="19"/>
  <c r="E60" i="19"/>
  <c r="G40" i="19"/>
  <c r="H38" i="19"/>
  <c r="F38" i="19"/>
  <c r="F17" i="19"/>
  <c r="R133" i="14"/>
  <c r="U9" i="20"/>
  <c r="U14" i="20"/>
  <c r="G50" i="21"/>
  <c r="H36" i="21"/>
  <c r="H38" i="21" s="1"/>
  <c r="G49" i="21"/>
  <c r="U35" i="21"/>
  <c r="U16" i="20"/>
  <c r="J144" i="15"/>
  <c r="K144" i="15"/>
  <c r="J145" i="15"/>
  <c r="K145" i="15"/>
  <c r="M213" i="8"/>
  <c r="M215" i="8" s="1"/>
  <c r="M220" i="8" s="1"/>
  <c r="S165" i="8"/>
  <c r="S167" i="8" s="1"/>
  <c r="T117" i="8"/>
  <c r="G33" i="16"/>
  <c r="D16" i="15"/>
  <c r="U10" i="20"/>
  <c r="T191" i="8"/>
  <c r="R165" i="8"/>
  <c r="R167" i="8" s="1"/>
  <c r="R172" i="8" s="1"/>
  <c r="O117" i="8"/>
  <c r="N210" i="15"/>
  <c r="R210" i="15" s="1"/>
  <c r="E83" i="19"/>
  <c r="G60" i="19"/>
  <c r="AF7" i="19"/>
  <c r="P125" i="23"/>
  <c r="Q106" i="15"/>
  <c r="AC7" i="19"/>
  <c r="AW6" i="19"/>
  <c r="BC6" i="19" s="1"/>
  <c r="BI6" i="19" s="1"/>
  <c r="K225" i="8"/>
  <c r="K227" i="8" s="1"/>
  <c r="O165" i="8"/>
  <c r="F84" i="19"/>
  <c r="W7" i="19"/>
  <c r="AC31" i="27"/>
  <c r="J27" i="14"/>
  <c r="E22" i="15"/>
  <c r="H10" i="15"/>
  <c r="AD181" i="27"/>
  <c r="H61" i="19"/>
  <c r="G18" i="19"/>
  <c r="T129" i="8"/>
  <c r="O53" i="8"/>
  <c r="H39" i="19"/>
  <c r="U8" i="20"/>
  <c r="S204" i="8"/>
  <c r="M53" i="8"/>
  <c r="AA29" i="27"/>
  <c r="J22" i="14"/>
  <c r="F196" i="15"/>
  <c r="G15" i="15"/>
  <c r="E38" i="19"/>
  <c r="P160" i="23"/>
  <c r="P158" i="23"/>
  <c r="AD220" i="8"/>
  <c r="E21" i="15"/>
  <c r="G179" i="8"/>
  <c r="G184" i="8" s="1"/>
  <c r="M100" i="15"/>
  <c r="AI6" i="19"/>
  <c r="O203" i="8"/>
  <c r="O208" i="8" s="1"/>
  <c r="R71" i="8"/>
  <c r="H167" i="8"/>
  <c r="H172" i="8" s="1"/>
  <c r="T184" i="27"/>
  <c r="Q237" i="15"/>
  <c r="E17" i="15"/>
  <c r="R192" i="8"/>
  <c r="C22" i="14"/>
  <c r="C24" i="14" s="1"/>
  <c r="G25" i="16"/>
  <c r="O7" i="16" s="1"/>
  <c r="F82" i="19"/>
  <c r="E39" i="19"/>
  <c r="AC6" i="19"/>
  <c r="P142" i="23"/>
  <c r="T109" i="8"/>
  <c r="E40" i="16"/>
  <c r="S103" i="8"/>
  <c r="S109" i="8" s="1"/>
  <c r="AE30" i="27"/>
  <c r="G35" i="16"/>
  <c r="E82" i="19"/>
  <c r="G62" i="19"/>
  <c r="AA6" i="19"/>
  <c r="O105" i="8"/>
  <c r="N65" i="8"/>
  <c r="T159" i="27"/>
  <c r="T27" i="14" s="1"/>
  <c r="C32" i="14"/>
  <c r="C33" i="14" s="1"/>
  <c r="G34" i="16"/>
  <c r="O261" i="15"/>
  <c r="E108" i="15"/>
  <c r="F40" i="19"/>
  <c r="J49" i="8"/>
  <c r="AD232" i="8"/>
  <c r="J133" i="8"/>
  <c r="E40" i="19"/>
  <c r="U6" i="19"/>
  <c r="C7" i="14"/>
  <c r="C8" i="14" s="1"/>
  <c r="E16" i="15"/>
  <c r="F83" i="19"/>
  <c r="E16" i="19"/>
  <c r="S6" i="19"/>
  <c r="I170" i="14"/>
  <c r="V56" i="21"/>
  <c r="U55" i="21"/>
  <c r="U53" i="21"/>
  <c r="T53" i="21"/>
  <c r="V41" i="21"/>
  <c r="U42" i="21"/>
  <c r="T56" i="21"/>
  <c r="V49" i="21"/>
  <c r="T42" i="21"/>
  <c r="G123" i="14"/>
  <c r="L123" i="14"/>
  <c r="T41" i="21"/>
  <c r="H77" i="14"/>
  <c r="N128" i="15"/>
  <c r="R128" i="15" s="1"/>
  <c r="K123" i="14"/>
  <c r="R275" i="15"/>
  <c r="Q77" i="14"/>
  <c r="T43" i="21"/>
  <c r="U36" i="21"/>
  <c r="U37" i="21"/>
  <c r="U62" i="21"/>
  <c r="L162" i="14"/>
  <c r="M123" i="14"/>
  <c r="T55" i="21"/>
  <c r="V50" i="21"/>
  <c r="V53" i="21"/>
  <c r="T36" i="21"/>
  <c r="Q123" i="14"/>
  <c r="N123" i="14"/>
  <c r="U56" i="21"/>
  <c r="R123" i="14"/>
  <c r="Y280" i="9"/>
  <c r="P77" i="14"/>
  <c r="T61" i="21"/>
  <c r="T65" i="21" s="1"/>
  <c r="T68" i="21" s="1"/>
  <c r="V40" i="21"/>
  <c r="AA291" i="9"/>
  <c r="K77" i="14"/>
  <c r="H162" i="14"/>
  <c r="AD197" i="9"/>
  <c r="T49" i="21"/>
  <c r="T35" i="21"/>
  <c r="U50" i="21"/>
  <c r="U41" i="21"/>
  <c r="R162" i="14"/>
  <c r="R106" i="14"/>
  <c r="U43" i="21"/>
  <c r="I123" i="14"/>
  <c r="T170" i="14"/>
  <c r="S77" i="14"/>
  <c r="L77" i="14"/>
  <c r="G77" i="14"/>
  <c r="U61" i="21"/>
  <c r="O90" i="14"/>
  <c r="AD100" i="9"/>
  <c r="AD113" i="14" s="1"/>
  <c r="H44" i="21"/>
  <c r="O133" i="14"/>
  <c r="G99" i="21"/>
  <c r="AB187" i="9"/>
  <c r="Y254" i="9"/>
  <c r="M56" i="21"/>
  <c r="K56" i="21"/>
  <c r="H65" i="21"/>
  <c r="H68" i="21" s="1"/>
  <c r="H93" i="21" s="1"/>
  <c r="N157" i="14"/>
  <c r="N90" i="14"/>
  <c r="AD86" i="9"/>
  <c r="AD102" i="14" s="1"/>
  <c r="I65" i="21"/>
  <c r="V62" i="21"/>
  <c r="H51" i="21"/>
  <c r="H106" i="21" s="1"/>
  <c r="U48" i="21"/>
  <c r="AF291" i="9"/>
  <c r="L106" i="14"/>
  <c r="F170" i="14"/>
  <c r="M106" i="14"/>
  <c r="L90" i="14"/>
  <c r="Q90" i="14"/>
  <c r="N77" i="14"/>
  <c r="H123" i="14"/>
  <c r="G57" i="21"/>
  <c r="T54" i="21"/>
  <c r="F157" i="14"/>
  <c r="J157" i="14" s="1"/>
  <c r="M77" i="14"/>
  <c r="R77" i="14"/>
  <c r="AD262" i="9"/>
  <c r="R157" i="14"/>
  <c r="AD280" i="9"/>
  <c r="U34" i="21"/>
  <c r="AD41" i="9"/>
  <c r="I44" i="21"/>
  <c r="M90" i="14"/>
  <c r="P90" i="14"/>
  <c r="T156" i="27"/>
  <c r="T12" i="14" s="1"/>
  <c r="Q53" i="8"/>
  <c r="Q165" i="8"/>
  <c r="Q167" i="8" s="1"/>
  <c r="Q172" i="8" s="1"/>
  <c r="T33" i="27"/>
  <c r="T46" i="27" s="1"/>
  <c r="Z99" i="27"/>
  <c r="Z97" i="27"/>
  <c r="AG100" i="27"/>
  <c r="T183" i="27"/>
  <c r="AG200" i="27"/>
  <c r="AF100" i="27"/>
  <c r="AG98" i="27"/>
  <c r="Z98" i="27"/>
  <c r="AG96" i="27"/>
  <c r="AG99" i="27"/>
  <c r="Y182" i="27"/>
  <c r="L84" i="14"/>
  <c r="L88" i="14"/>
  <c r="L87" i="14"/>
  <c r="L86" i="14"/>
  <c r="O12" i="14"/>
  <c r="K59" i="8"/>
  <c r="K53" i="8"/>
  <c r="K165" i="8"/>
  <c r="K167" i="8" s="1"/>
  <c r="N213" i="8"/>
  <c r="N215" i="8" s="1"/>
  <c r="N220" i="8" s="1"/>
  <c r="Q177" i="8"/>
  <c r="Q179" i="8" s="1"/>
  <c r="Q184" i="8" s="1"/>
  <c r="N139" i="8"/>
  <c r="N145" i="8" s="1"/>
  <c r="N146" i="8" s="1"/>
  <c r="Q103" i="8"/>
  <c r="Q109" i="8" s="1"/>
  <c r="S71" i="8"/>
  <c r="K36" i="8"/>
  <c r="K60" i="8" s="1"/>
  <c r="T158" i="27"/>
  <c r="T22" i="14" s="1"/>
  <c r="L225" i="8"/>
  <c r="L227" i="8" s="1"/>
  <c r="L232" i="8" s="1"/>
  <c r="M77" i="8"/>
  <c r="I127" i="8"/>
  <c r="I133" i="8" s="1"/>
  <c r="F225" i="8"/>
  <c r="F227" i="8" s="1"/>
  <c r="F232" i="8" s="1"/>
  <c r="L34" i="8"/>
  <c r="F43" i="8"/>
  <c r="J12" i="14"/>
  <c r="G213" i="8"/>
  <c r="G215" i="8" s="1"/>
  <c r="G220" i="8" s="1"/>
  <c r="T59" i="8"/>
  <c r="F30" i="8"/>
  <c r="T160" i="27"/>
  <c r="T32" i="14" s="1"/>
  <c r="I12" i="14"/>
  <c r="N151" i="8"/>
  <c r="P65" i="8"/>
  <c r="I36" i="8"/>
  <c r="I60" i="8" s="1"/>
  <c r="G225" i="8"/>
  <c r="G227" i="8" s="1"/>
  <c r="F151" i="8"/>
  <c r="N127" i="8"/>
  <c r="N133" i="8" s="1"/>
  <c r="G59" i="8"/>
  <c r="L46" i="8"/>
  <c r="F37" i="8"/>
  <c r="C32" i="8"/>
  <c r="C8" i="8" s="1"/>
  <c r="C102" i="27"/>
  <c r="C44" i="8"/>
  <c r="C77" i="8" s="1"/>
  <c r="AF200" i="27"/>
  <c r="Y184" i="27"/>
  <c r="AF99" i="27"/>
  <c r="AF98" i="27"/>
  <c r="AE202" i="27"/>
  <c r="AE98" i="27"/>
  <c r="Z200" i="27"/>
  <c r="AF97" i="27"/>
  <c r="AF96" i="27"/>
  <c r="T88" i="27"/>
  <c r="U200" i="27" s="1"/>
  <c r="AE97" i="27"/>
  <c r="AE96" i="27"/>
  <c r="AB200" i="27"/>
  <c r="AD182" i="27"/>
  <c r="Y181" i="27"/>
  <c r="T180" i="27"/>
  <c r="AB100" i="27"/>
  <c r="AA97" i="27"/>
  <c r="AB97" i="27"/>
  <c r="AA100" i="27"/>
  <c r="AC200" i="27"/>
  <c r="AB99" i="27"/>
  <c r="H88" i="14"/>
  <c r="H87" i="14"/>
  <c r="H83" i="14"/>
  <c r="G87" i="14"/>
  <c r="G85" i="14"/>
  <c r="G88" i="14"/>
  <c r="G84" i="14"/>
  <c r="G86" i="14"/>
  <c r="G83" i="14"/>
  <c r="H86" i="14"/>
  <c r="F84" i="14"/>
  <c r="F87" i="14"/>
  <c r="F88" i="14"/>
  <c r="F83" i="14"/>
  <c r="F91" i="8"/>
  <c r="F97" i="8" s="1"/>
  <c r="G98" i="8" s="1"/>
  <c r="F165" i="8"/>
  <c r="F167" i="8" s="1"/>
  <c r="F172" i="8" s="1"/>
  <c r="G165" i="8"/>
  <c r="G167" i="8" s="1"/>
  <c r="H91" i="8"/>
  <c r="H97" i="8" s="1"/>
  <c r="H98" i="8" s="1"/>
  <c r="Y23" i="27"/>
  <c r="Y31" i="27" s="1"/>
  <c r="C12" i="14"/>
  <c r="C14" i="14" s="1"/>
  <c r="E4" i="23"/>
  <c r="C88" i="23" s="1"/>
  <c r="X7" i="19"/>
  <c r="K151" i="8"/>
  <c r="G103" i="8"/>
  <c r="G109" i="8" s="1"/>
  <c r="T175" i="27"/>
  <c r="T39" i="8" s="1"/>
  <c r="T66" i="8" s="1"/>
  <c r="Q151" i="8"/>
  <c r="L49" i="8"/>
  <c r="L40" i="8"/>
  <c r="K127" i="8"/>
  <c r="K133" i="8" s="1"/>
  <c r="O47" i="8"/>
  <c r="O83" i="8" s="1"/>
  <c r="O38" i="8"/>
  <c r="O39" i="8"/>
  <c r="O66" i="8" s="1"/>
  <c r="H46" i="8"/>
  <c r="F49" i="8"/>
  <c r="F46" i="8"/>
  <c r="H40" i="8"/>
  <c r="Q225" i="8"/>
  <c r="Q227" i="8" s="1"/>
  <c r="S213" i="8"/>
  <c r="S215" i="8" s="1"/>
  <c r="L151" i="8"/>
  <c r="F127" i="8"/>
  <c r="F133" i="8" s="1"/>
  <c r="K103" i="8"/>
  <c r="K109" i="8" s="1"/>
  <c r="L110" i="8" s="1"/>
  <c r="G65" i="8"/>
  <c r="H30" i="8"/>
  <c r="L43" i="8"/>
  <c r="F34" i="8"/>
  <c r="AA187" i="9"/>
  <c r="P99" i="21"/>
  <c r="AE187" i="9"/>
  <c r="Y98" i="21"/>
  <c r="Q98" i="21"/>
  <c r="AD172" i="8"/>
  <c r="E6" i="23"/>
  <c r="C24" i="23"/>
  <c r="AF157" i="8"/>
  <c r="AG157" i="8" s="1"/>
  <c r="AD170" i="14"/>
  <c r="AG187" i="9"/>
  <c r="AD162" i="14"/>
  <c r="AD298" i="9" s="1"/>
  <c r="AD311" i="9" s="1"/>
  <c r="AC95" i="9"/>
  <c r="AC291" i="9"/>
  <c r="AF187" i="9"/>
  <c r="Z100" i="21"/>
  <c r="J70" i="28" s="1"/>
  <c r="O99" i="21"/>
  <c r="Z187" i="9"/>
  <c r="R98" i="21"/>
  <c r="AC187" i="9"/>
  <c r="AE95" i="9"/>
  <c r="AE291" i="9"/>
  <c r="AG291" i="9"/>
  <c r="AD196" i="8"/>
  <c r="AD184" i="8"/>
  <c r="U18" i="20"/>
  <c r="AB274" i="9"/>
  <c r="AD157" i="14"/>
  <c r="AD297" i="9" s="1"/>
  <c r="AD310" i="9" s="1"/>
  <c r="AD93" i="9"/>
  <c r="T177" i="27"/>
  <c r="T45" i="8" s="1"/>
  <c r="T78" i="8" s="1"/>
  <c r="N225" i="8"/>
  <c r="N227" i="8" s="1"/>
  <c r="N232" i="8" s="1"/>
  <c r="Q127" i="8"/>
  <c r="Q133" i="8" s="1"/>
  <c r="R134" i="8" s="1"/>
  <c r="I115" i="8"/>
  <c r="I121" i="8" s="1"/>
  <c r="T177" i="8"/>
  <c r="G139" i="8"/>
  <c r="G145" i="8" s="1"/>
  <c r="G146" i="8" s="1"/>
  <c r="H115" i="8"/>
  <c r="H121" i="8" s="1"/>
  <c r="J71" i="8"/>
  <c r="T174" i="27"/>
  <c r="T60" i="8" s="1"/>
  <c r="R46" i="8"/>
  <c r="I139" i="8"/>
  <c r="I145" i="8" s="1"/>
  <c r="O44" i="8"/>
  <c r="O77" i="8" s="1"/>
  <c r="H139" i="8"/>
  <c r="H145" i="8" s="1"/>
  <c r="H77" i="8"/>
  <c r="R151" i="8"/>
  <c r="H151" i="8"/>
  <c r="Q115" i="8"/>
  <c r="Q121" i="8" s="1"/>
  <c r="R122" i="8" s="1"/>
  <c r="R40" i="8"/>
  <c r="P213" i="8"/>
  <c r="S134" i="8"/>
  <c r="H225" i="8"/>
  <c r="H227" i="8" s="1"/>
  <c r="H232" i="8" s="1"/>
  <c r="P139" i="8"/>
  <c r="P145" i="8" s="1"/>
  <c r="Q146" i="8" s="1"/>
  <c r="T83" i="8"/>
  <c r="T225" i="8"/>
  <c r="T151" i="8"/>
  <c r="R213" i="8"/>
  <c r="R215" i="8" s="1"/>
  <c r="R220" i="8" s="1"/>
  <c r="C177" i="8"/>
  <c r="I151" i="8"/>
  <c r="P127" i="8"/>
  <c r="P133" i="8" s="1"/>
  <c r="I103" i="8"/>
  <c r="I109" i="8" s="1"/>
  <c r="R65" i="8"/>
  <c r="T178" i="27"/>
  <c r="O45" i="8"/>
  <c r="O78" i="8" s="1"/>
  <c r="I225" i="8"/>
  <c r="I227" i="8" s="1"/>
  <c r="L115" i="8"/>
  <c r="L121" i="8" s="1"/>
  <c r="I59" i="8"/>
  <c r="J44" i="8"/>
  <c r="AI44" i="8" s="1"/>
  <c r="T157" i="27"/>
  <c r="T17" i="14" s="1"/>
  <c r="P43" i="8"/>
  <c r="F213" i="8"/>
  <c r="F215" i="8" s="1"/>
  <c r="F220" i="8" s="1"/>
  <c r="C103" i="8"/>
  <c r="I179" i="8"/>
  <c r="I184" i="8" s="1"/>
  <c r="R139" i="8"/>
  <c r="R145" i="8" s="1"/>
  <c r="F77" i="8"/>
  <c r="C59" i="8"/>
  <c r="T38" i="8"/>
  <c r="AI38" i="8" s="1"/>
  <c r="P30" i="8"/>
  <c r="P49" i="8"/>
  <c r="AI41" i="8"/>
  <c r="T71" i="8"/>
  <c r="S151" i="8"/>
  <c r="K115" i="8"/>
  <c r="K121" i="8" s="1"/>
  <c r="S83" i="8"/>
  <c r="J17" i="14"/>
  <c r="M225" i="8"/>
  <c r="M227" i="8" s="1"/>
  <c r="M83" i="8"/>
  <c r="G46" i="8"/>
  <c r="G37" i="8"/>
  <c r="T176" i="27"/>
  <c r="T42" i="8" s="1"/>
  <c r="T72" i="8" s="1"/>
  <c r="I213" i="8"/>
  <c r="I215" i="8" s="1"/>
  <c r="I220" i="8" s="1"/>
  <c r="J32" i="14"/>
  <c r="G151" i="8"/>
  <c r="H31" i="8"/>
  <c r="G43" i="8"/>
  <c r="J8" i="21"/>
  <c r="S62" i="14"/>
  <c r="S128" i="14"/>
  <c r="S40" i="14"/>
  <c r="S50" i="14"/>
  <c r="S55" i="14"/>
  <c r="S97" i="14"/>
  <c r="G50" i="14"/>
  <c r="G55" i="14"/>
  <c r="G62" i="14"/>
  <c r="G128" i="14"/>
  <c r="G40" i="14"/>
  <c r="G97" i="14"/>
  <c r="P225" i="8"/>
  <c r="P227" i="8" s="1"/>
  <c r="P232" i="8" s="1"/>
  <c r="J225" i="8"/>
  <c r="H127" i="8"/>
  <c r="H133" i="8" s="1"/>
  <c r="L59" i="8"/>
  <c r="AI47" i="8"/>
  <c r="O41" i="8"/>
  <c r="O71" i="8" s="1"/>
  <c r="M49" i="8"/>
  <c r="S43" i="8"/>
  <c r="S40" i="8"/>
  <c r="K139" i="8"/>
  <c r="K145" i="8" s="1"/>
  <c r="S115" i="8"/>
  <c r="S121" i="8" s="1"/>
  <c r="F103" i="8"/>
  <c r="F109" i="8" s="1"/>
  <c r="Q77" i="8"/>
  <c r="G31" i="8"/>
  <c r="S46" i="8"/>
  <c r="M46" i="8"/>
  <c r="P40" i="8"/>
  <c r="G34" i="8"/>
  <c r="L177" i="8"/>
  <c r="L179" i="8" s="1"/>
  <c r="L184" i="8" s="1"/>
  <c r="F177" i="8"/>
  <c r="F179" i="8" s="1"/>
  <c r="P151" i="8"/>
  <c r="J151" i="8"/>
  <c r="T127" i="8"/>
  <c r="T133" i="8" s="1"/>
  <c r="G30" i="8"/>
  <c r="S49" i="8"/>
  <c r="G49" i="8"/>
  <c r="G40" i="8"/>
  <c r="Q213" i="8"/>
  <c r="Q215" i="8" s="1"/>
  <c r="K213" i="8"/>
  <c r="R177" i="8"/>
  <c r="R179" i="8" s="1"/>
  <c r="P122" i="8"/>
  <c r="S30" i="8"/>
  <c r="M30" i="8"/>
  <c r="O42" i="8"/>
  <c r="O72" i="8" s="1"/>
  <c r="M43" i="8"/>
  <c r="M37" i="8"/>
  <c r="H179" i="8"/>
  <c r="R103" i="8"/>
  <c r="R109" i="8" s="1"/>
  <c r="M40" i="8"/>
  <c r="U5" i="20"/>
  <c r="F39" i="16"/>
  <c r="V19" i="20"/>
  <c r="V20" i="20" s="1"/>
  <c r="U6" i="20"/>
  <c r="U26" i="20"/>
  <c r="U15" i="20"/>
  <c r="T19" i="20"/>
  <c r="T20" i="20" s="1"/>
  <c r="U25" i="20"/>
  <c r="P31" i="23"/>
  <c r="P77" i="23"/>
  <c r="P16" i="23"/>
  <c r="E77" i="23"/>
  <c r="Q77" i="23" s="1"/>
  <c r="P17" i="23"/>
  <c r="P63" i="23"/>
  <c r="P29" i="23"/>
  <c r="P15" i="23"/>
  <c r="C34" i="16"/>
  <c r="C35" i="16"/>
  <c r="C36" i="16"/>
  <c r="C37" i="16"/>
  <c r="C33" i="16"/>
  <c r="G192" i="8"/>
  <c r="G196" i="8"/>
  <c r="Q204" i="8"/>
  <c r="Q208" i="8"/>
  <c r="I204" i="8"/>
  <c r="I208" i="8"/>
  <c r="N196" i="8"/>
  <c r="N192" i="8"/>
  <c r="F196" i="8"/>
  <c r="J191" i="8"/>
  <c r="J196" i="8" s="1"/>
  <c r="P208" i="8"/>
  <c r="T203" i="8"/>
  <c r="H204" i="8"/>
  <c r="H208" i="8"/>
  <c r="M192" i="8"/>
  <c r="M204" i="8"/>
  <c r="M208" i="8"/>
  <c r="M60" i="28"/>
  <c r="N204" i="8"/>
  <c r="J203" i="8"/>
  <c r="J208" i="8" s="1"/>
  <c r="S192" i="8"/>
  <c r="S196" i="8"/>
  <c r="O191" i="8"/>
  <c r="K192" i="8"/>
  <c r="K196" i="8"/>
  <c r="G71" i="8"/>
  <c r="G127" i="8"/>
  <c r="G133" i="8" s="1"/>
  <c r="AD208" i="8"/>
  <c r="K68" i="28"/>
  <c r="J68" i="28"/>
  <c r="P204" i="8"/>
  <c r="L192" i="8"/>
  <c r="L196" i="8"/>
  <c r="P192" i="8"/>
  <c r="P196" i="8"/>
  <c r="H192" i="8"/>
  <c r="H196" i="8"/>
  <c r="Y208" i="8"/>
  <c r="J115" i="8"/>
  <c r="J121" i="8" s="1"/>
  <c r="S232" i="8"/>
  <c r="L208" i="8"/>
  <c r="P59" i="8"/>
  <c r="P103" i="8"/>
  <c r="P109" i="8" s="1"/>
  <c r="H59" i="8"/>
  <c r="H103" i="8"/>
  <c r="H109" i="8" s="1"/>
  <c r="Q98" i="8"/>
  <c r="Z152" i="8"/>
  <c r="Y152" i="8"/>
  <c r="K106" i="14"/>
  <c r="H220" i="8"/>
  <c r="R208" i="8"/>
  <c r="Q196" i="8"/>
  <c r="I196" i="8"/>
  <c r="O129" i="8"/>
  <c r="K204" i="8"/>
  <c r="M103" i="8"/>
  <c r="M109" i="8" s="1"/>
  <c r="M110" i="8" s="1"/>
  <c r="M177" i="8"/>
  <c r="M179" i="8" s="1"/>
  <c r="M59" i="8"/>
  <c r="Q106" i="14"/>
  <c r="T139" i="8"/>
  <c r="T145" i="8" s="1"/>
  <c r="T77" i="8"/>
  <c r="L139" i="8"/>
  <c r="L145" i="8" s="1"/>
  <c r="L77" i="8"/>
  <c r="M65" i="8"/>
  <c r="M115" i="8"/>
  <c r="M121" i="8" s="1"/>
  <c r="T91" i="8"/>
  <c r="T97" i="8" s="1"/>
  <c r="T165" i="8"/>
  <c r="L91" i="8"/>
  <c r="L97" i="8" s="1"/>
  <c r="L165" i="8"/>
  <c r="L167" i="8" s="1"/>
  <c r="H157" i="14"/>
  <c r="L157" i="14"/>
  <c r="S106" i="14"/>
  <c r="N106" i="14"/>
  <c r="C10" i="8"/>
  <c r="K157" i="14"/>
  <c r="O157" i="14" s="1"/>
  <c r="K162" i="14"/>
  <c r="P106" i="14"/>
  <c r="J77" i="14"/>
  <c r="K90" i="14"/>
  <c r="I77" i="14"/>
  <c r="S170" i="14"/>
  <c r="R90" i="14"/>
  <c r="G90" i="14"/>
  <c r="H90" i="14"/>
  <c r="S90" i="14"/>
  <c r="Z95" i="9"/>
  <c r="AD97" i="9"/>
  <c r="AD111" i="14" s="1"/>
  <c r="AD92" i="9"/>
  <c r="T34" i="21"/>
  <c r="G34" i="15"/>
  <c r="Y88" i="27"/>
  <c r="Y97" i="27" s="1"/>
  <c r="AD88" i="27"/>
  <c r="AD96" i="27" s="1"/>
  <c r="AC100" i="27"/>
  <c r="AC97" i="27"/>
  <c r="AC99" i="27"/>
  <c r="AC96" i="27"/>
  <c r="T73" i="27"/>
  <c r="M84" i="14"/>
  <c r="M86" i="14"/>
  <c r="M88" i="14"/>
  <c r="M83" i="14"/>
  <c r="M85" i="14"/>
  <c r="M87" i="14"/>
  <c r="AD183" i="27"/>
  <c r="AE204" i="27"/>
  <c r="T182" i="27"/>
  <c r="AD180" i="27"/>
  <c r="Y180" i="27"/>
  <c r="AD211" i="9"/>
  <c r="AE211" i="9" s="1"/>
  <c r="AF211" i="9" s="1"/>
  <c r="AG211" i="9" s="1"/>
  <c r="Z100" i="27"/>
  <c r="F85" i="14"/>
  <c r="C26" i="24"/>
  <c r="C26" i="25"/>
  <c r="C28" i="14"/>
  <c r="C30" i="14"/>
  <c r="C29" i="14"/>
  <c r="Z30" i="27"/>
  <c r="AD23" i="27"/>
  <c r="AD30" i="27" s="1"/>
  <c r="Z29" i="27"/>
  <c r="Z31" i="27"/>
  <c r="Q43" i="8"/>
  <c r="Q49" i="8"/>
  <c r="F169" i="15"/>
  <c r="N169" i="15" s="1"/>
  <c r="O169" i="15"/>
  <c r="AA96" i="27"/>
  <c r="AG30" i="27"/>
  <c r="AG29" i="27"/>
  <c r="AG31" i="27"/>
  <c r="T7" i="27"/>
  <c r="T19" i="27" s="1"/>
  <c r="F86" i="14"/>
  <c r="Q40" i="8"/>
  <c r="C30" i="25"/>
  <c r="C30" i="24"/>
  <c r="H34" i="8"/>
  <c r="C31" i="25"/>
  <c r="C31" i="24"/>
  <c r="C27" i="25"/>
  <c r="C27" i="24"/>
  <c r="R49" i="8"/>
  <c r="R43" i="8"/>
  <c r="C28" i="24"/>
  <c r="C28" i="25"/>
  <c r="AE31" i="27"/>
  <c r="F253" i="15"/>
  <c r="N253" i="15" s="1"/>
  <c r="O253" i="15"/>
  <c r="M99" i="15"/>
  <c r="E107" i="15"/>
  <c r="M107" i="15" s="1"/>
  <c r="H49" i="8"/>
  <c r="H43" i="8"/>
  <c r="C29" i="25"/>
  <c r="C29" i="24"/>
  <c r="J185" i="15"/>
  <c r="R185" i="15" s="1"/>
  <c r="Q185" i="15"/>
  <c r="X6" i="19"/>
  <c r="R6" i="19"/>
  <c r="AD6" i="19"/>
  <c r="AL6" i="19" s="1"/>
  <c r="AR6" i="19" s="1"/>
  <c r="F98" i="15"/>
  <c r="N98" i="15" s="1"/>
  <c r="O98" i="15"/>
  <c r="F40" i="16"/>
  <c r="Q261" i="15"/>
  <c r="O245" i="15"/>
  <c r="F185" i="15"/>
  <c r="N185" i="15" s="1"/>
  <c r="Q177" i="15"/>
  <c r="O161" i="15"/>
  <c r="M102" i="15"/>
  <c r="N208" i="15"/>
  <c r="R208" i="15" s="1"/>
  <c r="D40" i="16"/>
  <c r="E103" i="15"/>
  <c r="G277" i="15"/>
  <c r="K277" i="15" s="1"/>
  <c r="G275" i="15"/>
  <c r="K275" i="15" s="1"/>
  <c r="K220" i="15"/>
  <c r="H62" i="19"/>
  <c r="G276" i="15"/>
  <c r="K276" i="15" s="1"/>
  <c r="G274" i="15"/>
  <c r="K274" i="15" s="1"/>
  <c r="F18" i="19"/>
  <c r="B96" i="23"/>
  <c r="P95" i="23"/>
  <c r="O95" i="23" s="1"/>
  <c r="AF6" i="19"/>
  <c r="Z6" i="19"/>
  <c r="T6" i="19"/>
  <c r="F16" i="19"/>
  <c r="AH7" i="19"/>
  <c r="AB7" i="19"/>
  <c r="V7" i="19"/>
  <c r="P110" i="23"/>
  <c r="P109" i="23"/>
  <c r="E109" i="23"/>
  <c r="I10" i="19"/>
  <c r="I12" i="19"/>
  <c r="P32" i="23"/>
  <c r="B33" i="23"/>
  <c r="P33" i="23" s="1"/>
  <c r="Y7" i="19"/>
  <c r="S7" i="19"/>
  <c r="AD7" i="19"/>
  <c r="E125" i="23"/>
  <c r="P79" i="23"/>
  <c r="E61" i="23"/>
  <c r="P61" i="23"/>
  <c r="P143" i="23"/>
  <c r="B144" i="23"/>
  <c r="P127" i="23"/>
  <c r="B128" i="23"/>
  <c r="P93" i="23"/>
  <c r="O93" i="23" s="1"/>
  <c r="B49" i="23"/>
  <c r="P49" i="23" s="1"/>
  <c r="P48" i="23"/>
  <c r="P30" i="23"/>
  <c r="AA7" i="19"/>
  <c r="Y6" i="19"/>
  <c r="E93" i="23"/>
  <c r="P47" i="23"/>
  <c r="E29" i="23"/>
  <c r="E13" i="23"/>
  <c r="P159" i="23"/>
  <c r="P111" i="23"/>
  <c r="B112" i="23"/>
  <c r="P94" i="23"/>
  <c r="O94" i="23" s="1"/>
  <c r="P78" i="23"/>
  <c r="B64" i="23"/>
  <c r="E45" i="23"/>
  <c r="P45" i="23"/>
  <c r="P80" i="23"/>
  <c r="B81" i="23"/>
  <c r="P81" i="23" s="1"/>
  <c r="P126" i="23"/>
  <c r="P62" i="23"/>
  <c r="P14" i="23"/>
  <c r="C12" i="23" a="1"/>
  <c r="P46" i="23"/>
  <c r="P13" i="23"/>
  <c r="N24" i="25"/>
  <c r="G272" i="15" l="1"/>
  <c r="K272" i="15" s="1"/>
  <c r="R121" i="15"/>
  <c r="S122" i="8"/>
  <c r="S220" i="8"/>
  <c r="S184" i="8"/>
  <c r="V203" i="8"/>
  <c r="S172" i="8"/>
  <c r="W191" i="8"/>
  <c r="V189" i="8"/>
  <c r="V190" i="8" s="1"/>
  <c r="S150" i="14"/>
  <c r="N36" i="8"/>
  <c r="N60" i="8" s="1"/>
  <c r="J146" i="15"/>
  <c r="M220" i="15"/>
  <c r="O220" i="15"/>
  <c r="B9" i="15"/>
  <c r="K146" i="15"/>
  <c r="K147" i="15"/>
  <c r="J9" i="19"/>
  <c r="K9" i="19" s="1"/>
  <c r="N120" i="15"/>
  <c r="T123" i="14"/>
  <c r="T96" i="27"/>
  <c r="Y208" i="9"/>
  <c r="O41" i="15"/>
  <c r="K7" i="14"/>
  <c r="K45" i="14"/>
  <c r="F7" i="14"/>
  <c r="F45" i="14"/>
  <c r="M145" i="14"/>
  <c r="M45" i="14"/>
  <c r="H45" i="14"/>
  <c r="T181" i="27"/>
  <c r="P50" i="14"/>
  <c r="P45" i="14"/>
  <c r="L128" i="14"/>
  <c r="L45" i="14"/>
  <c r="R62" i="14"/>
  <c r="R45" i="14"/>
  <c r="Q50" i="14"/>
  <c r="Q45" i="14"/>
  <c r="C189" i="8"/>
  <c r="C23" i="14"/>
  <c r="Q133" i="14"/>
  <c r="K97" i="14"/>
  <c r="J119" i="15"/>
  <c r="J120" i="15" s="1"/>
  <c r="S228" i="8"/>
  <c r="S180" i="8"/>
  <c r="C25" i="14"/>
  <c r="T31" i="27"/>
  <c r="R228" i="8"/>
  <c r="N103" i="8"/>
  <c r="N109" i="8" s="1"/>
  <c r="N110" i="8" s="1"/>
  <c r="Z116" i="8"/>
  <c r="AA116" i="8" s="1"/>
  <c r="Z104" i="8"/>
  <c r="AA104" i="8" s="1"/>
  <c r="C65" i="8"/>
  <c r="C115" i="8"/>
  <c r="Q157" i="14"/>
  <c r="H180" i="8"/>
  <c r="T196" i="8"/>
  <c r="G180" i="8"/>
  <c r="E227" i="15"/>
  <c r="F227" i="15" s="1"/>
  <c r="Y194" i="9"/>
  <c r="Z128" i="8"/>
  <c r="AA128" i="8" s="1"/>
  <c r="AB128" i="8" s="1"/>
  <c r="Z92" i="8"/>
  <c r="AA92" i="8" s="1"/>
  <c r="Y140" i="8"/>
  <c r="F198" i="15"/>
  <c r="G273" i="15"/>
  <c r="K273" i="15" s="1"/>
  <c r="H145" i="14"/>
  <c r="M150" i="14"/>
  <c r="H140" i="14"/>
  <c r="S98" i="8"/>
  <c r="R150" i="14"/>
  <c r="T30" i="27"/>
  <c r="H168" i="8"/>
  <c r="L150" i="14"/>
  <c r="U49" i="21"/>
  <c r="U51" i="21" s="1"/>
  <c r="O101" i="21"/>
  <c r="Q101" i="21"/>
  <c r="I68" i="21"/>
  <c r="I93" i="21" s="1"/>
  <c r="L145" i="14"/>
  <c r="P101" i="21"/>
  <c r="Q150" i="14"/>
  <c r="H150" i="14"/>
  <c r="P150" i="14"/>
  <c r="R145" i="14"/>
  <c r="T48" i="21"/>
  <c r="T51" i="21" s="1"/>
  <c r="T106" i="21" s="1"/>
  <c r="D52" i="28" s="1"/>
  <c r="G150" i="14"/>
  <c r="F145" i="14"/>
  <c r="K140" i="14"/>
  <c r="Q140" i="14"/>
  <c r="F150" i="14"/>
  <c r="F140" i="14"/>
  <c r="I100" i="21"/>
  <c r="Q145" i="14"/>
  <c r="K150" i="14"/>
  <c r="G100" i="21"/>
  <c r="P145" i="14"/>
  <c r="K145" i="14"/>
  <c r="M140" i="14"/>
  <c r="L140" i="14"/>
  <c r="G51" i="21"/>
  <c r="G106" i="21" s="1"/>
  <c r="AA101" i="21"/>
  <c r="K71" i="28" s="1"/>
  <c r="R101" i="21"/>
  <c r="AI32" i="8"/>
  <c r="C20" i="14"/>
  <c r="C34" i="14"/>
  <c r="C35" i="14"/>
  <c r="N177" i="8"/>
  <c r="N179" i="8" s="1"/>
  <c r="N184" i="8" s="1"/>
  <c r="N49" i="8"/>
  <c r="R97" i="14"/>
  <c r="R128" i="14"/>
  <c r="I134" i="8"/>
  <c r="C18" i="14"/>
  <c r="C14" i="8"/>
  <c r="C71" i="8"/>
  <c r="C28" i="22"/>
  <c r="C31" i="22" s="1"/>
  <c r="I8" i="21"/>
  <c r="R40" i="14"/>
  <c r="C15" i="14"/>
  <c r="Y29" i="27"/>
  <c r="C10" i="14"/>
  <c r="C13" i="14"/>
  <c r="Y30" i="27"/>
  <c r="C201" i="8"/>
  <c r="Q31" i="8"/>
  <c r="S146" i="8"/>
  <c r="N37" i="8"/>
  <c r="R7" i="14"/>
  <c r="C9" i="14"/>
  <c r="K40" i="14"/>
  <c r="K55" i="14"/>
  <c r="K50" i="14"/>
  <c r="K128" i="14"/>
  <c r="K62" i="14"/>
  <c r="L134" i="8"/>
  <c r="M134" i="8"/>
  <c r="I34" i="8"/>
  <c r="Q232" i="8"/>
  <c r="M216" i="8"/>
  <c r="N216" i="8"/>
  <c r="M31" i="8"/>
  <c r="S110" i="8"/>
  <c r="R168" i="8"/>
  <c r="S168" i="8"/>
  <c r="R31" i="8"/>
  <c r="N134" i="8"/>
  <c r="T98" i="8"/>
  <c r="L31" i="8"/>
  <c r="N33" i="8"/>
  <c r="N54" i="8" s="1"/>
  <c r="O204" i="8"/>
  <c r="K118" i="14"/>
  <c r="P133" i="14"/>
  <c r="O215" i="8"/>
  <c r="P134" i="8"/>
  <c r="O54" i="8"/>
  <c r="M228" i="8"/>
  <c r="M122" i="8"/>
  <c r="O127" i="8"/>
  <c r="O133" i="8" s="1"/>
  <c r="T134" i="8" s="1"/>
  <c r="M61" i="28"/>
  <c r="G39" i="16"/>
  <c r="D47" i="16" s="1"/>
  <c r="K134" i="8"/>
  <c r="L228" i="8"/>
  <c r="C18" i="8"/>
  <c r="O139" i="8"/>
  <c r="O145" i="8" s="1"/>
  <c r="T146" i="8" s="1"/>
  <c r="K232" i="8"/>
  <c r="O34" i="8"/>
  <c r="I46" i="8"/>
  <c r="G40" i="16"/>
  <c r="I49" i="8"/>
  <c r="N168" i="8"/>
  <c r="T192" i="8"/>
  <c r="N46" i="8"/>
  <c r="N34" i="8"/>
  <c r="C225" i="8"/>
  <c r="AA86" i="8"/>
  <c r="N198" i="15"/>
  <c r="N43" i="8"/>
  <c r="S31" i="8"/>
  <c r="N30" i="8"/>
  <c r="N91" i="22" s="1"/>
  <c r="O98" i="8"/>
  <c r="C151" i="8"/>
  <c r="J43" i="21"/>
  <c r="J44" i="21" s="1"/>
  <c r="N91" i="8"/>
  <c r="N97" i="8" s="1"/>
  <c r="N53" i="8"/>
  <c r="I98" i="21"/>
  <c r="J35" i="21"/>
  <c r="J38" i="21" s="1"/>
  <c r="AD97" i="27"/>
  <c r="J165" i="8"/>
  <c r="J53" i="8"/>
  <c r="J67" i="21"/>
  <c r="J61" i="21"/>
  <c r="J65" i="21" s="1"/>
  <c r="J48" i="21"/>
  <c r="J51" i="21" s="1"/>
  <c r="J106" i="21" s="1"/>
  <c r="AD31" i="27"/>
  <c r="I91" i="8"/>
  <c r="I97" i="8" s="1"/>
  <c r="K98" i="8" s="1"/>
  <c r="I53" i="8"/>
  <c r="I165" i="8"/>
  <c r="I167" i="8" s="1"/>
  <c r="K168" i="8" s="1"/>
  <c r="G228" i="8"/>
  <c r="AC128" i="14"/>
  <c r="AC188" i="9" s="1"/>
  <c r="L122" i="8"/>
  <c r="I228" i="8"/>
  <c r="M108" i="15"/>
  <c r="O5" i="20"/>
  <c r="M133" i="14"/>
  <c r="T44" i="21"/>
  <c r="H105" i="21"/>
  <c r="H46" i="21"/>
  <c r="H94" i="21" s="1"/>
  <c r="N206" i="15"/>
  <c r="R206" i="15" s="1"/>
  <c r="H40" i="14"/>
  <c r="AD67" i="14"/>
  <c r="F55" i="14"/>
  <c r="U65" i="21"/>
  <c r="U68" i="21" s="1"/>
  <c r="I99" i="21"/>
  <c r="F162" i="14"/>
  <c r="I105" i="21"/>
  <c r="H99" i="21"/>
  <c r="P128" i="14"/>
  <c r="T77" i="14"/>
  <c r="K133" i="14"/>
  <c r="U38" i="21"/>
  <c r="O77" i="14"/>
  <c r="U44" i="21"/>
  <c r="L133" i="14"/>
  <c r="G157" i="14"/>
  <c r="N162" i="14"/>
  <c r="H104" i="21"/>
  <c r="I133" i="14"/>
  <c r="P37" i="8"/>
  <c r="P34" i="8"/>
  <c r="S34" i="8"/>
  <c r="S37" i="8"/>
  <c r="R34" i="8"/>
  <c r="Q34" i="8"/>
  <c r="Q37" i="8"/>
  <c r="L40" i="14"/>
  <c r="P123" i="14"/>
  <c r="I90" i="14"/>
  <c r="J90" i="14"/>
  <c r="H50" i="14"/>
  <c r="F50" i="14"/>
  <c r="L56" i="21"/>
  <c r="G133" i="14"/>
  <c r="F62" i="14"/>
  <c r="T93" i="21"/>
  <c r="D46" i="28" s="1"/>
  <c r="U54" i="21"/>
  <c r="F128" i="14"/>
  <c r="N133" i="14"/>
  <c r="Q40" i="14"/>
  <c r="F40" i="14"/>
  <c r="F97" i="14"/>
  <c r="H62" i="14"/>
  <c r="H133" i="14"/>
  <c r="I162" i="14"/>
  <c r="I157" i="14"/>
  <c r="H170" i="14"/>
  <c r="J170" i="14"/>
  <c r="T90" i="14"/>
  <c r="G46" i="21"/>
  <c r="G94" i="21" s="1"/>
  <c r="S123" i="14"/>
  <c r="J99" i="21"/>
  <c r="S162" i="14"/>
  <c r="S157" i="14"/>
  <c r="O123" i="14"/>
  <c r="U99" i="21"/>
  <c r="E69" i="28" s="1"/>
  <c r="R110" i="8"/>
  <c r="Q55" i="14"/>
  <c r="T44" i="27"/>
  <c r="T49" i="27"/>
  <c r="T48" i="27"/>
  <c r="T41" i="27"/>
  <c r="T45" i="27"/>
  <c r="T47" i="27"/>
  <c r="K172" i="8"/>
  <c r="I45" i="14"/>
  <c r="K122" i="8"/>
  <c r="I122" i="8"/>
  <c r="O36" i="8"/>
  <c r="O60" i="8" s="1"/>
  <c r="I43" i="8"/>
  <c r="P146" i="8"/>
  <c r="I30" i="8"/>
  <c r="H146" i="8"/>
  <c r="Q134" i="8"/>
  <c r="I40" i="8"/>
  <c r="K110" i="8"/>
  <c r="K31" i="8"/>
  <c r="G216" i="8"/>
  <c r="I31" i="8"/>
  <c r="O91" i="22"/>
  <c r="L62" i="14"/>
  <c r="L97" i="14"/>
  <c r="G232" i="8"/>
  <c r="H122" i="8"/>
  <c r="O213" i="8"/>
  <c r="J35" i="8"/>
  <c r="AI35" i="8" s="1"/>
  <c r="H228" i="8"/>
  <c r="L50" i="14"/>
  <c r="H216" i="8"/>
  <c r="L7" i="14"/>
  <c r="L55" i="14"/>
  <c r="C16" i="8"/>
  <c r="C139" i="8"/>
  <c r="C165" i="8"/>
  <c r="C53" i="8"/>
  <c r="C91" i="8"/>
  <c r="K48" i="22"/>
  <c r="K51" i="22" s="1"/>
  <c r="C213" i="8"/>
  <c r="T99" i="27"/>
  <c r="T97" i="27"/>
  <c r="T100" i="27"/>
  <c r="T98" i="27"/>
  <c r="AD100" i="27"/>
  <c r="AD99" i="27"/>
  <c r="H110" i="8"/>
  <c r="G172" i="8"/>
  <c r="G168" i="8"/>
  <c r="G110" i="8"/>
  <c r="H128" i="14"/>
  <c r="H55" i="14"/>
  <c r="Y96" i="27"/>
  <c r="K146" i="8"/>
  <c r="O115" i="8"/>
  <c r="O121" i="8" s="1"/>
  <c r="O122" i="8" s="1"/>
  <c r="O65" i="8"/>
  <c r="H97" i="14"/>
  <c r="O225" i="8"/>
  <c r="O151" i="8"/>
  <c r="Z101" i="21"/>
  <c r="J71" i="28" s="1"/>
  <c r="I68" i="28"/>
  <c r="Y101" i="21"/>
  <c r="I71" i="28" s="1"/>
  <c r="AB243" i="9"/>
  <c r="AD274" i="9"/>
  <c r="P40" i="14"/>
  <c r="O227" i="8"/>
  <c r="G8" i="21"/>
  <c r="H8" i="21"/>
  <c r="P55" i="14"/>
  <c r="M232" i="8"/>
  <c r="R146" i="8"/>
  <c r="O103" i="8"/>
  <c r="O109" i="8" s="1"/>
  <c r="T110" i="8" s="1"/>
  <c r="O59" i="8"/>
  <c r="O177" i="8"/>
  <c r="Q118" i="14"/>
  <c r="N228" i="8"/>
  <c r="I216" i="8"/>
  <c r="Q228" i="8"/>
  <c r="Q122" i="8"/>
  <c r="P97" i="14"/>
  <c r="Q97" i="14"/>
  <c r="P62" i="14"/>
  <c r="I146" i="8"/>
  <c r="Q128" i="14"/>
  <c r="Q62" i="14"/>
  <c r="R216" i="8"/>
  <c r="I232" i="8"/>
  <c r="J215" i="8"/>
  <c r="P228" i="8"/>
  <c r="T65" i="8"/>
  <c r="T115" i="8"/>
  <c r="T121" i="8" s="1"/>
  <c r="J37" i="8"/>
  <c r="J227" i="8"/>
  <c r="S216" i="8"/>
  <c r="J213" i="8"/>
  <c r="J77" i="8"/>
  <c r="J139" i="8"/>
  <c r="J145" i="8" s="1"/>
  <c r="K228" i="8"/>
  <c r="H184" i="8"/>
  <c r="J179" i="8"/>
  <c r="L146" i="8"/>
  <c r="T227" i="8"/>
  <c r="F184" i="8"/>
  <c r="M146" i="8"/>
  <c r="Q220" i="8"/>
  <c r="R180" i="8"/>
  <c r="R184" i="8"/>
  <c r="S7" i="14"/>
  <c r="J11" i="21"/>
  <c r="J12" i="21" s="1"/>
  <c r="J76" i="21" s="1"/>
  <c r="M62" i="14"/>
  <c r="M40" i="14"/>
  <c r="M55" i="14"/>
  <c r="M128" i="14"/>
  <c r="M97" i="14"/>
  <c r="G118" i="14"/>
  <c r="G7" i="14"/>
  <c r="I110" i="8"/>
  <c r="I180" i="8"/>
  <c r="T16" i="27"/>
  <c r="T34" i="8" s="1"/>
  <c r="T21" i="27"/>
  <c r="T49" i="8" s="1"/>
  <c r="U19" i="20"/>
  <c r="E78" i="23"/>
  <c r="E79" i="23" s="1"/>
  <c r="E83" i="23"/>
  <c r="Q83" i="23" s="1"/>
  <c r="H117" i="22"/>
  <c r="T43" i="8"/>
  <c r="I16" i="19"/>
  <c r="I13" i="19"/>
  <c r="P96" i="23"/>
  <c r="O96" i="23" s="1"/>
  <c r="B97" i="23"/>
  <c r="P97" i="23" s="1"/>
  <c r="O97" i="23" s="1"/>
  <c r="J162" i="14"/>
  <c r="AK8" i="19"/>
  <c r="BK8" i="19"/>
  <c r="R197" i="15"/>
  <c r="R198" i="15" s="1"/>
  <c r="J199" i="15"/>
  <c r="R199" i="15"/>
  <c r="J197" i="15"/>
  <c r="J198" i="15" s="1"/>
  <c r="P128" i="23"/>
  <c r="B129" i="23"/>
  <c r="P129" i="23" s="1"/>
  <c r="T30" i="8"/>
  <c r="T18" i="27"/>
  <c r="J123" i="14"/>
  <c r="T99" i="21"/>
  <c r="M184" i="8"/>
  <c r="M180" i="8"/>
  <c r="Y196" i="8"/>
  <c r="E14" i="23"/>
  <c r="E19" i="23"/>
  <c r="Q19" i="23" s="1"/>
  <c r="Q13" i="23"/>
  <c r="I11" i="19"/>
  <c r="J10" i="19"/>
  <c r="K10" i="19" s="1"/>
  <c r="B113" i="23"/>
  <c r="P113" i="23" s="1"/>
  <c r="P112" i="23"/>
  <c r="E99" i="23"/>
  <c r="Q99" i="23" s="1"/>
  <c r="E94" i="23"/>
  <c r="Q93" i="23"/>
  <c r="J43" i="8"/>
  <c r="J34" i="8"/>
  <c r="J40" i="8"/>
  <c r="J46" i="8"/>
  <c r="J30" i="8"/>
  <c r="L168" i="8"/>
  <c r="L172" i="8"/>
  <c r="O167" i="8"/>
  <c r="G134" i="8"/>
  <c r="H134" i="8"/>
  <c r="B145" i="23"/>
  <c r="P145" i="23" s="1"/>
  <c r="P144" i="23"/>
  <c r="T20" i="27"/>
  <c r="T17" i="27"/>
  <c r="C12" i="23"/>
  <c r="C13" i="23"/>
  <c r="C14" i="23"/>
  <c r="C30" i="23" s="1"/>
  <c r="C16" i="23"/>
  <c r="C32" i="23" s="1"/>
  <c r="C48" i="23" s="1"/>
  <c r="C64" i="23" s="1"/>
  <c r="C80" i="23" s="1"/>
  <c r="C96" i="23" s="1"/>
  <c r="C112" i="23" s="1"/>
  <c r="C128" i="23" s="1"/>
  <c r="C144" i="23" s="1"/>
  <c r="C160" i="23" s="1"/>
  <c r="C17" i="23"/>
  <c r="C15" i="23"/>
  <c r="Q125" i="23"/>
  <c r="E131" i="23"/>
  <c r="Q131" i="23" s="1"/>
  <c r="E126" i="23"/>
  <c r="Q29" i="23"/>
  <c r="E30" i="23"/>
  <c r="E35" i="23"/>
  <c r="Q35" i="23" s="1"/>
  <c r="Q61" i="23"/>
  <c r="E67" i="23"/>
  <c r="Q67" i="23" s="1"/>
  <c r="E62" i="23"/>
  <c r="Y99" i="27"/>
  <c r="Y100" i="27"/>
  <c r="Y98" i="27"/>
  <c r="M98" i="8"/>
  <c r="L98" i="8"/>
  <c r="T204" i="8"/>
  <c r="T208" i="8"/>
  <c r="P64" i="23"/>
  <c r="B65" i="23"/>
  <c r="P65" i="23" s="1"/>
  <c r="E111" i="15"/>
  <c r="M111" i="15" s="1"/>
  <c r="M103" i="15"/>
  <c r="AD98" i="27"/>
  <c r="AE200" i="27"/>
  <c r="T38" i="21"/>
  <c r="AB140" i="8"/>
  <c r="Q110" i="8"/>
  <c r="Z151" i="8"/>
  <c r="AA152" i="8"/>
  <c r="I46" i="21"/>
  <c r="I104" i="21"/>
  <c r="M157" i="14"/>
  <c r="M162" i="14"/>
  <c r="E110" i="23"/>
  <c r="E115" i="23"/>
  <c r="Q115" i="23" s="1"/>
  <c r="Q109" i="23"/>
  <c r="E46" i="23"/>
  <c r="E51" i="23"/>
  <c r="Q51" i="23" s="1"/>
  <c r="Q45" i="23"/>
  <c r="K227" i="15"/>
  <c r="L227" i="15" s="1"/>
  <c r="AD29" i="27"/>
  <c r="N122" i="8"/>
  <c r="M172" i="8"/>
  <c r="M168" i="8"/>
  <c r="O196" i="8"/>
  <c r="O192" i="8"/>
  <c r="P31" i="8" l="1"/>
  <c r="J123" i="15"/>
  <c r="E154" i="15" s="1"/>
  <c r="F154" i="15" s="1"/>
  <c r="W203" i="8"/>
  <c r="V201" i="8"/>
  <c r="V202" i="8" s="1"/>
  <c r="X191" i="8"/>
  <c r="X189" i="8" s="1"/>
  <c r="W189" i="8"/>
  <c r="W190" i="8" s="1"/>
  <c r="X190" i="8" s="1"/>
  <c r="V99" i="21"/>
  <c r="F69" i="28" s="1"/>
  <c r="K69" i="14"/>
  <c r="AK9" i="19"/>
  <c r="BK9" i="19"/>
  <c r="R119" i="15"/>
  <c r="R120" i="15" s="1"/>
  <c r="R123" i="15" s="1"/>
  <c r="L154" i="15" s="1"/>
  <c r="J201" i="15"/>
  <c r="R201" i="15"/>
  <c r="T45" i="14"/>
  <c r="J177" i="8"/>
  <c r="J178" i="8" s="1"/>
  <c r="K179" i="8" s="1"/>
  <c r="J103" i="8"/>
  <c r="J109" i="8" s="1"/>
  <c r="O110" i="8" s="1"/>
  <c r="N97" i="14"/>
  <c r="N45" i="14"/>
  <c r="R140" i="14"/>
  <c r="P110" i="8"/>
  <c r="G104" i="21"/>
  <c r="N31" i="8"/>
  <c r="J46" i="21"/>
  <c r="J97" i="21" s="1"/>
  <c r="P140" i="14"/>
  <c r="G59" i="21"/>
  <c r="G70" i="21" s="1"/>
  <c r="T145" i="14"/>
  <c r="T150" i="14"/>
  <c r="I145" i="14"/>
  <c r="N55" i="14"/>
  <c r="N145" i="14"/>
  <c r="N140" i="14"/>
  <c r="G105" i="21"/>
  <c r="N150" i="14"/>
  <c r="I140" i="14"/>
  <c r="I150" i="14"/>
  <c r="J104" i="21"/>
  <c r="O146" i="8"/>
  <c r="O216" i="8"/>
  <c r="O40" i="8"/>
  <c r="O37" i="8"/>
  <c r="O43" i="8"/>
  <c r="O49" i="8"/>
  <c r="O30" i="8"/>
  <c r="O31" i="8" s="1"/>
  <c r="R118" i="14"/>
  <c r="O214" i="8"/>
  <c r="P215" i="8" s="1"/>
  <c r="P220" i="8" s="1"/>
  <c r="O46" i="8"/>
  <c r="N50" i="14"/>
  <c r="N180" i="8"/>
  <c r="N40" i="14"/>
  <c r="I11" i="21"/>
  <c r="I12" i="21" s="1"/>
  <c r="I76" i="21" s="1"/>
  <c r="O134" i="8"/>
  <c r="T172" i="27"/>
  <c r="J59" i="8"/>
  <c r="T228" i="8"/>
  <c r="T122" i="8"/>
  <c r="N118" i="14"/>
  <c r="N7" i="14"/>
  <c r="N62" i="14"/>
  <c r="N128" i="14"/>
  <c r="Y226" i="9"/>
  <c r="Z226" i="9" s="1"/>
  <c r="T105" i="21"/>
  <c r="D51" i="28" s="1"/>
  <c r="G162" i="14"/>
  <c r="J68" i="21"/>
  <c r="J93" i="21" s="1"/>
  <c r="H100" i="21"/>
  <c r="AB86" i="8"/>
  <c r="AA84" i="8"/>
  <c r="S133" i="14"/>
  <c r="J167" i="8"/>
  <c r="J172" i="8" s="1"/>
  <c r="I168" i="8"/>
  <c r="I172" i="8"/>
  <c r="V48" i="21"/>
  <c r="V51" i="21" s="1"/>
  <c r="V106" i="21" s="1"/>
  <c r="F52" i="28" s="1"/>
  <c r="V61" i="21"/>
  <c r="V65" i="21" s="1"/>
  <c r="V35" i="21"/>
  <c r="V38" i="21" s="1"/>
  <c r="O232" i="8"/>
  <c r="J105" i="21"/>
  <c r="N98" i="8"/>
  <c r="P98" i="8"/>
  <c r="V43" i="21"/>
  <c r="V44" i="21" s="1"/>
  <c r="V67" i="21"/>
  <c r="I98" i="8"/>
  <c r="O14" i="23"/>
  <c r="O220" i="8"/>
  <c r="O13" i="23"/>
  <c r="AE128" i="14"/>
  <c r="AE188" i="9" s="1"/>
  <c r="P118" i="14"/>
  <c r="U93" i="21"/>
  <c r="E46" i="28" s="1"/>
  <c r="U46" i="21"/>
  <c r="U94" i="21" s="1"/>
  <c r="E47" i="28" s="1"/>
  <c r="U104" i="21"/>
  <c r="E50" i="28" s="1"/>
  <c r="I118" i="14"/>
  <c r="I97" i="14"/>
  <c r="G97" i="21"/>
  <c r="U106" i="21"/>
  <c r="E52" i="28" s="1"/>
  <c r="O162" i="14"/>
  <c r="U105" i="21"/>
  <c r="E51" i="28" s="1"/>
  <c r="L118" i="14"/>
  <c r="I40" i="14"/>
  <c r="I55" i="14"/>
  <c r="I62" i="14"/>
  <c r="I128" i="14"/>
  <c r="I50" i="14"/>
  <c r="P83" i="14"/>
  <c r="V8" i="21"/>
  <c r="F21" i="28" s="1"/>
  <c r="T53" i="27"/>
  <c r="T71" i="27" s="1"/>
  <c r="T52" i="27"/>
  <c r="Q84" i="14"/>
  <c r="I37" i="8"/>
  <c r="I83" i="14"/>
  <c r="O92" i="22"/>
  <c r="P157" i="14"/>
  <c r="T157" i="14" s="1"/>
  <c r="P162" i="14"/>
  <c r="M118" i="14"/>
  <c r="K55" i="21"/>
  <c r="T97" i="14"/>
  <c r="I117" i="22"/>
  <c r="H98" i="21"/>
  <c r="I31" i="15"/>
  <c r="G11" i="21"/>
  <c r="G12" i="21" s="1"/>
  <c r="G76" i="21" s="1"/>
  <c r="J220" i="8"/>
  <c r="V11" i="21"/>
  <c r="P7" i="14"/>
  <c r="T232" i="8"/>
  <c r="J214" i="8"/>
  <c r="K215" i="8" s="1"/>
  <c r="L216" i="8" s="1"/>
  <c r="Y209" i="9"/>
  <c r="Z209" i="9" s="1"/>
  <c r="Y85" i="9"/>
  <c r="T62" i="14"/>
  <c r="T40" i="14"/>
  <c r="H118" i="14"/>
  <c r="H7" i="14"/>
  <c r="T128" i="14"/>
  <c r="O228" i="8"/>
  <c r="AB291" i="9"/>
  <c r="AD243" i="9"/>
  <c r="AD291" i="9" s="1"/>
  <c r="AB95" i="9"/>
  <c r="AD95" i="9" s="1"/>
  <c r="J232" i="8"/>
  <c r="H11" i="21"/>
  <c r="H12" i="21" s="1"/>
  <c r="H76" i="21" s="1"/>
  <c r="Q7" i="14"/>
  <c r="G98" i="21"/>
  <c r="G101" i="21" s="1"/>
  <c r="H97" i="21"/>
  <c r="D117" i="22"/>
  <c r="M7" i="14"/>
  <c r="J15" i="21"/>
  <c r="Q78" i="23"/>
  <c r="Q110" i="23"/>
  <c r="E111" i="23"/>
  <c r="C31" i="23"/>
  <c r="O17" i="23"/>
  <c r="E117" i="22"/>
  <c r="T37" i="8"/>
  <c r="I14" i="19"/>
  <c r="C33" i="23"/>
  <c r="O33" i="23" s="1"/>
  <c r="O15" i="23"/>
  <c r="F117" i="22"/>
  <c r="T46" i="8"/>
  <c r="E80" i="23"/>
  <c r="Q79" i="23"/>
  <c r="AB104" i="8"/>
  <c r="I17" i="19"/>
  <c r="I20" i="19"/>
  <c r="T46" i="21"/>
  <c r="T104" i="21"/>
  <c r="D50" i="28" s="1"/>
  <c r="O172" i="8"/>
  <c r="O166" i="8"/>
  <c r="Q94" i="23"/>
  <c r="E95" i="23"/>
  <c r="G117" i="22"/>
  <c r="T40" i="8"/>
  <c r="G15" i="21"/>
  <c r="Q30" i="23"/>
  <c r="E31" i="23"/>
  <c r="C46" i="23"/>
  <c r="AI30" i="8"/>
  <c r="AB116" i="8"/>
  <c r="AB92" i="8"/>
  <c r="E63" i="23"/>
  <c r="Q62" i="23"/>
  <c r="C29" i="23"/>
  <c r="O31" i="23" s="1"/>
  <c r="O16" i="23"/>
  <c r="D69" i="28"/>
  <c r="M69" i="28" s="1"/>
  <c r="AC140" i="8"/>
  <c r="I94" i="21"/>
  <c r="I97" i="21"/>
  <c r="E127" i="23"/>
  <c r="Q126" i="23"/>
  <c r="O12" i="23"/>
  <c r="C28" i="23"/>
  <c r="O78" i="23"/>
  <c r="AK10" i="19"/>
  <c r="BK10" i="19"/>
  <c r="Q14" i="23"/>
  <c r="E15" i="23"/>
  <c r="Y144" i="9"/>
  <c r="W56" i="21" s="1"/>
  <c r="N56" i="21"/>
  <c r="Q46" i="23"/>
  <c r="E47" i="23"/>
  <c r="AA151" i="8"/>
  <c r="AB152" i="8"/>
  <c r="AC128" i="8"/>
  <c r="AD128" i="8" s="1"/>
  <c r="AE128" i="8" s="1"/>
  <c r="J11" i="19"/>
  <c r="J12" i="19" s="1"/>
  <c r="K12" i="19" s="1"/>
  <c r="I101" i="21"/>
  <c r="T31" i="8" l="1"/>
  <c r="X203" i="8"/>
  <c r="X201" i="8" s="1"/>
  <c r="W201" i="8"/>
  <c r="W202" i="8" s="1"/>
  <c r="X202" i="8" s="1"/>
  <c r="F69" i="14"/>
  <c r="K11" i="19"/>
  <c r="J184" i="8"/>
  <c r="T118" i="14"/>
  <c r="J45" i="14"/>
  <c r="O55" i="14"/>
  <c r="O45" i="14"/>
  <c r="O118" i="14"/>
  <c r="O40" i="14"/>
  <c r="O62" i="14"/>
  <c r="O97" i="14"/>
  <c r="H31" i="15"/>
  <c r="O128" i="14"/>
  <c r="U8" i="21"/>
  <c r="E21" i="28" s="1"/>
  <c r="T98" i="21"/>
  <c r="D68" i="28" s="1"/>
  <c r="Q216" i="8"/>
  <c r="P216" i="8"/>
  <c r="J94" i="21"/>
  <c r="Z241" i="9"/>
  <c r="J62" i="14"/>
  <c r="J50" i="14"/>
  <c r="T8" i="21"/>
  <c r="D21" i="28" s="1"/>
  <c r="J40" i="14"/>
  <c r="G31" i="15"/>
  <c r="J97" i="14"/>
  <c r="J128" i="14"/>
  <c r="J55" i="14"/>
  <c r="J145" i="14"/>
  <c r="J150" i="14"/>
  <c r="O150" i="14"/>
  <c r="O145" i="14"/>
  <c r="T215" i="8"/>
  <c r="H101" i="21"/>
  <c r="U11" i="21"/>
  <c r="V13" i="21" s="1"/>
  <c r="F26" i="28" s="1"/>
  <c r="O168" i="8"/>
  <c r="V46" i="21"/>
  <c r="V94" i="21" s="1"/>
  <c r="F47" i="28" s="1"/>
  <c r="V105" i="21"/>
  <c r="F51" i="28" s="1"/>
  <c r="M51" i="28" s="1"/>
  <c r="V104" i="21"/>
  <c r="F50" i="28" s="1"/>
  <c r="M50" i="28" s="1"/>
  <c r="AB84" i="8"/>
  <c r="AC86" i="8"/>
  <c r="S140" i="14"/>
  <c r="J100" i="21"/>
  <c r="Q83" i="14"/>
  <c r="J98" i="21"/>
  <c r="S118" i="14"/>
  <c r="T133" i="14"/>
  <c r="V68" i="21"/>
  <c r="V93" i="21" s="1"/>
  <c r="F46" i="28" s="1"/>
  <c r="M46" i="28" s="1"/>
  <c r="AF128" i="14"/>
  <c r="AF188" i="9" s="1"/>
  <c r="AG128" i="14"/>
  <c r="AG188" i="9" s="1"/>
  <c r="P84" i="14"/>
  <c r="T11" i="21"/>
  <c r="M52" i="28"/>
  <c r="I7" i="14"/>
  <c r="P87" i="14"/>
  <c r="P88" i="14"/>
  <c r="P86" i="14"/>
  <c r="P85" i="14"/>
  <c r="S87" i="14"/>
  <c r="S85" i="14"/>
  <c r="S88" i="14"/>
  <c r="S86" i="14"/>
  <c r="S83" i="14"/>
  <c r="S84" i="14"/>
  <c r="R83" i="14"/>
  <c r="R86" i="14"/>
  <c r="R88" i="14"/>
  <c r="R85" i="14"/>
  <c r="R87" i="14"/>
  <c r="R84" i="14"/>
  <c r="Q87" i="14"/>
  <c r="Q88" i="14"/>
  <c r="Q85" i="14"/>
  <c r="Q86" i="14"/>
  <c r="T51" i="27"/>
  <c r="T62" i="27" s="1"/>
  <c r="T83" i="14" s="1"/>
  <c r="T70" i="27"/>
  <c r="N88" i="14"/>
  <c r="N86" i="14"/>
  <c r="N85" i="14"/>
  <c r="N83" i="14"/>
  <c r="N84" i="14"/>
  <c r="N87" i="14"/>
  <c r="O83" i="14"/>
  <c r="I87" i="14"/>
  <c r="I86" i="14"/>
  <c r="I88" i="14"/>
  <c r="I85" i="14"/>
  <c r="J83" i="14"/>
  <c r="I84" i="14"/>
  <c r="T7" i="14"/>
  <c r="L69" i="14"/>
  <c r="T162" i="14"/>
  <c r="L55" i="21"/>
  <c r="K216" i="8"/>
  <c r="K220" i="8"/>
  <c r="K117" i="22"/>
  <c r="Z85" i="9"/>
  <c r="AA209" i="9"/>
  <c r="AD140" i="8"/>
  <c r="AE140" i="8" s="1"/>
  <c r="AF140" i="8" s="1"/>
  <c r="AK11" i="19"/>
  <c r="H15" i="21"/>
  <c r="G69" i="14"/>
  <c r="J16" i="21"/>
  <c r="J78" i="21" s="1"/>
  <c r="J87" i="21"/>
  <c r="S69" i="14"/>
  <c r="AF128" i="8"/>
  <c r="T94" i="21"/>
  <c r="D47" i="28" s="1"/>
  <c r="I18" i="19"/>
  <c r="C47" i="23"/>
  <c r="O49" i="23" s="1"/>
  <c r="O32" i="23"/>
  <c r="BK12" i="19"/>
  <c r="AK12" i="19"/>
  <c r="O28" i="23"/>
  <c r="C44" i="23"/>
  <c r="C45" i="23"/>
  <c r="O30" i="23"/>
  <c r="AC104" i="8"/>
  <c r="Q80" i="23"/>
  <c r="E81" i="23"/>
  <c r="Q81" i="23" s="1"/>
  <c r="Q111" i="23"/>
  <c r="E112" i="23"/>
  <c r="J13" i="19"/>
  <c r="K13" i="19" s="1"/>
  <c r="Q63" i="23"/>
  <c r="E64" i="23"/>
  <c r="AC92" i="8"/>
  <c r="P69" i="14"/>
  <c r="I15" i="19"/>
  <c r="Q47" i="23"/>
  <c r="E48" i="23"/>
  <c r="Q127" i="23"/>
  <c r="E128" i="23"/>
  <c r="Q15" i="23"/>
  <c r="E16" i="23"/>
  <c r="AA226" i="9"/>
  <c r="Z144" i="9"/>
  <c r="O56" i="21" s="1"/>
  <c r="AB151" i="8"/>
  <c r="AC152" i="8"/>
  <c r="AC151" i="8" s="1"/>
  <c r="K230" i="15"/>
  <c r="L230" i="15" s="1"/>
  <c r="D13" i="26" s="1"/>
  <c r="AC116" i="8"/>
  <c r="C62" i="23"/>
  <c r="O61" i="23" s="1"/>
  <c r="O179" i="8"/>
  <c r="K180" i="8"/>
  <c r="K184" i="8"/>
  <c r="L180" i="8"/>
  <c r="E96" i="23"/>
  <c r="Q95" i="23"/>
  <c r="E230" i="15"/>
  <c r="F230" i="15" s="1"/>
  <c r="Q31" i="23"/>
  <c r="E32" i="23"/>
  <c r="C49" i="23"/>
  <c r="O29" i="23"/>
  <c r="V12" i="21"/>
  <c r="F24" i="28"/>
  <c r="G16" i="21"/>
  <c r="G78" i="21" s="1"/>
  <c r="G87" i="21"/>
  <c r="P167" i="8"/>
  <c r="I21" i="19"/>
  <c r="I24" i="19"/>
  <c r="V98" i="21" l="1"/>
  <c r="F68" i="28" s="1"/>
  <c r="U98" i="21"/>
  <c r="E68" i="28" s="1"/>
  <c r="V9" i="21"/>
  <c r="F22" i="28" s="1"/>
  <c r="U97" i="21"/>
  <c r="E67" i="28" s="1"/>
  <c r="J7" i="14"/>
  <c r="J118" i="14"/>
  <c r="T214" i="8"/>
  <c r="O7" i="14"/>
  <c r="BK11" i="19"/>
  <c r="T220" i="8"/>
  <c r="T216" i="8"/>
  <c r="O45" i="23"/>
  <c r="Z242" i="9"/>
  <c r="Z281" i="9" s="1"/>
  <c r="AA241" i="9"/>
  <c r="Z247" i="9"/>
  <c r="Y94" i="9"/>
  <c r="Y247" i="9"/>
  <c r="T97" i="21"/>
  <c r="D67" i="28" s="1"/>
  <c r="U9" i="21"/>
  <c r="E22" i="28" s="1"/>
  <c r="T100" i="21"/>
  <c r="D70" i="28" s="1"/>
  <c r="J140" i="14"/>
  <c r="O140" i="14"/>
  <c r="U100" i="21"/>
  <c r="Y203" i="8"/>
  <c r="Z203" i="8"/>
  <c r="Y201" i="8"/>
  <c r="V97" i="21"/>
  <c r="F67" i="28" s="1"/>
  <c r="M47" i="28"/>
  <c r="AC84" i="8"/>
  <c r="AE86" i="8"/>
  <c r="V100" i="21"/>
  <c r="F70" i="28" s="1"/>
  <c r="T140" i="14"/>
  <c r="J101" i="21"/>
  <c r="AD152" i="8"/>
  <c r="AE152" i="8" s="1"/>
  <c r="AE151" i="8" s="1"/>
  <c r="O84" i="14"/>
  <c r="T63" i="27"/>
  <c r="T84" i="14" s="1"/>
  <c r="T65" i="27"/>
  <c r="T86" i="14" s="1"/>
  <c r="T69" i="27"/>
  <c r="T78" i="27" s="1"/>
  <c r="T59" i="27"/>
  <c r="T66" i="27"/>
  <c r="T87" i="14" s="1"/>
  <c r="T67" i="27"/>
  <c r="T88" i="14" s="1"/>
  <c r="T64" i="27"/>
  <c r="T85" i="14" s="1"/>
  <c r="O85" i="14"/>
  <c r="O87" i="14"/>
  <c r="O88" i="14"/>
  <c r="O86" i="14"/>
  <c r="J84" i="14"/>
  <c r="J85" i="14"/>
  <c r="J86" i="14"/>
  <c r="J88" i="14"/>
  <c r="J87" i="14"/>
  <c r="M55" i="21"/>
  <c r="T15" i="21"/>
  <c r="G33" i="15"/>
  <c r="G35" i="15" s="1"/>
  <c r="AB209" i="9"/>
  <c r="AA85" i="9"/>
  <c r="H69" i="14"/>
  <c r="J14" i="19"/>
  <c r="K14" i="19" s="1"/>
  <c r="AD116" i="8"/>
  <c r="AE116" i="8" s="1"/>
  <c r="AF116" i="8" s="1"/>
  <c r="D24" i="28"/>
  <c r="T12" i="21"/>
  <c r="T76" i="21" s="1"/>
  <c r="H16" i="21"/>
  <c r="H78" i="21" s="1"/>
  <c r="H87" i="21"/>
  <c r="Q69" i="14"/>
  <c r="I69" i="14"/>
  <c r="J69" i="14"/>
  <c r="E24" i="28"/>
  <c r="U13" i="21"/>
  <c r="E26" i="28" s="1"/>
  <c r="U12" i="21"/>
  <c r="J19" i="21"/>
  <c r="C78" i="23"/>
  <c r="I19" i="19"/>
  <c r="I25" i="19"/>
  <c r="I28" i="19"/>
  <c r="Q64" i="23"/>
  <c r="E65" i="23"/>
  <c r="Q65" i="23" s="1"/>
  <c r="O44" i="23"/>
  <c r="C60" i="23"/>
  <c r="E97" i="23"/>
  <c r="Q97" i="23" s="1"/>
  <c r="Q96" i="23"/>
  <c r="AK13" i="19"/>
  <c r="BK13" i="19"/>
  <c r="AD104" i="8"/>
  <c r="AE104" i="8" s="1"/>
  <c r="Q32" i="23"/>
  <c r="E33" i="23"/>
  <c r="Q33" i="23" s="1"/>
  <c r="Q128" i="23"/>
  <c r="E129" i="23"/>
  <c r="Q129" i="23" s="1"/>
  <c r="Q112" i="23"/>
  <c r="E113" i="23"/>
  <c r="Q113" i="23" s="1"/>
  <c r="AG128" i="8"/>
  <c r="V76" i="21"/>
  <c r="F25" i="28"/>
  <c r="AG140" i="8"/>
  <c r="C61" i="23"/>
  <c r="O47" i="23"/>
  <c r="I22" i="19"/>
  <c r="AB226" i="9"/>
  <c r="AA144" i="9"/>
  <c r="P56" i="21" s="1"/>
  <c r="T167" i="8"/>
  <c r="P172" i="8"/>
  <c r="P168" i="8"/>
  <c r="Q168" i="8"/>
  <c r="O184" i="8"/>
  <c r="O180" i="8"/>
  <c r="O178" i="8"/>
  <c r="AD151" i="8"/>
  <c r="Q16" i="23"/>
  <c r="E17" i="23"/>
  <c r="Q17" i="23" s="1"/>
  <c r="Q48" i="23"/>
  <c r="E49" i="23"/>
  <c r="Q49" i="23" s="1"/>
  <c r="AD92" i="8"/>
  <c r="AE92" i="8" s="1"/>
  <c r="C65" i="23"/>
  <c r="O65" i="23" s="1"/>
  <c r="O48" i="23"/>
  <c r="G19" i="21"/>
  <c r="C63" i="23"/>
  <c r="O46" i="23"/>
  <c r="BK14" i="19" l="1"/>
  <c r="M68" i="28"/>
  <c r="T101" i="21"/>
  <c r="D71" i="28" s="1"/>
  <c r="M71" i="28" s="1"/>
  <c r="Z191" i="8"/>
  <c r="Y189" i="8"/>
  <c r="Y191" i="8"/>
  <c r="N69" i="14"/>
  <c r="AA242" i="9"/>
  <c r="AA281" i="9" s="1"/>
  <c r="AB241" i="9"/>
  <c r="AA247" i="9"/>
  <c r="M67" i="28"/>
  <c r="Z94" i="9"/>
  <c r="Z293" i="9"/>
  <c r="AK14" i="19"/>
  <c r="AF152" i="8"/>
  <c r="AF151" i="8" s="1"/>
  <c r="E70" i="28"/>
  <c r="M70" i="28" s="1"/>
  <c r="U101" i="21"/>
  <c r="E71" i="28" s="1"/>
  <c r="Y202" i="8"/>
  <c r="AA203" i="8"/>
  <c r="Z201" i="8"/>
  <c r="J15" i="19"/>
  <c r="K15" i="19" s="1"/>
  <c r="AE84" i="8"/>
  <c r="AF86" i="8"/>
  <c r="V101" i="21"/>
  <c r="F71" i="28" s="1"/>
  <c r="T80" i="27"/>
  <c r="T81" i="27"/>
  <c r="T79" i="27"/>
  <c r="T82" i="27"/>
  <c r="T83" i="27"/>
  <c r="Y225" i="9"/>
  <c r="T87" i="21"/>
  <c r="D62" i="28" s="1"/>
  <c r="T16" i="21"/>
  <c r="AB85" i="9"/>
  <c r="AC209" i="9"/>
  <c r="AC85" i="9" s="1"/>
  <c r="H19" i="21"/>
  <c r="E25" i="28"/>
  <c r="U76" i="21"/>
  <c r="J20" i="21"/>
  <c r="J79" i="21" s="1"/>
  <c r="J82" i="21"/>
  <c r="J81" i="21"/>
  <c r="J80" i="21"/>
  <c r="P179" i="8"/>
  <c r="T168" i="8"/>
  <c r="T172" i="8"/>
  <c r="T166" i="8"/>
  <c r="C94" i="23"/>
  <c r="C110" i="23" s="1"/>
  <c r="G23" i="21"/>
  <c r="C79" i="23"/>
  <c r="O62" i="23"/>
  <c r="G20" i="21"/>
  <c r="G79" i="21" s="1"/>
  <c r="G80" i="21"/>
  <c r="G82" i="21"/>
  <c r="G81" i="21"/>
  <c r="C81" i="23"/>
  <c r="O81" i="23" s="1"/>
  <c r="O63" i="23"/>
  <c r="AC226" i="9"/>
  <c r="AB144" i="9"/>
  <c r="Q56" i="21" s="1"/>
  <c r="O60" i="23"/>
  <c r="C76" i="23"/>
  <c r="I23" i="19"/>
  <c r="C77" i="23"/>
  <c r="O64" i="23"/>
  <c r="AF104" i="8"/>
  <c r="AF92" i="8"/>
  <c r="I29" i="19"/>
  <c r="I32" i="19"/>
  <c r="AG116" i="8"/>
  <c r="I26" i="19"/>
  <c r="J16" i="19" l="1"/>
  <c r="K16" i="19" s="1"/>
  <c r="BK15" i="19"/>
  <c r="Y190" i="8"/>
  <c r="Z189" i="8"/>
  <c r="AA191" i="8"/>
  <c r="AG152" i="8"/>
  <c r="AG151" i="8" s="1"/>
  <c r="AA94" i="9"/>
  <c r="AA293" i="9"/>
  <c r="AB242" i="9"/>
  <c r="AC241" i="9"/>
  <c r="AD241" i="9" s="1"/>
  <c r="AB247" i="9"/>
  <c r="Z202" i="8"/>
  <c r="AB203" i="8"/>
  <c r="AA201" i="8"/>
  <c r="AF84" i="8"/>
  <c r="AG86" i="8"/>
  <c r="AG84" i="8" s="1"/>
  <c r="Y261" i="9"/>
  <c r="T19" i="21"/>
  <c r="T20" i="21" s="1"/>
  <c r="D9" i="22" s="1"/>
  <c r="AD209" i="9"/>
  <c r="AE209" i="9" s="1"/>
  <c r="AE85" i="9" s="1"/>
  <c r="N55" i="21"/>
  <c r="Y143" i="9"/>
  <c r="W55" i="21" s="1"/>
  <c r="AD85" i="9"/>
  <c r="Z225" i="9"/>
  <c r="Y227" i="9"/>
  <c r="Y228" i="9" s="1"/>
  <c r="T78" i="21"/>
  <c r="D7" i="22"/>
  <c r="H23" i="21"/>
  <c r="H80" i="21"/>
  <c r="H81" i="21"/>
  <c r="H20" i="21"/>
  <c r="H79" i="21" s="1"/>
  <c r="H82" i="21"/>
  <c r="J23" i="21"/>
  <c r="J27" i="21"/>
  <c r="I30" i="19"/>
  <c r="AG92" i="8"/>
  <c r="C126" i="23"/>
  <c r="I27" i="19"/>
  <c r="AG104" i="8"/>
  <c r="T179" i="8"/>
  <c r="P184" i="8"/>
  <c r="P180" i="8"/>
  <c r="Q180" i="8"/>
  <c r="I33" i="19"/>
  <c r="I36" i="19"/>
  <c r="O76" i="23"/>
  <c r="C92" i="23"/>
  <c r="AD226" i="9"/>
  <c r="AC144" i="9"/>
  <c r="C97" i="23"/>
  <c r="C113" i="23" s="1"/>
  <c r="O113" i="23" s="1"/>
  <c r="O80" i="23"/>
  <c r="C93" i="23"/>
  <c r="C109" i="23" s="1"/>
  <c r="O109" i="23" s="1"/>
  <c r="O77" i="23"/>
  <c r="C95" i="23"/>
  <c r="C111" i="23" s="1"/>
  <c r="O79" i="23"/>
  <c r="J17" i="19" l="1"/>
  <c r="K17" i="19" s="1"/>
  <c r="AK15" i="19"/>
  <c r="Z190" i="8"/>
  <c r="AB191" i="8"/>
  <c r="AA189" i="8"/>
  <c r="AB293" i="9"/>
  <c r="AB94" i="9"/>
  <c r="AC242" i="9"/>
  <c r="AC281" i="9" s="1"/>
  <c r="AC247" i="9"/>
  <c r="AE241" i="9"/>
  <c r="AB281" i="9"/>
  <c r="AA202" i="8"/>
  <c r="AB201" i="8"/>
  <c r="AC203" i="8"/>
  <c r="AC201" i="8" s="1"/>
  <c r="AF209" i="9"/>
  <c r="AG209" i="9" s="1"/>
  <c r="AG85" i="9" s="1"/>
  <c r="D39" i="28"/>
  <c r="T81" i="21"/>
  <c r="D56" i="28" s="1"/>
  <c r="T82" i="21"/>
  <c r="D57" i="28" s="1"/>
  <c r="T79" i="21"/>
  <c r="D32" i="28"/>
  <c r="T80" i="21"/>
  <c r="D55" i="28" s="1"/>
  <c r="AA225" i="9"/>
  <c r="Z227" i="9"/>
  <c r="Z228" i="9" s="1"/>
  <c r="Z143" i="9"/>
  <c r="O55" i="21" s="1"/>
  <c r="H27" i="21"/>
  <c r="J92" i="21"/>
  <c r="J89" i="21"/>
  <c r="J28" i="21"/>
  <c r="J77" i="21" s="1"/>
  <c r="J88" i="21"/>
  <c r="G27" i="21"/>
  <c r="C125" i="23"/>
  <c r="O112" i="23"/>
  <c r="C129" i="23"/>
  <c r="C145" i="23" s="1"/>
  <c r="C161" i="23" s="1"/>
  <c r="O111" i="23"/>
  <c r="AE226" i="9"/>
  <c r="AD144" i="9"/>
  <c r="X56" i="21" s="1"/>
  <c r="R56" i="21"/>
  <c r="O92" i="23"/>
  <c r="C108" i="23"/>
  <c r="I34" i="19"/>
  <c r="I37" i="19"/>
  <c r="I40" i="19"/>
  <c r="I31" i="19"/>
  <c r="C142" i="23"/>
  <c r="O127" i="23"/>
  <c r="O128" i="23"/>
  <c r="O129" i="23"/>
  <c r="C127" i="23"/>
  <c r="O110" i="23"/>
  <c r="T180" i="8"/>
  <c r="T184" i="8"/>
  <c r="T178" i="8"/>
  <c r="BK16" i="19" l="1"/>
  <c r="AK16" i="19"/>
  <c r="J18" i="19"/>
  <c r="K18" i="19" s="1"/>
  <c r="AB189" i="8"/>
  <c r="AC191" i="8"/>
  <c r="AC189" i="8" s="1"/>
  <c r="AA190" i="8"/>
  <c r="AD281" i="9"/>
  <c r="AD242" i="9"/>
  <c r="AD247" i="9"/>
  <c r="AD293" i="9" s="1"/>
  <c r="AC94" i="9"/>
  <c r="AD94" i="9" s="1"/>
  <c r="AC293" i="9"/>
  <c r="AE242" i="9"/>
  <c r="AE281" i="9" s="1"/>
  <c r="AF241" i="9"/>
  <c r="AE247" i="9"/>
  <c r="AD201" i="8"/>
  <c r="AF85" i="9"/>
  <c r="AD203" i="8"/>
  <c r="AE203" i="8" s="1"/>
  <c r="AF203" i="8" s="1"/>
  <c r="AB202" i="8"/>
  <c r="AC202" i="8" s="1"/>
  <c r="AA143" i="9"/>
  <c r="P55" i="21" s="1"/>
  <c r="AB225" i="9"/>
  <c r="AA227" i="9"/>
  <c r="AA228" i="9" s="1"/>
  <c r="T23" i="21"/>
  <c r="D36" i="28" s="1"/>
  <c r="H92" i="21"/>
  <c r="H28" i="21"/>
  <c r="H77" i="21" s="1"/>
  <c r="H89" i="21"/>
  <c r="H88" i="21"/>
  <c r="Z67" i="9"/>
  <c r="C124" i="23"/>
  <c r="O108" i="23"/>
  <c r="AE144" i="9"/>
  <c r="Y56" i="21" s="1"/>
  <c r="AF226" i="9"/>
  <c r="I41" i="19"/>
  <c r="I44" i="19"/>
  <c r="AA67" i="9"/>
  <c r="C143" i="23"/>
  <c r="C159" i="23" s="1"/>
  <c r="O125" i="23"/>
  <c r="O142" i="23"/>
  <c r="C158" i="23"/>
  <c r="O143" i="23"/>
  <c r="O144" i="23"/>
  <c r="O145" i="23"/>
  <c r="I38" i="19"/>
  <c r="G28" i="21"/>
  <c r="G77" i="21" s="1"/>
  <c r="G92" i="21"/>
  <c r="G88" i="21"/>
  <c r="G89" i="21"/>
  <c r="C141" i="23"/>
  <c r="O126" i="23"/>
  <c r="I35" i="19"/>
  <c r="BK17" i="19" l="1"/>
  <c r="AK17" i="19"/>
  <c r="J19" i="19"/>
  <c r="K19" i="19" s="1"/>
  <c r="AD191" i="8"/>
  <c r="AE191" i="8" s="1"/>
  <c r="AB190" i="8"/>
  <c r="AC190" i="8" s="1"/>
  <c r="AD189" i="8"/>
  <c r="AE293" i="9"/>
  <c r="AE94" i="9"/>
  <c r="AF242" i="9"/>
  <c r="AF281" i="9" s="1"/>
  <c r="AG241" i="9"/>
  <c r="AF247" i="9"/>
  <c r="AE201" i="8"/>
  <c r="AD202" i="8"/>
  <c r="AG203" i="8"/>
  <c r="AG201" i="8" s="1"/>
  <c r="AF201" i="8"/>
  <c r="AC225" i="9"/>
  <c r="AB227" i="9"/>
  <c r="AB228" i="9" s="1"/>
  <c r="AB143" i="9"/>
  <c r="Q55" i="21" s="1"/>
  <c r="T27" i="21"/>
  <c r="G32" i="15"/>
  <c r="I48" i="19"/>
  <c r="I45" i="19"/>
  <c r="O124" i="23"/>
  <c r="C140" i="23"/>
  <c r="C157" i="23"/>
  <c r="O157" i="23" s="1"/>
  <c r="O141" i="23"/>
  <c r="I42" i="19"/>
  <c r="AG226" i="9"/>
  <c r="AF144" i="9"/>
  <c r="Z56" i="21" s="1"/>
  <c r="I39" i="19"/>
  <c r="O161" i="23"/>
  <c r="O158" i="23"/>
  <c r="O160" i="23"/>
  <c r="O159" i="23"/>
  <c r="AK18" i="19" l="1"/>
  <c r="BK18" i="19"/>
  <c r="J20" i="19"/>
  <c r="K20" i="19" s="1"/>
  <c r="AD190" i="8"/>
  <c r="AE189" i="8"/>
  <c r="AF191" i="8"/>
  <c r="AG242" i="9"/>
  <c r="AG281" i="9" s="1"/>
  <c r="AG247" i="9"/>
  <c r="AF94" i="9"/>
  <c r="AF293" i="9"/>
  <c r="AE202" i="8"/>
  <c r="AF202" i="8" s="1"/>
  <c r="AG202" i="8" s="1"/>
  <c r="AC227" i="9"/>
  <c r="AC228" i="9" s="1"/>
  <c r="AC143" i="9"/>
  <c r="AD225" i="9"/>
  <c r="T88" i="21"/>
  <c r="D63" i="28" s="1"/>
  <c r="T28" i="21"/>
  <c r="T92" i="21"/>
  <c r="D45" i="28" s="1"/>
  <c r="D28" i="28"/>
  <c r="T89" i="21"/>
  <c r="D64" i="28" s="1"/>
  <c r="AB67" i="9"/>
  <c r="C156" i="23"/>
  <c r="O156" i="23" s="1"/>
  <c r="O140" i="23"/>
  <c r="I46" i="19"/>
  <c r="I43" i="19"/>
  <c r="I49" i="19"/>
  <c r="I52" i="19"/>
  <c r="AG144" i="9"/>
  <c r="AA56" i="21" s="1"/>
  <c r="AK19" i="19" l="1"/>
  <c r="BK19" i="19"/>
  <c r="J21" i="19"/>
  <c r="K21" i="19" s="1"/>
  <c r="AE190" i="8"/>
  <c r="AG191" i="8"/>
  <c r="AG189" i="8" s="1"/>
  <c r="AF189" i="8"/>
  <c r="AG94" i="9"/>
  <c r="AG293" i="9"/>
  <c r="AD143" i="9"/>
  <c r="X55" i="21" s="1"/>
  <c r="R55" i="21"/>
  <c r="AE225" i="9"/>
  <c r="AD227" i="9"/>
  <c r="AD228" i="9" s="1"/>
  <c r="AC67" i="9"/>
  <c r="D8" i="22"/>
  <c r="T77" i="21"/>
  <c r="I53" i="19"/>
  <c r="I56" i="19"/>
  <c r="I50" i="19"/>
  <c r="I47" i="19"/>
  <c r="J22" i="19" l="1"/>
  <c r="K22" i="19" s="1"/>
  <c r="BK20" i="19"/>
  <c r="AK20" i="19"/>
  <c r="AF190" i="8"/>
  <c r="AG190" i="8" s="1"/>
  <c r="AF225" i="9"/>
  <c r="AE143" i="9"/>
  <c r="Y55" i="21" s="1"/>
  <c r="AE227" i="9"/>
  <c r="AE228" i="9" s="1"/>
  <c r="I54" i="19"/>
  <c r="I51" i="19"/>
  <c r="I57" i="19"/>
  <c r="I60" i="19"/>
  <c r="AE67" i="9"/>
  <c r="J23" i="19" l="1"/>
  <c r="K23" i="19" s="1"/>
  <c r="AK21" i="19"/>
  <c r="BK21" i="19"/>
  <c r="AF143" i="9"/>
  <c r="Z55" i="21" s="1"/>
  <c r="AG225" i="9"/>
  <c r="AF227" i="9"/>
  <c r="AF228" i="9" s="1"/>
  <c r="I55" i="19"/>
  <c r="AF67" i="9"/>
  <c r="I61" i="19"/>
  <c r="I64" i="19"/>
  <c r="AG67" i="9"/>
  <c r="I58" i="19"/>
  <c r="J24" i="19" l="1"/>
  <c r="K24" i="19" s="1"/>
  <c r="BK22" i="19"/>
  <c r="AK22" i="19"/>
  <c r="AG143" i="9"/>
  <c r="AA55" i="21" s="1"/>
  <c r="AG227" i="9"/>
  <c r="AG228" i="9" s="1"/>
  <c r="I59" i="19"/>
  <c r="I68" i="19"/>
  <c r="I65" i="19"/>
  <c r="I62" i="19"/>
  <c r="BK23" i="19" l="1"/>
  <c r="AK23" i="19"/>
  <c r="J25" i="19"/>
  <c r="K25" i="19" s="1"/>
  <c r="I66" i="19"/>
  <c r="I63" i="19"/>
  <c r="I69" i="19"/>
  <c r="I72" i="19"/>
  <c r="BK24" i="19" l="1"/>
  <c r="AK24" i="19"/>
  <c r="J26" i="19"/>
  <c r="K26" i="19" s="1"/>
  <c r="I67" i="19"/>
  <c r="I70" i="19"/>
  <c r="I76" i="19"/>
  <c r="I73" i="19"/>
  <c r="AK25" i="19" l="1"/>
  <c r="BK25" i="19"/>
  <c r="J27" i="19"/>
  <c r="K27" i="19" s="1"/>
  <c r="I71" i="19"/>
  <c r="I74" i="19"/>
  <c r="I77" i="19"/>
  <c r="I80" i="19"/>
  <c r="J28" i="19" l="1"/>
  <c r="K28" i="19" s="1"/>
  <c r="BK26" i="19"/>
  <c r="AK26" i="19"/>
  <c r="I84" i="19"/>
  <c r="I81" i="19"/>
  <c r="I75" i="19"/>
  <c r="I78" i="19"/>
  <c r="J29" i="19" l="1"/>
  <c r="K29" i="19" s="1"/>
  <c r="BK27" i="19"/>
  <c r="AK27" i="19"/>
  <c r="I85" i="19"/>
  <c r="I79" i="19"/>
  <c r="I82" i="19"/>
  <c r="J30" i="19" l="1"/>
  <c r="K30" i="19" s="1"/>
  <c r="AK28" i="19"/>
  <c r="BK28" i="19"/>
  <c r="I83" i="19"/>
  <c r="J31" i="19" l="1"/>
  <c r="K31" i="19" s="1"/>
  <c r="BK29" i="19"/>
  <c r="AK29" i="19"/>
  <c r="J32" i="19" l="1"/>
  <c r="K32" i="19" s="1"/>
  <c r="AK30" i="19"/>
  <c r="BK30" i="19"/>
  <c r="BK31" i="19" l="1"/>
  <c r="AK31" i="19"/>
  <c r="J33" i="19"/>
  <c r="K33" i="19" s="1"/>
  <c r="BK32" i="19" l="1"/>
  <c r="AK32" i="19"/>
  <c r="J34" i="19"/>
  <c r="K34" i="19" s="1"/>
  <c r="J35" i="19" l="1"/>
  <c r="K35" i="19" s="1"/>
  <c r="BK33" i="19"/>
  <c r="AK33" i="19"/>
  <c r="J36" i="19" l="1"/>
  <c r="K36" i="19" s="1"/>
  <c r="AK34" i="19"/>
  <c r="BK34" i="19"/>
  <c r="J37" i="19" l="1"/>
  <c r="K37" i="19" s="1"/>
  <c r="BK35" i="19"/>
  <c r="AK35" i="19"/>
  <c r="J38" i="19" l="1"/>
  <c r="K38" i="19" s="1"/>
  <c r="AK36" i="19"/>
  <c r="BK36" i="19"/>
  <c r="J39" i="19" l="1"/>
  <c r="K39" i="19" s="1"/>
  <c r="BK37" i="19"/>
  <c r="AK37" i="19"/>
  <c r="J40" i="19" l="1"/>
  <c r="K40" i="19" s="1"/>
  <c r="BK38" i="19"/>
  <c r="AK38" i="19"/>
  <c r="J41" i="19" l="1"/>
  <c r="K41" i="19" s="1"/>
  <c r="AK39" i="19"/>
  <c r="BK39" i="19"/>
  <c r="J42" i="19" l="1"/>
  <c r="K42" i="19" s="1"/>
  <c r="AK40" i="19"/>
  <c r="BK40" i="19"/>
  <c r="J43" i="19" l="1"/>
  <c r="K43" i="19" s="1"/>
  <c r="BK41" i="19"/>
  <c r="AK41" i="19"/>
  <c r="J44" i="19" l="1"/>
  <c r="K44" i="19" s="1"/>
  <c r="BK42" i="19"/>
  <c r="AK42" i="19"/>
  <c r="J45" i="19" l="1"/>
  <c r="K45" i="19" s="1"/>
  <c r="BK43" i="19"/>
  <c r="AK43" i="19"/>
  <c r="J46" i="19" l="1"/>
  <c r="K46" i="19" s="1"/>
  <c r="BK44" i="19"/>
  <c r="AK44" i="19"/>
  <c r="J47" i="19" l="1"/>
  <c r="K47" i="19" s="1"/>
  <c r="AK45" i="19"/>
  <c r="BK45" i="19"/>
  <c r="J48" i="19" l="1"/>
  <c r="K48" i="19" s="1"/>
  <c r="AK46" i="19"/>
  <c r="BK46" i="19"/>
  <c r="J49" i="19" l="1"/>
  <c r="K49" i="19" s="1"/>
  <c r="AK47" i="19"/>
  <c r="BK47" i="19"/>
  <c r="BK48" i="19" l="1"/>
  <c r="AK48" i="19"/>
  <c r="J50" i="19"/>
  <c r="K50" i="19" s="1"/>
  <c r="J51" i="19" l="1"/>
  <c r="K51" i="19" s="1"/>
  <c r="BK49" i="19"/>
  <c r="AK49" i="19"/>
  <c r="J52" i="19" l="1"/>
  <c r="K52" i="19" s="1"/>
  <c r="BK50" i="19"/>
  <c r="AK50" i="19"/>
  <c r="J53" i="19" l="1"/>
  <c r="K53" i="19" s="1"/>
  <c r="BK51" i="19"/>
  <c r="AK51" i="19"/>
  <c r="J54" i="19" l="1"/>
  <c r="K54" i="19" s="1"/>
  <c r="BK52" i="19"/>
  <c r="AK52" i="19"/>
  <c r="J55" i="19" l="1"/>
  <c r="K55" i="19" s="1"/>
  <c r="AK53" i="19"/>
  <c r="BK53" i="19"/>
  <c r="J56" i="19" l="1"/>
  <c r="K56" i="19" s="1"/>
  <c r="BK54" i="19"/>
  <c r="AK54" i="19"/>
  <c r="J57" i="19" l="1"/>
  <c r="K57" i="19" s="1"/>
  <c r="BK55" i="19"/>
  <c r="AK55" i="19"/>
  <c r="J58" i="19" l="1"/>
  <c r="K58" i="19" s="1"/>
  <c r="BK56" i="19"/>
  <c r="AK56" i="19"/>
  <c r="J59" i="19" l="1"/>
  <c r="K59" i="19" s="1"/>
  <c r="BK57" i="19"/>
  <c r="AK57" i="19"/>
  <c r="J60" i="19" l="1"/>
  <c r="K60" i="19" s="1"/>
  <c r="AK58" i="19"/>
  <c r="BK58" i="19"/>
  <c r="J61" i="19" l="1"/>
  <c r="K61" i="19" s="1"/>
  <c r="BK59" i="19"/>
  <c r="AK59" i="19"/>
  <c r="J62" i="19" l="1"/>
  <c r="K62" i="19" s="1"/>
  <c r="BK60" i="19"/>
  <c r="AK60" i="19"/>
  <c r="J63" i="19" l="1"/>
  <c r="K63" i="19" s="1"/>
  <c r="BK61" i="19"/>
  <c r="AK61" i="19"/>
  <c r="J64" i="19" l="1"/>
  <c r="K64" i="19" s="1"/>
  <c r="AK62" i="19"/>
  <c r="BK62" i="19"/>
  <c r="J65" i="19" l="1"/>
  <c r="K65" i="19" s="1"/>
  <c r="BK63" i="19"/>
  <c r="AK63" i="19"/>
  <c r="J66" i="19" l="1"/>
  <c r="K66" i="19" s="1"/>
  <c r="BK64" i="19"/>
  <c r="AK64" i="19"/>
  <c r="J67" i="19" l="1"/>
  <c r="K67" i="19" s="1"/>
  <c r="AK65" i="19"/>
  <c r="BK65" i="19"/>
  <c r="J68" i="19" l="1"/>
  <c r="K68" i="19" s="1"/>
  <c r="BK66" i="19"/>
  <c r="AK66" i="19"/>
  <c r="J69" i="19" l="1"/>
  <c r="K69" i="19" s="1"/>
  <c r="BK67" i="19"/>
  <c r="AK67" i="19"/>
  <c r="J70" i="19" l="1"/>
  <c r="K70" i="19" s="1"/>
  <c r="AK68" i="19"/>
  <c r="BK68" i="19"/>
  <c r="J71" i="19" l="1"/>
  <c r="K71" i="19" s="1"/>
  <c r="BK69" i="19"/>
  <c r="AK69" i="19"/>
  <c r="J72" i="19" l="1"/>
  <c r="K72" i="19" s="1"/>
  <c r="BK70" i="19"/>
  <c r="AK70" i="19"/>
  <c r="J73" i="19" l="1"/>
  <c r="K73" i="19" s="1"/>
  <c r="AK71" i="19"/>
  <c r="BK71" i="19"/>
  <c r="J74" i="19" l="1"/>
  <c r="K74" i="19" s="1"/>
  <c r="AK72" i="19"/>
  <c r="BK72" i="19"/>
  <c r="J75" i="19" l="1"/>
  <c r="K75" i="19" s="1"/>
  <c r="AK73" i="19"/>
  <c r="BK73" i="19"/>
  <c r="J76" i="19" l="1"/>
  <c r="K76" i="19" s="1"/>
  <c r="AK74" i="19"/>
  <c r="BK74" i="19"/>
  <c r="J77" i="19" l="1"/>
  <c r="K77" i="19" s="1"/>
  <c r="BK75" i="19"/>
  <c r="AK75" i="19"/>
  <c r="J78" i="19" l="1"/>
  <c r="K78" i="19" s="1"/>
  <c r="BK76" i="19"/>
  <c r="AK76" i="19"/>
  <c r="J79" i="19" l="1"/>
  <c r="K79" i="19" s="1"/>
  <c r="AK77" i="19"/>
  <c r="BK77" i="19"/>
  <c r="J80" i="19" l="1"/>
  <c r="K80" i="19" s="1"/>
  <c r="AK78" i="19"/>
  <c r="BK78" i="19"/>
  <c r="J81" i="19" l="1"/>
  <c r="K81" i="19" s="1"/>
  <c r="BK79" i="19"/>
  <c r="AK79" i="19"/>
  <c r="J82" i="19" l="1"/>
  <c r="K82" i="19" s="1"/>
  <c r="AK80" i="19"/>
  <c r="BK80" i="19"/>
  <c r="J83" i="19" l="1"/>
  <c r="K83" i="19" s="1"/>
  <c r="BK81" i="19"/>
  <c r="AK81" i="19"/>
  <c r="J84" i="19" l="1"/>
  <c r="AK82" i="19"/>
  <c r="BK82" i="19"/>
  <c r="K84" i="19" l="1"/>
  <c r="J85" i="19"/>
  <c r="K85" i="19" s="1"/>
  <c r="BK83" i="19"/>
  <c r="AK83" i="19"/>
  <c r="AK85" i="19" l="1"/>
  <c r="BK85" i="19"/>
  <c r="BK84" i="19"/>
  <c r="AK84" i="19"/>
  <c r="T55" i="14" l="1"/>
  <c r="R55" i="14"/>
  <c r="P92" i="15" l="1"/>
  <c r="R154" i="15" l="1"/>
  <c r="R153" i="15"/>
  <c r="R50" i="14" l="1"/>
  <c r="T50" i="14"/>
  <c r="R69" i="14"/>
  <c r="T69" i="14"/>
  <c r="F39" i="28"/>
  <c r="M39" i="28" s="1"/>
  <c r="T146" i="27"/>
  <c r="T154" i="27"/>
  <c r="I15" i="21"/>
  <c r="I87" i="21" s="1"/>
  <c r="V15" i="21"/>
  <c r="V87" i="21" s="1"/>
  <c r="F62" i="28" s="1"/>
  <c r="I16" i="21"/>
  <c r="I78" i="21" s="1"/>
  <c r="I19" i="21"/>
  <c r="I80" i="21" s="1"/>
  <c r="V19" i="21"/>
  <c r="V20" i="21" s="1"/>
  <c r="I23" i="21"/>
  <c r="V23" i="21"/>
  <c r="F36" i="28" s="1"/>
  <c r="I27" i="21"/>
  <c r="I89" i="21" s="1"/>
  <c r="V27" i="21"/>
  <c r="F28" i="28" s="1"/>
  <c r="I81" i="21"/>
  <c r="I32" i="15"/>
  <c r="I33" i="15"/>
  <c r="I35" i="15" s="1"/>
  <c r="V16" i="21" l="1"/>
  <c r="V78" i="21" s="1"/>
  <c r="F32" i="28"/>
  <c r="V81" i="21"/>
  <c r="F56" i="28" s="1"/>
  <c r="V92" i="21"/>
  <c r="F45" i="28" s="1"/>
  <c r="V88" i="21"/>
  <c r="F63" i="28" s="1"/>
  <c r="V80" i="21"/>
  <c r="F55" i="28" s="1"/>
  <c r="V79" i="21"/>
  <c r="F33" i="28"/>
  <c r="I28" i="21"/>
  <c r="I77" i="21" s="1"/>
  <c r="F9" i="22"/>
  <c r="I88" i="21"/>
  <c r="I92" i="21"/>
  <c r="V82" i="21"/>
  <c r="F57" i="28" s="1"/>
  <c r="V89" i="21"/>
  <c r="F64" i="28" s="1"/>
  <c r="V28" i="21"/>
  <c r="F7" i="22"/>
  <c r="I20" i="21"/>
  <c r="I79" i="21" s="1"/>
  <c r="I82" i="21"/>
  <c r="F29" i="28" l="1"/>
  <c r="V77" i="21"/>
  <c r="F8" i="22"/>
  <c r="F47" i="16" l="1"/>
  <c r="G47" i="16" s="1"/>
  <c r="Y157" i="14"/>
  <c r="Y162" i="14"/>
  <c r="Y170" i="14"/>
  <c r="V41" i="9"/>
  <c r="W41" i="9"/>
  <c r="X41" i="9"/>
  <c r="V67" i="9"/>
  <c r="W67" i="9"/>
  <c r="X67" i="9"/>
  <c r="V68" i="9"/>
  <c r="W68" i="9"/>
  <c r="X68" i="9"/>
  <c r="V69" i="9"/>
  <c r="W69" i="9"/>
  <c r="X69" i="9"/>
  <c r="V70" i="9"/>
  <c r="W70" i="9"/>
  <c r="X70" i="9"/>
  <c r="V71" i="9"/>
  <c r="W71" i="9"/>
  <c r="X71" i="9"/>
  <c r="V72" i="9"/>
  <c r="W72" i="9"/>
  <c r="X72" i="9"/>
  <c r="V73" i="9"/>
  <c r="W73" i="9"/>
  <c r="X73" i="9"/>
  <c r="Y86" i="9"/>
  <c r="Y102" i="14" s="1"/>
  <c r="V86" i="9"/>
  <c r="W86" i="9"/>
  <c r="X86" i="9"/>
  <c r="V97" i="9"/>
  <c r="W97" i="9"/>
  <c r="X97" i="9"/>
  <c r="Y97" i="9"/>
  <c r="Y111" i="14" s="1"/>
  <c r="V100" i="9"/>
  <c r="W100" i="9"/>
  <c r="X100" i="9"/>
  <c r="V155" i="9"/>
  <c r="W155" i="9" s="1"/>
  <c r="X155" i="9" s="1"/>
  <c r="Y155" i="9" s="1"/>
  <c r="V184" i="9"/>
  <c r="W184" i="9"/>
  <c r="M98" i="21" s="1"/>
  <c r="X184" i="9"/>
  <c r="K99" i="21"/>
  <c r="V185" i="9"/>
  <c r="L99" i="21" s="1"/>
  <c r="W185" i="9"/>
  <c r="M99" i="21" s="1"/>
  <c r="X185" i="9"/>
  <c r="N99" i="21" s="1"/>
  <c r="V186" i="9"/>
  <c r="L100" i="21" s="1"/>
  <c r="W186" i="9"/>
  <c r="M100" i="21" s="1"/>
  <c r="X186" i="9"/>
  <c r="N100" i="21" s="1"/>
  <c r="V188" i="9"/>
  <c r="W188" i="9"/>
  <c r="X188" i="9"/>
  <c r="V189" i="9"/>
  <c r="W189" i="9"/>
  <c r="X189" i="9"/>
  <c r="V190" i="9"/>
  <c r="W190" i="9"/>
  <c r="X190" i="9"/>
  <c r="V197" i="9"/>
  <c r="W197" i="9"/>
  <c r="X197" i="9"/>
  <c r="V202" i="9"/>
  <c r="W202" i="9"/>
  <c r="X202" i="9"/>
  <c r="V203" i="9"/>
  <c r="W203" i="9"/>
  <c r="X203" i="9"/>
  <c r="V216" i="9"/>
  <c r="W216" i="9"/>
  <c r="X216" i="9"/>
  <c r="V220" i="9"/>
  <c r="W220" i="9" s="1"/>
  <c r="W130" i="9" s="1"/>
  <c r="M42" i="21" s="1"/>
  <c r="K43" i="21"/>
  <c r="V234" i="9"/>
  <c r="W234" i="9"/>
  <c r="X234" i="9"/>
  <c r="V262" i="9"/>
  <c r="W262" i="9"/>
  <c r="X262" i="9"/>
  <c r="V274" i="9"/>
  <c r="V243" i="9" s="1"/>
  <c r="V242" i="9" s="1"/>
  <c r="V281" i="9" s="1"/>
  <c r="W274" i="9"/>
  <c r="W243" i="9" s="1"/>
  <c r="W242" i="9" s="1"/>
  <c r="W281" i="9" s="1"/>
  <c r="X274" i="9"/>
  <c r="X243" i="9" s="1"/>
  <c r="V275" i="9"/>
  <c r="V269" i="9" s="1"/>
  <c r="V292" i="9" s="1"/>
  <c r="W275" i="9"/>
  <c r="W269" i="9" s="1"/>
  <c r="W292" i="9" s="1"/>
  <c r="X275" i="9"/>
  <c r="X269" i="9" s="1"/>
  <c r="V297" i="9"/>
  <c r="V310" i="9" s="1"/>
  <c r="V92" i="9" s="1"/>
  <c r="W297" i="9"/>
  <c r="W310" i="9" s="1"/>
  <c r="W92" i="9" s="1"/>
  <c r="X297" i="9"/>
  <c r="X310" i="9" s="1"/>
  <c r="X92" i="9" s="1"/>
  <c r="V298" i="9"/>
  <c r="V311" i="9" s="1"/>
  <c r="V93" i="9" s="1"/>
  <c r="W298" i="9"/>
  <c r="W311" i="9" s="1"/>
  <c r="W93" i="9" s="1"/>
  <c r="X298" i="9"/>
  <c r="X311" i="9"/>
  <c r="X93" i="9" s="1"/>
  <c r="V62" i="27"/>
  <c r="W62" i="27"/>
  <c r="X62" i="27"/>
  <c r="V63" i="27"/>
  <c r="W63" i="27"/>
  <c r="X63" i="27"/>
  <c r="V64" i="27"/>
  <c r="W64" i="27"/>
  <c r="X64" i="27"/>
  <c r="V65" i="27"/>
  <c r="W65" i="27"/>
  <c r="X65" i="27"/>
  <c r="V66" i="27"/>
  <c r="W66" i="27"/>
  <c r="X66" i="27"/>
  <c r="V67" i="27"/>
  <c r="W67" i="27"/>
  <c r="X67" i="27"/>
  <c r="K42" i="21"/>
  <c r="K67" i="21"/>
  <c r="K41" i="15"/>
  <c r="L41" i="15"/>
  <c r="M41" i="15"/>
  <c r="G85" i="15"/>
  <c r="G9" i="16"/>
  <c r="G16" i="16"/>
  <c r="G17" i="16" s="1"/>
  <c r="O6" i="16" s="1"/>
  <c r="AB70" i="15" l="1"/>
  <c r="N67" i="21"/>
  <c r="L67" i="21"/>
  <c r="X220" i="9"/>
  <c r="Y220" i="9" s="1"/>
  <c r="M67" i="21"/>
  <c r="V187" i="9"/>
  <c r="Y274" i="9"/>
  <c r="V221" i="9"/>
  <c r="W221" i="9" s="1"/>
  <c r="L98" i="21"/>
  <c r="L101" i="21" s="1"/>
  <c r="K54" i="21"/>
  <c r="X292" i="9"/>
  <c r="AC269" i="9"/>
  <c r="AC292" i="9" s="1"/>
  <c r="AB269" i="9"/>
  <c r="AA269" i="9"/>
  <c r="AA256" i="9" s="1"/>
  <c r="W187" i="9"/>
  <c r="Y92" i="9"/>
  <c r="W256" i="9"/>
  <c r="W96" i="9"/>
  <c r="V96" i="9"/>
  <c r="Y96" i="9" s="1"/>
  <c r="Y93" i="9"/>
  <c r="X95" i="9"/>
  <c r="X242" i="9"/>
  <c r="X281" i="9" s="1"/>
  <c r="W291" i="9"/>
  <c r="W95" i="9"/>
  <c r="M101" i="21"/>
  <c r="X187" i="9"/>
  <c r="N98" i="21"/>
  <c r="N101" i="21" s="1"/>
  <c r="W67" i="21"/>
  <c r="Z155" i="9"/>
  <c r="J41" i="15"/>
  <c r="Y41" i="9"/>
  <c r="J43" i="15"/>
  <c r="X291" i="9"/>
  <c r="X96" i="9"/>
  <c r="X256" i="9"/>
  <c r="Y262" i="9"/>
  <c r="Y263" i="9" s="1"/>
  <c r="K70" i="15"/>
  <c r="Y243" i="9"/>
  <c r="Z220" i="9"/>
  <c r="K63" i="21"/>
  <c r="V291" i="9"/>
  <c r="V95" i="9"/>
  <c r="Y100" i="9"/>
  <c r="Y113" i="14" s="1"/>
  <c r="V130" i="9"/>
  <c r="L42" i="21" s="1"/>
  <c r="Y269" i="9"/>
  <c r="Z269" i="9"/>
  <c r="Y197" i="9"/>
  <c r="V256" i="9"/>
  <c r="V222" i="9" l="1"/>
  <c r="V223" i="9" s="1"/>
  <c r="V230" i="9" s="1"/>
  <c r="V81" i="9" s="1"/>
  <c r="K43" i="15" s="1"/>
  <c r="X130" i="9"/>
  <c r="V131" i="9"/>
  <c r="L43" i="21" s="1"/>
  <c r="Y281" i="9"/>
  <c r="AA96" i="9"/>
  <c r="AA292" i="9"/>
  <c r="V309" i="9"/>
  <c r="V312" i="9" s="1"/>
  <c r="Y95" i="9"/>
  <c r="AB96" i="9"/>
  <c r="AB292" i="9"/>
  <c r="AB256" i="9"/>
  <c r="AC256" i="9"/>
  <c r="AC96" i="9"/>
  <c r="Z292" i="9"/>
  <c r="Z256" i="9"/>
  <c r="AD269" i="9"/>
  <c r="Z96" i="9"/>
  <c r="Z130" i="9"/>
  <c r="O42" i="21" s="1"/>
  <c r="AA220" i="9"/>
  <c r="Y242" i="9"/>
  <c r="Y256" i="9"/>
  <c r="Y241" i="9"/>
  <c r="Y67" i="14"/>
  <c r="N41" i="15"/>
  <c r="AA155" i="9"/>
  <c r="O67" i="21"/>
  <c r="V151" i="9"/>
  <c r="V279" i="9"/>
  <c r="V282" i="9" s="1"/>
  <c r="Y130" i="9"/>
  <c r="W42" i="21" s="1"/>
  <c r="N42" i="21"/>
  <c r="W222" i="9"/>
  <c r="W223" i="9" s="1"/>
  <c r="W230" i="9" s="1"/>
  <c r="W81" i="9" s="1"/>
  <c r="W131" i="9"/>
  <c r="M43" i="21" s="1"/>
  <c r="X221" i="9"/>
  <c r="V142" i="9"/>
  <c r="V320" i="9"/>
  <c r="V322" i="9" s="1"/>
  <c r="W309" i="9"/>
  <c r="W312" i="9" s="1"/>
  <c r="K64" i="21"/>
  <c r="V261" i="9"/>
  <c r="V263" i="9" s="1"/>
  <c r="AD261" i="9"/>
  <c r="AD263" i="9" s="1"/>
  <c r="AE261" i="9" s="1"/>
  <c r="AE263" i="9" s="1"/>
  <c r="Z261" i="9"/>
  <c r="Z263" i="9" s="1"/>
  <c r="Y275" i="9"/>
  <c r="V208" i="9"/>
  <c r="K41" i="21"/>
  <c r="R70" i="15"/>
  <c r="N131" i="15"/>
  <c r="R278" i="15"/>
  <c r="AD96" i="9" l="1"/>
  <c r="AD256" i="9"/>
  <c r="AA130" i="9"/>
  <c r="P42" i="21" s="1"/>
  <c r="AB220" i="9"/>
  <c r="L54" i="21"/>
  <c r="W279" i="9"/>
  <c r="W282" i="9" s="1"/>
  <c r="V284" i="9"/>
  <c r="W151" i="9"/>
  <c r="L63" i="21"/>
  <c r="AB155" i="9"/>
  <c r="P67" i="21"/>
  <c r="AD292" i="9"/>
  <c r="AE269" i="9"/>
  <c r="AD275" i="9"/>
  <c r="L43" i="15"/>
  <c r="Z152" i="9"/>
  <c r="O64" i="21" s="1"/>
  <c r="AA261" i="9"/>
  <c r="AA263" i="9" s="1"/>
  <c r="J38" i="15"/>
  <c r="N209" i="15"/>
  <c r="R209" i="15" s="1"/>
  <c r="R131" i="15"/>
  <c r="AF261" i="9"/>
  <c r="AF263" i="9" s="1"/>
  <c r="AE152" i="9"/>
  <c r="Y64" i="21" s="1"/>
  <c r="W320" i="9"/>
  <c r="W322" i="9" s="1"/>
  <c r="X309" i="9"/>
  <c r="X312" i="9" s="1"/>
  <c r="W142" i="9"/>
  <c r="M54" i="21" s="1"/>
  <c r="V210" i="9"/>
  <c r="V152" i="9"/>
  <c r="L64" i="21" s="1"/>
  <c r="W261" i="9"/>
  <c r="W263" i="9" s="1"/>
  <c r="X131" i="9"/>
  <c r="Y221" i="9"/>
  <c r="X222" i="9"/>
  <c r="X223" i="9" s="1"/>
  <c r="X230" i="9" s="1"/>
  <c r="X81" i="9" s="1"/>
  <c r="M43" i="15" s="1"/>
  <c r="W152" i="9" l="1"/>
  <c r="M64" i="21" s="1"/>
  <c r="X261" i="9"/>
  <c r="X263" i="9" s="1"/>
  <c r="X152" i="9" s="1"/>
  <c r="AE96" i="9"/>
  <c r="AE256" i="9"/>
  <c r="AE292" i="9"/>
  <c r="AF269" i="9"/>
  <c r="X320" i="9"/>
  <c r="X322" i="9" s="1"/>
  <c r="X142" i="9"/>
  <c r="Z309" i="9"/>
  <c r="Z312" i="9" s="1"/>
  <c r="AB130" i="9"/>
  <c r="Q42" i="21" s="1"/>
  <c r="AC220" i="9"/>
  <c r="Z221" i="9"/>
  <c r="Y234" i="9"/>
  <c r="Y133" i="14" s="1"/>
  <c r="Y222" i="9"/>
  <c r="Y223" i="9" s="1"/>
  <c r="Y230" i="9" s="1"/>
  <c r="Y131" i="9"/>
  <c r="W43" i="21" s="1"/>
  <c r="N43" i="21"/>
  <c r="M63" i="21"/>
  <c r="X151" i="9"/>
  <c r="Y81" i="9"/>
  <c r="N43" i="15" s="1"/>
  <c r="Q67" i="21"/>
  <c r="AC155" i="9"/>
  <c r="V286" i="9"/>
  <c r="V268" i="9"/>
  <c r="V266" i="9" s="1"/>
  <c r="V267" i="9" s="1"/>
  <c r="V212" i="9"/>
  <c r="AG261" i="9"/>
  <c r="AG263" i="9" s="1"/>
  <c r="AG152" i="9" s="1"/>
  <c r="AA64" i="21" s="1"/>
  <c r="AF152" i="9"/>
  <c r="Z64" i="21" s="1"/>
  <c r="AB261" i="9"/>
  <c r="AB263" i="9" s="1"/>
  <c r="AA152" i="9"/>
  <c r="P64" i="21" s="1"/>
  <c r="W284" i="9"/>
  <c r="W286" i="9" s="1"/>
  <c r="X279" i="9"/>
  <c r="X282" i="9" s="1"/>
  <c r="Y142" i="9" l="1"/>
  <c r="N54" i="21"/>
  <c r="AD155" i="9"/>
  <c r="R67" i="21"/>
  <c r="AF96" i="9"/>
  <c r="AF256" i="9"/>
  <c r="AG269" i="9"/>
  <c r="AF292" i="9"/>
  <c r="Y282" i="9"/>
  <c r="X284" i="9"/>
  <c r="W268" i="9"/>
  <c r="W266" i="9" s="1"/>
  <c r="W267" i="9" s="1"/>
  <c r="AB152" i="9"/>
  <c r="Q64" i="21" s="1"/>
  <c r="AC261" i="9"/>
  <c r="AC263" i="9" s="1"/>
  <c r="AC152" i="9" s="1"/>
  <c r="AA221" i="9"/>
  <c r="Z131" i="9"/>
  <c r="O43" i="21" s="1"/>
  <c r="Z222" i="9"/>
  <c r="Z223" i="9" s="1"/>
  <c r="Z230" i="9" s="1"/>
  <c r="Z81" i="9" s="1"/>
  <c r="AD220" i="9"/>
  <c r="AC130" i="9"/>
  <c r="Y152" i="9"/>
  <c r="W64" i="21" s="1"/>
  <c r="N64" i="21"/>
  <c r="Y151" i="9"/>
  <c r="N63" i="21"/>
  <c r="W208" i="9"/>
  <c r="V129" i="9"/>
  <c r="L41" i="21" s="1"/>
  <c r="AA309" i="9"/>
  <c r="AA312" i="9" s="1"/>
  <c r="Z320" i="9"/>
  <c r="Z322" i="9" s="1"/>
  <c r="Z142" i="9"/>
  <c r="O54" i="21" s="1"/>
  <c r="W54" i="21" l="1"/>
  <c r="Y312" i="9"/>
  <c r="Z151" i="9"/>
  <c r="W63" i="21"/>
  <c r="X286" i="9"/>
  <c r="Y286" i="9" s="1"/>
  <c r="X268" i="9"/>
  <c r="X266" i="9" s="1"/>
  <c r="X267" i="9" s="1"/>
  <c r="F34" i="12" s="1"/>
  <c r="Z279" i="9"/>
  <c r="Z282" i="9" s="1"/>
  <c r="AD279" i="9"/>
  <c r="AD282" i="9" s="1"/>
  <c r="AE279" i="9" s="1"/>
  <c r="AE282" i="9" s="1"/>
  <c r="AG96" i="9"/>
  <c r="AG256" i="9"/>
  <c r="AG292" i="9"/>
  <c r="AA131" i="9"/>
  <c r="P43" i="21" s="1"/>
  <c r="AB221" i="9"/>
  <c r="AA222" i="9"/>
  <c r="AA223" i="9" s="1"/>
  <c r="AA230" i="9" s="1"/>
  <c r="AA81" i="9" s="1"/>
  <c r="AB309" i="9"/>
  <c r="AB312" i="9" s="1"/>
  <c r="AA142" i="9"/>
  <c r="P54" i="21" s="1"/>
  <c r="AA320" i="9"/>
  <c r="AA322" i="9" s="1"/>
  <c r="AD152" i="9"/>
  <c r="X64" i="21" s="1"/>
  <c r="R64" i="21"/>
  <c r="AE155" i="9"/>
  <c r="X67" i="21"/>
  <c r="N135" i="15"/>
  <c r="R135" i="15"/>
  <c r="K74" i="15"/>
  <c r="R74" i="15" s="1"/>
  <c r="N213" i="15"/>
  <c r="R213" i="15" s="1"/>
  <c r="M7" i="16"/>
  <c r="C7" i="15"/>
  <c r="E7" i="15" s="1"/>
  <c r="AB74" i="15"/>
  <c r="R282" i="15"/>
  <c r="R42" i="21"/>
  <c r="AD130" i="9"/>
  <c r="X42" i="21" s="1"/>
  <c r="AE220" i="9"/>
  <c r="W210" i="9"/>
  <c r="W212" i="9" s="1"/>
  <c r="Y284" i="9"/>
  <c r="Y268" i="9" s="1"/>
  <c r="Y266" i="9" s="1"/>
  <c r="Y267" i="9" s="1"/>
  <c r="Y311" i="9" l="1"/>
  <c r="Y310" i="9"/>
  <c r="X208" i="9"/>
  <c r="W129" i="9"/>
  <c r="M41" i="21" s="1"/>
  <c r="AB142" i="9"/>
  <c r="Q54" i="21" s="1"/>
  <c r="AC309" i="9"/>
  <c r="AC312" i="9" s="1"/>
  <c r="AB320" i="9"/>
  <c r="AB322" i="9" s="1"/>
  <c r="AD309" i="9"/>
  <c r="AD312" i="9" s="1"/>
  <c r="AD320" i="9" s="1"/>
  <c r="AD322" i="9" s="1"/>
  <c r="AF220" i="9"/>
  <c r="AE130" i="9"/>
  <c r="Y42" i="21" s="1"/>
  <c r="AA279" i="9"/>
  <c r="AA282" i="9" s="1"/>
  <c r="Z284" i="9"/>
  <c r="Y285" i="9"/>
  <c r="AC221" i="9"/>
  <c r="AB131" i="9"/>
  <c r="Q43" i="21" s="1"/>
  <c r="AB222" i="9"/>
  <c r="AB223" i="9" s="1"/>
  <c r="AB230" i="9" s="1"/>
  <c r="AB81" i="9" s="1"/>
  <c r="AA151" i="9"/>
  <c r="O63" i="21"/>
  <c r="AF155" i="9"/>
  <c r="Y67" i="21"/>
  <c r="AF279" i="9"/>
  <c r="AF282" i="9" s="1"/>
  <c r="AE284" i="9"/>
  <c r="Z268" i="9" l="1"/>
  <c r="Z266" i="9" s="1"/>
  <c r="Z267" i="9" s="1"/>
  <c r="Z286" i="9"/>
  <c r="AD221" i="9"/>
  <c r="AC131" i="9"/>
  <c r="AC222" i="9"/>
  <c r="AC223" i="9" s="1"/>
  <c r="AC230" i="9" s="1"/>
  <c r="AC81" i="9" s="1"/>
  <c r="AD81" i="9" s="1"/>
  <c r="O43" i="15" s="1"/>
  <c r="AC142" i="9"/>
  <c r="AE309" i="9"/>
  <c r="AE312" i="9" s="1"/>
  <c r="AC320" i="9"/>
  <c r="AC322" i="9" s="1"/>
  <c r="Z67" i="21"/>
  <c r="AG155" i="9"/>
  <c r="AA67" i="21" s="1"/>
  <c r="AA284" i="9"/>
  <c r="AB279" i="9"/>
  <c r="AB282" i="9" s="1"/>
  <c r="AB151" i="9"/>
  <c r="P63" i="21"/>
  <c r="AF130" i="9"/>
  <c r="Z42" i="21" s="1"/>
  <c r="AG220" i="9"/>
  <c r="AE268" i="9"/>
  <c r="AE266" i="9" s="1"/>
  <c r="AE267" i="9" s="1"/>
  <c r="AE286" i="9"/>
  <c r="X210" i="9"/>
  <c r="Y210" i="9" s="1"/>
  <c r="AF284" i="9"/>
  <c r="AG279" i="9"/>
  <c r="AG282" i="9" s="1"/>
  <c r="AG284" i="9" s="1"/>
  <c r="X212" i="9" l="1"/>
  <c r="Y216" i="9" s="1"/>
  <c r="Y90" i="14" s="1"/>
  <c r="AD142" i="9"/>
  <c r="X54" i="21" s="1"/>
  <c r="R54" i="21"/>
  <c r="AG268" i="9"/>
  <c r="AG266" i="9" s="1"/>
  <c r="AG267" i="9" s="1"/>
  <c r="AG286" i="9"/>
  <c r="AE142" i="9"/>
  <c r="Y54" i="21" s="1"/>
  <c r="AE320" i="9"/>
  <c r="AE322" i="9" s="1"/>
  <c r="AF309" i="9"/>
  <c r="AF312" i="9" s="1"/>
  <c r="X129" i="9"/>
  <c r="AC279" i="9"/>
  <c r="AC282" i="9" s="1"/>
  <c r="AC284" i="9" s="1"/>
  <c r="AB284" i="9"/>
  <c r="AD131" i="9"/>
  <c r="X43" i="21" s="1"/>
  <c r="R43" i="21"/>
  <c r="AF268" i="9"/>
  <c r="AF266" i="9" s="1"/>
  <c r="AF267" i="9" s="1"/>
  <c r="AF286" i="9"/>
  <c r="AD234" i="9"/>
  <c r="AD133" i="14" s="1"/>
  <c r="AE221" i="9"/>
  <c r="AD222" i="9"/>
  <c r="AD223" i="9" s="1"/>
  <c r="AD230" i="9" s="1"/>
  <c r="AA268" i="9"/>
  <c r="AA266" i="9" s="1"/>
  <c r="AA267" i="9" s="1"/>
  <c r="AA286" i="9"/>
  <c r="AG130" i="9"/>
  <c r="AA42" i="21" s="1"/>
  <c r="AC151" i="9"/>
  <c r="Q63" i="21"/>
  <c r="Y212" i="9" l="1"/>
  <c r="Z208" i="9" s="1"/>
  <c r="AD284" i="9"/>
  <c r="AD268" i="9" s="1"/>
  <c r="AD266" i="9" s="1"/>
  <c r="AD267" i="9" s="1"/>
  <c r="AC268" i="9"/>
  <c r="AC266" i="9" s="1"/>
  <c r="AC267" i="9" s="1"/>
  <c r="AC286" i="9"/>
  <c r="AD286" i="9" s="1"/>
  <c r="AD285" i="9" s="1"/>
  <c r="Z210" i="9"/>
  <c r="Z212" i="9" s="1"/>
  <c r="AD208" i="9"/>
  <c r="AG309" i="9"/>
  <c r="AG312" i="9" s="1"/>
  <c r="AF142" i="9"/>
  <c r="Z54" i="21" s="1"/>
  <c r="AF320" i="9"/>
  <c r="AF322" i="9" s="1"/>
  <c r="AB268" i="9"/>
  <c r="AB266" i="9" s="1"/>
  <c r="AB267" i="9" s="1"/>
  <c r="AB286" i="9"/>
  <c r="N41" i="21"/>
  <c r="Y129" i="9"/>
  <c r="W41" i="21" s="1"/>
  <c r="AD151" i="9"/>
  <c r="R63" i="21"/>
  <c r="AE131" i="9"/>
  <c r="Y43" i="21" s="1"/>
  <c r="AF221" i="9"/>
  <c r="AE222" i="9"/>
  <c r="AE223" i="9" s="1"/>
  <c r="AE230" i="9" s="1"/>
  <c r="AE81" i="9" s="1"/>
  <c r="P43" i="15" s="1"/>
  <c r="AA208" i="9" l="1"/>
  <c r="Z129" i="9"/>
  <c r="O41" i="21" s="1"/>
  <c r="X63" i="21"/>
  <c r="AE151" i="9"/>
  <c r="AF131" i="9"/>
  <c r="Z43" i="21" s="1"/>
  <c r="AG221" i="9"/>
  <c r="AF222" i="9"/>
  <c r="AF223" i="9" s="1"/>
  <c r="AF230" i="9" s="1"/>
  <c r="AF81" i="9" s="1"/>
  <c r="Q43" i="15" s="1"/>
  <c r="AG142" i="9"/>
  <c r="AA54" i="21" s="1"/>
  <c r="AG320" i="9"/>
  <c r="AG322" i="9" s="1"/>
  <c r="AG131" i="9" l="1"/>
  <c r="AA43" i="21" s="1"/>
  <c r="AG222" i="9"/>
  <c r="AG223" i="9" s="1"/>
  <c r="AG230" i="9" s="1"/>
  <c r="AG81" i="9" s="1"/>
  <c r="R43" i="15" s="1"/>
  <c r="AF151" i="9"/>
  <c r="Y63" i="21"/>
  <c r="AA210" i="9"/>
  <c r="AA212" i="9" l="1"/>
  <c r="Z63" i="21"/>
  <c r="AG151" i="9"/>
  <c r="AA63" i="21" s="1"/>
  <c r="AB208" i="9" l="1"/>
  <c r="AA129" i="9"/>
  <c r="P41" i="21" s="1"/>
  <c r="AB210" i="9" l="1"/>
  <c r="AB212" i="9" l="1"/>
  <c r="AB129" i="9" l="1"/>
  <c r="Q41" i="21" s="1"/>
  <c r="AC208" i="9"/>
  <c r="AC210" i="9" l="1"/>
  <c r="AD210" i="9" s="1"/>
  <c r="AC212" i="9" l="1"/>
  <c r="AD216" i="9"/>
  <c r="AD90" i="14" s="1"/>
  <c r="AC129" i="9"/>
  <c r="AD212" i="9"/>
  <c r="AE208" i="9" s="1"/>
  <c r="R41" i="21" l="1"/>
  <c r="AD129" i="9"/>
  <c r="X41" i="21" s="1"/>
  <c r="AE210" i="9"/>
  <c r="AE212" i="9" s="1"/>
  <c r="AF208" i="9" l="1"/>
  <c r="AE129" i="9"/>
  <c r="Y41" i="21" s="1"/>
  <c r="AF210" i="9" l="1"/>
  <c r="AF212" i="9" s="1"/>
  <c r="AF129" i="9" l="1"/>
  <c r="Z41" i="21" s="1"/>
  <c r="AG208" i="9"/>
  <c r="AG210" i="9" l="1"/>
  <c r="AG212" i="9" s="1"/>
  <c r="AG129" i="9" s="1"/>
  <c r="AA41" i="21" s="1"/>
  <c r="M23" i="17" l="1"/>
  <c r="M65" i="17" s="1"/>
  <c r="P23" i="17"/>
  <c r="P65" i="17" s="1"/>
  <c r="AI23" i="17"/>
  <c r="AI65" i="17" s="1"/>
  <c r="AL23" i="17"/>
  <c r="AL65" i="17" s="1"/>
  <c r="BE23" i="17"/>
  <c r="BE65" i="17" s="1"/>
  <c r="BH23" i="17"/>
  <c r="BH65" i="17" s="1"/>
  <c r="F25" i="12"/>
  <c r="N8" i="17" s="1"/>
  <c r="N49" i="17" s="1"/>
  <c r="J24" i="9"/>
  <c r="H7" i="25"/>
  <c r="K10" i="25" s="1"/>
  <c r="K40" i="25" s="1"/>
  <c r="H7" i="24"/>
  <c r="J10" i="24" s="1"/>
  <c r="M10" i="24" s="1"/>
  <c r="U4" i="21"/>
  <c r="I29" i="15"/>
  <c r="H29" i="15" s="1"/>
  <c r="G29" i="15" s="1"/>
  <c r="G28" i="15" s="1"/>
  <c r="J29" i="15" l="1"/>
  <c r="M40" i="24"/>
  <c r="M24" i="24"/>
  <c r="N50" i="15"/>
  <c r="T8" i="17"/>
  <c r="T49" i="17" s="1"/>
  <c r="R8" i="17"/>
  <c r="R49" i="17" s="1"/>
  <c r="I28" i="15"/>
  <c r="H5" i="25"/>
  <c r="L10" i="25" s="1"/>
  <c r="P8" i="17"/>
  <c r="P49" i="17" s="1"/>
  <c r="H28" i="15"/>
  <c r="L8" i="17"/>
  <c r="L49" i="17" s="1"/>
  <c r="J8" i="17"/>
  <c r="BN8" i="17" s="1"/>
  <c r="BN49" i="17" s="1"/>
  <c r="AF8" i="17"/>
  <c r="AF49" i="17" s="1"/>
  <c r="H5" i="24"/>
  <c r="V8" i="17"/>
  <c r="V49" i="17" s="1"/>
  <c r="J25" i="9"/>
  <c r="T4" i="21"/>
  <c r="I24" i="9"/>
  <c r="N24" i="9"/>
  <c r="O25" i="9"/>
  <c r="T24" i="9"/>
  <c r="J24" i="24"/>
  <c r="J40" i="24"/>
  <c r="O10" i="25"/>
  <c r="K24" i="25"/>
  <c r="BB8" i="17"/>
  <c r="BB49" i="17" s="1"/>
  <c r="C40" i="25" l="1"/>
  <c r="C24" i="25"/>
  <c r="BD8" i="17"/>
  <c r="BD49" i="17" s="1"/>
  <c r="BH8" i="17"/>
  <c r="BH49" i="17" s="1"/>
  <c r="AH8" i="17"/>
  <c r="AH49" i="17" s="1"/>
  <c r="BL8" i="17"/>
  <c r="BL49" i="17" s="1"/>
  <c r="BJ8" i="17"/>
  <c r="BJ49" i="17" s="1"/>
  <c r="BF8" i="17"/>
  <c r="BF49" i="17" s="1"/>
  <c r="J28" i="15"/>
  <c r="J27" i="15" s="1"/>
  <c r="K29" i="15"/>
  <c r="C24" i="24"/>
  <c r="H6" i="24"/>
  <c r="C40" i="24"/>
  <c r="C10" i="24"/>
  <c r="K10" i="24"/>
  <c r="J49" i="17"/>
  <c r="AN8" i="17"/>
  <c r="AN49" i="17" s="1"/>
  <c r="AL8" i="17"/>
  <c r="AL49" i="17" s="1"/>
  <c r="AJ8" i="17"/>
  <c r="AJ49" i="17" s="1"/>
  <c r="AP8" i="17"/>
  <c r="AP49" i="17" s="1"/>
  <c r="AR8" i="17"/>
  <c r="AR49" i="17" s="1"/>
  <c r="O50" i="15"/>
  <c r="N51" i="15"/>
  <c r="H6" i="25"/>
  <c r="C10" i="25"/>
  <c r="H10" i="25"/>
  <c r="M24" i="9"/>
  <c r="N25" i="9"/>
  <c r="I25" i="9"/>
  <c r="H24" i="9"/>
  <c r="O115" i="14"/>
  <c r="O167" i="14"/>
  <c r="O74" i="14"/>
  <c r="O64" i="9"/>
  <c r="O4" i="14"/>
  <c r="O28" i="8"/>
  <c r="U6" i="21"/>
  <c r="S24" i="9"/>
  <c r="Y24" i="9"/>
  <c r="Y25" i="9" s="1"/>
  <c r="V4" i="21"/>
  <c r="T25" i="9"/>
  <c r="O40" i="25"/>
  <c r="O24" i="25"/>
  <c r="P10" i="25"/>
  <c r="L24" i="25"/>
  <c r="L40" i="25"/>
  <c r="J115" i="14"/>
  <c r="J28" i="8"/>
  <c r="J4" i="14"/>
  <c r="J167" i="14"/>
  <c r="T6" i="21"/>
  <c r="J74" i="14"/>
  <c r="J64" i="9"/>
  <c r="K28" i="15" l="1"/>
  <c r="K27" i="15" s="1"/>
  <c r="L29" i="15"/>
  <c r="K40" i="24"/>
  <c r="K24" i="24"/>
  <c r="N10" i="24"/>
  <c r="P50" i="15"/>
  <c r="O51" i="15"/>
  <c r="H24" i="25"/>
  <c r="H40" i="25"/>
  <c r="J162" i="9"/>
  <c r="J218" i="9"/>
  <c r="J277" i="9"/>
  <c r="J206" i="9"/>
  <c r="J236" i="9"/>
  <c r="J120" i="9"/>
  <c r="J75" i="9"/>
  <c r="J192" i="9"/>
  <c r="J288" i="9"/>
  <c r="J5" i="27"/>
  <c r="AC23" i="21"/>
  <c r="M36" i="28" s="1"/>
  <c r="AC15" i="21"/>
  <c r="AC27" i="21"/>
  <c r="M28" i="28" s="1"/>
  <c r="AC8" i="21"/>
  <c r="M21" i="28" s="1"/>
  <c r="AC11" i="21"/>
  <c r="M24" i="28" s="1"/>
  <c r="AC19" i="21"/>
  <c r="M32" i="28" s="1"/>
  <c r="D6" i="22"/>
  <c r="D30" i="22" s="1"/>
  <c r="T73" i="21"/>
  <c r="T32" i="21"/>
  <c r="I115" i="14"/>
  <c r="I4" i="14"/>
  <c r="I28" i="8"/>
  <c r="I74" i="14"/>
  <c r="I64" i="9"/>
  <c r="I167" i="14"/>
  <c r="E6" i="22"/>
  <c r="E30" i="22" s="1"/>
  <c r="E19" i="28"/>
  <c r="E43" i="28" s="1"/>
  <c r="U73" i="21"/>
  <c r="U32" i="21"/>
  <c r="O163" i="8"/>
  <c r="O89" i="8"/>
  <c r="O51" i="8"/>
  <c r="P40" i="25"/>
  <c r="P24" i="25"/>
  <c r="N4" i="14"/>
  <c r="N167" i="14"/>
  <c r="N74" i="14"/>
  <c r="N64" i="9"/>
  <c r="N115" i="14"/>
  <c r="N28" i="8"/>
  <c r="J89" i="8"/>
  <c r="J51" i="8"/>
  <c r="J163" i="8"/>
  <c r="O236" i="9"/>
  <c r="O277" i="9"/>
  <c r="O75" i="9"/>
  <c r="O162" i="9"/>
  <c r="O206" i="9"/>
  <c r="O288" i="9"/>
  <c r="O120" i="9"/>
  <c r="O192" i="9"/>
  <c r="O218" i="9"/>
  <c r="O5" i="27"/>
  <c r="G24" i="9"/>
  <c r="H25" i="9"/>
  <c r="L24" i="9"/>
  <c r="M25" i="9"/>
  <c r="X24" i="9"/>
  <c r="AD24" i="9"/>
  <c r="W4" i="21"/>
  <c r="R24" i="9"/>
  <c r="S25" i="9"/>
  <c r="T74" i="14"/>
  <c r="T64" i="9"/>
  <c r="T167" i="14"/>
  <c r="T28" i="8"/>
  <c r="T4" i="14"/>
  <c r="T115" i="14"/>
  <c r="V6" i="21"/>
  <c r="L28" i="15" l="1"/>
  <c r="L27" i="15" s="1"/>
  <c r="M29" i="15"/>
  <c r="P51" i="15"/>
  <c r="Q50" i="15"/>
  <c r="N24" i="24"/>
  <c r="N40" i="24"/>
  <c r="AE24" i="9"/>
  <c r="AD25" i="9"/>
  <c r="AC24" i="9"/>
  <c r="X4" i="21"/>
  <c r="R25" i="28"/>
  <c r="Y74" i="14"/>
  <c r="Y64" i="9"/>
  <c r="Y28" i="8"/>
  <c r="Y167" i="14"/>
  <c r="W6" i="21"/>
  <c r="Y115" i="14"/>
  <c r="Y4" i="14"/>
  <c r="N277" i="9"/>
  <c r="N206" i="9"/>
  <c r="N162" i="9"/>
  <c r="N288" i="9"/>
  <c r="N192" i="9"/>
  <c r="N236" i="9"/>
  <c r="N218" i="9"/>
  <c r="N75" i="9"/>
  <c r="N120" i="9"/>
  <c r="N5" i="27"/>
  <c r="I162" i="9"/>
  <c r="I75" i="9"/>
  <c r="I218" i="9"/>
  <c r="I206" i="9"/>
  <c r="I236" i="9"/>
  <c r="I120" i="9"/>
  <c r="I277" i="9"/>
  <c r="I192" i="9"/>
  <c r="I5" i="27"/>
  <c r="I288" i="9"/>
  <c r="L30" i="22"/>
  <c r="D50" i="22"/>
  <c r="N163" i="8"/>
  <c r="N89" i="8"/>
  <c r="N51" i="8"/>
  <c r="X25" i="9"/>
  <c r="W24" i="9"/>
  <c r="K24" i="9"/>
  <c r="K25" i="9" s="1"/>
  <c r="L25" i="9"/>
  <c r="T192" i="9"/>
  <c r="T120" i="9"/>
  <c r="T162" i="9"/>
  <c r="T277" i="9"/>
  <c r="T218" i="9"/>
  <c r="T288" i="9"/>
  <c r="T5" i="27"/>
  <c r="T75" i="9"/>
  <c r="T236" i="9"/>
  <c r="T206" i="9"/>
  <c r="S74" i="14"/>
  <c r="S64" i="9"/>
  <c r="S167" i="14"/>
  <c r="S28" i="8"/>
  <c r="J6" i="21"/>
  <c r="S4" i="14"/>
  <c r="S115" i="14"/>
  <c r="F6" i="22"/>
  <c r="F30" i="22" s="1"/>
  <c r="F19" i="28"/>
  <c r="F43" i="28" s="1"/>
  <c r="V32" i="21"/>
  <c r="V73" i="21"/>
  <c r="I89" i="8"/>
  <c r="I51" i="8"/>
  <c r="I163" i="8"/>
  <c r="T57" i="21"/>
  <c r="T59" i="21" s="1"/>
  <c r="T70" i="21" s="1"/>
  <c r="Q24" i="9"/>
  <c r="R25" i="9"/>
  <c r="M4" i="14"/>
  <c r="M167" i="14"/>
  <c r="M28" i="8"/>
  <c r="M74" i="14"/>
  <c r="M64" i="9"/>
  <c r="M115" i="14"/>
  <c r="H28" i="8"/>
  <c r="H115" i="14"/>
  <c r="H167" i="14"/>
  <c r="H4" i="14"/>
  <c r="H74" i="14"/>
  <c r="H64" i="9"/>
  <c r="F24" i="9"/>
  <c r="F25" i="9" s="1"/>
  <c r="G25" i="9"/>
  <c r="E50" i="22"/>
  <c r="M30" i="22"/>
  <c r="T89" i="8"/>
  <c r="T163" i="8"/>
  <c r="T51" i="8"/>
  <c r="U57" i="21" l="1"/>
  <c r="U59" i="21" s="1"/>
  <c r="U70" i="21" s="1"/>
  <c r="M28" i="15"/>
  <c r="M27" i="15" s="1"/>
  <c r="N29" i="15"/>
  <c r="Q51" i="15"/>
  <c r="R50" i="15"/>
  <c r="R51" i="15" s="1"/>
  <c r="S51" i="8"/>
  <c r="S89" i="8"/>
  <c r="S163" i="8"/>
  <c r="Q25" i="9"/>
  <c r="P24" i="9"/>
  <c r="P25" i="9" s="1"/>
  <c r="V57" i="21" s="1"/>
  <c r="V59" i="21" s="1"/>
  <c r="V70" i="21" s="1"/>
  <c r="Y288" i="9"/>
  <c r="Y75" i="9"/>
  <c r="Y218" i="9"/>
  <c r="Y192" i="9"/>
  <c r="Y120" i="9"/>
  <c r="Y5" i="27"/>
  <c r="Y277" i="9"/>
  <c r="Y206" i="9"/>
  <c r="Y162" i="9"/>
  <c r="Y236" i="9"/>
  <c r="E70" i="22"/>
  <c r="W25" i="9"/>
  <c r="V24" i="9"/>
  <c r="J73" i="21"/>
  <c r="J32" i="21"/>
  <c r="M277" i="9"/>
  <c r="M206" i="9"/>
  <c r="M162" i="9"/>
  <c r="M288" i="9"/>
  <c r="M192" i="9"/>
  <c r="M218" i="9"/>
  <c r="M236" i="9"/>
  <c r="M120" i="9"/>
  <c r="M75" i="9"/>
  <c r="M5" i="27"/>
  <c r="D70" i="22"/>
  <c r="S192" i="9"/>
  <c r="S120" i="9"/>
  <c r="S277" i="9"/>
  <c r="S206" i="9"/>
  <c r="S162" i="9"/>
  <c r="S236" i="9"/>
  <c r="S288" i="9"/>
  <c r="S5" i="27"/>
  <c r="S75" i="9"/>
  <c r="S218" i="9"/>
  <c r="L50" i="22"/>
  <c r="R74" i="14"/>
  <c r="R64" i="9"/>
  <c r="R167" i="14"/>
  <c r="R4" i="14"/>
  <c r="I6" i="21"/>
  <c r="R115" i="14"/>
  <c r="R28" i="8"/>
  <c r="G19" i="28"/>
  <c r="G43" i="28" s="1"/>
  <c r="G6" i="22"/>
  <c r="G30" i="22" s="1"/>
  <c r="W32" i="21"/>
  <c r="W73" i="21"/>
  <c r="M50" i="22"/>
  <c r="AC25" i="9"/>
  <c r="AB24" i="9"/>
  <c r="H51" i="8"/>
  <c r="H89" i="8"/>
  <c r="H163" i="8"/>
  <c r="M163" i="8"/>
  <c r="M89" i="8"/>
  <c r="M51" i="8"/>
  <c r="H162" i="9"/>
  <c r="H288" i="9"/>
  <c r="H206" i="9"/>
  <c r="H236" i="9"/>
  <c r="H5" i="27"/>
  <c r="H218" i="9"/>
  <c r="H75" i="9"/>
  <c r="H277" i="9"/>
  <c r="H192" i="9"/>
  <c r="H120" i="9"/>
  <c r="L4" i="14"/>
  <c r="L115" i="14"/>
  <c r="L167" i="14"/>
  <c r="L74" i="14"/>
  <c r="L64" i="9"/>
  <c r="L28" i="8"/>
  <c r="AD115" i="14"/>
  <c r="AD4" i="14"/>
  <c r="AD74" i="14"/>
  <c r="AD64" i="9"/>
  <c r="AD28" i="8"/>
  <c r="X6" i="21"/>
  <c r="AD167" i="14"/>
  <c r="X167" i="14"/>
  <c r="X74" i="14"/>
  <c r="X64" i="9"/>
  <c r="X115" i="14"/>
  <c r="X28" i="8"/>
  <c r="N6" i="21"/>
  <c r="X4" i="14"/>
  <c r="Y51" i="8"/>
  <c r="Y89" i="8"/>
  <c r="Y163" i="8"/>
  <c r="G167" i="14"/>
  <c r="G28" i="8"/>
  <c r="G115" i="14"/>
  <c r="G4" i="14"/>
  <c r="G74" i="14"/>
  <c r="G64" i="9"/>
  <c r="F28" i="8"/>
  <c r="D51" i="22" s="1"/>
  <c r="F4" i="14"/>
  <c r="F115" i="14"/>
  <c r="F74" i="14"/>
  <c r="F64" i="9"/>
  <c r="F167" i="14"/>
  <c r="J35" i="24"/>
  <c r="J31" i="24"/>
  <c r="J42" i="24"/>
  <c r="J30" i="24"/>
  <c r="K30" i="25"/>
  <c r="J32" i="24"/>
  <c r="K37" i="25"/>
  <c r="K27" i="25"/>
  <c r="F50" i="22"/>
  <c r="N30" i="22"/>
  <c r="K4" i="14"/>
  <c r="K115" i="14"/>
  <c r="K167" i="14"/>
  <c r="K28" i="8"/>
  <c r="K74" i="14"/>
  <c r="K64" i="9"/>
  <c r="AF24" i="9"/>
  <c r="AE25" i="9"/>
  <c r="Y4" i="21"/>
  <c r="K29" i="25" l="1"/>
  <c r="J44" i="24"/>
  <c r="J34" i="24"/>
  <c r="J27" i="24"/>
  <c r="K17" i="25"/>
  <c r="K36" i="25"/>
  <c r="K31" i="25"/>
  <c r="J14" i="24"/>
  <c r="K13" i="25"/>
  <c r="K28" i="25"/>
  <c r="K33" i="25"/>
  <c r="K32" i="25"/>
  <c r="J28" i="24"/>
  <c r="K15" i="25"/>
  <c r="K19" i="25"/>
  <c r="K26" i="25"/>
  <c r="J17" i="24"/>
  <c r="J29" i="24"/>
  <c r="J21" i="24"/>
  <c r="J36" i="24"/>
  <c r="K12" i="25"/>
  <c r="K42" i="25"/>
  <c r="J33" i="24"/>
  <c r="J26" i="24"/>
  <c r="J37" i="24"/>
  <c r="K35" i="25"/>
  <c r="K21" i="25"/>
  <c r="J15" i="24"/>
  <c r="J13" i="24"/>
  <c r="J43" i="24"/>
  <c r="J19" i="24"/>
  <c r="J12" i="24"/>
  <c r="K44" i="25"/>
  <c r="K34" i="25"/>
  <c r="K43" i="25"/>
  <c r="K14" i="25"/>
  <c r="E51" i="22"/>
  <c r="E52" i="22" s="1"/>
  <c r="N28" i="15"/>
  <c r="O29" i="15"/>
  <c r="L31" i="22"/>
  <c r="M31" i="22"/>
  <c r="M51" i="22"/>
  <c r="M70" i="22"/>
  <c r="K89" i="8"/>
  <c r="K51" i="8"/>
  <c r="K163" i="8"/>
  <c r="O30" i="22"/>
  <c r="G50" i="22"/>
  <c r="X75" i="9"/>
  <c r="X218" i="9"/>
  <c r="X120" i="9"/>
  <c r="X192" i="9"/>
  <c r="X288" i="9"/>
  <c r="X162" i="9"/>
  <c r="X277" i="9"/>
  <c r="X5" i="27"/>
  <c r="X206" i="9"/>
  <c r="X236" i="9"/>
  <c r="AD89" i="8"/>
  <c r="AD51" i="8"/>
  <c r="AD163" i="8"/>
  <c r="F89" i="8"/>
  <c r="F163" i="8"/>
  <c r="F51" i="8"/>
  <c r="E31" i="22"/>
  <c r="D31" i="22"/>
  <c r="AD162" i="9"/>
  <c r="AD206" i="9"/>
  <c r="AD5" i="27"/>
  <c r="AD120" i="9"/>
  <c r="AD192" i="9"/>
  <c r="AD277" i="9"/>
  <c r="AD218" i="9"/>
  <c r="AD288" i="9"/>
  <c r="AD75" i="9"/>
  <c r="AD236" i="9"/>
  <c r="R120" i="9"/>
  <c r="R236" i="9"/>
  <c r="R75" i="9"/>
  <c r="R288" i="9"/>
  <c r="R162" i="9"/>
  <c r="R277" i="9"/>
  <c r="R192" i="9"/>
  <c r="R5" i="27"/>
  <c r="R218" i="9"/>
  <c r="R206" i="9"/>
  <c r="W167" i="14"/>
  <c r="W74" i="14"/>
  <c r="W64" i="9"/>
  <c r="W115" i="14"/>
  <c r="W28" i="8"/>
  <c r="M6" i="21"/>
  <c r="W4" i="14"/>
  <c r="K206" i="9"/>
  <c r="K288" i="9"/>
  <c r="K192" i="9"/>
  <c r="K218" i="9"/>
  <c r="K277" i="9"/>
  <c r="K236" i="9"/>
  <c r="K120" i="9"/>
  <c r="K5" i="27"/>
  <c r="K162" i="9"/>
  <c r="K75" i="9"/>
  <c r="N73" i="21"/>
  <c r="N32" i="21"/>
  <c r="H90" i="22"/>
  <c r="D71" i="22"/>
  <c r="I73" i="21"/>
  <c r="I32" i="21"/>
  <c r="I57" i="21" s="1"/>
  <c r="I59" i="21" s="1"/>
  <c r="I70" i="21" s="1"/>
  <c r="P115" i="14"/>
  <c r="P74" i="14"/>
  <c r="G6" i="21"/>
  <c r="P64" i="9"/>
  <c r="P4" i="14"/>
  <c r="P167" i="14"/>
  <c r="P28" i="8"/>
  <c r="L51" i="22"/>
  <c r="L70" i="22"/>
  <c r="L71" i="22" s="1"/>
  <c r="Q74" i="14"/>
  <c r="Q64" i="9"/>
  <c r="Q4" i="14"/>
  <c r="Q167" i="14"/>
  <c r="H6" i="21"/>
  <c r="Q28" i="8"/>
  <c r="Q115" i="14"/>
  <c r="AE4" i="14"/>
  <c r="AE115" i="14"/>
  <c r="AE28" i="8"/>
  <c r="AE64" i="9"/>
  <c r="AE167" i="14"/>
  <c r="AE74" i="14"/>
  <c r="Y6" i="21"/>
  <c r="V25" i="9"/>
  <c r="L163" i="8"/>
  <c r="L89" i="8"/>
  <c r="L51" i="8"/>
  <c r="AG24" i="9"/>
  <c r="AF25" i="9"/>
  <c r="Z4" i="21"/>
  <c r="X163" i="8"/>
  <c r="X51" i="8"/>
  <c r="X89" i="8"/>
  <c r="N50" i="22"/>
  <c r="H6" i="22"/>
  <c r="H30" i="22" s="1"/>
  <c r="H19" i="28"/>
  <c r="H43" i="28" s="1"/>
  <c r="X32" i="21"/>
  <c r="X73" i="21"/>
  <c r="G162" i="9"/>
  <c r="G288" i="9"/>
  <c r="G236" i="9"/>
  <c r="G5" i="27"/>
  <c r="G218" i="9"/>
  <c r="G206" i="9"/>
  <c r="G75" i="9"/>
  <c r="G192" i="9"/>
  <c r="G120" i="9"/>
  <c r="G277" i="9"/>
  <c r="G51" i="8"/>
  <c r="G163" i="8"/>
  <c r="G89" i="8"/>
  <c r="L206" i="9"/>
  <c r="L288" i="9"/>
  <c r="L192" i="9"/>
  <c r="L218" i="9"/>
  <c r="L277" i="9"/>
  <c r="L162" i="9"/>
  <c r="L236" i="9"/>
  <c r="L120" i="9"/>
  <c r="L5" i="27"/>
  <c r="L75" i="9"/>
  <c r="AC115" i="14"/>
  <c r="AC4" i="14"/>
  <c r="AC167" i="14"/>
  <c r="AC64" i="9"/>
  <c r="R6" i="21"/>
  <c r="AC28" i="8"/>
  <c r="AC74" i="14"/>
  <c r="I90" i="22"/>
  <c r="I91" i="22" s="1"/>
  <c r="R51" i="8"/>
  <c r="R163" i="8"/>
  <c r="R89" i="8"/>
  <c r="F288" i="9"/>
  <c r="F75" i="9"/>
  <c r="F218" i="9"/>
  <c r="F120" i="9"/>
  <c r="F236" i="9"/>
  <c r="F5" i="27"/>
  <c r="F192" i="9"/>
  <c r="F162" i="9"/>
  <c r="F206" i="9"/>
  <c r="F277" i="9"/>
  <c r="F70" i="22"/>
  <c r="AB25" i="9"/>
  <c r="AA24" i="9"/>
  <c r="J57" i="21"/>
  <c r="J59" i="21" s="1"/>
  <c r="J70" i="21" s="1"/>
  <c r="K20" i="25" l="1"/>
  <c r="J20" i="24"/>
  <c r="M32" i="22"/>
  <c r="F51" i="22"/>
  <c r="F52" i="22" s="1"/>
  <c r="O28" i="15"/>
  <c r="P29" i="15"/>
  <c r="AE51" i="8"/>
  <c r="AE89" i="8"/>
  <c r="AE163" i="8"/>
  <c r="AB4" i="14"/>
  <c r="Q6" i="21"/>
  <c r="AB64" i="9"/>
  <c r="AB28" i="8"/>
  <c r="AB74" i="14"/>
  <c r="AB115" i="14"/>
  <c r="AB167" i="14"/>
  <c r="H73" i="21"/>
  <c r="H32" i="21"/>
  <c r="H57" i="21" s="1"/>
  <c r="H59" i="21" s="1"/>
  <c r="H70" i="21" s="1"/>
  <c r="G90" i="22"/>
  <c r="F90" i="22" s="1"/>
  <c r="E90" i="22" s="1"/>
  <c r="D90" i="22" s="1"/>
  <c r="N90" i="22"/>
  <c r="H91" i="22"/>
  <c r="H92" i="22" s="1"/>
  <c r="I34" i="25"/>
  <c r="O50" i="22"/>
  <c r="M32" i="21"/>
  <c r="M73" i="21"/>
  <c r="K6" i="21"/>
  <c r="AC162" i="9"/>
  <c r="AC75" i="9"/>
  <c r="AC218" i="9"/>
  <c r="AC206" i="9"/>
  <c r="AC120" i="9"/>
  <c r="AC236" i="9"/>
  <c r="AC192" i="9"/>
  <c r="AC277" i="9"/>
  <c r="AC5" i="27"/>
  <c r="AC288" i="9"/>
  <c r="N31" i="22"/>
  <c r="N32" i="22" s="1"/>
  <c r="I19" i="28"/>
  <c r="I43" i="28" s="1"/>
  <c r="Y32" i="21"/>
  <c r="I6" i="22"/>
  <c r="I30" i="22" s="1"/>
  <c r="Y73" i="21"/>
  <c r="AF4" i="14"/>
  <c r="AF115" i="14"/>
  <c r="AF28" i="8"/>
  <c r="AF167" i="14"/>
  <c r="AF64" i="9"/>
  <c r="Z6" i="21"/>
  <c r="AF74" i="14"/>
  <c r="H50" i="22"/>
  <c r="P30" i="22"/>
  <c r="F31" i="22"/>
  <c r="F32" i="22" s="1"/>
  <c r="AG25" i="9"/>
  <c r="H26" i="24" s="1"/>
  <c r="AA4" i="21"/>
  <c r="W75" i="9"/>
  <c r="W218" i="9"/>
  <c r="W288" i="9"/>
  <c r="W120" i="9"/>
  <c r="W277" i="9"/>
  <c r="W192" i="9"/>
  <c r="W5" i="27"/>
  <c r="W206" i="9"/>
  <c r="W162" i="9"/>
  <c r="W236" i="9"/>
  <c r="E32" i="22"/>
  <c r="R73" i="21"/>
  <c r="R32" i="21"/>
  <c r="F71" i="22"/>
  <c r="J90" i="22"/>
  <c r="N51" i="22"/>
  <c r="N52" i="22" s="1"/>
  <c r="N70" i="22"/>
  <c r="N71" i="22" s="1"/>
  <c r="P236" i="9"/>
  <c r="P277" i="9"/>
  <c r="P75" i="9"/>
  <c r="P162" i="9"/>
  <c r="P218" i="9"/>
  <c r="P192" i="9"/>
  <c r="P120" i="9"/>
  <c r="P206" i="9"/>
  <c r="P288" i="9"/>
  <c r="P5" i="27"/>
  <c r="G73" i="21"/>
  <c r="G32" i="21"/>
  <c r="Z24" i="9"/>
  <c r="Z25" i="9" s="1"/>
  <c r="K27" i="24" s="1"/>
  <c r="AA25" i="9"/>
  <c r="Q51" i="8"/>
  <c r="Q89" i="8"/>
  <c r="Q163" i="8"/>
  <c r="W163" i="8"/>
  <c r="W51" i="8"/>
  <c r="W89" i="8"/>
  <c r="Q236" i="9"/>
  <c r="Q206" i="9"/>
  <c r="Q75" i="9"/>
  <c r="Q162" i="9"/>
  <c r="Q277" i="9"/>
  <c r="Q192" i="9"/>
  <c r="Q218" i="9"/>
  <c r="Q288" i="9"/>
  <c r="Q120" i="9"/>
  <c r="Q5" i="27"/>
  <c r="G70" i="22"/>
  <c r="AC163" i="8"/>
  <c r="AC51" i="8"/>
  <c r="AC89" i="8"/>
  <c r="V167" i="14"/>
  <c r="V115" i="14"/>
  <c r="V64" i="9"/>
  <c r="V74" i="14"/>
  <c r="V28" i="8"/>
  <c r="V4" i="14"/>
  <c r="L6" i="21"/>
  <c r="AE206" i="9"/>
  <c r="AE288" i="9"/>
  <c r="AE120" i="9"/>
  <c r="AE192" i="9"/>
  <c r="AE5" i="27"/>
  <c r="AE218" i="9"/>
  <c r="AE277" i="9"/>
  <c r="AE162" i="9"/>
  <c r="AE236" i="9"/>
  <c r="AE75" i="9"/>
  <c r="P51" i="8"/>
  <c r="P163" i="8"/>
  <c r="P89" i="8"/>
  <c r="L31" i="25" l="1"/>
  <c r="L35" i="25"/>
  <c r="L37" i="25"/>
  <c r="K33" i="24"/>
  <c r="L28" i="25"/>
  <c r="L21" i="25"/>
  <c r="L27" i="25"/>
  <c r="K29" i="24"/>
  <c r="L44" i="25"/>
  <c r="L14" i="25"/>
  <c r="L26" i="25"/>
  <c r="L19" i="25"/>
  <c r="L36" i="25"/>
  <c r="L29" i="25"/>
  <c r="L15" i="25"/>
  <c r="L34" i="25"/>
  <c r="P34" i="25" s="1"/>
  <c r="K13" i="24"/>
  <c r="K17" i="24"/>
  <c r="L43" i="25"/>
  <c r="K15" i="24"/>
  <c r="K43" i="24"/>
  <c r="K19" i="24"/>
  <c r="L30" i="25"/>
  <c r="L13" i="25"/>
  <c r="L12" i="25"/>
  <c r="K42" i="24"/>
  <c r="K37" i="24"/>
  <c r="K21" i="24"/>
  <c r="K28" i="24"/>
  <c r="K34" i="24"/>
  <c r="K36" i="24"/>
  <c r="K14" i="24"/>
  <c r="L17" i="25"/>
  <c r="K32" i="24"/>
  <c r="L42" i="25"/>
  <c r="K30" i="24"/>
  <c r="K35" i="24"/>
  <c r="L32" i="25"/>
  <c r="L33" i="25"/>
  <c r="K26" i="24"/>
  <c r="N26" i="24" s="1"/>
  <c r="K12" i="24"/>
  <c r="K31" i="24"/>
  <c r="K44" i="24"/>
  <c r="I28" i="25"/>
  <c r="H27" i="24"/>
  <c r="L27" i="24" s="1"/>
  <c r="H30" i="25"/>
  <c r="N30" i="25" s="1"/>
  <c r="H14" i="24"/>
  <c r="L14" i="24" s="1"/>
  <c r="H28" i="24"/>
  <c r="L28" i="24" s="1"/>
  <c r="P28" i="15"/>
  <c r="Q29" i="15"/>
  <c r="I35" i="25"/>
  <c r="O35" i="25" s="1"/>
  <c r="H37" i="25"/>
  <c r="N37" i="25" s="1"/>
  <c r="I37" i="25"/>
  <c r="I36" i="25"/>
  <c r="O36" i="25" s="1"/>
  <c r="H32" i="24"/>
  <c r="M32" i="24" s="1"/>
  <c r="O34" i="25"/>
  <c r="L32" i="21"/>
  <c r="L73" i="21"/>
  <c r="V192" i="9"/>
  <c r="V288" i="9"/>
  <c r="V277" i="9"/>
  <c r="V236" i="9"/>
  <c r="V120" i="9"/>
  <c r="V5" i="27"/>
  <c r="V162" i="9"/>
  <c r="V75" i="9"/>
  <c r="V218" i="9"/>
  <c r="V206" i="9"/>
  <c r="J91" i="22"/>
  <c r="J92" i="22" s="1"/>
  <c r="O90" i="22"/>
  <c r="H33" i="25"/>
  <c r="H28" i="25"/>
  <c r="H34" i="24"/>
  <c r="AB162" i="9"/>
  <c r="AB288" i="9"/>
  <c r="AB120" i="9"/>
  <c r="AB206" i="9"/>
  <c r="AB192" i="9"/>
  <c r="AB5" i="27"/>
  <c r="AB236" i="9"/>
  <c r="AB218" i="9"/>
  <c r="AB277" i="9"/>
  <c r="AB75" i="9"/>
  <c r="P90" i="22"/>
  <c r="K90" i="22"/>
  <c r="AA167" i="14"/>
  <c r="AA74" i="14"/>
  <c r="AA64" i="9"/>
  <c r="AA28" i="8"/>
  <c r="AA115" i="14"/>
  <c r="AA4" i="14"/>
  <c r="P6" i="21"/>
  <c r="I32" i="25"/>
  <c r="Q32" i="21"/>
  <c r="Q73" i="21"/>
  <c r="Q30" i="22"/>
  <c r="I50" i="22"/>
  <c r="H14" i="25"/>
  <c r="H29" i="25"/>
  <c r="H36" i="24"/>
  <c r="J31" i="25"/>
  <c r="O70" i="22"/>
  <c r="H31" i="24"/>
  <c r="I30" i="25"/>
  <c r="I92" i="22"/>
  <c r="AF206" i="9"/>
  <c r="AF236" i="9"/>
  <c r="AF288" i="9"/>
  <c r="AF5" i="27"/>
  <c r="AF120" i="9"/>
  <c r="AF192" i="9"/>
  <c r="AF218" i="9"/>
  <c r="AF75" i="9"/>
  <c r="AF162" i="9"/>
  <c r="AF277" i="9"/>
  <c r="AF51" i="8"/>
  <c r="AF89" i="8"/>
  <c r="AF163" i="8"/>
  <c r="I27" i="25"/>
  <c r="I31" i="25"/>
  <c r="V163" i="8"/>
  <c r="V89" i="8"/>
  <c r="V51" i="8"/>
  <c r="AG4" i="14"/>
  <c r="AG74" i="14"/>
  <c r="AG64" i="9"/>
  <c r="AG28" i="8"/>
  <c r="AG167" i="14"/>
  <c r="AG115" i="14"/>
  <c r="AA6" i="21"/>
  <c r="H31" i="25"/>
  <c r="K73" i="21"/>
  <c r="K32" i="21"/>
  <c r="H70" i="22"/>
  <c r="I26" i="25"/>
  <c r="Z74" i="14"/>
  <c r="Z64" i="9"/>
  <c r="Z28" i="8"/>
  <c r="O6" i="21"/>
  <c r="Z167" i="14"/>
  <c r="Z115" i="14"/>
  <c r="Z4" i="14"/>
  <c r="I29" i="25"/>
  <c r="H29" i="24"/>
  <c r="H32" i="25"/>
  <c r="H27" i="25"/>
  <c r="I33" i="25"/>
  <c r="H35" i="24"/>
  <c r="J19" i="28"/>
  <c r="J43" i="28" s="1"/>
  <c r="Z32" i="21"/>
  <c r="Z73" i="21"/>
  <c r="H34" i="25"/>
  <c r="H35" i="25"/>
  <c r="H26" i="25"/>
  <c r="L26" i="24"/>
  <c r="M26" i="24"/>
  <c r="H33" i="24"/>
  <c r="P50" i="22"/>
  <c r="AB51" i="8"/>
  <c r="AB89" i="8"/>
  <c r="AB163" i="8"/>
  <c r="H36" i="25"/>
  <c r="H30" i="24"/>
  <c r="I14" i="25"/>
  <c r="H37" i="24"/>
  <c r="I31" i="24"/>
  <c r="P28" i="25" l="1"/>
  <c r="M37" i="25"/>
  <c r="O28" i="25"/>
  <c r="N27" i="24"/>
  <c r="M27" i="24"/>
  <c r="K20" i="24"/>
  <c r="L20" i="25"/>
  <c r="P36" i="25"/>
  <c r="N14" i="24"/>
  <c r="M14" i="24"/>
  <c r="N28" i="24"/>
  <c r="M28" i="24"/>
  <c r="P35" i="25"/>
  <c r="Q28" i="15"/>
  <c r="R29" i="15"/>
  <c r="R28" i="15" s="1"/>
  <c r="P37" i="25"/>
  <c r="O37" i="25"/>
  <c r="L32" i="24"/>
  <c r="N32" i="24"/>
  <c r="O30" i="25"/>
  <c r="P30" i="25"/>
  <c r="M31" i="24"/>
  <c r="N31" i="24"/>
  <c r="L31" i="24"/>
  <c r="M29" i="24"/>
  <c r="N29" i="24"/>
  <c r="L29" i="24"/>
  <c r="M36" i="25"/>
  <c r="N36" i="25"/>
  <c r="P73" i="21"/>
  <c r="P32" i="21"/>
  <c r="N33" i="24"/>
  <c r="M33" i="24"/>
  <c r="L33" i="24"/>
  <c r="L35" i="24"/>
  <c r="M35" i="24"/>
  <c r="N35" i="24"/>
  <c r="N34" i="24"/>
  <c r="M34" i="24"/>
  <c r="L34" i="24"/>
  <c r="M31" i="25"/>
  <c r="N31" i="25"/>
  <c r="P31" i="25"/>
  <c r="O31" i="25"/>
  <c r="O27" i="25"/>
  <c r="P27" i="25"/>
  <c r="L30" i="24"/>
  <c r="M30" i="24"/>
  <c r="N30" i="24"/>
  <c r="M26" i="25"/>
  <c r="N26" i="25"/>
  <c r="Z288" i="9"/>
  <c r="Z75" i="9"/>
  <c r="Z218" i="9"/>
  <c r="Z120" i="9"/>
  <c r="Z192" i="9"/>
  <c r="Z5" i="27"/>
  <c r="Z236" i="9"/>
  <c r="Z277" i="9"/>
  <c r="Z206" i="9"/>
  <c r="Z162" i="9"/>
  <c r="AA51" i="8"/>
  <c r="AA89" i="8"/>
  <c r="AA163" i="8"/>
  <c r="Q50" i="22"/>
  <c r="M27" i="25"/>
  <c r="N27" i="25"/>
  <c r="N29" i="25"/>
  <c r="M29" i="25"/>
  <c r="N32" i="25"/>
  <c r="M32" i="25"/>
  <c r="O14" i="25"/>
  <c r="N14" i="25"/>
  <c r="P14" i="25"/>
  <c r="M14" i="25"/>
  <c r="M37" i="24"/>
  <c r="N37" i="24"/>
  <c r="L37" i="24"/>
  <c r="O32" i="25"/>
  <c r="P32" i="25"/>
  <c r="AA162" i="9"/>
  <c r="AA288" i="9"/>
  <c r="AA120" i="9"/>
  <c r="AA206" i="9"/>
  <c r="AA192" i="9"/>
  <c r="AA5" i="27"/>
  <c r="AA236" i="9"/>
  <c r="AA277" i="9"/>
  <c r="AA218" i="9"/>
  <c r="AA75" i="9"/>
  <c r="O33" i="25"/>
  <c r="P33" i="25"/>
  <c r="M28" i="25"/>
  <c r="N28" i="25"/>
  <c r="N33" i="25"/>
  <c r="M33" i="25"/>
  <c r="K19" i="28"/>
  <c r="K43" i="28" s="1"/>
  <c r="AA32" i="21"/>
  <c r="AA73" i="21"/>
  <c r="R26" i="28"/>
  <c r="O29" i="25"/>
  <c r="P29" i="25"/>
  <c r="M35" i="25"/>
  <c r="N35" i="25"/>
  <c r="P70" i="22"/>
  <c r="P26" i="25"/>
  <c r="O26" i="25"/>
  <c r="I70" i="22"/>
  <c r="L36" i="24"/>
  <c r="N36" i="24"/>
  <c r="M36" i="24"/>
  <c r="AG163" i="8"/>
  <c r="AG51" i="8"/>
  <c r="AG89" i="8"/>
  <c r="AG277" i="9"/>
  <c r="AG206" i="9"/>
  <c r="AG162" i="9"/>
  <c r="AG236" i="9"/>
  <c r="AG5" i="27"/>
  <c r="AG75" i="9"/>
  <c r="AG120" i="9"/>
  <c r="AG192" i="9"/>
  <c r="AG288" i="9"/>
  <c r="AG218" i="9"/>
  <c r="M30" i="25"/>
  <c r="O73" i="21"/>
  <c r="O32" i="21"/>
  <c r="Z51" i="8"/>
  <c r="Z163" i="8"/>
  <c r="Z89" i="8"/>
  <c r="M34" i="25"/>
  <c r="N34" i="25"/>
  <c r="L90" i="22"/>
  <c r="Q90" i="22"/>
  <c r="M90" i="22" l="1"/>
  <c r="Q70" i="22"/>
  <c r="K25" i="16" l="1"/>
  <c r="K24" i="16" s="1"/>
  <c r="K27" i="16"/>
  <c r="K28" i="16" s="1"/>
  <c r="V104" i="9"/>
  <c r="V194" i="9"/>
  <c r="V196" i="9"/>
  <c r="V246" i="9"/>
  <c r="V254" i="9"/>
  <c r="V304" i="9"/>
  <c r="K34" i="21"/>
  <c r="K35" i="21"/>
  <c r="K36" i="21"/>
  <c r="K38" i="21" s="1"/>
  <c r="K37" i="21"/>
  <c r="K40" i="21"/>
  <c r="K44" i="21"/>
  <c r="K48" i="21"/>
  <c r="K49" i="21"/>
  <c r="K50" i="21"/>
  <c r="K53" i="21"/>
  <c r="K57" i="21"/>
  <c r="K61" i="21"/>
  <c r="K65" i="21" s="1"/>
  <c r="K68" i="21" s="1"/>
  <c r="K62" i="21"/>
  <c r="K85" i="21"/>
  <c r="K86" i="21"/>
  <c r="J34" i="15"/>
  <c r="J39" i="15"/>
  <c r="J40" i="15"/>
  <c r="J42" i="15"/>
  <c r="K51" i="21" l="1"/>
  <c r="K93" i="21"/>
  <c r="K46" i="21"/>
  <c r="K94" i="21" s="1"/>
  <c r="K59" i="21"/>
  <c r="K70" i="21" s="1"/>
  <c r="K105" i="21"/>
  <c r="K106" i="21"/>
  <c r="K104" i="21"/>
  <c r="V294" i="9"/>
  <c r="V78" i="9"/>
  <c r="V111" i="9"/>
  <c r="V35" i="9" l="1"/>
  <c r="V51" i="27"/>
  <c r="V55" i="27" l="1"/>
  <c r="V54" i="27"/>
  <c r="V52" i="27"/>
  <c r="V57" i="27"/>
  <c r="V53" i="27"/>
  <c r="V56" i="27"/>
  <c r="V61" i="9"/>
  <c r="K38" i="15"/>
  <c r="V59" i="27" l="1"/>
  <c r="U28" i="9"/>
  <c r="U184" i="9" s="1"/>
  <c r="U118" i="14" s="1"/>
  <c r="U30" i="9"/>
  <c r="U67" i="9" s="1"/>
  <c r="U7" i="14" s="1"/>
  <c r="U68" i="9"/>
  <c r="U40" i="14" s="1"/>
  <c r="U69" i="9"/>
  <c r="U45" i="14" s="1"/>
  <c r="U70" i="9"/>
  <c r="U50" i="14" s="1"/>
  <c r="U71" i="9"/>
  <c r="U55" i="14" s="1"/>
  <c r="U72" i="9"/>
  <c r="U62" i="14" s="1"/>
  <c r="U186" i="9"/>
  <c r="U188" i="9"/>
  <c r="U128" i="14" s="1"/>
  <c r="U189" i="9"/>
  <c r="U145" i="14" s="1"/>
  <c r="U190" i="9"/>
  <c r="U150" i="14" s="1"/>
  <c r="U202" i="9"/>
  <c r="U97" i="14" s="1"/>
  <c r="U204" i="9"/>
  <c r="U251" i="9"/>
  <c r="V251" i="9" s="1"/>
  <c r="W251" i="9" s="1"/>
  <c r="U301" i="9"/>
  <c r="U30" i="8"/>
  <c r="U31" i="8" s="1"/>
  <c r="U32" i="8"/>
  <c r="U91" i="8" s="1"/>
  <c r="U97" i="8" s="1"/>
  <c r="U34" i="8"/>
  <c r="U35" i="8"/>
  <c r="U37" i="8"/>
  <c r="U38" i="8"/>
  <c r="U39" i="8"/>
  <c r="U66" i="8" s="1"/>
  <c r="U40" i="8"/>
  <c r="U41" i="8"/>
  <c r="U42" i="8"/>
  <c r="U43" i="8"/>
  <c r="U44" i="8"/>
  <c r="U45" i="8"/>
  <c r="U78" i="8" s="1"/>
  <c r="U46" i="8"/>
  <c r="U47" i="8"/>
  <c r="U48" i="8"/>
  <c r="U49" i="8"/>
  <c r="U65" i="8"/>
  <c r="U71" i="8"/>
  <c r="V71" i="8" s="1"/>
  <c r="V41" i="8" s="1"/>
  <c r="W71" i="8"/>
  <c r="X71" i="8" s="1"/>
  <c r="U72" i="8"/>
  <c r="U84" i="8"/>
  <c r="U103" i="8"/>
  <c r="U115" i="8"/>
  <c r="U121" i="8" s="1"/>
  <c r="K8" i="21"/>
  <c r="K97" i="21" s="1"/>
  <c r="K11" i="21"/>
  <c r="K13" i="21" s="1"/>
  <c r="K98" i="21"/>
  <c r="J31" i="15"/>
  <c r="U122" i="8" l="1"/>
  <c r="V121" i="8"/>
  <c r="V115" i="8" s="1"/>
  <c r="U187" i="9"/>
  <c r="U140" i="14"/>
  <c r="K100" i="21"/>
  <c r="V11" i="27"/>
  <c r="V37" i="27" s="1"/>
  <c r="V42" i="8"/>
  <c r="K12" i="21"/>
  <c r="K76" i="21" s="1"/>
  <c r="K9" i="21"/>
  <c r="W121" i="8"/>
  <c r="K101" i="21"/>
  <c r="V97" i="8"/>
  <c r="U98" i="8"/>
  <c r="U225" i="8"/>
  <c r="U151" i="8"/>
  <c r="Y151" i="8" s="1"/>
  <c r="U83" i="8"/>
  <c r="W41" i="8"/>
  <c r="Y71" i="8"/>
  <c r="V65" i="8"/>
  <c r="X251" i="9"/>
  <c r="Z71" i="8"/>
  <c r="X41" i="8"/>
  <c r="U33" i="8"/>
  <c r="U54" i="8" s="1"/>
  <c r="U165" i="8"/>
  <c r="U53" i="8"/>
  <c r="U109" i="8"/>
  <c r="U213" i="8"/>
  <c r="U139" i="8"/>
  <c r="U77" i="8"/>
  <c r="U59" i="8"/>
  <c r="U177" i="8"/>
  <c r="U36" i="8"/>
  <c r="U60" i="8" s="1"/>
  <c r="U127" i="8"/>
  <c r="U37" i="9"/>
  <c r="V176" i="27" l="1"/>
  <c r="V196" i="27"/>
  <c r="W115" i="8"/>
  <c r="X121" i="8"/>
  <c r="X11" i="27"/>
  <c r="X42" i="8"/>
  <c r="V158" i="27"/>
  <c r="V73" i="27"/>
  <c r="V59" i="8"/>
  <c r="U43" i="9"/>
  <c r="U60" i="9"/>
  <c r="U62" i="9" s="1"/>
  <c r="K15" i="21"/>
  <c r="J33" i="15"/>
  <c r="J35" i="15" s="1"/>
  <c r="J45" i="15" s="1"/>
  <c r="J48" i="15" s="1"/>
  <c r="Z41" i="8"/>
  <c r="AA71" i="8"/>
  <c r="U179" i="8"/>
  <c r="U145" i="8"/>
  <c r="U110" i="8"/>
  <c r="V109" i="8"/>
  <c r="U227" i="8"/>
  <c r="U133" i="8"/>
  <c r="Y41" i="8"/>
  <c r="Z251" i="9"/>
  <c r="V77" i="8"/>
  <c r="V38" i="8"/>
  <c r="W65" i="8"/>
  <c r="W11" i="27"/>
  <c r="W42" i="8"/>
  <c r="U215" i="8"/>
  <c r="V83" i="8"/>
  <c r="V53" i="8"/>
  <c r="U167" i="8"/>
  <c r="W97" i="8"/>
  <c r="V91" i="8"/>
  <c r="Z121" i="8" l="1"/>
  <c r="X115" i="8"/>
  <c r="Y115" i="8" s="1"/>
  <c r="Y121" i="8" s="1"/>
  <c r="U184" i="8"/>
  <c r="Y184" i="8" s="1"/>
  <c r="U180" i="8"/>
  <c r="V179" i="8"/>
  <c r="AB71" i="8"/>
  <c r="AA41" i="8"/>
  <c r="K16" i="21"/>
  <c r="K78" i="21" s="1"/>
  <c r="K17" i="21"/>
  <c r="K87" i="21"/>
  <c r="AA251" i="9"/>
  <c r="W37" i="27"/>
  <c r="W176" i="27"/>
  <c r="W196" i="27"/>
  <c r="Y11" i="27"/>
  <c r="X65" i="8"/>
  <c r="W38" i="8"/>
  <c r="V10" i="27"/>
  <c r="V39" i="8"/>
  <c r="W77" i="8"/>
  <c r="V44" i="8"/>
  <c r="K27" i="21"/>
  <c r="J32" i="15"/>
  <c r="U73" i="9"/>
  <c r="U69" i="14" s="1"/>
  <c r="U46" i="9"/>
  <c r="U134" i="8"/>
  <c r="V133" i="8"/>
  <c r="U168" i="8"/>
  <c r="U172" i="8"/>
  <c r="Y172" i="8" s="1"/>
  <c r="V167" i="8"/>
  <c r="Z11" i="27"/>
  <c r="Z42" i="8"/>
  <c r="Y42" i="8"/>
  <c r="X97" i="8"/>
  <c r="W91" i="8"/>
  <c r="W59" i="8"/>
  <c r="V35" i="8"/>
  <c r="U228" i="8"/>
  <c r="U232" i="8"/>
  <c r="Y232" i="8" s="1"/>
  <c r="V227" i="8"/>
  <c r="V32" i="8"/>
  <c r="W53" i="8"/>
  <c r="W109" i="8"/>
  <c r="V103" i="8"/>
  <c r="W83" i="8"/>
  <c r="V47" i="8"/>
  <c r="U146" i="8"/>
  <c r="V145" i="8"/>
  <c r="X37" i="27"/>
  <c r="X176" i="27"/>
  <c r="X196" i="27"/>
  <c r="V215" i="8"/>
  <c r="U216" i="8"/>
  <c r="U220" i="8"/>
  <c r="Y220" i="8" s="1"/>
  <c r="AA121" i="8" l="1"/>
  <c r="Z115" i="8"/>
  <c r="Y176" i="27"/>
  <c r="W227" i="8"/>
  <c r="V225" i="8"/>
  <c r="V226" i="8" s="1"/>
  <c r="W158" i="27"/>
  <c r="Y37" i="27"/>
  <c r="X38" i="8"/>
  <c r="Z65" i="8"/>
  <c r="V127" i="8"/>
  <c r="W133" i="8"/>
  <c r="V9" i="27"/>
  <c r="V36" i="8"/>
  <c r="W35" i="8"/>
  <c r="X59" i="8"/>
  <c r="Y59" i="8"/>
  <c r="AB251" i="9"/>
  <c r="V213" i="8"/>
  <c r="V214" i="8"/>
  <c r="W215" i="8"/>
  <c r="V45" i="8"/>
  <c r="V12" i="27"/>
  <c r="X158" i="27"/>
  <c r="AB41" i="8"/>
  <c r="AD41" i="8" s="1"/>
  <c r="AC71" i="8"/>
  <c r="AC41" i="8" s="1"/>
  <c r="AD71" i="8"/>
  <c r="AE71" i="8" s="1"/>
  <c r="V48" i="8"/>
  <c r="V13" i="27"/>
  <c r="Z176" i="27"/>
  <c r="Z37" i="27"/>
  <c r="Z196" i="27"/>
  <c r="V177" i="8"/>
  <c r="W179" i="8"/>
  <c r="U52" i="9"/>
  <c r="U54" i="9"/>
  <c r="U239" i="9" s="1"/>
  <c r="U110" i="9"/>
  <c r="U114" i="9" s="1"/>
  <c r="U255" i="9"/>
  <c r="U55" i="9"/>
  <c r="K19" i="21"/>
  <c r="X53" i="8"/>
  <c r="W32" i="8"/>
  <c r="V33" i="8"/>
  <c r="V30" i="8"/>
  <c r="V49" i="8" s="1"/>
  <c r="V8" i="27"/>
  <c r="K88" i="21"/>
  <c r="K29" i="21"/>
  <c r="K28" i="21"/>
  <c r="K77" i="21" s="1"/>
  <c r="K89" i="21"/>
  <c r="K92" i="21"/>
  <c r="X91" i="8"/>
  <c r="Y91" i="8" s="1"/>
  <c r="Y97" i="8" s="1"/>
  <c r="Z97" i="8"/>
  <c r="X77" i="8"/>
  <c r="Y77" i="8" s="1"/>
  <c r="W44" i="8"/>
  <c r="V139" i="8"/>
  <c r="W145" i="8"/>
  <c r="AA11" i="27"/>
  <c r="AA42" i="8"/>
  <c r="V36" i="27"/>
  <c r="V175" i="27"/>
  <c r="V195" i="27"/>
  <c r="X83" i="8"/>
  <c r="W47" i="8"/>
  <c r="Y83" i="8"/>
  <c r="W167" i="8"/>
  <c r="V165" i="8"/>
  <c r="V166" i="8"/>
  <c r="Y65" i="8"/>
  <c r="X109" i="8"/>
  <c r="W103" i="8"/>
  <c r="W39" i="8"/>
  <c r="W10" i="27"/>
  <c r="AA115" i="8" l="1"/>
  <c r="AB121" i="8"/>
  <c r="Z59" i="8"/>
  <c r="X35" i="8"/>
  <c r="V34" i="8"/>
  <c r="W175" i="27"/>
  <c r="W195" i="27"/>
  <c r="W36" i="27"/>
  <c r="AA176" i="27"/>
  <c r="AA37" i="27"/>
  <c r="AA196" i="27"/>
  <c r="AE41" i="8"/>
  <c r="AF71" i="8"/>
  <c r="X103" i="8"/>
  <c r="Y103" i="8" s="1"/>
  <c r="Y109" i="8" s="1"/>
  <c r="Z109" i="8"/>
  <c r="K80" i="21"/>
  <c r="K20" i="21"/>
  <c r="K79" i="21" s="1"/>
  <c r="K81" i="21"/>
  <c r="K21" i="21"/>
  <c r="K82" i="21"/>
  <c r="W127" i="8"/>
  <c r="X133" i="8"/>
  <c r="X145" i="8"/>
  <c r="W139" i="8"/>
  <c r="Z38" i="8"/>
  <c r="AA65" i="8"/>
  <c r="V193" i="27"/>
  <c r="V7" i="27"/>
  <c r="V21" i="27" s="1"/>
  <c r="V173" i="27"/>
  <c r="V34" i="27"/>
  <c r="V31" i="8"/>
  <c r="V43" i="8"/>
  <c r="V40" i="8"/>
  <c r="W9" i="27"/>
  <c r="W36" i="8"/>
  <c r="V37" i="8"/>
  <c r="W30" i="8"/>
  <c r="W49" i="8" s="1"/>
  <c r="W33" i="8"/>
  <c r="W8" i="27"/>
  <c r="Z53" i="8"/>
  <c r="X32" i="8"/>
  <c r="V35" i="27"/>
  <c r="V194" i="27"/>
  <c r="V174" i="27"/>
  <c r="AC11" i="27"/>
  <c r="AC42" i="8"/>
  <c r="AB11" i="27"/>
  <c r="AB42" i="8"/>
  <c r="U257" i="9"/>
  <c r="Y257" i="9" s="1"/>
  <c r="X10" i="27"/>
  <c r="Y10" i="27" s="1"/>
  <c r="X39" i="8"/>
  <c r="Y38" i="8"/>
  <c r="X167" i="8"/>
  <c r="W165" i="8"/>
  <c r="Y167" i="8"/>
  <c r="W45" i="8"/>
  <c r="W12" i="27"/>
  <c r="U117" i="9"/>
  <c r="U118" i="9" s="1"/>
  <c r="U116" i="9"/>
  <c r="Y158" i="27"/>
  <c r="Y22" i="14" s="1"/>
  <c r="Z77" i="8"/>
  <c r="X44" i="8"/>
  <c r="Y44" i="8" s="1"/>
  <c r="U240" i="9"/>
  <c r="V177" i="27"/>
  <c r="V197" i="27"/>
  <c r="V38" i="27"/>
  <c r="AA97" i="8"/>
  <c r="Z91" i="8"/>
  <c r="U58" i="9"/>
  <c r="K23" i="21" s="1"/>
  <c r="K24" i="21" s="1"/>
  <c r="U57" i="9"/>
  <c r="V46" i="8"/>
  <c r="W177" i="8"/>
  <c r="X179" i="8"/>
  <c r="Y179" i="8" s="1"/>
  <c r="V39" i="27"/>
  <c r="V198" i="27"/>
  <c r="V178" i="27"/>
  <c r="Y35" i="8"/>
  <c r="AD42" i="8"/>
  <c r="W48" i="8"/>
  <c r="W13" i="27"/>
  <c r="Z158" i="27"/>
  <c r="V72" i="27"/>
  <c r="V157" i="27"/>
  <c r="Y53" i="8"/>
  <c r="W213" i="8"/>
  <c r="W214" i="8" s="1"/>
  <c r="X215" i="8"/>
  <c r="Y215" i="8"/>
  <c r="V178" i="8"/>
  <c r="W225" i="8"/>
  <c r="X227" i="8"/>
  <c r="Y227" i="8" s="1"/>
  <c r="X47" i="8"/>
  <c r="Z83" i="8"/>
  <c r="AC251" i="9"/>
  <c r="V16" i="27" l="1"/>
  <c r="AC121" i="8"/>
  <c r="AC115" i="8" s="1"/>
  <c r="AB115" i="8"/>
  <c r="AD115" i="8" s="1"/>
  <c r="AD121" i="8" s="1"/>
  <c r="AE121" i="8" s="1"/>
  <c r="AF121" i="8" s="1"/>
  <c r="W34" i="8"/>
  <c r="W178" i="8"/>
  <c r="W46" i="8"/>
  <c r="V17" i="27"/>
  <c r="Y175" i="27"/>
  <c r="O51" i="22"/>
  <c r="O52" i="22" s="1"/>
  <c r="Y45" i="8"/>
  <c r="X48" i="8"/>
  <c r="X49" i="8"/>
  <c r="X13" i="27"/>
  <c r="Y47" i="8"/>
  <c r="AA109" i="8"/>
  <c r="Z103" i="8"/>
  <c r="AE42" i="8"/>
  <c r="AE11" i="27"/>
  <c r="Y36" i="8"/>
  <c r="Y60" i="8" s="1"/>
  <c r="G51" i="22"/>
  <c r="G52" i="22" s="1"/>
  <c r="W178" i="27"/>
  <c r="W39" i="27"/>
  <c r="W198" i="27"/>
  <c r="V159" i="27"/>
  <c r="V74" i="27"/>
  <c r="W226" i="8"/>
  <c r="X165" i="8"/>
  <c r="Y165" i="8" s="1"/>
  <c r="Y166" i="8" s="1"/>
  <c r="Z167" i="8"/>
  <c r="Y39" i="8"/>
  <c r="W157" i="27"/>
  <c r="W31" i="8"/>
  <c r="W43" i="8"/>
  <c r="W40" i="8"/>
  <c r="W166" i="8"/>
  <c r="V160" i="27"/>
  <c r="V75" i="27"/>
  <c r="AA53" i="8"/>
  <c r="Z32" i="8"/>
  <c r="V20" i="27"/>
  <c r="AB65" i="8"/>
  <c r="AA38" i="8"/>
  <c r="X175" i="27"/>
  <c r="X195" i="27"/>
  <c r="X36" i="27"/>
  <c r="Z39" i="8"/>
  <c r="Z10" i="27"/>
  <c r="W37" i="8"/>
  <c r="AE251" i="9"/>
  <c r="AC196" i="27"/>
  <c r="AC176" i="27"/>
  <c r="AC37" i="27"/>
  <c r="W177" i="27"/>
  <c r="W38" i="27"/>
  <c r="W197" i="27"/>
  <c r="AA91" i="8"/>
  <c r="AB97" i="8"/>
  <c r="V156" i="27"/>
  <c r="V45" i="27"/>
  <c r="V71" i="27"/>
  <c r="AF41" i="8"/>
  <c r="AG71" i="8"/>
  <c r="AG41" i="8" s="1"/>
  <c r="X33" i="8"/>
  <c r="X30" i="8"/>
  <c r="X37" i="8" s="1"/>
  <c r="X8" i="27"/>
  <c r="Y32" i="8"/>
  <c r="AA158" i="27"/>
  <c r="X213" i="8"/>
  <c r="Y213" i="8" s="1"/>
  <c r="Y214" i="8" s="1"/>
  <c r="Z215" i="8"/>
  <c r="X46" i="8"/>
  <c r="X45" i="8"/>
  <c r="X12" i="27"/>
  <c r="Y12" i="27" s="1"/>
  <c r="Z47" i="8"/>
  <c r="AA83" i="8"/>
  <c r="V33" i="27"/>
  <c r="V48" i="27" s="1"/>
  <c r="V70" i="27"/>
  <c r="V155" i="27"/>
  <c r="X225" i="8"/>
  <c r="Y225" i="8" s="1"/>
  <c r="Y226" i="8" s="1"/>
  <c r="Z227" i="8"/>
  <c r="V28" i="9"/>
  <c r="V192" i="27"/>
  <c r="V172" i="27"/>
  <c r="V19" i="27"/>
  <c r="V18" i="27"/>
  <c r="W173" i="27"/>
  <c r="W34" i="27"/>
  <c r="W193" i="27"/>
  <c r="W7" i="27"/>
  <c r="W20" i="27" s="1"/>
  <c r="X139" i="8"/>
  <c r="Y139" i="8" s="1"/>
  <c r="Y145" i="8" s="1"/>
  <c r="Z145" i="8"/>
  <c r="AA77" i="8"/>
  <c r="Z44" i="8"/>
  <c r="W35" i="27"/>
  <c r="W194" i="27"/>
  <c r="W174" i="27"/>
  <c r="Z133" i="8"/>
  <c r="X127" i="8"/>
  <c r="Y127" i="8" s="1"/>
  <c r="Y133" i="8" s="1"/>
  <c r="X36" i="8"/>
  <c r="X9" i="27"/>
  <c r="X177" i="8"/>
  <c r="Y177" i="8" s="1"/>
  <c r="Y178" i="8" s="1"/>
  <c r="Z179" i="8"/>
  <c r="AB176" i="27"/>
  <c r="AB37" i="27"/>
  <c r="AB196" i="27"/>
  <c r="AD11" i="27"/>
  <c r="AA59" i="8"/>
  <c r="Z35" i="8"/>
  <c r="X226" i="8" l="1"/>
  <c r="V49" i="27"/>
  <c r="AE115" i="8"/>
  <c r="V44" i="27"/>
  <c r="Y177" i="27"/>
  <c r="AC65" i="8"/>
  <c r="AC38" i="8" s="1"/>
  <c r="AB38" i="8"/>
  <c r="AD65" i="8"/>
  <c r="AE65" i="8" s="1"/>
  <c r="AA103" i="8"/>
  <c r="AB109" i="8"/>
  <c r="AB158" i="27"/>
  <c r="AA47" i="8"/>
  <c r="AB83" i="8"/>
  <c r="X35" i="27"/>
  <c r="X194" i="27"/>
  <c r="X174" i="27"/>
  <c r="Y9" i="27"/>
  <c r="AA167" i="8"/>
  <c r="Z165" i="8"/>
  <c r="Y48" i="8"/>
  <c r="AA133" i="8"/>
  <c r="Z127" i="8"/>
  <c r="X178" i="27"/>
  <c r="X39" i="27"/>
  <c r="X198" i="27"/>
  <c r="AC158" i="27"/>
  <c r="G31" i="22"/>
  <c r="G32" i="22" s="1"/>
  <c r="Y33" i="8"/>
  <c r="Y54" i="8" s="1"/>
  <c r="Z33" i="8"/>
  <c r="Z30" i="8"/>
  <c r="Z46" i="8" s="1"/>
  <c r="Z8" i="27"/>
  <c r="X178" i="8"/>
  <c r="W156" i="27"/>
  <c r="X31" i="8"/>
  <c r="X43" i="8"/>
  <c r="X40" i="8"/>
  <c r="P91" i="22"/>
  <c r="P92" i="22" s="1"/>
  <c r="Y30" i="8"/>
  <c r="Y49" i="8" s="1"/>
  <c r="Z13" i="27"/>
  <c r="Z48" i="8"/>
  <c r="W33" i="27"/>
  <c r="W45" i="27" s="1"/>
  <c r="W155" i="27"/>
  <c r="AB91" i="8"/>
  <c r="AC97" i="8"/>
  <c r="AC91" i="8" s="1"/>
  <c r="AA39" i="8"/>
  <c r="AA10" i="27"/>
  <c r="Z213" i="8"/>
  <c r="AA215" i="8"/>
  <c r="V82" i="27"/>
  <c r="V166" i="9"/>
  <c r="V125" i="9" s="1"/>
  <c r="L37" i="21" s="1"/>
  <c r="V32" i="9"/>
  <c r="V169" i="9"/>
  <c r="V34" i="9"/>
  <c r="V204" i="9"/>
  <c r="V171" i="9"/>
  <c r="V138" i="9" s="1"/>
  <c r="L50" i="21" s="1"/>
  <c r="V29" i="9"/>
  <c r="V30" i="9" s="1"/>
  <c r="V36" i="9"/>
  <c r="V42" i="9"/>
  <c r="V170" i="9"/>
  <c r="V137" i="9" s="1"/>
  <c r="L49" i="21" s="1"/>
  <c r="L8" i="21"/>
  <c r="V164" i="9"/>
  <c r="V33" i="9"/>
  <c r="V195" i="9"/>
  <c r="K31" i="15"/>
  <c r="V248" i="9"/>
  <c r="AB53" i="8"/>
  <c r="AA32" i="8"/>
  <c r="Z225" i="8"/>
  <c r="AA227" i="8"/>
  <c r="X173" i="27"/>
  <c r="X193" i="27"/>
  <c r="X7" i="27"/>
  <c r="X21" i="27" s="1"/>
  <c r="X34" i="27"/>
  <c r="Y34" i="27" s="1"/>
  <c r="Y8" i="27"/>
  <c r="AD37" i="27"/>
  <c r="Z45" i="8"/>
  <c r="Z12" i="27"/>
  <c r="Z9" i="27"/>
  <c r="Z36" i="8"/>
  <c r="AB77" i="8"/>
  <c r="AA44" i="8"/>
  <c r="X34" i="8"/>
  <c r="AF251" i="9"/>
  <c r="W160" i="27"/>
  <c r="W28" i="9"/>
  <c r="W192" i="27"/>
  <c r="W172" i="27"/>
  <c r="W19" i="27"/>
  <c r="W18" i="27"/>
  <c r="X157" i="27"/>
  <c r="Y36" i="27"/>
  <c r="W16" i="27"/>
  <c r="Z177" i="8"/>
  <c r="AA179" i="8"/>
  <c r="AE196" i="27"/>
  <c r="AE176" i="27"/>
  <c r="AE37" i="27"/>
  <c r="X197" i="27"/>
  <c r="X177" i="27"/>
  <c r="X38" i="27"/>
  <c r="W48" i="27"/>
  <c r="W159" i="27"/>
  <c r="W17" i="27"/>
  <c r="X214" i="8"/>
  <c r="AB59" i="8"/>
  <c r="AA35" i="8"/>
  <c r="AJ41" i="8"/>
  <c r="AG42" i="8"/>
  <c r="AG11" i="27"/>
  <c r="Y13" i="27"/>
  <c r="Y39" i="27"/>
  <c r="W21" i="27"/>
  <c r="AD176" i="27"/>
  <c r="AF42" i="8"/>
  <c r="AF11" i="27"/>
  <c r="X166" i="8"/>
  <c r="Z139" i="8"/>
  <c r="AA145" i="8"/>
  <c r="V69" i="27"/>
  <c r="V78" i="27" s="1"/>
  <c r="V41" i="27"/>
  <c r="V47" i="27"/>
  <c r="V46" i="27"/>
  <c r="V79" i="27"/>
  <c r="Z195" i="27"/>
  <c r="Z175" i="27"/>
  <c r="Z36" i="27"/>
  <c r="AG121" i="8"/>
  <c r="AG115" i="8" s="1"/>
  <c r="AF115" i="8"/>
  <c r="Z214" i="8" l="1"/>
  <c r="Z49" i="8"/>
  <c r="W44" i="27"/>
  <c r="Y34" i="8"/>
  <c r="Z37" i="8"/>
  <c r="AD91" i="8"/>
  <c r="AD97" i="8" s="1"/>
  <c r="AE97" i="8" s="1"/>
  <c r="X20" i="27"/>
  <c r="AE91" i="8"/>
  <c r="AF97" i="8"/>
  <c r="AC83" i="8"/>
  <c r="AC47" i="8" s="1"/>
  <c r="AB47" i="8"/>
  <c r="Z157" i="27"/>
  <c r="X16" i="27"/>
  <c r="AE158" i="27"/>
  <c r="V136" i="9"/>
  <c r="V172" i="9"/>
  <c r="AB39" i="8"/>
  <c r="AB10" i="27"/>
  <c r="AD38" i="8"/>
  <c r="AA213" i="8"/>
  <c r="AB215" i="8"/>
  <c r="Y155" i="27"/>
  <c r="AA9" i="27"/>
  <c r="AA36" i="8"/>
  <c r="V84" i="9"/>
  <c r="V113" i="9"/>
  <c r="K40" i="15"/>
  <c r="L86" i="21"/>
  <c r="V198" i="9"/>
  <c r="V81" i="27"/>
  <c r="V80" i="27"/>
  <c r="V83" i="27"/>
  <c r="Y157" i="27"/>
  <c r="Y17" i="14" s="1"/>
  <c r="Z197" i="27"/>
  <c r="Z177" i="27"/>
  <c r="Z38" i="27"/>
  <c r="O31" i="22"/>
  <c r="O32" i="22" s="1"/>
  <c r="Y31" i="8"/>
  <c r="K91" i="22"/>
  <c r="K92" i="22" s="1"/>
  <c r="Y43" i="8"/>
  <c r="Y37" i="8"/>
  <c r="Y40" i="8"/>
  <c r="Y46" i="8"/>
  <c r="AA12" i="27"/>
  <c r="AA45" i="8"/>
  <c r="AB44" i="8"/>
  <c r="AC77" i="8"/>
  <c r="AB133" i="8"/>
  <c r="AA127" i="8"/>
  <c r="AA195" i="27"/>
  <c r="AA175" i="27"/>
  <c r="AA36" i="27"/>
  <c r="Z178" i="8"/>
  <c r="W171" i="9"/>
  <c r="W138" i="9" s="1"/>
  <c r="M50" i="21" s="1"/>
  <c r="W36" i="9"/>
  <c r="W33" i="9"/>
  <c r="W42" i="9"/>
  <c r="W32" i="9"/>
  <c r="W164" i="9"/>
  <c r="W195" i="9"/>
  <c r="W166" i="9"/>
  <c r="W125" i="9" s="1"/>
  <c r="M37" i="21" s="1"/>
  <c r="M8" i="21"/>
  <c r="W34" i="9"/>
  <c r="W29" i="9"/>
  <c r="W165" i="9" s="1"/>
  <c r="W124" i="9" s="1"/>
  <c r="M36" i="21" s="1"/>
  <c r="W170" i="9"/>
  <c r="W137" i="9" s="1"/>
  <c r="M49" i="21" s="1"/>
  <c r="W169" i="9"/>
  <c r="L31" i="15"/>
  <c r="W248" i="9"/>
  <c r="X28" i="9"/>
  <c r="Y28" i="9" s="1"/>
  <c r="X192" i="27"/>
  <c r="X172" i="27"/>
  <c r="X19" i="27"/>
  <c r="X18" i="27"/>
  <c r="L11" i="21"/>
  <c r="V37" i="9"/>
  <c r="W41" i="27"/>
  <c r="W47" i="27"/>
  <c r="W46" i="27"/>
  <c r="X156" i="27"/>
  <c r="Y35" i="27"/>
  <c r="V165" i="9"/>
  <c r="V124" i="9" s="1"/>
  <c r="L36" i="21" s="1"/>
  <c r="X159" i="27"/>
  <c r="W49" i="27"/>
  <c r="AA13" i="27"/>
  <c r="AA48" i="8"/>
  <c r="Z39" i="27"/>
  <c r="Z178" i="27"/>
  <c r="Z198" i="27"/>
  <c r="AC109" i="8"/>
  <c r="AC103" i="8" s="1"/>
  <c r="AB103" i="8"/>
  <c r="AD103" i="8" s="1"/>
  <c r="AD109" i="8" s="1"/>
  <c r="AE109" i="8" s="1"/>
  <c r="AA177" i="8"/>
  <c r="AB179" i="8"/>
  <c r="AC39" i="8"/>
  <c r="AC10" i="27"/>
  <c r="AG251" i="9"/>
  <c r="AA225" i="8"/>
  <c r="AB227" i="8"/>
  <c r="AA30" i="8"/>
  <c r="AA46" i="8" s="1"/>
  <c r="AA33" i="8"/>
  <c r="AA8" i="27"/>
  <c r="AF65" i="8"/>
  <c r="AE38" i="8"/>
  <c r="AB35" i="8"/>
  <c r="AC59" i="8"/>
  <c r="AC35" i="8" s="1"/>
  <c r="AB145" i="8"/>
  <c r="AA139" i="8"/>
  <c r="AB167" i="8"/>
  <c r="AA165" i="8"/>
  <c r="Z166" i="8"/>
  <c r="AA166" i="8" s="1"/>
  <c r="L9" i="21"/>
  <c r="Z7" i="27"/>
  <c r="Z173" i="27"/>
  <c r="Z193" i="27"/>
  <c r="Z34" i="27"/>
  <c r="Y174" i="27"/>
  <c r="Q91" i="22"/>
  <c r="Q92" i="22" s="1"/>
  <c r="AC53" i="8"/>
  <c r="AC32" i="8" s="1"/>
  <c r="AB32" i="8"/>
  <c r="AD32" i="8" s="1"/>
  <c r="AD53" i="8"/>
  <c r="AE53" i="8" s="1"/>
  <c r="Y160" i="27"/>
  <c r="Y32" i="14" s="1"/>
  <c r="Y178" i="27"/>
  <c r="AG176" i="27"/>
  <c r="AG37" i="27"/>
  <c r="AG196" i="27"/>
  <c r="X160" i="27"/>
  <c r="V79" i="9"/>
  <c r="V249" i="9"/>
  <c r="K39" i="15"/>
  <c r="Z35" i="27"/>
  <c r="Z194" i="27"/>
  <c r="Z174" i="27"/>
  <c r="AA214" i="8"/>
  <c r="Y38" i="27"/>
  <c r="V123" i="9"/>
  <c r="L35" i="21" s="1"/>
  <c r="AF176" i="27"/>
  <c r="AF196" i="27"/>
  <c r="AF37" i="27"/>
  <c r="Y7" i="27"/>
  <c r="Y21" i="27" s="1"/>
  <c r="AD158" i="27"/>
  <c r="AD22" i="14" s="1"/>
  <c r="Z31" i="8"/>
  <c r="Z43" i="8"/>
  <c r="Z40" i="8"/>
  <c r="X17" i="27"/>
  <c r="Z226" i="8"/>
  <c r="Y173" i="27"/>
  <c r="Z34" i="8"/>
  <c r="X155" i="27"/>
  <c r="X33" i="27"/>
  <c r="Y33" i="27" s="1"/>
  <c r="AD83" i="8" l="1"/>
  <c r="AE83" i="8" s="1"/>
  <c r="AD35" i="8"/>
  <c r="Y17" i="27"/>
  <c r="Y16" i="27"/>
  <c r="V178" i="9"/>
  <c r="V180" i="9" s="1"/>
  <c r="V112" i="9" s="1"/>
  <c r="K42" i="15" s="1"/>
  <c r="V167" i="9"/>
  <c r="V174" i="9" s="1"/>
  <c r="V176" i="9" s="1"/>
  <c r="V80" i="9" s="1"/>
  <c r="AA178" i="8"/>
  <c r="AD59" i="8"/>
  <c r="AE59" i="8" s="1"/>
  <c r="N31" i="15"/>
  <c r="W8" i="21"/>
  <c r="Y41" i="27"/>
  <c r="Y47" i="27"/>
  <c r="Y44" i="27"/>
  <c r="Y46" i="27"/>
  <c r="Y49" i="27"/>
  <c r="AE103" i="8"/>
  <c r="AF109" i="8"/>
  <c r="AB225" i="8"/>
  <c r="AC227" i="8"/>
  <c r="AC225" i="8" s="1"/>
  <c r="AD227" i="8"/>
  <c r="Z28" i="9"/>
  <c r="Z172" i="27"/>
  <c r="Z192" i="27"/>
  <c r="Z19" i="27"/>
  <c r="Z18" i="27"/>
  <c r="V87" i="9"/>
  <c r="X48" i="27"/>
  <c r="AA226" i="8"/>
  <c r="W136" i="9"/>
  <c r="W172" i="9"/>
  <c r="AC133" i="8"/>
  <c r="AC127" i="8" s="1"/>
  <c r="AB127" i="8"/>
  <c r="AD127" i="8" s="1"/>
  <c r="AD133" i="8" s="1"/>
  <c r="AE133" i="8" s="1"/>
  <c r="AA35" i="27"/>
  <c r="AA194" i="27"/>
  <c r="AA174" i="27"/>
  <c r="Z20" i="27"/>
  <c r="AB33" i="8"/>
  <c r="AB30" i="8"/>
  <c r="AB34" i="8" s="1"/>
  <c r="AB8" i="27"/>
  <c r="X45" i="27"/>
  <c r="AC8" i="27"/>
  <c r="AC33" i="8"/>
  <c r="AB13" i="27"/>
  <c r="AB48" i="8"/>
  <c r="AD47" i="8"/>
  <c r="AD39" i="8"/>
  <c r="AA178" i="27"/>
  <c r="AA198" i="27"/>
  <c r="AA39" i="27"/>
  <c r="X44" i="27"/>
  <c r="AB175" i="27"/>
  <c r="AB36" i="27"/>
  <c r="AB195" i="27"/>
  <c r="AD10" i="27"/>
  <c r="X33" i="9"/>
  <c r="Y33" i="9" s="1"/>
  <c r="Y69" i="9" s="1"/>
  <c r="Y45" i="14" s="1"/>
  <c r="X34" i="9"/>
  <c r="Y34" i="9" s="1"/>
  <c r="Y70" i="9" s="1"/>
  <c r="Y50" i="14" s="1"/>
  <c r="X36" i="9"/>
  <c r="Y36" i="9" s="1"/>
  <c r="Y71" i="9" s="1"/>
  <c r="Y55" i="14" s="1"/>
  <c r="X42" i="9"/>
  <c r="Y42" i="9" s="1"/>
  <c r="Y72" i="9" s="1"/>
  <c r="Y62" i="14" s="1"/>
  <c r="X166" i="9"/>
  <c r="X32" i="9"/>
  <c r="Y32" i="9" s="1"/>
  <c r="Y68" i="9" s="1"/>
  <c r="Y40" i="14" s="1"/>
  <c r="X164" i="9"/>
  <c r="X195" i="9"/>
  <c r="X169" i="9"/>
  <c r="X170" i="9"/>
  <c r="X171" i="9"/>
  <c r="N8" i="21"/>
  <c r="X29" i="9"/>
  <c r="X165" i="9" s="1"/>
  <c r="M31" i="15"/>
  <c r="X248" i="9"/>
  <c r="Y248" i="9" s="1"/>
  <c r="AC145" i="8"/>
  <c r="AC139" i="8" s="1"/>
  <c r="AB139" i="8"/>
  <c r="W30" i="9"/>
  <c r="AC9" i="27"/>
  <c r="AC36" i="8"/>
  <c r="W84" i="9"/>
  <c r="W87" i="9" s="1"/>
  <c r="W113" i="9"/>
  <c r="M86" i="21"/>
  <c r="L40" i="15"/>
  <c r="AC13" i="27"/>
  <c r="AC48" i="8"/>
  <c r="AA34" i="8"/>
  <c r="AA157" i="27"/>
  <c r="AC36" i="27"/>
  <c r="AC195" i="27"/>
  <c r="AC175" i="27"/>
  <c r="AF53" i="8"/>
  <c r="AE32" i="8"/>
  <c r="AB177" i="8"/>
  <c r="AB178" i="8" s="1"/>
  <c r="AC179" i="8"/>
  <c r="AC177" i="8" s="1"/>
  <c r="Z159" i="27"/>
  <c r="AA197" i="27"/>
  <c r="AA38" i="27"/>
  <c r="AA177" i="27"/>
  <c r="AB213" i="8"/>
  <c r="AB214" i="8" s="1"/>
  <c r="AC215" i="8"/>
  <c r="AC213" i="8" s="1"/>
  <c r="AD215" i="8"/>
  <c r="AD179" i="8"/>
  <c r="V149" i="9"/>
  <c r="W246" i="9"/>
  <c r="W249" i="9" s="1"/>
  <c r="Y172" i="27"/>
  <c r="Y19" i="27"/>
  <c r="Y18" i="27"/>
  <c r="Y20" i="27"/>
  <c r="AE47" i="8"/>
  <c r="AF83" i="8"/>
  <c r="AB36" i="8"/>
  <c r="AB9" i="27"/>
  <c r="V60" i="9"/>
  <c r="V62" i="9" s="1"/>
  <c r="V154" i="27"/>
  <c r="V206" i="27"/>
  <c r="L15" i="21"/>
  <c r="K33" i="15"/>
  <c r="V186" i="27"/>
  <c r="V162" i="27"/>
  <c r="W123" i="9"/>
  <c r="M35" i="21" s="1"/>
  <c r="W178" i="9"/>
  <c r="W167" i="9"/>
  <c r="AG97" i="8"/>
  <c r="AG91" i="8" s="1"/>
  <c r="AF91" i="8"/>
  <c r="Y48" i="27"/>
  <c r="Y159" i="27"/>
  <c r="Y27" i="14" s="1"/>
  <c r="H51" i="22"/>
  <c r="H52" i="22" s="1"/>
  <c r="AD36" i="8"/>
  <c r="AD60" i="8" s="1"/>
  <c r="AB165" i="8"/>
  <c r="AB166" i="8" s="1"/>
  <c r="AC166" i="8" s="1"/>
  <c r="AC167" i="8"/>
  <c r="AC165" i="8" s="1"/>
  <c r="Z156" i="27"/>
  <c r="M9" i="21"/>
  <c r="AE10" i="27"/>
  <c r="AE39" i="8"/>
  <c r="AE35" i="8"/>
  <c r="AF59" i="8"/>
  <c r="X41" i="27"/>
  <c r="X47" i="27"/>
  <c r="X46" i="27"/>
  <c r="AG158" i="27"/>
  <c r="AA31" i="8"/>
  <c r="AA43" i="8"/>
  <c r="AA40" i="8"/>
  <c r="L48" i="21"/>
  <c r="L51" i="21" s="1"/>
  <c r="V139" i="9"/>
  <c r="AC44" i="8"/>
  <c r="AC30" i="8" s="1"/>
  <c r="AC34" i="8" s="1"/>
  <c r="AD77" i="8"/>
  <c r="AE77" i="8" s="1"/>
  <c r="AB12" i="27"/>
  <c r="AB45" i="8"/>
  <c r="Z17" i="27"/>
  <c r="AF158" i="27"/>
  <c r="L12" i="21"/>
  <c r="L76" i="21" s="1"/>
  <c r="L13" i="21"/>
  <c r="AF38" i="8"/>
  <c r="AG65" i="8"/>
  <c r="AG38" i="8" s="1"/>
  <c r="X49" i="27"/>
  <c r="Z155" i="27"/>
  <c r="Z33" i="27"/>
  <c r="Z44" i="27" s="1"/>
  <c r="AA7" i="27"/>
  <c r="AA17" i="27" s="1"/>
  <c r="AA173" i="27"/>
  <c r="AA193" i="27"/>
  <c r="AA34" i="27"/>
  <c r="W194" i="9"/>
  <c r="V128" i="9"/>
  <c r="AA49" i="8"/>
  <c r="W79" i="9"/>
  <c r="L39" i="15"/>
  <c r="Y45" i="27"/>
  <c r="Y156" i="27"/>
  <c r="Y12" i="14" s="1"/>
  <c r="AA37" i="8"/>
  <c r="H31" i="22"/>
  <c r="H32" i="22" s="1"/>
  <c r="AD33" i="8"/>
  <c r="AD54" i="8" s="1"/>
  <c r="Z21" i="27"/>
  <c r="Z160" i="27"/>
  <c r="Z16" i="27"/>
  <c r="AC214" i="8" l="1"/>
  <c r="W180" i="9"/>
  <c r="W112" i="9" s="1"/>
  <c r="L42" i="15" s="1"/>
  <c r="AC178" i="8"/>
  <c r="AD225" i="8"/>
  <c r="AB46" i="8"/>
  <c r="AD36" i="27"/>
  <c r="AA16" i="27"/>
  <c r="AB37" i="8"/>
  <c r="AB49" i="8"/>
  <c r="AD177" i="8"/>
  <c r="AC49" i="8"/>
  <c r="AF133" i="8"/>
  <c r="AE127" i="8"/>
  <c r="AD157" i="27"/>
  <c r="AD17" i="14" s="1"/>
  <c r="X124" i="9"/>
  <c r="Y165" i="9"/>
  <c r="AA156" i="27"/>
  <c r="X84" i="9"/>
  <c r="X87" i="9" s="1"/>
  <c r="Y87" i="9" s="1"/>
  <c r="X113" i="9"/>
  <c r="Y113" i="9" s="1"/>
  <c r="M40" i="15"/>
  <c r="N86" i="21"/>
  <c r="Y195" i="9"/>
  <c r="AD48" i="8"/>
  <c r="V188" i="27"/>
  <c r="L27" i="21"/>
  <c r="K32" i="15"/>
  <c r="V146" i="27"/>
  <c r="V208" i="27"/>
  <c r="AA20" i="27"/>
  <c r="Y164" i="9"/>
  <c r="X123" i="9"/>
  <c r="X178" i="9"/>
  <c r="X180" i="9" s="1"/>
  <c r="X112" i="9" s="1"/>
  <c r="X167" i="9"/>
  <c r="AG109" i="8"/>
  <c r="AG103" i="8" s="1"/>
  <c r="AF103" i="8"/>
  <c r="Y251" i="9"/>
  <c r="N39" i="15"/>
  <c r="X137" i="9"/>
  <c r="Y170" i="9"/>
  <c r="Y189" i="9" s="1"/>
  <c r="Y145" i="14" s="1"/>
  <c r="L61" i="21"/>
  <c r="AA160" i="27"/>
  <c r="L16" i="21"/>
  <c r="L78" i="21" s="1"/>
  <c r="L17" i="21"/>
  <c r="AE227" i="8"/>
  <c r="AD226" i="8"/>
  <c r="AD213" i="8"/>
  <c r="Z48" i="27"/>
  <c r="AC35" i="27"/>
  <c r="AC194" i="27"/>
  <c r="AC174" i="27"/>
  <c r="W196" i="9"/>
  <c r="W198" i="9" s="1"/>
  <c r="AE13" i="27"/>
  <c r="AE48" i="8"/>
  <c r="AC37" i="8"/>
  <c r="AC157" i="27"/>
  <c r="N9" i="21"/>
  <c r="AA28" i="9"/>
  <c r="AA172" i="27"/>
  <c r="AA192" i="27"/>
  <c r="AA19" i="27"/>
  <c r="AA18" i="27"/>
  <c r="X138" i="9"/>
  <c r="Y171" i="9"/>
  <c r="Y190" i="9" s="1"/>
  <c r="Y150" i="14" s="1"/>
  <c r="Z164" i="9"/>
  <c r="Z170" i="9"/>
  <c r="Z137" i="9" s="1"/>
  <c r="O49" i="21" s="1"/>
  <c r="Z34" i="9"/>
  <c r="Z33" i="9"/>
  <c r="Z42" i="9"/>
  <c r="Z171" i="9"/>
  <c r="Z138" i="9" s="1"/>
  <c r="O50" i="21" s="1"/>
  <c r="Z166" i="9"/>
  <c r="Z125" i="9" s="1"/>
  <c r="O37" i="21" s="1"/>
  <c r="Z169" i="9"/>
  <c r="Z36" i="9"/>
  <c r="Z32" i="9"/>
  <c r="Z195" i="9"/>
  <c r="O8" i="21"/>
  <c r="Z29" i="9"/>
  <c r="Z30" i="9" s="1"/>
  <c r="Z248" i="9"/>
  <c r="AC178" i="27"/>
  <c r="AC39" i="27"/>
  <c r="AC198" i="27"/>
  <c r="AJ38" i="8"/>
  <c r="AG10" i="27"/>
  <c r="AG39" i="8"/>
  <c r="AA159" i="27"/>
  <c r="W139" i="9"/>
  <c r="M48" i="21"/>
  <c r="M51" i="21" s="1"/>
  <c r="AD167" i="8"/>
  <c r="AB226" i="8"/>
  <c r="AC226" i="8" s="1"/>
  <c r="AE179" i="8"/>
  <c r="AD178" i="8"/>
  <c r="AA21" i="27"/>
  <c r="AB178" i="27"/>
  <c r="AB198" i="27"/>
  <c r="AB39" i="27"/>
  <c r="AF39" i="8"/>
  <c r="AF10" i="27"/>
  <c r="Y29" i="9"/>
  <c r="V132" i="9"/>
  <c r="L40" i="21"/>
  <c r="L44" i="21" s="1"/>
  <c r="W174" i="9"/>
  <c r="W176" i="9" s="1"/>
  <c r="W80" i="9" s="1"/>
  <c r="AD175" i="27"/>
  <c r="AD13" i="27"/>
  <c r="I31" i="22"/>
  <c r="I32" i="22" s="1"/>
  <c r="AE33" i="8"/>
  <c r="AE8" i="27"/>
  <c r="AD139" i="8"/>
  <c r="AD145" i="8" s="1"/>
  <c r="AE145" i="8" s="1"/>
  <c r="AB173" i="27"/>
  <c r="AB7" i="27"/>
  <c r="AB20" i="27" s="1"/>
  <c r="AB34" i="27"/>
  <c r="AB193" i="27"/>
  <c r="AD8" i="27"/>
  <c r="AF35" i="8"/>
  <c r="AG59" i="8"/>
  <c r="AG35" i="8" s="1"/>
  <c r="I51" i="22"/>
  <c r="I52" i="22" s="1"/>
  <c r="AE36" i="8"/>
  <c r="AE9" i="27"/>
  <c r="AF32" i="8"/>
  <c r="AG53" i="8"/>
  <c r="AG32" i="8" s="1"/>
  <c r="AB157" i="27"/>
  <c r="Y169" i="9"/>
  <c r="X136" i="9"/>
  <c r="X172" i="9"/>
  <c r="X125" i="9"/>
  <c r="Y166" i="9"/>
  <c r="Y188" i="9" s="1"/>
  <c r="Y128" i="14" s="1"/>
  <c r="AB35" i="27"/>
  <c r="AB194" i="27"/>
  <c r="AB174" i="27"/>
  <c r="AD9" i="27"/>
  <c r="AC31" i="8"/>
  <c r="AC43" i="8"/>
  <c r="AC40" i="8"/>
  <c r="AD30" i="8"/>
  <c r="AD49" i="8" s="1"/>
  <c r="AB31" i="8"/>
  <c r="AB43" i="8"/>
  <c r="AB40" i="8"/>
  <c r="Z45" i="27"/>
  <c r="AF47" i="8"/>
  <c r="AG83" i="8"/>
  <c r="AG47" i="8" s="1"/>
  <c r="AC34" i="27"/>
  <c r="AC193" i="27"/>
  <c r="AC173" i="27"/>
  <c r="AB197" i="27"/>
  <c r="AB177" i="27"/>
  <c r="AB38" i="27"/>
  <c r="AF77" i="8"/>
  <c r="AE44" i="8"/>
  <c r="AE30" i="8" s="1"/>
  <c r="Z41" i="27"/>
  <c r="Z47" i="27"/>
  <c r="Z46" i="27"/>
  <c r="AE215" i="8"/>
  <c r="AD214" i="8"/>
  <c r="X30" i="9"/>
  <c r="AD165" i="8"/>
  <c r="M11" i="21"/>
  <c r="Z49" i="27"/>
  <c r="G21" i="28"/>
  <c r="W9" i="21"/>
  <c r="G22" i="28" s="1"/>
  <c r="AA155" i="27"/>
  <c r="AA33" i="27"/>
  <c r="AA44" i="27" s="1"/>
  <c r="X79" i="9"/>
  <c r="Y79" i="9" s="1"/>
  <c r="M39" i="15"/>
  <c r="AC46" i="8"/>
  <c r="AC12" i="27"/>
  <c r="AC7" i="27" s="1"/>
  <c r="AC16" i="27" s="1"/>
  <c r="AC45" i="8"/>
  <c r="AE36" i="27"/>
  <c r="AE175" i="27"/>
  <c r="AE195" i="27"/>
  <c r="W149" i="9"/>
  <c r="X246" i="9"/>
  <c r="X249" i="9" s="1"/>
  <c r="AD44" i="8"/>
  <c r="AD39" i="27" l="1"/>
  <c r="H12" i="25"/>
  <c r="H12" i="24"/>
  <c r="I12" i="25"/>
  <c r="AB17" i="27"/>
  <c r="AB16" i="27"/>
  <c r="AA48" i="27"/>
  <c r="AA49" i="27"/>
  <c r="X174" i="9"/>
  <c r="X176" i="9" s="1"/>
  <c r="X80" i="9" s="1"/>
  <c r="Y80" i="9" s="1"/>
  <c r="M91" i="22"/>
  <c r="Q31" i="22"/>
  <c r="AE31" i="8"/>
  <c r="AE43" i="8"/>
  <c r="AE40" i="8"/>
  <c r="AE37" i="8"/>
  <c r="AE49" i="8"/>
  <c r="AE34" i="8"/>
  <c r="AJ35" i="8"/>
  <c r="AG36" i="8"/>
  <c r="AG9" i="27"/>
  <c r="AE167" i="8"/>
  <c r="AD166" i="8"/>
  <c r="N11" i="21"/>
  <c r="AJ47" i="8"/>
  <c r="AG13" i="27"/>
  <c r="AG48" i="8"/>
  <c r="AF36" i="8"/>
  <c r="AF9" i="27"/>
  <c r="Y84" i="9"/>
  <c r="L28" i="21"/>
  <c r="L77" i="21" s="1"/>
  <c r="L29" i="21"/>
  <c r="AF13" i="27"/>
  <c r="AF48" i="8"/>
  <c r="AG36" i="27"/>
  <c r="AG175" i="27"/>
  <c r="AG195" i="27"/>
  <c r="W111" i="9"/>
  <c r="W204" i="9"/>
  <c r="W78" i="9"/>
  <c r="Y137" i="9"/>
  <c r="W49" i="21" s="1"/>
  <c r="N49" i="21"/>
  <c r="AE178" i="27"/>
  <c r="AE39" i="27"/>
  <c r="AE198" i="27"/>
  <c r="AD160" i="27"/>
  <c r="AD32" i="14" s="1"/>
  <c r="AF195" i="27"/>
  <c r="AF36" i="27"/>
  <c r="AF175" i="27"/>
  <c r="X194" i="9"/>
  <c r="W128" i="9"/>
  <c r="W86" i="21"/>
  <c r="G61" i="28" s="1"/>
  <c r="Y202" i="9"/>
  <c r="Y97" i="14" s="1"/>
  <c r="N40" i="15"/>
  <c r="Y178" i="9"/>
  <c r="Y180" i="9" s="1"/>
  <c r="Y301" i="9" s="1"/>
  <c r="Y167" i="9"/>
  <c r="Y184" i="9"/>
  <c r="AD7" i="27"/>
  <c r="AD21" i="27" s="1"/>
  <c r="Z79" i="9"/>
  <c r="Y185" i="9"/>
  <c r="O11" i="21"/>
  <c r="AC38" i="27"/>
  <c r="AC197" i="27"/>
  <c r="AC20" i="27"/>
  <c r="AC177" i="27"/>
  <c r="AD173" i="27"/>
  <c r="Y125" i="9"/>
  <c r="W37" i="21" s="1"/>
  <c r="N37" i="21"/>
  <c r="AB160" i="27"/>
  <c r="AF44" i="8"/>
  <c r="AG77" i="8"/>
  <c r="AG44" i="8" s="1"/>
  <c r="Y123" i="9"/>
  <c r="W35" i="21" s="1"/>
  <c r="N35" i="21"/>
  <c r="AB159" i="27"/>
  <c r="AE193" i="27"/>
  <c r="AE34" i="27"/>
  <c r="AE173" i="27"/>
  <c r="AC21" i="27"/>
  <c r="Z165" i="9"/>
  <c r="Z124" i="9" s="1"/>
  <c r="O36" i="21" s="1"/>
  <c r="Y124" i="9"/>
  <c r="W36" i="21" s="1"/>
  <c r="N36" i="21"/>
  <c r="AE157" i="27"/>
  <c r="AB156" i="27"/>
  <c r="AD35" i="27"/>
  <c r="Z123" i="9"/>
  <c r="O35" i="21" s="1"/>
  <c r="AC17" i="27"/>
  <c r="AF145" i="8"/>
  <c r="AE139" i="8"/>
  <c r="AB21" i="27"/>
  <c r="AJ32" i="8"/>
  <c r="AG8" i="27"/>
  <c r="AG30" i="8"/>
  <c r="AG34" i="8" s="1"/>
  <c r="AG33" i="8"/>
  <c r="AF33" i="8"/>
  <c r="AF8" i="27"/>
  <c r="AF30" i="8"/>
  <c r="AF34" i="8" s="1"/>
  <c r="AE177" i="8"/>
  <c r="AE178" i="8" s="1"/>
  <c r="AF179" i="8"/>
  <c r="O9" i="21"/>
  <c r="AA169" i="9"/>
  <c r="AA36" i="9"/>
  <c r="AA42" i="9"/>
  <c r="AA33" i="9"/>
  <c r="AA34" i="9"/>
  <c r="AA32" i="9"/>
  <c r="AA171" i="9"/>
  <c r="AA138" i="9" s="1"/>
  <c r="P50" i="21" s="1"/>
  <c r="AA166" i="9"/>
  <c r="AA125" i="9" s="1"/>
  <c r="P37" i="21" s="1"/>
  <c r="AA195" i="9"/>
  <c r="AA164" i="9"/>
  <c r="AA29" i="9"/>
  <c r="AA165" i="9" s="1"/>
  <c r="AA124" i="9" s="1"/>
  <c r="P36" i="21" s="1"/>
  <c r="AA170" i="9"/>
  <c r="AA137" i="9" s="1"/>
  <c r="P49" i="21" s="1"/>
  <c r="P8" i="21"/>
  <c r="AA248" i="9"/>
  <c r="AA79" i="9" s="1"/>
  <c r="AE225" i="8"/>
  <c r="AE226" i="8" s="1"/>
  <c r="AF227" i="8"/>
  <c r="AB155" i="27"/>
  <c r="AB33" i="27"/>
  <c r="AB48" i="27" s="1"/>
  <c r="AD34" i="27"/>
  <c r="Q51" i="22"/>
  <c r="AE12" i="27"/>
  <c r="AE7" i="27" s="1"/>
  <c r="AE45" i="8"/>
  <c r="AE46" i="8"/>
  <c r="P31" i="22"/>
  <c r="P32" i="22" s="1"/>
  <c r="AD31" i="8"/>
  <c r="L91" i="22"/>
  <c r="L92" i="22" s="1"/>
  <c r="AD43" i="8"/>
  <c r="AD37" i="8"/>
  <c r="AD40" i="8"/>
  <c r="AD34" i="8"/>
  <c r="AE174" i="27"/>
  <c r="AE35" i="27"/>
  <c r="AE194" i="27"/>
  <c r="Z113" i="9"/>
  <c r="O86" i="21"/>
  <c r="Z84" i="9"/>
  <c r="AD174" i="27"/>
  <c r="AE213" i="8"/>
  <c r="AE214" i="8" s="1"/>
  <c r="AF215" i="8"/>
  <c r="AA41" i="27"/>
  <c r="AA47" i="27"/>
  <c r="AA46" i="27"/>
  <c r="Y186" i="9"/>
  <c r="Y172" i="9"/>
  <c r="AB28" i="9"/>
  <c r="AB172" i="27"/>
  <c r="AB192" i="27"/>
  <c r="AB19" i="27"/>
  <c r="AB18" i="27"/>
  <c r="AA45" i="27"/>
  <c r="Y30" i="9"/>
  <c r="M12" i="21"/>
  <c r="M76" i="21" s="1"/>
  <c r="M13" i="21"/>
  <c r="AC28" i="9"/>
  <c r="AC172" i="27"/>
  <c r="AC192" i="27"/>
  <c r="AC19" i="27"/>
  <c r="AC18" i="27"/>
  <c r="X139" i="9"/>
  <c r="Y136" i="9"/>
  <c r="W48" i="21" s="1"/>
  <c r="N48" i="21"/>
  <c r="AC160" i="27"/>
  <c r="N50" i="21"/>
  <c r="Y138" i="9"/>
  <c r="W50" i="21" s="1"/>
  <c r="M42" i="15"/>
  <c r="Y112" i="9"/>
  <c r="N42" i="15" s="1"/>
  <c r="AD12" i="27"/>
  <c r="AC156" i="27"/>
  <c r="P51" i="22"/>
  <c r="P52" i="22" s="1"/>
  <c r="AD45" i="8"/>
  <c r="AD46" i="8"/>
  <c r="Y249" i="9"/>
  <c r="X149" i="9"/>
  <c r="AD178" i="27"/>
  <c r="M61" i="21"/>
  <c r="AG133" i="8"/>
  <c r="AG127" i="8" s="1"/>
  <c r="AF127" i="8"/>
  <c r="AC155" i="27"/>
  <c r="AC33" i="27"/>
  <c r="Z136" i="9"/>
  <c r="Z172" i="9"/>
  <c r="O12" i="25" l="1"/>
  <c r="P12" i="25"/>
  <c r="J16" i="24"/>
  <c r="K16" i="24"/>
  <c r="M12" i="24"/>
  <c r="J18" i="24"/>
  <c r="K18" i="24"/>
  <c r="N12" i="24"/>
  <c r="L12" i="24"/>
  <c r="N12" i="25"/>
  <c r="K16" i="25"/>
  <c r="K18" i="25"/>
  <c r="L18" i="25"/>
  <c r="L16" i="25"/>
  <c r="M12" i="25"/>
  <c r="AB49" i="27"/>
  <c r="AE21" i="27"/>
  <c r="AE17" i="27"/>
  <c r="AE16" i="27"/>
  <c r="AB44" i="27"/>
  <c r="Y123" i="14"/>
  <c r="W99" i="21"/>
  <c r="G69" i="28" s="1"/>
  <c r="O69" i="28" s="1"/>
  <c r="AA113" i="9"/>
  <c r="AA84" i="9"/>
  <c r="P86" i="21"/>
  <c r="AE166" i="8"/>
  <c r="AE156" i="27"/>
  <c r="AF178" i="27"/>
  <c r="AF39" i="27"/>
  <c r="AF198" i="27"/>
  <c r="W51" i="21"/>
  <c r="AG31" i="8"/>
  <c r="AJ30" i="8"/>
  <c r="AG43" i="8"/>
  <c r="AG40" i="8"/>
  <c r="AD16" i="27"/>
  <c r="Y187" i="9"/>
  <c r="Y118" i="14"/>
  <c r="W98" i="21"/>
  <c r="AE165" i="8"/>
  <c r="AF167" i="8"/>
  <c r="AC41" i="27"/>
  <c r="AC47" i="27"/>
  <c r="AC46" i="27"/>
  <c r="AF174" i="27"/>
  <c r="AF35" i="27"/>
  <c r="AF194" i="27"/>
  <c r="AC171" i="9"/>
  <c r="AC32" i="9"/>
  <c r="AC195" i="9"/>
  <c r="AD195" i="9" s="1"/>
  <c r="AC34" i="9"/>
  <c r="AC42" i="9"/>
  <c r="AC169" i="9"/>
  <c r="AC166" i="9"/>
  <c r="AC33" i="9"/>
  <c r="AC170" i="9"/>
  <c r="AC29" i="9"/>
  <c r="AC165" i="9" s="1"/>
  <c r="AC164" i="9"/>
  <c r="R8" i="21"/>
  <c r="AC36" i="9"/>
  <c r="AC248" i="9"/>
  <c r="AC79" i="9" s="1"/>
  <c r="AA30" i="9"/>
  <c r="AF139" i="8"/>
  <c r="AG145" i="8"/>
  <c r="AG139" i="8" s="1"/>
  <c r="AF31" i="8"/>
  <c r="AF43" i="8"/>
  <c r="AF40" i="8"/>
  <c r="P9" i="21"/>
  <c r="AC44" i="27"/>
  <c r="Y139" i="9"/>
  <c r="AG35" i="27"/>
  <c r="AG194" i="27"/>
  <c r="AG174" i="27"/>
  <c r="AE155" i="27"/>
  <c r="AE38" i="27"/>
  <c r="AE197" i="27"/>
  <c r="AE20" i="27"/>
  <c r="AE177" i="27"/>
  <c r="Q52" i="22"/>
  <c r="AF37" i="8"/>
  <c r="AA167" i="9"/>
  <c r="AA123" i="9"/>
  <c r="P35" i="21" s="1"/>
  <c r="AA178" i="9"/>
  <c r="AD246" i="9"/>
  <c r="Z246" i="9"/>
  <c r="Z249" i="9" s="1"/>
  <c r="AD17" i="27"/>
  <c r="W132" i="9"/>
  <c r="M40" i="21"/>
  <c r="M44" i="21" s="1"/>
  <c r="Z87" i="9"/>
  <c r="AD155" i="27"/>
  <c r="AA136" i="9"/>
  <c r="AA172" i="9"/>
  <c r="Z167" i="9"/>
  <c r="Z174" i="9" s="1"/>
  <c r="X196" i="9"/>
  <c r="W35" i="9"/>
  <c r="W51" i="27"/>
  <c r="AB41" i="27"/>
  <c r="AB47" i="27"/>
  <c r="AD33" i="27"/>
  <c r="AD44" i="27" s="1"/>
  <c r="AB46" i="27"/>
  <c r="Z178" i="9"/>
  <c r="Z180" i="9" s="1"/>
  <c r="Z112" i="9" s="1"/>
  <c r="AG157" i="27"/>
  <c r="AG178" i="27"/>
  <c r="AG39" i="27"/>
  <c r="AG198" i="27"/>
  <c r="Z139" i="9"/>
  <c r="O48" i="21"/>
  <c r="O51" i="21" s="1"/>
  <c r="AG34" i="27"/>
  <c r="AG173" i="27"/>
  <c r="AG193" i="27"/>
  <c r="AF213" i="8"/>
  <c r="AF214" i="8" s="1"/>
  <c r="AG215" i="8"/>
  <c r="AG213" i="8" s="1"/>
  <c r="AG37" i="8"/>
  <c r="AC48" i="27"/>
  <c r="AC159" i="27"/>
  <c r="AD38" i="27"/>
  <c r="AG49" i="8"/>
  <c r="AF49" i="8"/>
  <c r="AB32" i="9"/>
  <c r="AB42" i="9"/>
  <c r="AB170" i="9"/>
  <c r="AB137" i="9" s="1"/>
  <c r="Q49" i="21" s="1"/>
  <c r="AB169" i="9"/>
  <c r="AB36" i="9"/>
  <c r="AB166" i="9"/>
  <c r="AB125" i="9" s="1"/>
  <c r="Q37" i="21" s="1"/>
  <c r="AB171" i="9"/>
  <c r="AB138" i="9" s="1"/>
  <c r="Q50" i="21" s="1"/>
  <c r="AB33" i="9"/>
  <c r="AB195" i="9"/>
  <c r="AB34" i="9"/>
  <c r="AB29" i="9"/>
  <c r="AB165" i="9" s="1"/>
  <c r="AB124" i="9" s="1"/>
  <c r="Q36" i="21" s="1"/>
  <c r="AB164" i="9"/>
  <c r="Q8" i="21"/>
  <c r="AB248" i="9"/>
  <c r="AB79" i="9" s="1"/>
  <c r="AD28" i="9"/>
  <c r="AC49" i="27"/>
  <c r="N51" i="21"/>
  <c r="AD172" i="27"/>
  <c r="AD19" i="27"/>
  <c r="AD18" i="27"/>
  <c r="Y174" i="9"/>
  <c r="Y176" i="9" s="1"/>
  <c r="Y149" i="9"/>
  <c r="W61" i="21" s="1"/>
  <c r="N61" i="21"/>
  <c r="Y67" i="9"/>
  <c r="Y7" i="14" s="1"/>
  <c r="W11" i="21"/>
  <c r="AD156" i="27"/>
  <c r="AD12" i="14" s="1"/>
  <c r="AF157" i="27"/>
  <c r="AF193" i="27"/>
  <c r="AF34" i="27"/>
  <c r="AF173" i="27"/>
  <c r="AE160" i="27"/>
  <c r="Y140" i="14"/>
  <c r="W100" i="21"/>
  <c r="G70" i="28" s="1"/>
  <c r="AE28" i="9"/>
  <c r="AE172" i="27"/>
  <c r="AE192" i="27"/>
  <c r="AE19" i="27"/>
  <c r="AE18" i="27"/>
  <c r="AC45" i="27"/>
  <c r="AF177" i="8"/>
  <c r="AF178" i="8" s="1"/>
  <c r="AG178" i="8" s="1"/>
  <c r="AG179" i="8"/>
  <c r="AG177" i="8" s="1"/>
  <c r="AJ44" i="8"/>
  <c r="AG45" i="8"/>
  <c r="AG12" i="27"/>
  <c r="AG7" i="27" s="1"/>
  <c r="AG16" i="27" s="1"/>
  <c r="AG46" i="8"/>
  <c r="O12" i="21"/>
  <c r="O76" i="21" s="1"/>
  <c r="O13" i="21"/>
  <c r="Q32" i="22"/>
  <c r="AD20" i="27"/>
  <c r="AD177" i="27"/>
  <c r="AG227" i="8"/>
  <c r="AG225" i="8" s="1"/>
  <c r="AF225" i="8"/>
  <c r="AF226" i="8" s="1"/>
  <c r="AG226" i="8" s="1"/>
  <c r="AB45" i="27"/>
  <c r="AF45" i="8"/>
  <c r="AF46" i="8"/>
  <c r="AF12" i="27"/>
  <c r="AF7" i="27" s="1"/>
  <c r="N12" i="21"/>
  <c r="N76" i="21" s="1"/>
  <c r="N13" i="21"/>
  <c r="M92" i="22"/>
  <c r="AA87" i="9" l="1"/>
  <c r="H43" i="24"/>
  <c r="I43" i="25"/>
  <c r="H43" i="25"/>
  <c r="AA174" i="9"/>
  <c r="AD42" i="9"/>
  <c r="AD72" i="9" s="1"/>
  <c r="AD62" i="14" s="1"/>
  <c r="AD79" i="9"/>
  <c r="H13" i="24"/>
  <c r="I13" i="25"/>
  <c r="H13" i="25"/>
  <c r="AA176" i="9"/>
  <c r="AA80" i="9" s="1"/>
  <c r="AB30" i="9"/>
  <c r="AD29" i="9"/>
  <c r="AD248" i="9"/>
  <c r="O39" i="15" s="1"/>
  <c r="AD32" i="9"/>
  <c r="AD68" i="9" s="1"/>
  <c r="AD40" i="14" s="1"/>
  <c r="AD33" i="9"/>
  <c r="AD69" i="9" s="1"/>
  <c r="AD45" i="14" s="1"/>
  <c r="AD45" i="27"/>
  <c r="AG214" i="8"/>
  <c r="AD34" i="9"/>
  <c r="AD70" i="9" s="1"/>
  <c r="AD50" i="14" s="1"/>
  <c r="Z176" i="9"/>
  <c r="Z80" i="9" s="1"/>
  <c r="X86" i="21"/>
  <c r="H61" i="28" s="1"/>
  <c r="AD202" i="9"/>
  <c r="AD97" i="14" s="1"/>
  <c r="O40" i="15"/>
  <c r="AF28" i="9"/>
  <c r="AF172" i="27"/>
  <c r="AF192" i="27"/>
  <c r="AF19" i="27"/>
  <c r="AF18" i="27"/>
  <c r="AF17" i="27"/>
  <c r="AF21" i="27"/>
  <c r="AF16" i="27"/>
  <c r="AD251" i="9"/>
  <c r="P11" i="21"/>
  <c r="AF160" i="27"/>
  <c r="G24" i="28"/>
  <c r="W13" i="21"/>
  <c r="G26" i="28" s="1"/>
  <c r="W12" i="21"/>
  <c r="AF156" i="27"/>
  <c r="AA139" i="9"/>
  <c r="P48" i="21"/>
  <c r="P51" i="21" s="1"/>
  <c r="AB84" i="9"/>
  <c r="AB113" i="9"/>
  <c r="AD113" i="9" s="1"/>
  <c r="Q86" i="21"/>
  <c r="W61" i="9"/>
  <c r="L38" i="15"/>
  <c r="W37" i="9"/>
  <c r="X204" i="9"/>
  <c r="X111" i="9"/>
  <c r="Y111" i="9" s="1"/>
  <c r="X78" i="9"/>
  <c r="Y196" i="9"/>
  <c r="AD36" i="9"/>
  <c r="AD71" i="9" s="1"/>
  <c r="AD55" i="14" s="1"/>
  <c r="AG28" i="9"/>
  <c r="AG192" i="27"/>
  <c r="AG172" i="27"/>
  <c r="AG19" i="27"/>
  <c r="AG18" i="27"/>
  <c r="AG155" i="27"/>
  <c r="AE159" i="27"/>
  <c r="R9" i="21"/>
  <c r="AD170" i="9"/>
  <c r="AD189" i="9" s="1"/>
  <c r="AD145" i="14" s="1"/>
  <c r="AC137" i="9"/>
  <c r="AG167" i="8"/>
  <c r="AG165" i="8" s="1"/>
  <c r="AF165" i="8"/>
  <c r="AF166" i="8" s="1"/>
  <c r="AG166" i="8" s="1"/>
  <c r="W69" i="27"/>
  <c r="W53" i="27"/>
  <c r="W52" i="27"/>
  <c r="W57" i="27"/>
  <c r="W56" i="27"/>
  <c r="W55" i="27"/>
  <c r="W54" i="27"/>
  <c r="AB136" i="9"/>
  <c r="AB172" i="9"/>
  <c r="AG160" i="27"/>
  <c r="O31" i="15"/>
  <c r="X8" i="21"/>
  <c r="AG17" i="27"/>
  <c r="AC125" i="9"/>
  <c r="AD166" i="9"/>
  <c r="AD188" i="9" s="1"/>
  <c r="AD128" i="14" s="1"/>
  <c r="AG21" i="27"/>
  <c r="AG38" i="27"/>
  <c r="AG33" i="27" s="1"/>
  <c r="AG177" i="27"/>
  <c r="AG20" i="27"/>
  <c r="AG197" i="27"/>
  <c r="AG156" i="27"/>
  <c r="AD159" i="27"/>
  <c r="AD27" i="14" s="1"/>
  <c r="AD48" i="27"/>
  <c r="AA246" i="9"/>
  <c r="AA249" i="9" s="1"/>
  <c r="Z149" i="9"/>
  <c r="AC136" i="9"/>
  <c r="AD169" i="9"/>
  <c r="AC172" i="9"/>
  <c r="G68" i="28"/>
  <c r="W101" i="21"/>
  <c r="G71" i="28" s="1"/>
  <c r="O71" i="28" s="1"/>
  <c r="Q11" i="21"/>
  <c r="Q9" i="21"/>
  <c r="AC138" i="9"/>
  <c r="AD171" i="9"/>
  <c r="AD190" i="9" s="1"/>
  <c r="AD150" i="14" s="1"/>
  <c r="AE166" i="9"/>
  <c r="AE125" i="9" s="1"/>
  <c r="Y37" i="21" s="1"/>
  <c r="AE169" i="9"/>
  <c r="AE29" i="9"/>
  <c r="AE165" i="9" s="1"/>
  <c r="AE124" i="9" s="1"/>
  <c r="Y36" i="21" s="1"/>
  <c r="AE36" i="9"/>
  <c r="AE30" i="9"/>
  <c r="AE34" i="9"/>
  <c r="AE42" i="9"/>
  <c r="AE32" i="9"/>
  <c r="AE195" i="9"/>
  <c r="AE171" i="9"/>
  <c r="AE138" i="9" s="1"/>
  <c r="Y50" i="21" s="1"/>
  <c r="AE33" i="9"/>
  <c r="P31" i="15"/>
  <c r="AE170" i="9"/>
  <c r="AE137" i="9" s="1"/>
  <c r="Y49" i="21" s="1"/>
  <c r="Y8" i="21"/>
  <c r="AE164" i="9"/>
  <c r="AE248" i="9"/>
  <c r="X198" i="9"/>
  <c r="AE33" i="27"/>
  <c r="AF155" i="27"/>
  <c r="R86" i="21"/>
  <c r="AC84" i="9"/>
  <c r="AC87" i="9" s="1"/>
  <c r="AC113" i="9"/>
  <c r="AF38" i="27"/>
  <c r="AF197" i="27"/>
  <c r="AF20" i="27"/>
  <c r="AF177" i="27"/>
  <c r="AC167" i="9"/>
  <c r="AC178" i="9"/>
  <c r="AC123" i="9"/>
  <c r="AD164" i="9"/>
  <c r="AD165" i="9"/>
  <c r="AC124" i="9"/>
  <c r="AB178" i="9"/>
  <c r="AB180" i="9" s="1"/>
  <c r="AB112" i="9" s="1"/>
  <c r="AB123" i="9"/>
  <c r="Q35" i="21" s="1"/>
  <c r="AB167" i="9"/>
  <c r="AD41" i="27"/>
  <c r="AD47" i="27"/>
  <c r="AD46" i="27"/>
  <c r="AD49" i="27"/>
  <c r="AA180" i="9"/>
  <c r="AA112" i="9" s="1"/>
  <c r="AC30" i="9"/>
  <c r="AD249" i="9" l="1"/>
  <c r="AE246" i="9" s="1"/>
  <c r="AE249" i="9" s="1"/>
  <c r="O43" i="25"/>
  <c r="P43" i="25"/>
  <c r="M43" i="25"/>
  <c r="N43" i="25"/>
  <c r="N43" i="24"/>
  <c r="L43" i="24"/>
  <c r="M43" i="24"/>
  <c r="AD30" i="9"/>
  <c r="M13" i="25"/>
  <c r="P13" i="25"/>
  <c r="N13" i="25"/>
  <c r="O13" i="25"/>
  <c r="AD185" i="9"/>
  <c r="AD123" i="14" s="1"/>
  <c r="N13" i="24"/>
  <c r="L13" i="24"/>
  <c r="M13" i="24"/>
  <c r="AC174" i="9"/>
  <c r="AC180" i="9"/>
  <c r="AC112" i="9" s="1"/>
  <c r="AD112" i="9"/>
  <c r="O42" i="15" s="1"/>
  <c r="AG41" i="27"/>
  <c r="AG47" i="27"/>
  <c r="AG46" i="27"/>
  <c r="AG45" i="27"/>
  <c r="AG44" i="27"/>
  <c r="AG49" i="27"/>
  <c r="AE149" i="9"/>
  <c r="AF246" i="9"/>
  <c r="AE41" i="27"/>
  <c r="AE47" i="27"/>
  <c r="AE46" i="27"/>
  <c r="AE45" i="27"/>
  <c r="AE49" i="27"/>
  <c r="AE44" i="27"/>
  <c r="X35" i="9"/>
  <c r="X51" i="27"/>
  <c r="Y78" i="9"/>
  <c r="Q13" i="21"/>
  <c r="Q12" i="21"/>
  <c r="Q76" i="21" s="1"/>
  <c r="AD137" i="9"/>
  <c r="X49" i="21" s="1"/>
  <c r="R49" i="21"/>
  <c r="AD123" i="9"/>
  <c r="X35" i="21" s="1"/>
  <c r="R35" i="21"/>
  <c r="AF159" i="27"/>
  <c r="O61" i="21"/>
  <c r="AB139" i="9"/>
  <c r="Q48" i="21"/>
  <c r="Q51" i="21" s="1"/>
  <c r="AD125" i="9"/>
  <c r="X37" i="21" s="1"/>
  <c r="R37" i="21"/>
  <c r="AA149" i="9"/>
  <c r="AB246" i="9"/>
  <c r="AB249" i="9" s="1"/>
  <c r="AE48" i="27"/>
  <c r="W73" i="27"/>
  <c r="AD138" i="9"/>
  <c r="X50" i="21" s="1"/>
  <c r="R50" i="21"/>
  <c r="Y204" i="9"/>
  <c r="AD124" i="9"/>
  <c r="X36" i="21" s="1"/>
  <c r="R36" i="21"/>
  <c r="X128" i="9"/>
  <c r="Y198" i="9"/>
  <c r="AE84" i="9"/>
  <c r="AE87" i="9" s="1"/>
  <c r="AE113" i="9"/>
  <c r="Y86" i="21"/>
  <c r="I61" i="28" s="1"/>
  <c r="P40" i="15"/>
  <c r="Y11" i="21"/>
  <c r="W72" i="27"/>
  <c r="W74" i="27"/>
  <c r="AF195" i="9"/>
  <c r="AF33" i="9"/>
  <c r="AF29" i="9"/>
  <c r="AF165" i="9" s="1"/>
  <c r="AF124" i="9" s="1"/>
  <c r="Z36" i="21" s="1"/>
  <c r="AF34" i="9"/>
  <c r="AF170" i="9"/>
  <c r="AF137" i="9" s="1"/>
  <c r="Z49" i="21" s="1"/>
  <c r="AF42" i="9"/>
  <c r="AF169" i="9"/>
  <c r="AF166" i="9"/>
  <c r="AF125" i="9" s="1"/>
  <c r="Z37" i="21" s="1"/>
  <c r="AF171" i="9"/>
  <c r="AF138" i="9" s="1"/>
  <c r="Z50" i="21" s="1"/>
  <c r="AF32" i="9"/>
  <c r="AF164" i="9"/>
  <c r="AF36" i="9"/>
  <c r="Q31" i="15"/>
  <c r="Z8" i="21"/>
  <c r="AF248" i="9"/>
  <c r="W71" i="27"/>
  <c r="AG159" i="27"/>
  <c r="AG48" i="27"/>
  <c r="P13" i="21"/>
  <c r="P12" i="21"/>
  <c r="P76" i="21" s="1"/>
  <c r="AD167" i="9"/>
  <c r="AD178" i="9"/>
  <c r="AD180" i="9" s="1"/>
  <c r="AD184" i="9"/>
  <c r="AE123" i="9"/>
  <c r="Y35" i="21" s="1"/>
  <c r="AE167" i="9"/>
  <c r="AE178" i="9"/>
  <c r="H21" i="28"/>
  <c r="X9" i="21"/>
  <c r="H22" i="28" s="1"/>
  <c r="AD172" i="9"/>
  <c r="AD186" i="9"/>
  <c r="AB87" i="9"/>
  <c r="AD87" i="9" s="1"/>
  <c r="AD84" i="9"/>
  <c r="R11" i="21"/>
  <c r="W162" i="27"/>
  <c r="W206" i="27"/>
  <c r="W154" i="27"/>
  <c r="M15" i="21"/>
  <c r="W60" i="9"/>
  <c r="W62" i="9" s="1"/>
  <c r="L33" i="15"/>
  <c r="W186" i="27"/>
  <c r="I21" i="28"/>
  <c r="Y9" i="21"/>
  <c r="I22" i="28" s="1"/>
  <c r="W75" i="27"/>
  <c r="AD67" i="9"/>
  <c r="AD7" i="14" s="1"/>
  <c r="X11" i="21"/>
  <c r="AE79" i="9"/>
  <c r="P39" i="15"/>
  <c r="AD136" i="9"/>
  <c r="X48" i="21" s="1"/>
  <c r="AC139" i="9"/>
  <c r="R48" i="21"/>
  <c r="AE136" i="9"/>
  <c r="AE172" i="9"/>
  <c r="G25" i="28"/>
  <c r="W76" i="21"/>
  <c r="AB174" i="9"/>
  <c r="AB176" i="9" s="1"/>
  <c r="AB80" i="9" s="1"/>
  <c r="W70" i="27"/>
  <c r="AG33" i="9"/>
  <c r="AG42" i="9"/>
  <c r="AG166" i="9"/>
  <c r="AG125" i="9" s="1"/>
  <c r="AA37" i="21" s="1"/>
  <c r="AG29" i="9"/>
  <c r="AG165" i="9" s="1"/>
  <c r="AG124" i="9" s="1"/>
  <c r="AA36" i="21" s="1"/>
  <c r="AG36" i="9"/>
  <c r="AG34" i="9"/>
  <c r="AG171" i="9"/>
  <c r="AG138" i="9" s="1"/>
  <c r="AA50" i="21" s="1"/>
  <c r="AG195" i="9"/>
  <c r="AG169" i="9"/>
  <c r="AG32" i="9"/>
  <c r="AG170" i="9"/>
  <c r="AG137" i="9" s="1"/>
  <c r="AA49" i="21" s="1"/>
  <c r="AG164" i="9"/>
  <c r="R31" i="15"/>
  <c r="AA8" i="21"/>
  <c r="AG248" i="9"/>
  <c r="AF33" i="27"/>
  <c r="AF48" i="27" s="1"/>
  <c r="W59" i="27"/>
  <c r="X99" i="21" l="1"/>
  <c r="H69" i="28" s="1"/>
  <c r="AE180" i="9"/>
  <c r="AE112" i="9" s="1"/>
  <c r="P42" i="15" s="1"/>
  <c r="AE174" i="9"/>
  <c r="AC176" i="9"/>
  <c r="AC80" i="9" s="1"/>
  <c r="AD80" i="9" s="1"/>
  <c r="AG30" i="9"/>
  <c r="X51" i="21"/>
  <c r="AD174" i="9"/>
  <c r="AD176" i="9" s="1"/>
  <c r="R51" i="21"/>
  <c r="AG167" i="9"/>
  <c r="AG123" i="9"/>
  <c r="AA35" i="21" s="1"/>
  <c r="AG178" i="9"/>
  <c r="AE139" i="9"/>
  <c r="Y48" i="21"/>
  <c r="Y51" i="21" s="1"/>
  <c r="W188" i="27"/>
  <c r="M27" i="21"/>
  <c r="L32" i="15"/>
  <c r="W146" i="27"/>
  <c r="W208" i="27"/>
  <c r="W81" i="27"/>
  <c r="W80" i="27"/>
  <c r="P61" i="21"/>
  <c r="AF79" i="9"/>
  <c r="Q39" i="15"/>
  <c r="I24" i="28"/>
  <c r="Y13" i="21"/>
  <c r="I26" i="28" s="1"/>
  <c r="Y12" i="21"/>
  <c r="AB149" i="9"/>
  <c r="AC246" i="9"/>
  <c r="AC249" i="9" s="1"/>
  <c r="AC149" i="9" s="1"/>
  <c r="Z194" i="9"/>
  <c r="AD194" i="9"/>
  <c r="Y61" i="21"/>
  <c r="AF113" i="9"/>
  <c r="AF84" i="9"/>
  <c r="AF87" i="9" s="1"/>
  <c r="Z86" i="21"/>
  <c r="J61" i="28" s="1"/>
  <c r="Q40" i="15"/>
  <c r="H24" i="28"/>
  <c r="X13" i="21"/>
  <c r="H26" i="28" s="1"/>
  <c r="X12" i="21"/>
  <c r="AF249" i="9"/>
  <c r="Y128" i="9"/>
  <c r="W40" i="21" s="1"/>
  <c r="W44" i="21" s="1"/>
  <c r="N40" i="21"/>
  <c r="N44" i="21" s="1"/>
  <c r="X132" i="9"/>
  <c r="Y132" i="9" s="1"/>
  <c r="W79" i="27"/>
  <c r="W78" i="27"/>
  <c r="AF30" i="9"/>
  <c r="X69" i="27"/>
  <c r="X53" i="27"/>
  <c r="X55" i="27"/>
  <c r="X56" i="27"/>
  <c r="X54" i="27"/>
  <c r="X57" i="27"/>
  <c r="X52" i="27"/>
  <c r="AG84" i="9"/>
  <c r="AG87" i="9" s="1"/>
  <c r="AG113" i="9"/>
  <c r="AA86" i="21"/>
  <c r="K61" i="28" s="1"/>
  <c r="R40" i="15"/>
  <c r="J21" i="28"/>
  <c r="Z9" i="21"/>
  <c r="J22" i="28" s="1"/>
  <c r="W83" i="27"/>
  <c r="AF123" i="9"/>
  <c r="Z35" i="21" s="1"/>
  <c r="AF178" i="9"/>
  <c r="AF180" i="9" s="1"/>
  <c r="AF112" i="9" s="1"/>
  <c r="Q42" i="15" s="1"/>
  <c r="AF167" i="9"/>
  <c r="AF172" i="9"/>
  <c r="AF136" i="9"/>
  <c r="M16" i="21"/>
  <c r="M78" i="21" s="1"/>
  <c r="M17" i="21"/>
  <c r="W82" i="27"/>
  <c r="AD139" i="9"/>
  <c r="AG136" i="9"/>
  <c r="AG172" i="9"/>
  <c r="X61" i="9"/>
  <c r="Y61" i="9" s="1"/>
  <c r="M38" i="15"/>
  <c r="X37" i="9"/>
  <c r="Y35" i="9"/>
  <c r="N38" i="15" s="1"/>
  <c r="R12" i="21"/>
  <c r="R76" i="21" s="1"/>
  <c r="R13" i="21"/>
  <c r="AA11" i="21"/>
  <c r="AF41" i="27"/>
  <c r="AF47" i="27"/>
  <c r="AF46" i="27"/>
  <c r="AF44" i="27"/>
  <c r="AF45" i="27"/>
  <c r="AF49" i="27"/>
  <c r="AG79" i="9"/>
  <c r="R39" i="15"/>
  <c r="AD140" i="14"/>
  <c r="X100" i="21"/>
  <c r="H70" i="28" s="1"/>
  <c r="O70" i="28" s="1"/>
  <c r="AD118" i="14"/>
  <c r="AD187" i="9"/>
  <c r="X98" i="21"/>
  <c r="Y203" i="9"/>
  <c r="Y77" i="14" s="1"/>
  <c r="K21" i="28"/>
  <c r="AE8" i="21"/>
  <c r="O21" i="28" s="1"/>
  <c r="AA9" i="21"/>
  <c r="K22" i="28" s="1"/>
  <c r="AE176" i="9" l="1"/>
  <c r="AE80" i="9" s="1"/>
  <c r="O61" i="28"/>
  <c r="X59" i="27"/>
  <c r="AF139" i="9"/>
  <c r="Z48" i="21"/>
  <c r="Z51" i="21" s="1"/>
  <c r="X70" i="27"/>
  <c r="Y52" i="27"/>
  <c r="AF174" i="9"/>
  <c r="AF176" i="9" s="1"/>
  <c r="AF80" i="9" s="1"/>
  <c r="Z11" i="21"/>
  <c r="Z196" i="9"/>
  <c r="Z198" i="9" s="1"/>
  <c r="AD149" i="9"/>
  <c r="X61" i="21" s="1"/>
  <c r="R61" i="21"/>
  <c r="H25" i="28"/>
  <c r="X76" i="21"/>
  <c r="X74" i="27"/>
  <c r="Y56" i="27"/>
  <c r="AA13" i="21"/>
  <c r="K26" i="28" s="1"/>
  <c r="K24" i="28"/>
  <c r="AE11" i="21"/>
  <c r="O24" i="28" s="1"/>
  <c r="AA12" i="21"/>
  <c r="X60" i="9"/>
  <c r="X62" i="9" s="1"/>
  <c r="X162" i="27"/>
  <c r="X206" i="27"/>
  <c r="X154" i="27"/>
  <c r="X186" i="27"/>
  <c r="N15" i="21"/>
  <c r="M33" i="15"/>
  <c r="Y37" i="9"/>
  <c r="Q61" i="21"/>
  <c r="H68" i="28"/>
  <c r="O68" i="28" s="1"/>
  <c r="X101" i="21"/>
  <c r="H71" i="28" s="1"/>
  <c r="X73" i="27"/>
  <c r="Y55" i="27"/>
  <c r="X71" i="27"/>
  <c r="Y53" i="27"/>
  <c r="Y76" i="21"/>
  <c r="I25" i="28"/>
  <c r="AG180" i="9"/>
  <c r="AG112" i="9" s="1"/>
  <c r="R42" i="15" s="1"/>
  <c r="X72" i="27"/>
  <c r="Y54" i="27"/>
  <c r="X75" i="27"/>
  <c r="Y57" i="27"/>
  <c r="M28" i="21"/>
  <c r="M77" i="21" s="1"/>
  <c r="M29" i="21"/>
  <c r="AG139" i="9"/>
  <c r="AA48" i="21"/>
  <c r="AA51" i="21" s="1"/>
  <c r="AG174" i="9"/>
  <c r="AG246" i="9"/>
  <c r="AG249" i="9" s="1"/>
  <c r="AG149" i="9" s="1"/>
  <c r="AF149" i="9"/>
  <c r="AG176" i="9" l="1"/>
  <c r="AG80" i="9" s="1"/>
  <c r="Y73" i="27"/>
  <c r="Y74" i="27"/>
  <c r="X82" i="27"/>
  <c r="X81" i="27"/>
  <c r="Z204" i="9"/>
  <c r="Z111" i="9"/>
  <c r="Z78" i="9"/>
  <c r="X83" i="27"/>
  <c r="Y51" i="27"/>
  <c r="Y66" i="27" s="1"/>
  <c r="Y87" i="14" s="1"/>
  <c r="Y70" i="27"/>
  <c r="AA61" i="21"/>
  <c r="X78" i="27"/>
  <c r="Z61" i="21"/>
  <c r="Y186" i="27"/>
  <c r="N33" i="15"/>
  <c r="Y154" i="27"/>
  <c r="W15" i="21"/>
  <c r="Z128" i="9"/>
  <c r="AA194" i="9"/>
  <c r="N16" i="21"/>
  <c r="N78" i="21" s="1"/>
  <c r="N17" i="21"/>
  <c r="Y75" i="27"/>
  <c r="J24" i="28"/>
  <c r="Z13" i="21"/>
  <c r="J26" i="28" s="1"/>
  <c r="Z12" i="21"/>
  <c r="Y72" i="27"/>
  <c r="X80" i="27"/>
  <c r="X188" i="27"/>
  <c r="X146" i="27"/>
  <c r="M32" i="15"/>
  <c r="N27" i="21"/>
  <c r="X208" i="27"/>
  <c r="Y62" i="9"/>
  <c r="Y71" i="27"/>
  <c r="K25" i="28"/>
  <c r="AA76" i="21"/>
  <c r="X79" i="27"/>
  <c r="Y67" i="27" l="1"/>
  <c r="Y88" i="14" s="1"/>
  <c r="Z35" i="9"/>
  <c r="Z51" i="27"/>
  <c r="AA196" i="9"/>
  <c r="AA198" i="9"/>
  <c r="W17" i="21"/>
  <c r="W16" i="21"/>
  <c r="Y64" i="27"/>
  <c r="Y85" i="14" s="1"/>
  <c r="Y69" i="27"/>
  <c r="Y83" i="27" s="1"/>
  <c r="Y59" i="27"/>
  <c r="Y63" i="27"/>
  <c r="Y84" i="14" s="1"/>
  <c r="Z132" i="9"/>
  <c r="O40" i="21"/>
  <c r="O44" i="21" s="1"/>
  <c r="S25" i="28"/>
  <c r="Y146" i="27"/>
  <c r="Y188" i="27"/>
  <c r="N32" i="15"/>
  <c r="W27" i="21"/>
  <c r="N29" i="21"/>
  <c r="N28" i="21"/>
  <c r="N77" i="21" s="1"/>
  <c r="J25" i="28"/>
  <c r="Z76" i="21"/>
  <c r="Y65" i="27"/>
  <c r="Y86" i="14" s="1"/>
  <c r="Y62" i="27"/>
  <c r="Y83" i="14" s="1"/>
  <c r="Y78" i="27" l="1"/>
  <c r="AA128" i="9"/>
  <c r="AB194" i="9"/>
  <c r="Y82" i="27"/>
  <c r="Y80" i="27"/>
  <c r="G7" i="22"/>
  <c r="W78" i="21"/>
  <c r="G28" i="28"/>
  <c r="W29" i="21"/>
  <c r="G30" i="28" s="1"/>
  <c r="W28" i="21"/>
  <c r="AA78" i="9"/>
  <c r="AA111" i="9"/>
  <c r="AA204" i="9"/>
  <c r="Y79" i="27"/>
  <c r="Z53" i="27"/>
  <c r="Z69" i="27"/>
  <c r="Z54" i="27"/>
  <c r="Z57" i="27"/>
  <c r="Z52" i="27"/>
  <c r="Z56" i="27"/>
  <c r="Z55" i="27"/>
  <c r="Z61" i="9"/>
  <c r="Z37" i="9"/>
  <c r="Y81" i="27"/>
  <c r="AA35" i="9" l="1"/>
  <c r="AA51" i="27"/>
  <c r="G8" i="22"/>
  <c r="G29" i="28"/>
  <c r="W77" i="21"/>
  <c r="Z162" i="27"/>
  <c r="Z206" i="27"/>
  <c r="Z154" i="27"/>
  <c r="Z186" i="27"/>
  <c r="O15" i="21"/>
  <c r="Z73" i="27"/>
  <c r="Z74" i="27"/>
  <c r="Z70" i="27"/>
  <c r="Z75" i="27"/>
  <c r="AB196" i="9"/>
  <c r="Z72" i="27"/>
  <c r="P40" i="21"/>
  <c r="P44" i="21" s="1"/>
  <c r="AA132" i="9"/>
  <c r="Z59" i="27"/>
  <c r="Z71" i="27"/>
  <c r="O16" i="21" l="1"/>
  <c r="O78" i="21" s="1"/>
  <c r="O17" i="21"/>
  <c r="Z79" i="27"/>
  <c r="Z80" i="27"/>
  <c r="AB78" i="9"/>
  <c r="AB111" i="9"/>
  <c r="AB204" i="9"/>
  <c r="AB198" i="9"/>
  <c r="Z83" i="27"/>
  <c r="Z78" i="27"/>
  <c r="Z82" i="27"/>
  <c r="AA69" i="27"/>
  <c r="AA54" i="27"/>
  <c r="AA57" i="27"/>
  <c r="AA52" i="27"/>
  <c r="AA56" i="27"/>
  <c r="AA53" i="27"/>
  <c r="AA55" i="27"/>
  <c r="AA61" i="9"/>
  <c r="AA37" i="9"/>
  <c r="Z81" i="27"/>
  <c r="H17" i="25" l="1"/>
  <c r="I17" i="25"/>
  <c r="I18" i="25" s="1"/>
  <c r="H17" i="24"/>
  <c r="AB128" i="9"/>
  <c r="AC194" i="9"/>
  <c r="AA186" i="27"/>
  <c r="AA162" i="27"/>
  <c r="AA206" i="27"/>
  <c r="P15" i="21"/>
  <c r="AA154" i="27"/>
  <c r="AB35" i="9"/>
  <c r="AB51" i="27"/>
  <c r="AA73" i="27"/>
  <c r="AA71" i="27"/>
  <c r="AA74" i="27"/>
  <c r="AA70" i="27"/>
  <c r="AA75" i="27"/>
  <c r="AA72" i="27"/>
  <c r="AA59" i="27"/>
  <c r="M17" i="24" l="1"/>
  <c r="N17" i="24"/>
  <c r="L17" i="24"/>
  <c r="H18" i="24"/>
  <c r="P17" i="25"/>
  <c r="N17" i="25"/>
  <c r="M17" i="25"/>
  <c r="H18" i="25"/>
  <c r="O17" i="25"/>
  <c r="AB61" i="9"/>
  <c r="AB37" i="9"/>
  <c r="AA79" i="27"/>
  <c r="E273" i="15"/>
  <c r="M273" i="15" s="1"/>
  <c r="AA81" i="27"/>
  <c r="E275" i="15"/>
  <c r="M275" i="15" s="1"/>
  <c r="AB53" i="27"/>
  <c r="AB69" i="27"/>
  <c r="AB54" i="27"/>
  <c r="AB57" i="27"/>
  <c r="AB52" i="27"/>
  <c r="AB56" i="27"/>
  <c r="AB55" i="27"/>
  <c r="P16" i="21"/>
  <c r="P78" i="21" s="1"/>
  <c r="P17" i="21"/>
  <c r="AA80" i="27"/>
  <c r="E274" i="15"/>
  <c r="M274" i="15" s="1"/>
  <c r="AA83" i="27"/>
  <c r="E277" i="15"/>
  <c r="M277" i="15" s="1"/>
  <c r="AA78" i="27"/>
  <c r="E272" i="15"/>
  <c r="M272" i="15" s="1"/>
  <c r="AC196" i="9"/>
  <c r="AB132" i="9"/>
  <c r="Q40" i="21"/>
  <c r="Q44" i="21" s="1"/>
  <c r="AA82" i="27"/>
  <c r="E276" i="15"/>
  <c r="M276" i="15" s="1"/>
  <c r="P18" i="25" l="1"/>
  <c r="O18" i="25"/>
  <c r="M18" i="25"/>
  <c r="N18" i="25"/>
  <c r="N18" i="24"/>
  <c r="M18" i="24"/>
  <c r="L18" i="24"/>
  <c r="AB73" i="27"/>
  <c r="AB81" i="27" s="1"/>
  <c r="AB74" i="27"/>
  <c r="AB82" i="27" s="1"/>
  <c r="AB70" i="27"/>
  <c r="AB78" i="27" s="1"/>
  <c r="AB75" i="27"/>
  <c r="AB83" i="27" s="1"/>
  <c r="AB72" i="27"/>
  <c r="AB80" i="27" s="1"/>
  <c r="AB71" i="27"/>
  <c r="AB79" i="27" s="1"/>
  <c r="AB59" i="27"/>
  <c r="AC204" i="9"/>
  <c r="AC111" i="9"/>
  <c r="AD111" i="9" s="1"/>
  <c r="AC78" i="9"/>
  <c r="AD196" i="9"/>
  <c r="AC198" i="9"/>
  <c r="AC128" i="9" s="1"/>
  <c r="R272" i="15"/>
  <c r="AB186" i="27"/>
  <c r="AB162" i="27"/>
  <c r="AB206" i="27"/>
  <c r="Q15" i="21"/>
  <c r="AB154" i="27"/>
  <c r="AD128" i="9" l="1"/>
  <c r="X40" i="21" s="1"/>
  <c r="X44" i="21" s="1"/>
  <c r="AC132" i="9"/>
  <c r="AD132" i="9" s="1"/>
  <c r="R40" i="21"/>
  <c r="R44" i="21" s="1"/>
  <c r="AD204" i="9"/>
  <c r="AD198" i="9"/>
  <c r="AE194" i="9" s="1"/>
  <c r="AC35" i="9"/>
  <c r="AC51" i="27"/>
  <c r="AD78" i="9"/>
  <c r="Q16" i="21"/>
  <c r="Q78" i="21" s="1"/>
  <c r="Q17" i="21"/>
  <c r="AC56" i="27" l="1"/>
  <c r="AC53" i="27"/>
  <c r="AC69" i="27"/>
  <c r="AC54" i="27"/>
  <c r="AC57" i="27"/>
  <c r="AC52" i="27"/>
  <c r="AC55" i="27"/>
  <c r="AC61" i="9"/>
  <c r="AD61" i="9" s="1"/>
  <c r="AC37" i="9"/>
  <c r="AD35" i="9"/>
  <c r="O38" i="15" s="1"/>
  <c r="AE196" i="9"/>
  <c r="AE198" i="9" s="1"/>
  <c r="AD203" i="9"/>
  <c r="AD77" i="14" s="1"/>
  <c r="AE128" i="9" l="1"/>
  <c r="AF194" i="9"/>
  <c r="AE204" i="9"/>
  <c r="AE78" i="9"/>
  <c r="AE111" i="9"/>
  <c r="AC206" i="27"/>
  <c r="AC162" i="27"/>
  <c r="AC186" i="27"/>
  <c r="R15" i="21"/>
  <c r="AC154" i="27"/>
  <c r="AD37" i="9"/>
  <c r="AC73" i="27"/>
  <c r="AC81" i="27" s="1"/>
  <c r="AD55" i="27"/>
  <c r="AC70" i="27"/>
  <c r="AC78" i="27" s="1"/>
  <c r="AD52" i="27"/>
  <c r="AC75" i="27"/>
  <c r="AC83" i="27" s="1"/>
  <c r="AD57" i="27"/>
  <c r="AC72" i="27"/>
  <c r="AC80" i="27" s="1"/>
  <c r="AD54" i="27"/>
  <c r="AC71" i="27"/>
  <c r="AC79" i="27" s="1"/>
  <c r="AD53" i="27"/>
  <c r="AC59" i="27"/>
  <c r="AC74" i="27"/>
  <c r="AC82" i="27" s="1"/>
  <c r="AD56" i="27"/>
  <c r="AD72" i="27" l="1"/>
  <c r="AD75" i="27"/>
  <c r="AD51" i="27"/>
  <c r="AD70" i="27"/>
  <c r="AD62" i="27"/>
  <c r="AD83" i="14" s="1"/>
  <c r="AD73" i="27"/>
  <c r="AD65" i="27"/>
  <c r="AD86" i="14" s="1"/>
  <c r="AD186" i="27"/>
  <c r="O33" i="15"/>
  <c r="X15" i="21"/>
  <c r="AD154" i="27"/>
  <c r="R16" i="21"/>
  <c r="R78" i="21" s="1"/>
  <c r="R17" i="21"/>
  <c r="AD66" i="27"/>
  <c r="AD87" i="14" s="1"/>
  <c r="AD74" i="27"/>
  <c r="AE35" i="9"/>
  <c r="AE51" i="27"/>
  <c r="AD71" i="27"/>
  <c r="AF196" i="9"/>
  <c r="AF198" i="9" s="1"/>
  <c r="AE132" i="9"/>
  <c r="Y40" i="21"/>
  <c r="Y44" i="21" s="1"/>
  <c r="AE54" i="27" l="1"/>
  <c r="AE72" i="27" s="1"/>
  <c r="AE56" i="27"/>
  <c r="AE74" i="27" s="1"/>
  <c r="AE55" i="27"/>
  <c r="AE73" i="27" s="1"/>
  <c r="AE53" i="27"/>
  <c r="AE71" i="27" s="1"/>
  <c r="AE69" i="27"/>
  <c r="AE52" i="27"/>
  <c r="AE70" i="27" s="1"/>
  <c r="AE78" i="27" s="1"/>
  <c r="AE57" i="27"/>
  <c r="AE75" i="27" s="1"/>
  <c r="AE83" i="27" s="1"/>
  <c r="AE61" i="9"/>
  <c r="P38" i="15"/>
  <c r="AE37" i="9"/>
  <c r="X16" i="21"/>
  <c r="X17" i="21"/>
  <c r="AD69" i="27"/>
  <c r="AD82" i="27" s="1"/>
  <c r="AD59" i="27"/>
  <c r="AG194" i="9"/>
  <c r="AF128" i="9"/>
  <c r="AF204" i="9"/>
  <c r="AF78" i="9"/>
  <c r="AF111" i="9"/>
  <c r="AD67" i="27"/>
  <c r="AD88" i="14" s="1"/>
  <c r="AD63" i="27"/>
  <c r="AD84" i="14" s="1"/>
  <c r="AD64" i="27"/>
  <c r="AD85" i="14" s="1"/>
  <c r="H7" i="22" l="1"/>
  <c r="X78" i="21"/>
  <c r="AD78" i="27"/>
  <c r="AD81" i="27"/>
  <c r="AE154" i="27"/>
  <c r="P33" i="15"/>
  <c r="AE206" i="27"/>
  <c r="AE186" i="27"/>
  <c r="Y15" i="21"/>
  <c r="AE162" i="27"/>
  <c r="AD79" i="27"/>
  <c r="AD80" i="27"/>
  <c r="AE79" i="27"/>
  <c r="AF35" i="9"/>
  <c r="AF51" i="27"/>
  <c r="AE81" i="27"/>
  <c r="AE59" i="27"/>
  <c r="AD83" i="27"/>
  <c r="AE82" i="27"/>
  <c r="AF132" i="9"/>
  <c r="Z40" i="21"/>
  <c r="Z44" i="21" s="1"/>
  <c r="AE80" i="27"/>
  <c r="AG196" i="9"/>
  <c r="AG198" i="9" s="1"/>
  <c r="AG128" i="9" s="1"/>
  <c r="AF54" i="27" l="1"/>
  <c r="AF72" i="27" s="1"/>
  <c r="AF57" i="27"/>
  <c r="AF75" i="27" s="1"/>
  <c r="AF55" i="27"/>
  <c r="AF73" i="27" s="1"/>
  <c r="AF69" i="27"/>
  <c r="AF56" i="27"/>
  <c r="AF74" i="27" s="1"/>
  <c r="AF82" i="27" s="1"/>
  <c r="AF52" i="27"/>
  <c r="AF70" i="27" s="1"/>
  <c r="AF78" i="27" s="1"/>
  <c r="AF53" i="27"/>
  <c r="AF71" i="27" s="1"/>
  <c r="AF79" i="27" s="1"/>
  <c r="Q38" i="15"/>
  <c r="AF61" i="9"/>
  <c r="AF37" i="9"/>
  <c r="Y16" i="21"/>
  <c r="Y17" i="21"/>
  <c r="AG132" i="9"/>
  <c r="AA40" i="21"/>
  <c r="AA44" i="21" s="1"/>
  <c r="AG204" i="9"/>
  <c r="AG78" i="9"/>
  <c r="AG111" i="9"/>
  <c r="AG35" i="9" l="1"/>
  <c r="AG51" i="27"/>
  <c r="I7" i="22"/>
  <c r="Y78" i="21"/>
  <c r="AF154" i="27"/>
  <c r="AF162" i="27"/>
  <c r="Q33" i="15"/>
  <c r="AF186" i="27"/>
  <c r="AF206" i="27"/>
  <c r="Z15" i="21"/>
  <c r="AF59" i="27"/>
  <c r="AF81" i="27"/>
  <c r="AF83" i="27"/>
  <c r="AF80" i="27"/>
  <c r="Z17" i="21" l="1"/>
  <c r="Z16" i="21"/>
  <c r="Z78" i="21" s="1"/>
  <c r="AG52" i="27"/>
  <c r="AG70" i="27" s="1"/>
  <c r="AG54" i="27"/>
  <c r="AG72" i="27" s="1"/>
  <c r="AG56" i="27"/>
  <c r="AG74" i="27" s="1"/>
  <c r="AG57" i="27"/>
  <c r="AG75" i="27" s="1"/>
  <c r="AG55" i="27"/>
  <c r="AG73" i="27" s="1"/>
  <c r="AG53" i="27"/>
  <c r="AG71" i="27" s="1"/>
  <c r="AG69" i="27"/>
  <c r="AG61" i="9"/>
  <c r="R38" i="15"/>
  <c r="AG37" i="9"/>
  <c r="AG59" i="27" l="1"/>
  <c r="AG206" i="27"/>
  <c r="AG186" i="27"/>
  <c r="R33" i="15"/>
  <c r="AG154" i="27"/>
  <c r="AA15" i="21"/>
  <c r="AG162" i="27"/>
  <c r="AG79" i="27"/>
  <c r="AG81" i="27"/>
  <c r="AG83" i="27"/>
  <c r="AG82" i="27"/>
  <c r="AG80" i="27"/>
  <c r="AG78" i="27"/>
  <c r="AA17" i="21" l="1"/>
  <c r="AE15" i="21"/>
  <c r="AA16" i="21"/>
  <c r="AA78" i="21" s="1"/>
  <c r="V39" i="9"/>
  <c r="V329" i="9"/>
  <c r="V331" i="9"/>
  <c r="F132" i="15" l="1"/>
  <c r="N124" i="15" l="1"/>
  <c r="N125" i="15" s="1"/>
  <c r="R124" i="15"/>
  <c r="R125" i="15" s="1"/>
  <c r="N202" i="15"/>
  <c r="R202" i="15"/>
  <c r="R203" i="15" s="1"/>
  <c r="Q229" i="15" l="1"/>
  <c r="N203" i="15"/>
  <c r="E256" i="15" l="1"/>
  <c r="E264" i="15" l="1"/>
  <c r="M256" i="15"/>
  <c r="R229" i="15"/>
  <c r="M264" i="15" l="1"/>
  <c r="R230" i="15"/>
  <c r="E7" i="22"/>
  <c r="E8" i="22"/>
  <c r="H8" i="22"/>
  <c r="I8" i="22"/>
  <c r="E9" i="22"/>
  <c r="G9" i="22"/>
  <c r="H9" i="22"/>
  <c r="I9" i="22"/>
  <c r="E71" i="22"/>
  <c r="G71" i="22"/>
  <c r="H71" i="22"/>
  <c r="I71" i="22"/>
  <c r="M71" i="22"/>
  <c r="O71" i="22"/>
  <c r="P71" i="22"/>
  <c r="Q71" i="22"/>
  <c r="E72" i="22"/>
  <c r="F72" i="22"/>
  <c r="G72" i="22"/>
  <c r="H72" i="22"/>
  <c r="I72" i="22"/>
  <c r="M72" i="22"/>
  <c r="N72" i="22"/>
  <c r="O72" i="22"/>
  <c r="P72" i="22"/>
  <c r="Q72" i="22"/>
  <c r="L9" i="12"/>
  <c r="L10" i="12"/>
  <c r="P11" i="12"/>
  <c r="Q11" i="12"/>
  <c r="L12" i="12"/>
  <c r="L13" i="12"/>
  <c r="P13" i="12"/>
  <c r="Q13" i="12"/>
  <c r="L16" i="12"/>
  <c r="L17" i="12"/>
  <c r="P18" i="12"/>
  <c r="Q18" i="12"/>
  <c r="L19" i="12"/>
  <c r="L20" i="12"/>
  <c r="P20" i="12"/>
  <c r="Q20" i="12"/>
  <c r="M50" i="14"/>
  <c r="O50" i="14"/>
  <c r="M69" i="14"/>
  <c r="O69" i="14"/>
  <c r="Y69" i="14"/>
  <c r="AD69" i="14"/>
  <c r="D7" i="26"/>
  <c r="D14" i="26"/>
  <c r="M34" i="9"/>
  <c r="O34" i="9"/>
  <c r="M37" i="9"/>
  <c r="O37" i="9"/>
  <c r="W39" i="9"/>
  <c r="X39" i="9"/>
  <c r="Y39" i="9"/>
  <c r="Z39" i="9"/>
  <c r="AA39" i="9"/>
  <c r="AB39" i="9"/>
  <c r="AC39" i="9"/>
  <c r="AD39" i="9"/>
  <c r="AE39" i="9"/>
  <c r="AF39" i="9"/>
  <c r="AG39" i="9"/>
  <c r="V40" i="9"/>
  <c r="W40" i="9"/>
  <c r="X40" i="9"/>
  <c r="Y40" i="9"/>
  <c r="Z40" i="9"/>
  <c r="AA40" i="9"/>
  <c r="AB40" i="9"/>
  <c r="AC40" i="9"/>
  <c r="AD40" i="9"/>
  <c r="AE40" i="9"/>
  <c r="AF40" i="9"/>
  <c r="AG40" i="9"/>
  <c r="M43" i="9"/>
  <c r="O43" i="9"/>
  <c r="V43" i="9"/>
  <c r="W43" i="9"/>
  <c r="X43" i="9"/>
  <c r="Y43" i="9"/>
  <c r="Z43" i="9"/>
  <c r="AA43" i="9"/>
  <c r="AB43" i="9"/>
  <c r="AC43" i="9"/>
  <c r="AD43" i="9"/>
  <c r="AE43" i="9"/>
  <c r="AF43" i="9"/>
  <c r="AG43" i="9"/>
  <c r="V45" i="9"/>
  <c r="W45" i="9"/>
  <c r="X45" i="9"/>
  <c r="Y45" i="9"/>
  <c r="Z45" i="9"/>
  <c r="AA45" i="9"/>
  <c r="AB45" i="9"/>
  <c r="AC45" i="9"/>
  <c r="AD45" i="9"/>
  <c r="AE45" i="9"/>
  <c r="AF45" i="9"/>
  <c r="AG45" i="9"/>
  <c r="M46" i="9"/>
  <c r="O46" i="9"/>
  <c r="V46" i="9"/>
  <c r="W46" i="9"/>
  <c r="X46" i="9"/>
  <c r="Y46" i="9"/>
  <c r="Z46" i="9"/>
  <c r="AA46" i="9"/>
  <c r="AB46" i="9"/>
  <c r="AC46" i="9"/>
  <c r="AD46" i="9"/>
  <c r="AE46" i="9"/>
  <c r="AF46" i="9"/>
  <c r="AG46" i="9"/>
  <c r="M52" i="9"/>
  <c r="O52" i="9"/>
  <c r="V52" i="9"/>
  <c r="W52" i="9"/>
  <c r="X52" i="9"/>
  <c r="Y52" i="9"/>
  <c r="Z52" i="9"/>
  <c r="AA52" i="9"/>
  <c r="AB52" i="9"/>
  <c r="AC52" i="9"/>
  <c r="AD52" i="9"/>
  <c r="AE52" i="9"/>
  <c r="AF52" i="9"/>
  <c r="AG52" i="9"/>
  <c r="M54" i="9"/>
  <c r="O54" i="9"/>
  <c r="V54" i="9"/>
  <c r="W54" i="9"/>
  <c r="X54" i="9"/>
  <c r="Y54" i="9"/>
  <c r="Z54" i="9"/>
  <c r="AA54" i="9"/>
  <c r="AB54" i="9"/>
  <c r="AC54" i="9"/>
  <c r="AD54" i="9"/>
  <c r="AE54" i="9"/>
  <c r="AF54" i="9"/>
  <c r="AG54" i="9"/>
  <c r="M55" i="9"/>
  <c r="O55" i="9"/>
  <c r="V55" i="9"/>
  <c r="W55" i="9"/>
  <c r="X55" i="9"/>
  <c r="Y55" i="9"/>
  <c r="Z55" i="9"/>
  <c r="AA55" i="9"/>
  <c r="AB55" i="9"/>
  <c r="AC55" i="9"/>
  <c r="AD55" i="9"/>
  <c r="AE55" i="9"/>
  <c r="AF55" i="9"/>
  <c r="AG55" i="9"/>
  <c r="M57" i="9"/>
  <c r="O57" i="9"/>
  <c r="V57" i="9"/>
  <c r="W57" i="9"/>
  <c r="X57" i="9"/>
  <c r="Y57" i="9"/>
  <c r="Z57" i="9"/>
  <c r="AA57" i="9"/>
  <c r="AB57" i="9"/>
  <c r="AC57" i="9"/>
  <c r="AD57" i="9"/>
  <c r="AE57" i="9"/>
  <c r="AF57" i="9"/>
  <c r="AG57" i="9"/>
  <c r="M58" i="9"/>
  <c r="O58" i="9"/>
  <c r="V58" i="9"/>
  <c r="W58" i="9"/>
  <c r="X58" i="9"/>
  <c r="Y58" i="9"/>
  <c r="Z58" i="9"/>
  <c r="AA58" i="9"/>
  <c r="AB58" i="9"/>
  <c r="AC58" i="9"/>
  <c r="AD58" i="9"/>
  <c r="AE58" i="9"/>
  <c r="AF58" i="9"/>
  <c r="AG58" i="9"/>
  <c r="M60" i="9"/>
  <c r="O60" i="9"/>
  <c r="Y60" i="9"/>
  <c r="Z60" i="9"/>
  <c r="AA60" i="9"/>
  <c r="AB60" i="9"/>
  <c r="AC60" i="9"/>
  <c r="AD60" i="9"/>
  <c r="AE60" i="9"/>
  <c r="AF60" i="9"/>
  <c r="AG60" i="9"/>
  <c r="M62" i="9"/>
  <c r="O62" i="9"/>
  <c r="Z62" i="9"/>
  <c r="AA62" i="9"/>
  <c r="AB62" i="9"/>
  <c r="AC62" i="9"/>
  <c r="AD62" i="9"/>
  <c r="AE62" i="9"/>
  <c r="AF62" i="9"/>
  <c r="AG62" i="9"/>
  <c r="M70" i="9"/>
  <c r="O70" i="9"/>
  <c r="M73" i="9"/>
  <c r="O73" i="9"/>
  <c r="Y73" i="9"/>
  <c r="AD73" i="9"/>
  <c r="V77" i="9"/>
  <c r="W77" i="9"/>
  <c r="X77" i="9"/>
  <c r="Y77" i="9"/>
  <c r="Z77" i="9"/>
  <c r="AA77" i="9"/>
  <c r="AB77" i="9"/>
  <c r="AC77" i="9"/>
  <c r="AD77" i="9"/>
  <c r="AE77" i="9"/>
  <c r="AF77" i="9"/>
  <c r="AG77" i="9"/>
  <c r="V82" i="9"/>
  <c r="W82" i="9"/>
  <c r="X82" i="9"/>
  <c r="Y82" i="9"/>
  <c r="Z82" i="9"/>
  <c r="AA82" i="9"/>
  <c r="AB82" i="9"/>
  <c r="AC82" i="9"/>
  <c r="AD82" i="9"/>
  <c r="AE82" i="9"/>
  <c r="AF82" i="9"/>
  <c r="AG82" i="9"/>
  <c r="V89" i="9"/>
  <c r="W89" i="9"/>
  <c r="X89" i="9"/>
  <c r="Y89" i="9"/>
  <c r="Z89" i="9"/>
  <c r="AA89" i="9"/>
  <c r="AB89" i="9"/>
  <c r="AC89" i="9"/>
  <c r="AD89" i="9"/>
  <c r="AE89" i="9"/>
  <c r="AF89" i="9"/>
  <c r="AG89" i="9"/>
  <c r="V91" i="9"/>
  <c r="W91" i="9"/>
  <c r="X91" i="9"/>
  <c r="Y91" i="9"/>
  <c r="Z91" i="9"/>
  <c r="AA91" i="9"/>
  <c r="AB91" i="9"/>
  <c r="AC91" i="9"/>
  <c r="AD91" i="9"/>
  <c r="AE91" i="9"/>
  <c r="AF91" i="9"/>
  <c r="AG91" i="9"/>
  <c r="V98" i="9"/>
  <c r="W98" i="9"/>
  <c r="X98" i="9"/>
  <c r="Y98" i="9"/>
  <c r="Z98" i="9"/>
  <c r="AA98" i="9"/>
  <c r="AB98" i="9"/>
  <c r="AC98" i="9"/>
  <c r="AD98" i="9"/>
  <c r="AE98" i="9"/>
  <c r="AF98" i="9"/>
  <c r="AG98" i="9"/>
  <c r="W104" i="9"/>
  <c r="X104" i="9"/>
  <c r="Z104" i="9"/>
  <c r="AA104" i="9"/>
  <c r="AB104" i="9"/>
  <c r="AC104" i="9"/>
  <c r="AD104" i="9"/>
  <c r="AE104" i="9"/>
  <c r="AF104" i="9"/>
  <c r="AG104" i="9"/>
  <c r="V105" i="9"/>
  <c r="W105" i="9"/>
  <c r="X105" i="9"/>
  <c r="Y105" i="9"/>
  <c r="Z105" i="9"/>
  <c r="AA105" i="9"/>
  <c r="AB105" i="9"/>
  <c r="AC105" i="9"/>
  <c r="AD105" i="9"/>
  <c r="AE105" i="9"/>
  <c r="AF105" i="9"/>
  <c r="AG105" i="9"/>
  <c r="V106" i="9"/>
  <c r="W106" i="9"/>
  <c r="X106" i="9"/>
  <c r="Y106" i="9"/>
  <c r="Z106" i="9"/>
  <c r="AA106" i="9"/>
  <c r="AB106" i="9"/>
  <c r="AC106" i="9"/>
  <c r="AD106" i="9"/>
  <c r="AE106" i="9"/>
  <c r="AF106" i="9"/>
  <c r="AG106" i="9"/>
  <c r="M110" i="9"/>
  <c r="O110" i="9"/>
  <c r="V110" i="9"/>
  <c r="W110" i="9"/>
  <c r="X110" i="9"/>
  <c r="Y110" i="9"/>
  <c r="Z110" i="9"/>
  <c r="AA110" i="9"/>
  <c r="AB110" i="9"/>
  <c r="AC110" i="9"/>
  <c r="AD110" i="9"/>
  <c r="AE110" i="9"/>
  <c r="AF110" i="9"/>
  <c r="AG110" i="9"/>
  <c r="M114" i="9"/>
  <c r="O114" i="9"/>
  <c r="V114" i="9"/>
  <c r="W114" i="9"/>
  <c r="X114" i="9"/>
  <c r="Y114" i="9"/>
  <c r="Z114" i="9"/>
  <c r="AA114" i="9"/>
  <c r="AB114" i="9"/>
  <c r="AC114" i="9"/>
  <c r="AD114" i="9"/>
  <c r="AE114" i="9"/>
  <c r="AF114" i="9"/>
  <c r="AG114" i="9"/>
  <c r="M116" i="9"/>
  <c r="O116" i="9"/>
  <c r="V116" i="9"/>
  <c r="W116" i="9"/>
  <c r="X116" i="9"/>
  <c r="Y116" i="9"/>
  <c r="Z116" i="9"/>
  <c r="AA116" i="9"/>
  <c r="AB116" i="9"/>
  <c r="AC116" i="9"/>
  <c r="AD116" i="9"/>
  <c r="AE116" i="9"/>
  <c r="AF116" i="9"/>
  <c r="AG116" i="9"/>
  <c r="M117" i="9"/>
  <c r="O117" i="9"/>
  <c r="V117" i="9"/>
  <c r="W117" i="9"/>
  <c r="X117" i="9"/>
  <c r="Y117" i="9"/>
  <c r="Z117" i="9"/>
  <c r="AA117" i="9"/>
  <c r="AB117" i="9"/>
  <c r="AC117" i="9"/>
  <c r="AD117" i="9"/>
  <c r="AE117" i="9"/>
  <c r="AF117" i="9"/>
  <c r="AG117" i="9"/>
  <c r="M118" i="9"/>
  <c r="O118" i="9"/>
  <c r="V118" i="9"/>
  <c r="W118" i="9"/>
  <c r="X118" i="9"/>
  <c r="Y118" i="9"/>
  <c r="Z118" i="9"/>
  <c r="AA118" i="9"/>
  <c r="AB118" i="9"/>
  <c r="AC118" i="9"/>
  <c r="AD118" i="9"/>
  <c r="AE118" i="9"/>
  <c r="AF118" i="9"/>
  <c r="AG118" i="9"/>
  <c r="V122" i="9"/>
  <c r="W122" i="9"/>
  <c r="X122" i="9"/>
  <c r="Y122" i="9"/>
  <c r="Z122" i="9"/>
  <c r="AA122" i="9"/>
  <c r="AB122" i="9"/>
  <c r="AC122" i="9"/>
  <c r="AD122" i="9"/>
  <c r="AE122" i="9"/>
  <c r="AF122" i="9"/>
  <c r="AG122" i="9"/>
  <c r="V126" i="9"/>
  <c r="W126" i="9"/>
  <c r="X126" i="9"/>
  <c r="Y126" i="9"/>
  <c r="Z126" i="9"/>
  <c r="AA126" i="9"/>
  <c r="AB126" i="9"/>
  <c r="AC126" i="9"/>
  <c r="AD126" i="9"/>
  <c r="AE126" i="9"/>
  <c r="AF126" i="9"/>
  <c r="AG126" i="9"/>
  <c r="V134" i="9"/>
  <c r="W134" i="9"/>
  <c r="X134" i="9"/>
  <c r="Y134" i="9"/>
  <c r="Z134" i="9"/>
  <c r="AA134" i="9"/>
  <c r="AB134" i="9"/>
  <c r="AC134" i="9"/>
  <c r="AD134" i="9"/>
  <c r="AE134" i="9"/>
  <c r="AF134" i="9"/>
  <c r="AG134" i="9"/>
  <c r="V141" i="9"/>
  <c r="W141" i="9"/>
  <c r="X141" i="9"/>
  <c r="Y141" i="9"/>
  <c r="Z141" i="9"/>
  <c r="AA141" i="9"/>
  <c r="AB141" i="9"/>
  <c r="AC141" i="9"/>
  <c r="AD141" i="9"/>
  <c r="AE141" i="9"/>
  <c r="AF141" i="9"/>
  <c r="AG141" i="9"/>
  <c r="V145" i="9"/>
  <c r="W145" i="9"/>
  <c r="X145" i="9"/>
  <c r="Y145" i="9"/>
  <c r="Z145" i="9"/>
  <c r="AA145" i="9"/>
  <c r="AB145" i="9"/>
  <c r="AC145" i="9"/>
  <c r="AD145" i="9"/>
  <c r="AE145" i="9"/>
  <c r="AF145" i="9"/>
  <c r="AG145" i="9"/>
  <c r="V147" i="9"/>
  <c r="W147" i="9"/>
  <c r="X147" i="9"/>
  <c r="Y147" i="9"/>
  <c r="Z147" i="9"/>
  <c r="AA147" i="9"/>
  <c r="AB147" i="9"/>
  <c r="AC147" i="9"/>
  <c r="AD147" i="9"/>
  <c r="AE147" i="9"/>
  <c r="AF147" i="9"/>
  <c r="AG147" i="9"/>
  <c r="V150" i="9"/>
  <c r="W150" i="9"/>
  <c r="X150" i="9"/>
  <c r="Y150" i="9"/>
  <c r="Z150" i="9"/>
  <c r="AA150" i="9"/>
  <c r="AB150" i="9"/>
  <c r="AC150" i="9"/>
  <c r="AD150" i="9"/>
  <c r="AE150" i="9"/>
  <c r="AF150" i="9"/>
  <c r="AG150" i="9"/>
  <c r="V153" i="9"/>
  <c r="W153" i="9"/>
  <c r="X153" i="9"/>
  <c r="Y153" i="9"/>
  <c r="Z153" i="9"/>
  <c r="AA153" i="9"/>
  <c r="AB153" i="9"/>
  <c r="AC153" i="9"/>
  <c r="AD153" i="9"/>
  <c r="AE153" i="9"/>
  <c r="AF153" i="9"/>
  <c r="AG153" i="9"/>
  <c r="V156" i="9"/>
  <c r="W156" i="9"/>
  <c r="X156" i="9"/>
  <c r="Y156" i="9"/>
  <c r="Z156" i="9"/>
  <c r="AA156" i="9"/>
  <c r="AB156" i="9"/>
  <c r="AC156" i="9"/>
  <c r="AD156" i="9"/>
  <c r="AE156" i="9"/>
  <c r="AF156" i="9"/>
  <c r="AG156" i="9"/>
  <c r="V158" i="9"/>
  <c r="W158" i="9"/>
  <c r="X158" i="9"/>
  <c r="Y158" i="9"/>
  <c r="Z158" i="9"/>
  <c r="AA158" i="9"/>
  <c r="AB158" i="9"/>
  <c r="AC158" i="9"/>
  <c r="AD158" i="9"/>
  <c r="AE158" i="9"/>
  <c r="AF158" i="9"/>
  <c r="AG158" i="9"/>
  <c r="V160" i="9"/>
  <c r="W160" i="9"/>
  <c r="X160" i="9"/>
  <c r="Y160" i="9"/>
  <c r="Z160" i="9"/>
  <c r="AA160" i="9"/>
  <c r="AB160" i="9"/>
  <c r="AC160" i="9"/>
  <c r="AD160" i="9"/>
  <c r="AE160" i="9"/>
  <c r="AF160" i="9"/>
  <c r="AG160" i="9"/>
  <c r="M239" i="9"/>
  <c r="O239" i="9"/>
  <c r="V239" i="9"/>
  <c r="W239" i="9"/>
  <c r="X239" i="9"/>
  <c r="Y239" i="9"/>
  <c r="Z239" i="9"/>
  <c r="AA239" i="9"/>
  <c r="AB239" i="9"/>
  <c r="AC239" i="9"/>
  <c r="AD239" i="9"/>
  <c r="AE239" i="9"/>
  <c r="AF239" i="9"/>
  <c r="AG239" i="9"/>
  <c r="M240" i="9"/>
  <c r="N240" i="9"/>
  <c r="O240" i="9"/>
  <c r="P240" i="9"/>
  <c r="Q240" i="9"/>
  <c r="V240" i="9"/>
  <c r="W240" i="9"/>
  <c r="X240" i="9"/>
  <c r="Y240" i="9"/>
  <c r="Z240" i="9"/>
  <c r="AA240" i="9"/>
  <c r="AB240" i="9"/>
  <c r="AC240" i="9"/>
  <c r="AD240" i="9"/>
  <c r="AE240" i="9"/>
  <c r="AF240" i="9"/>
  <c r="AG240" i="9"/>
  <c r="W254" i="9"/>
  <c r="X254" i="9"/>
  <c r="Z254" i="9"/>
  <c r="AA254" i="9"/>
  <c r="AB254" i="9"/>
  <c r="AC254" i="9"/>
  <c r="AD254" i="9"/>
  <c r="AE254" i="9"/>
  <c r="AF254" i="9"/>
  <c r="AG254" i="9"/>
  <c r="M255" i="9"/>
  <c r="O255" i="9"/>
  <c r="V255" i="9"/>
  <c r="W255" i="9"/>
  <c r="X255" i="9"/>
  <c r="Y255" i="9"/>
  <c r="Z255" i="9"/>
  <c r="AA255" i="9"/>
  <c r="AB255" i="9"/>
  <c r="AC255" i="9"/>
  <c r="AD255" i="9"/>
  <c r="AE255" i="9"/>
  <c r="AF255" i="9"/>
  <c r="AG255" i="9"/>
  <c r="M257" i="9"/>
  <c r="O257" i="9"/>
  <c r="V258" i="9"/>
  <c r="W258" i="9"/>
  <c r="X258" i="9"/>
  <c r="Y258" i="9"/>
  <c r="Z258" i="9"/>
  <c r="AA258" i="9"/>
  <c r="AB258" i="9"/>
  <c r="AC258" i="9"/>
  <c r="AD258" i="9"/>
  <c r="AE258" i="9"/>
  <c r="AF258" i="9"/>
  <c r="AG258" i="9"/>
  <c r="V290" i="9"/>
  <c r="W290" i="9"/>
  <c r="X290" i="9"/>
  <c r="Z290" i="9"/>
  <c r="AA290" i="9"/>
  <c r="AB290" i="9"/>
  <c r="AC290" i="9"/>
  <c r="AD290" i="9"/>
  <c r="AE290" i="9"/>
  <c r="AF290" i="9"/>
  <c r="AG290" i="9"/>
  <c r="W294" i="9"/>
  <c r="X294" i="9"/>
  <c r="Z294" i="9"/>
  <c r="AA294" i="9"/>
  <c r="AB294" i="9"/>
  <c r="AC294" i="9"/>
  <c r="AD294" i="9"/>
  <c r="AE294" i="9"/>
  <c r="AF294" i="9"/>
  <c r="AG294" i="9"/>
  <c r="V295" i="9"/>
  <c r="W295" i="9"/>
  <c r="X295" i="9"/>
  <c r="Z295" i="9"/>
  <c r="AA295" i="9"/>
  <c r="AB295" i="9"/>
  <c r="AC295" i="9"/>
  <c r="AD295" i="9"/>
  <c r="AE295" i="9"/>
  <c r="AF295" i="9"/>
  <c r="AG295" i="9"/>
  <c r="V296" i="9"/>
  <c r="W296" i="9"/>
  <c r="X296" i="9"/>
  <c r="Z296" i="9"/>
  <c r="AA296" i="9"/>
  <c r="AB296" i="9"/>
  <c r="AC296" i="9"/>
  <c r="AD296" i="9"/>
  <c r="AE296" i="9"/>
  <c r="AF296" i="9"/>
  <c r="AG296" i="9"/>
  <c r="V299" i="9"/>
  <c r="W299" i="9"/>
  <c r="X299" i="9"/>
  <c r="Z299" i="9"/>
  <c r="AA299" i="9"/>
  <c r="AB299" i="9"/>
  <c r="AC299" i="9"/>
  <c r="AD299" i="9"/>
  <c r="AE299" i="9"/>
  <c r="AF299" i="9"/>
  <c r="AG299" i="9"/>
  <c r="V301" i="9"/>
  <c r="W301" i="9"/>
  <c r="X301" i="9"/>
  <c r="Z301" i="9"/>
  <c r="AA301" i="9"/>
  <c r="AB301" i="9"/>
  <c r="AC301" i="9"/>
  <c r="AD301" i="9"/>
  <c r="AE301" i="9"/>
  <c r="AF301" i="9"/>
  <c r="AG301" i="9"/>
  <c r="W304" i="9"/>
  <c r="X304" i="9"/>
  <c r="Z304" i="9"/>
  <c r="AA304" i="9"/>
  <c r="AB304" i="9"/>
  <c r="AC304" i="9"/>
  <c r="AD304" i="9"/>
  <c r="AE304" i="9"/>
  <c r="AF304" i="9"/>
  <c r="AG304" i="9"/>
  <c r="V305" i="9"/>
  <c r="W305" i="9"/>
  <c r="X305" i="9"/>
  <c r="Z305" i="9"/>
  <c r="AA305" i="9"/>
  <c r="AB305" i="9"/>
  <c r="AC305" i="9"/>
  <c r="AD305" i="9"/>
  <c r="AE305" i="9"/>
  <c r="AF305" i="9"/>
  <c r="AG305" i="9"/>
  <c r="V306" i="9"/>
  <c r="W306" i="9"/>
  <c r="X306" i="9"/>
  <c r="Y306" i="9"/>
  <c r="Z306" i="9"/>
  <c r="AA306" i="9"/>
  <c r="AB306" i="9"/>
  <c r="AC306" i="9"/>
  <c r="AD306" i="9"/>
  <c r="AE306" i="9"/>
  <c r="AF306" i="9"/>
  <c r="AG306" i="9"/>
  <c r="V315" i="9"/>
  <c r="W315" i="9"/>
  <c r="X315" i="9"/>
  <c r="Z315" i="9"/>
  <c r="AA315" i="9"/>
  <c r="AB315" i="9"/>
  <c r="AC315" i="9"/>
  <c r="AD315" i="9"/>
  <c r="AE315" i="9"/>
  <c r="AF315" i="9"/>
  <c r="AG315" i="9"/>
  <c r="V317" i="9"/>
  <c r="W317" i="9"/>
  <c r="X317" i="9"/>
  <c r="Z317" i="9"/>
  <c r="AA317" i="9"/>
  <c r="AB317" i="9"/>
  <c r="AC317" i="9"/>
  <c r="AD317" i="9"/>
  <c r="AE317" i="9"/>
  <c r="AF317" i="9"/>
  <c r="AG317" i="9"/>
  <c r="V324" i="9"/>
  <c r="W324" i="9"/>
  <c r="X324" i="9"/>
  <c r="Z324" i="9"/>
  <c r="AA324" i="9"/>
  <c r="AB324" i="9"/>
  <c r="AC324" i="9"/>
  <c r="AD324" i="9"/>
  <c r="AE324" i="9"/>
  <c r="AF324" i="9"/>
  <c r="AG324" i="9"/>
  <c r="W327" i="9"/>
  <c r="X327" i="9"/>
  <c r="Z327" i="9"/>
  <c r="AA327" i="9"/>
  <c r="AB327" i="9"/>
  <c r="AC327" i="9"/>
  <c r="AD327" i="9"/>
  <c r="AE327" i="9"/>
  <c r="AF327" i="9"/>
  <c r="AG327" i="9"/>
  <c r="W329" i="9"/>
  <c r="X329" i="9"/>
  <c r="Z329" i="9"/>
  <c r="AA329" i="9"/>
  <c r="AB329" i="9"/>
  <c r="AC329" i="9"/>
  <c r="AD329" i="9"/>
  <c r="AE329" i="9"/>
  <c r="AF329" i="9"/>
  <c r="AG329" i="9"/>
  <c r="W331" i="9"/>
  <c r="X331" i="9"/>
  <c r="Z331" i="9"/>
  <c r="AA331" i="9"/>
  <c r="AB331" i="9"/>
  <c r="AC331" i="9"/>
  <c r="AD331" i="9"/>
  <c r="AE331" i="9"/>
  <c r="AF331" i="9"/>
  <c r="AG331" i="9"/>
  <c r="N7" i="28"/>
  <c r="N8" i="28"/>
  <c r="N9" i="28"/>
  <c r="N10" i="28"/>
  <c r="N13" i="28"/>
  <c r="N14" i="28"/>
  <c r="N15" i="28"/>
  <c r="N16" i="28"/>
  <c r="T25" i="28"/>
  <c r="U25" i="28"/>
  <c r="S26" i="28"/>
  <c r="T26" i="28"/>
  <c r="U26" i="28"/>
  <c r="T27" i="28"/>
  <c r="U27" i="28"/>
  <c r="E28" i="28"/>
  <c r="H28" i="28"/>
  <c r="I28" i="28"/>
  <c r="J28" i="28"/>
  <c r="K28" i="28"/>
  <c r="O28" i="28"/>
  <c r="S28" i="28"/>
  <c r="T28" i="28"/>
  <c r="U28" i="28"/>
  <c r="E29" i="28"/>
  <c r="H29" i="28"/>
  <c r="I29" i="28"/>
  <c r="J29" i="28"/>
  <c r="K29" i="28"/>
  <c r="E30" i="28"/>
  <c r="F30" i="28"/>
  <c r="H30" i="28"/>
  <c r="I30" i="28"/>
  <c r="J30" i="28"/>
  <c r="K30" i="28"/>
  <c r="E32" i="28"/>
  <c r="G32" i="28"/>
  <c r="H32" i="28"/>
  <c r="I32" i="28"/>
  <c r="J32" i="28"/>
  <c r="K32" i="28"/>
  <c r="O32" i="28"/>
  <c r="E33" i="28"/>
  <c r="G33" i="28"/>
  <c r="H33" i="28"/>
  <c r="I33" i="28"/>
  <c r="J33" i="28"/>
  <c r="K33" i="28"/>
  <c r="E34" i="28"/>
  <c r="F34" i="28"/>
  <c r="G34" i="28"/>
  <c r="H34" i="28"/>
  <c r="I34" i="28"/>
  <c r="J34" i="28"/>
  <c r="K34" i="28"/>
  <c r="E36" i="28"/>
  <c r="G36" i="28"/>
  <c r="H36" i="28"/>
  <c r="I36" i="28"/>
  <c r="J36" i="28"/>
  <c r="K36" i="28"/>
  <c r="O36" i="28"/>
  <c r="E37" i="28"/>
  <c r="F37" i="28"/>
  <c r="G37" i="28"/>
  <c r="H37" i="28"/>
  <c r="I37" i="28"/>
  <c r="J37" i="28"/>
  <c r="K37" i="28"/>
  <c r="E39" i="28"/>
  <c r="G39" i="28"/>
  <c r="H39" i="28"/>
  <c r="I39" i="28"/>
  <c r="J39" i="28"/>
  <c r="K39" i="28"/>
  <c r="O39" i="28"/>
  <c r="E40" i="28"/>
  <c r="F40" i="28"/>
  <c r="G40" i="28"/>
  <c r="H40" i="28"/>
  <c r="I40" i="28"/>
  <c r="J40" i="28"/>
  <c r="K40" i="28"/>
  <c r="E45" i="28"/>
  <c r="G45" i="28"/>
  <c r="H45" i="28"/>
  <c r="I45" i="28"/>
  <c r="J45" i="28"/>
  <c r="K45" i="28"/>
  <c r="M45" i="28"/>
  <c r="O45" i="28"/>
  <c r="G46" i="28"/>
  <c r="H46" i="28"/>
  <c r="I46" i="28"/>
  <c r="J46" i="28"/>
  <c r="K46" i="28"/>
  <c r="O46" i="28"/>
  <c r="G47" i="28"/>
  <c r="H47" i="28"/>
  <c r="I47" i="28"/>
  <c r="J47" i="28"/>
  <c r="K47" i="28"/>
  <c r="O47" i="28"/>
  <c r="G50" i="28"/>
  <c r="H50" i="28"/>
  <c r="I50" i="28"/>
  <c r="J50" i="28"/>
  <c r="K50" i="28"/>
  <c r="O50" i="28"/>
  <c r="G51" i="28"/>
  <c r="H51" i="28"/>
  <c r="I51" i="28"/>
  <c r="J51" i="28"/>
  <c r="K51" i="28"/>
  <c r="O51" i="28"/>
  <c r="G52" i="28"/>
  <c r="H52" i="28"/>
  <c r="I52" i="28"/>
  <c r="J52" i="28"/>
  <c r="K52" i="28"/>
  <c r="O52" i="28"/>
  <c r="E55" i="28"/>
  <c r="G55" i="28"/>
  <c r="H55" i="28"/>
  <c r="I55" i="28"/>
  <c r="J55" i="28"/>
  <c r="K55" i="28"/>
  <c r="M55" i="28"/>
  <c r="O55" i="28"/>
  <c r="E56" i="28"/>
  <c r="G56" i="28"/>
  <c r="H56" i="28"/>
  <c r="I56" i="28"/>
  <c r="J56" i="28"/>
  <c r="K56" i="28"/>
  <c r="M56" i="28"/>
  <c r="O56" i="28"/>
  <c r="E57" i="28"/>
  <c r="G57" i="28"/>
  <c r="H57" i="28"/>
  <c r="I57" i="28"/>
  <c r="J57" i="28"/>
  <c r="K57" i="28"/>
  <c r="M57" i="28"/>
  <c r="O57" i="28"/>
  <c r="G60" i="28"/>
  <c r="H60" i="28"/>
  <c r="I60" i="28"/>
  <c r="J60" i="28"/>
  <c r="K60" i="28"/>
  <c r="O60" i="28"/>
  <c r="E62" i="28"/>
  <c r="G62" i="28"/>
  <c r="H62" i="28"/>
  <c r="I62" i="28"/>
  <c r="J62" i="28"/>
  <c r="K62" i="28"/>
  <c r="M62" i="28"/>
  <c r="O62" i="28"/>
  <c r="E63" i="28"/>
  <c r="G63" i="28"/>
  <c r="H63" i="28"/>
  <c r="I63" i="28"/>
  <c r="J63" i="28"/>
  <c r="K63" i="28"/>
  <c r="M63" i="28"/>
  <c r="O63" i="28"/>
  <c r="E64" i="28"/>
  <c r="G64" i="28"/>
  <c r="H64" i="28"/>
  <c r="I64" i="28"/>
  <c r="J64" i="28"/>
  <c r="K64" i="28"/>
  <c r="M64" i="28"/>
  <c r="O64" i="28"/>
  <c r="G67" i="28"/>
  <c r="H67" i="28"/>
  <c r="I67" i="28"/>
  <c r="J67" i="28"/>
  <c r="K67" i="28"/>
  <c r="O67" i="28"/>
  <c r="H15" i="25"/>
  <c r="I15" i="25"/>
  <c r="M15" i="25"/>
  <c r="N15" i="25"/>
  <c r="O15" i="25"/>
  <c r="P15" i="25"/>
  <c r="H16" i="25"/>
  <c r="I16" i="25"/>
  <c r="M16" i="25"/>
  <c r="N16" i="25"/>
  <c r="O16" i="25"/>
  <c r="P16" i="25"/>
  <c r="H19" i="25"/>
  <c r="I19" i="25"/>
  <c r="M19" i="25"/>
  <c r="N19" i="25"/>
  <c r="O19" i="25"/>
  <c r="P19" i="25"/>
  <c r="H20" i="25"/>
  <c r="I20" i="25"/>
  <c r="M20" i="25"/>
  <c r="N20" i="25"/>
  <c r="O20" i="25"/>
  <c r="P20" i="25"/>
  <c r="H21" i="25"/>
  <c r="I21" i="25"/>
  <c r="M21" i="25"/>
  <c r="N21" i="25"/>
  <c r="O21" i="25"/>
  <c r="P21" i="25"/>
  <c r="H42" i="25"/>
  <c r="I42" i="25"/>
  <c r="M42" i="25"/>
  <c r="N42" i="25"/>
  <c r="O42" i="25"/>
  <c r="P42" i="25"/>
  <c r="H44" i="25"/>
  <c r="I44" i="25"/>
  <c r="M44" i="25"/>
  <c r="N44" i="25"/>
  <c r="O44" i="25"/>
  <c r="P44" i="25"/>
  <c r="H15" i="24"/>
  <c r="L15" i="24"/>
  <c r="M15" i="24"/>
  <c r="N15" i="24"/>
  <c r="H16" i="24"/>
  <c r="L16" i="24"/>
  <c r="M16" i="24"/>
  <c r="N16" i="24"/>
  <c r="H19" i="24"/>
  <c r="L19" i="24"/>
  <c r="M19" i="24"/>
  <c r="N19" i="24"/>
  <c r="H20" i="24"/>
  <c r="L20" i="24"/>
  <c r="M20" i="24"/>
  <c r="N20" i="24"/>
  <c r="H21" i="24"/>
  <c r="L21" i="24"/>
  <c r="M21" i="24"/>
  <c r="N21" i="24"/>
  <c r="H42" i="24"/>
  <c r="L42" i="24"/>
  <c r="M42" i="24"/>
  <c r="N42" i="24"/>
  <c r="H44" i="24"/>
  <c r="L44" i="24"/>
  <c r="M44" i="24"/>
  <c r="N44" i="24"/>
  <c r="M146" i="27"/>
  <c r="O146" i="27"/>
  <c r="Z146" i="27"/>
  <c r="AA146" i="27"/>
  <c r="AB146" i="27"/>
  <c r="AC146" i="27"/>
  <c r="AD146" i="27"/>
  <c r="AE146" i="27"/>
  <c r="AF146" i="27"/>
  <c r="AG146" i="27"/>
  <c r="M154" i="27"/>
  <c r="O154" i="27"/>
  <c r="M162" i="27"/>
  <c r="N162" i="27"/>
  <c r="M186" i="27"/>
  <c r="O186" i="27"/>
  <c r="R186" i="27"/>
  <c r="T186" i="27"/>
  <c r="M188" i="27"/>
  <c r="O188" i="27"/>
  <c r="R188" i="27"/>
  <c r="T188" i="27"/>
  <c r="Z188" i="27"/>
  <c r="AA188" i="27"/>
  <c r="AB188" i="27"/>
  <c r="AC188" i="27"/>
  <c r="AD188" i="27"/>
  <c r="AE188" i="27"/>
  <c r="AF188" i="27"/>
  <c r="AG188" i="27"/>
  <c r="M206" i="27"/>
  <c r="N206" i="27"/>
  <c r="M208" i="27"/>
  <c r="N208" i="27"/>
  <c r="Z208" i="27"/>
  <c r="AA208" i="27"/>
  <c r="AB208" i="27"/>
  <c r="AC208" i="27"/>
  <c r="AE208" i="27"/>
  <c r="AF208" i="27"/>
  <c r="AG208" i="27"/>
  <c r="U15" i="21"/>
  <c r="U16" i="21"/>
  <c r="U17" i="21"/>
  <c r="V17" i="21"/>
  <c r="L19" i="21"/>
  <c r="M19" i="21"/>
  <c r="N19" i="21"/>
  <c r="O19" i="21"/>
  <c r="P19" i="21"/>
  <c r="Q19" i="21"/>
  <c r="R19" i="21"/>
  <c r="U19" i="21"/>
  <c r="W19" i="21"/>
  <c r="X19" i="21"/>
  <c r="Y19" i="21"/>
  <c r="Z19" i="21"/>
  <c r="AA19" i="21"/>
  <c r="AE19" i="21"/>
  <c r="L20" i="21"/>
  <c r="M20" i="21"/>
  <c r="N20" i="21"/>
  <c r="O20" i="21"/>
  <c r="P20" i="21"/>
  <c r="Q20" i="21"/>
  <c r="R20" i="21"/>
  <c r="U20" i="21"/>
  <c r="W20" i="21"/>
  <c r="X20" i="21"/>
  <c r="Y20" i="21"/>
  <c r="Z20" i="21"/>
  <c r="AA20" i="21"/>
  <c r="L21" i="21"/>
  <c r="M21" i="21"/>
  <c r="N21" i="21"/>
  <c r="O21" i="21"/>
  <c r="P21" i="21"/>
  <c r="Q21" i="21"/>
  <c r="R21" i="21"/>
  <c r="U21" i="21"/>
  <c r="V21" i="21"/>
  <c r="W21" i="21"/>
  <c r="X21" i="21"/>
  <c r="Y21" i="21"/>
  <c r="Z21" i="21"/>
  <c r="AA21" i="21"/>
  <c r="L23" i="21"/>
  <c r="M23" i="21"/>
  <c r="N23" i="21"/>
  <c r="O23" i="21"/>
  <c r="P23" i="21"/>
  <c r="Q23" i="21"/>
  <c r="R23" i="21"/>
  <c r="U23" i="21"/>
  <c r="W23" i="21"/>
  <c r="X23" i="21"/>
  <c r="Y23" i="21"/>
  <c r="Z23" i="21"/>
  <c r="AA23" i="21"/>
  <c r="AE23" i="21"/>
  <c r="L24" i="21"/>
  <c r="M24" i="21"/>
  <c r="N24" i="21"/>
  <c r="O24" i="21"/>
  <c r="P24" i="21"/>
  <c r="Q24" i="21"/>
  <c r="R24" i="21"/>
  <c r="U24" i="21"/>
  <c r="V24" i="21"/>
  <c r="W24" i="21"/>
  <c r="X24" i="21"/>
  <c r="Y24" i="21"/>
  <c r="Z24" i="21"/>
  <c r="AA24" i="21"/>
  <c r="O27" i="21"/>
  <c r="P27" i="21"/>
  <c r="Q27" i="21"/>
  <c r="R27" i="21"/>
  <c r="U27" i="21"/>
  <c r="X27" i="21"/>
  <c r="Y27" i="21"/>
  <c r="Z27" i="21"/>
  <c r="AA27" i="21"/>
  <c r="AE27" i="21"/>
  <c r="O28" i="21"/>
  <c r="P28" i="21"/>
  <c r="Q28" i="21"/>
  <c r="R28" i="21"/>
  <c r="U28" i="21"/>
  <c r="X28" i="21"/>
  <c r="Y28" i="21"/>
  <c r="Z28" i="21"/>
  <c r="AA28" i="21"/>
  <c r="O29" i="21"/>
  <c r="P29" i="21"/>
  <c r="Q29" i="21"/>
  <c r="R29" i="21"/>
  <c r="U29" i="21"/>
  <c r="V29" i="21"/>
  <c r="X29" i="21"/>
  <c r="Y29" i="21"/>
  <c r="Z29" i="21"/>
  <c r="AA29" i="21"/>
  <c r="L34" i="21"/>
  <c r="M34" i="21"/>
  <c r="N34" i="21"/>
  <c r="O34" i="21"/>
  <c r="P34" i="21"/>
  <c r="Q34" i="21"/>
  <c r="R34" i="21"/>
  <c r="W34" i="21"/>
  <c r="X34" i="21"/>
  <c r="Y34" i="21"/>
  <c r="Z34" i="21"/>
  <c r="AA34" i="21"/>
  <c r="L38" i="21"/>
  <c r="M38" i="21"/>
  <c r="N38" i="21"/>
  <c r="O38" i="21"/>
  <c r="P38" i="21"/>
  <c r="Q38" i="21"/>
  <c r="R38" i="21"/>
  <c r="W38" i="21"/>
  <c r="X38" i="21"/>
  <c r="Y38" i="21"/>
  <c r="Z38" i="21"/>
  <c r="AA38" i="21"/>
  <c r="L46" i="21"/>
  <c r="M46" i="21"/>
  <c r="N46" i="21"/>
  <c r="O46" i="21"/>
  <c r="P46" i="21"/>
  <c r="Q46" i="21"/>
  <c r="R46" i="21"/>
  <c r="W46" i="21"/>
  <c r="X46" i="21"/>
  <c r="Y46" i="21"/>
  <c r="Z46" i="21"/>
  <c r="AA46" i="21"/>
  <c r="L53" i="21"/>
  <c r="M53" i="21"/>
  <c r="N53" i="21"/>
  <c r="O53" i="21"/>
  <c r="P53" i="21"/>
  <c r="Q53" i="21"/>
  <c r="R53" i="21"/>
  <c r="W53" i="21"/>
  <c r="X53" i="21"/>
  <c r="Y53" i="21"/>
  <c r="Z53" i="21"/>
  <c r="AA53" i="21"/>
  <c r="L57" i="21"/>
  <c r="M57" i="21"/>
  <c r="N57" i="21"/>
  <c r="O57" i="21"/>
  <c r="P57" i="21"/>
  <c r="Q57" i="21"/>
  <c r="R57" i="21"/>
  <c r="W57" i="21"/>
  <c r="X57" i="21"/>
  <c r="Y57" i="21"/>
  <c r="Z57" i="21"/>
  <c r="AA57" i="21"/>
  <c r="L59" i="21"/>
  <c r="M59" i="21"/>
  <c r="N59" i="21"/>
  <c r="O59" i="21"/>
  <c r="P59" i="21"/>
  <c r="Q59" i="21"/>
  <c r="R59" i="21"/>
  <c r="W59" i="21"/>
  <c r="X59" i="21"/>
  <c r="Y59" i="21"/>
  <c r="Z59" i="21"/>
  <c r="AA59" i="21"/>
  <c r="L62" i="21"/>
  <c r="M62" i="21"/>
  <c r="N62" i="21"/>
  <c r="O62" i="21"/>
  <c r="P62" i="21"/>
  <c r="Q62" i="21"/>
  <c r="R62" i="21"/>
  <c r="W62" i="21"/>
  <c r="X62" i="21"/>
  <c r="Y62" i="21"/>
  <c r="Z62" i="21"/>
  <c r="AA62" i="21"/>
  <c r="L65" i="21"/>
  <c r="M65" i="21"/>
  <c r="N65" i="21"/>
  <c r="O65" i="21"/>
  <c r="P65" i="21"/>
  <c r="Q65" i="21"/>
  <c r="R65" i="21"/>
  <c r="W65" i="21"/>
  <c r="X65" i="21"/>
  <c r="Y65" i="21"/>
  <c r="Z65" i="21"/>
  <c r="AA65" i="21"/>
  <c r="L68" i="21"/>
  <c r="M68" i="21"/>
  <c r="N68" i="21"/>
  <c r="O68" i="21"/>
  <c r="P68" i="21"/>
  <c r="Q68" i="21"/>
  <c r="R68" i="21"/>
  <c r="W68" i="21"/>
  <c r="X68" i="21"/>
  <c r="Y68" i="21"/>
  <c r="Z68" i="21"/>
  <c r="AA68" i="21"/>
  <c r="L70" i="21"/>
  <c r="M70" i="21"/>
  <c r="N70" i="21"/>
  <c r="O70" i="21"/>
  <c r="P70" i="21"/>
  <c r="Q70" i="21"/>
  <c r="R70" i="21"/>
  <c r="W70" i="21"/>
  <c r="X70" i="21"/>
  <c r="Y70" i="21"/>
  <c r="Z70" i="21"/>
  <c r="AA70" i="21"/>
  <c r="O77" i="21"/>
  <c r="P77" i="21"/>
  <c r="Q77" i="21"/>
  <c r="R77" i="21"/>
  <c r="U77" i="21"/>
  <c r="X77" i="21"/>
  <c r="Y77" i="21"/>
  <c r="Z77" i="21"/>
  <c r="AA77" i="21"/>
  <c r="U78" i="21"/>
  <c r="L79" i="21"/>
  <c r="M79" i="21"/>
  <c r="N79" i="21"/>
  <c r="O79" i="21"/>
  <c r="P79" i="21"/>
  <c r="Q79" i="21"/>
  <c r="R79" i="21"/>
  <c r="U79" i="21"/>
  <c r="W79" i="21"/>
  <c r="X79" i="21"/>
  <c r="Y79" i="21"/>
  <c r="Z79" i="21"/>
  <c r="AA79" i="21"/>
  <c r="L80" i="21"/>
  <c r="M80" i="21"/>
  <c r="N80" i="21"/>
  <c r="O80" i="21"/>
  <c r="P80" i="21"/>
  <c r="Q80" i="21"/>
  <c r="R80" i="21"/>
  <c r="U80" i="21"/>
  <c r="W80" i="21"/>
  <c r="X80" i="21"/>
  <c r="Y80" i="21"/>
  <c r="Z80" i="21"/>
  <c r="AA80" i="21"/>
  <c r="L81" i="21"/>
  <c r="M81" i="21"/>
  <c r="N81" i="21"/>
  <c r="O81" i="21"/>
  <c r="P81" i="21"/>
  <c r="Q81" i="21"/>
  <c r="R81" i="21"/>
  <c r="U81" i="21"/>
  <c r="W81" i="21"/>
  <c r="X81" i="21"/>
  <c r="Y81" i="21"/>
  <c r="Z81" i="21"/>
  <c r="AA81" i="21"/>
  <c r="L82" i="21"/>
  <c r="M82" i="21"/>
  <c r="N82" i="21"/>
  <c r="O82" i="21"/>
  <c r="P82" i="21"/>
  <c r="Q82" i="21"/>
  <c r="R82" i="21"/>
  <c r="U82" i="21"/>
  <c r="W82" i="21"/>
  <c r="X82" i="21"/>
  <c r="Y82" i="21"/>
  <c r="Z82" i="21"/>
  <c r="AA82" i="21"/>
  <c r="L85" i="21"/>
  <c r="M85" i="21"/>
  <c r="N85" i="21"/>
  <c r="O85" i="21"/>
  <c r="P85" i="21"/>
  <c r="Q85" i="21"/>
  <c r="R85" i="21"/>
  <c r="W85" i="21"/>
  <c r="X85" i="21"/>
  <c r="Y85" i="21"/>
  <c r="Z85" i="21"/>
  <c r="AA85" i="21"/>
  <c r="L87" i="21"/>
  <c r="M87" i="21"/>
  <c r="N87" i="21"/>
  <c r="O87" i="21"/>
  <c r="P87" i="21"/>
  <c r="Q87" i="21"/>
  <c r="R87" i="21"/>
  <c r="U87" i="21"/>
  <c r="W87" i="21"/>
  <c r="X87" i="21"/>
  <c r="Y87" i="21"/>
  <c r="Z87" i="21"/>
  <c r="AA87" i="21"/>
  <c r="L88" i="21"/>
  <c r="M88" i="21"/>
  <c r="N88" i="21"/>
  <c r="O88" i="21"/>
  <c r="P88" i="21"/>
  <c r="Q88" i="21"/>
  <c r="R88" i="21"/>
  <c r="U88" i="21"/>
  <c r="W88" i="21"/>
  <c r="X88" i="21"/>
  <c r="Y88" i="21"/>
  <c r="Z88" i="21"/>
  <c r="AA88" i="21"/>
  <c r="L89" i="21"/>
  <c r="M89" i="21"/>
  <c r="N89" i="21"/>
  <c r="O89" i="21"/>
  <c r="P89" i="21"/>
  <c r="Q89" i="21"/>
  <c r="R89" i="21"/>
  <c r="U89" i="21"/>
  <c r="W89" i="21"/>
  <c r="X89" i="21"/>
  <c r="Y89" i="21"/>
  <c r="Z89" i="21"/>
  <c r="AA89" i="21"/>
  <c r="L92" i="21"/>
  <c r="M92" i="21"/>
  <c r="N92" i="21"/>
  <c r="O92" i="21"/>
  <c r="P92" i="21"/>
  <c r="Q92" i="21"/>
  <c r="R92" i="21"/>
  <c r="U92" i="21"/>
  <c r="W92" i="21"/>
  <c r="X92" i="21"/>
  <c r="Y92" i="21"/>
  <c r="Z92" i="21"/>
  <c r="AA92" i="21"/>
  <c r="L93" i="21"/>
  <c r="M93" i="21"/>
  <c r="N93" i="21"/>
  <c r="O93" i="21"/>
  <c r="P93" i="21"/>
  <c r="Q93" i="21"/>
  <c r="R93" i="21"/>
  <c r="W93" i="21"/>
  <c r="X93" i="21"/>
  <c r="Y93" i="21"/>
  <c r="Z93" i="21"/>
  <c r="AA93" i="21"/>
  <c r="L94" i="21"/>
  <c r="M94" i="21"/>
  <c r="N94" i="21"/>
  <c r="O94" i="21"/>
  <c r="P94" i="21"/>
  <c r="Q94" i="21"/>
  <c r="R94" i="21"/>
  <c r="W94" i="21"/>
  <c r="X94" i="21"/>
  <c r="Y94" i="21"/>
  <c r="Z94" i="21"/>
  <c r="AA94" i="21"/>
  <c r="L97" i="21"/>
  <c r="M97" i="21"/>
  <c r="N97" i="21"/>
  <c r="O97" i="21"/>
  <c r="P97" i="21"/>
  <c r="Q97" i="21"/>
  <c r="R97" i="21"/>
  <c r="W97" i="21"/>
  <c r="X97" i="21"/>
  <c r="Y97" i="21"/>
  <c r="Z97" i="21"/>
  <c r="AA97" i="21"/>
  <c r="L104" i="21"/>
  <c r="M104" i="21"/>
  <c r="N104" i="21"/>
  <c r="O104" i="21"/>
  <c r="P104" i="21"/>
  <c r="Q104" i="21"/>
  <c r="R104" i="21"/>
  <c r="W104" i="21"/>
  <c r="X104" i="21"/>
  <c r="Y104" i="21"/>
  <c r="Z104" i="21"/>
  <c r="AA104" i="21"/>
  <c r="L105" i="21"/>
  <c r="M105" i="21"/>
  <c r="N105" i="21"/>
  <c r="O105" i="21"/>
  <c r="P105" i="21"/>
  <c r="Q105" i="21"/>
  <c r="R105" i="21"/>
  <c r="W105" i="21"/>
  <c r="X105" i="21"/>
  <c r="Y105" i="21"/>
  <c r="Z105" i="21"/>
  <c r="AA105" i="21"/>
  <c r="L106" i="21"/>
  <c r="M106" i="21"/>
  <c r="N106" i="21"/>
  <c r="O106" i="21"/>
  <c r="P106" i="21"/>
  <c r="Q106" i="21"/>
  <c r="R106" i="21"/>
  <c r="W106" i="21"/>
  <c r="X106" i="21"/>
  <c r="Y106" i="21"/>
  <c r="Z106" i="21"/>
  <c r="AA106" i="21"/>
  <c r="F7" i="15"/>
  <c r="G7" i="15"/>
  <c r="Q9" i="15"/>
  <c r="R9" i="15"/>
  <c r="Q10" i="15"/>
  <c r="R10" i="15"/>
  <c r="Q12" i="15"/>
  <c r="R12" i="15"/>
  <c r="Q13" i="15"/>
  <c r="R13" i="15"/>
  <c r="Q14" i="15"/>
  <c r="R14" i="15"/>
  <c r="Q15" i="15"/>
  <c r="R15" i="15"/>
  <c r="Q17" i="15"/>
  <c r="R17" i="15"/>
  <c r="Q18" i="15"/>
  <c r="R18" i="15"/>
  <c r="Q19" i="15"/>
  <c r="R19" i="15"/>
  <c r="Q20" i="15"/>
  <c r="R20" i="15"/>
  <c r="Q22" i="15"/>
  <c r="R22" i="15"/>
  <c r="Q23" i="15"/>
  <c r="R23" i="15"/>
  <c r="Q24" i="15"/>
  <c r="R24" i="15"/>
  <c r="H32" i="15"/>
  <c r="O32" i="15"/>
  <c r="P32" i="15"/>
  <c r="Q32" i="15"/>
  <c r="R32" i="15"/>
  <c r="H33" i="15"/>
  <c r="K34" i="15"/>
  <c r="L34" i="15"/>
  <c r="M34" i="15"/>
  <c r="N34" i="15"/>
  <c r="O34" i="15"/>
  <c r="P34" i="15"/>
  <c r="Q34" i="15"/>
  <c r="R34" i="15"/>
  <c r="H35" i="15"/>
  <c r="K35" i="15"/>
  <c r="L35" i="15"/>
  <c r="M35" i="15"/>
  <c r="N35" i="15"/>
  <c r="O35" i="15"/>
  <c r="P35" i="15"/>
  <c r="Q35" i="15"/>
  <c r="R35" i="15"/>
  <c r="H36" i="15"/>
  <c r="I36" i="15"/>
  <c r="N36" i="15"/>
  <c r="O36" i="15"/>
  <c r="P36" i="15"/>
  <c r="Q36" i="15"/>
  <c r="R36" i="15"/>
  <c r="K45" i="15"/>
  <c r="L45" i="15"/>
  <c r="M45" i="15"/>
  <c r="N45" i="15"/>
  <c r="O45" i="15"/>
  <c r="P45" i="15"/>
  <c r="Q45" i="15"/>
  <c r="R45" i="15"/>
  <c r="O46" i="15"/>
  <c r="P46" i="15"/>
  <c r="Q46" i="15"/>
  <c r="R46" i="15"/>
  <c r="K48" i="15"/>
  <c r="L48" i="15"/>
  <c r="M48" i="15"/>
  <c r="N48" i="15"/>
  <c r="O48" i="15"/>
  <c r="P48" i="15"/>
  <c r="Q48" i="15"/>
  <c r="R48" i="15"/>
  <c r="N52" i="15"/>
  <c r="O52" i="15"/>
  <c r="P52" i="15"/>
  <c r="Q52" i="15"/>
  <c r="R52" i="15"/>
  <c r="N54" i="15"/>
  <c r="O54" i="15"/>
  <c r="P54" i="15"/>
  <c r="Q54" i="15"/>
  <c r="R54" i="15"/>
  <c r="O55" i="15"/>
  <c r="P55" i="15"/>
  <c r="Q55" i="15"/>
  <c r="R55" i="15"/>
  <c r="K59" i="15"/>
  <c r="R59" i="15"/>
  <c r="AB59" i="15"/>
  <c r="K61" i="15"/>
  <c r="R61" i="15"/>
  <c r="AB61" i="15"/>
  <c r="K62" i="15"/>
  <c r="R62" i="15"/>
  <c r="AB62" i="15"/>
  <c r="K63" i="15"/>
  <c r="R63" i="15"/>
  <c r="AB63" i="15"/>
  <c r="K65" i="15"/>
  <c r="R65" i="15"/>
  <c r="AB65" i="15"/>
  <c r="K66" i="15"/>
  <c r="R66" i="15"/>
  <c r="AB66" i="15"/>
  <c r="K68" i="15"/>
  <c r="R68" i="15"/>
  <c r="AB68" i="15"/>
  <c r="K72" i="15"/>
  <c r="R72" i="15"/>
  <c r="AB72" i="15"/>
  <c r="K76" i="15"/>
  <c r="R76" i="15"/>
  <c r="AB76" i="15"/>
  <c r="K77" i="15"/>
  <c r="R77" i="15"/>
  <c r="AB77" i="15"/>
  <c r="K79" i="15"/>
  <c r="R79" i="15"/>
  <c r="AB79" i="15"/>
  <c r="G84" i="15"/>
  <c r="E98" i="15"/>
  <c r="E106" i="15"/>
  <c r="F124" i="15"/>
  <c r="J124" i="15"/>
  <c r="F126" i="15"/>
  <c r="J126" i="15"/>
  <c r="F127" i="15"/>
  <c r="J127" i="15"/>
  <c r="N127" i="15"/>
  <c r="R127" i="15"/>
  <c r="N129" i="15"/>
  <c r="R129" i="15"/>
  <c r="F131" i="15"/>
  <c r="N134" i="15"/>
  <c r="R134" i="15"/>
  <c r="N137" i="15"/>
  <c r="R137" i="15"/>
  <c r="N138" i="15"/>
  <c r="R138" i="15"/>
  <c r="Q151" i="15"/>
  <c r="R151" i="15"/>
  <c r="R152" i="15"/>
  <c r="E161" i="15"/>
  <c r="E162" i="15"/>
  <c r="M162" i="15"/>
  <c r="E163" i="15"/>
  <c r="M163" i="15"/>
  <c r="E164" i="15"/>
  <c r="M164" i="15"/>
  <c r="E165" i="15"/>
  <c r="M165" i="15"/>
  <c r="E166" i="15"/>
  <c r="M166" i="15"/>
  <c r="E169" i="15"/>
  <c r="E170" i="15"/>
  <c r="M170" i="15"/>
  <c r="E171" i="15"/>
  <c r="M171" i="15"/>
  <c r="E172" i="15"/>
  <c r="M172" i="15"/>
  <c r="E173" i="15"/>
  <c r="M173" i="15"/>
  <c r="E174" i="15"/>
  <c r="M174" i="15"/>
  <c r="E177" i="15"/>
  <c r="E185" i="15"/>
  <c r="F202" i="15"/>
  <c r="J202" i="15"/>
  <c r="F204" i="15"/>
  <c r="J204" i="15"/>
  <c r="F205" i="15"/>
  <c r="J205" i="15"/>
  <c r="N205" i="15"/>
  <c r="R205" i="15"/>
  <c r="N207" i="15"/>
  <c r="R207" i="15"/>
  <c r="N212" i="15"/>
  <c r="R212" i="15"/>
  <c r="N215" i="15"/>
  <c r="R215" i="15"/>
  <c r="N216" i="15"/>
  <c r="R216" i="15"/>
  <c r="Q227" i="15"/>
  <c r="R227" i="15"/>
  <c r="R228" i="15"/>
  <c r="E237" i="15"/>
  <c r="E238" i="15"/>
  <c r="M238" i="15"/>
  <c r="E239" i="15"/>
  <c r="M239" i="15"/>
  <c r="E240" i="15"/>
  <c r="M240" i="15"/>
  <c r="E241" i="15"/>
  <c r="M241" i="15"/>
  <c r="E242" i="15"/>
  <c r="M242" i="15"/>
  <c r="E245" i="15"/>
  <c r="E246" i="15"/>
  <c r="M246" i="15"/>
  <c r="E247" i="15"/>
  <c r="M247" i="15"/>
  <c r="E248" i="15"/>
  <c r="M248" i="15"/>
  <c r="E249" i="15"/>
  <c r="M249" i="15"/>
  <c r="E250" i="15"/>
  <c r="M250" i="15"/>
  <c r="E253" i="15"/>
  <c r="E261" i="15"/>
  <c r="R274" i="15"/>
  <c r="R276" i="15"/>
  <c r="R281" i="15"/>
  <c r="R284" i="15"/>
  <c r="R285" i="15"/>
  <c r="M6" i="16"/>
  <c r="N6" i="16"/>
  <c r="N7" i="16"/>
  <c r="N8" i="16"/>
  <c r="M9" i="16"/>
  <c r="N9" i="16"/>
  <c r="O9" i="16"/>
  <c r="O13" i="16"/>
  <c r="Q20" i="16"/>
  <c r="K23" i="16"/>
  <c r="M36" i="16"/>
  <c r="N3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lukes</author>
    <author>Zach Pfeffer</author>
    <author>support</author>
  </authors>
  <commentList>
    <comment ref="F22" authorId="0" shapeId="0" xr:uid="{00000000-0006-0000-0000-000001000000}">
      <text>
        <r>
          <rPr>
            <b/>
            <sz val="9"/>
            <color rgb="FF000000"/>
            <rFont val="Tahoma"/>
            <family val="2"/>
          </rPr>
          <t>Luke Brennan:</t>
        </r>
        <r>
          <rPr>
            <sz val="9"/>
            <color rgb="FF000000"/>
            <rFont val="Tahoma"/>
            <family val="2"/>
          </rPr>
          <t xml:space="preserve">
</t>
        </r>
        <r>
          <rPr>
            <sz val="9"/>
            <color rgb="FF000000"/>
            <rFont val="Tahoma"/>
            <family val="2"/>
          </rPr>
          <t>Use this dropdown to change which scenario of projections you would like to display in the model</t>
        </r>
      </text>
    </comment>
    <comment ref="F33" authorId="1" shapeId="0" xr:uid="{00000000-0006-0000-0000-000002000000}">
      <text>
        <r>
          <rPr>
            <b/>
            <sz val="9"/>
            <color indexed="81"/>
            <rFont val="Tahoma"/>
            <family val="2"/>
          </rPr>
          <t>Luke Brennan:</t>
        </r>
        <r>
          <rPr>
            <sz val="9"/>
            <color indexed="81"/>
            <rFont val="Tahoma"/>
            <family val="2"/>
          </rPr>
          <t xml:space="preserve">
Model hardcodes this value from most recent year. For an accurate hardcoded projection, look at most recent quarter (MRQ) or management guidance from latest transcript</t>
        </r>
      </text>
    </comment>
    <comment ref="F35" authorId="1" shapeId="0" xr:uid="{00000000-0006-0000-0000-000003000000}">
      <text>
        <r>
          <rPr>
            <b/>
            <sz val="9"/>
            <color indexed="81"/>
            <rFont val="Tahoma"/>
            <family val="2"/>
          </rPr>
          <t>Luke Brennan:</t>
        </r>
        <r>
          <rPr>
            <sz val="9"/>
            <color indexed="81"/>
            <rFont val="Tahoma"/>
            <family val="2"/>
          </rPr>
          <t xml:space="preserve">
Pulls from most recent quarter (MRQ) in model</t>
        </r>
      </text>
    </comment>
    <comment ref="F37" authorId="2" shapeId="0" xr:uid="{00000000-0006-0000-0000-000004000000}">
      <text>
        <r>
          <rPr>
            <b/>
            <sz val="9"/>
            <color indexed="81"/>
            <rFont val="Tahoma"/>
            <family val="2"/>
          </rPr>
          <t>Nate:</t>
        </r>
        <r>
          <rPr>
            <sz val="9"/>
            <color indexed="81"/>
            <rFont val="Tahoma"/>
            <family val="2"/>
          </rPr>
          <t xml:space="preserve">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support</author>
  </authors>
  <commentList>
    <comment ref="R28" authorId="0" shapeId="0" xr:uid="{00000000-0006-0000-0200-000001000000}">
      <text>
        <r>
          <rPr>
            <b/>
            <sz val="9"/>
            <color indexed="81"/>
            <rFont val="Tahoma"/>
            <family val="2"/>
          </rPr>
          <t xml:space="preserve">nlatimer: 
</t>
        </r>
        <r>
          <rPr>
            <sz val="9"/>
            <color indexed="81"/>
            <rFont val="Tahoma"/>
            <family val="2"/>
          </rPr>
          <t>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lukes</author>
  </authors>
  <commentList>
    <comment ref="C7" authorId="0" shapeId="0" xr:uid="{00000000-0006-0000-0500-000001000000}">
      <text>
        <r>
          <rPr>
            <b/>
            <sz val="9"/>
            <color indexed="81"/>
            <rFont val="Tahoma"/>
            <family val="2"/>
          </rPr>
          <t>Luke Brennan:</t>
        </r>
        <r>
          <rPr>
            <sz val="9"/>
            <color indexed="81"/>
            <rFont val="Tahoma"/>
            <family val="2"/>
          </rPr>
          <t xml:space="preserve">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500-000002000000}">
      <text>
        <r>
          <rPr>
            <b/>
            <sz val="9"/>
            <color indexed="81"/>
            <rFont val="Tahoma"/>
            <family val="2"/>
          </rPr>
          <t>Luke Brennan:</t>
        </r>
        <r>
          <rPr>
            <sz val="9"/>
            <color indexed="81"/>
            <rFont val="Tahoma"/>
            <family val="2"/>
          </rPr>
          <t xml:space="preserve">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500-000003000000}">
      <text>
        <r>
          <rPr>
            <b/>
            <sz val="9"/>
            <color indexed="81"/>
            <rFont val="Tahoma"/>
            <family val="2"/>
          </rPr>
          <t>Luke Brennan:</t>
        </r>
        <r>
          <rPr>
            <sz val="9"/>
            <color indexed="81"/>
            <rFont val="Tahoma"/>
            <family val="2"/>
          </rPr>
          <t xml:space="preserve">
Major drop in backlog and therefore negative new orders is due to the initiation of GBS segment which pulled the majority of its business from DSS segment</t>
        </r>
      </text>
    </comment>
    <comment ref="J178" authorId="0" shapeId="0" xr:uid="{00000000-0006-0000-0500-000004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M178" authorId="0" shapeId="0" xr:uid="{00000000-0006-0000-0500-000005000000}">
      <text>
        <r>
          <rPr>
            <b/>
            <sz val="9"/>
            <color indexed="81"/>
            <rFont val="Tahoma"/>
            <family val="2"/>
          </rPr>
          <t>Luke Brennan:</t>
        </r>
        <r>
          <rPr>
            <sz val="9"/>
            <color indexed="81"/>
            <rFont val="Tahoma"/>
            <family val="2"/>
          </rPr>
          <t xml:space="preserve">
Drop in backlog and therefore major decline in new orders is due to the initiation of GBS segment which pulled some of its business from CA segment</t>
        </r>
      </text>
    </comment>
    <comment ref="J190" authorId="0" shapeId="0" xr:uid="{00000000-0006-0000-0500-000006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M190" authorId="0" shapeId="0" xr:uid="{00000000-0006-0000-0500-000007000000}">
      <text>
        <r>
          <rPr>
            <b/>
            <sz val="9"/>
            <color indexed="81"/>
            <rFont val="Tahoma"/>
            <family val="2"/>
          </rPr>
          <t>Luke Brennan:</t>
        </r>
        <r>
          <rPr>
            <sz val="9"/>
            <color indexed="81"/>
            <rFont val="Tahoma"/>
            <family val="2"/>
          </rPr>
          <t xml:space="preserve">
Major drop in backlog and therefore negative new orders is due to the initiation of GBS segment which pulled the majority of its business from DSS segment</t>
        </r>
      </text>
    </comment>
    <comment ref="J202" authorId="0" shapeId="0" xr:uid="{00000000-0006-0000-0500-000008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M202" authorId="0" shapeId="0" xr:uid="{00000000-0006-0000-0500-000009000000}">
      <text>
        <r>
          <rPr>
            <b/>
            <sz val="9"/>
            <color indexed="81"/>
            <rFont val="Tahoma"/>
            <family val="2"/>
          </rPr>
          <t>Luke Brennan:</t>
        </r>
        <r>
          <rPr>
            <sz val="9"/>
            <color indexed="81"/>
            <rFont val="Tahoma"/>
            <family val="2"/>
          </rPr>
          <t xml:space="preserve">
Major drop in backlog and therefore negative new orders is due to the initiation of GBS segment which pulled the majority of its business from DSS segment</t>
        </r>
      </text>
    </comment>
    <comment ref="J214" authorId="0" shapeId="0" xr:uid="{00000000-0006-0000-0500-00000A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O214" authorId="0" shapeId="0" xr:uid="{00000000-0006-0000-0500-00000B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M215" authorId="0" shapeId="0" xr:uid="{00000000-0006-0000-0500-00000C000000}">
      <text>
        <r>
          <rPr>
            <b/>
            <sz val="9"/>
            <color indexed="81"/>
            <rFont val="Tahoma"/>
            <family val="2"/>
          </rPr>
          <t>Luke Brennan:</t>
        </r>
        <r>
          <rPr>
            <sz val="9"/>
            <color indexed="81"/>
            <rFont val="Tahoma"/>
            <family val="2"/>
          </rPr>
          <t xml:space="preserve">
The 15,215 number is a retroactively calculated backlog balance for YE15 which was the best reported number I could find for a previous balance to calculate orders</t>
        </r>
      </text>
    </comment>
    <comment ref="J226" authorId="0" shapeId="0" xr:uid="{00000000-0006-0000-0500-00000D000000}">
      <text>
        <r>
          <rPr>
            <b/>
            <sz val="9"/>
            <color indexed="81"/>
            <rFont val="Tahoma"/>
            <family val="2"/>
          </rPr>
          <t>Luke Brennan:</t>
        </r>
        <r>
          <rPr>
            <sz val="9"/>
            <color indexed="81"/>
            <rFont val="Tahoma"/>
            <family val="2"/>
          </rPr>
          <t xml:space="preserve">
This formula uses a hardcoded value for the backlog balance at YE15, then adds all new orders for 2016 and subtracts all revenues which should equal the balance of the backlog at YE16, i.e. 4Q16 balance</t>
        </r>
      </text>
    </comment>
    <comment ref="M226" authorId="0" shapeId="0" xr:uid="{00000000-0006-0000-0500-00000E000000}">
      <text>
        <r>
          <rPr>
            <b/>
            <sz val="9"/>
            <color indexed="81"/>
            <rFont val="Tahoma"/>
            <family val="2"/>
          </rPr>
          <t>Luke Brennan:</t>
        </r>
        <r>
          <rPr>
            <sz val="9"/>
            <color indexed="81"/>
            <rFont val="Tahoma"/>
            <family val="2"/>
          </rPr>
          <t xml:space="preserve">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yash chinn</author>
    <author>support</author>
    <author>lukes</author>
    <author>Justin Malkowski</author>
    <author>Luke Brennan</author>
  </authors>
  <commentList>
    <comment ref="C32" authorId="0" shapeId="0" xr:uid="{00000000-0006-0000-0700-000001000000}">
      <text>
        <r>
          <rPr>
            <b/>
            <sz val="9"/>
            <color indexed="81"/>
            <rFont val="Tahoma"/>
            <family val="2"/>
          </rPr>
          <t>yash chinn:</t>
        </r>
        <r>
          <rPr>
            <sz val="9"/>
            <color indexed="81"/>
            <rFont val="Tahoma"/>
            <family val="2"/>
          </rPr>
          <t xml:space="preserve">
Employee Comp and Benefits, Occupancy and Equipment Rental, Professional Fees, Travel and Related Expenses, Comms and Info services, Execution, clearing, custody fees </t>
        </r>
      </text>
    </comment>
    <comment ref="C33" authorId="1" shapeId="0" xr:uid="{00000000-0006-0000-0700-000002000000}">
      <text>
        <r>
          <rPr>
            <b/>
            <sz val="9"/>
            <color indexed="81"/>
            <rFont val="Tahoma"/>
            <family val="2"/>
          </rPr>
          <t>support:</t>
        </r>
        <r>
          <rPr>
            <sz val="9"/>
            <color indexed="81"/>
            <rFont val="Tahoma"/>
            <family val="2"/>
          </rPr>
          <t xml:space="preserve">
Line Item is dependent on comp ratio assumptions (IMPORTANT: This line item is deducted from SG&amp;A)</t>
        </r>
      </text>
    </comment>
    <comment ref="C35" authorId="2" shapeId="0" xr:uid="{00000000-0006-0000-0700-000003000000}">
      <text>
        <r>
          <rPr>
            <b/>
            <sz val="9"/>
            <color rgb="FF000000"/>
            <rFont val="Tahoma"/>
            <family val="2"/>
          </rPr>
          <t>Luke Brennan:</t>
        </r>
        <r>
          <rPr>
            <sz val="9"/>
            <color rgb="FF000000"/>
            <rFont val="Tahoma"/>
            <family val="2"/>
          </rPr>
          <t xml:space="preserve">
</t>
        </r>
        <r>
          <rPr>
            <sz val="9"/>
            <color rgb="FF000000"/>
            <rFont val="Tahoma"/>
            <family val="2"/>
          </rPr>
          <t xml:space="preserve">VERY IMPORTANT!
</t>
        </r>
        <r>
          <rPr>
            <sz val="9"/>
            <color rgb="FF000000"/>
            <rFont val="Tahoma"/>
            <family val="2"/>
          </rPr>
          <t>Many companies report D&amp;A as a part of SG&amp;A, many do not. For this reason I've created this toggle. Select and option from the dropdown that fits your company, as this will affect the Operating Income (Loss) result.</t>
        </r>
      </text>
    </comment>
    <comment ref="C36" authorId="2" shapeId="0" xr:uid="{00000000-0006-0000-0700-000004000000}">
      <text>
        <r>
          <rPr>
            <b/>
            <sz val="9"/>
            <color rgb="FF000000"/>
            <rFont val="Tahoma"/>
            <family val="2"/>
          </rPr>
          <t>Luke Brennan:</t>
        </r>
        <r>
          <rPr>
            <sz val="9"/>
            <color rgb="FF000000"/>
            <rFont val="Tahoma"/>
            <family val="2"/>
          </rPr>
          <t xml:space="preserve">
</t>
        </r>
        <r>
          <rPr>
            <sz val="9"/>
            <color rgb="FF000000"/>
            <rFont val="Tahoma"/>
            <family val="2"/>
          </rPr>
          <t>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D36" authorId="0" shapeId="0" xr:uid="{00000000-0006-0000-0700-000005000000}">
      <text>
        <r>
          <rPr>
            <b/>
            <sz val="9"/>
            <color rgb="FF000000"/>
            <rFont val="Tahoma"/>
            <family val="2"/>
          </rPr>
          <t>yash chinn:</t>
        </r>
        <r>
          <rPr>
            <sz val="9"/>
            <color rgb="FF000000"/>
            <rFont val="Tahoma"/>
            <family val="2"/>
          </rPr>
          <t xml:space="preserve">
</t>
        </r>
        <r>
          <rPr>
            <sz val="9"/>
            <color rgb="FF000000"/>
            <rFont val="Tahoma"/>
            <family val="2"/>
          </rPr>
          <t>Special Charges, Acquistion and Transition Costs, Other Operating Expenses</t>
        </r>
      </text>
    </comment>
    <comment ref="C42" authorId="0" shapeId="0" xr:uid="{00000000-0006-0000-0700-000006000000}">
      <text>
        <r>
          <rPr>
            <b/>
            <sz val="9"/>
            <color indexed="81"/>
            <rFont val="Tahoma"/>
            <family val="2"/>
          </rPr>
          <t>yash chinn:</t>
        </r>
        <r>
          <rPr>
            <sz val="9"/>
            <color indexed="81"/>
            <rFont val="Tahoma"/>
            <family val="2"/>
          </rPr>
          <t xml:space="preserve">
Income from other equity method investments</t>
        </r>
      </text>
    </comment>
    <comment ref="C49" authorId="2" shapeId="0" xr:uid="{00000000-0006-0000-0700-000007000000}">
      <text>
        <r>
          <rPr>
            <b/>
            <sz val="9"/>
            <color indexed="81"/>
            <rFont val="Tahoma"/>
            <family val="2"/>
          </rPr>
          <t>Luke Brennan:</t>
        </r>
        <r>
          <rPr>
            <sz val="9"/>
            <color indexed="81"/>
            <rFont val="Tahoma"/>
            <family val="2"/>
          </rPr>
          <t xml:space="preserve">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C123" authorId="3" shapeId="0" xr:uid="{00000000-0006-0000-0700-000009000000}">
      <text>
        <r>
          <rPr>
            <b/>
            <sz val="9"/>
            <color indexed="81"/>
            <rFont val="Tahoma"/>
            <family val="2"/>
          </rPr>
          <t>Justin Malkowski:</t>
        </r>
        <r>
          <rPr>
            <sz val="9"/>
            <color indexed="81"/>
            <rFont val="Tahoma"/>
            <family val="2"/>
          </rPr>
          <t xml:space="preserve">
Consists of advisory fees, expense reimbursements, and related parties' fees</t>
        </r>
      </text>
    </comment>
    <comment ref="C125" authorId="3" shapeId="0" xr:uid="{00000000-0006-0000-0700-00000A000000}">
      <text>
        <r>
          <rPr>
            <b/>
            <sz val="9"/>
            <color indexed="81"/>
            <rFont val="Tahoma"/>
            <family val="2"/>
          </rPr>
          <t>Justin Malkowski:</t>
        </r>
        <r>
          <rPr>
            <sz val="9"/>
            <color indexed="81"/>
            <rFont val="Tahoma"/>
            <family val="2"/>
          </rPr>
          <t xml:space="preserve">
Consists of investments in securities and contract assets</t>
        </r>
      </text>
    </comment>
    <comment ref="C142" authorId="4" shapeId="0" xr:uid="{00000000-0006-0000-0700-00000B000000}">
      <text>
        <r>
          <rPr>
            <b/>
            <sz val="9"/>
            <color rgb="FF000000"/>
            <rFont val="Tahoma"/>
            <family val="2"/>
          </rPr>
          <t>Luke Brennan:</t>
        </r>
        <r>
          <rPr>
            <sz val="9"/>
            <color rgb="FF000000"/>
            <rFont val="Tahoma"/>
            <family val="2"/>
          </rPr>
          <t xml:space="preserve">
</t>
        </r>
        <r>
          <rPr>
            <sz val="9"/>
            <color rgb="FF000000"/>
            <rFont val="Tahoma"/>
            <family val="2"/>
          </rPr>
          <t>If your company breaks out a current portion of LT Debt, be sure to add it into this line. We can easily project the issuance and paydown of LT debt but not what the current portion will be, so it is all included in one line</t>
        </r>
      </text>
    </comment>
    <comment ref="C160" authorId="2" shapeId="0" xr:uid="{00000000-0006-0000-0700-00000C000000}">
      <text>
        <r>
          <rPr>
            <b/>
            <sz val="9"/>
            <color indexed="81"/>
            <rFont val="Tahoma"/>
            <family val="2"/>
          </rPr>
          <t>Luke Brennan:</t>
        </r>
        <r>
          <rPr>
            <sz val="9"/>
            <color indexed="81"/>
            <rFont val="Tahoma"/>
            <family val="2"/>
          </rPr>
          <t xml:space="preserve">
"Check" means everything is good
Positive number means the BS is asset-heavy
Negative number means the BS is asset-light</t>
        </r>
      </text>
    </comment>
    <comment ref="C301" authorId="2" shapeId="0" xr:uid="{00000000-0006-0000-0700-00000D000000}">
      <text>
        <r>
          <rPr>
            <b/>
            <sz val="9"/>
            <color indexed="81"/>
            <rFont val="Tahoma"/>
            <family val="2"/>
          </rPr>
          <t>Luke Brennan:</t>
        </r>
        <r>
          <rPr>
            <sz val="9"/>
            <color indexed="81"/>
            <rFont val="Tahoma"/>
            <family val="2"/>
          </rPr>
          <t xml:space="preserve">
Based on the draw on cash for operating working capital. Forward projection uses average of historical. Important to note that the more negative this % is in projections, the more cash the model will require the company to hold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lukes</author>
  </authors>
  <commentList>
    <comment ref="C41" authorId="0" shapeId="0" xr:uid="{00000000-0006-0000-0800-000001000000}">
      <text>
        <r>
          <rPr>
            <b/>
            <sz val="9"/>
            <color indexed="81"/>
            <rFont val="Tahoma"/>
            <family val="2"/>
          </rPr>
          <t>Luke Brennan:</t>
        </r>
        <r>
          <rPr>
            <sz val="9"/>
            <color indexed="81"/>
            <rFont val="Tahoma"/>
            <family val="2"/>
          </rPr>
          <t xml:space="preserve">
Used to check if the top-down calculation of operating income matches the number here</t>
        </r>
      </text>
    </comment>
    <comment ref="C59" authorId="0" shapeId="0" xr:uid="{00000000-0006-0000-0800-000003000000}">
      <text>
        <r>
          <rPr>
            <b/>
            <sz val="9"/>
            <color indexed="81"/>
            <rFont val="Tahoma"/>
            <family val="2"/>
          </rPr>
          <t>Luke Brennan:</t>
        </r>
        <r>
          <rPr>
            <sz val="9"/>
            <color indexed="81"/>
            <rFont val="Tahoma"/>
            <family val="2"/>
          </rPr>
          <t xml:space="preserve">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Zach Pfeffer</author>
  </authors>
  <commentList>
    <comment ref="E44" authorId="0" shapeId="0" xr:uid="{00000000-0006-0000-0B00-000001000000}">
      <text>
        <r>
          <rPr>
            <b/>
            <sz val="9"/>
            <color indexed="81"/>
            <rFont val="Tahoma"/>
            <family val="2"/>
          </rPr>
          <t>Zach Pfeffer:</t>
        </r>
        <r>
          <rPr>
            <sz val="9"/>
            <color indexed="81"/>
            <rFont val="Tahoma"/>
            <family val="2"/>
          </rPr>
          <t xml:space="preserve">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Luke S Brennan</author>
  </authors>
  <commentList>
    <comment ref="L2" authorId="0" shapeId="0" xr:uid="{00000000-0006-0000-0D00-000001000000}">
      <text>
        <r>
          <rPr>
            <b/>
            <sz val="9"/>
            <color indexed="81"/>
            <rFont val="Tahoma"/>
            <family val="2"/>
          </rPr>
          <t>Luke S Brennan:</t>
        </r>
        <r>
          <rPr>
            <sz val="9"/>
            <color indexed="81"/>
            <rFont val="Tahoma"/>
            <family val="2"/>
          </rPr>
          <t xml:space="preserve">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Zach Pfeffer</author>
  </authors>
  <commentList>
    <comment ref="G6" authorId="0" shapeId="0" xr:uid="{00000000-0006-0000-0C00-000001000000}">
      <text>
        <r>
          <rPr>
            <b/>
            <sz val="9"/>
            <color indexed="81"/>
            <rFont val="Tahoma"/>
            <family val="2"/>
          </rPr>
          <t>Luke Brennan:</t>
        </r>
        <r>
          <rPr>
            <sz val="9"/>
            <color indexed="81"/>
            <rFont val="Tahoma"/>
            <family val="2"/>
          </rPr>
          <t xml:space="preserve">
Yield on U.S. 10-Year Treasury bond</t>
        </r>
      </text>
    </comment>
    <comment ref="G7" authorId="0" shapeId="0" xr:uid="{00000000-0006-0000-0C00-000002000000}">
      <text>
        <r>
          <rPr>
            <b/>
            <sz val="9"/>
            <color indexed="81"/>
            <rFont val="Tahoma"/>
            <family val="2"/>
          </rPr>
          <t>Luke Brennan:</t>
        </r>
        <r>
          <rPr>
            <sz val="9"/>
            <color indexed="81"/>
            <rFont val="Tahoma"/>
            <family val="2"/>
          </rPr>
          <t xml:space="preserve">
Aug 1 ERP</t>
        </r>
      </text>
    </comment>
    <comment ref="G8" authorId="0" shapeId="0" xr:uid="{00000000-0006-0000-0C00-000003000000}">
      <text>
        <r>
          <rPr>
            <b/>
            <sz val="9"/>
            <color indexed="81"/>
            <rFont val="Tahoma"/>
            <family val="2"/>
          </rPr>
          <t>Luke Brennan:</t>
        </r>
        <r>
          <rPr>
            <sz val="9"/>
            <color indexed="81"/>
            <rFont val="Tahoma"/>
            <family val="2"/>
          </rPr>
          <t xml:space="preserve">
Can be sourced from Bloomberg's WACC function. Use the rate on company's bonds</t>
        </r>
      </text>
    </comment>
    <comment ref="M8" authorId="0" shapeId="0" xr:uid="{00000000-0006-0000-0C00-000004000000}">
      <text>
        <r>
          <rPr>
            <b/>
            <sz val="9"/>
            <color indexed="81"/>
            <rFont val="Tahoma"/>
            <family val="2"/>
          </rPr>
          <t>Luke Brennan:</t>
        </r>
        <r>
          <rPr>
            <sz val="9"/>
            <color indexed="81"/>
            <rFont val="Tahoma"/>
            <family val="2"/>
          </rPr>
          <t xml:space="preserve">
Source from Bloomberg "EV" function and hard-code here</t>
        </r>
      </text>
    </comment>
    <comment ref="Q20" authorId="0" shapeId="0" xr:uid="{00000000-0006-0000-0C00-000005000000}">
      <text>
        <r>
          <rPr>
            <b/>
            <sz val="9"/>
            <color indexed="81"/>
            <rFont val="Tahoma"/>
            <family val="2"/>
          </rPr>
          <t>Luke Brennan:</t>
        </r>
        <r>
          <rPr>
            <sz val="9"/>
            <color indexed="81"/>
            <rFont val="Tahoma"/>
            <family val="2"/>
          </rPr>
          <t xml:space="preserve">
This is a check to make sure the center WACC value equals the value above in cell N13. Will display "FALSE" if values do not match</t>
        </r>
      </text>
    </comment>
    <comment ref="N23" authorId="0" shapeId="0" xr:uid="{00000000-0006-0000-0C00-000006000000}">
      <text>
        <r>
          <rPr>
            <b/>
            <sz val="9"/>
            <color indexed="81"/>
            <rFont val="Tahoma"/>
            <family val="2"/>
          </rPr>
          <t>Luke Brennan:</t>
        </r>
        <r>
          <rPr>
            <sz val="9"/>
            <color indexed="81"/>
            <rFont val="Tahoma"/>
            <family val="2"/>
          </rPr>
          <t xml:space="preserve">
Hard-code value from toggles below by doing "paste special values"</t>
        </r>
      </text>
    </comment>
    <comment ref="K26" authorId="0" shapeId="0" xr:uid="{00000000-0006-0000-0C00-000007000000}">
      <text>
        <r>
          <rPr>
            <b/>
            <sz val="9"/>
            <color indexed="81"/>
            <rFont val="Tahoma"/>
            <family val="2"/>
          </rPr>
          <t>Luke Brennan:</t>
        </r>
        <r>
          <rPr>
            <sz val="9"/>
            <color indexed="81"/>
            <rFont val="Tahoma"/>
            <family val="2"/>
          </rPr>
          <t xml:space="preserve">
Hard-code value from toggles below by doing "paste special values"</t>
        </r>
      </text>
    </comment>
    <comment ref="N33" authorId="0" shapeId="0" xr:uid="{00000000-0006-0000-0C00-000008000000}">
      <text>
        <r>
          <rPr>
            <b/>
            <sz val="9"/>
            <color indexed="81"/>
            <rFont val="Tahoma"/>
            <family val="2"/>
          </rPr>
          <t>Luke Brennan:</t>
        </r>
        <r>
          <rPr>
            <sz val="9"/>
            <color indexed="81"/>
            <rFont val="Tahoma"/>
            <family val="2"/>
          </rPr>
          <t xml:space="preserve">
This is a check to make sure the pre-tax cost mid-point is equal to the mid-point in the data table on the X-axis. Will display "FALSE" if values do not match</t>
        </r>
      </text>
    </comment>
    <comment ref="N36" authorId="0" shapeId="0" xr:uid="{00000000-0006-0000-0C00-000009000000}">
      <text>
        <r>
          <rPr>
            <b/>
            <sz val="9"/>
            <color indexed="81"/>
            <rFont val="Tahoma"/>
            <family val="2"/>
          </rPr>
          <t>Luke Brennan:</t>
        </r>
        <r>
          <rPr>
            <sz val="9"/>
            <color indexed="81"/>
            <rFont val="Tahoma"/>
            <family val="2"/>
          </rPr>
          <t xml:space="preserve">
This is a check to make sure the Debt / Total Cap mid-point is equal to the mid-point in the data table on the Y-axis. Will display "FALSE" if values do not match</t>
        </r>
      </text>
    </comment>
    <comment ref="K43" authorId="0" shapeId="0" xr:uid="{00000000-0006-0000-0C00-00000A000000}">
      <text>
        <r>
          <rPr>
            <b/>
            <sz val="9"/>
            <color indexed="81"/>
            <rFont val="Tahoma"/>
            <family val="2"/>
          </rPr>
          <t>Luke Brennan:</t>
        </r>
        <r>
          <rPr>
            <sz val="9"/>
            <color indexed="81"/>
            <rFont val="Tahoma"/>
            <family val="2"/>
          </rPr>
          <t xml:space="preserve">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Hunter Kornfeind</author>
    <author>Luke Brennan</author>
    <author>Lilianna Ruby</author>
    <author>Zach Pfeffer</author>
  </authors>
  <commentList>
    <comment ref="W4" authorId="0" shapeId="0" xr:uid="{00000000-0006-0000-0E00-000001000000}">
      <text>
        <r>
          <rPr>
            <b/>
            <sz val="9"/>
            <color indexed="81"/>
            <rFont val="Tahoma"/>
            <family val="2"/>
          </rPr>
          <t>Hunter Kornfeind:</t>
        </r>
        <r>
          <rPr>
            <sz val="9"/>
            <color indexed="81"/>
            <rFont val="Tahoma"/>
            <family val="2"/>
          </rPr>
          <t xml:space="preserve">
This confirms if your weights = 100%. If they do not equal 100%, it will say "Check."</t>
        </r>
      </text>
    </comment>
    <comment ref="J48" authorId="1" shapeId="0" xr:uid="{00000000-0006-0000-0E00-000002000000}">
      <text>
        <r>
          <rPr>
            <b/>
            <sz val="9"/>
            <color indexed="81"/>
            <rFont val="Tahoma"/>
            <family val="2"/>
          </rPr>
          <t>Luke Brennan:</t>
        </r>
        <r>
          <rPr>
            <sz val="9"/>
            <color indexed="81"/>
            <rFont val="Tahoma"/>
            <family val="2"/>
          </rPr>
          <t xml:space="preserve">
This function is set up on the quarterlies for the current year so that we are only valuing the company off of future cash flow. Any historical quarter should not be included, so don't be alarmed if you are seeing zeroes in here</t>
        </r>
      </text>
    </comment>
    <comment ref="X55" authorId="2" shapeId="0" xr:uid="{00000000-0006-0000-0E00-000003000000}">
      <text>
        <r>
          <rPr>
            <b/>
            <sz val="9"/>
            <color indexed="81"/>
            <rFont val="Tahoma"/>
            <family val="2"/>
          </rPr>
          <t>Lilianna Ruby:</t>
        </r>
        <r>
          <rPr>
            <sz val="9"/>
            <color indexed="81"/>
            <rFont val="Tahoma"/>
            <family val="2"/>
          </rPr>
          <t xml:space="preserve">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3" shapeId="0" xr:uid="{00000000-0006-0000-0E00-000004000000}">
      <text>
        <r>
          <rPr>
            <b/>
            <sz val="9"/>
            <color indexed="81"/>
            <rFont val="Tahoma"/>
            <family val="2"/>
          </rPr>
          <t>Luke Brennan:</t>
        </r>
        <r>
          <rPr>
            <sz val="9"/>
            <color indexed="81"/>
            <rFont val="Tahoma"/>
            <family val="2"/>
          </rPr>
          <t xml:space="preserve">
This is a check to make sure the toggle is equal to the toggle at the top of the page. Will display "FALSE" if values do not match. This is key because the Spread Valuations are pulling current peer averages from the top of the page.</t>
        </r>
      </text>
    </comment>
    <comment ref="H222" authorId="3" shapeId="0" xr:uid="{00000000-0006-0000-0E00-000005000000}">
      <text>
        <r>
          <rPr>
            <b/>
            <sz val="9"/>
            <color indexed="81"/>
            <rFont val="Tahoma"/>
            <family val="2"/>
          </rPr>
          <t>Luke Brennan:</t>
        </r>
        <r>
          <rPr>
            <sz val="9"/>
            <color indexed="81"/>
            <rFont val="Tahoma"/>
            <family val="2"/>
          </rPr>
          <t xml:space="preserve">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Zach Pfeffer</author>
    <author>Luke S Brennan</author>
    <author>Hunter Kornfeind</author>
  </authors>
  <commentList>
    <comment ref="E25" authorId="0" shapeId="0" xr:uid="{00000000-0006-0000-1100-000001000000}">
      <text>
        <r>
          <rPr>
            <b/>
            <sz val="9"/>
            <color indexed="81"/>
            <rFont val="Tahoma"/>
            <family val="2"/>
          </rPr>
          <t>Luke Brennan:</t>
        </r>
        <r>
          <rPr>
            <sz val="9"/>
            <color indexed="81"/>
            <rFont val="Tahoma"/>
            <family val="2"/>
          </rPr>
          <t xml:space="preserve">
Some of these charts are here if you choose to break out individual segment revenue</t>
        </r>
      </text>
    </comment>
    <comment ref="D32" authorId="0" shapeId="0" xr:uid="{00000000-0006-0000-1100-000002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L32" authorId="0" shapeId="0" xr:uid="{00000000-0006-0000-1100-000003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D52" authorId="0" shapeId="0" xr:uid="{00000000-0006-0000-1100-000004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L52" authorId="0" shapeId="0" xr:uid="{00000000-0006-0000-1100-000005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D72" authorId="0" shapeId="0" xr:uid="{00000000-0006-0000-1100-000006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L72" authorId="0" shapeId="0" xr:uid="{00000000-0006-0000-1100-000007000000}">
      <text>
        <r>
          <rPr>
            <b/>
            <sz val="9"/>
            <color indexed="81"/>
            <rFont val="Tahoma"/>
            <family val="2"/>
          </rPr>
          <t>Zach Pfeffer:</t>
        </r>
        <r>
          <rPr>
            <sz val="9"/>
            <color indexed="81"/>
            <rFont val="Tahoma"/>
            <family val="2"/>
          </rPr>
          <t xml:space="preserve">
Manual input for YoY growth in historical year (pull from 10-K, transcript, press release, etc.)</t>
        </r>
      </text>
    </comment>
    <comment ref="D92" authorId="0" shapeId="0" xr:uid="{00000000-0006-0000-1100-000008000000}">
      <text>
        <r>
          <rPr>
            <b/>
            <sz val="9"/>
            <color indexed="81"/>
            <rFont val="Tahoma"/>
            <family val="2"/>
          </rPr>
          <t>Luke Brennan:</t>
        </r>
        <r>
          <rPr>
            <sz val="9"/>
            <color indexed="81"/>
            <rFont val="Tahoma"/>
            <family val="2"/>
          </rPr>
          <t xml:space="preserve">
Manual input for YoY growth in historical year (pull from 10-K, transcript, press release, etc.)</t>
        </r>
      </text>
    </comment>
    <comment ref="E114" authorId="1" shapeId="0" xr:uid="{00000000-0006-0000-1100-000009000000}">
      <text>
        <r>
          <rPr>
            <b/>
            <sz val="9"/>
            <color indexed="81"/>
            <rFont val="Tahoma"/>
            <family val="2"/>
          </rPr>
          <t>Luke S Brennan:</t>
        </r>
        <r>
          <rPr>
            <sz val="9"/>
            <color indexed="81"/>
            <rFont val="Tahoma"/>
            <family val="2"/>
          </rPr>
          <t xml:space="preserve">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1100-00000A000000}">
      <text>
        <r>
          <rPr>
            <b/>
            <sz val="9"/>
            <color indexed="81"/>
            <rFont val="Tahoma"/>
            <family val="2"/>
          </rPr>
          <t>Luke Brennan:</t>
        </r>
        <r>
          <rPr>
            <sz val="9"/>
            <color indexed="81"/>
            <rFont val="Tahoma"/>
            <family val="2"/>
          </rPr>
          <t xml:space="preserve">
Hard-code in from Bloomberg function "DDIS"</t>
        </r>
      </text>
    </comment>
    <comment ref="D154" authorId="0" shapeId="0" xr:uid="{00000000-0006-0000-1100-00000B000000}">
      <text>
        <r>
          <rPr>
            <b/>
            <sz val="9"/>
            <color indexed="81"/>
            <rFont val="Tahoma"/>
            <family val="2"/>
          </rPr>
          <t>Luke Brennan:</t>
        </r>
        <r>
          <rPr>
            <sz val="9"/>
            <color indexed="81"/>
            <rFont val="Tahoma"/>
            <family val="2"/>
          </rPr>
          <t xml:space="preserve">
This obviously should be modified to reflect your specific industry overview. Change as needed and hard-code numbers</t>
        </r>
      </text>
    </comment>
    <comment ref="C177" authorId="0" shapeId="0" xr:uid="{00000000-0006-0000-1100-00000C000000}">
      <text>
        <r>
          <rPr>
            <b/>
            <sz val="9"/>
            <color indexed="81"/>
            <rFont val="Tahoma"/>
            <family val="2"/>
          </rPr>
          <t>Luke Brennan:</t>
        </r>
        <r>
          <rPr>
            <sz val="9"/>
            <color indexed="81"/>
            <rFont val="Tahoma"/>
            <family val="2"/>
          </rPr>
          <t xml:space="preserve">
1) Use Bloomberg function "GP"
2) Change "Chart" to "Table" to retrieve daily price closes and volume data
3) Make sure time period is one year
4) Copy &amp; paste data in the columns below</t>
        </r>
      </text>
    </comment>
    <comment ref="F178" authorId="2" shapeId="0" xr:uid="{00000000-0006-0000-1100-00000D000000}">
      <text>
        <r>
          <rPr>
            <b/>
            <sz val="9"/>
            <color indexed="81"/>
            <rFont val="Tahoma"/>
            <family val="2"/>
          </rPr>
          <t>Hunter Kornfeind:</t>
        </r>
        <r>
          <rPr>
            <sz val="9"/>
            <color indexed="81"/>
            <rFont val="Tahoma"/>
            <family val="2"/>
          </rPr>
          <t xml:space="preserve">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Luke S Brennan</author>
    <author>Hunter Kornfeind</author>
  </authors>
  <commentList>
    <comment ref="C8" authorId="0" shapeId="0" xr:uid="{00000000-0006-0000-1200-000001000000}">
      <text>
        <r>
          <rPr>
            <b/>
            <sz val="9"/>
            <color indexed="81"/>
            <rFont val="Tahoma"/>
            <family val="2"/>
          </rPr>
          <t>Luke S Brennan:</t>
        </r>
        <r>
          <rPr>
            <sz val="9"/>
            <color indexed="81"/>
            <rFont val="Tahoma"/>
            <family val="2"/>
          </rPr>
          <t xml:space="preserve">
Feel free to make any of these charts any statistic you want. Just make sure they are pulling from the correct column in the comp table and have the correct format ($ vs % vs #)</t>
        </r>
      </text>
    </comment>
    <comment ref="O138" authorId="1" shapeId="0" xr:uid="{00000000-0006-0000-1200-000002000000}">
      <text>
        <r>
          <rPr>
            <b/>
            <sz val="9"/>
            <color indexed="81"/>
            <rFont val="Tahoma"/>
            <family val="2"/>
          </rPr>
          <t>Hunter Kornfeind:</t>
        </r>
        <r>
          <rPr>
            <sz val="9"/>
            <color indexed="81"/>
            <rFont val="Tahoma"/>
            <family val="2"/>
          </rPr>
          <t xml:space="preserve">
Change model company's bar color to Owl Fund red in chart.</t>
        </r>
      </text>
    </comment>
    <comment ref="O154" authorId="1" shapeId="0" xr:uid="{00000000-0006-0000-1200-000003000000}">
      <text>
        <r>
          <rPr>
            <b/>
            <sz val="9"/>
            <color indexed="81"/>
            <rFont val="Tahoma"/>
            <family val="2"/>
          </rPr>
          <t>Hunter Kornfeind:</t>
        </r>
        <r>
          <rPr>
            <sz val="9"/>
            <color indexed="81"/>
            <rFont val="Tahoma"/>
            <family val="2"/>
          </rPr>
          <t xml:space="preserve">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Luke S Brennan</author>
  </authors>
  <commentList>
    <comment ref="J4" authorId="0" shapeId="0" xr:uid="{00000000-0006-0000-1400-000001000000}">
      <text>
        <r>
          <rPr>
            <b/>
            <sz val="9"/>
            <color rgb="FF000000"/>
            <rFont val="Tahoma"/>
            <family val="2"/>
          </rPr>
          <t>Luke S Brennan:</t>
        </r>
        <r>
          <rPr>
            <sz val="9"/>
            <color rgb="FF000000"/>
            <rFont val="Tahoma"/>
            <family val="2"/>
          </rPr>
          <t xml:space="preserve">
</t>
        </r>
        <r>
          <rPr>
            <sz val="9"/>
            <color rgb="FF000000"/>
            <rFont val="Tahoma"/>
            <family val="2"/>
          </rPr>
          <t xml:space="preserve">Note: The column I refer to as "3Q19a" is the far left column. When you are building this model 3Q19 may not be the next quarter to be reported.
</t>
        </r>
        <r>
          <rPr>
            <sz val="9"/>
            <color rgb="FF000000"/>
            <rFont val="Tahoma"/>
            <family val="2"/>
          </rPr>
          <t xml:space="preserve">
</t>
        </r>
        <r>
          <rPr>
            <sz val="9"/>
            <color rgb="FF000000"/>
            <rFont val="Tahoma"/>
            <family val="2"/>
          </rPr>
          <t xml:space="preserve">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t>
        </r>
        <r>
          <rPr>
            <sz val="9"/>
            <color rgb="FF000000"/>
            <rFont val="Tahoma"/>
            <family val="2"/>
          </rPr>
          <t xml:space="preserve">
</t>
        </r>
        <r>
          <rPr>
            <sz val="9"/>
            <color rgb="FF000000"/>
            <rFont val="Tahoma"/>
            <family val="2"/>
          </rPr>
          <t xml:space="preserve">(1)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t>
        </r>
        <r>
          <rPr>
            <sz val="9"/>
            <color rgb="FF000000"/>
            <rFont val="Tahoma"/>
            <family val="2"/>
          </rPr>
          <t xml:space="preserve">(2) To make life easier, you can pull expectations over from the other page rather than hardcode again for Consensus
</t>
        </r>
        <r>
          <rPr>
            <sz val="9"/>
            <color rgb="FF000000"/>
            <rFont val="Tahoma"/>
            <family val="2"/>
          </rPr>
          <t xml:space="preserve">(3) When the earnings report does come out, hardcode the reported numbers in the proper quarter to update the "Model" tab (these numbers are now historicals) and 3Q19a column will then be pulling in what the company actually reported for that quarter. 
</t>
        </r>
        <r>
          <rPr>
            <sz val="9"/>
            <color rgb="FF000000"/>
            <rFont val="Tahoma"/>
            <family val="2"/>
          </rPr>
          <t xml:space="preserve">(4) All the other columns should remain untouched
</t>
        </r>
        <r>
          <rPr>
            <sz val="9"/>
            <color rgb="FF000000"/>
            <rFont val="Tahoma"/>
            <family val="2"/>
          </rPr>
          <t>(5) Flip the Font Color Toggle from Working to Report so that you have a clean looking chart for your report</t>
        </r>
      </text>
    </comment>
  </commentList>
</comments>
</file>

<file path=xl/sharedStrings.xml><?xml version="1.0" encoding="utf-8"?>
<sst xmlns="http://schemas.openxmlformats.org/spreadsheetml/2006/main" count="2268" uniqueCount="1082">
  <si>
    <t>Table of Contents</t>
  </si>
  <si>
    <t>x</t>
  </si>
  <si>
    <t>Blue = Hard-Coded Value (historical values &amp; assumptions)</t>
  </si>
  <si>
    <t>Black = Formulas</t>
  </si>
  <si>
    <t>Green = Linked Value (from separate worksheet)</t>
  </si>
  <si>
    <t>0-0-255</t>
  </si>
  <si>
    <t>Hard-Coded Numbers</t>
  </si>
  <si>
    <t>0-128-0</t>
  </si>
  <si>
    <t>Linked Numbers</t>
  </si>
  <si>
    <t>255-223-159</t>
  </si>
  <si>
    <t>Owl Fund Gold</t>
  </si>
  <si>
    <t>255-255-153</t>
  </si>
  <si>
    <t>118-0-0</t>
  </si>
  <si>
    <t>Owl Fund Red</t>
  </si>
  <si>
    <t>Section Headers</t>
  </si>
  <si>
    <t>Model Assumptions:</t>
  </si>
  <si>
    <t>Return Summary:</t>
  </si>
  <si>
    <t>Exit Multiple Method</t>
  </si>
  <si>
    <t>Ticker:</t>
  </si>
  <si>
    <t>Implied Enterprise Value:</t>
  </si>
  <si>
    <t>Implied Equity Value:</t>
  </si>
  <si>
    <t>Implied Share Price:</t>
  </si>
  <si>
    <t>% Return:</t>
  </si>
  <si>
    <t>Target Price:</t>
  </si>
  <si>
    <t>Effective Tax Rate:</t>
  </si>
  <si>
    <t>Drivers</t>
  </si>
  <si>
    <t>Model</t>
  </si>
  <si>
    <t>WACC</t>
  </si>
  <si>
    <t>DCF</t>
  </si>
  <si>
    <t>Comps</t>
  </si>
  <si>
    <t>Benchmark</t>
  </si>
  <si>
    <t>Football Field</t>
  </si>
  <si>
    <t>Summary</t>
  </si>
  <si>
    <t>Charts</t>
  </si>
  <si>
    <t>Income Statement</t>
  </si>
  <si>
    <t>Revenue</t>
  </si>
  <si>
    <t>Gross Profit</t>
  </si>
  <si>
    <t>Research &amp; Development (R&amp;D)</t>
  </si>
  <si>
    <t>Other Operating Income (Expense)</t>
  </si>
  <si>
    <t>Interest Income</t>
  </si>
  <si>
    <t>Interest (Expense)</t>
  </si>
  <si>
    <t>Other Non-Operating Income (Expense)</t>
  </si>
  <si>
    <t>Net Income</t>
  </si>
  <si>
    <t>Income Tax Benefit (Expense)</t>
  </si>
  <si>
    <t>Pre-Tax Adjustments</t>
  </si>
  <si>
    <t>Post-Tax Adjustments</t>
  </si>
  <si>
    <t>Discontinued Operations</t>
  </si>
  <si>
    <t>EBITDA</t>
  </si>
  <si>
    <t>Net Income (Loss)</t>
  </si>
  <si>
    <t>Adj. Net Income (Loss)</t>
  </si>
  <si>
    <t>Pre-Tax Income (Loss)</t>
  </si>
  <si>
    <t>Income Statement Analysis</t>
  </si>
  <si>
    <t>Segment Breakdown</t>
  </si>
  <si>
    <t>Total Company Revenue</t>
  </si>
  <si>
    <t>Revenue Mix</t>
  </si>
  <si>
    <t>Geographic Breakdown</t>
  </si>
  <si>
    <t>Middle East &amp; Africa</t>
  </si>
  <si>
    <t>Asia Pacific</t>
  </si>
  <si>
    <t>Gross Margin</t>
  </si>
  <si>
    <t>SG&amp;A as % of Revenue</t>
  </si>
  <si>
    <t>R&amp;D as a % of Revenue</t>
  </si>
  <si>
    <t>Other Operating Income as a % of Revenue</t>
  </si>
  <si>
    <t>Other Non-Operating Income as a % of Revenue</t>
  </si>
  <si>
    <t>Tax Rate</t>
  </si>
  <si>
    <t>Margins</t>
  </si>
  <si>
    <t>Incremental Operating Margin</t>
  </si>
  <si>
    <t>Cash Flow Statement</t>
  </si>
  <si>
    <t>YoY Growth</t>
  </si>
  <si>
    <t>Total Company Revenue Growth</t>
  </si>
  <si>
    <t>Total Company Operating Income Growth</t>
  </si>
  <si>
    <t>Total Company EBITDA Growth</t>
  </si>
  <si>
    <t>QoQ Growth</t>
  </si>
  <si>
    <t>Net Cash From Operating Activities</t>
  </si>
  <si>
    <t>Net Cash From Investment Activities</t>
  </si>
  <si>
    <t>Ending Cash Balance</t>
  </si>
  <si>
    <t>Net Change in Cash</t>
  </si>
  <si>
    <t>Beginning Cash Balance</t>
  </si>
  <si>
    <t>Effect of FX Rate Changes on Cash</t>
  </si>
  <si>
    <t>Net Cash From Financing Activities</t>
  </si>
  <si>
    <t>Dividends Issued</t>
  </si>
  <si>
    <t>(Repurchase) of Equity</t>
  </si>
  <si>
    <t>Issuance of Equity</t>
  </si>
  <si>
    <t>Issuance of Debt</t>
  </si>
  <si>
    <t>Issuance/(Repayment) of Revolver</t>
  </si>
  <si>
    <t>Proceeds From/(Acquisitions of) Businesses</t>
  </si>
  <si>
    <t>Purchases of Intangibles</t>
  </si>
  <si>
    <t>Capital Expenditures</t>
  </si>
  <si>
    <t>(Increase)/Decrease in LT Items</t>
  </si>
  <si>
    <t>(Increase)/Decrease in Working Capital</t>
  </si>
  <si>
    <t>Stock-Based Compensation</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</si>
  <si>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</si>
  <si>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</si>
  <si>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</si>
  <si>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</si>
  <si>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</si>
  <si>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</si>
  <si>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</si>
  <si>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</si>
  <si>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</si>
  <si>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</si>
  <si>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</si>
  <si>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</si>
  <si>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</si>
  <si>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</si>
  <si>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</si>
  <si>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</si>
  <si>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</si>
  <si>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</si>
  <si>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</si>
  <si>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</si>
  <si>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</si>
  <si>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</si>
  <si>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</si>
  <si>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</si>
  <si>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</si>
  <si>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</si>
  <si>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</si>
  <si>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</si>
  <si>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</si>
  <si>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</si>
  <si>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</si>
  <si>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</si>
  <si>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</si>
  <si>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</si>
  <si>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Operating Working Capital</t>
  </si>
  <si>
    <t>(Increase) / Decrease in Working Capital</t>
  </si>
  <si>
    <t>PP&amp;E / Depreciation Schedule</t>
  </si>
  <si>
    <t>Depreciation Expense</t>
  </si>
  <si>
    <t>Beginning PP&amp;E</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</si>
  <si>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</si>
  <si>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</si>
  <si>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</si>
  <si>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</si>
  <si>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</si>
  <si>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</si>
  <si>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</si>
  <si>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</si>
  <si>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</si>
  <si>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</si>
  <si>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</si>
  <si>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</si>
  <si>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Deferred Tax Liabilities</t>
  </si>
  <si>
    <t>Total Other LT Liabilities</t>
  </si>
  <si>
    <t>Change in Other Long Term Items</t>
  </si>
  <si>
    <t>Shareholder's Equity Schedule</t>
  </si>
  <si>
    <t>Share Repurchase Assumptions</t>
  </si>
  <si>
    <t>Shares Repurchased ($ Amount)</t>
  </si>
  <si>
    <t>Common Stock &amp; APIC Assumptions</t>
  </si>
  <si>
    <t>Beginning Balance</t>
  </si>
  <si>
    <t>Ending Balance</t>
  </si>
  <si>
    <t>Stock-Based Comp (% of Sales)</t>
  </si>
  <si>
    <t>AOCI Assumptions</t>
  </si>
  <si>
    <t>Dividend Assumptions</t>
  </si>
  <si>
    <t>Dividend Per Share</t>
  </si>
  <si>
    <t>Dividends Paid</t>
  </si>
  <si>
    <t>Proceeds from Share Issuance ($ Amount)</t>
  </si>
  <si>
    <t>Stock-Based Comp Expense</t>
  </si>
  <si>
    <t>Dividends</t>
  </si>
  <si>
    <t>Less Write-Offs</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</si>
  <si>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</si>
  <si>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</si>
  <si>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</si>
  <si>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</si>
  <si>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</si>
  <si>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</si>
  <si>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</si>
  <si>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</si>
  <si>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</si>
  <si>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Cash Flow Available for Financing Activities</t>
  </si>
  <si>
    <t>Cash Available for Debt Repayment</t>
  </si>
  <si>
    <t>Excess Cash Available for Revolver</t>
  </si>
  <si>
    <t>Minimum Cash (% of Sales)</t>
  </si>
  <si>
    <t>Issuance / (Repayment of Revolver)</t>
  </si>
  <si>
    <t>Average Balance</t>
  </si>
  <si>
    <t>Interest Rate</t>
  </si>
  <si>
    <t>Total Interest (Expense)</t>
  </si>
  <si>
    <t>Minimum Cash Balance</t>
  </si>
  <si>
    <t>LT Debt Issuance</t>
  </si>
  <si>
    <t>LT Debt Repayment</t>
  </si>
  <si>
    <t>Repayment of Debt</t>
  </si>
  <si>
    <t>Total Interest Income</t>
  </si>
  <si>
    <t>Depreciation &amp; Amortization</t>
  </si>
  <si>
    <t>GAAP EPS (Basic)</t>
  </si>
  <si>
    <t>GAAP EPS (Diluted)</t>
  </si>
  <si>
    <t>Adj. EPS (Basic)</t>
  </si>
  <si>
    <t>Adj. EPS (Diluted)</t>
  </si>
  <si>
    <t>Boeing Military Aircraft</t>
  </si>
  <si>
    <t>Network &amp; Space Systems</t>
  </si>
  <si>
    <t>Global Services &amp; Support</t>
  </si>
  <si>
    <t>Free Cash Flow Analysis</t>
  </si>
  <si>
    <t>(Increase) / Decrease in Operating Working Capital</t>
  </si>
  <si>
    <t>Change in Operating Working Capital</t>
  </si>
  <si>
    <t>Free Cash Flow (FCF)</t>
  </si>
  <si>
    <t>Free Cash Flow Margin</t>
  </si>
  <si>
    <t>Free Cash Flow Yield</t>
  </si>
  <si>
    <t>Free Cash Flow per Share</t>
  </si>
  <si>
    <t>Revolver Balance</t>
  </si>
  <si>
    <t>Total Debt Balance</t>
  </si>
  <si>
    <t>Revolver Interest</t>
  </si>
  <si>
    <t>Total Debt Interest</t>
  </si>
  <si>
    <t>Cash Interest</t>
  </si>
  <si>
    <t>Average Price Paid</t>
  </si>
  <si>
    <t>Days Sales Outstanding</t>
  </si>
  <si>
    <t>Days Inventory Outstanding</t>
  </si>
  <si>
    <t>Prepaid &amp; Other Current Assets as a % of Sales</t>
  </si>
  <si>
    <t>Income (Loss) due to Non-Controlling Interest</t>
  </si>
  <si>
    <t>Cash Conversion Cycle</t>
  </si>
  <si>
    <t>Change in Other LT Assets</t>
  </si>
  <si>
    <t>Dividend Yield</t>
  </si>
  <si>
    <t>Shares Outstanding</t>
  </si>
  <si>
    <t>TTM P/E</t>
  </si>
  <si>
    <t>Other Comprehensive Income (Loss)</t>
  </si>
  <si>
    <t>EPS</t>
  </si>
  <si>
    <t>Beginning Cash Adjustments</t>
  </si>
  <si>
    <t>Ending Cash Adjustments</t>
  </si>
  <si>
    <t>% Growth</t>
  </si>
  <si>
    <t>% of Total Revenue</t>
  </si>
  <si>
    <t>Bull Case</t>
  </si>
  <si>
    <t>Base Case</t>
  </si>
  <si>
    <t>Bear Case</t>
  </si>
  <si>
    <t>Case Scenario</t>
  </si>
  <si>
    <t>Base</t>
  </si>
  <si>
    <t>Activity-Based Growth</t>
  </si>
  <si>
    <t>Segment</t>
  </si>
  <si>
    <t>Growth Rate</t>
  </si>
  <si>
    <t>Volume</t>
  </si>
  <si>
    <t>Price</t>
  </si>
  <si>
    <t>% Price Growth</t>
  </si>
  <si>
    <t>% Volume Growth</t>
  </si>
  <si>
    <t>Activity-Based</t>
  </si>
  <si>
    <t>Backlog</t>
  </si>
  <si>
    <t>Backlog Conversion</t>
  </si>
  <si>
    <t>New Orders</t>
  </si>
  <si>
    <t>% Order Growth</t>
  </si>
  <si>
    <t>Book-to-Bill</t>
  </si>
  <si>
    <t>End</t>
  </si>
  <si>
    <t>CAGR</t>
  </si>
  <si>
    <t>Historical</t>
  </si>
  <si>
    <t>Projected</t>
  </si>
  <si>
    <t>Operating Expenses</t>
  </si>
  <si>
    <t>Income Statement Assumptions</t>
  </si>
  <si>
    <t>Non-Operating Expenses</t>
  </si>
  <si>
    <t>Cash Flow Statement Assumptions</t>
  </si>
  <si>
    <t>Operating</t>
  </si>
  <si>
    <t>Investing</t>
  </si>
  <si>
    <t>Financing</t>
  </si>
  <si>
    <t>Dividends YoY Growth Rate</t>
  </si>
  <si>
    <t>Balance Sheet Assumptions</t>
  </si>
  <si>
    <t>Assets</t>
  </si>
  <si>
    <t>Liabilities</t>
  </si>
  <si>
    <t>% Change in LT Assets</t>
  </si>
  <si>
    <t>Share Repurchase Guidance</t>
  </si>
  <si>
    <t>LT Debt (Incl. Current Portion)</t>
  </si>
  <si>
    <t>Last Fiscal Quarter Reported</t>
  </si>
  <si>
    <t>NOPAT (EBIAT)</t>
  </si>
  <si>
    <t>EBIT</t>
  </si>
  <si>
    <t>Historical Quarters</t>
  </si>
  <si>
    <t>Projected Quarters</t>
  </si>
  <si>
    <t>215-215-215</t>
  </si>
  <si>
    <t>235-235-235</t>
  </si>
  <si>
    <t>Sub-Section Headers</t>
  </si>
  <si>
    <t>Unlevered Free Cash Flow</t>
  </si>
  <si>
    <t>Mid-Year Discount</t>
  </si>
  <si>
    <t>Full-Year Discount</t>
  </si>
  <si>
    <t>Discount Factor</t>
  </si>
  <si>
    <t>Discount Rate</t>
  </si>
  <si>
    <t>Exit Multiple</t>
  </si>
  <si>
    <t>Perpetual Growth Rate</t>
  </si>
  <si>
    <t>Present Value of Future Free Cash Flow</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</si>
  <si>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</si>
  <si>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</si>
  <si>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</si>
  <si>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</si>
  <si>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</si>
  <si>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</si>
  <si>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</si>
  <si>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</si>
  <si>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</si>
  <si>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</si>
  <si>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</si>
  <si>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</si>
  <si>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</si>
  <si>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</si>
  <si>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</si>
  <si>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</si>
  <si>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</si>
  <si>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</si>
  <si>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Relevered Beta</t>
  </si>
  <si>
    <t>Beta</t>
  </si>
  <si>
    <t>Rate</t>
  </si>
  <si>
    <t>Equity</t>
  </si>
  <si>
    <t>Relevered</t>
  </si>
  <si>
    <t>Tax</t>
  </si>
  <si>
    <t>Debt /</t>
  </si>
  <si>
    <t>Unlevered</t>
  </si>
  <si>
    <t>Beta Toggle:</t>
  </si>
  <si>
    <t>Median:</t>
  </si>
  <si>
    <t>Mean:</t>
  </si>
  <si>
    <t>Debt / Total Cap Mid Point</t>
  </si>
  <si>
    <t>Pre-Tax Cost Mid-Point</t>
  </si>
  <si>
    <t>Sensitivity Toggles:</t>
  </si>
  <si>
    <t>Company</t>
  </si>
  <si>
    <t xml:space="preserve">Unlevered </t>
  </si>
  <si>
    <t xml:space="preserve">Debt / </t>
  </si>
  <si>
    <t xml:space="preserve">Levered </t>
  </si>
  <si>
    <t>Cost of Equity:</t>
  </si>
  <si>
    <t>Debt To Total Cap.</t>
  </si>
  <si>
    <t>Beta:</t>
  </si>
  <si>
    <t>Pre-Tax Cost of Debt</t>
  </si>
  <si>
    <t>WACC Sensitivity</t>
  </si>
  <si>
    <t>After-Tax Cost of Debt:</t>
  </si>
  <si>
    <t>Tax Rate:</t>
  </si>
  <si>
    <t>Pre-Tax Cost of Debt:</t>
  </si>
  <si>
    <t>WACC:</t>
  </si>
  <si>
    <t>Cost of Debt:</t>
  </si>
  <si>
    <t>Cost of Preferred Stock:</t>
  </si>
  <si>
    <t>Total Capitalization:</t>
  </si>
  <si>
    <t>Market Value of Preferred:</t>
  </si>
  <si>
    <t>Market Value of Equity:</t>
  </si>
  <si>
    <t>Equity Risk Premium (ERP):</t>
  </si>
  <si>
    <t>Market Value of Debt:</t>
  </si>
  <si>
    <t>Risk-Free Rate:</t>
  </si>
  <si>
    <t>% Weight:</t>
  </si>
  <si>
    <t>$ Amount:</t>
  </si>
  <si>
    <t>Capital Structure:</t>
  </si>
  <si>
    <t>Assumptions:</t>
  </si>
  <si>
    <t>Implied Share Price</t>
  </si>
  <si>
    <t>Implied % Return</t>
  </si>
  <si>
    <t>Exit Multiple Mid-Point</t>
  </si>
  <si>
    <t>PGR Mid-Point</t>
  </si>
  <si>
    <t>WACC Mid-Point</t>
  </si>
  <si>
    <t>Perpetuity Growth Rate</t>
  </si>
  <si>
    <t>Current Multiple</t>
  </si>
  <si>
    <t>Price/Earnings</t>
  </si>
  <si>
    <t>EV/EBITDA</t>
  </si>
  <si>
    <t>NTM EPS</t>
  </si>
  <si>
    <t>Implied Market Cap</t>
  </si>
  <si>
    <t>Implied Price Target</t>
  </si>
  <si>
    <t>% Return</t>
  </si>
  <si>
    <t>Implied Multiple</t>
  </si>
  <si>
    <t>P/E Spread Analysis</t>
  </si>
  <si>
    <t>Historical Premium/(Discount)</t>
  </si>
  <si>
    <t>NTM EBITDA</t>
  </si>
  <si>
    <t>Implied Enterprise Value</t>
  </si>
  <si>
    <t>(+) Cash &amp; Equivalents</t>
  </si>
  <si>
    <t>(-) Preferred Stock</t>
  </si>
  <si>
    <t>(-) Total Debt</t>
  </si>
  <si>
    <t>(-) Pension Obligations</t>
  </si>
  <si>
    <t>(-) Non-Controlling Interests</t>
  </si>
  <si>
    <t>(-) Capital Leases</t>
  </si>
  <si>
    <t>EV/EBITDA Spread Analysis</t>
  </si>
  <si>
    <t>Primary Peer Group</t>
  </si>
  <si>
    <t>Average</t>
  </si>
  <si>
    <t xml:space="preserve">Enterprise Value / </t>
  </si>
  <si>
    <t xml:space="preserve">Market </t>
  </si>
  <si>
    <t>Enterprise</t>
  </si>
  <si>
    <t>Sales</t>
  </si>
  <si>
    <t>EBITDA Margin</t>
  </si>
  <si>
    <t>Profit Margin</t>
  </si>
  <si>
    <t>Price / Earnings</t>
  </si>
  <si>
    <t>Ticker</t>
  </si>
  <si>
    <t>Cap</t>
  </si>
  <si>
    <t>Value</t>
  </si>
  <si>
    <t>LTM</t>
  </si>
  <si>
    <t>High</t>
  </si>
  <si>
    <t>Mean</t>
  </si>
  <si>
    <t>Median</t>
  </si>
  <si>
    <t>Low</t>
  </si>
  <si>
    <t>General Statistics</t>
  </si>
  <si>
    <t>Returns Analysis</t>
  </si>
  <si>
    <t>Liquidity Profile</t>
  </si>
  <si>
    <t>Credit Profile</t>
  </si>
  <si>
    <t xml:space="preserve">Total Debt / </t>
  </si>
  <si>
    <t>Dividend</t>
  </si>
  <si>
    <t xml:space="preserve">EBITDA / </t>
  </si>
  <si>
    <t xml:space="preserve">EBIT / </t>
  </si>
  <si>
    <t>Quick</t>
  </si>
  <si>
    <t>Current</t>
  </si>
  <si>
    <t>Yield</t>
  </si>
  <si>
    <t>ROIC</t>
  </si>
  <si>
    <t xml:space="preserve">ROE </t>
  </si>
  <si>
    <t>ROA</t>
  </si>
  <si>
    <t>Int. Exp.</t>
  </si>
  <si>
    <t>Ratio</t>
  </si>
  <si>
    <t>S&amp;P</t>
  </si>
  <si>
    <t>BBB-</t>
  </si>
  <si>
    <t>A</t>
  </si>
  <si>
    <t>A-</t>
  </si>
  <si>
    <t>Comparable Companies List:</t>
  </si>
  <si>
    <t>Target Company:</t>
  </si>
  <si>
    <t>Comparable Name:</t>
  </si>
  <si>
    <t>Defense Peer Group</t>
  </si>
  <si>
    <t>Sensitivity Analysis</t>
  </si>
  <si>
    <t>P/E</t>
  </si>
  <si>
    <t>Duration of Average</t>
  </si>
  <si>
    <t>Duration of Spread Averages</t>
  </si>
  <si>
    <t>3 Year</t>
  </si>
  <si>
    <t>Peer Group Used for Spreads</t>
  </si>
  <si>
    <t>Premium/(Discount)</t>
  </si>
  <si>
    <t>Premium Applied to Historical</t>
  </si>
  <si>
    <t>NTM EV/EBITDA</t>
  </si>
  <si>
    <t>Cyclical Multiple</t>
  </si>
  <si>
    <t>Historical Multiple</t>
  </si>
  <si>
    <t>Cycle Used</t>
  </si>
  <si>
    <t>Cycle Period</t>
  </si>
  <si>
    <t>Font Toggle</t>
  </si>
  <si>
    <t>LTM P/E</t>
  </si>
  <si>
    <t>NTM P/E</t>
  </si>
  <si>
    <t>LTM EV/EBITDA</t>
  </si>
  <si>
    <t>Sum of the Parts</t>
  </si>
  <si>
    <t>2002-2008 Full Cycle</t>
  </si>
  <si>
    <t>2009-2018 Full Cycle</t>
  </si>
  <si>
    <t>Implied EV</t>
  </si>
  <si>
    <t>Sum of the Parts Valuation</t>
  </si>
  <si>
    <t>Historical Co. Average</t>
  </si>
  <si>
    <t>Historical Average</t>
  </si>
  <si>
    <t>Historical Peer Average</t>
  </si>
  <si>
    <t>Current Peer Average</t>
  </si>
  <si>
    <t>Cyclical Co. Average</t>
  </si>
  <si>
    <t>Cyclical Average</t>
  </si>
  <si>
    <t>Cyclical Peer Average</t>
  </si>
  <si>
    <t>LTM vs NTM</t>
  </si>
  <si>
    <t>NTM</t>
  </si>
  <si>
    <t>LTM vs NTM for Peer Groups</t>
  </si>
  <si>
    <t>Historical Averages</t>
  </si>
  <si>
    <t>Cyclical Averages</t>
  </si>
  <si>
    <t>2 Year</t>
  </si>
  <si>
    <t>1 Year</t>
  </si>
  <si>
    <t>5 Year</t>
  </si>
  <si>
    <t>Share Price</t>
  </si>
  <si>
    <t>Market Cap</t>
  </si>
  <si>
    <t>Net Debt</t>
  </si>
  <si>
    <t>EV</t>
  </si>
  <si>
    <t>Returns Profile</t>
  </si>
  <si>
    <t>Historical Multiples</t>
  </si>
  <si>
    <t>Cyclical Multiples</t>
  </si>
  <si>
    <t>Methodology</t>
  </si>
  <si>
    <t>Implied PT</t>
  </si>
  <si>
    <t>Implied Return</t>
  </si>
  <si>
    <t>Peer Averages</t>
  </si>
  <si>
    <t>2002-2018 Full Cycle</t>
  </si>
  <si>
    <t>2002-2018 Early Cycle</t>
  </si>
  <si>
    <t>2002-2018 Mid Cycle</t>
  </si>
  <si>
    <t>2002-2018 Late Cycle</t>
  </si>
  <si>
    <t>2002-2008 Early Cycle</t>
  </si>
  <si>
    <t>2002-2008 Mid Cycle</t>
  </si>
  <si>
    <t>2002-2008 Late Cycle</t>
  </si>
  <si>
    <t>2009-2018 Early Cycle</t>
  </si>
  <si>
    <t>2009-2018 Mid Cycle</t>
  </si>
  <si>
    <t>2009-2018 Late Cycle</t>
  </si>
  <si>
    <t>Valuation Method:</t>
  </si>
  <si>
    <t>Downside</t>
  </si>
  <si>
    <t>Delta</t>
  </si>
  <si>
    <t>Upside</t>
  </si>
  <si>
    <t>52-Week Price Range:</t>
  </si>
  <si>
    <t>Median Value:</t>
  </si>
  <si>
    <t>Implied Return (%):</t>
  </si>
  <si>
    <t>Ratio Analysis</t>
  </si>
  <si>
    <t>Profit</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</si>
  <si>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</si>
  <si>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</si>
  <si>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</si>
  <si>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</si>
  <si>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</si>
  <si>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</si>
  <si>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</si>
  <si>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</si>
  <si>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</si>
  <si>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</si>
  <si>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</si>
  <si>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</si>
  <si>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Date</t>
  </si>
  <si>
    <t>Last Price</t>
  </si>
  <si>
    <t>Reference Points for Axes</t>
  </si>
  <si>
    <t>% Margin</t>
  </si>
  <si>
    <t>Margin</t>
  </si>
  <si>
    <t>P/E Multiple Mid-Point</t>
  </si>
  <si>
    <t>P/E Spread Multiple Mid-Point</t>
  </si>
  <si>
    <t>EV/EBITDA Multiple Mid-Point</t>
  </si>
  <si>
    <t>EV/EBITDA Spread Multiple Mid-Point</t>
  </si>
  <si>
    <t>Blended Average</t>
  </si>
  <si>
    <t>Comp Multiple</t>
  </si>
  <si>
    <t>Premium/ (Discount) Applied</t>
  </si>
  <si>
    <t>Last Year (Year 0)</t>
  </si>
  <si>
    <t>Current Year (Year 1)</t>
  </si>
  <si>
    <t>Year 3 (for CAGR)</t>
  </si>
  <si>
    <t>Raw Data</t>
  </si>
  <si>
    <t>Chart Data</t>
  </si>
  <si>
    <t>NTM EV / EBITDA</t>
  </si>
  <si>
    <t>NTM P / E</t>
  </si>
  <si>
    <t>LTM Total Debt / Equity</t>
  </si>
  <si>
    <t>LTM EBITDA Margin</t>
  </si>
  <si>
    <t>Interest Expense Toggle</t>
  </si>
  <si>
    <t>On</t>
  </si>
  <si>
    <t>Valuation</t>
  </si>
  <si>
    <t>Reference Points for Price Axis</t>
  </si>
  <si>
    <t>INSTRUCTIONS!!!</t>
  </si>
  <si>
    <t>Next Fiscal Quarter Reporting</t>
  </si>
  <si>
    <t>Current Reporting Year</t>
  </si>
  <si>
    <t>EBIT Margin</t>
  </si>
  <si>
    <t>OFe</t>
  </si>
  <si>
    <t>Previous Reporting Year</t>
  </si>
  <si>
    <t>Next Projected Quarter</t>
  </si>
  <si>
    <t>Font Color Toggle</t>
  </si>
  <si>
    <t>Consensus</t>
  </si>
  <si>
    <t>The Boeing Company</t>
  </si>
  <si>
    <t>Acquisition / (Divestment) of Businesses</t>
  </si>
  <si>
    <t>Quarterly</t>
  </si>
  <si>
    <t>Annuals</t>
  </si>
  <si>
    <t>Days In Period</t>
  </si>
  <si>
    <t>Cost (%):</t>
  </si>
  <si>
    <t>YoY % Growth</t>
  </si>
  <si>
    <t>Year:</t>
  </si>
  <si>
    <t>Model Color Legend</t>
  </si>
  <si>
    <t>Red = Unique Formula / Anomaly</t>
  </si>
  <si>
    <t>Tab Color Codes</t>
  </si>
  <si>
    <t>RBG Codes for Model</t>
  </si>
  <si>
    <t>Drivers / Assumptions</t>
  </si>
  <si>
    <t>0-56-96</t>
  </si>
  <si>
    <t>192-222-246</t>
  </si>
  <si>
    <t>255-255-255</t>
  </si>
  <si>
    <t>Constants</t>
  </si>
  <si>
    <t>Reference</t>
  </si>
  <si>
    <t>Name</t>
  </si>
  <si>
    <t>Type</t>
  </si>
  <si>
    <t>Million</t>
  </si>
  <si>
    <t>Mil</t>
  </si>
  <si>
    <t>(#)</t>
  </si>
  <si>
    <t>Thousand</t>
  </si>
  <si>
    <t>Thou</t>
  </si>
  <si>
    <t>Hundred</t>
  </si>
  <si>
    <t>Hun</t>
  </si>
  <si>
    <t>Exit Multiple Unit D</t>
  </si>
  <si>
    <t>PGR Unit D</t>
  </si>
  <si>
    <t>WACC Unit D</t>
  </si>
  <si>
    <t>EPS D</t>
  </si>
  <si>
    <t>EBITDA D</t>
  </si>
  <si>
    <t>Pre-Tax Cost Unit D</t>
  </si>
  <si>
    <t>Debt / Total Unit D</t>
  </si>
  <si>
    <t>END</t>
  </si>
  <si>
    <t>Discountable Unlevered Free Cash Flow</t>
  </si>
  <si>
    <t>% YoY Growth</t>
  </si>
  <si>
    <t>Discounted Cash Flow</t>
  </si>
  <si>
    <t>Integrity</t>
  </si>
  <si>
    <t>Metric</t>
  </si>
  <si>
    <t>Model:</t>
  </si>
  <si>
    <t>Base Case:</t>
  </si>
  <si>
    <t>Interest Expense:</t>
  </si>
  <si>
    <t>Valuation Date:</t>
  </si>
  <si>
    <t>Valuation Sensitivity Tables:</t>
  </si>
  <si>
    <t>WACC Tables:</t>
  </si>
  <si>
    <t>Font Toggles:</t>
  </si>
  <si>
    <t>Cover:</t>
  </si>
  <si>
    <t>Revenue Build:</t>
  </si>
  <si>
    <t>Valuation:</t>
  </si>
  <si>
    <t>Balance Sheet Check:</t>
  </si>
  <si>
    <t>Change Log</t>
  </si>
  <si>
    <t>Version</t>
  </si>
  <si>
    <t>Operator</t>
  </si>
  <si>
    <t>Revisions</t>
  </si>
  <si>
    <t>Discounted Cash Flow Analysis</t>
  </si>
  <si>
    <t>Perpetuity Growth Method</t>
  </si>
  <si>
    <t>Multiple Analysis</t>
  </si>
  <si>
    <t>EV/EBITDA Method</t>
  </si>
  <si>
    <t>1 Year LTM EV/EBITDA</t>
  </si>
  <si>
    <t>2009-2018 Late Cycle EV/EBITDA</t>
  </si>
  <si>
    <t>P/E Multiple Method</t>
  </si>
  <si>
    <t>1 Year LTM P/E</t>
  </si>
  <si>
    <t>2009-2018 Late Cycle P/E</t>
  </si>
  <si>
    <t>Interest Expense</t>
  </si>
  <si>
    <t>Profitability</t>
  </si>
  <si>
    <t>Net Profit Margin</t>
  </si>
  <si>
    <t>Return on Assets (ROA)</t>
  </si>
  <si>
    <t>Return on Equity (ROE)</t>
  </si>
  <si>
    <t>Return on Invested Capital (ROIC)</t>
  </si>
  <si>
    <t>Coverage</t>
  </si>
  <si>
    <t>EBIT / Interest Expense</t>
  </si>
  <si>
    <t>EBITDA / Interest Expense</t>
  </si>
  <si>
    <t>Leverage</t>
  </si>
  <si>
    <t>Total Debt / EBITDA</t>
  </si>
  <si>
    <t>Total Debt / Equity</t>
  </si>
  <si>
    <t>Total Debt / Total Assets</t>
  </si>
  <si>
    <t>Efficiency</t>
  </si>
  <si>
    <t>Asset Turnover</t>
  </si>
  <si>
    <t>Liquidity</t>
  </si>
  <si>
    <t>Current Ratio</t>
  </si>
  <si>
    <t>Quick Ratio</t>
  </si>
  <si>
    <t>Cash Ratio</t>
  </si>
  <si>
    <t>Segments</t>
  </si>
  <si>
    <t>Cover</t>
  </si>
  <si>
    <t>Revenue Build</t>
  </si>
  <si>
    <t>Segment Analysis</t>
  </si>
  <si>
    <t>Comparables</t>
  </si>
  <si>
    <t>Multiples Data</t>
  </si>
  <si>
    <t>Pre-Earnings</t>
  </si>
  <si>
    <t>Post-Earnings</t>
  </si>
  <si>
    <t>Shortcuts</t>
  </si>
  <si>
    <t>Goodwill Impairment</t>
  </si>
  <si>
    <t>(Repayment of Debt)</t>
  </si>
  <si>
    <t>Change in Noncontrolling Interests</t>
  </si>
  <si>
    <t>Change in Other LT Liabilities</t>
  </si>
  <si>
    <t>Share Issuance (# shares in mm)</t>
  </si>
  <si>
    <t>Formatting:</t>
  </si>
  <si>
    <t>Supporting/Auxiliary</t>
  </si>
  <si>
    <t>(EBITDA -</t>
  </si>
  <si>
    <t>Capex)/Int.</t>
  </si>
  <si>
    <t>Growth Rate YoY %</t>
  </si>
  <si>
    <t>Peer Group Names</t>
  </si>
  <si>
    <t>h</t>
  </si>
  <si>
    <t>Projections</t>
  </si>
  <si>
    <t>(EBITDA - CapEx) / Interest Expense</t>
  </si>
  <si>
    <t>YTD Performance</t>
  </si>
  <si>
    <t>One-Year Performance</t>
  </si>
  <si>
    <t>Margins Analysis</t>
  </si>
  <si>
    <t>Peer Group 1:</t>
  </si>
  <si>
    <t>Peer Group 2:</t>
  </si>
  <si>
    <t>Peer Group 3:</t>
  </si>
  <si>
    <t>Last Fiscal Year</t>
  </si>
  <si>
    <t>Next Fiscal Year</t>
  </si>
  <si>
    <t>Current Valuation Date</t>
  </si>
  <si>
    <t>Current Share Price</t>
  </si>
  <si>
    <t>52-Week High</t>
  </si>
  <si>
    <t>52-Week Low</t>
  </si>
  <si>
    <t>Effective Tax Rate</t>
  </si>
  <si>
    <t>Diluted Shares Outstanding (MRQ)</t>
  </si>
  <si>
    <t>Company Name</t>
  </si>
  <si>
    <t>Debt</t>
  </si>
  <si>
    <t>Statement of Stockholder's Equity Assumptions</t>
  </si>
  <si>
    <t>Share Repurchases</t>
  </si>
  <si>
    <t>Weighted Average</t>
  </si>
  <si>
    <t>Weighting Check</t>
  </si>
  <si>
    <t xml:space="preserve">Multiples Analysis </t>
  </si>
  <si>
    <t xml:space="preserve">Implied PGM </t>
  </si>
  <si>
    <t xml:space="preserve">Multiple Toggle </t>
  </si>
  <si>
    <t>Chart</t>
  </si>
  <si>
    <t xml:space="preserve">Consolidated Financials </t>
  </si>
  <si>
    <t xml:space="preserve">Free Cash Flow </t>
  </si>
  <si>
    <t>Entry Multiple</t>
  </si>
  <si>
    <t xml:space="preserve">Capitalization and Key Ratios </t>
  </si>
  <si>
    <t>Return on Inv. Capital (ROIC)</t>
  </si>
  <si>
    <t>Bear</t>
  </si>
  <si>
    <t>Bull</t>
  </si>
  <si>
    <t>Return Summary</t>
  </si>
  <si>
    <t>Base Case Check</t>
  </si>
  <si>
    <t xml:space="preserve">(EBITDA - CapEx) / Interest </t>
  </si>
  <si>
    <t xml:space="preserve">EBITDA / Interest </t>
  </si>
  <si>
    <t xml:space="preserve">EBIT / Interest </t>
  </si>
  <si>
    <t xml:space="preserve">Current Share Price: </t>
  </si>
  <si>
    <t>Price Target Scenario:</t>
  </si>
  <si>
    <t>Lowe's Companies, Inc.</t>
  </si>
  <si>
    <t>LOW</t>
  </si>
  <si>
    <t>""</t>
  </si>
  <si>
    <t>2009-2018</t>
  </si>
  <si>
    <t>Early Cycle</t>
  </si>
  <si>
    <t>Target Company Beta</t>
  </si>
  <si>
    <t>BBB+</t>
  </si>
  <si>
    <t>Total Company Operating Income</t>
  </si>
  <si>
    <t>Operating Income Check</t>
  </si>
  <si>
    <t>Operating Income Mix</t>
  </si>
  <si>
    <t>SENSITIZED EXIT MULTIPLE METHOD</t>
  </si>
  <si>
    <t>Model Type</t>
  </si>
  <si>
    <t>Segment 3</t>
  </si>
  <si>
    <t>Segment 4</t>
  </si>
  <si>
    <t>Segment 5</t>
  </si>
  <si>
    <t>Segment 6</t>
  </si>
  <si>
    <t>Capital IQ Tables</t>
  </si>
  <si>
    <t>CIQ Code:</t>
  </si>
  <si>
    <t>Cap. Goods Peer Group</t>
  </si>
  <si>
    <t>RTX</t>
  </si>
  <si>
    <t>MMM</t>
  </si>
  <si>
    <t>BA</t>
  </si>
  <si>
    <t>GE</t>
  </si>
  <si>
    <t>HII</t>
  </si>
  <si>
    <t>HON</t>
  </si>
  <si>
    <t>LMT</t>
  </si>
  <si>
    <t>ROP</t>
  </si>
  <si>
    <t>IQ22751</t>
  </si>
  <si>
    <t>NOC</t>
  </si>
  <si>
    <t>EMR</t>
  </si>
  <si>
    <t>IQ269231</t>
  </si>
  <si>
    <t>Outlook</t>
  </si>
  <si>
    <t>NM</t>
  </si>
  <si>
    <t>Stable</t>
  </si>
  <si>
    <t>AA+</t>
  </si>
  <si>
    <t>AAA</t>
  </si>
  <si>
    <t>Negative</t>
  </si>
  <si>
    <t>A+</t>
  </si>
  <si>
    <t>Watch Neg</t>
  </si>
  <si>
    <t>Nate Latimer</t>
  </si>
  <si>
    <t>v01</t>
  </si>
  <si>
    <t>Top Down / Bottom Up toggle integration and Capital IQ comps sheet w/ ID Locator</t>
  </si>
  <si>
    <t>Financials Multiplier</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</si>
  <si>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</si>
  <si>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</si>
  <si>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</si>
  <si>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</si>
  <si>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</si>
  <si>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</si>
  <si>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</si>
  <si>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</si>
  <si>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</si>
  <si>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</si>
  <si>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</si>
  <si>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</si>
  <si>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</si>
  <si>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</si>
  <si>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</si>
  <si>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Roper Technologies, Inc.</t>
  </si>
  <si>
    <t>Roper Industries Limited</t>
  </si>
  <si>
    <t>IQ46452412</t>
  </si>
  <si>
    <t>Emerson Electric Co.</t>
  </si>
  <si>
    <t xml:space="preserve">Oracle Corporation </t>
  </si>
  <si>
    <t>Oracle Corporation</t>
  </si>
  <si>
    <t>Oracle America, Inc.</t>
  </si>
  <si>
    <t>Oracle Financial Services Software Limited</t>
  </si>
  <si>
    <t>IQ22247</t>
  </si>
  <si>
    <t>IQ34903</t>
  </si>
  <si>
    <t>IQ678571</t>
  </si>
  <si>
    <t xml:space="preserve">Citrix Systems, Inc. </t>
  </si>
  <si>
    <t>Citrix Systems, Inc.</t>
  </si>
  <si>
    <t>IQ26524</t>
  </si>
  <si>
    <t xml:space="preserve">CYREN </t>
  </si>
  <si>
    <t>Cyren Ltd.</t>
  </si>
  <si>
    <t>Cyrene</t>
  </si>
  <si>
    <t>IQ26767</t>
  </si>
  <si>
    <t>IQ698394945</t>
  </si>
  <si>
    <t>Commvault Systems</t>
  </si>
  <si>
    <t>Commvault Systems, Inc.</t>
  </si>
  <si>
    <t>Commvault Systems Ltd</t>
  </si>
  <si>
    <t>IQ26789</t>
  </si>
  <si>
    <t>IQ119046943</t>
  </si>
  <si>
    <t>IQ111712935</t>
  </si>
  <si>
    <t>eGain Corporation</t>
  </si>
  <si>
    <t>Egain Sweden AB</t>
  </si>
  <si>
    <t>IQ27928</t>
  </si>
  <si>
    <t>IQ317548072</t>
  </si>
  <si>
    <t>IQ628970853</t>
  </si>
  <si>
    <t>Harmonic</t>
  </si>
  <si>
    <t>Harmonic Inc.</t>
  </si>
  <si>
    <t>Harmonic Drive Systems Inc.</t>
  </si>
  <si>
    <t>Harmonic Fund Services</t>
  </si>
  <si>
    <t>IQ29282</t>
  </si>
  <si>
    <t>IQ5433989</t>
  </si>
  <si>
    <t>IQ247850513</t>
  </si>
  <si>
    <t>NetApp</t>
  </si>
  <si>
    <t>NetApp, Inc.</t>
  </si>
  <si>
    <t>IQ32052</t>
  </si>
  <si>
    <t>Inseego</t>
  </si>
  <si>
    <t>Inseego Corp.</t>
  </si>
  <si>
    <t>Inseego (Uk) Limited</t>
  </si>
  <si>
    <t>IQ32261</t>
  </si>
  <si>
    <t>IQ631346236</t>
  </si>
  <si>
    <t>Intouch Insight</t>
  </si>
  <si>
    <t>Intouch Insight Ltd.</t>
  </si>
  <si>
    <t>In-Touch Insight Systems Inc.</t>
  </si>
  <si>
    <t>IQ3160034</t>
  </si>
  <si>
    <t>IQ140252251</t>
  </si>
  <si>
    <t>VPN Technologies</t>
  </si>
  <si>
    <t>IQ282167789</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</si>
  <si>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</si>
  <si>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</si>
  <si>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</si>
  <si>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</si>
  <si>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</si>
  <si>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</si>
  <si>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</si>
  <si>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</si>
  <si>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</si>
  <si>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</si>
  <si>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</si>
  <si>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</si>
  <si>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</si>
  <si>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Spread Check</t>
  </si>
  <si>
    <t>Total D&amp;A</t>
  </si>
  <si>
    <t>D&amp;A Check</t>
  </si>
  <si>
    <t>Total EBITDA Proxy</t>
  </si>
  <si>
    <t>EBITDA Mix</t>
  </si>
  <si>
    <t>Segment D&amp;A Mix</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</si>
  <si>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</si>
  <si>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</si>
  <si>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</si>
  <si>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</si>
  <si>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</si>
  <si>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</si>
  <si>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</si>
  <si>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Apple</t>
  </si>
  <si>
    <t>Apple Inc.</t>
  </si>
  <si>
    <t>Apple Leisure Group</t>
  </si>
  <si>
    <t>IQ24937</t>
  </si>
  <si>
    <t>IQ228677668</t>
  </si>
  <si>
    <t>IQ275892751</t>
  </si>
  <si>
    <t>IQ38576368</t>
  </si>
  <si>
    <t>Yes</t>
  </si>
  <si>
    <t>v13</t>
  </si>
  <si>
    <t xml:space="preserve">Changed EPS, EBITDA, shares, tax rate, etc., to formulas so we do not have to hardcode them. </t>
  </si>
  <si>
    <t>v14</t>
  </si>
  <si>
    <t xml:space="preserve">Lilianna Ruby </t>
  </si>
  <si>
    <t xml:space="preserve">Changed discount factor to mid year </t>
  </si>
  <si>
    <t>v15</t>
  </si>
  <si>
    <t>Annual vs. Quarterly</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</si>
  <si>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</si>
  <si>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</si>
  <si>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</si>
  <si>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</si>
  <si>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</si>
  <si>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</si>
  <si>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IQ29511600</t>
  </si>
  <si>
    <t>Roper Tech. Middle East Ltd. FZCO</t>
  </si>
  <si>
    <t>Industrial businesses of Roper Technologies, Inc.</t>
  </si>
  <si>
    <t>IQ51821938</t>
  </si>
  <si>
    <t>Cyren GmbH</t>
  </si>
  <si>
    <t>IQ1775357763</t>
  </si>
  <si>
    <t>IQ1785341877</t>
  </si>
  <si>
    <t>IQ128454163</t>
  </si>
  <si>
    <t>Citrix Systems GmbH</t>
  </si>
  <si>
    <t>Egain International Ab</t>
  </si>
  <si>
    <t>eGain Group AB</t>
  </si>
  <si>
    <t>IQ612135606</t>
  </si>
  <si>
    <t>Applegreen Limited</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</si>
  <si>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</si>
  <si>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</si>
  <si>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</si>
  <si>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</si>
  <si>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</si>
  <si>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</si>
  <si>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</si>
  <si>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</si>
  <si>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</si>
  <si>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</si>
  <si>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Energy Plug Technologies Corp.</t>
  </si>
  <si>
    <t>IQ5540679</t>
  </si>
  <si>
    <t>NetApp B.V.</t>
  </si>
  <si>
    <t>IQ29198565</t>
  </si>
  <si>
    <t>Cyren Call Communications Corp.</t>
  </si>
  <si>
    <t>IQ29511063</t>
  </si>
  <si>
    <t>IQ631233144</t>
  </si>
  <si>
    <t>IQ8161416</t>
  </si>
  <si>
    <t>Emerson Electrical Ltd</t>
  </si>
  <si>
    <t>Copeland LP</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</si>
  <si>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</si>
  <si>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</si>
  <si>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</si>
  <si>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</si>
  <si>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</si>
  <si>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</si>
  <si>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</si>
  <si>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</si>
  <si>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Conor McCabe</t>
  </si>
  <si>
    <t>v25</t>
  </si>
  <si>
    <t>Added font toggle to integrity tab for WACC tab. Formatted Comparables Tab.</t>
  </si>
  <si>
    <t>Evercore Inc.</t>
  </si>
  <si>
    <t>EVR</t>
  </si>
  <si>
    <t>$ in Thousands Except Per Share Data</t>
  </si>
  <si>
    <t>Top Down</t>
  </si>
  <si>
    <t xml:space="preserve">United States </t>
  </si>
  <si>
    <t xml:space="preserve">Europe and Other </t>
  </si>
  <si>
    <t>Latin America</t>
  </si>
  <si>
    <t>Investment Management</t>
  </si>
  <si>
    <t>Investment Banking &amp; Equities</t>
  </si>
  <si>
    <t>Cost of Goods Sold</t>
  </si>
  <si>
    <t>Selling, General, and Administrative</t>
  </si>
  <si>
    <t>BAABTAVMT0NBTAFI/////wFQEAIAACdDSVEuSVExMzQwNzQwLklRX0NPTVBBTllfTkFNRS4yLzE3LzIwMjUBAAAARHUUAAMAAAAcSG9uZXl3ZWxsIEludGVybmF0aW9uYWwgSW5jLgC1zsKWgEfdCLXOwpaAR90IJkNJUS5JUTE4MDg3MS5JUV9DT01QQU5ZX05BTUUuMi8xNy8yMDI1AQAAAIfCAgADAAAAFkxvd2UncyBDb21wYW5pZXMsIEluYy4AhfbCloBH3QiF9sKWgEfdCCZDSVEuSVExNTkyMzAuSVFfQ09NUEFOWV9OQU1FLjIvMTcvMjAyNQEAAAD+bQIAAwAAAA9SVFggQ29ycG9yYXRpb24AhfbCloBH3QiF9sKWgEfdCCVDSVEuSVE5NzE5OS5JUV9DT01QQU5ZX05BTUUuMi8xNy8yMDI1AQAAAK97AQADAAAAHE5vcnRocm9wIEdydW1tYW4gQ29ycG9yYXRpb24AhfbCloBH3QiF9sKWgEfdCCVDSVEuSVEyMTgzNS5JUV9DT01QQU5ZX05BTUUuMi8xNy8yMDI1AQAAAEtVAAADAAAAFU1pY3Jvc29mdCBDb3Jwb3JhdGlvbgCF9sKWgEfdCIX2wpaAR90IJkNJUS5JUTI2OTIzMS5JUV9DT01QQU5ZX05BTUUuMi8xNy8yMDI1AQAAAK8bBAADAAAAFEVtZXJzb24gRWxlY3RyaWMgQ28uAIX2wpaAR90IhfbCloBH3QgpQ0lRLklRMjI0MDU1MjgzLklRX0NPTVBBTllfTkFNRS4yLzE3LzIwMjUBAAAA889aDQMAAAAJU25hcCBJbmMuAIX2wpaAR90IhfbCloBH3QgmQ0lRLklRMjg5MTk0LklRX0NPTVBBTllfTkFNRS4y</t>
  </si>
  <si>
    <t>LzE3LzIwMjUBAAAAqmkEAAMAAAAKM00gQ29tcGFueQCF9sKWgEfdCIX2wpaAR90IJkNJUS5JUTM3MDg1Ny5JUV9DT01QQU5ZX05BTUUuMi8xNy8yMDI1AQAAAKmoBQADAAAAElRoZSBCb2VpbmcgQ29tcGFueQCF9sKWgEfdCIX2wpaAR90IJUNJUS5JUTI5MDk2LklRX0NPTVBBTllfTkFNRS4yLzE3LzIwMjUBAAAAqHEAAAMAAAANQWxwaGFiZXQgSW5jLgCF9sKWgEfdCIX2wpaAR90IJkNJUS5JUTI4NTgyNy5JUV9DT01QQU5ZX05BTUUuMi8xNy8yMDI1AQAAAINcBAADAAAAG0xvY2toZWVkIE1hcnRpbiBDb3Jwb3JhdGlvbgCF9sKWgEfdCIX2wpaAR90IJkNJUS5JUTI3ODY3OS5JUV9DT01QQU5ZX05BTUUuMi8xNy8yMDI1AQAAAJdABAADAAAAFFRoZSBIb21lIERlcG90LCBJbmMuAIX2wpaAR90IhfbCloBH3QglQ0lRLklRMjI3NTEuSVFfQ09NUEFOWV9OQU1FLjIvMTcvMjAyNQEAAADfWAAAAwAAABhSb3BlciBUZWNobm9sb2dpZXMsIEluYy4AhfbCloBH3QiF9sKWgEfdCCZDSVEuSVEzNjMyNjMuSVFfQ09NUEFOWV9OQU1FLjIvMTcvMjAyNQEAAAD/igUAAwAAACNIdW50aW5ndG9uIEluZ2FsbHMgSW5kdXN0cmllcywgSW5jLgCF9sKWgEfdCIX2wpaAR90IJkNJUS5JUTE3NzAzMS5JUV9DT01QQU5ZX05BTUUuMi8xNy8yMDI1AQAAAIezAgADAAAAGEdlbmVyYWwgRWxlY3RyaWMgQ29tcGFueQCF9sKWgEfd</t>
  </si>
  <si>
    <t>CIX2wpaAR90IKENJUS5JUTIwNzY1NDYzLklRX0NPTVBBTllfTkFNRS4yLzE3LzIwMjUBAAAAF9s8AQMAAAAUTWV0YSBQbGF0Zm9ybXMsIEluYy4AhfbCloBH3QiF9sKWgEfdCCVDSVEuSVEyMjQwNTUyODMuSVFfQkVUQV81WVIuMi8xNy8yMDI1AQAAAPPPWg0CAAAAETAuOTk2NjY3NjYyODQyMTY1AIX2wpaAR90IhfbCloBH3QgiQ0lRLklRMTgwODcxLklRX0JFVEFfNVlSLjIvMTcvMjAyNQEAAACHwgIAAgAAAA8xLjEwNTQ5NjkyNTU3NjYAhfbCloBH3QiF9sKWgEfdCCJDSVEuSVEyODU4MjcuSVFfQkVUQV81WVIuMi8xNy8yMDI1AQAAAINcBAACAAAAETAuNDgyMzIzNjU5NTkzMTYzAIX2wpaAR90IhfbCloBH3QgiQ0lRLklRMTc3MDMxLklRX0JFVEFfNVlSLjIvMTcvMjAyNQEAAACHswIAAgAAABAxLjIxODE2MTUwNjAzMjk5AIX2wpaAR90IhfbCloBH3QghQ0lRLklRMjkwOTYuSVFfQkVUQV81WVIuMi8xNy8yMDI1AQAAAKhxAAACAAAAETAuOTkxMDM3NDI2NDg2MzUzAIX2wpaAR90IhfbCloBH3QgiQ0lRLklRMjc4Njc5LklRX0JFVEFfNVlSLjIvMTcvMjAyNQEAAACXQAQAAgAAABAxLjA1ODQwMjAyOTEyOTUyAIX2wpaAR90IhfbCloBH3QghQ0lRLklROTcxOTkuSVFfQkVUQV81WVIuMi8xNy8yMDI1AQAAAK97AQACAAAAETAuMzUyNjAyOTgxNDQ4MzA3AIX2wpaAR90IhfbCloBH3QgiQ0lRLklRMTU5</t>
  </si>
  <si>
    <t>MjMwLklRX0JFVEFfNVlSLjIvMTcvMjAyNQEAAAD+bQIAAgAAABAwLjU0OTExOTc1MDc4NTQ0AIX2wpaAR90IhfbCloBH3QgjQ0lRLklRMTM0MDc0MC5JUV9CRVRBXzVZUi4yLzE3LzIwMjUBAAAARHUUAAIAAAAQMS4wNDUyNDc0NDMwMzQ2MQCF9sKWgEfdCIX2wpaAR90IJENJUS5JUTIwNzY1NDYzLklRX0JFVEFfNVlSLjIvMTcvMjAyNQEAAAAX2zwBAgAAABAxLjIwMDE1OTIxNDIwNjcxAIX2wpaAR90IhfbCloBH3QgiQ0lRLklRMzcwODU3LklRX0JFVEFfNVlSLjIvMTcvMjAyNQEAAACpqAUAAgAAABAxLjUyNDE0MDk2NTgzODcyAIX2wpaAR90IhfbCloBH3QghQ0lRLklRMjI3NTEuSVFfQkVUQV81WVIuMi8xNy8yMDI1AQAAAN9YAAACAAAAEDEuMDUzNTg4NDI0OTcxNzMAhfbCloBH3QiF9sKWgEfdCCFDSVEuSVEyMTgzNS5JUV9CRVRBXzVZUi4yLzE3LzIwMjUBAAAAS1UAAAIAAAARMC44OTQ2ODA1MjgzNjk0NTQAhfbCloBH3QiF9sKWgEfdCCJDSVEuSVEzNjMyNjMuSVFfQkVUQV81WVIuMi8xNy8yMDI1AQAAAP+KBQACAAAAETAuNTYwODkyOTQ5NDk0NTYyAIX2wpaAR90IhfbCloBH3QgiQ0lRLklRMjY5MjMxLklRX0JFVEFfNVlSLjIvMTcvMjAyNQEAAACvGwQAAgAAABAxLjMzNzA0NjEzMzY0MDU1AIX2wpaAR90IhfbCloBH3QgiQ0lRLklRMjg5MTk0LklRX0JFVEFfNVlSLjIvMTcvMjAyNQEAAACq</t>
  </si>
  <si>
    <t>aQQAAgAAABAxLjAwMjgzNTkyNTA3NTA2AIX2wpaAR90IhfbCloBH3QgeQ0lRLklRMjkwOTYuSVFfVEVWX0VCSVREQS4yMDAwAQAAAKhxAAACAAAAEDE3LjIyMjA5MTg0Njc2NTgBBwAAAAUAAAABMQEAAAALLTE5NjA5OTAyMzkDAAAAATACAAAABjEwMDA2MwQAAAABMAcAAAAIMi82LzIwMjUIAAAACDIvNi8yMDI1hfbCloBH3QiF9sKWgEfdCBtDSVEuSVEyMTgzNS5JUV9QRV9FWENMLjIwMDABAAAAS1UAAAIAAAAQMzMuNTA3MjYyNDE4MzAzOAEHAAAABQAAAAExAQAAAAstMTk2MTY2NjQ3MAMAAAABMAIAAAAGMTAwMDY2BAAAAAEwBwAAAAgyLzYvMjAyNQgAAAAIMi82LzIwMjWF9sKWgEfdCIX2wpaAR90IIkNJUS5JUTE4MDg3MS5JUV9URVZfVE9UQUxfUkVWLjIwMDABAAAAh8ICAAIAAAAQMi4xNjg5OTc2MjA1MTQ5MgEHAAAABQAAAAExAQAAAAstMTk2NjA5OTU0MwMAAAABMAIAAAAGMTAwMDYxBAAAAAEwBwAAAAgyLzYvMjAyNQgAAAAIMi82LzIwMjUHHsOWgEfdCAcew5aAR90IHUNJUS5JUTEzNDA3NDAuSVFfUEVfRVhDTC4yMDAwAQAAAER1FAACAAAADzI0LjA4OTU1MjIzODgwNgEHAAAABQAAAAExAQAAAAstMTk2MDg4NzExNwMAAAABMAIAAAAGMTAwMDY2BAAAAAEwBwAAAAgyLzYvMjAyNQgAAAAIMi82LzIwMjWF9sKWgEfdCIX2wpaAR90IHENJUS5JUTI3ODY3OS5JUV9QRV9FWENMLjIwMDABAAAA</t>
  </si>
  <si>
    <t>l0AEAAIAAAAQMjguMTQwMzAwODk3OTI2NwEHAAAABQAAAAExAQAAAAstMTk2NzU5NzA3OQMAAAABMAIAAAAGMTAwMDY2BAAAAAEwBwAAAAgyLzYvMjAyNQgAAAAIMi82LzIwMjUHHsOWgEfdCAcew5aAR90IIkNJUS5JUTM2MzI2My5JUV9URVZfVE9UQUxfUkVWLjIwMDABAAAA/4oFAAIAAAARMC43NjUzMTU0MDM4MzYxNTEBBwAAAAUAAAACMjkCAAAABjEwMDA2MQEAAAALLTE5NjA4NzQ4NjkDAAAAATAEAAAAATAHAAAACDIvNi8yMDI1CAAAAAgyLzYvMjAyNQcew5aAR90IBx7DloBH3QgeQ0lRLklRMjI3NTEuSVFfVEVWX0VCSVREQS4yMDAwAQAAAN9YAAACAAAAEDI0LjkxMjU5NjU1MzM5NTUBBwAAAAUAAAABMQEAAAALLTE5NjE1ODI5MjEDAAAAATACAAAABjEwMDA2MwQAAAABMAcAAAAIMi82LzIwMjUIAAAACDIvNi8yMDI1Bx7DloBH3QgHHsOWgEfdCCFDSVEuSVEyMDc2NTQ2My5JUV9URVZfRUJJVERBLjIwMDABAAAAF9s8AQIAAAAQMjAuMDczNDA0MDkyNzY5OQEHAAAABQAAAAExAQAAAAstMTk2MTQ4OTcwOQMAAAABMAIAAAAGMTAwMDYzBAAAAAEwBwAAAAgyLzYvMjAyNQgAAAAIMi82LzIwMjUHHsOWgEfdCAcew5aAR90IH0NJUS5JUTI4NTgyNy5JUV9URVZfRUJJVERBLjIwMDABAAAAg1wEAAIAAAAQMTQuMjk1MDk1ODM5ODQzOQEHAAAABQAAAAExAQAAAAstMTk2MTcwMDM5OQMAAAABMAIAAAAG</t>
  </si>
  <si>
    <t>MTAwMDYzBAAAAAEwBwAAAAgyLzYvMjAyNQgAAAAIMi82LzIwMjUHHsOWgEfdCAcew5aAR90IIkNJUS5JUTI4OTE5NC5JUV9URVZfVE9UQUxfUkVWLjIwMDABAAAAqmkEAAIAAAAQMy42MDg0NDQ2Nzk1NTIzOQEHAAAABQAAAAExAQAAAAstMTk2MDkzNjk3NQMAAAABMAIAAAAGMTAwMDYxBAAAAAEwBwAAAAgyLzYvMjAyNQgAAAAIMi82LzIwMjUHHsOWgEfdCAcew5aAR90IH0NJUS5JUTM3MDg1Ny5JUV9URVZfRUJJVERBLjIwMDABAAAAqagFAAMAAAACTk0BBwAAAAUAAAABMQEAAAALLTE5NjEyMTY2MjADAAAAATACAAAABjEwMDA2MwQAAAABMAcAAAAIMi82LzIwMjUIAAAACDIvNi8yMDI1Bx7DloBH3QgHHsOWgEfdCCFDSVEuSVEyOTA5Ni5JUV9URVZfVE9UQUxfUkVWLjIwMDABAAAAqHEAAAIAAAAQNi41MDY3NjIxMzc5NDcxOQEHAAAABQAAAAExAQAAAAstMTk2MDk5MDIzOQMAAAABMAIAAAAGMTAwMDYxBAAAAAEwBwAAAAgyLzYvMjAyNQgAAAAIMi82LzIwMjUHHsOWgEfdCAcew5aAR90IIkNJUS5JUTI3ODY3OS5JUV9URVZfVE9UQUxfUkVWLjIwMDABAAAAl0AEAAIAAAAQMy4wNjYxMzQwNDg2NTUzMwEHAAAABQAAAAExAQAAAAstMTk2NzU5NzA3OQMAAAABMAIAAAAGMTAwMDYxBAAAAAEwBwAAAAgyLzYvMjAyNQgAAAAIMi82LzIwMjUHHsOWgEfdCAcew5aAR90IHENJUS5JUTE4MDg3MS5JUV9QRV9F</t>
  </si>
  <si>
    <t>WENMLjIwMDABAAAAh8ICAAIAAAAQMjEuNDU1ODEzOTI0MzU5OAEHAAAABQAAAAExAQAAAAstMTk2NjA5OTU0MwMAAAABMAIAAAAGMTAwMDY2BAAAAAEwBwAAAAgyLzYvMjAyNQgAAAAIMi82LzIwMjUHHsOWgEfdCAcew5aAR90IH0NJUS5JUTM2MzI2My5JUV9URVZfRUJJVERBLjIwMDABAAAA/4oFAAIAAAAQNy44ODkxMDkxODk2NzgyOAEHAAAABQAAAAIyOQIAAAAGMTAwMDYzAQAAAAstMTk2MDg3NDg2OQMAAAABMAQAAAABMAcAAAAIMi82LzIwMjUIAAAACDIvNi8yMDI1Bx7DloBH3QgHHsOWgEfdCB9DSVEuSVExNTkyMzAuSVFfVEVWX0VCSVREQS4yMDAwAQAAAP5tAgACAAAAEDE1LjkyNTk1MDQwMTg3NDYBBwAAAAUAAAABMQEAAAALLTE5NjEyMDM4MDQDAAAAATACAAAABjEwMDA2MwQAAAABMAcAAAAIMi82LzIwMjUIAAAACDIvNi8yMDI1Bx7DloBH3QgHHsOWgEfdCCVDSVEuSVEyMjQwNTUyODMuSVFfVEVWX1RPVEFMX1JFVi4yMDAwAQAAAPPPWg0CAAAAEDMuNTQ0MTcxODkxMzYxMTcBBwAAAAUAAAABMQEAAAALLTE5NjA5OTAyMzYDAAAAATACAAAABjEwMDA2MQQAAAABMAcAAAAIMi82LzIwMjUIAAAACDIvNi8yMDI1Bx7DloBH3QgHHsOWgEfdCB9DSVEuSVEyODkxOTQuSVFfVEVWX0VCSVREQS4yMDAwAQAAAKppBAACAAAAEDE0LjgxNDE1NDM2MDE3MzcBBwAAAAUAAAABMQEAAAALLTE5NjA5MzY5</t>
  </si>
  <si>
    <t>NzUDAAAAATACAAAABjEwMDA2MwQAAAABMAcAAAAIMi82LzIwMjUIAAAACDIvNi8yMDI1Bx7DloBH3QgHHsOWgEfdCB9DSVEuSVEyMjQwNTUyODMuSVFfUEVfRVhDTC4yMDAwAQAAAPPPWg0DAAAAAk5NAQcAAAAFAAAAATEBAAAACy0xOTYwOTkwMjM2AwAAAAEwAgAAAAYxMDAwNjYEAAAAATAHAAAACDIvNi8yMDI1CAAAAAgyLzYvMjAyNQcew5aAR90IBx7DloBH3QgiQ0lRLklRMTU5MjMwLklRX1RFVl9UT1RBTF9SRVYuMjAwMAEAAAD+bQIAAgAAABAyLjYxMzgyMjEwMDgxMDUyAQcAAAAFAAAAATEBAAAACy0xOTYxMjAzODA0AwAAAAEwAgAAAAYxMDAwNjEEAAAAATAHAAAACDIvNi8yMDI1CAAAAAgyLzYvMjAyNQcew5aAR90IBx7DloBH3QgcQ0lRLklRMjY5MjMxLklRX1BFX0VYQ0wuMjAwMAEAAACvGwQAAgAAABAzNS45MjQwMjYzNzY1OTkyAQcAAAAFAAAAATEBAAAACy0xOTYxMDMwOTEzAwAAAAEwAgAAAAYxMDAwNjYEAAAAATAHAAAACDIvNi8yMDI1CAAAAAgyLzYvMjAyNQcew5aAR90IBx7DloBH3QgbQ0lRLklRMjkwOTYuSVFfUEVfRVhDTC4yMDAwAQAAAKhxAAACAAAAEDIzLjgyMDM0NTg1NzQ5NzYBBwAAAAUAAAABMQEAAAALLTE5NjA5OTAyMzkDAAAAATACAAAABjEwMDA2NgQAAAABMAcAAAAIMi82LzIwMjUIAAAACDIvNi8yMDI1Bx7DloBH3QgHHsOWgEfdCCJDSVEuSVEyNjkyMzEuSVFfVEVW</t>
  </si>
  <si>
    <t>X1RPVEFMX1JFVi4yMDAwAQAAAK8bBAACAAAADzQuNzQwNTY4MjA1MTI4MgEHAAAABQAAAAExAQAAAAstMTk2MTAzMDkxMwMAAAABMAIAAAAGMTAwMDYxBAAAAAEwBwAAAAgyLzYvMjAyNQgAAAAIMi82LzIwMjUHHsOWgEfdCAcew5aAR90IIkNJUS5JUTIyNDA1NTI4My5JUV9URVZfRUJJVERBLjIwMDABAAAA889aDQMAAAACTk0BBwAAAAUAAAABMQEAAAALLTE5NjA5OTAyMzYDAAAAATACAAAABjEwMDA2MwQAAAABMAcAAAAIMi82LzIwMjUIAAAACDIvNi8yMDI1Bx7DloBH3QgHHsOWgEfdCCFDSVEuSVEyMjc1MS5JUV9URVZfVE9UQUxfUkVWLjIwMDABAAAA31gAAAIAAAAQOS45NDM1MjA3NTE4NDk2NAEHAAAABQAAAAExAQAAAAstMTk2MTU4MjkyMQMAAAABMAIAAAAGMTAwMDYxBAAAAAEwBwAAAAgyLzYvMjAyNQgAAAAIMi82LzIwMjUHHsOWgEfdCAcew5aAR90IJENJUS5JUTIwNzY1NDYzLklRX1RFVl9UT1RBTF9SRVYuMjAwMAEAAAAX2zwBAgAAABAxMC43OTU2NDI5NDQ5NTA4AQcAAAAFAAAAATEBAAAACy0xOTYxNDg5NzA5AwAAAAEwAgAAAAYxMDAwNjEEAAAAATAHAAAACDIvNi8yMDI1CAAAAAgyLzYvMjAyNQcew5aAR90IBx7DloBH3QgfQ0lRLklRMTgwODcxLklRX1RFVl9FQklUREEuMjAwMAEAAACHwgIAAgAAABAxMy45MzM1NzY0NzM0ODAzAQcAAAAFAAAAATEBAAAACy0xOTY2MDk5NTQzAwAA</t>
  </si>
  <si>
    <t>AAEwAgAAAAYxMDAwNjMEAAAAATAHAAAACDIvNi8yMDI1CAAAAAgyLzYvMjAyNQcew5aAR90IBx7DloBH3QgeQ0lRLklROTcxOTkuSVFfVEVWX0VCSVREQS4yMDAwAQAAAK97AQACAAAAEDExLjExMzkzNTI0NTEwMTkBBwAAAAUAAAABMQEAAAALLTE5NjE0OTIxNTYDAAAAATACAAAABjEwMDA2MwQAAAABMAcAAAAIMi82LzIwMjUIAAAACDIvNi8yMDI1Bx7DloBH3QgHHsOWgEfdCCJDSVEuSVExNzcwMzEuSVFfVEVWX1RPVEFMX1JFVi4yMDAwAQAAAIezAgACAAAAEDUuODc5ODU3NDA5NDQzOTYBBwAAAAUAAAABMQEAAAALLTE5NjEyMTQ2NDgDAAAAATACAAAABjEwMDA2MQQAAAABMAcAAAAIMi82LzIwMjUIAAAACDIvNi8yMDI1Bx7DloBH3QgHHsOWgEfdCB5DSVEuSVEyMDc2NTQ2My5JUV9QRV9FWENMLjIwMDABAAAAF9s8AQIAAAAQMjkuODQwMzE4NTI0NzI3NgEHAAAABQAAAAExAQAAAAstMTk2MTQ4OTcwOQMAAAABMAIAAAAGMTAwMDY2BAAAAAEwBwAAAAgyLzYvMjAyNQgAAAAIMi82LzIwMjUHHsOWgEfdCAcew5aAR90IIkNJUS5JUTM3MDg1Ny5JUV9URVZfVE9UQUxfUkVWLjIwMDABAAAAqagFAAIAAAAQMi41MzAzNDE4ODQ4MjM0MwEHAAAABQAAAAExAQAAAAstMTk2MTIxNjYyMAMAAAABMAIAAAAGMTAwMDYxBAAAAAEwBwAAAAgyLzYvMjAyNQgAAAAIMi82LzIwMjUHHsOWgEfdCAcew5aAR90IHENJ</t>
  </si>
  <si>
    <t>US5JUTM2MzI2My5JUV9QRV9FWENMLjIwMDABAAAA/4oFAAIAAAAQMTEuNDQzOTA5Nzk4MzUwOAEHAAAABQAAAAIyOQIAAAAGMTAwMDY2AQAAAAstMTk2MDg3NDg2OQMAAAABMAQAAAABMAcAAAAIMi82LzIwMjUIAAAACDIvNi8yMDI1Bx7DloBH3QgHHsOWgEfdCBxDSVEuSVExNTkyMzAuSVFfUEVfRVhDTC4yMDAwAQAAAP5tAgACAAAAEDM2LjI3NjA1NjMzODAyODIBBwAAAAUAAAABMQEAAAALLTE5NjEyMDM4MDQDAAAAATACAAAABjEwMDA2NgQAAAABMAcAAAAIMi82LzIwMjUIAAAACDIvNi8yMDI1Bx7DloBH3QgHHsOWgEfdCBtDSVEuSVEyMjc1MS5JUV9QRV9FWENMLjIwMDABAAAA31gAAAIAAAAQNDAuNjU2NDQ1OTkzMDMxNAEHAAAABQAAAAExAQAAAAstMTk2MTU4MjkyMQMAAAABMAIAAAAGMTAwMDY2BAAAAAEwBwAAAAgyLzYvMjAyNQgAAAAIMi82LzIwMjUHHsOWgEfdCAcew5aAR90IG0NJUS5JUTk3MTk5LklRX1BFX0VYQ0wuMjAwMAEAAACvewEAAgAAABAxNi40NjI1OTcwMzU5OTE1AQcAAAAFAAAAATEBAAAACy0xOTYxNDkyMTU2AwAAAAEwAgAAAAYxMDAwNjYEAAAAATAHAAAACDIvNi8yMDI1CAAAAAgyLzYvMjAyNQcew5aAR90IBx7DloBH3QggQ0lRLklRMTM0MDc0MC5JUV9URVZfRUJJVERBLjIwMDABAAAARHUUAAIAAAAQMTcuNDEwMjYyOTgzMjc3NwEHAAAABQAAAAExAQAAAAstMTk2MDg4</t>
  </si>
  <si>
    <t>NzExNwMAAAABMAIAAAAGMTAwMDYzBAAAAAEwBwAAAAgyLzYvMjAyNQgAAAAIMi82LzIwMjUHHsOWgEfdCAcew5aAR90IH0NJUS5JUTI3ODY3OS5JUV9URVZfRUJJVERBLjIwMDABAAAAl0AEAAIAAAAQMTcuNzE1MTEwMTMzMDgxMgEHAAAABQAAAAExAQAAAAstMTk2NzU5NzA3OQMAAAABMAIAAAAGMTAwMDYzBAAAAAEwBwAAAAgyLzYvMjAyNQgAAAAIMi82LzIwMjUHHsOWgEfdCAcew5aAR90IIkNJUS5JUTI4NTgyNy5JUV9URVZfVE9UQUxfUkVWLjIwMDABAAAAg1wEAAIAAAAQMS43NTI2MDQ1NDYwNTAxNAEHAAAABQAAAAExAQAAAAstMTk2MTcwMDM5OQMAAAABMAIAAAAGMTAwMDYxBAAAAAEwBwAAAAgyLzYvMjAyNQgAAAAIMi82LzIwMjUHHsOWgEfdCAcew5aAR90IHENJUS5JUTI4OTE5NC5JUV9QRV9FWENMLjIwMDABAAAAqmkEAAIAAAAQMjAuOTgwNzE2MjUzNDQzNQEHAAAABQAAAAExAQAAAAstMTk2MDkzNjk3NQMAAAABMAIAAAAGMTAwMDY2BAAAAAEwBwAAAAgyLzYvMjAyNQgAAAAIMi82LzIwMjUHHsOWgEfdCAcew5aAR90IHENJUS5JUTM3MDg1Ny5JUV9QRV9FWENMLjIwMDABAAAAqagFAAMAAAACTk0BBwAAAAUAAAABMQEAAAALLTE5NjEyMTY2MjADAAAAATACAAAABjEwMDA2NgQAAAABMAcAAAAIMi82LzIwMjUIAAAACDIvNi8yMDI1Bx7DloBH3QgHHsOWgEfdCCFDSVEuSVEyMTgzNS5JUV9U</t>
  </si>
  <si>
    <t>RVZfVE9UQUxfUkVWLjIwMDABAAAAS1UAAAIAAAAQMTEuOTI3MTUyOTM2MDI2OAEHAAAABQAAAAExAQAAAAstMTk2MTY2NjQ3MAMAAAABMAIAAAAGMTAwMDYxBAAAAAEwBwAAAAgyLzYvMjAyNQgAAAAIMi82LzIwMjUHHsOWgEfdCAcew5aAR90IH0NJUS5JUTI2OTIzMS5JUV9URVZfRUJJVERBLjIwMDABAAAArxsEAAIAAAAPMTYuNTgzODM4NTQwODg4AQcAAAAFAAAAATEBAAAACy0xOTYxMDMwOTEzAwAAAAEwAgAAAAYxMDAwNjMEAAAAATAHAAAACDIvNi8yMDI1CAAAAAgyLzYvMjAyNQcew5aAR90IBx7DloBH3QgeQ0lRLklRMjE4MzUuSVFfVEVWX0VCSVREQS4yMDAwAQAAAEtVAAACAAAAEDIxLjc0NTI0ODgwNzEzMTgBBwAAAAUAAAABMQEAAAALLTE5NjE2NjY0NzADAAAAATACAAAABjEwMDA2MwQAAAABMAcAAAAIMi82LzIwMjUIAAAACDIvNi8yMDI1Bx7DloBH3QgHHsOWgEfdCCFDSVEuSVE5NzE5OS5JUV9URVZfVE9UQUxfUkVWLjIwMDABAAAAr3sBAAIAAAAQMS45Nzk2Njg4NjkxMTYzMgEHAAAABQAAAAExAQAAAAstMTk2MTQ5MjE1NgMAAAABMAIAAAAGMTAwMDYxBAAAAAEwBwAAAAgyLzYvMjAyNQgAAAAIMi82LzIwMjUHHsOWgEfdCAcew5aAR90IHENJUS5JUTE3NzAzMS5JUV9QRV9FWENMLjIwMDABAAAAh7MCAAIAAAAPMzMuOTI5NTA2NDUyOTYyAQcAAAAFAAAAATEBAAAACy0xOTYxMjE0NjQ4</t>
  </si>
  <si>
    <t>AwAAAAEwAgAAAAYxMDAwNjYEAAAAATAHAAAACDIvNi8yMDI1CAAAAAgyLzYvMjAyNQcew5aAR90IBx7DloBH3QgjQ0lRLklRMTM0MDc0MC5JUV9URVZfVE9UQUxfUkVWLjIwMDABAAAARHUUAAIAAAAQNC4wNjc0Mjk2MTM3ODc3MwEHAAAABQAAAAExAQAAAAstMTk2MDg4NzExNwMAAAABMAIAAAAGMTAwMDYxBAAAAAEwBwAAAAgyLzYvMjAyNQgAAAAIMi82LzIwMjUHHsOWgEfdCAcew5aAR90IHENJUS5JUTI4NTgyNy5JUV9QRV9FWENMLjIwMDABAAAAg1wEAAIAAAAQMjAuMTAzOTg5MjQyNDkyMgEHAAAABQAAAAExAQAAAAstMTk2MTcwMDM5OQMAAAABMAIAAAAGMTAwMDY2BAAAAAEwBwAAAAgyLzYvMjAyNQgAAAAIMi82LzIwMjUHHsOWgEfdCAcew5aAR90IH0NJUS5JUTE3NzAzMS5JUV9URVZfRUJJVERBLjIwMDABAAAAh7MCAAIAAAAPMjMuNzE0MjgxMTAyNTc0AQcAAAAFAAAAATEBAAAACy0xOTYxMjE0NjQ4AwAAAAEwAgAAAAYxMDAwNjMEAAAAATAHAAAACDIvNi8yMDI1CAAAAAgyLzYvMjAyNQcew5aAR90IBx7DloBH3QgdQ0lRLklRMzYzMjYzLklRX1RFVi4yLzE3LzIwMjUBAAAA/4oFAAIAAAALODgyNy45MTMxODMBBgAAAAUAAAACMjkCAAAABjEwMDA2MAEAAAALLTE5NjA4NzU2NDMDAAAAAzE2MAQAAAABMAcAAAAIMi82LzIwMjXAQsOWgEfdCMBCw5aAR90II0NJUS5JUTE3NzAzMS5JUV9NQVJL</t>
  </si>
  <si>
    <t>RVRDQVAuMi8xNy8yMDI1AQAAAIezAgACAAAADDIyMTE2Mi4yNDE0NgEGAAAABQAAAAExAQAAAAstMTk2MTIxNDY1MAMAAAADMTYwAgAAAAYxMDAwNTQEAAAAATAHAAAACDIvNi8yMDI1wELDloBH3QjAQsOWgEfdCB1DSVEuSVEyODU4MjcuSVFfVEVWLjIvMTcvMjAyNQEAAACDXAQAAgAAAA0xMjQ1MTAuMjg0NzY1AQYAAAAFAAAAATEBAAAACy0xOTYxNzAwNDAxAwAAAAMxNjACAAAABjEwMDA2MAQAAAABMAcAAAAIMi82LzIwMjXAQsOWgEfdCMBCw5aAR90II0NJUS5JUTI2OTIzMS5JUV9NQVJLRVRDQVAuMi8xNy8yMDI1AQAAAK8bBAACAAAACTcxODg1Ljk3MgEGAAAABQAAAAExAQAAAAstMTk2MTAzMTIwMgMAAAADMTYwAgAAAAYxMDAwNTQEAAAAATAHAAAACDIvNi8yMDI1wELDloBH3QjAQsOWgEfdCBxDSVEuSVE5NzE5OS5JUV9URVYuMi8xNy8yMDI1AQAAAK97AQACAAAADDgxMjMxLjc1MjcwNgEGAAAABQAAAAExAQAAAAstMTk2MTQ5MjE1OAMAAAADMTYwAgAAAAYxMDAwNjAEAAAAATAHAAAACDIvNi8yMDI1wELDloBH3QjAQsOWgEfdCChDSVEuSVExNzcwMzEuSVFfRElWSURFTkRfWUlFTEQuMi8xNy8yMDI1AQAAAIezAgADAAAAAAAHHsOWgEfdCAcew5aAR90IIkNJUS5JUTIyNzUxLklRX01BUktFVENBUC4yLzE3LzIwMjUBAAAA31gAAAIAAAAMNjI1NTkuNjMxMjc2AQYAAAAFAAAAATEBAAAACy0x</t>
  </si>
  <si>
    <t>OTYxNTgzNTg4AwAAAAMxNjACAAAABjEwMDA1NAQAAAABMAcAAAAIMi82LzIwMjXAQsOWgEfdCMBCw5aAR90IH0NJUS5JUTIwNzY1NDYzLklRX1RFVi4yLzE3LzIwMjUBAAAAF9s8AQIAAAAOMTc3NTg5NC4wNjAwODcBBgAAAAUAAAABMQEAAAALLTE5NjE0ODk3MTIDAAAAAzE2MAIAAAAGMTAwMDYwBAAAAAEwBwAAAAgyLzYvMjAyNcBCw5aAR90IwELDloBH3QgjQ0lRLklRMTgwODcxLklRX01BUktFVENBUC4yLzE3LzIwMjUBAAAAh8ICAAIAAAANMTQ1MDg2LjgxODc4NQEGAAAABQAAAAExAQAAAAstMTk2NjEwNTEwNwMAAAADMTYwAgAAAAYxMDAwNTQEAAAAATAHAAAACDIvNi8yMDI1wELDloBH3QjAQsOWgEfdCCdDSVEuSVEyMTgzNS5JUV9ESVZJREVORF9ZSUVMRC4yLzE3LzIwMjUBAAAAS1UAAAMAAAAAAAcew5aAR90IBx7DloBH3QgeQ0lRLklRMTM0MDc0MC5JUV9URVYuMi8xNy8yMDI1AQAAAER1FAACAAAADTE1NjU4Ny45MDUyNzEBBgAAAAUAAAABMQEAAAALLTE5NjA4OTQyMTUDAAAAAzE2MAIAAAAGMTAwMDYwBAAAAAEwBwAAAAgyLzYvMjAyNcBCw5aAR90IwELDloBH3QglQ0lRLklRMjA3NjU0NjMuSVFfTUFSS0VUQ0FQLjIvMTcvMjAyNQEAAAAX2zwBAgAAAA4xODAzOTQwLjA2MDA4NwEGAAAABQAAAAExAQAAAAstMTk2MTQ4OTcxMgMAAAADMTYwAgAAAAYxMDAwNTQEAAAAATAHAAAACDIvNi8y</t>
  </si>
  <si>
    <t>MDI1wELDloBH3QjAQsOWgEfdCChDSVEuSVEzNjMyNjMuSVFfRElWSURFTkRfWUlFTEQuMi8xNy8yMDI1AQAAAP+KBQADAAAAAAAHHsOWgEfdCAcew5aAR90IHUNJUS5JUTI2OTIzMS5JUV9URVYuMi8xNy8yMDI1AQAAAK8bBAACAAAACTgzMTk2Ljk3MgEGAAAABQAAAAExAQAAAAstMTk2MTAzMTIwMgMAAAADMTYwAgAAAAYxMDAwNjAEAAAAATAHAAAACDIvNi8yMDI1wELDloBH3QjAQsOWgEfdCCNDSVEuSVEyODU4MjcuSVFfTUFSS0VUQ0FQLjIvMTcvMjAyNQEAAACDXAQAAgAAAA0xMDU1NzUuMjg0NzY1AQYAAAAFAAAAATEBAAAACy0xOTYxNzAwNDAxAwAAAAMxNjACAAAABjEwMDA1NAQAAAABMAcAAAAIMi82LzIwMjXAQsOWgEfdCMBCw5aAR90IHENJUS5JUTIxODM1LklRX1RFVi4yLzE3LzIwMjUBAAAAS1UAAAIAAAAOMzEyMjU1Mi40OTI5NTcBBgAAAAUAAAABMQEAAAALLTE5NjE2NjY2NTcDAAAAAzE2MAIAAAAGMTAwMDYwBAAAAAEwBwAAAAgyLzYvMjAyNcBCw5aAR90IwELDloBH3QgdQ0lRLklRMjg5MTk0LklRX1RFVi4yLzE3LzIwMjUBAAAAqmkEAAIAAAAJODg2NzcuNTI4AQYAAAAFAAAAATEBAAAACy0xOTYwOTM3MDEyAwAAAAMxNjACAAAABjEwMDA2MAQAAAABMAcAAAAIMi82LzIwMjXAQsOWgEfdCMBCw5aAR90II0NJUS5JUTE1OTIzMC5JUV9NQVJLRVRDQVAuMi8xNy8yMDI1AQAAAP5tAgAC</t>
  </si>
  <si>
    <t>AAAADTE3MTU1MC43Njg3NzUBBgAAAAUAAAABMQEAAAALLTE5NjEyMDM4MDYDAAAAAzE2MAIAAAAGMTAwMDU0BAAAAAEwBwAAAAgyLzYvMjAyNcBCw5aAR90IwELDloBH3QgdQ0lRLklRMTc3MDMxLklRX1RFVi4yLzE3LzIwMjUBAAAAh7MCAAIAAAAMMjI3NTYyLjI0MTQ2AQYAAAAFAAAAATEBAAAACy0xOTYxMjE0NjUwAwAAAAMxNjACAAAABjEwMDA2MAQAAAABMAcAAAAIMi82LzIwMjXAQsOWgEfdCMBCw5aAR90IHUNJUS5JUTI3ODY3OS5JUV9URVYuMi8xNy8yMDI1AQAAAJdABAACAAAADTQ3NDAxMi4wNTkzODUBBgAAAAUAAAABMQEAAAALLTE5Njc2MDQyMDkDAAAAAzE2MAIAAAAGMTAwMDYwBAAAAAEwBwAAAAgyLzYvMjAyNcBCw5aAR90IwELDloBH3QgjQ0lRLklRMzYzMjYzLklRX01BUktFVENBUC4yLzE3LzIwMjUBAAAA/4oFAAIAAAALNjI1MC45MTMxODMBBgAAAAUAAAACMjkCAAAABjEwMDA1NAEAAAALLTE5NjA4NzU2NDMDAAAAAzE2MAQAAAABMAcAAAAIMi82LzIwMjXAQsOWgEfdCMBCw5aAR90IHUNJUS5JUTE4MDg3MS5JUV9URVYuMi8xNy8yMDI1AQAAAIfCAgACAAAADTE4MTU5Mi44MTg3ODQBBgAAAAUAAAABMQEAAAALLTE5NjYxMDUxMDcDAAAAAzE2MAIAAAAGMTAwMDYwBAAAAAEwBwAAAAgyLzYvMjAyNcBCw5aAR90IwELDloBH3QgiQ0lRLklROTcxOTkuSVFfTUFSS0VUQ0FQLjIvMTcv</t>
  </si>
  <si>
    <t>MjAyNQEAAACvewEAAgAAAAw2NzUzNS43NTI3MDYBBgAAAAUAAAABMQEAAAALLTE5NjE0OTIxNTgDAAAAAzE2MAIAAAAGMTAwMDU0BAAAAAEwBwAAAAgyLzYvMjAyNcBCw5aAR90IwELDloBH3QgjQ0lRLklRMjc4Njc5LklRX01BUktFVENBUC4yLzE3LzIwMjUBAAAAl0AEAAIAAAANNDExNDExLjA1OTM4NgEGAAAABQAAAAExAQAAAAstMTk2NzYwNDIwOQMAAAADMTYwAgAAAAYxMDAwNTQEAAAAATAHAAAACDIvNi8yMDI1wELDloBH3QjAQsOWgEfdCBxDSVEuSVEyOTA5Ni5JUV9URVYuMi8xNy8yMDI1AQAAAKhxAAACAAAACjIyNzc0ODMuODcBBgAAAAUAAAABMQEAAAALLTE5NjA5OTAyNDEDAAAAAzE2MAIAAAAGMTAwMDYwBAAAAAEwBwAAAAgyLzYvMjAyNcBCw5aAR90IwELDloBH3QgcQ0lRLklRMjI3NTEuSVFfVEVWLjIvMTcvMjAyNQEAAADfWAAAAgAAAAw2OTk5NC40MzEyNzYBBgAAAAUAAAABMQEAAAALLTE5NjE1ODM1ODgDAAAAAzE2MAIAAAAGMTAwMDYwBAAAAAEwBwAAAAgyLzYvMjAyNcBCw5aAR90IwELDloBH3QgdQ0lRLklRMzcwODU3LklRX1RFVi4yLzE3LzIwMjUBAAAAqagFAAIAAAANMTY4MzEwLjc1MTE1MgEGAAAABQAAAAExAQAAAAstMTk2MTIxNjYyMgMAAAADMTYwAgAAAAYxMDAwNjAEAAAAATAHAAAACDIvNi8yMDI1wELDloBH3QjAQsOWgEfdCClDSVEuSVExMzQwNzQwLklRX0RJVklE</t>
  </si>
  <si>
    <t>RU5EX1lJRUxELjIvMTcvMjAyNQEAAABEdRQAAwAAAAAABx7DloBH3QgHHsOWgEfdCCNDSVEuSVEyODkxOTQuSVFfTUFSS0VUQ0FQLjIvMTcvMjAyNQEAAACqaQQAAgAAAAk4MjY5NC41MjgBBgAAAAUAAAABMQEAAAALLTE5NjA5MzcwMTIDAAAAAzE2MAIAAAAGMTAwMDU0BAAAAAEwBwAAAAgyLzYvMjAyNcBCw5aAR90IwELDloBH3QgrQ0lRLklRMjI0MDU1MjgzLklRX0RJVklERU5EX1lJRUxELjIvMTcvMjAyNQEAAADzz1oNAwAAAAAABx7DloBH3QgHHsOWgEfdCChDSVEuSVExODA4NzEuSVFfRElWSURFTkRfWUlFTEQuMi8xNy8yMDI1AQAAAIfCAgADAAAAAAAHHsOWgEfdCAcew5aAR90IIkNJUS5JUTIxODM1LklRX01BUktFVENBUC4yLzE3LzIwMjUBAAAAS1UAAAIAAAAOMzA5MTE5OC40OTI5NTgBBgAAAAUAAAABMQEAAAALLTE5NjE2NjY2NTcDAAAAAzE2MAIAAAAGMTAwMDU0BAAAAAEwBwAAAAgyLzYvMjAyNcBCw5aAR90IwELDloBH3QgoQ0lRLklRMjg1ODI3LklRX0RJVklERU5EX1lJRUxELjIvMTcvMjAyNQEAAACDXAQAAwAAAAAABx7DloBH3QgHHsOWgEfdCCBDSVEuSVEyMjQwNTUyODMuSVFfVEVWLjIvMTcvMjAyNQEAAADzz1oNAgAAAAsxOTAwMS43MTYwOQEGAAAABQAAAAExAQAAAAstMTk2MDk5MDIzOAMAAAADMTYwAgAAAAYxMDAwNjAEAAAAATAHAAAACDIvNi8yMDI1wELDloBH3QjAQsOW</t>
  </si>
  <si>
    <t>gEfdCCJDSVEuSVEyOTA5Ni5JUV9NQVJLRVRDQVAuMi8xNy8yMDI1AQAAAKhxAAACAAAACjIzNDUwMDMuODcBBgAAAAUAAAABMQEAAAALLTE5NjA5OTAyNDEDAAAAAzE2MAIAAAAGMTAwMDU0BAAAAAEwBwAAAAgyLzYvMjAyNcBCw5aAR90IwELDloBH3QgoQ0lRLklRMjc4Njc5LklRX0RJVklERU5EX1lJRUxELjIvMTcvMjAyNQEAAACXQAQAAwAAAAAABx7DloBH3QgHHsOWgEfdCChDSVEuSVExNTkyMzAuSVFfRElWSURFTkRfWUlFTEQuMi8xNy8yMDI1AQAAAP5tAgADAAAAAAAHHsOWgEfdCAcew5aAR90IHUNJUS5JUTE1OTIzMC5JUV9URVYuMi8xNy8yMDI1AQAAAP5tAgACAAAADTIxMTAzNC43Njg3NzUBBgAAAAUAAAABMQEAAAALLTE5NjEyMDM4MDYDAAAAAzE2MAIAAAAGMTAwMDYwBAAAAAEwBwAAAAgyLzYvMjAyNcBCw5aAR90IwELDloBH3QgnQ0lRLklRMjI3NTEuSVFfRElWSURFTkRfWUlFTEQuMi8xNy8yMDI1AQAAAN9YAAADAAAAAAAHHsOWgEfdCAcew5aAR90IJ0NJUS5JUTI5MDk2LklRX0RJVklERU5EX1lJRUxELjIvMTcvMjAyNQEAAACocQAAAwAAAAAAwELDloBH3QjAQsOWgEfdCCZDSVEuSVEyMjQwNTUyODMuSVFfTUFSS0VUQ0FQLjIvMTcvMjAyNQEAAADzz1oNAgAAAAsxODEzNC4wOTkwOQEGAAAABQAAAAExAQAAAAstMTk2MDk5MDIzOAMAAAADMTYwAgAAAAYxMDAwNTQEAAAAATAHAAAA</t>
  </si>
  <si>
    <t>CDIvNi8yMDI1wELDloBH3QjAQsOWgEfdCCdDSVEuSVE5NzE5OS5JUV9ESVZJREVORF9ZSUVMRC4yLzE3LzIwMjUBAAAAr3sBAAMAAAAAAMBCw5aAR90IwELDloBH3QgjQ0lRLklRMzcwODU3LklRX01BUktFVENBUC4yLzE3LzIwMjUBAAAAqagFAAIAAAANMTM4NjEzLjc1MTE1MwEGAAAABQAAAAExAQAAAAstMTk2MTIxNjYyMgMAAAADMTYwAgAAAAYxMDAwNTQEAAAAATAHAAAACDIvNi8yMDI1wELDloBH3QjAQsOWgEfdCChDSVEuSVEyNjkyMzEuSVFfRElWSURFTkRfWUlFTEQuMi8xNy8yMDI1AQAAAK8bBAADAAAAAADAQsOWgEfdCMBCw5aAR90IKENJUS5JUTI4OTE5NC5JUV9ESVZJREVORF9ZSUVMRC4yLzE3LzIwMjUBAAAAqmkEAAMAAAAAAMBCw5aAR90IwELDloBH3QgkQ0lRLklRMTM0MDc0MC5JUV9NQVJLRVRDQVAuMi8xNy8yMDI1AQAAAER1FAACAAAADTEzNjQzNC45MDUyNzIBBgAAAAUAAAABMQEAAAALLTE5NjA4OTQyMTUDAAAAAzE2MAIAAAAGMTAwMDU0BAAAAAEwBwAAAAgyLzYvMjAyNcBCw5aAR90IwELDloBH3QgqQ0lRLklRMjA3NjU0NjMuSVFfRElWSURFTkRfWUlFTEQuMi8xNy8yMDI1AQAAABfbPAEDAAAAAADAQsOWgEfdCMBCw5aAR90IKENJUS5JUTM3MDg1Ny5JUV9ESVZJREVORF9ZSUVMRC4yLzE3LzIwMjUBAAAAqagFAAMAAAAAAMBCw5aAR90IwELDloBH3QgxQ0lRLklRMjc4Njc5</t>
  </si>
  <si>
    <t>LklRX0VQU18xWVJfQU5OX0dST1dUSC4yMDAwLjIvMTcvMjAyNQEAAACXQAQAAgAAAActNS41NTYxAQgAAAAFAAAAATEBAAAACy0xOTY3NTk3MDc5AwAAAAMxNjACAAAABDQyMDAEAAAAATAHAAAACTIvMTcvMjAyNQgAAAAKMTAvMjcvMjAyNAkAAAABMCC5w5aAR90IILnDloBH3Qg2Q0lRLklRMjkwOTYuSVFfVE9UQUxfUkVWXzFZUl9BTk5fR1JPV1RILjIwMDAuMi8xNy8yMDI1AQAAAKhxAAACAAAABzEzLjg2NjIBCAAAAAUAAAABMQEAAAALLTE5NjA5OTAyMzkDAAAAAzE2MAIAAAAENDE5NAQAAAABMAcAAAAJMi8xNy8yMDI1CAAAAAoxMi8zMS8yMDI0CQAAAAEwILnDloBH3QggucOWgEfdCDdDSVEuSVEyNzg2NzkuSVFfVE9UQUxfUkVWXzFZUl9BTk5fR1JPV1RILjIwMDAuMi8xNy8yMDI1AQAAAJdABAACAAAABjAuNTczNwEIAAAABQAAAAExAQAAAAstMTk2NzU5NzA3OQMAAAADMTYwAgAAAAQ0MTk0BAAAAAEwBwAAAAkyLzE3LzIwMjUIAAAACjEwLzI3LzIwMjQJAAAAATAgucOWgEfdCCC5w5aAR90INENJUS5JUTIyNDA1NTI4My5JUV9FUFNfMVlSX0FOTl9HUk9XVEguMjAwMC4yLzE3LzIwMjUBAAAA889aDQMAAAACTk0BCAAAAAUAAAABMQEAAAALLTE5NjA5OTAyMzYDAAAAAzE2MAIAAAAENDIwMAQAAAABMAcAAAAJMi8xNy8yMDI1CAAAAAoxMi8zMS8yMDI0CQAAAAEwILnDloBH3QggucOWgEfdCDBD</t>
  </si>
  <si>
    <t>SVEuSVEyOTA5Ni5JUV9FUFNfMVlSX0FOTl9HUk9XVEguMjAwMC4yLzE3LzIwMjUBAAAAqHEAAAIAAAAHMzguNjY3OQEIAAAABQAAAAExAQAAAAstMTk2MDk5MDIzOQMAAAADMTYwAgAAAAQ0MjAwBAAAAAEwBwAAAAkyLzE3LzIwMjUIAAAACjEyLzMxLzIwMjQJAAAAATAgucOWgEfdCCC5w5aAR90IN0NJUS5JUTM2MzI2My5JUV9UT1RBTF9SRVZfMVlSX0FOTl9HUk9XVEguMjAwMC4yLzE3LzIwMjUBAAAA/4oFAAIAAAAGMC43MDcxAQgAAAAFAAAAAjI5AgAAAAQ0MTk0AQAAAAstMTk2MDg3NDg2OQMAAAADMTYwBAAAAAEwBwAAAAkyLzE3LzIwMjUIAAAACjEyLzMxLzIwMjQJAAAAATAgucOWgEfdCCC5w5aAR90INkNJUS5JUTIyNzUxLklRX1RPVEFMX1JFVl8xWVJfQU5OX0dST1dUSC4yMDAwLjIvMTcvMjAyNQEAAADfWAAAAgAAAAcxMy45NDM0AQgAAAAFAAAAATEBAAAACy0xOTYxNTgyOTIxAwAAAAMxNjACAAAABDQxOTQEAAAAATAHAAAACTIvMTcvMjAyNQgAAAAKMTIvMzEvMjAyNAkAAAABMCC5w5aAR90IILnDloBH3QgxQ0lRLklRMTc3MDMxLklRX0VQU18xWVJfQU5OX0dST1dUSC4yMDAwLjIvMTcvMjAyNQEAAACHswIAAgAAAAgtMjcuMzc4MQEIAAAABQAAAAExAQAAAAstMTk2MTIxNDY0OAMAAAADMTYwAgAAAAQ0MjAwBAAAAAEwBwAAAAkyLzE3LzIwMjUIAAAACjEyLzMxLzIwMjQJAAAAATAgucOW</t>
  </si>
  <si>
    <t>gEfdCCC5w5aAR90IM0NJUS5JUTIwNzY1NDYzLklRX0VQU18xWVJfQU5OX0dST1dUSC4yMDAwLjIvMTcvMjAyNQEAAAAX2zwBAgAAAAc2MC40NTcyAQgAAAAFAAAAATEBAAAACy0xOTYxNDg5NzA5AwAAAAMxNjACAAAABDQyMDAEAAAAATAHAAAACTIvMTcvMjAyNQgAAAAKMTIvMzEvMjAyNAkAAAABMCC5w5aAR90IILnDloBH3QgwQ0lRLklRMjE4MzUuSVFfRVBTXzFZUl9BTk5fR1JPV1RILjIwMDAuMi8xNy8yMDI1AQAAAEtVAAACAAAABjEyLjE5OQEIAAAABQAAAAExAQAAAAstMTk2MTY2NjQ3MAMAAAADMTYwAgAAAAQ0MjAwBAAAAAEwBwAAAAkyLzE3LzIwMjUIAAAACjEyLzMxLzIwMjQJAAAAATAgucOWgEfdCCC5w5aAR90IMUNJUS5JUTI4NTgyNy5JUV9FUFNfMVlSX0FOTl9HUk9XVEguMjAwMC4yLzE3LzIwMjUBAAAAg1wEAAIAAAAGLTE5LjAyAQgAAAAFAAAAATEBAAAACy0xOTYxNzAwMzk5AwAAAAMxNjACAAAABDQyMDAEAAAAATAHAAAACTIvMTcvMjAyNQgAAAAKMTIvMzEvMjAyNAkAAAABMCC5w5aAR90IILnDloBH3Qg3Q0lRLklRMjY5MjMxLklRX1RPVEFMX1JFVl8xWVJfQU5OX0dST1dUSC4yMDAwLjIvMTcvMjAyNQEAAACvGwQAAgAAAAcxMC4zMTQ5AQgAAAAFAAAAATEBAAAACy0xOTYxMDMwOTEzAwAAAAMxNjACAAAABDQxOTQEAAAAATAHAAAACTIvMTcvMjAyNQgAAAAKMTIvMzEvMjAyNAkA</t>
  </si>
  <si>
    <t>AAABMCC5w5aAR90IILnDloBH3QgxQ0lRLklRMTgwODcxLklRX0VQU18xWVJfQU5OX0dST1dUSC4yMDAwLjIvMTcvMjAyNQEAAACHwgIAAgAAAActNy40NDA2AQgAAAAFAAAAATEBAAAACy0xOTY2MDk5NTQzAwAAAAMxNjACAAAABDQyMDAEAAAAATAHAAAACTIvMTcvMjAyNQgAAAAJMTEvMS8yMDI0CQAAAAEwILnDloBH3QggucOWgEfdCDlDSVEuSVEyMDc2NTQ2My5JUV9UT1RBTF9SRVZfMVlSX0FOTl9HUk9XVEguMjAwMC4yLzE3LzIwMjUBAAAAF9s8AQIAAAAHMjEuOTQxMQEIAAAABQAAAAExAQAAAAstMTk2MTQ4OTcwOQMAAAADMTYwAgAAAAQ0MTk0BAAAAAEwBwAAAAkyLzE3LzIwMjUIAAAACjEyLzMxLzIwMjQJAAAAATAgucOWgEfdCCC5w5aAR90IN0NJUS5JUTE1OTIzMC5JUV9UT1RBTF9SRVZfMVlSX0FOTl9HUk9XVEguMjAwMC4yLzE3LzIwMjUBAAAA/m0CAAIAAAAHMTcuMTQ3NAEIAAAABQAAAAExAQAAAAstMTk2MTIwMzgwNAMAAAADMTYwAgAAAAQ0MTk0BAAAAAEwBwAAAAkyLzE3LzIwMjUIAAAACjEyLzMxLzIwMjQJAAAAATAgucOWgEfdCCC5w5aAR90IN0NJUS5JUTM3MDg1Ny5JUV9UT1RBTF9SRVZfMVlSX0FOTl9HUk9XVEguMjAwMC4yLzE3LzIwMjUBAAAAqagFAAIAAAAHLTE0LjQ5NgEIAAAABQAAAAExAQAAAAstMTk2MTIxNjYyMAMAAAADMTYwAgAAAAQ0MTk0BAAAAAEwBwAAAAkyLzE3</t>
  </si>
  <si>
    <t>LzIwMjUIAAAACjEyLzMxLzIwMjQJAAAAATAgucOWgEfdCCC5w5aAR90IOENJUS5JUTEzNDA3NDAuSVFfVE9UQUxfUkVWXzFZUl9BTk5fR1JPV1RILjIwMDAuMi8xNy8yMDI1AQAAAER1FAACAAAABjUuMDA3OQEIAAAABQAAAAExAQAAAAstMTk2MDg4NzExNwMAAAADMTYwAgAAAAQ0MTk0BAAAAAEwBwAAAAkyLzE3LzIwMjUIAAAACjEyLzMxLzIwMjQJAAAAATAgucOWgEfdCCC5w5aAR90IMENJUS5JUTk3MTk5LklRX0VQU18xWVJfQU5OX0dST1dUSC4yMDAwLjIvMTcvMjAyNQEAAACvewEAAgAAAAgxMDkuNDYwNAEIAAAABQAAAAExAQAAAAstMTk2MTQ5MjE1NgMAAAADMTYwAgAAAAQ0MjAwBAAAAAEwBwAAAAkyLzE3LzIwMjUIAAAACjEyLzMxLzIwMjQJAAAAATAgucOWgEfdCCC5w5aAR90INkNJUS5JUTk3MTk5LklRX1RPVEFMX1JFVl8xWVJfQU5OX0dST1dUSC4yMDAwLjIvMTcvMjAyNQEAAACvewEAAgAAAAY0LjQzNjIBCAAAAAUAAAABMQEAAAALLTE5NjE0OTIxNTYDAAAAAzE2MAIAAAAENDE5NAQAAAABMAcAAAAJMi8xNy8yMDI1CAAAAAoxMi8zMS8yMDI0CQAAAAEwILnDloBH3QggucOWgEfdCDdDSVEuSVExNzcwMzEuSVFfVE9UQUxfUkVWXzFZUl9BTk5fR1JPV1RILjIwMDAuMi8xNy8yMDI1AQAAAIezAgACAAAABjkuNDg4NQEIAAAABQAAAAExAQAAAAstMTk2MTIxNDY0OAMAAAADMTYwAgAAAAQ0</t>
  </si>
  <si>
    <t>MTk0BAAAAAEwBwAAAAkyLzE3LzIwMjUIAAAACjEyLzMxLzIwMjQJAAAAATAgucOWgEfdCCC5w5aAR90IMENJUS5JUTIyNzUxLklRX0VQU18xWVJfQU5OX0dST1dUSC4yMDAwLjIvMTcvMjAyNQEAAADfWAAAAgAAAAcxMi42MzczAQgAAAAFAAAAATEBAAAACy0xOTYxNTgyOTIxAwAAAAMxNjACAAAABDQyMDAEAAAAATAHAAAACTIvMTcvMjAyNQgAAAAKMTIvMzEvMjAyNAkAAAABMCC5w5aAR90IILnDloBH3QgxQ0lRLklRMTU5MjMwLklRX0VQU18xWVJfQU5OX0dST1dUSC4yMDAwLjIvMTcvMjAyNQEAAAD+bQIAAgAAAAc1OS4xOTI4AQgAAAAFAAAAATEBAAAACy0xOTYxMjAzODA0AwAAAAMxNjACAAAABDQyMDAEAAAAATAHAAAACTIvMTcvMjAyNQgAAAAKMTIvMzEvMjAyNAkAAAABMCC5w5aAR90IILnDloBH3QgxQ0lRLklRMjY5MjMxLklRX0VQU18xWVJfQU5OX0dST1dUSC4yMDAwLjIvMTcvMjAyNQEAAACvGwQAAgAAAActNC4xMDA5AQgAAAAFAAAAATEBAAAACy0xOTYxMDMwOTEzAwAAAAMxNjACAAAABDQyMDAEAAAAATAHAAAACTIvMTcvMjAyNQgAAAAKMTIvMzEvMjAyNAkAAAABMCC5w5aAR90IILnDloBH3Qg2Q0lRLklRMjE4MzUuSVFfVE9UQUxfUkVWXzFZUl9BTk5fR1JPV1RILjIwMDAuMi8xNy8yMDI1AQAAAEtVAAACAAAABzE1LjAzNTgBCAAAAAUAAAABMQEAAAALLTE5NjE2NjY0NzADAAAAAzE2</t>
  </si>
  <si>
    <t>MAIAAAAENDE5NAQAAAABMAcAAAAJMi8xNy8yMDI1CAAAAAoxMi8zMS8yMDI0CQAAAAEwILnDloBH3QggucOWgEfdCDdDSVEuSVEyODkxOTQuSVFfVE9UQUxfUkVWXzFZUl9BTk5fR1JPV1RILjIwMDAuMi8xNy8yMDI1AQAAAKppBAACAAAABy0wLjE0MjMBCAAAAAUAAAABMQEAAAALLTE5NjA5MzY5NzUDAAAAAzE2MAIAAAAENDE5NAQAAAABMAcAAAAJMi8xNy8yMDI1CAAAAAoxMi8zMS8yMDI0CQAAAAEwILnDloBH3QggucOWgEfdCDFDSVEuSVEyODkxOTQuSVFfRVBTXzFZUl9BTk5fR1JPV1RILjIwMDAuMi8xNy8yMDI1AQAAAKppBAADAAAAAk5NAQgAAAAFAAAAATEBAAAACy0xOTYwOTM2OTc1AwAAAAMxNjACAAAABDQyMDAEAAAAATAHAAAACTIvMTcvMjAyNQgAAAAKMTIvMzEvMjAyNAkAAAABMCC5w5aAR90IILnDloBH3Qg3Q0lRLklRMTgwODcxLklRX1RPVEFMX1JFVl8xWVJfQU5OX0dST1dUSC4yMDAwLjIvMTcvMjAyNQEAAACHwgIAAgAAAActNy4yMDI0AQgAAAAFAAAAATEBAAAACy0xOTY2MDk5NTQzAwAAAAMxNjACAAAABDQxOTQEAAAAATAHAAAACTIvMTcvMjAyNQgAAAAJMTEvMS8yMDI0CQAAAAEwILnDloBH3QggucOWgEfdCDpDSVEuSVEyMjQwNTUyODMuSVFfVE9UQUxfUkVWXzFZUl9BTk5fR1JPV1RILjIwMDAuMi8xNy8yMDI1AQAAAPPPWg0CAAAABzE2LjM5NzMBCAAAAAUAAAABMQEAAAAL</t>
  </si>
  <si>
    <t>LTE5NjA5OTAyMzYDAAAAAzE2MAIAAAAENDE5NAQAAAABMAcAAAAJMi8xNy8yMDI1CAAAAAoxMi8zMS8yMDI0CQAAAAEwILnDloBH3QggucOWgEfdCDFDSVEuSVEzNzA4NTcuSVFfRVBTXzFZUl9BTk5fR1JPV1RILjIwMDAuMi8xNy8yMDI1AQAAAKmoBQADAAAAAk5NAQgAAAAFAAAAATEBAAAACy0xOTYxMjE2NjIwAwAAAAMxNjACAAAABDQyMDAEAAAAATAHAAAACTIvMTcvMjAyNQgAAAAKMTIvMzEvMjAyNAkAAAABMCC5w5aAR90IILnDloBH3QgxQ0lRLklRMzYzMjYzLklRX0VQU18xWVJfQU5OX0dST1dUSC4yMDAwLjIvMTcvMjAyNQEAAAD/igUAAgAAAAgtMTguMjExNgEIAAAABQAAAAIyOQIAAAAENDIwMAEAAAALLTE5NjA4NzQ4NjkDAAAAAzE2MAQAAAABMAcAAAAJMi8xNy8yMDI1CAAAAAoxMi8zMS8yMDI0CQAAAAEwILnDloBH3QggucOWgEfdCDdDSVEuSVEyODU4MjcuSVFfVE9UQUxfUkVWXzFZUl9BTk5fR1JPV1RILjIwMDAuMi8xNy8yMDI1AQAAAINcBAACAAAABjUuMTM4MgEIAAAABQAAAAExAQAAAAstMTk2MTcwMDM5OQMAAAADMTYwAgAAAAQ0MTk0BAAAAAEwBwAAAAkyLzE3LzIwMjUIAAAACjEyLzMxLzIwMjQJAAAAATAgucOWgEfdCCC5w5aAR90IMkNJUS5JUTEzNDA3NDAuSVFfRVBTXzFZUl9BTk5fR1JPV1RILjIwMDAuMi8xNy8yMDI1AQAAAER1FAACAAAABjIuODMzNQEIAAAABQAAAAEx</t>
  </si>
  <si>
    <t>AQAAAAstMTk2MDg4NzExNwMAAAADMTYwAgAAAAQ0MjAwBAAAAAEwBwAAAAkyLzE3LzIwMjUIAAAACjEyLzMxLzIwMjQJAAAAATAgucOWgEfdCCC5w5aAR90IIUNJUS5JUTk3MTk5LklRX1JFVFVSTl9FUVVJVFkuMjAwMAEAAACvewEAAgAAAAYyNy43NDgBCAAAAAUAAAABMQEAAAALLTE5NjE0OTIxNTYDAAAAAzE2MAIAAAAENDEyOAQAAAABMAcAAAAIMi83LzIwMjUIAAAACjEyLzMxLzIwMjQJAAAAATBJa8OWgEfdCElrw5aAR90IIUNJUS5JUTEzNDA3NDAuSVFfUVVJQ0tfUkFUSU8uMTAwMAEAAABEdRQAAgAAAAgwLjg4MzEzOAEIAAAABQAAAAExAQAAAAstMTk2MDg4ODQ0MAMAAAADMTYwAgAAAAQ0MTIxBAAAAAEwBwAAAAgyLzcvMjAyNQgAAAAKMTIvMzEvMjAyNAkAAAABMElrw5aAR90ISWvDloBH3QgnQ0lRLklRMjA3NjU0NjMuSVFfRUJJVERBX0NBUEVYX0lOVC4xMDAwAQAAABfbPAECAAAACTcxLjYyNzk3MgEIAAAABQAAAAExAQAAAAstMTk2MTQ5MTcxOAMAAAADMTYwAgAAAAQ0MTkxBAAAAAEwBwAAAAgyLzcvMjAyNQgAAAAKMTIvMzEvMjAyNAkAAAABMElrw5aAR90ISWvDloBH3QghQ0lRLklROTcxOTkuSVFfUkVUVVJOX0FTU0VUUy4yMDAwAQAAAK97AQACAAAABjcuMTI4MgEIAAAABQAAAAExAQAAAAstMTk2MTQ5MjE1NgMAAAADMTYwAgAAAAQ0MTc4BAAAAAEwBwAAAAgyLzcvMjAyNQgAAAAK</t>
  </si>
  <si>
    <t>MTIvMzEvMjAyNAkAAAABMElrw5aAR90ISWvDloBH3QgjQ0lRLklRMTM0MDc0MC5JUV9SRVRVUk5fRVFVSVRZLjIwMDABAAAARHUUAAIAAAAHMzIuMjQ1MwEIAAAABQAAAAExAQAAAAstMTk2MDg4NzExNwMAAAADMTYwAgAAAAQ0MTI4BAAAAAEwBwAAAAgyLzcvMjAyNQgAAAAKMTIvMzEvMjAyNAkAAAABMElrw5aAR90ISWvDloBH3QgfQ0lRLklRMjA3NjU0NjMuSVFfRUJJVF9JTlQuMTAwMAEAAAAX2zwBAgAAAAg5Ny41NzkwMgEIAAAABQAAAAExAQAAAAstMTk2MTQ5MTcxOAMAAAADMTYwAgAAAAQ0MTg5BAAAAAEwBwAAAAgyLzcvMjAyNQgAAAAKMTIvMzEvMjAyNAkAAAABMElrw5aAR90ISWvDloBH3QgfQ0lRLklRMTgwODcxLklRX0VCSVREQV9JTlQuMTAwMAEAAACHwgIAAgAAAAg5LjY4ODQ2OQEIAAAABQAAAAExAQAAAAstMjAwNDg0MDI2NwMAAAADMTYwAgAAAAQ0MTkwBAAAAAEwBwAAAAgyLzcvMjAyNQgAAAAIMi8yLzIwMjQJAAAAATBJa8OWgEfdCElrw5aAR90IJUNJUS5JUTIyNzUxLklRX1RPVEFMX0RFQlRfRVFVSVRZLjEwMDABAAAA31gAAAIAAAAHNDAuNDAyNQEIAAAABQAAAAExAQAAAAstMTk2MTU4MzU5NgMAAAADMTYwAgAAAAQ0MDM0BAAAAAEwBwAAAAgyLzcvMjAyNQgAAAAKMTIvMzEvMjAyNAkAAAABMElrw5aAR90ISWvDloBH3QgmQ0lRLklRMTc3MDMxLklRX1RPVEFMX0RFQlRfRVFV</t>
  </si>
  <si>
    <t>SVRZLjEwMDABAAAAh7MCAAIAAAAIMTA0LjE1NTMBCAAAAAUAAAABMQEAAAALLTE5NjEyMTUyMDADAAAAAzE2MAIAAAAENDAzNAQAAAABMAcAAAAIMi83LzIwMjUIAAAACjEyLzMxLzIwMjQJAAAAATBJa8OWgEfdCElrw5aAR90IJkNJUS5JUTE4MDg3MS5JUV9UT1RBTF9ERUJUX0VRVUlUWS4xMDAwAQAAAIfCAgADAAAAAk5NAQgAAAAFAAAAATEBAAAACy0yMDA0ODQwMjY3AwAAAAMxNjACAAAABDQwMzQEAAAAATAHAAAACDIvNy8yMDI1CAAAAAgyLzIvMjAyNAkAAAABMI6Sw5aAR90IjpLDloBH3QgeQ0lRLklRMjg1ODI3LklRX1RPVEFMX1JFVi4xMDAwAQAAAINcBAACAAAABTcxMDQzAQgAAAAFAAAAATEBAAAACy0xOTYxNzAwNjA2AwAAAAMxNjACAAAAAjI4BAAAAAEwBwAAAAgyLzcvMjAyNQgAAAAKMTIvMzEvMjAyNAkAAAABMElrw5aAR90ISWvDloBH3QgcQ0lRLklROTcxOTkuSVFfRUJJVF9JTlQuMTAwMAEAAACvewEAAgAAAAg4LjgwNjc2MwEIAAAABQAAAAExAQAAAAstMTk2MTQ5Mzg0OAMAAAADMTYwAgAAAAQ0MTg5BAAAAAEwBwAAAAgyLzcvMjAyNQgAAAAKMTIvMzEvMjAyNAkAAAABMElrw5aAR90ISWvDloBH3QgdQ0lRLklRMzYzMjYzLklRX0VCSVRfSU5ULjEwMDABAAAA/4oFAAIAAAABNwEIAAAABQAAAAIyOQIAAAAENDE4OQEAAAALLTE5NjA4NzU2NjYDAAAAAzE2MAQAAAABMAcAAAAIMi83</t>
  </si>
  <si>
    <t>LzIwMjUIAAAACjEyLzMxLzIwMjQJAAAAATBJa8OWgEfdCElrw5aAR90IHUNJUS5JUTE1OTIzMC5JUV9FQklUX0lOVC4xMDAwAQAAAP5tAgACAAAACDQuMjk2OTU0AQgAAAAFAAAAATEBAAAACy0xOTYxMjA0MTY0AwAAAAMxNjACAAAABDQxODkEAAAAATAHAAAACDIvNy8yMDI1CAAAAAoxMi8zMS8yMDI0CQAAAAEwSWvDloBH3QhJa8OWgEfdCB5DSVEuSVEzNzA4NTcuSVFfTklfTUFSR0lOLjIwMDABAAAAqagFAAIAAAAILTE3Ljc2NTMBCAAAAAUAAAABMQEAAAALLTE5NjEyMTY2MjADAAAAAzE2MAIAAAAENDA5NAQAAAABMAcAAAAIMi83LzIwMjUIAAAACjEyLzMxLzIwMjQJAAAAATBJa8OWgEfdCElrw5aAR90IJUNJUS5JUTI2OTIzMS5JUV9FQklUREFfQ0FQRVhfSU5ULjEwMDABAAAArxsEAAIAAAAIMTMuNzQ2MTMBCAAAAAUAAAABMQEAAAALLTE5Njk1MTcwMTADAAAAAzE2MAIAAAAENDE5MQQAAAABMAcAAAAIMi83LzIwMjUIAAAACTkvMzAvMjAyNAkAAAABMElrw5aAR90ISWvDloBH3QgpQ0lRLklRMjI0MDU1MjgzLklRX1RPVEFMX0RFQlRfRVFVSVRZLjEwMDABAAAA889aDQIAAAAIMTczLjE2NjQBCAAAAAUAAAABMQEAAAALLTE5NjA5OTI3NTkDAAAAAzE2MAIAAAAENDAzNAQAAAABMAcAAAAIMi83LzIwMjUIAAAACjEyLzMxLzIwMjQJAAAAATBJa8OWgEfdCElrw5aAR90IJENJUS5JUTE3NzAzMS5J</t>
  </si>
  <si>
    <t>UV9FRkZFQ1RfVEFYX1JBVEUuMTAwMAEAAACHswIAAgAAAAcxMi42MjQ2AQgAAAAFAAAAATEBAAAACy0xOTYxMjE1MjAwAwAAAAMxNjACAAAABDQzNzYEAAAAATAHAAAACDIvNy8yMDI1CAAAAAoxMi8zMS8yMDI0CQAAAAEwSWvDloBH3QhJa8OWgEfdCCFDSVEuSVEyOTA5Ni5JUV9DVVJSRU5UX1JBVElPLjEwMDABAAAAqHEAAAIAAAAIMS44MzY5MzEBCAAAAAUAAAABMQEAAAALLTE5NjA5OTI3MDADAAAAAzE2MAIAAAAENDAzMAQAAAABMAcAAAAIMi83LzIwMjUIAAAACjEyLzMxLzIwMjQJAAAAATBJa8OWgEfdCElrw5aAR90II0NJUS5JUTEzNDA3NDAuSVFfUkVUVVJOX0FTU0VUUy4yMDAwAQAAAER1FAACAAAABjcuMDAzMwEIAAAABQAAAAExAQAAAAstMTk2MDg4NzExNwMAAAADMTYwAgAAAAQ0MTc4BAAAAAEwBwAAAAgyLzcvMjAyNQgAAAAKMTIvMzEvMjAyNAkAAAABMElrw5aAR90ISWvDloBH3QghQ0lRLklRMjA3NjU0NjMuSVFfRUJJVERBX0lOVC4xMDAwAQAAABfbPAECAAAACjEyMy43MzQyNjUBCAAAAAUAAAABMQEAAAALLTE5NjE0OTE3MTgDAAAAAzE2MAIAAAAENDE5MAQAAAABMAcAAAAIMi83LzIwMjUIAAAACjEyLzMxLzIwMjQJAAAAATBJa8OWgEfdCElrw5aAR90IIENJUS5JUTI4NTgyNy5JUV9RVUlDS19SQVRJTy4xMDAwAQAAAINcBAACAAAACDAuOTE2MTE3AQgAAAAFAAAAATEBAAAACy0x</t>
  </si>
  <si>
    <t>OTYxNzAwNjA2AwAAAAMxNjACAAAABDQxMjEEAAAAATAHAAAACDIvNy8yMDI1CAAAAAoxMi8zMS8yMDI0CQAAAAEwSWvDloBH3QhJa8OWgEfdCCZDSVEuSVEyMDc2NTQ2My5JUV9FRkZFQ1RfVEFYX1JBVEUuMTAwMAEAAAAX2zwBAgAAAAcxMS43NTAxAQgAAAAFAAAAATEBAAAACy0xOTYxNDkxNzE4AwAAAAMxNjACAAAABDQzNzYEAAAAATAHAAAACDIvNy8yMDI1CAAAAAoxMi8zMS8yMDI0CQAAAAEwSWvDloBH3QhJa8OWgEfdCCBDSVEuSVExODA4NzEuSVFfUVVJQ0tfUkFUSU8uMTAwMAEAAACHwgIAAgAAAAgwLjA1OTE1OQEIAAAABQAAAAExAQAAAAstMjAwNDg0MDI2NwMAAAADMTYwAgAAAAQ0MTIxBAAAAAEwBwAAAAgyLzcvMjAyNQgAAAAIMi8yLzIwMjQJAAAAATCOksOWgEfdCI6Sw5aAR90II0NJUS5JUTI4OTE5NC5JUV9ESUxVVF9FUFNfSU5DTC4xMDAwAQAAAKppBAACAAAACDcuNTU2ODg2AQgAAAAFAAAAATEBAAAACy0xOTYwOTM3OTc5AwAAAAMxNjACAAAAATgEAAAAATAHAAAACDIvNy8yMDI1CAAAAAoxMi8zMS8yMDI0CQAAAAEwSWvDloBH3QhJa8OWgEfdCCNDSVEuSVExODA4NzEuSVFfRElMVVRfRVBTX0lOQ0wuMTAwMAEAAACHwgIAAgAAAAQxMy4yAQgAAAAFAAAAATEBAAAACy0yMDA0ODQwMjY3AwAAAAMxNjACAAAAATgEAAAAATAHAAAACDIvNy8yMDI1CAAAAAgyLzIvMjAyNAkAAAABMI6S</t>
  </si>
  <si>
    <t>w5aAR90IjpLDloBH3QghQ0lRLklRMjkwOTYuSVFfRUJJVERBX01BUkdJTi4yMDAwAQAAAKhxAAACAAAABzM2LjQ4NDEBCAAAAAUAAAABMQEAAAALLTE5NjA5OTAyMzkDAAAAAzE2MAIAAAAENDA0NwQAAAABMAcAAAAIMi83LzIwMjUIAAAACjEyLzMxLzIwMjQJAAAAATBJa8OWgEfdCElrw5aAR90IHUNJUS5JUTIyNzUxLklRX05JX01BUkdJTi4yMDAwAQAAAN9YAAACAAAABzIyLjAwOTYBCAAAAAUAAAABMQEAAAALLTE5NjE1ODI5MjEDAAAAAzE2MAIAAAAENDA5NAQAAAABMAcAAAAIMi83LzIwMjUIAAAACjEyLzMxLzIwMjQJAAAAATBJa8OWgEfdCElrw5aAR90IIENJUS5JUTIwNzY1NDYzLklRX05JX01BUkdJTi4yMDAwAQAAABfbPAECAAAABzM3LjkwODUBCAAAAAUAAAABMQEAAAALLTE5NjE0ODk3MDkDAAAAAzE2MAIAAAAENDA5NAQAAAABMAcAAAAIMi83LzIwMjUIAAAACjEyLzMxLzIwMjQJAAAAATBJa8OWgEfdCElrw5aAR90IIUNJUS5JUTIxODM1LklRX1JFVFVSTl9BU1NFVFMuMjAwMAEAAABLVQAAAgAAAAcxNC42NDg2AQgAAAAFAAAAATEBAAAACy0xOTYxNjY2NDcwAwAAAAMxNjACAAAABDQxNzgEAAAAATAHAAAACDIvNy8yMDI1CAAAAAoxMi8zMS8yMDI0CQAAAAEwSWvDloBH3QhJa8OWgEfdCCRDSVEuSVEyMDc2NTQ2My5JUV9FQklUREFfTUFSR0lOLjIwMDABAAAAF9s8AQIAAAAHNTEuODMz</t>
  </si>
  <si>
    <t>NwEIAAAABQAAAAExAQAAAAstMTk2MTQ4OTcwOQMAAAADMTYwAgAAAAQ0MDQ3BAAAAAEwBwAAAAgyLzcvMjAyNQgAAAAKMTIvMzEvMjAyNAkAAAABMElrw5aAR90ISWvDloBH3QgiQ0lRLklRMTU5MjMwLklRX0NVUlJFTlRfUkFUSU8uMTAwMAEAAAD+bQIAAgAAAAgwLjk5Mjg5MwEIAAAABQAAAAExAQAAAAstMTk2MTIwNDE2NAMAAAADMTYwAgAAAAQ0MDMwBAAAAAEwBwAAAAgyLzcvMjAyNQgAAAAKMTIvMzEvMjAyNAkAAAABMElrw5aAR90ISWvDloBH3QgeQ0lRLklRMjg5MTk0LklRX1RPVEFMX1JFVi4xMDAwAQAAAKppBAACAAAABTI0NTc1AQgAAAAFAAAAATEBAAAACy0xOTYwOTM3OTc5AwAAAAMxNjACAAAAAjI4BAAAAAEwBwAAAAgyLzcvMjAyNQgAAAAKMTIvMzEvMjAyNAkAAAABMElrw5aAR90ISWvDloBH3QgiQ0lRLklRMzcwODU3LklRX0NVUlJFTlRfUkFUSU8uMTAwMAEAAACpqAUAAgAAAAgxLjMxODUwNgEIAAAABQAAAAExAQAAAAstMTk2MTIxODAyNAMAAAADMTYwAgAAAAQ0MDMwBAAAAAEwBwAAAAgyLzcvMjAyNQgAAAAKMTIvMzEvMjAyNAkAAAABMElrw5aAR90ISWvDloBH3QglQ0lRLklRMjkwOTYuSVFfVE9UQUxfREVCVF9FQklUREEuMTAwMAEAAACocQAAAgAAAAgwLjIxMjQ2NgEIAAAABQAAAAExAQAAAAstMTk2MDk5MjcwMAMAAAADMTYwAgAAAAQ0MTkyBAAAAAEwBwAAAAgyLzcvMjAy</t>
  </si>
  <si>
    <t>NQgAAAAKMTIvMzEvMjAyNAkAAAABMElrw5aAR90ISWvDloBH3QglQ0lRLklRMjE4MzUuSVFfVE9UQUxfREVCVF9FQklUREEuMTAwMAEAAABLVQAAAgAAAAgwLjczNTc5NQEIAAAABQAAAAExAQAAAAstMTk4NTkzMTIwMwMAAAADMTYwAgAAAAQ0MTkyBAAAAAEwBwAAAAgyLzcvMjAyNQgAAAAJNi8zMC8yMDI0CQAAAAEwSWvDloBH3QhJa8OWgEfdCCZDSVEuSVEyNzg2NzkuSVFfVE9UQUxfREVCVF9FQklUREEuMTAwMAEAAACXQAQAAgAAAAgxLjk4Mjc4NgEIAAAABQAAAAExAQAAAAstMjAwNjMzMDE5NwMAAAADMTYwAgAAAAQ0MTkyBAAAAAEwBwAAAAgyLzcvMjAyNQgAAAAJMS8yOC8yMDI0CQAAAAEwSWvDloBH3QhJa8OWgEfdCCRDSVEuSVEyNjkyMzEuSVFfRUZGRUNUX1RBWF9SQVRFLjEwMDABAAAArxsEAAIAAAAHMjAuNTQ0NQEIAAAABQAAAAExAQAAAAstMTk2OTUxNzAxMAMAAAADMTYwAgAAAAQ0Mzc2BAAAAAEwBwAAAAgyLzcvMjAyNQgAAAAJOS8zMC8yMDI0CQAAAAEwSWvDloBH3QhJa8OWgEfdCCdDSVEuSVEzNzA4NTcuSVFfVE9UQUxfREVCVF9DQVBJVEFMLjEwMDABAAAAqagFAAIAAAAIMTA3LjUyMDUBCAAAAAUAAAABMQEAAAALLTE5NjEyMTgwMjQDAAAAAzE2MAIAAAAENDE4NgQAAAABMAcAAAAIMi83LzIwMjUIAAAACjEyLzMxLzIwMjQJAAAAATBJa8OWgEfdCElrw5aAR90IJUNJUS5JUTE4</t>
  </si>
  <si>
    <t>MDg3MS5JUV9FQklUREFfQ0FQRVhfSU5ULjEwMDABAAAAh8ICAAIAAAAIOC4zNjQxMjYBCAAAAAUAAAABMQEAAAALLTIwMDQ4NDAyNjcDAAAAAzE2MAIAAAAENDE5MQQAAAABMAcAAAAIMi83LzIwMjUIAAAACDIvMi8yMDI0CQAAAAEwSWvDloBH3QhJa8OWgEfdCB5DSVEuSVEyOTA5Ni5JUV9FQklUREFfSU5ULjEwMDABAAAAqHEAAAIAAAAKNDk0LjE0MTc5MQEIAAAABQAAAAExAQAAAAstMTk2MDk5MjcwMAMAAAADMTYwAgAAAAQ0MTkwBAAAAAEwBwAAAAgyLzcvMjAyNQgAAAAKMTIvMzEvMjAyNAkAAAABMElrw5aAR90ISWvDloBH3QgmQ0lRLklRMzYzMjYzLklRX1RPVEFMX0RFQlRfRUJJVERBLjEwMDABAAAA/4oFAAIAAAAIMy4wNDU1NzYBCAAAAAUAAAACMjkCAAAABDQxOTIBAAAACy0xOTYwODc1NjY2AwAAAAMxNjAEAAAAATAHAAAACDIvNy8yMDI1CAAAAAoxMi8zMS8yMDI0CQAAAAEwSWvDloBH3QhJa8OWgEfdCCdDSVEuSVEyNjkyMzEuSVFfVE9UQUxfREVCVF9DQVBJVEFMLjEwMDABAAAArxsEAAIAAAAHMjMuMjk4NAEIAAAABQAAAAExAQAAAAstMTk2OTUxNzAxMAMAAAADMTYwAgAAAAQ0MTg2BAAAAAEwBwAAAAgyLzcvMjAyNQgAAAAJOS8zMC8yMDI0CQAAAAEwSWvDloBH3QhJa8OWgEfdCCZDSVEuSVEyODU4MjcuSVFfVE9UQUxfREVCVF9FUVVJVFkuMTAwMAEAAACDXAQAAgAAAAgzMzguMTk2</t>
  </si>
  <si>
    <t>NwEIAAAABQAAAAExAQAAAAstMTk2MTcwMDYwNgMAAAADMTYwAgAAAAQ0MDM0BAAAAAEwBwAAAAgyLzcvMjAyNQgAAAAKMTIvMzEvMjAyNAkAAAABMElrw5aAR90ISWvDloBH3QghQ0lRLklRMjE4MzUuSVFfUkVUVVJOX0VRVUlUWS4yMDAwAQAAAEtVAAACAAAABzM0LjI5MDcBCAAAAAUAAAABMQEAAAALLTE5NjE2NjY0NzADAAAAAzE2MAIAAAAENDEyOAQAAAABMAcAAAAIMi83LzIwMjUIAAAACjEyLzMxLzIwMjQJAAAAATBJa8OWgEfdCElrw5aAR90IJ0NJUS5JUTI4OTE5NC5JUV9UT1RBTF9ERUJUX0NBUElUQUwuMTAwMAEAAACqaQQAAgAAAAc3Ny44MTU3AQgAAAAFAAAAATEBAAAACy0xOTYwOTM3OTc5AwAAAAMxNjACAAAABDQxODYEAAAAATAHAAAACDIvNy8yMDI1CAAAAAoxMi8zMS8yMDI0CQAAAAEwSWvDloBH3QhJa8OWgEfdCCZDSVEuSVEyMjQwNTUyODMuSVFfRElMVVRfRVBTX0lOQ0wuMTAwMAEAAADzz1oNAgAAAAktMC40MjA2MTEBCAAAAAUAAAABMQEAAAALLTE5NjA5OTI3NTkDAAAAAzE2MAIAAAABOAQAAAABMAcAAAAIMi83LzIwMjUIAAAACjEyLzMxLzIwMjQJAAAAATBJa8OWgEfdCElrw5aAR90IIkNJUS5JUTk3MTk5LklRX0RJTFVUX0VQU19JTkNMLjEwMDABAAAAr3sBAAIAAAAFMjguMzQBCAAAAAUAAAABMQEAAAALLTE5NjE0OTM4NDgDAAAAAzE2MAIAAAABOAQAAAABMAcAAAAIMi83</t>
  </si>
  <si>
    <t>LzIwMjUIAAAACjEyLzMxLzIwMjQJAAAAATBJa8OWgEfdCElrw5aAR90IHkNJUS5JUTE3NzAzMS5JUV9UT1RBTF9SRVYuMTAwMAEAAACHswIAAgAAAAUzODcwMgEIAAAABQAAAAExAQAAAAstMTk2MTIxNTIwMAMAAAADMTYwAgAAAAIyOAQAAAABMAcAAAAIMi83LzIwMjUIAAAACjEyLzMxLzIwMjQJAAAAATBJa8OWgEfdCElrw5aAR90IHkNJUS5JUTE4MDg3MS5JUV9OSV9NQVJHSU4uMjAwMAEAAACHwgIAAgAAAAY4LjE4NTQBCAAAAAUAAAABMQEAAAALLTE5NjYwOTk1NDMDAAAAAzE2MAIAAAAENDA5NAQAAAABMAcAAAAIMi83LzIwMjUIAAAACTExLzEvMjAyNAkAAAABMI6Sw5aAR90IjpLDloBH3QgmQ0lRLklRMjg5MTk0LklRX1RPVEFMX0RFQlRfRUJJVERBLjEwMDABAAAAqmkEAAIAAAAHMi4yODUyNgEIAAAABQAAAAExAQAAAAstMTk2MDkzNzk3OQMAAAADMTYwAgAAAAQ0MTkyBAAAAAEwBwAAAAgyLzcvMjAyNQgAAAAKMTIvMzEvMjAyNAkAAAABMElrw5aAR90ISWvDloBH3QgmQ0lRLklRMTgwODcxLklRX1RPVEFMX0RFQlRfRUJJVERBLjEwMDABAAAAh8ICAAIAAAAIMi43OTkzNDUBCAAAAAUAAAABMQEAAAALLTIwMDQ4NDAyNjcDAAAAAzE2MAIAAAAENDE5MgQAAAABMAcAAAAIMi83LzIwMjUIAAAACDIvMi8yMDI0CQAAAAEwjpLDloBH3QiOksOWgEfdCCNDSVEuSVEzNjMyNjMuSVFfRElMVVRfRVBT</t>
  </si>
  <si>
    <t>X0lOQ0wuMTAwMAEAAAD/igUAAgAAAAgxMy45NTkzOQEIAAAABQAAAAIyOQIAAAABOAEAAAALLTE5NjA4NzU2NjYDAAAAAzE2MAQAAAABMAcAAAAIMi83LzIwMjUIAAAACjEyLzMxLzIwMjQJAAAAATBJa8OWgEfdCElrw5aAR90IHkNJUS5JUTE4MDg3MS5JUV9UT1RBTF9SRVYuMTAwMAEAAACHwgIAAgAAAAU4NjM3NwEIAAAABQAAAAExAQAAAAstMjAwNDg0MDI2NwMAAAADMTYwAgAAAAIyOAQAAAABMAcAAAAIMi83LzIwMjUIAAAACDIvMi8yMDI0CQAAAAEwjpLDloBH3QiOksOWgEfdCCJDSVEuSVExODA4NzEuSVFfRUJJVERBX01BUkdJTi4yMDAwAQAAAIfCAgACAAAABzE0LjY2MjgBCAAAAAUAAAABMQEAAAALLTE5NjYwOTk1NDMDAAAAAzE2MAIAAAAENDA0NwQAAAABMAcAAAAIMi83LzIwMjUIAAAACTExLzEvMjAyNAkAAAABMI6Sw5aAR90IjpLDloBH3QghQ0lRLklRMjkwOTYuSVFfUkVUVVJOX0FTU0VUUy4yMDAwAQAAAKhxAAACAAAABzE2LjQ3NjYBCAAAAAUAAAABMQEAAAALLTE5NjA5OTAyMzkDAAAAAzE2MAIAAAAENDE3OAQAAAABMAcAAAAIMi83LzIwMjUIAAAACjEyLzMxLzIwMjQJAAAAATBJa8OWgEfdCElrw5aAR90IIUNJUS5JUTk3MTk5LklRX0VCSVREQV9NQVJHSU4uMjAwMAEAAACvewEAAgAAAAYxNi42NjcBCAAAAAUAAAABMQEAAAALLTE5NjE0OTIxNTYDAAAAAzE2MAIAAAAENDA0NwQA</t>
  </si>
  <si>
    <t>AAABMAcAAAAIMi83LzIwMjUIAAAACjEyLzMxLzIwMjQJAAAAATBJa8OWgEfdCElrw5aAR90IIkNJUS5JUTE4MDg3MS5JUV9DVVJSRU5UX1JBVElPLjEwMDABAAAAh8ICAAIAAAAIMS4yMjUwMTIBCAAAAAUAAAABMQEAAAALLTIwMDQ4NDAyNjcDAAAAAzE2MAIAAAAENDAzMAQAAAABMAcAAAAIMi83LzIwMjUIAAAACDIvMi8yMDI0CQAAAAEwjpLDloBH3QiOksOWgEfdCCJDSVEuSVEyNzg2NzkuSVFfUkVUVVJOX0FTU0VUUy4yMDAwAQAAAJdABAACAAAABzE1LjMxMzIBCAAAAAUAAAABMQEAAAALLTE5Njc1OTcwNzkDAAAAAzE2MAIAAAAENDE3OAQAAAABMAcAAAAIMi83LzIwMjUIAAAACjEwLzI3LzIwMjQJAAAAATBJa8OWgEfdCElrw5aAR90IHkNJUS5JUTk3MTk5LklRX0VCSVREQV9JTlQuMTAwMAEAAACvewEAAgAAAAkxMS43Njk3MjYBCAAAAAUAAAABMQEAAAALLTE5NjE0OTM4NDgDAAAAAzE2MAIAAAAENDE5MAQAAAABMAcAAAAIMi83LzIwMjUIAAAACjEyLzMxLzIwMjQJAAAAATBJa8OWgEfdCElrw5aAR90IJUNJUS5JUTE3NzAzMS5JUV9FQklUREFfQ0FQRVhfSU5ULjEwMDABAAAAh7MCAAIAAAAIOC41MTAxNDEBCAAAAAUAAAABMQEAAAALLTE5NjEyMTUyMDADAAAAAzE2MAIAAAAENDE5MQQAAAABMAcAAAAIMi83LzIwMjUIAAAACjEyLzMxLzIwMjQJAAAAATBJa8OWgEfdCElrw5aAR90IJUNJUS5J</t>
  </si>
  <si>
    <t>UTk3MTk5LklRX1RPVEFMX0RFQlRfRUJJVERBLjEwMDABAAAAr3sBAAIAAAAIMi41MTY4OTYBCAAAAAUAAAABMQEAAAALLTE5NjE0OTM4NDgDAAAAAzE2MAIAAAAENDE5MgQAAAABMAcAAAAIMi83LzIwMjUIAAAACjEyLzMxLzIwMjQJAAAAATBJa8OWgEfdCElrw5aAR90IJ0NJUS5JUTE4MDg3MS5JUV9UT1RBTF9ERUJUX0NBUElUQUwuMTAwMAEAAACHwgIAAgAAAAcxNTkuNzkxAQgAAAAFAAAAATEBAAAACy0yMDA0ODQwMjY3AwAAAAMxNjACAAAABDQxODYEAAAAATAHAAAACDIvNy8yMDI1CAAAAAgyLzIvMjAyNAkAAAABMI6Sw5aAR90IjpLDloBH3QgkQ0lRLklRMjkwOTYuSVFfRUJJVERBX0NBUEVYX0lOVC4xMDAwAQAAAKhxAAACAAAACjI5OC4xMTU2NzEBCAAAAAUAAAABMQEAAAALLTE5NjA5OTI3MDADAAAAAzE2MAIAAAAENDE5MQQAAAABMAcAAAAIMi83LzIwMjUIAAAACjEyLzMxLzIwMjQJAAAAATBJa8OWgEfdCElrw5aAR90IKUNJUS5JUTIwNzY1NDYzLklRX1RPVEFMX0RFQlRfQ0FQSVRBTC4xMDAwAQAAABfbPAECAAAABzIxLjQxNDYBCAAAAAUAAAABMQEAAAALLTE5NjE0OTE3MTgDAAAAAzE2MAIAAAAENDE4NgQAAAABMAcAAAAIMi83LzIwMjUIAAAACjEyLzMxLzIwMjQJAAAAATBJa8OWgEfdCElrw5aAR90IIkNJUS5JUTE4MDg3MS5JUV9SRVRVUk5fRVFVSVRZLjIwMDABAAAAh8ICAAMAAAAC</t>
  </si>
  <si>
    <t>Tk0BCAAAAAUAAAABMQEAAAALLTE5NjYwOTk1NDMDAAAAAzE2MAIAAAAENDEyOAQAAAABMAcAAAAIMi83LzIwMjUIAAAACTExLzEvMjAyNAkAAAABMI6Sw5aAR90IjpLDloBH3QgcQ0lRLklRMjkwOTYuSVFfRUJJVF9JTlQuMTAwMAEAAACocQAAAgAAAAo0MTkuMzY1NjcxAQgAAAAFAAAAATEBAAAACy0xOTYwOTkyNzAwAwAAAAMxNjACAAAABDQxODkEAAAAATAHAAAACDIvNy8yMDI1CAAAAAoxMi8zMS8yMDI0CQAAAAEwSWvDloBH3QhJa8OWgEfdCB9DSVEuSVEzNjMyNjMuSVFfRUJJVERBX0lOVC4xMDAwAQAAAP+KBQACAAAACTExLjc3ODk0NwEIAAAABQAAAAIyOQIAAAAENDE5MAEAAAALLTE5NjA4NzU2NjYDAAAAAzE2MAQAAAABMAcAAAAIMi83LzIwMjUIAAAACjEyLzMxLzIwMjQJAAAAATBJa8OWgEfdCElrw5aAR90IIkNJUS5JUTI4OTE5NC5JUV9DVVJSRU5UX1JBVElPLjEwMDABAAAAqmkEAAIAAAAIMS40MTExNTgBCAAAAAUAAAABMQEAAAALLTE5NjA5Mzc5NzkDAAAAAzE2MAIAAAAENDAzMAQAAAABMAcAAAAIMi83LzIwMjUIAAAACjEyLzMxLzIwMjQJAAAAATBJa8OWgEfdCElrw5aAR90IIkNJUS5JUTE4MDg3MS5JUV9SRVRVUk5fQVNTRVRTLjIwMDABAAAAh8ICAAIAAAAHMTQuNzgxNgEIAAAABQAAAAExAQAAAAstMTk2NjA5OTU0MwMAAAADMTYwAgAAAAQ0MTc4BAAAAAEwBwAAAAgyLzcvMjAy</t>
  </si>
  <si>
    <t>NQgAAAAJMTEvMS8yMDI0CQAAAAEwILnDloBH3QggucOWgEfdCCVDSVEuSVEyODU4MjcuSVFfRUJJVERBX0NBUEVYX0lOVC4xMDAwAQAAAINcBAACAAAACDYuNzI2ODMzAQgAAAAFAAAAATEBAAAACy0xOTYxNzAwNjA2AwAAAAMxNjACAAAABDQxOTEEAAAAATAHAAAACDIvNy8yMDI1CAAAAAoxMi8zMS8yMDI0CQAAAAEwSWvDloBH3QhJa8OWgEfdCCVDSVEuSVEzNzA4NTcuSVFfRUJJVERBX0NBUEVYX0lOVC4xMDAwAQAAAKmoBQADAAAAAk5NAQgAAAAFAAAAATEBAAAACy0xOTYxMjE4MDI0AwAAAAMxNjACAAAABDQxOTEEAAAAATAHAAAACDIvNy8yMDI1CAAAAAoxMi8zMS8yMDI0CQAAAAEwSWvDloBH3QhJa8OWgEfdCB5DSVEuSVExNTkyMzAuSVFfVE9UQUxfUkVWLjEwMDABAAAA/m0CAAIAAAAFODA3MzgBCAAAAAUAAAABMQEAAAALLTE5NjEyMDQxNjQDAAAAAzE2MAIAAAACMjgEAAAAATAHAAAACDIvNy8yMDI1CAAAAAoxMi8zMS8yMDI0CQAAAAEwSWvDloBH3QhJa8OWgEfdCCJDSVEuSVEzNzA4NTcuSVFfUkVUVVJOX0VRVUlUWS4yMDAwAQAAAKmoBQADAAAAAk5NAQgAAAAFAAAAATEBAAAACy0xOTYxMjE2NjIwAwAAAAMxNjACAAAABDQxMjgEAAAAATAHAAAACDIvNy8yMDI1CAAAAAoxMi8zMS8yMDI0CQAAAAEwSWvDloBH3QhJa8OWgEfdCCZDSVEuSVEyNzg2NzkuSVFfVE9UQUxfREVCVF9FUVVJVFku</t>
  </si>
  <si>
    <t>MTAwMAEAAACXQAQAAgAAAAk1MDg2LjMwMjYBCAAAAAUAAAABMQEAAAALLTIwMDYzMzAxOTcDAAAAAzE2MAIAAAAENDAzNAQAAAABMAcAAAAIMi83LzIwMjUIAAAACTEvMjgvMjAyNAkAAAABMElrw5aAR90ISWvDloBH3QgkQ0lRLklRMjA3NjU0NjMuSVFfQ1VSUkVOVF9SQVRJTy4xMDAwAQAAABfbPAECAAAACDIuOTc3ODg0AQgAAAAFAAAAATEBAAAACy0xOTYxNDkxNzE4AwAAAAMxNjACAAAABDQwMzAEAAAAATAHAAAACDIvNy8yMDI1CAAAAAoxMi8zMS8yMDI0CQAAAAEwSWvDloBH3QhJa8OWgEfdCB1DSVEuSVExODA4NzEuSVFfRUJJVF9JTlQuMTAwMAEAAACHwgIAAgAAAAg3Ljc5Mjk4NwEIAAAABQAAAAExAQAAAAstMjAwNDg0MDI2NwMAAAADMTYwAgAAAAQ0MTg5BAAAAAEwBwAAAAgyLzcvMjAyNQgAAAAIMi8yLzIwMjQJAAAAATCOksOWgEfdCI6Sw5aAR90IHUNJUS5JUTI5MDk2LklRX1RPVEFMX1JFVi4xMDAwAQAAAKhxAAACAAAABjM1MDAxOAEIAAAABQAAAAExAQAAAAstMTk2MDk5MjcwMAMAAAADMTYwAgAAAAIyOAQAAAABMAcAAAAIMi83LzIwMjUIAAAACjEyLzMxLzIwMjQJAAAAATBJa8OWgEfdCElrw5aAR90IJkNJUS5JUTI5MDk2LklRX1RPVEFMX0RFQlRfQ0FQSVRBTC4xMDAwAQAAAKhxAAACAAAABjcuOTY1OAEIAAAABQAAAAExAQAAAAstMTk2MDk5MjcwMAMAAAADMTYwAgAAAAQ0MTg2</t>
  </si>
  <si>
    <t>BAAAAAEwBwAAAAgyLzcvMjAyNQgAAAAKMTIvMzEvMjAyNAkAAAABMElrw5aAR90ISWvDloBH3QgiQ0lRLklRMzYzMjYzLklRX1JFVFVSTl9FUVVJVFkuMjAwMAEAAAD/igUAAgAAAAcxMi41NTg1AQgAAAAFAAAAAjI5AgAAAAQ0MTI4AQAAAAstMTk2MDg3NDg2OQMAAAADMTYwBAAAAAEwBwAAAAgyLzcvMjAyNQgAAAAKMTIvMzEvMjAyNAkAAAABMElrw5aAR90ISWvDloBH3QggQ0lRLklRMjg5MTk0LklRX1FVSUNLX1JBVElPLjEwMDABAAAAqmkEAAIAAAAIMC45NzcyNTYBCAAAAAUAAAABMQEAAAALLTE5NjA5Mzc5NzkDAAAAAzE2MAIAAAAENDEyMQQAAAABMAcAAAAIMi83LzIwMjUIAAAACjEyLzMxLzIwMjQJAAAAATBJa8OWgEfdCElrw5aAR90IIUNJUS5JUTIyNzUxLklRX0NVUlJFTlRfUkFUSU8uMTAwMAEAAADfWAAAAgAAAAgwLjQwMjU2MgEIAAAABQAAAAExAQAAAAstMTk2MTU4MzU5NgMAAAADMTYwAgAAAAQ0MDMwBAAAAAEwBwAAAAgyLzcvMjAyNQgAAAAKMTIvMzEvMjAyNAkAAAABMElrw5aAR90ISWvDloBH3QgiQ0lRLklRMzYzMjYzLklRX1JFVFVSTl9BU1NFVFMuMjAwMAEAAAD/igUAAgAAAAUzLjU1OQEIAAAABQAAAAIyOQIAAAAENDE3OAEAAAALLTE5NjA4NzQ4NjkDAAAAAzE2MAQAAAABMAcAAAAIMi83LzIwMjUIAAAACjEyLzMxLzIwMjQJAAAAATBJa8OWgEfdCElrw5aAR90IIkNJUS5J</t>
  </si>
  <si>
    <t>UTI4OTE5NC5JUV9SRVRVUk5fRVFVSVRZLjIwMDABAAAAqmkEAAIAAAAHOTEuODUxMQEIAAAABQAAAAExAQAAAAstMTk2MDkzNjk3NQMAAAADMTYwAgAAAAQ0MTI4BAAAAAEwBwAAAAgyLzcvMjAyNQgAAAAKMTIvMzEvMjAyNAkAAAABMElrw5aAR90ISWvDloBH3QgkQ0lRLklRMjg1ODI3LklRX0VGRkVDVF9UQVhfUkFURS4xMDAwAQAAAINcBAACAAAABzE0LjIxMjIBCAAAAAUAAAABMQEAAAALLTE5NjE3MDA2MDYDAAAAAzE2MAIAAAAENDM3NgQAAAABMAcAAAAIMi83LzIwMjUIAAAACjEyLzMxLzIwMjQJAAAAATBJa8OWgEfdCElrw5aAR90IJENJUS5JUTM3MDg1Ny5JUV9FRkZFQ1RfVEFYX1JBVEUuMTAwMAEAAACpqAUAAwAAAAJOTQEIAAAABQAAAAExAQAAAAstMTk2MTIxODAyNAMAAAADMTYwAgAAAAQ0Mzc2BAAAAAEwBwAAAAgyLzcvMjAyNQgAAAAKMTIvMzEvMjAyNAkAAAABMElrw5aAR90ISWvDloBH3QgkQ0lRLklRMTgwODcxLklRX0VGRkVDVF9UQVhfUkFURS4xMDAwAQAAAIfCAgACAAAABzI0LjA2ODcBCAAAAAUAAAABMQEAAAALLTIwMDQ4NDAyNjcDAAAAAzE2MAIAAAAENDM3NgQAAAABMAcAAAAIMi83LzIwMjUIAAAACDIvMi8yMDI0CQAAAAEwjpLDloBH3QiOksOWgEfdCB5DSVEuSVEyMjc1MS5JUV9FQklUREFfSU5ULjEwMDABAAAA31gAAAIAAAAJMTAuODM5NTA2AQgAAAAFAAAAATEBAAAA</t>
  </si>
  <si>
    <t>Cy0xOTYxNTgzNTk2AwAAAAMxNjACAAAABDQxOTAEAAAAATAHAAAACDIvNy8yMDI1CAAAAAoxMi8zMS8yMDI0CQAAAAEwSWvDloBH3QhJa8OWgEfdCB9DSVEuSVExNzcwMzEuSVFfRUJJVERBX0lOVC4xMDAwAQAAAIezAgACAAAACDkuNTU2Nzk1AQgAAAAFAAAAATEBAAAACy0xOTYxMjE1MjAwAwAAAAMxNjACAAAABDQxOTAEAAAAATAHAAAACDIvNy8yMDI1CAAAAAoxMi8zMS8yMDI0CQAAAAEwSWvDloBH3QhJa8OWgEfdCB5DSVEuSVEyODU4MjcuSVFfTklfTUFSR0lOLjIwMDABAAAAg1wEAAIAAAAGNy41MTA5AQgAAAAFAAAAATEBAAAACy0xOTYxNzAwMzk5AwAAAAMxNjACAAAABDQwOTQEAAAAATAHAAAACDIvNy8yMDI1CAAAAAoxMi8zMS8yMDI0CQAAAAEwSWvDloBH3QhJa8OWgEfdCCZDSVEuSVE5NzE5OS5JUV9UT1RBTF9ERUJUX0NBUElUQUwuMTAwMAEAAACvewEAAgAAAAc1NC42MTAyAQgAAAAFAAAAATEBAAAACy0xOTYxNDkzODQ4AwAAAAMxNjACAAAABDQxODYEAAAAATAHAAAACDIvNy8yMDI1CAAAAAoxMi8zMS8yMDI0CQAAAAEwSWvDloBH3QhJa8OWgEfdCCZDSVEuSVExMzQwNzQwLklRX0VCSVREQV9DQVBFWF9JTlQuMTAwMAEAAABEdRQAAgAAAAg3LjQwMDc1NgEIAAAABQAAAAExAQAAAAstMTk2MDg4ODQ0MAMAAAADMTYwAgAAAAQ0MTkxBAAAAAEwBwAAAAgyLzcvMjAyNQgAAAAKMTIvMzEv</t>
  </si>
  <si>
    <t>MjAyNAkAAAABMElrw5aAR90ISWvDloBH3QgoQ0lRLklRMjA3NjU0NjMuSVFfVE9UQUxfREVCVF9FUVVJVFkuMTAwMAEAAAAX2zwBAgAAAAcyNy4yNTAyAQgAAAAFAAAAATEBAAAACy0xOTYxNDkxNzE4AwAAAAMxNjACAAAABDQwMzQEAAAAATAHAAAACDIvNy8yMDI1CAAAAAoxMi8zMS8yMDI0CQAAAAEwSWvDloBH3QhJa8OWgEfdCCFDSVEuSVEyMTgzNS5JUV9DVVJSRU5UX1JBVElPLjEwMDABAAAAS1UAAAIAAAAIMS4yNzQ5NTQBCAAAAAUAAAABMQEAAAALLTE5ODU5MzEyMDMDAAAAAzE2MAIAAAAENDAzMAQAAAABMAcAAAAIMi83LzIwMjUIAAAACTYvMzAvMjAyNAkAAAABMElrw5aAR90ISWvDloBH3QgiQ0lRLklRMjg5MTk0LklRX1JFVFVSTl9BU1NFVFMuMjAwMAEAAACqaQQAAgAAAAY1LjkyODgBCAAAAAUAAAABMQEAAAALLTE5NjA5MzY5NzUDAAAAAzE2MAIAAAAENDE3OAQAAAABMAcAAAAIMi83LzIwMjUIAAAACjEyLzMxLzIwMjQJAAAAATBJa8OWgEfdCElrw5aAR90IH0NJUS5JUTk3MTk5LklRX1FVSUNLX1JBVElPLjEwMDABAAAAr3sBAAIAAAAIMC44NTI5MTYBCAAAAAUAAAABMQEAAAALLTE5NjE0OTM4NDgDAAAAAzE2MAIAAAAENDEyMQQAAAABMAcAAAAIMi83LzIwMjUIAAAACjEyLzMxLzIwMjQJAAAAATBJa8OWgEfdCElrw5aAR90II0NJUS5JUTIxODM1LklRX0VGRkVDVF9UQVhfUkFURS4x</t>
  </si>
  <si>
    <t>MDAwAQAAAEtVAAACAAAABzE4LjIzMTMBCAAAAAUAAAABMQEAAAALLTE5ODU5MzEyMDMDAAAAAzE2MAIAAAAENDM3NgQAAAABMAcAAAAIMi83LzIwMjUIAAAACTYvMzAvMjAyNAkAAAABMElrw5aAR90ISWvDloBH3QggQ0lRLklRMTU5MjMwLklRX1FVSUNLX1JBVElPLjEwMDABAAAA/m0CAAIAAAAIMC42MDQzNjEBCAAAAAUAAAABMQEAAAALLTE5NjEyMDQxNjQDAAAAAzE2MAIAAAAENDEyMQQAAAABMAcAAAAIMi83LzIwMjUIAAAACjEyLzMxLzIwMjQJAAAAATBJa8OWgEfdCElrw5aAR90IJENJUS5JUTEzNDA3NDAuSVFfRElMVVRfRVBTX0lOQ0wuMTAwMAEAAABEdRQAAgAAAAQ4LjcxAQgAAAAFAAAAATEBAAAACy0xOTYwODg4NDQwAwAAAAMxNjACAAAAATgEAAAAATAHAAAACDIvNy8yMDI1CAAAAAoxMi8zMS8yMDI0CQAAAAEwSWvDloBH3QhJa8OWgEfdCCNDSVEuSVEyNzg2NzkuSVFfRElMVVRfRVBTX0lOQ0wuMTAwMAEAAACXQAQAAgAAAAUxNS4xMQEIAAAABQAAAAExAQAAAAstMjAwNjMzMDE5NwMAAAADMTYwAgAAAAE4BAAAAAEwBwAAAAgyLzcvMjAyNQgAAAAJMS8yOC8yMDI0CQAAAAEwSWvDloBH3QhJa8OWgEfdCB1DSVEuSVEyOTA5Ni5JUV9OSV9NQVJHSU4uMjAwMAEAAACocQAAAgAAAAcyOC42MDM2AQgAAAAFAAAAATEBAAAACy0xOTYwOTkwMjM5AwAAAAMxNjACAAAABDQwOTQEAAAAATAHAAAA</t>
  </si>
  <si>
    <t>CDIvNy8yMDI1CAAAAAoxMi8zMS8yMDI0CQAAAAEwSWvDloBH3QhJa8OWgEfdCCJDSVEuSVEzNzA4NTcuSVFfRUJJVERBX01BUkdJTi4yMDAwAQAAAKmoBQACAAAACC0xMi42ODY5AQgAAAAFAAAAATEBAAAACy0xOTYxMjE2NjIwAwAAAAMxNjACAAAABDQwNDcEAAAAATAHAAAACDIvNy8yMDI1CAAAAAoxMi8zMS8yMDI0CQAAAAEwSWvDloBH3QhJa8OWgEfdCCVDSVEuSVEyMjc1MS5JUV9UT1RBTF9ERUJUX0VCSVREQS4xMDAwAQAAAN9YAAACAAAACDIuNzEzMTk3AQgAAAAFAAAAATEBAAAACy0xOTYxNTgzNTk2AwAAAAMxNjACAAAABDQxOTIEAAAAATAHAAAACDIvNy8yMDI1CAAAAAoxMi8zMS8yMDI0CQAAAAEwSWvDloBH3QhJa8OWgEfdCCNDSVEuSVExMzQwNzQwLklRX0VCSVREQV9NQVJHSU4uMjAwMAEAAABEdRQAAgAAAAcyMy4zNjIyAQgAAAAFAAAAATEBAAAACy0xOTYwODg3MTE3AwAAAAMxNjACAAAABDQwNDcEAAAAATAHAAAACDIvNy8yMDI1CAAAAAoxMi8zMS8yMDI0CQAAAAEwSWvDloBH3QhJa8OWgEfdCB1DSVEuSVEyNjkyMzEuSVFfRUJJVF9JTlQuMTAwMAEAAACvGwQAAgAAAAg5LjM0MDU1NwEIAAAABQAAAAExAQAAAAstMTk2OTUxNzAxMAMAAAADMTYwAgAAAAQ0MTg5BAAAAAEwBwAAAAgyLzcvMjAyNQgAAAAJOS8zMC8yMDI0CQAAAAEwSWvDloBH3QhJa8OWgEfdCB1DSVEuSVEyMTgzNS5J</t>
  </si>
  <si>
    <t>UV9OSV9NQVJHSU4uMjAwMAEAAABLVQAAAgAAAAczNS40Mjc1AQgAAAAFAAAAATEBAAAACy0xOTYxNjY2NDcwAwAAAAMxNjACAAAABDQwOTQEAAAAATAHAAAACDIvNy8yMDI1CAAAAAoxMi8zMS8yMDI0CQAAAAEwSWvDloBH3QhJa8OWgEfdCCJDSVEuSVExNTkyMzAuSVFfRUJJVERBX01BUkdJTi4yMDAwAQAAAP5tAgACAAAABzE1Ljg4OTYBCAAAAAUAAAABMQEAAAALLTE5NjEyMDM4MDQDAAAAAzE2MAIAAAAENDA0NwQAAAABMAcAAAAIMi83LzIwMjUIAAAACjEyLzMxLzIwMjQJAAAAATBJa8OWgEfdCElrw5aAR90II0NJUS5JUTI4NTgyNy5JUV9ESUxVVF9FUFNfSU5DTC4xMDAwAQAAAINcBAACAAAABTIyLjMxAQgAAAAFAAAAATEBAAAACy0xOTYxNzAwNjA2AwAAAAMxNjACAAAAATgEAAAAATAHAAAACDIvNy8yMDI1CAAAAAoxMi8zMS8yMDI0CQAAAAEwSWvDloBH3QhJa8OWgEfdCCFDSVEuSVEyMjQwNTUyODMuSVFfTklfTUFSR0lOLjIwMDABAAAA889aDQIAAAAILTEzLjAxNjMBCAAAAAUAAAABMQEAAAALLTE5NjA5OTAyMzYDAAAAAzE2MAIAAAAENDA5NAQAAAABMAcAAAAIMi83LzIwMjUIAAAACjEyLzMxLzIwMjQJAAAAATBJa8OWgEfdCElrw5aAR90IJ0NJUS5JUTEzNDA3NDAuSVFfVE9UQUxfREVCVF9FQklUREEuMTAwMAEAAABEdRQAAgAAAAgzLjQ1Nzc0OQEIAAAABQAAAAExAQAAAAstMTk2MDg4</t>
  </si>
  <si>
    <t>ODQ0MAMAAAADMTYwAgAAAAQ0MTkyBAAAAAEwBwAAAAgyLzcvMjAyNQgAAAAKMTIvMzEvMjAyNAkAAAABMElrw5aAR90ISWvDloBH3QgjQ0lRLklRMTc3MDMxLklRX0RJTFVUX0VQU19JTkNMLjEwMDABAAAAh7MCAAIAAAAENS45OQEIAAAABQAAAAExAQAAAAstMTk2MTIxNTIwMAMAAAADMTYwAgAAAAE4BAAAAAEwBwAAAAgyLzcvMjAyNQgAAAAKMTIvMzEvMjAyNAkAAAABMElrw5aAR90ISWvDloBH3QgdQ0lRLklRMjg5MTk0LklRX0VCSVRfSU5ULjEwMDABAAAAqmkEAAIAAAAIMy42MDIwMTUBCAAAAAUAAAABMQEAAAALLTE5NjA5Mzc5NzkDAAAAAzE2MAIAAAAENDE4OQQAAAABMAcAAAAIMi83LzIwMjUIAAAACjEyLzMxLzIwMjQJAAAAATBJa8OWgEfdCElrw5aAR90IJUNJUS5JUTIyNDA1NTI4My5JUV9SRVRVUk5fQVNTRVRTLjIwMDABAAAA889aDQIAAAAHLTUuNjM2NAEIAAAABQAAAAExAQAAAAstMTk2MDk5MDIzNgMAAAADMTYwAgAAAAQ0MTc4BAAAAAEwBwAAAAgyLzcvMjAyNQgAAAAKMTIvMzEvMjAyNAkAAAABMElrw5aAR90ISWvDloBH3QgiQ0lRLklRMjY5MjMxLklRX0VCSVREQV9NQVJHSU4uMjAwMAEAAACvGwQAAgAAAAcyNi45MzQ0AQgAAAAFAAAAATEBAAAACy0xOTYxMDMwOTEzAwAAAAMxNjACAAAABDQwNDcEAAAAATAHAAAACDIvNy8yMDI1CAAAAAoxMi8zMS8yMDI0CQAAAAEwSWvDloBH</t>
  </si>
  <si>
    <t>3QhJa8OWgEfdCCNDSVEuSVExMzQwNzQwLklRX0NVUlJFTlRfUkFUSU8uMTAwMAEAAABEdRQAAgAAAAgxLjMxMjk0NgEIAAAABQAAAAExAQAAAAstMTk2MDg4ODQ0MAMAAAADMTYwAgAAAAQ0MDMwBAAAAAEwBwAAAAgyLzcvMjAyNQgAAAAKMTIvMzEvMjAyNAkAAAABMElrw5aAR90ISWvDloBH3QggQ0lRLklRMjc4Njc5LklRX1FVSUNLX1JBVElPLjEwMDABAAAAl0AEAAIAAAAIMC4zMjE5NjIBCAAAAAUAAAABMQEAAAALLTIwMDYzMzAxOTcDAAAAAzE2MAIAAAAENDEyMQQAAAABMAcAAAAIMi83LzIwMjUIAAAACTEvMjgvMjAyNAkAAAABMElrw5aAR90ISWvDloBH3QgdQ0lRLklROTcxOTkuSVFfTklfTUFSR0lOLjIwMDABAAAAr3sBAAIAAAAHMTAuMTcyMwEIAAAABQAAAAExAQAAAAstMTk2MTQ5MjE1NgMAAAADMTYwAgAAAAQ0MDk0BAAAAAEwBwAAAAgyLzcvMjAyNQgAAAAKMTIvMzEvMjAyNAkAAAABMElrw5aAR90ISWvDloBH3QglQ0lRLklRMjA3NjU0NjMuSVFfRElMVVRfRVBTX0lOQ0wuMTAwMAEAAAAX2zwBAgAAAAUyMy44NgEIAAAABQAAAAExAQAAAAstMTk2MTQ5MTcxOAMAAAADMTYwAgAAAAE4BAAAAAEwBwAAAAgyLzcvMjAyNQgAAAAKMTIvMzEvMjAyNAkAAAABMElrw5aAR90ISWvDloBH3QgjQ0lRLklRMzcwODU3LklRX0RJTFVUX0VQU19JTkNMLjEwMDABAAAAqagFAAIAAAAGLTE4LjM2AQgA</t>
  </si>
  <si>
    <t>AAAFAAAAATEBAAAACy0xOTYxMjE4MDI0AwAAAAMxNjACAAAAATgEAAAAATAHAAAACDIvNy8yMDI1CAAAAAoxMi8zMS8yMDI0CQAAAAEwjpLDloBH3QiOksOWgEfdCCJDSVEuSVEyODkxOTQuSVFfRUJJVERBX01BUkdJTi4yMDAwAQAAAKppBAACAAAABjIzLjAwMwEIAAAABQAAAAExAQAAAAstMTk2MDkzNjk3NQMAAAADMTYwAgAAAAQ0MDQ3BAAAAAEwBwAAAAgyLzcvMjAyNQgAAAAKMTIvMzEvMjAyNAkAAAABMI6Sw5aAR90IjpLDloBH3QgfQ0lRLklRMjI3NTEuSVFfUVVJQ0tfUkFUSU8uMTAwMAEAAADfWAAAAgAAAAgwLjMxOTk3MgEIAAAABQAAAAExAQAAAAstMTk2MTU4MzU5NgMAAAADMTYwAgAAAAQ0MTIxBAAAAAEwBwAAAAgyLzcvMjAyNQgAAAAKMTIvMzEvMjAyNAkAAAABMI6Sw5aAR90IjpLDloBH3QgkQ0lRLklRMjE4MzUuSVFfRUJJVERBX0NBUEVYX0lOVC4xMDAwAQAAAEtVAAACAAAACTI5LjY3MTgwNgEIAAAABQAAAAExAQAAAAstMTk4NTkzMTIwMwMAAAADMTYwAgAAAAQ0MTkxBAAAAAEwBwAAAAgyLzcvMjAyNQgAAAAJNi8zMC8yMDI0CQAAAAEwjpLDloBH3QiOksOWgEfdCCFDSVEuSVEyMjc1MS5JUV9SRVRVUk5fRVFVSVRZLjIwMDABAAAA31gAAAIAAAAGOC41MzMxAQgAAAAFAAAAATEBAAAACy0xOTYxNTgyOTIxAwAAAAMxNjACAAAABDQxMjgEAAAAATAHAAAACDIvNy8yMDI1CAAAAAox</t>
  </si>
  <si>
    <t>Mi8zMS8yMDI0CQAAAAEwjpLDloBH3QiOksOWgEfdCBxDSVEuSVEyMTgzNS5JUV9FQklUX0lOVC4xMDAwAQAAAEtVAAACAAAACTM2LjY4NTU1MQEIAAAABQAAAAExAQAAAAstMTk4NTkzMTIwMwMAAAADMTYwAgAAAAQ0MTg5BAAAAAEwBwAAAAgyLzcvMjAyNQgAAAAJNi8zMC8yMDI0CQAAAAEwjpLDloBH3QiOksOWgEfdCB9DSVEuSVExNTkyMzAuSVFfRUJJVERBX0lOVC4xMDAwAQAAAP5tAgACAAAACDYuNzI2Mzk1AQgAAAAFAAAAATEBAAAACy0xOTYxMjA0MTY0AwAAAAMxNjACAAAABDQxOTAEAAAAATAHAAAACDIvNy8yMDI1CAAAAAoxMi8zMS8yMDI0CQAAAAEwjpLDloBH3QiOksOWgEfdCCNDSVEuSVEyMjQwNTUyODMuSVFfUVVJQ0tfUkFUSU8uMTAwMAEAAADzz1oNAgAAAAgzLjc5OTQxMQEIAAAABQAAAAExAQAAAAstMTk2MDk5Mjc1OQMAAAADMTYwAgAAAAQ0MTIxBAAAAAEwBwAAAAgyLzcvMjAyNQgAAAAKMTIvMzEvMjAyNAkAAAABMI6Sw5aAR90IjpLDloBH3QgiQ0lRLklRMjA3NjU0NjMuSVFfUVVJQ0tfUkFUSU8uMTAwMAEAAAAX2zwBAgAAAAgyLjgyMjAzMgEIAAAABQAAAAExAQAAAAstMTk2MTQ5MTcxOAMAAAADMTYwAgAAAAQ0MTIxBAAAAAEwBwAAAAgyLzcvMjAyNQgAAAAKMTIvMzEvMjAyNAkAAAABMI6Sw5aAR90IjpLDloBH3QgeQ0lRLklRMzYzMjYzLklRX1RPVEFMX1JFVi4xMDAwAQAA</t>
  </si>
  <si>
    <t>AP+KBQACAAAABTExNTM1AQgAAAAFAAAAAjI5AgAAAAIyOAEAAAALLTE5NjA4NzU2NjYDAAAAAzE2MAQAAAABMAcAAAAIMi83LzIwMjUIAAAACjEyLzMxLzIwMjQJAAAAATCOksOWgEfdCI6Sw5aAR90IHkNJUS5JUTE1OTIzMC5JUV9OSV9NQVJHSU4uMjAwMAEAAAD+bQIAAgAAAAY1LjkxMjkBCAAAAAUAAAABMQEAAAALLTE5NjEyMDM4MDQDAAAAAzE2MAIAAAAENDA5NAQAAAABMAcAAAAIMi83LzIwMjUIAAAACjEyLzMxLzIwMjQJAAAAATCOksOWgEfdCI6Sw5aAR90IJUNJUS5JUTI5MDk2LklRX1RPVEFMX0RFQlRfRVFVSVRZLjEwMDABAAAAqHEAAAIAAAAGOC42NTUzAQgAAAAFAAAAATEBAAAACy0xOTYwOTkyNzAwAwAAAAMxNjACAAAABDQwMzQEAAAAATAHAAAACDIvNy8yMDI1CAAAAAoxMi8zMS8yMDI0CQAAAAEwjpLDloBH3QiOksOWgEfdCCVDSVEuSVExMzQwNzQwLklRX0VGRkVDVF9UQVhfUkFURS4xMDAwAQAAAER1FAACAAAABzIwLjQyMTQBCAAAAAUAAAABMQEAAAALLTE5NjA4ODg0NDADAAAAAzE2MAIAAAAENDM3NgQAAAABMAcAAAAIMi83LzIwMjUIAAAACjEyLzMxLzIwMjQJAAAAATCOksOWgEfdCI6Sw5aAR90IIUNJUS5JUTIyNzUxLklRX1JFVFVSTl9BU1NFVFMuMjAwMAEAAADfWAAAAgAAAAY0LjE5NDgBCAAAAAUAAAABMQEAAAALLTE5NjE1ODI5MjEDAAAAAzE2MAIAAAAENDE3OAQAAAAB</t>
  </si>
  <si>
    <t>MAcAAAAIMi83LzIwMjUIAAAACjEyLzMxLzIwMjQJAAAAATCOksOWgEfdCI6Sw5aAR90IHkNJUS5JUTIxODM1LklRX0VCSVREQV9JTlQuMTAwMAEAAABLVQAAAgAAAAk0NC41ODE5NjQBCAAAAAUAAAABMQEAAAALLTE5ODU5MzEyMDMDAAAAAzE2MAIAAAAENDE5MAQAAAABMAcAAAAIMi83LzIwMjUIAAAACTYvMzAvMjAyNAkAAAABMI6Sw5aAR90IjpLDloBH3QgmQ0lRLklRMTU5MjMwLklRX1RPVEFMX0RFQlRfRUJJVERBLjEwMDABAAAA/m0CAAIAAAAIMy4yNjQ2NTkBCAAAAAUAAAABMQEAAAALLTE5NjEyMDQxNjQDAAAAAzE2MAIAAAAENDE5MgQAAAABMAcAAAAIMi83LzIwMjUIAAAACjEyLzMxLzIwMjQJAAAAATCOksOWgEfdCI6Sw5aAR90IJUNJUS5JUTk3MTk5LklRX1RPVEFMX0RFQlRfRVFVSVRZLjEwMDABAAAAr3sBAAIAAAAIMTIwLjMxMzkBCAAAAAUAAAABMQEAAAALLTE5NjE0OTM4NDgDAAAAAzE2MAIAAAAENDAzNAQAAAABMAcAAAAIMi83LzIwMjUIAAAACjEyLzMxLzIwMjQJAAAAATCOksOWgEfdCI6Sw5aAR90IJUNJUS5JUTIyNDA1NTI4My5JUV9SRVRVUk5fRVFVSVRZLjIwMDABAAAA889aDQIAAAAILTI4LjY4OTUBCAAAAAUAAAABMQEAAAALLTE5NjA5OTAyMzYDAAAAAzE2MAIAAAAENDEyOAQAAAABMAcAAAAIMi83LzIwMjUIAAAACjEyLzMxLzIwMjQJAAAAATCOksOWgEfdCI6Sw5aAR90I</t>
  </si>
  <si>
    <t>J0NJUS5JUTE3NzAzMS5JUV9UT1RBTF9ERUJUX0NBUElUQUwuMTAwMAEAAACHswIAAgAAAAc1MS4wMTc3AQgAAAAFAAAAATEBAAAACy0xOTYxMjE1MjAwAwAAAAMxNjACAAAABDQxODYEAAAAATAHAAAACDIvNy8yMDI1CAAAAAoxMi8zMS8yMDI0CQAAAAEwjpLDloBH3QiOksOWgEfdCCZDSVEuSVExNTkyMzAuSVFfVE9UQUxfREVCVF9FUVVJVFkuMTAwMAEAAAD+bQIAAgAAAAc2OS44MjE0AQgAAAAFAAAAATEBAAAACy0xOTYxMjA0MTY0AwAAAAMxNjACAAAABDQwMzQEAAAAATAHAAAACDIvNy8yMDI1CAAAAAoxMi8zMS8yMDI0CQAAAAEwjpLDloBH3QiOksOWgEfdCCJDSVEuSVEyODU4MjcuSVFfQ1VSUkVOVF9SQVRJTy4xMDAwAQAAAINcBAACAAAACDEuMTI1MDc3AQgAAAAFAAAAATEBAAAACy0xOTYxNzAwNjA2AwAAAAMxNjACAAAABDQwMzAEAAAAATAHAAAACDIvNy8yMDI1CAAAAAoxMi8zMS8yMDI0CQAAAAEwjpLDloBH3QiOksOWgEfdCB9DSVEuSVExMzQwNzQwLklRX1RPVEFMX1JFVi4xMDAwAQAAAER1FAACAAAABTM4NDk4AQgAAAAFAAAAATEBAAAACy0xOTYwODg4NDQwAwAAAAMxNjACAAAAAjI4BAAAAAEwBwAAAAgyLzcvMjAyNQgAAAAKMTIvMzEvMjAyNAkAAAABMI6Sw5aAR90IjpLDloBH3QgeQ0lRLklRMjc4Njc5LklRX1RPVEFMX1JFVi4xMDAwAQAAAJdABAACAAAABjE1MjY2OQEIAAAABQAA</t>
  </si>
  <si>
    <t>AAExAQAAAAstMjAwNjMzMDE5NwMAAAADMTYwAgAAAAIyOAQAAAABMAcAAAAIMi83LzIwMjUIAAAACTEvMjgvMjAyNAkAAAABMI6Sw5aAR90IjpLDloBH3QgdQ0lRLklRMjE4MzUuSVFfVE9UQUxfUkVWLjEwMDABAAAAS1UAAAIAAAAGMjQ1MTIyAQgAAAAFAAAAATEBAAAACy0xOTg1OTMxMjAzAwAAAAMxNjACAAAAAjI4BAAAAAEwBwAAAAgyLzcvMjAyNQgAAAAJNi8zMC8yMDI0CQAAAAEwjpLDloBH3QiOksOWgEfdCCJDSVEuSVEzNjMyNjMuSVFfRUJJVERBX01BUkdJTi4yMDAwAQAAAP+KBQACAAAABjguNTkxMgEIAAAABQAAAAIyOQIAAAAENDA0NwEAAAALLTE5NjA4NzQ4NjkDAAAAAzE2MAQAAAABMAcAAAAIMi83LzIwMjUIAAAACjEyLzMxLzIwMjQJAAAAATCOksOWgEfdCI6Sw5aAR90IIUNJUS5JUTIyNzUxLklRX0VCSVREQV9NQVJHSU4uMjAwMAEAAADfWAAAAgAAAAczOS45MTM2AQgAAAAFAAAAATEBAAAACy0xOTYxNTgyOTIxAwAAAAMxNjACAAAABDQwNDcEAAAAATAHAAAACDIvNy8yMDI1CAAAAAoxMi8zMS8yMDI0CQAAAAEwjpLDloBH3QiOksOWgEfdCCJDSVEuSVExNzcwMzEuSVFfRUJJVERBX01BUkdJTi4yMDAwAQAAAIezAgACAAAABzIzLjEwMjEBCAAAAAUAAAABMQEAAAALLTE5NjEyMTQ2NDgDAAAAAzE2MAIAAAAENDA0NwQAAAABMAcAAAAIMi83LzIwMjUIAAAACjEyLzMxLzIwMjQJAAAA</t>
  </si>
  <si>
    <t>ATCOksOWgEfdCI6Sw5aAR90IIUNJUS5JUTIyNDA1NTI4My5JUV9UT1RBTF9SRVYuMTAwMAEAAADzz1oNAgAAAAg1MzYxLjM5OAEIAAAABQAAAAExAQAAAAstMTk2MDk5Mjc1OQMAAAADMTYwAgAAAAIyOAQAAAABMAcAAAAIMi83LzIwMjUIAAAACjEyLzMxLzIwMjQJAAAAATCOksOWgEfdCI6Sw5aAR90IIUNJUS5JUTk3MTk5LklRX0NVUlJFTlRfUkFUSU8uMTAwMAEAAACvewEAAgAAAAgxLjAxMDMzNAEIAAAABQAAAAExAQAAAAstMTk2MTQ5Mzg0OAMAAAADMTYwAgAAAAQ0MDMwBAAAAAEwBwAAAAgyLzcvMjAyNQgAAAAKMTIvMzEvMjAyNAkAAAABMI6Sw5aAR90IjpLDloBH3QggQ0lRLklRMjA3NjU0NjMuSVFfVE9UQUxfUkVWLjEwMDABAAAAF9s8AQIAAAAGMTY0NTAxAQgAAAAFAAAAATEBAAAACy0xOTYxNDkxNzE4AwAAAAMxNjACAAAAAjI4BAAAAAEwBwAAAAgyLzcvMjAyNQgAAAAKMTIvMzEvMjAyNAkAAAABMI6Sw5aAR90IjpLDloBH3QgqQ0lRLklRMjI0MDU1MjgzLklRX1RPVEFMX0RFQlRfQ0FQSVRBTC4xMDAwAQAAAPPPWg0CAAAABzYzLjM5MjIBCAAAAAUAAAABMQEAAAALLTE5NjA5OTI3NTkDAAAAAzE2MAIAAAAENDE4NgQAAAABMAcAAAAIMi83LzIwMjUIAAAACjEyLzMxLzIwMjQJAAAAATCOksOWgEfdCI6Sw5aAR90IH0NJUS5JUTIxODM1LklRX1FVSUNLX1JBVElPLjEwMDABAAAAS1UAAAIA</t>
  </si>
  <si>
    <t>AAAIMS4xNDEwMjkBCAAAAAUAAAABMQEAAAALLTE5ODU5MzEyMDMDAAAAAzE2MAIAAAAENDEyMQQAAAABMAcAAAAIMi83LzIwMjUIAAAACTYvMzAvMjAyNAkAAAABMI6Sw5aAR90IjpLDloBH3QgnQ0lRLklRMjg1ODI3LklRX1RPVEFMX0RFQlRfQ0FQSVRBTC4xMDAwAQAAAINcBAACAAAABzc3LjE3OTIBCAAAAAUAAAABMQEAAAALLTE5NjE3MDA2MDYDAAAAAzE2MAIAAAAENDE4NgQAAAABMAcAAAAIMi83LzIwMjUIAAAACjEyLzMxLzIwMjQJAAAAATCOksOWgEfdCI6Sw5aAR90IJkNJUS5JUTM2MzI2My5JUV9UT1RBTF9ERUJUX0VRVUlUWS4xMDAwAQAAAP+KBQACAAAABjczLjAzOQEIAAAABQAAAAIyOQIAAAAENDAzNAEAAAALLTE5NjA4NzU2NjYDAAAAAzE2MAQAAAABMAcAAAAIMi83LzIwMjUIAAAACjEyLzMxLzIwMjQJAAAAATCOksOWgEfdCI6Sw5aAR90IHkNJUS5JUTE3NzAzMS5JUV9OSV9NQVJHSU4uMjAwMAEAAACHswIAAgAAAAcxNi45Mzk2AQgAAAAFAAAAATEBAAAACy0xOTYxMjE0NjQ4AwAAAAMxNjACAAAABDQwOTQEAAAAATAHAAAACDIvNy8yMDI1CAAAAAoxMi8zMS8yMDI0CQAAAAEwjpLDloBH3QiOksOWgEfdCCVDSVEuSVEyMjQwNTUyODMuSVFfRUJJVERBX01BUkdJTi4yMDAwAQAAAPPPWg0CAAAACC0xMC40ODcyAQgAAAAFAAAAATEBAAAACy0xOTYwOTkwMjM2AwAAAAMxNjACAAAABDQw</t>
  </si>
  <si>
    <t>NDcEAAAAATAHAAAACDIvNy8yMDI1CAAAAAoxMi8zMS8yMDI0CQAAAAEwjpLDloBH3QiOksOWgEfdCCZDSVEuSVEyMTgzNS5JUV9UT1RBTF9ERUJUX0NBUElUQUwuMTAwMAEAAABLVQAAAgAAAAcyNi43MTE1AQgAAAAFAAAAATEBAAAACy0xOTg1OTMxMjAzAwAAAAMxNjACAAAABDQxODYEAAAAATAHAAAACDIvNy8yMDI1CAAAAAk2LzMwLzIwMjQJAAAAATCOksOWgEfdCI6Sw5aAR90IIkNJUS5JUTE1OTIzMC5JUV9SRVRVUk5fRVFVSVRZLjIwMDABAAAA/m0CAAIAAAAGOC4xMjQ1AQgAAAAFAAAAATEBAAAACy0xOTYxMjAzODA0AwAAAAMxNjACAAAABDQxMjgEAAAAATAHAAAACDIvNy8yMDI1CAAAAAoxMi8zMS8yMDI0CQAAAAEwjpLDloBH3QiOksOWgEfdCB5DSVEuSVEyNjkyMzEuSVFfVE9UQUxfUkVWLjEwMDABAAAArxsEAAIAAAAFMTc0OTIBCAAAAAUAAAABMQEAAAALLTE5Njk1MTcwMTADAAAAAzE2MAIAAAACMjgEAAAAATAHAAAACDIvNy8yMDI1CAAAAAk5LzMwLzIwMjQJAAAAATCOksOWgEfdCI6Sw5aAR90IH0NJUS5JUTI4NTgyNy5JUV9FQklUREFfSU5ULjEwMDABAAAAg1wEAAIAAAAIOC4zNTMyODEBCAAAAAUAAAABMQEAAAALLTE5NjE3MDA2MDYDAAAAAzE2MAIAAAAENDE5MAQAAAABMAcAAAAIMi83LzIwMjUIAAAACjEyLzMxLzIwMjQJAAAAATCOksOWgEfdCI6Sw5aAR90IIkNJUS5JUTE3NzAz</t>
  </si>
  <si>
    <t>MS5JUV9DVVJSRU5UX1JBVElPLjEwMDABAAAAh7MCAAIAAAAIMS4wOTQyOTUBCAAAAAUAAAABMQEAAAALLTE5NjEyMTUyMDADAAAAAzE2MAIAAAAENDAzMAQAAAABMAcAAAAIMi83LzIwMjUIAAAACjEyLzMxLzIwMjQJAAAAATCOksOWgEfdCI6Sw5aAR90IIkNJUS5JUTE1OTIzMC5JUV9SRVRVUk5fQVNTRVRTLjIwMDABAAAA/m0CAAIAAAAGMy4yNTg0AQgAAAAFAAAAATEBAAAACy0xOTYxMjAzODA0AwAAAAMxNjACAAAABDQxNzgEAAAAATAHAAAACDIvNy8yMDI1CAAAAAoxMi8zMS8yMDI0CQAAAAEwjpLDloBH3QiOksOWgEfdCCZDSVEuSVEyNjkyMzEuSVFfVE9UQUxfREVCVF9FUVVJVFkuMTAwMAEAAACvGwQAAgAAAAczMC4zNzU1AQgAAAAFAAAAATEBAAAACy0xOTY5NTE3MDEwAwAAAAMxNjACAAAABDQwMzQEAAAAATAHAAAACDIvNy8yMDI1CAAAAAk5LzMwLzIwMjQJAAAAATCOksOWgEfdCI6Sw5aAR90IJ0NJUS5JUTEzNDA3NDAuSVFfVE9UQUxfREVCVF9FUVVJVFkuMTAwMAEAAABEdRQAAgAAAAgxNjIuMzAzNgEIAAAABQAAAAExAQAAAAstMTk2MDg4ODQ0MAMAAAADMTYwAgAAAAQ0MDM0BAAAAAEwBwAAAAgyLzcvMjAyNQgAAAAKMTIvMzEvMjAyNAkAAAABMI6Sw5aAR90IjpLDloBH3QgmQ0lRLklRMjg5MTk0LklRX1RPVEFMX0RFQlRfRVFVSVRZLjEwMDABAAAAqmkEAAIAAAAIMzUwLjc3MDQBCAAA</t>
  </si>
  <si>
    <t>AAUAAAABMQEAAAALLTE5NjA5Mzc5NzkDAAAAAzE2MAIAAAAENDAzNAQAAAABMAcAAAAIMi83LzIwMjUIAAAACjEyLzMxLzIwMjQJAAAAATCOksOWgEfdCI6Sw5aAR90IHUNJUS5JUTI4NTgyNy5JUV9FQklUX0lOVC4xMDAwAQAAAINcBAACAAAACDYuOTMxNDY3AQgAAAAFAAAAATEBAAAACy0xOTYxNzAwNjA2AwAAAAMxNjACAAAABDQxODkEAAAAATAHAAAACDIvNy8yMDI1CAAAAAoxMi8zMS8yMDI0CQAAAAEwjpLDloBH3QiOksOWgEfdCB1DSVEuSVEzNzA4NTcuSVFfRUJJVF9JTlQuMTAwMAEAAACpqAUAAwAAAAJOTQEIAAAABQAAAAExAQAAAAstMTk2MTIxODAyNAMAAAADMTYwAgAAAAQ0MTg5BAAAAAEwBwAAAAgyLzcvMjAyNQgAAAAKMTIvMzEvMjAyNAkAAAABMI6Sw5aAR90IjpLDloBH3QgnQ0lRLklRMzYzMjYzLklRX1RPVEFMX0RFQlRfQ0FQSVRBTC4xMDAwAQAAAP+KBQACAAAABzQyLjIwOTUBCAAAAAUAAAACMjkCAAAABDQxODYBAAAACy0xOTYwODc1NjY2AwAAAAMxNjAEAAAAATAHAAAACDIvNy8yMDI1CAAAAAoxMi8zMS8yMDI0CQAAAAEwjpLDloBH3QiOksOWgEfdCCVDSVEuSVEyODkxOTQuSVFfRUJJVERBX0NBUEVYX0lOVC4xMDAwAQAAAKppBAACAAAACDQuMDI2ODY4AQgAAAAFAAAAATEBAAAACy0xOTYwOTM3OTc5AwAAAAMxNjACAAAABDQxOTEEAAAAATAHAAAACDIvNy8yMDI1CAAAAAox</t>
  </si>
  <si>
    <t>Mi8zMS8yMDI0CQAAAAEwjpLDloBH3QiOksOWgEfdCCZDSVEuSVEyODU4MjcuSVFfVE9UQUxfREVCVF9FQklUREEuMTAwMAEAAACDXAQAAgAAAAgyLjQ3NDkyNAEIAAAABQAAAAExAQAAAAstMTk2MTcwMDYwNgMAAAADMTYwAgAAAAQ0MTkyBAAAAAEwBwAAAAgyLzcvMjAyNQgAAAAKMTIvMzEvMjAyNAkAAAABMI6Sw5aAR90IjpLDloBH3QgiQ0lRLklRMjc4Njc5LklRX0NVUlJFTlRfUkFUSU8uMTAwMAEAAACXQAQAAgAAAAgxLjM1MjQ4NgEIAAAABQAAAAExAQAAAAstMjAwNjMzMDE5NwMAAAADMTYwAgAAAAQ0MDMwBAAAAAEwBwAAAAgyLzcvMjAyNQgAAAAJMS8yOC8yMDI0CQAAAAEwjpLDloBH3QiOksOWgEfdCCdDSVEuSVEyMjQwNTUyODMuSVFfRUZGRUNUX1RBWF9SQVRFLjEwMDABAAAA889aDQMAAAACTk0BCAAAAAUAAAABMQEAAAALLTE5NjA5OTI3NTkDAAAAAzE2MAIAAAAENDM3NgQAAAABMAcAAAAIMi83LzIwMjUIAAAACjEyLzMxLzIwMjQJAAAAATCOksOWgEfdCI6Sw5aAR90IIENJUS5JUTM3MDg1Ny5JUV9RVUlDS19SQVRJTy4xMDAwAQAAAKmoBQACAAAACDAuMzg2MjA0AQgAAAAFAAAAATEBAAAACy0xOTYxMjE4MDI0AwAAAAMxNjACAAAABDQxMjEEAAAAATAHAAAACDIvNy8yMDI1CAAAAAoxMi8zMS8yMDI0CQAAAAEwjpLDloBH3QiOksOWgEfdCCNDSVEuSVEyNjkyMzEuSVFfRElMVVRfRVBT</t>
  </si>
  <si>
    <t>X0lOQ0wuMTAwMAEAAACvGwQAAgAAAAgzLjQyOTc1NgEIAAAABQAAAAExAQAAAAstMTk2OTUxNzAxMAMAAAADMTYwAgAAAAE4BAAAAAEwBwAAAAgyLzcvMjAyNQgAAAAJOS8zMC8yMDI0CQAAAAEwjpLDloBH3QiOksOWgEfdCCJDSVEuSVEyMTgzNS5JUV9ESUxVVF9FUFNfSU5DTC4xMDAwAQAAAEtVAAACAAAABDExLjgBCAAAAAUAAAABMQEAAAALLTE5ODU5MzEyMDMDAAAAAzE2MAIAAAABOAQAAAABMAcAAAAIMi83LzIwMjUIAAAACTYvMzAvMjAyNAkAAAABMI6Sw5aAR90IjpLDloBH3QgcQ0lRLklRMjI3NTEuSVFfRUJJVF9JTlQuMTAwMAEAAADfWAAAAgAAAAg3LjcwMzcwMwEIAAAABQAAAAExAQAAAAstMTk2MTU4MzU5NgMAAAADMTYwAgAAAAQ0MTg5BAAAAAEwBwAAAAgyLzcvMjAyNQgAAAAKMTIvMzEvMjAyNAkAAAABMI6Sw5aAR90IjpLDloBH3QgkQ0lRLklRMjA3NjU0NjMuSVFfUkVUVVJOX0FTU0VUUy4yMDAwAQAAABfbPAECAAAABzE3LjI0NjQBCAAAAAUAAAABMQEAAAALLTE5NjE0ODk3MDkDAAAAAzE2MAIAAAAENDE3OAQAAAABMAcAAAAIMi83LzIwMjUIAAAACjEyLzMxLzIwMjQJAAAAATCOksOWgEfdCI6Sw5aAR90IH0NJUS5JUTI5MDk2LklRX1FVSUNLX1JBVElPLjEwMDABAAAAqHEAAAIAAAAIMS42NjA2MTEBCAAAAAUAAAABMQEAAAALLTE5NjA5OTI3MDADAAAAAzE2MAIAAAAENDEyMQQA</t>
  </si>
  <si>
    <t>AAABMAcAAAAIMi83LzIwMjUIAAAACjEyLzMxLzIwMjQJAAAAATCOksOWgEfdCI6Sw5aAR90IJkNJUS5JUTIyNzUxLklRX1RPVEFMX0RFQlRfQ0FQSVRBTC4xMDAwAQAAAN9YAAACAAAABzI4Ljc3NjIBCAAAAAUAAAABMQEAAAALLTE5NjE1ODM1OTYDAAAAAzE2MAIAAAAENDE4NgQAAAABMAcAAAAIMi83LzIwMjUIAAAACjEyLzMxLzIwMjQJAAAAATCOksOWgEfdCI6Sw5aAR90IIkNJUS5JUTIyNzUxLklRX0RJTFVUX0VQU19JTkNMLjEwMDABAAAA31gAAAIAAAAFMTQuMzUBCAAAAAUAAAABMQEAAAALLTE5NjE1ODM1OTYDAAAAAzE2MAIAAAABOAQAAAABMAcAAAAIMi83LzIwMjUIAAAACjEyLzMxLzIwMjQJAAAAATCOksOWgEfdCI6Sw5aAR90IHkNJUS5JUTI2OTIzMS5JUV9OSV9NQVJHSU4uMjAwMAEAAACvGwQAAgAAAAcxMy43Mzc4AQgAAAAFAAAAATEBAAAACy0xOTYxMDMwOTEzAwAAAAMxNjACAAAABDQwOTQEAAAAATAHAAAACDIvNy8yMDI1CAAAAAoxMi8zMS8yMDI0CQAAAAEwjpLDloBH3QiOksOWgEfdCCJDSVEuSVEyODU4MjcuSVFfUkVUVVJOX0VRVUlUWS4yMDAwAQAAAINcBAACAAAABzgxLjA0NDkBCAAAAAUAAAABMQEAAAALLTE5NjE3MDAzOTkDAAAAAzE2MAIAAAAENDEyOAQAAAABMAcAAAAIMi83LzIwMjUIAAAACjEyLzMxLzIwMjQJAAAAATCOksOWgEfdCI6Sw5aAR90IIENJUS5JUTE3NzAz</t>
  </si>
  <si>
    <t>MS5JUV9RVUlDS19SQVRJTy4xMDAwAQAAAIezAgACAAAACDAuNzY4Njk2AQgAAAAFAAAAATEBAAAACy0xOTYxMjE1MjAwAwAAAAMxNjACAAAABDQxMjEEAAAAATAHAAAACDIvNy8yMDI1CAAAAAoxMi8zMS8yMDI0CQAAAAEwjpLDloBH3QiOksOWgEfdCCVDSVEuSVEyNzg2NzkuSVFfRUJJVERBX0NBUEVYX0lOVC4xMDAwAQAAAJdABAACAAAACTEyLjEyMzAwNQEIAAAABQAAAAExAQAAAAstMjAwNjMzMDE5NwMAAAADMTYwAgAAAAQ0MTkxBAAAAAEwBwAAAAgyLzcvMjAyNQgAAAAJMS8yOC8yMDI0CQAAAAEwjpLDloBH3QiOksOWgEfdCCJDSVEuSVEyNjkyMzEuSVFfQ1VSUkVOVF9SQVRJTy4xMDAwAQAAAK8bBAACAAAACDEuNzc0OTkxAQgAAAAFAAAAATEBAAAACy0xOTY5NTE3MDEwAwAAAAMxNjACAAAABDQwMzAEAAAAATAHAAAACDIvNy8yMDI1CAAAAAk5LzMwLzIwMjQJAAAAATCOksOWgEfdCI6Sw5aAR90IIkNJUS5JUTI4NTgyNy5JUV9SRVRVUk5fQVNTRVRTLjIwMDABAAAAg1wEAAIAAAAGOC4zMDU3AQgAAAAFAAAAATEBAAAACy0xOTYxNzAwMzk5AwAAAAMxNjACAAAABDQxNzgEAAAAATAHAAAACDIvNy8yMDI1CAAAAAoxMi8zMS8yMDI0CQAAAAEwjpLDloBH3QiOksOWgEfdCCJDSVEuSVExNzcwMzEuSVFfUkVUVVJOX0VRVUlUWS4yMDAwAQAAAIezAgACAAAABzI3LjY0MzcBCAAAAAUAAAABMQEAAAAL</t>
  </si>
  <si>
    <t>LTE5NjEyMTQ2NDgDAAAAAzE2MAIAAAAENDEyOAQAAAABMAcAAAAIMi83LzIwMjUIAAAACjEyLzMxLzIwMjQJAAAAATCOksOWgEfdCI6Sw5aAR90IHUNJUS5JUTI3ODY3OS5JUV9FQklUX0lOVC4xMDAwAQAAAJdABAACAAAACTExLjE2MjYzNQEIAAAABQAAAAExAQAAAAstMjAwNjMzMDE5NwMAAAADMTYwAgAAAAQ0MTg5BAAAAAEwBwAAAAgyLzcvMjAyNQgAAAAJMS8yOC8yMDI0CQAAAAEwjpLDloBH3QiOksOWgEfdCCRDSVEuSVE5NzE5OS5JUV9FQklUREFfQ0FQRVhfSU5ULjEwMDABAAAAr3sBAAIAAAAIOC45MjQzMTUBCAAAAAUAAAABMQEAAAALLTE5NjE0OTM4NDgDAAAAAzE2MAIAAAAENDE5MQQAAAABMAcAAAAIMi83LzIwMjUIAAAACjEyLzMxLzIwMjQJAAAAATCOksOWgEfdCI6Sw5aAR90IJUNJUS5JUTM2MzI2My5JUV9FQklUREFfQ0FQRVhfSU5ULjEwMDABAAAA/4oFAAIAAAAINy45MTU3ODkBCAAAAAUAAAACMjkCAAAABDQxOTEBAAAACy0xOTYwODc1NjY2AwAAAAMxNjAEAAAAATAHAAAACDIvNy8yMDI1CAAAAAoxMi8zMS8yMDI0CQAAAAEwjpLDloBH3QiOksOWgEfdCCVDSVEuSVExNTkyMzAuSVFfRUJJVERBX0NBUEVYX0lOVC4xMDAwAQAAAP5tAgACAAAACDUuMzkzOTA4AQgAAAAFAAAAATEBAAAACy0xOTYxMjA0MTY0AwAAAAMxNjACAAAABDQxOTEEAAAAATAHAAAACDIvNy8yMDI1CAAAAAox</t>
  </si>
  <si>
    <t>Mi8zMS8yMDI0CQAAAAEwjpLDloBH3QiOksOWgEfdCB1DSVEuSVE5NzE5OS5JUV9UT1RBTF9SRVYuMTAwMAEAAACvewEAAgAAAAU0MTAzMwEIAAAABQAAAAExAQAAAAstMTk2MTQ5Mzg0OAMAAAADMTYwAgAAAAIyOAQAAAABMAcAAAAIMi83LzIwMjUIAAAACjEyLzMxLzIwMjQJAAAAATCOksOWgEfdCI6Sw5aAR90IKUNJUS5JUTIyNDA1NTI4My5JUV9UT1RBTF9ERUJUX0VCSVREQS4xMDAwAQAAAPPPWg0DAAAAAk5NAQgAAAAFAAAAATEBAAAACy0xOTYwOTkyNzU5AwAAAAMxNjACAAAABDQxOTIEAAAAATAHAAAACDIvNy8yMDI1CAAAAAoxMi8zMS8yMDI0CQAAAAEwjpLDloBH3QiOksOWgEfdCChDSVEuSVEyMDc2NTQ2My5JUV9UT1RBTF9ERUJUX0VCSVREQS4xMDAwAQAAABfbPAECAAAACDAuNTYyNTUyAQgAAAAFAAAAATEBAAAACy0xOTYxNDkxNzE4AwAAAAMxNjACAAAABDQxOTIEAAAAATAHAAAACDIvNy8yMDI1CAAAAAoxMi8zMS8yMDI0CQAAAAEwjpLDloBH3QiOksOWgEfdCB5DSVEuSVEzNjMyNjMuSVFfTklfTUFSR0lOLjIwMDABAAAA/4oFAAIAAAAFNC43NjgBCAAAAAUAAAACMjkCAAAABDQwOTQBAAAACy0xOTYwODc0ODY5AwAAAAMxNjAEAAAAATAHAAAACDIvNy8yMDI1CAAAAAoxMi8zMS8yMDI0CQAAAAEwjpLDloBH3QiOksOWgEfdCCRDSVEuSVEyMjc1MS5JUV9FQklUREFfQ0FQRVhfSU5ULjEw</t>
  </si>
  <si>
    <t>MDABAAAA31gAAAIAAAAJMTAuNTg0ODc2AQgAAAAFAAAAATEBAAAACy0xOTYxNTgzNTk2AwAAAAMxNjACAAAABDQxOTEEAAAAATAHAAAACDIvNy8yMDI1CAAAAAoxMi8zMS8yMDI0CQAAAAEwjpLDloBH3QiOksOWgEfdCCVDSVEuSVEyMTgzNS5JUV9UT1RBTF9ERUJUX0VRVUlUWS4xMDAwAQAAAEtVAAACAAAABjM2LjQ0NwEIAAAABQAAAAExAQAAAAstMTk4NTkzMTIwMwMAAAADMTYwAgAAAAQ0MDM0BAAAAAEwBwAAAAgyLzcvMjAyNQgAAAAJNi8zMC8yMDI0CQAAAAEwjpLDloBH3QiOksOWgEfdCCRDSVEuSVEyODkxOTQuSVFfRUZGRUNUX1RBWF9SQVRFLjEwMDABAAAAqmkEAAIAAAAHMTYuNjUyOAEIAAAABQAAAAExAQAAAAstMTk2MDkzNzk3OQMAAAADMTYwAgAAAAQ0Mzc2BAAAAAEwBwAAAAgyLzcvMjAyNQgAAAAKMTIvMzEvMjAyNAkAAAABMI6Sw5aAR90IjpLDloBH3QglQ0lRLklRMjI0MDU1MjgzLklRX0NVUlJFTlRfUkFUSU8uMTAwMAEAAADzz1oNAgAAAAgzLjk0NTc3MgEIAAAABQAAAAExAQAAAAstMTk2MDk5Mjc1OQMAAAADMTYwAgAAAAQ0MDMwBAAAAAEwBwAAAAgyLzcvMjAyNQgAAAAKMTIvMzEvMjAyNAkAAAABMI6Sw5aAR90IjpLDloBH3QgiQ0lRLklRMTc3MDMxLklRX1JFVFVSTl9BU1NFVFMuMjAwMAEAAACHswIAAgAAAAYzLjI3MDgBCAAAAAUAAAABMQEAAAALLTE5NjEyMTQ2NDgDAAAA</t>
  </si>
  <si>
    <t>AzE2MAIAAAAENDE3OAQAAAABMAcAAAAIMi83LzIwMjUIAAAACjEyLzMxLzIwMjQJAAAAATCOksOWgEfdCI6Sw5aAR90IH0NJUS5JUTI3ODY3OS5JUV9FQklUREFfSU5ULjEwMDABAAAAl0AEAAIAAAAJMTMuNzgzMzI0AQgAAAAFAAAAATEBAAAACy0yMDA2MzMwMTk3AwAAAAMxNjACAAAABDQxOTAEAAAAATAHAAAACDIvNy8yMDI1CAAAAAkxLzI4LzIwMjQJAAAAATCOksOWgEfdCI6Sw5aAR90IIUNJUS5JUTI5MDk2LklRX1JFVFVSTl9FUVVJVFkuMjAwMAEAAACocQAAAgAAAAczMi45MDg0AQgAAAAFAAAAATEBAAAACy0xOTYwOTkwMjM5AwAAAAMxNjACAAAABDQxMjgEAAAAATAHAAAACDIvNy8yMDI1CAAAAAoxMi8zMS8yMDI0CQAAAAEwjpLDloBH3QiOksOWgEfdCChDSVEuSVExMzQwNzQwLklRX1RPVEFMX0RFQlRfQ0FQSVRBTC4xMDAwAQAAAER1FAACAAAABzYxLjg3NjIBCAAAAAUAAAABMQEAAAALLTE5NjA4ODg0NDADAAAAAzE2MAIAAAAENDE4NgQAAAABMAcAAAAIMi83LzIwMjUIAAAACjEyLzMxLzIwMjQJAAAAATCOksOWgEfdCI6Sw5aAR90IJkNJUS5JUTM3MDg1Ny5JUV9UT1RBTF9ERUJUX0VRVUlUWS4xMDAwAQAAAKmoBQADAAAAAk5NAQgAAAAFAAAAATEBAAAACy0xOTYxMjE4MDI0AwAAAAMxNjACAAAABDQwMzQEAAAAATAHAAAACDIvNy8yMDI1CAAAAAoxMi8zMS8yMDI0CQAAAAEwjpLDloBH</t>
  </si>
  <si>
    <t>3QiOksOWgEfdCCJDSVEuSVEyNzg2NzkuSVFfUkVUVVJOX0VRVUlUWS4yMDAwAQAAAJdABAACAAAACDQwNC45MzM0AQgAAAAFAAAAATEBAAAACy0xOTY3NTk3MDc5AwAAAAMxNjACAAAABDQxMjgEAAAAATAHAAAACDIvNy8yMDI1CAAAAAoxMC8yNy8yMDI0CQAAAAEwjpLDloBH3QiOksOWgEfdCCJDSVEuSVEzNjMyNjMuSVFfQ1VSUkVOVF9SQVRJTy4xMDAwAQAAAP+KBQACAAAACDEuMDc5MjM3AQgAAAAFAAAAAjI5AgAAAAQ0MDMwAQAAAAstMTk2MDg3NTY2NgMAAAADMTYwBAAAAAEwBwAAAAgyLzcvMjAyNQgAAAAKMTIvMzEvMjAyNAkAAAABMI6Sw5aAR90IjpLDloBH3QgjQ0lRLklRMTU5MjMwLklRX0RJTFVUX0VQU19JTkNMLjEwMDABAAAA/m0CAAIAAAAEMy41NQEIAAAABQAAAAExAQAAAAstMTk2MTIwNDE2NAMAAAADMTYwAgAAAAE4BAAAAAEwBwAAAAgyLzcvMjAyNQgAAAAKMTIvMzEvMjAyNAkAAAABMI6Sw5aAR90IjpLDloBH3QgdQ0lRLklRMjI3NTEuSVFfVE9UQUxfUkVWLjEwMDABAAAA31gAAAIAAAAGNzAzOS4yAQgAAAAFAAAAATEBAAAACy0xOTYxNTgzNTk2AwAAAAMxNjACAAAAAjI4BAAAAAEwBwAAAAgyLzcvMjAyNQgAAAAKMTIvMzEvMjAyNAkAAAABMI6Sw5aAR90IjpLDloBH3QghQ0lRLklRMjE4MzUuSVFfRUJJVERBX01BUkdJTi4yMDAwAQAAAEtVAAACAAAABzU0LjI1NTEBCAAAAAUA</t>
  </si>
  <si>
    <t>AAABMQEAAAALLTE5NjE2NjY0NzADAAAAAzE2MAIAAAAENDA0NwQAAAABMAcAAAAIMi83LzIwMjUIAAAACjEyLzMxLzIwMjQJAAAAATCOksOWgEfdCI6Sw5aAR90IHUNJUS5JUTE3NzAzMS5JUV9FQklUX0lOVC4xMDAwAQAAAIezAgACAAAACDcuODY3MTM5AQgAAAAFAAAAATEBAAAACy0xOTYxMjE1MjAwAwAAAAMxNjACAAAABDQxODkEAAAAATAHAAAACDIvNy8yMDI1CAAAAAoxMi8zMS8yMDI0CQAAAAEwjpLDloBH3QiOksOWgEfdCCBDSVEuSVEyNjkyMzEuSVFfUVVJQ0tfUkFUSU8uMTAwMAEAAACvGwQAAgAAAAgxLjMyMjcwOQEIAAAABQAAAAExAQAAAAstMTk2OTUxNzAxMAMAAAADMTYwAgAAAAQ0MTIxBAAAAAEwBwAAAAgyLzcvMjAyNQgAAAAJOS8zMC8yMDI0CQAAAAEwjpLDloBH3QiOksOWgEfdCChDSVEuSVEyMjQwNTUyODMuSVFfRUJJVERBX0NBUEVYX0lOVC4xMDAwAQAAAPPPWg0DAAAAAk5NAQgAAAAFAAAAATEBAAAACy0xOTYwOTkyNzU5AwAAAAMxNjACAAAABDQxOTEEAAAAATAHAAAACDIvNy8yMDI1CAAAAAoxMi8zMS8yMDI0CQAAAAEwjpLDloBH3QiOksOWgEfdCCdDSVEuSVEyNzg2NzkuSVFfVE9UQUxfREVCVF9DQVBJVEFMLjEwMDABAAAAl0AEAAIAAAAHOTguMDcxOAEIAAAABQAAAAExAQAAAAstMjAwNjMzMDE5NwMAAAADMTYwAgAAAAQ0MTg2BAAAAAEwBwAAAAgyLzcvMjAyNQgAAAAJ</t>
  </si>
  <si>
    <t>MS8yOC8yMDI0CQAAAAEwjpLDloBH3QiOksOWgEfdCCJDSVEuSVEyNjkyMzEuSVFfUkVUVVJOX0VRVUlUWS4yMDAwAQAAAK8bBAACAAAABjcuNzAzOQEIAAAABQAAAAExAQAAAAstMTk2MTAzMDkxMwMAAAADMTYwAgAAAAQ0MTI4BAAAAAEwBwAAAAgyLzcvMjAyNQgAAAAKMTIvMzEvMjAyNAkAAAABMI6Sw5aAR90IjpLDloBH3QggQ0lRLklRMjI0MDU1MjgzLklRX0VCSVRfSU5ULjEwMDABAAAA889aDQMAAAACTk0BCAAAAAUAAAABMQEAAAALLTE5NjA5OTI3NTkDAAAAAzE2MAIAAAAENDE4OQQAAAABMAcAAAAIMi83LzIwMjUIAAAACjEyLzMxLzIwMjQJAAAAATCOksOWgEfdCI6Sw5aAR90IH0NJUS5JUTM3MDg1Ny5JUV9FQklUREFfSU5ULjEwMDABAAAAqagFAAMAAAACTk0BCAAAAAUAAAABMQEAAAALLTE5NjEyMTgwMjQDAAAAAzE2MAIAAAAENDE5MAQAAAABMAcAAAAIMi83LzIwMjUIAAAACjEyLzMxLzIwMjQJAAAAATCOksOWgEfdCI6Sw5aAR90II0NJUS5JUTk3MTk5LklRX0VGRkVDVF9UQVhfUkFURS4xMDAwAQAAAK97AQACAAAABzE2Ljc4NjIBCAAAAAUAAAABMQEAAAALLTE5NjE0OTM4NDgDAAAAAzE2MAIAAAAENDM3NgQAAAABMAcAAAAIMi83LzIwMjUIAAAACjEyLzMxLzIwMjQJAAAAATCOksOWgEfdCI6Sw5aAR90IJENJUS5JUTM2MzI2My5JUV9FRkZFQ1RfVEFYX1JBVEUuMTAwMAEAAAD/igUA</t>
  </si>
  <si>
    <t>AgAAAAcxNC40NjM0AQgAAAAFAAAAAjI5AgAAAAQ0Mzc2AQAAAAstMTk2MDg3NTY2NgMAAAADMTYwBAAAAAEwBwAAAAgyLzcvMjAyNQgAAAAKMTIvMzEvMjAyNAkAAAABMI6Sw5aAR90IjpLDloBH3QgkQ0lRLklRMTU5MjMwLklRX0VGRkVDVF9UQVhfUkFURS4xMDAwAQAAAP5tAgACAAAABzE5LjA2NjgBCAAAAAUAAAABMQEAAAALLTE5NjEyMDQxNjQDAAAAAzE2MAIAAAAENDM3NgQAAAABMAcAAAAIMi83LzIwMjUIAAAACjEyLzMxLzIwMjQJAAAAATCOksOWgEfdCI6Sw5aAR90IHkNJUS5JUTM3MDg1Ny5JUV9UT1RBTF9SRVYuMTAwMAEAAACpqAUAAgAAAAU2NjUxNwEIAAAABQAAAAExAQAAAAstMTk2MTIxODAyNAMAAAADMTYwAgAAAAIyOAQAAAABMAcAAAAIMi83LzIwMjUIAAAACjEyLzMxLzIwMjQJAAAAATCOksOWgEfdCI6Sw5aAR90IH0NJUS5JUTI2OTIzMS5JUV9FQklUREFfSU5ULjEwMDABAAAArxsEAAIAAAAJMTUuMDQzMzQzAQgAAAAFAAAAATEBAAAACy0xOTY5NTE3MDEwAwAAAAMxNjACAAAABDQxOTAEAAAAATAHAAAACDIvNy8yMDI1CAAAAAk5LzMwLzIwMjQJAAAAATCOksOWgEfdCI6Sw5aAR90IIENJUS5JUTEzNDA3NDAuSVFfRUJJVERBX0lOVC4xMDAwAQAAAER1FAACAAAACDguNTAwOTQ1AQgAAAAFAAAAATEBAAAACy0xOTYwODg4NDQwAwAAAAMxNjACAAAABDQxOTAEAAAAATAHAAAACDIv</t>
  </si>
  <si>
    <t>Ny8yMDI1CAAAAAoxMi8zMS8yMDI0CQAAAAEwjpLDloBH3QiOksOWgEfdCB9DSVEuSVEyODkxOTQuSVFfRUJJVERBX0lOVC4xMDAwAQAAAKppBAACAAAACDUuMDE4NDcxAQgAAAAFAAAAATEBAAAACy0xOTYwOTM3OTc5AwAAAAMxNjACAAAABDQxOTAEAAAAATAHAAAACDIvNy8yMDI1CAAAAAoxMi8zMS8yMDI0CQAAAAEwjpLDloBH3QiOksOWgEfdCCNDSVEuSVEyMjc1MS5JUV9FRkZFQ1RfVEFYX1JBVEUuMTAwMAEAAADfWAAAAgAAAAcyMS4yNDMzAQgAAAAFAAAAATEBAAAACy0xOTYxNTgzNTk2AwAAAAMxNjACAAAABDQzNzYEAAAAATAHAAAACDIvNy8yMDI1CAAAAAoxMi8zMS8yMDI0CQAAAAEwjpLDloBH3QiOksOWgEfdCCdDSVEuSVExNTkyMzAuSVFfVE9UQUxfREVCVF9DQVBJVEFMLjEwMDABAAAA/m0CAAIAAAAHNDEuMTE0NgEIAAAABQAAAAExAQAAAAstMTk2MTIwNDE2NAMAAAADMTYwAgAAAAQ0MTg2BAAAAAEwBwAAAAgyLzcvMjAyNQgAAAAKMTIvMzEvMjAyNAkAAAABMI6Sw5aAR90IjpLDloBH3QgiQ0lRLklRMjY5MjMxLklRX1JFVFVSTl9BU1NFVFMuMjAwMAEAAACvGwQAAgAAAAY0LjQ0NzUBCAAAAAUAAAABMQEAAAALLTE5NjEwMzA5MTMDAAAAAzE2MAIAAAAENDE3OAQAAAABMAcAAAAIMi83LzIwMjUIAAAACjEyLzMxLzIwMjQJAAAAATCOksOWgEfdCI6Sw5aAR90IIkNJUS5JUTIyNDA1NTI4</t>
  </si>
  <si>
    <t>My5JUV9FQklUREFfSU5ULjEwMDABAAAA889aDQMAAAACTk0BCAAAAAUAAAABMQEAAAALLTE5NjA5OTI3NTkDAAAAAzE2MAIAAAAENDE5MAQAAAABMAcAAAAIMi83LzIwMjUIAAAACjEyLzMxLzIwMjQJAAAAATCOksOWgEfdCI6Sw5aAR90IJkNJUS5JUTM3MDg1Ny5JUV9UT1RBTF9ERUJUX0VCSVREQS4xMDAwAQAAAKmoBQADAAAAAk5NAQgAAAAFAAAAATEBAAAACy0xOTYxMjE4MDI0AwAAAAMxNjACAAAABDQxOTIEAAAAATAHAAAACDIvNy8yMDI1CAAAAAoxMi8zMS8yMDI0CQAAAAEwjpLDloBH3QiOksOWgEfdCCNDSVEuSVEyOTA5Ni5JUV9FRkZFQ1RfVEFYX1JBVEUuMTAwMAEAAACocQAAAgAAAAcxNi40Mzk1AQgAAAAFAAAAATEBAAAACy0xOTYwOTkyNzAwAwAAAAMxNjACAAAABDQzNzYEAAAAATAHAAAACDIvNy8yMDI1CAAAAAoxMi8zMS8yMDI0CQAAAAEwjpLDloBH3QiOksOWgEfdCCBDSVEuSVEzNjMyNjMuSVFfUVVJQ0tfUkFUSU8uMTAwMAEAAAD/igUAAgAAAAgwLjk3OTYwNQEIAAAABQAAAAIyOQIAAAAENDEyMQEAAAALLTE5NjA4NzU2NjYDAAAAAzE2MAQAAAABMAcAAAAIMi83LzIwMjUIAAAACjEyLzMxLzIwMjQJAAAAATCOksOWgEfdCI6Sw5aAR90IJENJUS5JUTI3ODY3OS5JUV9FRkZFQ1RfVEFYX1JBVEUuMTAwMAEAAACXQAQAAgAAAAcyMy45OTYxAQgAAAAFAAAAATEBAAAACy0yMDA2MzMw</t>
  </si>
  <si>
    <t>MTk3AwAAAAMxNjACAAAABDQzNzYEAAAAATAHAAAACDIvNy8yMDI1CAAAAAkxLzI4LzIwMjQJAAAAATCOksOWgEfdCI6Sw5aAR90IIkNJUS5JUTI5MDk2LklRX0RJTFVUX0VQU19JTkNMLjEwMDABAAAAqHEAAAIAAAAIOC4wNDM1NDQBCAAAAAUAAAABMQEAAAALLTE5NjA5OTI3MDADAAAAAzE2MAIAAAABOAQAAAABMAcAAAAIMi83LzIwMjUIAAAACjEyLzMxLzIwMjQJAAAAATCOksOWgEfdCI6Sw5aAR90IH0NJUS5JUTEzNDA3NDAuSVFfTklfTUFSR0lOLjIwMDABAAAARHUUAAIAAAAHMTQuODE4OQEIAAAABQAAAAExAQAAAAstMTk2MDg4NzExNwMAAAADMTYwAgAAAAQ0MDk0BAAAAAEwBwAAAAgyLzcvMjAyNQgAAAAKMTIvMzEvMjAyNAkAAAABMI6Sw5aAR90IjpLDloBH3QgeQ0lRLklRMjc4Njc5LklRX05JX01BUkdJTi4yMDAwAQAAAJdABAACAAAABjkuNDUwNAEIAAAABQAAAAExAQAAAAstMTk2NzU5NzA3OQMAAAADMTYwAgAAAAQ0MDk0BAAAAAEwBwAAAAgyLzcvMjAyNQgAAAAKMTAvMjcvMjAyNAkAAAABMI6Sw5aAR90IjpLDloBH3QgiQ0lRLklRMjc4Njc5LklRX0VCSVREQV9NQVJHSU4uMjAwMAEAAACXQAQAAgAAAAcxNi4wMTQ2AQgAAAAFAAAAATEBAAAACy0xOTY3NTk3MDc5AwAAAAMxNjACAAAABDQwNDcEAAAAATAHAAAACDIvNy8yMDI1CAAAAAoxMC8yNy8yMDI0CQAAAAEwjpLDloBH3QiOksOW</t>
  </si>
  <si>
    <t>gEfdCCZDSVEuSVEyNjkyMzEuSVFfVE9UQUxfREVCVF9FQklUREEuMTAwMAEAAACvGwQAAgAAAAgxLjcxOTY5NQEIAAAABQAAAAExAQAAAAstMTk2OTUxNzAxMAMAAAADMTYwAgAAAAQ0MTkyBAAAAAEwBwAAAAgyLzcvMjAyNQgAAAAJOS8zMC8yMDI0CQAAAAEwjpLDloBH3QiOksOWgEfdCCJDSVEuSVEyODU4MjcuSVFfRUJJVERBX01BUkdJTi4yMDAwAQAAAINcBAACAAAABzExLjgxNTMBCAAAAAUAAAABMQEAAAALLTE5NjE3MDAzOTkDAAAAAzE2MAIAAAAENDA0NwQAAAABMAcAAAAIMi83LzIwMjUIAAAACjEyLzMxLzIwMjQJAAAAATCOksOWgEfdCI6Sw5aAR90IHkNJUS5JUTI4OTE5NC5JUV9OSV9NQVJHSU4uMjAwMAEAAACqaQQAAgAAAAcxNi45ODA2AQgAAAAFAAAAATEBAAAACy0xOTYwOTM2OTc1AwAAAAMxNjACAAAABDQwOTQEAAAAATAHAAAACDIvNy8yMDI1CAAAAAoxMi8zMS8yMDI0CQAAAAEwjpLDloBH3QiOksOWgEfdCCZDSVEuSVExNzcwMzEuSVFfVE9UQUxfREVCVF9FQklUREEuMTAwMAEAAACHswIAAgAAAAcyLjE2MjU4AQgAAAAFAAAAATEBAAAACy0xOTYxMjE1MjAwAwAAAAMxNjACAAAABDQxOTIEAAAAATAHAAAACDIvNy8yMDI1CAAAAAoxMi8zMS8yMDI0CQAAAAEwjpLDloBH3QiOksOWgEfdCB5DSVEuSVExMzQwNzQwLklRX0VCSVRfSU5ULjEwMDABAAAARHUUAAIAAAAINy4yNDAwNzUB</t>
  </si>
  <si>
    <t>CAAAAAUAAAABMQEAAAALLTE5NjA4ODg0NDADAAAAAzE2MAIAAAAENDE4OQQAAAABMAcAAAAIMi83LzIwMjUIAAAACjEyLzMxLzIwMjQJAAAAATCOksOWgEfdCI6Sw5aAR90IIkNJUS5JUTM3MDg1Ny5JUV9SRVRVUk5fQVNTRVRTLjIwMDABAAAAqagFAAIAAAAHLTQuMzc3OQEIAAAABQAAAAExAQAAAAstMTk2MTIxNjYyMAMAAAADMTYwAgAAAAQ0MTc4BAAAAAEwBwAAAAgyLzcvMjAyNQgAAAAKMTIvMzEvMjAyNAkAAAABMCC5w5aAR90IILnDloBH3QgkQ0lRLklRMjA3NjU0NjMuSVFfUkVUVVJOX0VRVUlUWS4yMDAwAQAAABfbPAECAAAABzM3LjE0MDYBCAAAAAUAAAABMQEAAAALLTE5NjE0ODk3MDkDAAAAAzE2MAIAAAAENDEyOAQAAAABMAcAAAAIMi83LzIwMjUIAAAACjEyLzMxLzIwMjQJAAAAATAgucOWgEfdCCC5w5aAR90IHUNJUS5JUTI3ODY3OS5JUV9PUEVSX0lOQy4yMDAwAQAAAJdABAACAAAABTIxMTc0AQgAAAAFAAAAATEBAAAACy0xOTY3NTk3MDc5AwAAAAMxNjACAAAAAjIxBAAAAAEwBwAAAAgyLzcvMjAyNQgAAAAKMTAvMjcvMjAyNAkAAAABMCC5w5aAR90IILnDloBH3QgfQ0lRLklRMjc4Njc5LklRX1RPVEFMX0RFQlQuMjAwMAEAAACXQAQAAgAAAAU2NDEzMgEIAAAABQAAAAExAQAAAAstMTk2NzU5NzA3OQMAAAADMTYwAgAAAAQ0MTczBAAAAAEwBwAAAAgyLzcvMjAyNQgAAAAKMTAvMjcv</t>
  </si>
  <si>
    <t>MjAyNAkAAAABMCC5w5aAR90IILnDloBH3QghQ0lRLklRMjc4Njc5LklRX1RPVEFMX0VRVUlUWS4yMDAwAQAAAJdABAACAAAABDU3ODYBCAAAAAUAAAABMQEAAAALLTE5Njc1OTcwNzkDAAAAAzE2MAIAAAAEMTI3NQQAAAABMAcAAAAIMi83LzIwMjUIAAAACjEwLzI3LzIwMjQJAAAAATAgucOWgEfdCCC5w5aAR90IH0NJUS5JUTI3ODY3OS5JUV9DQVNIX0VRVUlWLjIwMDABAAAAl0AEAAIAAAAEMTUzMQEIAAAABQAAAAExAQAAAAstMTk2NzU5NzA3OQMAAAADMTYwAgAAAAQxMDk2BAAAAAEwBwAAAAgyLzcvMjAyNQgAAAAKMTAvMjcvMjAyNAkAAAABMCC5w5aAR90IILnDloBH3QgdQ0lRLklRMTgwODcxLklRX09QRVJfSU5DLjIwMDABAAAAh8ICAAIAAAAFMTAzMTkBCAAAAAUAAAABMQEAAAALLTE5NjYwOTk1NDMDAAAAAzE2MAIAAAACMjEEAAAAATAHAAAACDIvNy8yMDI1CAAAAAkxMS8xLzIwMjQJAAAAATAgucOWgEfdCCC5w5aAR90IH0NJUS5JUTE4MDg3MS5JUV9UT1RBTF9ERUJULjIwMDABAAAAh8ICAAIAAAAFMzk3NzcBCAAAAAUAAAABMQEAAAALLTE5NjYwOTk1NDMDAAAAAzE2MAIAAAAENDE3MwQAAAABMAcAAAAIMi83LzIwMjUIAAAACTExLzEvMjAyNAkAAAABMCC5w5aAR90IILnDloBH3QghQ0lRLklRMTgwODcxLklRX1RPVEFMX0VRVUlUWS4yMDAwAQAAAIfCAgACAAAABi0xMzQxOQEIAAAABQAA</t>
  </si>
  <si>
    <t>AAExAQAAAAstMTk2NjA5OTU0MwMAAAADMTYwAgAAAAQxMjc1BAAAAAEwBwAAAAgyLzcvMjAyNQgAAAAJMTEvMS8yMDI0CQAAAAEwILnDloBH3QggucOWgEfdCB9DSVEuSVExODA4NzEuSVFfQ0FTSF9FUVVJVi4yMDAwAQAAAIfCAgACAAAABDMyNzEBCAAAAAUAAAABMQEAAAALLTE5NjYwOTk1NDMDAAAAAzE2MAIAAAAEMTA5NgQAAAABMAcAAAAIMi83LzIwMjUIAAAACTExLzEvMjAyNAkAAAABMCC5w5aAR90IILnDloBH3QgfQ0lRLklRMjA3NjU0NjMuSVFfT1BFUl9JTkMuMjAwMAEAAAAX2zwBAgAAAAU2OTc2OQEIAAAABQAAAAExAQAAAAstMTk2MTQ4OTcwOQMAAAADMTYwAgAAAAIyMQQAAAABMAcAAAAIMi83LzIwMjUIAAAACjEyLzMxLzIwMjQJAAAAATAgucOWgEfdCCC5w5aAR90IIUNJUS5JUTIwNzY1NDYzLklRX1RPVEFMX0RFQlQuMjAwMAEAAAAX2zwBAgAAAAU0OTc2OQEIAAAABQAAAAExAQAAAAstMTk2MTQ4OTcwOQMAAAADMTYwAgAAAAQ0MTczBAAAAAEwBwAAAAgyLzcvMjAyNQgAAAAKMTIvMzEvMjAyNAkAAAABMCC5w5aAR90IILnDloBH3QgjQ0lRLklRMjA3NjU0NjMuSVFfVE9UQUxfRVFVSVRZLjIwMDABAAAAF9s8AQIAAAAGMTgyNjM3AQgAAAAFAAAAATEBAAAACy0xOTYxNDg5NzA5AwAAAAMxNjACAAAABDEyNzUEAAAAATAHAAAACDIvNy8yMDI1CAAAAAoxMi8zMS8yMDI0CQAAAAEwILnD</t>
  </si>
  <si>
    <t>loBH3QggucOWgEfdCCFDSVEuSVEyMDc2NTQ2My5JUV9DQVNIX0VRVUlWLjIwMDABAAAAF9s8AQIAAAAFNDM4ODkBCAAAAAUAAAABMQEAAAALLTE5NjE0ODk3MDkDAAAAAzE2MAIAAAAEMTA5NgQAAAABMAcAAAAIMi83LzIwMjUIAAAACjEyLzMxLzIwMjQJAAAAATAgucOWgEfdCCC5w5aAR90IHENJUS5JUTI5MDk2LklRX09QRVJfSU5DLjIwMDABAAAAqHEAAAIAAAAGMTEyMzkwAQgAAAAFAAAAATEBAAAACy0xOTYwOTkwMjM5AwAAAAMxNjACAAAAAjIxBAAAAAEwBwAAAAgyLzcvMjAyNQgAAAAKMTIvMzEvMjAyNAkAAAABMCC5w5aAR90IILnDloBH3QgeQ0lRLklRMjkwOTYuSVFfVE9UQUxfREVCVC4yMDAwAQAAAKhxAAACAAAABTI4MTM3AQgAAAAFAAAAATEBAAAACy0xOTYwOTkwMjM5AwAAAAMxNjACAAAABDQxNzMEAAAAATAHAAAACDIvNy8yMDI1CAAAAAoxMi8zMS8yMDI0CQAAAAEwILnDloBH3QggucOWgEfdCCBDSVEuSVEyOTA5Ni5JUV9UT1RBTF9FUVVJVFkuMjAwMAEAAACocQAAAgAAAAYzMjUwODQBCAAAAAUAAAABMQEAAAALLTE5NjA5OTAyMzkDAAAAAzE2MAIAAAAEMTI3NQQAAAABMAcAAAAIMi83LzIwMjUIAAAACjEyLzMxLzIwMjQJAAAAATAgucOWgEfdCCC5w5aAR90IHkNJUS5JUTI5MDk2LklRX0NBU0hfRVFVSVYuMjAwMAEAAACocQAAAgAAAAUyMzQ2NgEIAAAABQAAAAExAQAAAAstMTk2</t>
  </si>
  <si>
    <t>MDk5MDIzOQMAAAADMTYwAgAAAAQxMDk2BAAAAAEwBwAAAAgyLzcvMjAyNQgAAAAKMTIvMzEvMjAyNAkAAAABMCC5w5aAR90IILnDloBH3QgeQ0lRLklRMTM0MDc0MC5JUV9PUEVSX0lOQy4yMDAwAQAAAER1FAACAAAABDc2NjABCAAAAAUAAAABMQEAAAALLTE5NjA4ODcxMTcDAAAAAzE2MAIAAAACMjEEAAAAATAHAAAACDIvNy8yMDI1CAAAAAoxMi8zMS8yMDI0CQAAAAEwILnDloBH3QggucOWgEfdCCBDSVEuSVExMzQwNzQwLklRX1RPVEFMX0RFQlQuMjAwMAEAAABEdRQAAgAAAAUzMTA5OQEIAAAABQAAAAExAQAAAAstMTk2MDg4NzExNwMAAAADMTYwAgAAAAQ0MTczBAAAAAEwBwAAAAgyLzcvMjAyNQgAAAAKMTIvMzEvMjAyNAkAAAABMCC5w5aAR90IILnDloBH3QgiQ0lRLklRMTM0MDc0MC5JUV9UT1RBTF9FUVVJVFkuMjAwMAEAAABEdRQAAgAAAAUxOTE2MQEIAAAABQAAAAExAQAAAAstMTk2MDg4NzExNwMAAAADMTYwAgAAAAQxMjc1BAAAAAEwBwAAAAgyLzcvMjAyNQgAAAAKMTIvMzEvMjAyNAkAAAABMCC5w5aAR90IILnDloBH3QggQ0lRLklRMTM0MDc0MC5JUV9DQVNIX0VRVUlWLjIwMDABAAAARHUUAAIAAAAFMTA1NjcBCAAAAAUAAAABMQEAAAALLTE5NjA4ODcxMTcDAAAAAzE2MAIAAAAEMTA5NgQAAAABMAcAAAAIMi83LzIwMjUIAAAACjEyLzMxLzIwMjQJAAAAATAgucOWgEfdCCC5w5aAR90I</t>
  </si>
  <si>
    <t>HUNJUS5JUTE3NzAzMS5JUV9PUEVSX0lOQy4yMDAwAQAAAIezAgACAAAABDc3NTcBCAAAAAUAAAABMQEAAAALLTE5NjEyMTQ2NDgDAAAAAzE2MAIAAAACMjEEAAAAATAHAAAACDIvNy8yMDI1CAAAAAoxMi8zMS8yMDI0CQAAAAEwILnDloBH3QggucOWgEfdCB9DSVEuSVExNzcwMzEuSVFfVE9UQUxfREVCVC4yMDAwAQAAAIezAgACAAAABTIwMzc4AQgAAAAFAAAAATEBAAAACy0xOTYxMjE0NjQ4AwAAAAMxNjACAAAABDQxNzMEAAAAATAHAAAACDIvNy8yMDI1CAAAAAoxMi8zMS8yMDI0CQAAAAEwILnDloBH3QggucOWgEfdCCFDSVEuSVExNzcwMzEuSVFfVE9UQUxfRVFVSVRZLjIwMDABAAAAh7MCAAIAAAAFMTk1NjUBCAAAAAUAAAABMQEAAAALLTE5NjEyMTQ2NDgDAAAAAzE2MAIAAAAEMTI3NQQAAAABMAcAAAAIMi83LzIwMjUIAAAACjEyLzMxLzIwMjQJAAAAATAgucOWgEfdCCC5w5aAR90IH0NJUS5JUTE3NzAzMS5JUV9DQVNIX0VRVUlWLjIwMDABAAAAh7MCAAIAAAAFMTMyMTkBCAAAAAUAAAABMQEAAAALLTE5NjEyMTQ2NDgDAAAAAzE2MAIAAAAEMTA5NgQAAAABMAcAAAAIMi83LzIwMjUIAAAACjEyLzMxLzIwMjQJAAAAATAgucOWgEfdCCC5w5aAR90IHENJUS5JUTIyNzUxLklRX09QRVJfSU5DLjIwMDABAAAA31gAAAIAAAAGMTk5Ni44AQgAAAAFAAAAATEBAAAACy0xOTYxNTgyOTIxAwAAAAMxNjAC</t>
  </si>
  <si>
    <t>AAAAAjIxBAAAAAEwBwAAAAgyLzcvMjAyNQgAAAAKMTIvMzEvMjAyNAkAAAABMCC5w5aAR90IILnDloBH3QgeQ0lRLklRMjI3NTEuSVFfVE9UQUxfREVCVC4yMDAwAQAAAN9YAAACAAAABDc2MjMBCAAAAAUAAAABMQEAAAALLTE5NjE1ODI5MjEDAAAAAzE2MAIAAAAENDE3MwQAAAABMAcAAAAIMi83LzIwMjUIAAAACjEyLzMxLzIwMjQJAAAAATAgucOWgEfdCCC5w5aAR90IIENJUS5JUTIyNzUxLklRX1RPVEFMX0VRVUlUWS4yMDAwAQAAAN9YAAACAAAABzE4ODY3LjYBCAAAAAUAAAABMQEAAAALLTE5NjE1ODI5MjEDAAAAAzE2MAIAAAAEMTI3NQQAAAABMAcAAAAIMi83LzIwMjUIAAAACjEyLzMxLzIwMjQJAAAAATAgucOWgEfdCCC5w5aAR90IHkNJUS5JUTIyNzUxLklRX0NBU0hfRVFVSVYuMjAwMAEAAADfWAAAAgAAAAUxODguMgEIAAAABQAAAAExAQAAAAstMTk2MTU4MjkyMQMAAAADMTYwAgAAAAQxMDk2BAAAAAEwBwAAAAgyLzcvMjAyNQgAAAAKMTIvMzEvMjAyNAkAAAABMCC5w5aAR90IILnDloBH3QgcQ0lRLklRMjE4MzUuSVFfT1BFUl9JTkMuMjAwMAEAAABLVQAAAgAAAAYxMTc3MTEBCAAAAAUAAAABMQEAAAALLTE5NjE2NjY0NzADAAAAAzE2MAIAAAACMjEEAAAAATAHAAAACDIvNy8yMDI1CAAAAAoxMi8zMS8yMDI0CQAAAAEwILnDloBH3QggucOWgEfdCB5DSVEuSVEyMTgzNS5JUV9UT1RBTF9E</t>
  </si>
  <si>
    <t>RUJULjIwMDABAAAAS1UAAAIAAAAGMTAyOTA5AQgAAAAFAAAAATEBAAAACy0xOTYxNjY2NDcwAwAAAAMxNjACAAAABDQxNzMEAAAAATAHAAAACDIvNy8yMDI1CAAAAAoxMi8zMS8yMDI0CQAAAAEwILnDloBH3QggucOWgEfdCCBDSVEuSVEyMTgzNS5JUV9UT1RBTF9FUVVJVFkuMjAwMAEAAABLVQAAAgAAAAYzMDI2OTUBCAAAAAUAAAABMQEAAAALLTE5NjE2NjY0NzADAAAAAzE2MAIAAAAEMTI3NQQAAAABMAcAAAAIMi83LzIwMjUIAAAACjEyLzMxLzIwMjQJAAAAATAgucOWgEfdCCC5w5aAR90IHkNJUS5JUTIxODM1LklRX0NBU0hfRVFVSVYuMjAwMAEAAABLVQAAAgAAAAUxNzQ4MgEIAAAABQAAAAExAQAAAAstMTk2MTY2NjQ3MAMAAAADMTYwAgAAAAQxMDk2BAAAAAEwBwAAAAgyLzcvMjAyNQgAAAAKMTIvMzEvMjAyNAkAAAABMCC5w5aAR90IILnDloBH3QgdQ0lRLklRMTU5MjMwLklRX09QRVJfSU5DLjIwMDABAAAA/m0CAAIAAAAEODQ2NQEIAAAABQAAAAExAQAAAAstMTk2MTIwMzgwNAMAAAADMTYwAgAAAAIyMQQAAAABMAcAAAAIMi83LzIwMjUIAAAACjEyLzMxLzIwMjQJAAAAATAgucOWgEfdCCC5w5aAR90IH0NJUS5JUTE1OTIzMC5JUV9UT1RBTF9ERUJULjIwMDABAAAA/m0CAAIAAAAFNDMyNjABCAAAAAUAAAABMQEAAAALLTE5NjEyMDM4MDQDAAAAAzE2MAIAAAAENDE3MwQAAAABMAcAAAAIMi83</t>
  </si>
  <si>
    <t>LzIwMjUIAAAACjEyLzMxLzIwMjQJAAAAATAgucOWgEfdCCC5w5aAR90IIUNJUS5JUTE1OTIzMC5JUV9UT1RBTF9FUVVJVFkuMjAwMAEAAAD+bQIAAgAAAAU2MTk1OAEIAAAABQAAAAExAQAAAAstMTk2MTIwMzgwNAMAAAADMTYwAgAAAAQxMjc1BAAAAAEwBwAAAAgyLzcvMjAyNQgAAAAKMTIvMzEvMjAyNAkAAAABMCC5w5aAR90IILnDloBH3QgfQ0lRLklRMTU5MjMwLklRX0NBU0hfRVFVSVYuMjAwMAEAAAD+bQIAAgAAAAQ1NTc4AQgAAAAFAAAAATEBAAAACy0xOTYxMjAzODA0AwAAAAMxNjACAAAABDEwOTYEAAAAATAHAAAACDIvNy8yMDI1CAAAAAoxMi8zMS8yMDI0CQAAAAEwILnDloBH3QggucOWgEfdCB1DSVEuSVEzNjMyNjMuSVFfT1BFUl9JTkMuMjAwMAEAAAD/igUAAgAAAAM2NjUBCAAAAAUAAAACMjkCAAAAAjIxAQAAAAstMTk2MDg3NDg2OQMAAAADMTYwBAAAAAEwBwAAAAgyLzcvMjAyNQgAAAAKMTIvMzEvMjAyNAkAAAABMCC5w5aAR90IILnDloBH3QgfQ0lRLklRMzYzMjYzLklRX1RPVEFMX0RFQlQuMjAwMAEAAAD/igUAAgAAAAQzNDA4AQgAAAAFAAAAAjI5AgAAAAQ0MTczAQAAAAstMTk2MDg3NDg2OQMAAAADMTYwBAAAAAEwBwAAAAgyLzcvMjAyNQgAAAAKMTIvMzEvMjAyNAkAAAABMCC5w5aAR90IILnDloBH3QghQ0lRLklRMzYzMjYzLklRX1RPVEFMX0VRVUlUWS4yMDAwAQAAAP+KBQAC</t>
  </si>
  <si>
    <t>AAAABDQ2NjYBCAAAAAUAAAACMjkCAAAABDEyNzUBAAAACy0xOTYwODc0ODY5AwAAAAMxNjAEAAAAATAHAAAACDIvNy8yMDI1CAAAAAoxMi8zMS8yMDI0CQAAAAEwILnDloBH3QggucOWgEfdCB9DSVEuSVEzNjMyNjMuSVFfQ0FTSF9FUVVJVi4yMDAwAQAAAP+KBQACAAAAAzgzMQEIAAAABQAAAAIyOQIAAAAEMTA5NgEAAAALLTE5NjA4NzQ4NjkDAAAAAzE2MAQAAAABMAcAAAAIMi83LzIwMjUIAAAACjEyLzMxLzIwMjQJAAAAATAgucOWgEfdCCC5w5aAR90IHENJUS5JUTk3MTk5LklRX09QRVJfSU5DLjIwMDABAAAAr3sBAAIAAAAENTQ2OQEIAAAABQAAAAExAQAAAAstMTk2MTQ5MjE1NgMAAAADMTYwAgAAAAIyMQQAAAABMAcAAAAIMi83LzIwMjUIAAAACjEyLzMxLzIwMjQJAAAAATAgucOWgEfdCCC5w5aAR90IHkNJUS5JUTk3MTk5LklRX1RPVEFMX0RFQlQuMjAwMAEAAACvewEAAgAAAAUxODM5NgEIAAAABQAAAAExAQAAAAstMTk2MTQ5MjE1NgMAAAADMTYwAgAAAAQ0MTczBAAAAAEwBwAAAAgyLzcvMjAyNQgAAAAKMTIvMzEvMjAyNAkAAAABMCC5w5aAR90IILnDloBH3QggQ0lRLklROTcxOTkuSVFfVE9UQUxfRVFVSVRZLjIwMDABAAAAr3sBAAIAAAAFMTUyOTABCAAAAAUAAAABMQEAAAALLTE5NjE0OTIxNTYDAAAAAzE2MAIAAAAEMTI3NQQAAAABMAcAAAAIMi83LzIwMjUIAAAACjEyLzMxLzIwMjQJ</t>
  </si>
  <si>
    <t>AAAAATAgucOWgEfdCCC5w5aAR90IHkNJUS5JUTk3MTk5LklRX0NBU0hfRVFVSVYuMjAwMAEAAACvewEAAgAAAAQ0MzUzAQgAAAAFAAAAATEBAAAACy0xOTYxNDkyMTU2AwAAAAMxNjACAAAABDEwOTYEAAAAATAHAAAACDIvNy8yMDI1CAAAAAoxMi8zMS8yMDI0CQAAAAEwILnDloBH3QggucOWgEfdCB1DSVEuSVEzNzA4NTcuSVFfT1BFUl9JTkMuMjAwMAEAAACpqAUAAgAAAAYtMTAyNzUBCAAAAAUAAAABMQEAAAALLTE5NjEyMTY2MjADAAAAAzE2MAIAAAACMjEEAAAAATAHAAAACDIvNy8yMDI1CAAAAAoxMi8zMS8yMDI0CQAAAAEwILnDloBH3QggucOWgEfdCB9DSVEuSVEzNzA4NTcuSVFfVE9UQUxfREVCVC4yMDAwAQAAAKmoBQACAAAABTU1OTU4AQgAAAAFAAAAATEBAAAACy0xOTYxMjE2NjIwAwAAAAMxNjACAAAABDQxNzMEAAAAATAHAAAACDIvNy8yMDI1CAAAAAoxMi8zMS8yMDI0CQAAAAEwILnDloBH3QggucOWgEfdCCFDSVEuSVEzNzA4NTcuSVFfVE9UQUxfRVFVSVRZLjIwMDABAAAAqagFAAIAAAAFLTM5MTQBCAAAAAUAAAABMQEAAAALLTE5NjEyMTY2MjADAAAAAzE2MAIAAAAEMTI3NQQAAAABMAcAAAAIMi83LzIwMjUIAAAACjEyLzMxLzIwMjQJAAAAATAgucOWgEfdCCC5w5aAR90IH0NJUS5JUTM3MDg1Ny5JUV9DQVNIX0VRVUlWLjIwMDABAAAAqagFAAIAAAAFMTM4MDEBCAAAAAUAAAABMQEA</t>
  </si>
  <si>
    <t>AAALLTE5NjEyMTY2MjADAAAAAzE2MAIAAAAEMTA5NgQAAAABMAcAAAAIMi83LzIwMjUIAAAACjEyLzMxLzIwMjQJAAAAATAgucOWgEfdCCC5w5aAR90IHUNJUS5JUTI4OTE5NC5JUV9PUEVSX0lOQy4yMDAwAQAAAKppBAACAAAABDQyOTABCAAAAAUAAAABMQEAAAALLTE5NjA5MzY5NzUDAAAAAzE2MAIAAAACMjEEAAAAATAHAAAACDIvNy8yMDI1CAAAAAoxMi8zMS8yMDI0CQAAAAEwILnDloBH3QggucOWgEfdCB9DSVEuSVEyODkxOTQuSVFfVE9UQUxfREVCVC4yMDAwAQAAAKppBAACAAAABTEzNjU5AQgAAAAFAAAAATEBAAAACy0xOTYwOTM2OTc1AwAAAAMxNjACAAAABDQxNzMEAAAAATAHAAAACDIvNy8yMDI1CAAAAAoxMi8zMS8yMDI0CQAAAAEwILnDloBH3QggucOWgEfdCCFDSVEuSVEyODkxOTQuSVFfVE9UQUxfRVFVSVRZLjIwMDABAAAAqmkEAAIAAAAEMzg5NAEIAAAABQAAAAExAQAAAAstMTk2MDkzNjk3NQMAAAADMTYwAgAAAAQxMjc1BAAAAAEwBwAAAAgyLzcvMjAyNQgAAAAKMTIvMzEvMjAyNAkAAAABMCC5w5aAR90IILnDloBH3QgfQ0lRLklRMjg5MTk0LklRX0NBU0hfRVFVSVYuMjAwMAEAAACqaQQAAgAAAAQ1NjAwAQgAAAAFAAAAATEBAAAACy0xOTYwOTM2OTc1AwAAAAMxNjACAAAABDEwOTYEAAAAATAHAAAACDIvNy8yMDI1CAAAAAoxMi8zMS8yMDI0CQAAAAEwILnDloBH3QggucOWgEfd</t>
  </si>
  <si>
    <t>CB1DSVEuSVEyODU4MjcuSVFfT1BFUl9JTkMuMjAwMAEAAACDXAQAAgAAAAQ3MTgxAQgAAAAFAAAAATEBAAAACy0xOTYxNzAwMzk5AwAAAAMxNjACAAAAAjIxBAAAAAEwBwAAAAgyLzcvMjAyNQgAAAAKMTIvMzEvMjAyNAkAAAABMCC5w5aAR90IILnDloBH3QgfQ0lRLklRMjg1ODI3LklRX1RPVEFMX0RFQlQuMjAwMAEAAACDXAQAAgAAAAUyMTQxOAEIAAAABQAAAAExAQAAAAstMTk2MTcwMDM5OQMAAAADMTYwAgAAAAQ0MTczBAAAAAEwBwAAAAgyLzcvMjAyNQgAAAAKMTIvMzEvMjAyNAkAAAABMCC5w5aAR90IILnDloBH3QghQ0lRLklRMjg1ODI3LklRX1RPVEFMX0VRVUlUWS4yMDAwAQAAAINcBAACAAAABDYzMzMBCAAAAAUAAAABMQEAAAALLTE5NjE3MDAzOTkDAAAAAzE2MAIAAAAEMTI3NQQAAAABMAcAAAAIMi83LzIwMjUIAAAACjEyLzMxLzIwMjQJAAAAATAgucOWgEfdCCC5w5aAR90IH0NJUS5JUTI4NTgyNy5JUV9DQVNIX0VRVUlWLjIwMDABAAAAg1wEAAIAAAAEMjQ4MwEIAAAABQAAAAExAQAAAAstMTk2MTcwMDM5OQMAAAADMTYwAgAAAAQxMDk2BAAAAAEwBwAAAAgyLzcvMjAyNQgAAAAKMTIvMzEvMjAyNAkAAAABMCC5w5aAR90IILnDloBH3QggQ0lRLklRMjI0MDU1MjgzLklRX09QRVJfSU5DLjIwMDABAAAA889aDQIAAAAILTcxNy4xMzcBCAAAAAUAAAABMQEAAAALLTE5NjA5OTAyMzYDAAAA</t>
  </si>
  <si>
    <t>AzE2MAIAAAACMjEEAAAAATAHAAAACDIvNy8yMDI1CAAAAAoxMi8zMS8yMDI0CQAAAAEwILnDloBH3QggucOWgEfdCCJDSVEuSVEyMjQwNTUyODMuSVFfVE9UQUxfREVCVC4yMDAwAQAAAPPPWg0CAAAACDQyNDMuODk2AQgAAAAFAAAAATEBAAAACy0xOTYwOTkwMjM2AwAAAAMxNjACAAAABDQxNzMEAAAAATAHAAAACDIvNy8yMDI1CAAAAAoxMi8zMS8yMDI0CQAAAAEwILnDloBH3QggucOWgEfdCCRDSVEuSVEyMjQwNTUyODMuSVFfVE9UQUxfRVFVSVRZLjIwMDABAAAA889aDQIAAAAIMjQ1MC43NjEBCAAAAAUAAAABMQEAAAALLTE5NjA5OTAyMzYDAAAAAzE2MAIAAAAEMTI3NQQAAAABMAcAAAAIMi83LzIwMjUIAAAACjEyLzMxLzIwMjQJAAAAATAgucOWgEfdCCC5w5aAR90IIkNJUS5JUTIyNDA1NTI4My5JUV9DQVNIX0VRVUlWLjIwMDABAAAA889aDQIAAAAIMTA0Ni41MzQBCAAAAAUAAAABMQEAAAALLTE5NjA5OTAyMzYDAAAAAzE2MAIAAAAEMTA5NgQAAAABMAcAAAAIMi83LzIwMjUIAAAACjEyLzMxLzIwMjQJAAAAATAgucOWgEfdCCC5w5aAR90IHUNJUS5JUTI2OTIzMS5JUV9PUEVSX0lOQy4yMDAwAQAAAK8bBAACAAAABDMxNzEBCAAAAAUAAAABMQEAAAALLTE5NjEwMzA5MTMDAAAAAzE2MAIAAAACMjEEAAAAATAHAAAACDIvNy8yMDI1CAAAAAoxMi8zMS8yMDI0CQAAAAEwILnDloBH3QggucOWgEfd</t>
  </si>
  <si>
    <t>CB9DSVEuSVEyNjkyMzEuSVFfVE9UQUxfREVCVC4yMDAwAQAAAK8bBAACAAAABDgyNTYBCAAAAAUAAAABMQEAAAALLTE5NjEwMzA5MTMDAAAAAzE2MAIAAAAENDE3MwQAAAABMAcAAAAIMi83LzIwMjUIAAAACjEyLzMxLzIwMjQJAAAAATAgucOWgEfdCCC5w5aAR90IIUNJUS5JUTI2OTIzMS5JUV9UT1RBTF9FUVVJVFkuMjAwMAEAAACvGwQAAgAAAAUyNjM3OQEIAAAABQAAAAExAQAAAAstMTk2MTAzMDkxMwMAAAADMTYwAgAAAAQxMjc1BAAAAAEwBwAAAAgyLzcvMjAyNQgAAAAKMTIvMzEvMjAyNAkAAAABMCC5w5aAR90IILnDloBH3QgfQ0lRLklRMjY5MjMxLklRX0NBU0hfRVFVSVYuMjAwMAEAAACvGwQAAgAAAAQyODM0AQgAAAAFAAAAATEBAAAACy0xOTYxMDMwOTEzAwAAAAMxNjACAAAABDEwOTYEAAAAATAHAAAACDIvNy8yMDI1CAAAAAoxMi8zMS8yMDI0CQAAAAEwILnDloBH3QggucOWgEfdCB9DSVEuSVEzNjMyNjMuSVFfRUJJVERBX0VTVC4xMDAxAQAAAP+KBQACAAAACTk5Ny4xNzMxOAEOAAAABQAAAAEzAQAAAAEwAgAAAAoxMDA0MTAwNDcyAwAAAAYxMDAxODcEAAAAATIGAAAAATAHAAAAAzE2MAgAAAABMAkAAAABMQoAAAABMAsAAAALMTQxMjUwMDc0MjEMAAAAATENAAAACDIvOC8yMDI1EAAAAAgyLzcvMjAyNX8HxJaAR90IfwfEloBH3QgbQ0lRLklRMTc3MDMxLklRX05JX0VTVC4xMDAxAQAA</t>
  </si>
  <si>
    <t>AIezAgACAAAACjU3OTcuNzEwMDIBDgAAAAUAAAABMwEAAAABMAIAAAAKMTAwNDI0ODQyOAMAAAAGMTAwMjUwBAAAAAEyBgAAAAEwBwAAAAMxNjAIAAAAATAJAAAAATEKAAAAATALAAAACzE0MTE0NzUxODgzDAAAAAExDQAAAAgyLzgvMjAyNRAAAAAIMi83LzIwMjV/B8SWgEfdCH8HxJaAR90IG0NJUS5JUTI2OTIzMS5JUV9OSV9FU1QuMTAwMQEAAACvGwQAAgAAAAozMzYxLjg5MDQxAQ4AAAAFAAAAATMBAAAAATACAAAACjEwMDIxNDIzMTQDAAAABjEwMDI1MAQAAAABMgYAAAABMAcAAAADMTYwCAAAAAEwCQAAAAExCgAAAAEwCwAAAAsxNDEyNTg1MTMxNAwAAAABMQ0AAAAIMi84LzIwMjUQAAAACDIvNy8yMDI1fwfEloBH3Qh/B8SWgEfdCB1DSVEuSVEyMDc2NTQ2My5JUV9OSV9FU1QuMTAwMQEAAAAX2zwBAgAAAAs2NDg4Mi42MDExNAEOAAAABQAAAAEzAQAAAAEwAgAAAAoxMDAxNTM1NjI2AwAAAAYxMDAyNTAEAAAAATIGAAAAATAHAAAAAzE2MAgAAAABMAkAAAABMQoAAAABMAsAAAALMTQxMjE2MjkxMzUMAAAAATENAAAACDIvOC8yMDI1EAAAAAgyLzcvMjAyNX8HxJaAR90IfwfEloBH3QggQ0lRLklRMjY5MjMxLklRX1JFVkVOVUVfRVNULjEwMDEBAAAArxsEAAIAAAAKMTgwNTAuODY2OAEOAAAABQAAAAEzAQAAAAEwAgAAAAoxMDAyMTQyMzE0AwAAAAYxMDAxODAEAAAAATIGAAAAATAHAAAAAzE2MAgA</t>
  </si>
  <si>
    <t>AAABMAkAAAABMQoAAAABMAsAAAALMTQxMjU4NTE5NDAMAAAAATENAAAACDIvOC8yMDI1EAAAAAgyLzcvMjAyNX8HxJaAR90IfwfEloBH3QgbQ0lRLklRMjg1ODI3LklRX05JX0VTVC4xMDAxAQAAAINcBAACAAAACjYzNDMuMTgwMTYBDgAAAAUAAAABMwEAAAABMAIAAAAKMTAwMjc5MTc0OAMAAAAGMTAwMjUwBAAAAAEyBgAAAAEwBwAAAAMxNjAIAAAAATAJAAAAATEKAAAAATALAAAACzE0MTE0NzUwNzU5DAAAAAExDQAAAAgyLzgvMjAyNRAAAAAIMi83LzIwMjV/B8SWgEfdCH8HxJaAR90IH0NJUS5JUTIxODM1LklRX1JFVkVOVUVfRVNULjEwMDEBAAAAS1UAAAIAAAAMMjc3MjY4LjEzOTIyAQ4AAAAFAAAAATMBAAAAATACAAAACjEwMDE3OTgyNjgDAAAABjEwMDE4MAQAAAABMgYAAAABMAcAAAADMTYwCAAAAAEwCQAAAAExCgAAAAEwCwAAAAsxNDEyMzEyNDAwOQwAAAABMQ0AAAAIMi84LzIwMjUQAAAACDIvNy8yMDI1fwfEloBH3Qh/B8SWgEfdCCBDSVEuSVEyODkxOTQuSVFfUkVWRU5VRV9FU1QuMTAwMQEAAACqaQQAAgAAAAsyNDAxOS42NDU4MwEOAAAABQAAAAEzAQAAAAEwAgAAAAoxMDAwMTkzNTY1AwAAAAYxMDAxODAEAAAAATIGAAAAATAHAAAAAzE2MAgAAAABMAkAAAABMQoAAAABMAsAAAALMTQxMTAwNjk5ODEMAAAAATENAAAACDIvOC8yMDI1EAAAAAgyLzcvMjAyNX8HxJaAR90IfwfEloBH3Qgb</t>
  </si>
  <si>
    <t>Q0lRLklRMTgwODcxLklRX05JX0VTVC4xMDAxAQAAAIfCAgACAAAACjY3NjguNjM1ODEBDgAAAAUAAAABMwEAAAABMAIAAAAKMTAwMjI2NTUwNQMAAAAGMTAwMjUwBAAAAAEyBgAAAAEwBwAAAAMxNjAIAAAAATAJAAAAATEKAAAAATALAAAACzE0MTE3NTA4NDEwDAAAAAExDQAAAAgyLzgvMjAyNRAAAAAJMS8zMS8yMDI1fwfEloBH3Qh/B8SWgEfdCB9DSVEuSVEyODkxOTQuSVFfRUJJVERBX0VTVC4xMDAxAQAAAKppBAACAAAACjY4ODguMTcwNDMBDgAAAAUAAAABMwEAAAABMAIAAAAKMTAwMDE5MzU2NQMAAAAGMTAwMTg3BAAAAAEyBgAAAAEwBwAAAAMxNjAIAAAAATAJAAAAATEKAAAAATALAAAACzE0MTEwMTE5MjUxDAAAAAExDQAAAAgyLzgvMjAyNRAAAAAIMi83LzIwMjV/B8SWgEfdCH8HxJaAR90IH0NJUS5JUTE3NzAzMS5JUV9FQklUREFfRVNULjEwMDEBAAAAh7MCAAIAAAAKOTQ1NC4yODEzOQEOAAAABQAAAAEzAQAAAAEwAgAAAAoxMDA0MjQ4NDI4AwAAAAYxMDAxODcEAAAAATIGAAAAATAHAAAAAzE2MAgAAAABMAkAAAABMQoAAAABMAsAAAALMTQxMTQ1NzE2ODMMAAAAATENAAAACDIvOC8yMDI1EAAAAAgyLzcvMjAyNX8HxJaAR90IfwfEloBH3QgfQ0lRLklRMjc4Njc5LklRX0VCSVREQV9FU1QuMTAwMQEAAACXQAQAAgAAAAsyNTIwNS4zNDQ3MwEOAAAABQAAAAEzAQAAAAEwAgAAAAoxMDAzMDk3</t>
  </si>
  <si>
    <t>MTU2AwAAAAYxMDAxODcEAAAAATIGAAAAATAHAAAAAzE2MAgAAAABMAkAAAABMQoAAAABMAsAAAALMTQxMTc0OTQwODEMAAAAATENAAAACDIvOC8yMDI1EAAAAAkxLzMxLzIwMjV/B8SWgEfdCH8HxJaAR90IIUNJUS5JUTIwNzY1NDYzLklRX0VCSVREQV9FU1QuMTAwMQEAAAAX2zwBAgAAAAwxMTMwNjQuMTIzMjIBDgAAAAUAAAABMwEAAAABMAIAAAAKMTAwMTUzNTYyNgMAAAAGMTAwMTg3BAAAAAEyBgAAAAEwBwAAAAMxNjAIAAAAATAJAAAAATEKAAAAATALAAAACzE0MTE3ODAwNjEyDAAAAAExDQAAAAgyLzgvMjAyNRAAAAAIMi83LzIwMjV/B8SWgEfdCH8HxJaAR90IH0NJUS5JUTE4MDg3MS5JUV9FQklUREFfRVNULjEwMDEBAAAAh8ICAAIAAAALMTIxNjkuNzY2ODIBDgAAAAUAAAABMwEAAAABMAIAAAAKMTAwMjI2NTUwNQMAAAAGMTAwMTg3BAAAAAEyBgAAAAEwBwAAAAMxNjAIAAAAATAJAAAAATEKAAAAATALAAAACzE0MTE3NTEwMzE1DAAAAAExDQAAAAgyLzgvMjAyNRAAAAAJMS8zMS8yMDI1fwfEloBH3Qh/B8SWgEfdCB9DSVEuSVEyODU4MjcuSVFfRUJJVERBX0VTVC4xMDAxAQAAAINcBAACAAAACzEwNTI4Ljc5MDAyAQ4AAAAFAAAAATMBAAAAATACAAAACjEwMDI3OTE3NDgDAAAABjEwMDE4NwQAAAABMgYAAAABMAcAAAADMTYwCAAAAAEwCQAAAAExCgAAAAEwCwAAAAsxNDExNDk4NjU0NwwAAAAB</t>
  </si>
  <si>
    <t>MQ0AAAAIMi84LzIwMjUQAAAACDIvNy8yMDI1fwfEloBH3Qh/B8SWgEfdCB5DSVEuSVEyOTA5Ni5JUV9FQklUREFfRVNULjEwMDEBAAAAqHEAAAIAAAAMMTcyOTUyLjEyMjMyAQ4AAAAFAAAAATMBAAAAATACAAAACjEwMDIwNDQxMDcDAAAABjEwMDE4NwQAAAABMgYAAAABMAcAAAADMTYwCAAAAAEwCQAAAAExCgAAAAEwCwAAAAsxNDEyNTg2MTIwOAwAAAABMQ0AAAAIMi84LzIwMjUQAAAACDIvNy8yMDI1fwfEloBH3Qh/B8SWgEfdCB5DSVEuSVEyMjc1MS5JUV9FQklUREFfRVNULjEwMDEBAAAA31gAAAIAAAAKMzA2NS44Mzk0OQEOAAAABQAAAAEzAQAAAAEwAgAAAAoxMDAyNTg3ODQ4AwAAAAYxMDAxODcEAAAAATIGAAAAATAHAAAAAzE2MAgAAAABMAkAAAABMQoAAAABMAsAAAALMTQxMjEwMTI0NTQMAAAAATENAAAACDIvOC8yMDI1EAAAAAgyLzcvMjAyNX8HxJaAR90IfwfEloBH3QggQ0lRLklRMzYzMjYzLklRX1JFVkVOVUVfRVNULjEwMDEBAAAA/4oFAAIAAAALMTE5ODQuMjQ2MDYBDgAAAAUAAAABMwEAAAABMAIAAAAKMTAwNDEwMDQ3MgMAAAAGMTAwMTgwBAAAAAEyBgAAAAEwBwAAAAMxNjAIAAAAATAJAAAAATEKAAAAATALAAAACzE0MTI2MTMyNTY1DAAAAAExDQAAAAgyLzgvMjAyNRAAAAAIMi83LzIwMjV/B8SWgEfdCH8HxJaAR90IH0NJUS5JUTM3MDg1Ny5JUV9FQklUREFfRVNULjEwMDEBAAAA</t>
  </si>
  <si>
    <t>qagFAAIAAAAKNDEzOC45MDgzNgEOAAAABQAAAAEzAQAAAAEwAgAAAAoxMDAyNzc5OTY3AwAAAAYxMDAxODcEAAAAATIGAAAAATAHAAAAAzE2MAgAAAABMAkAAAABMQoAAAABMAsAAAALMTQxMjExODY0MTYMAAAAATENAAAACDIvOC8yMDI1EAAAAAgyLzcvMjAyNX8HxJaAR90IfwfEloBH3QgaQ0lRLklRMjE4MzUuSVFfTklfRVNULjEwMDEBAAAAS1UAAAIAAAALOTgyMTYuMjYzNjYBDgAAAAUAAAABMwEAAAABMAIAAAAKMTAwMTc5ODI2OAMAAAAGMTAwMjUwBAAAAAEyBgAAAAEwBwAAAAMxNjAIAAAAATAJAAAAATEKAAAAATALAAAACzE0MTIzMTIzOTI5DAAAAAExDQAAAAgyLzgvMjAyNRAAAAAIMi83LzIwMjV/B8SWgEfdCH8HxJaAR90IGkNJUS5JUTk3MTk5LklRX05JX0VTVC4xMDAxAQAAAK97AQACAAAACjQwMzMuMjE2MDkBDgAAAAUAAAABMwEAAAABMAIAAAAKMTAwMjY3ODE3NQMAAAAGMTAwMjUwBAAAAAEyBgAAAAEwBwAAAAMxNjAIAAAAATAJAAAAATEKAAAAATALAAAACzE0MTI1NDMzMzI4DAAAAAExDQAAAAgyLzgvMjAyNRAAAAAIMi83LzIwMjV/B8SWgEfdCH8HxJaAR90II0NJUS5JUTIyNDA1NTI4My5JUV9SRVZFTlVFX0VTVC4xMDAxAQAAAPPPWg0CAAAACjYwODcuOTQ3MzIBDgAAAAUAAAABMwEAAAABMAIAAAAKMTAwMzYzMTU3MwMAAAAGMTAwMTgwBAAAAAEyBgAAAAEwBwAAAAMxNjAIAAAA</t>
  </si>
  <si>
    <t>ATAJAAAAATEKAAAAATALAAAACzE0MTI0NzY4NDU2DAAAAAExDQAAAAgyLzgvMjAyNRAAAAAIMi83LzIwMjV/B8SWgEfdCH8HxJaAR90IIENJUS5JUTE3NzAzMS5JUV9SRVZFTlVFX0VTVC4xMDAxAQAAAIezAgACAAAACzM5NDcyLjEzNDM0AQ4AAAAFAAAAATMBAAAAATACAAAACjEwMDQyNDg0MjgDAAAABjEwMDE4MAQAAAABMgYAAAABMAcAAAADMTYwCAAAAAEwCQAAAAExCgAAAAEwCwAAAAsxNDEwNzEzNjYzNwwAAAABMQ0AAAAIMi84LzIwMjUQAAAACDIvNy8yMDI1fwfEloBH3Qh/B8SWgEfdCBtDSVEuSVExNTkyMzAuSVFfTklfRVNULjEwMDEBAAAA/m0CAAIAAAAKODI3Ny4yMTcxMgEOAAAABQAAAAEzAQAAAAEwAgAAAAoxMDAyNTU0OTg5AwAAAAYxMDAyNTAEAAAAATIGAAAAATAHAAAAAzE2MAgAAAABMAkAAAABMQoAAAABMAsAAAALMTQxMTQ3NTgyNTAMAAAAATENAAAACDIvOC8yMDI1EAAAAAgyLzcvMjAyNX8HxJaAR90IfwfEloBH3QghQ0lRLklRMTM0MDc0MC5JUV9SRVZFTlVFX0VTVC4xMDAxAQAAAER1FAACAAAACzQwOTg3LjI3ODA2AQ4AAAAFAAAAATMBAAAAATACAAAACjEwMDQyNDAyMjcDAAAABjEwMDE4MAQAAAABMgYAAAABMAcAAAADMTYwCAAAAAEwCQAAAAExCgAAAAEwCwAAAAsxNDEyNTk4OTY5MQwAAAABMQ0AAAAIMi84LzIwMjUQAAAACDIvNy8yMDI1fwfEloBH3Qh/B8SWgEfdCCBD</t>
  </si>
  <si>
    <t>SVEuSVEyNzg2NzkuSVFfUkVWRU5VRV9FU1QuMTAwMQEAAACXQAQAAgAAAAwxNTg0MzYuMzM3MzYBDgAAAAUAAAABMwEAAAABMAIAAAAKMTAwMzA5NzE1NgMAAAAGMTAwMTgwBAAAAAEyBgAAAAEwBwAAAAMxNjAIAAAAATAJAAAAATEKAAAAATALAAAACzE0MTE3NDk0MzAzDAAAAAExDQAAAAgyLzgvMjAyNRAAAAAJMS8zMS8yMDI1fwfEloBH3Qh/B8SWgEfdCBpDSVEuSVEyMjc1MS5JUV9OSV9FU1QuMTAwMQEAAADfWAAAAgAAAAoyMTU3LjExNjczAQ4AAAAFAAAAATMBAAAAATACAAAACjEwMDI1ODc4NDgDAAAABjEwMDI1MAQAAAABMgYAAAABMAcAAAADMTYwCAAAAAEwCQAAAAExCgAAAAEwCwAAAAsxNDExNDk0MDc2MAwAAAABMQ0AAAAIMi84LzIwMjUQAAAACDIvNy8yMDI1fwfEloBH3Qh/B8SWgEfdCB9DSVEuSVEyNjkyMzEuSVFfRUJJVERBX0VTVC4xMDAxAQAAAK8bBAACAAAACTUwMDcuNzY2NgEOAAAABQAAAAEzAQAAAAEwAgAAAAoxMDAyMTQyMzE0AwAAAAYxMDAxODcEAAAAATIGAAAAATAHAAAAAzE2MAgAAAABMAkAAAABMQoAAAABMAsAAAALMTQxMjU4NTE1MzIMAAAAATENAAAACDIvOC8yMDI1EAAAAAgyLzcvMjAyNX8HxJaAR90IfwfEloBH3QgeQ0lRLklROTcxOTkuSVFfRUJJVERBX0VTVC4xMDAxAQAAAK97AQACAAAACjYxODMuODExNzQBDgAAAAUAAAABMwEAAAABMAIAAAAKMTAwMjY3ODE3</t>
  </si>
  <si>
    <t>NQMAAAAGMTAwMTg3BAAAAAEyBgAAAAEwBwAAAAMxNjAIAAAAATAJAAAAATEKAAAAATALAAAACzE0MTI1NDMzNDY2DAAAAAExDQAAAAgyLzgvMjAyNRAAAAAIMi83LzIwMjV/B8SWgEfdCH8HxJaAR90IH0NJUS5JUTE1OTIzMC5JUV9FQklUREFfRVNULjEwMDEBAAAA/m0CAAIAAAAKMTQzNDQuMTU2OQEOAAAABQAAAAEzAQAAAAEwAgAAAAoxMDAyNTU0OTg5AwAAAAYxMDAxODcEAAAAATIGAAAAATAHAAAAAzE2MAgAAAABMAkAAAABMQoAAAABMAsAAAALMTQxMjMzNzUzNDkMAAAAATENAAAACDIvOC8yMDI1EAAAAAgyLzcvMjAyNX8HxJaAR90IfwfEloBH3QgeQ0lRLklRMjE4MzUuSVFfRUJJVERBX0VTVC4xMDAxAQAAAEtVAAACAAAADDE1MTg5OC4xMDUzNAEOAAAABQAAAAEzAQAAAAEwAgAAAAoxMDAxNzk4MjY4AwAAAAYxMDAxODcEAAAAATIGAAAAATAHAAAAAzE2MAgAAAABMAkAAAABMQoAAAABMAsAAAALMTQxMjEyNjU5MzAMAAAAATENAAAACDIvOC8yMDI1EAAAAAgyLzcvMjAyNX8HxJaAR90IfwfEloBH3QggQ0lRLklRMTgwODcxLklRX1JFVkVOVUVfRVNULjEwMDEBAAAAh8ICAAIAAAALODMzMzUuMzQxMTgBDgAAAAUAAAABMwEAAAABMAIAAAAKMTAwMjI2NTUwNQMAAAAGMTAwMTgwBAAAAAEyBgAAAAEwBwAAAAMxNjAIAAAAATAJAAAAATEKAAAAATALAAAACzE0MTE3NTA4OTYxDAAAAAExDQAAAAgy</t>
  </si>
  <si>
    <t>LzgvMjAyNRAAAAAJMS8zMS8yMDI1fwfEloBH3Qh/B8SWgEfdCCJDSVEuSVEyMjQwNTUyODMuSVFfRUJJVERBX0VTVC4xMDAxAQAAAPPPWg0CAAAACTY3My4xMjM4OAEOAAAABQAAAAEzAQAAAAEwAgAAAAoxMDAzNjMxNTczAwAAAAYxMDAxODcEAAAAATIGAAAAATAHAAAAAzE2MAgAAAABMAkAAAABMQoAAAABMAsAAAALMTQxMjQ3NjgyNjIMAAAAATENAAAACDIvOC8yMDI1EAAAAAgyLzcvMjAyNX8HxJaAR90IfwfEloBH3QggQ0lRLklRMzcwODU3LklRX1JFVkVOVUVfRVNULjEwMDEBAAAAqagFAAIAAAALODUyMTEuMDQ5MDgBDgAAAAUAAAABMwEAAAABMAIAAAAKMTAwMjc3OTk2NwMAAAAGMTAwMTgwBAAAAAEyBgAAAAEwBwAAAAMxNjAIAAAAATAJAAAAATEKAAAAATALAAAACzE0MTIxMTg2NzI3DAAAAAExDQAAAAgyLzgvMjAyNRAAAAAIMi83LzIwMjV/B8SWgEfdCH8HxJaAR90IHkNJUS5JUTIyNDA1NTI4My5JUV9OSV9FU1QuMTAwMQEAAADzz1oNAgAAAAk2NDguMzY1OTcBDgAAAAUAAAABMwEAAAABMAIAAAAKMTAwMzYzMTU3MwMAAAAGMTAwMjUwBAAAAAEyBgAAAAEwBwAAAAMxNjAIAAAAATAJAAAAATEKAAAAATALAAAACzE0MTIwODc1MDY3DAAAAAExDQAAAAgyLzgvMjAyNRAAAAAIMi83LzIwMjV/B8SWgEfdCH8HxJaAR90IH0NJUS5JUTI5MDk2LklRX1JFVkVOVUVfRVNULjEwMDEBAAAAqHEAAAIA</t>
  </si>
  <si>
    <t>AAAMMzg5NTY0LjYyNDkyAQ4AAAAFAAAAATMBAAAAATACAAAACjEwMDIwNDQxMDcDAAAABjEwMDE4MAQAAAABMgYAAAABMAcAAAADMTYwCAAAAAEwCQAAAAExCgAAAAEwCwAAAAsxNDEyNTg2MTIxNAwAAAABMQ0AAAAIMi84LzIwMjUQAAAACDIvNy8yMDI1fwfEloBH3Qh/B8SWgEfdCBtDSVEuSVEzNzA4NTcuSVFfTklfRVNULjEwMDEBAAAAqagFAAIAAAALLTIyMjEuMDgxODYBDgAAAAUAAAABMwEAAAABMAIAAAAKMTAwMjc3OTk2NwMAAAAGMTAwMjUwBAAAAAEyBgAAAAEwBwAAAAMxNjAIAAAAATAJAAAAATEKAAAAATALAAAACzE0MTIxMTg1ODU0DAAAAAExDQAAAAgyLzgvMjAyNRAAAAAIMi83LzIwMjV/B8SWgEfdCH8HxJaAR90IIENJUS5JUTE1OTIzMC5JUV9SRVZFTlVFX0VTVC4xMDAxAQAAAP5tAgACAAAACzg0MjM4LjUxMDUzAQ4AAAAFAAAAATMBAAAAATACAAAACjEwMDI1NTQ5ODkDAAAABjEwMDE4MAQAAAABMgYAAAABMAcAAAADMTYwCAAAAAEwCQAAAAExCgAAAAEwCwAAAAsxNDEyMzM3NTM5MQwAAAABMQ0AAAAIMi84LzIwMjUQAAAACDIvNy8yMDI1fwfEloBH3Qh/B8SWgEfdCBpDSVEuSVEyOTA5Ni5JUV9OSV9FU1QuMTAwMQEAAACocQAAAgAAAAsxMDk5ODQuOTUwNAEOAAAABQAAAAEzAQAAAAEwAgAAAAoxMDAyMDQ0MTA3AwAAAAYxMDAyNTAEAAAAATIGAAAAATAHAAAAAzE2MAgAAAABMAkA</t>
  </si>
  <si>
    <t>AAABMQoAAAABMAsAAAALMTQxMjU4NjExNjAMAAAAATENAAAACDIvOC8yMDI1EAAAAAgyLzcvMjAyNX8HxJaAR90IfwfEloBH3QgbQ0lRLklRMjc4Njc5LklRX05JX0VTVC4xMDAxAQAAAJdABAACAAAACjE0OTc5LjI3MDUBDgAAAAUAAAABMwEAAAABMAIAAAAKMTAwMzA5NzE1NgMAAAAGMTAwMjUwBAAAAAEyBgAAAAEwBwAAAAMxNjAIAAAAATAJAAAAATEKAAAAATALAAAACzE0MTE3NDkzNjk1DAAAAAExDQAAAAgyLzgvMjAyNRAAAAAJMS8zMS8yMDI1fwfEloBH3Qh/B8SWgEfdCB9DSVEuSVEyMjc1MS5JUV9SRVZFTlVFX0VTVC4xMDAxAQAAAN9YAAACAAAACjc3NDYuODA3MTIBDgAAAAUAAAABMwEAAAABMAIAAAAKMTAwMjU4Nzg0OAMAAAAGMTAwMTgwBAAAAAEyBgAAAAEwBwAAAAMxNjAIAAAAATAJAAAAATEKAAAAATALAAAACzE0MTIxMDEyNDkwDAAAAAExDQAAAAgyLzgvMjAyNRAAAAAIMi83LzIwMjV/B8SWgEfdCH8HxJaAR90IG0NJUS5JUTM2MzI2My5JUV9OSV9FU1QuMTAwMQEAAAD/igUAAgAAAAk1MTcuNzkwNTcBDgAAAAUAAAABMwEAAAABMAIAAAAKMTAwNDEwMDQ3MgMAAAAGMTAwMjUwBAAAAAEyBgAAAAEwBwAAAAMxNjAIAAAAATAJAAAAATEKAAAAATALAAAACzE0MTI2MTMyNzU5DAAAAAExDQAAAAgyLzgvMjAyNRAAAAAIMi83LzIwMjV/B8SWgEfdCH8HxJaAR90IIkNJUS5JUTIwNzY1NDYz</t>
  </si>
  <si>
    <t>LklRX1JFVkVOVUVfRVNULjEwMDEBAAAAF9s8AQIAAAAMMTg4NDc5LjE2MDM5AQ4AAAAFAAAAATMBAAAAATACAAAACjEwMDE1MzU2MjYDAAAABjEwMDE4MAQAAAABMgYAAAABMAcAAAADMTYwCAAAAAEwCQAAAAExCgAAAAEwCwAAAAsxNDEyMTYyOTY1NwwAAAABMQ0AAAAIMi84LzIwMjUQAAAACDIvNy8yMDI1fwfEloBH3Qh/B8SWgEfdCCBDSVEuSVEyODU4MjcuSVFfUkVWRU5VRV9FU1QuMTAwMQEAAACDXAQAAgAAAAs3NDM3Ni4zOTI5NwEOAAAABQAAAAEzAQAAAAEwAgAAAAoxMDAyNzkxNzQ4AwAAAAYxMDAxODAEAAAAATIGAAAAATAHAAAAAzE2MAgAAAABMAkAAAABMQoAAAABMAsAAAALMTQxMTQ5ODY2MjUMAAAAATENAAAACDIvOC8yMDI1EAAAAAgyLzcvMjAyNX8HxJaAR90IfwfEloBH3QgcQ0lRLklRMTM0MDc0MC5JUV9OSV9FU1QuMTAwMQEAAABEdRQAAgAAAAo2ODExLjUzMTk5AQ4AAAAFAAAAATMBAAAAATACAAAACjEwMDQyNDAyMjcDAAAABjEwMDI1MAQAAAABMgYAAAABMAcAAAADMTYwCAAAAAEwCQAAAAExCgAAAAEwCwAAAAsxNDEyNjAzOTczOQwAAAABMQ0AAAAIMi84LzIwMjUQAAAACDIvNy8yMDI1fwfEloBH3Qh/B8SWgEfdCB9DSVEuSVE5NzE5OS5JUV9SRVZFTlVFX0VTVC4xMDAxAQAAAK97AQACAAAACzQyMzA4Ljk3MDg2AQ4AAAAFAAAAATMBAAAAATACAAAACjEwMDI2NzgxNzUDAAAA</t>
  </si>
  <si>
    <t>BjEwMDE4MAQAAAABMgYAAAABMAcAAAADMTYwCAAAAAEwCQAAAAExCgAAAAEwCwAAAAsxNDEyNTQzMzUwMgwAAAABMQ0AAAAIMi84LzIwMjUQAAAACDIvNy8yMDI1fwfEloBH3Qh/B8SWgEfdCCBDSVEuSVExMzQwNzQwLklRX0VCSVREQV9FU1QuMTAwMQEAAABEdRQAAgAAAAoxMDcyMi42MjAxAQ4AAAAFAAAAATMBAAAAATACAAAACjEwMDQyNDAyMjcDAAAABjEwMDE4NwQAAAABMgYAAAABMAcAAAADMTYwCAAAAAEwCQAAAAExCgAAAAEwCwAAAAsxNDEyNTcyOTAwNgwAAAABMQ0AAAAIMi84LzIwMjUQAAAACDIvNy8yMDI1fwfEloBH3Qh/B8SWgEfdCBtDSVEuSVEyODkxOTQuSVFfTklfRVNULjEwMDEBAAAAqmkEAAIAAAAKNDIzMS4wOTU2MgEOAAAABQAAAAEzAQAAAAEwAgAAAAoxMDAwMTkzNTY1AwAAAAYxMDAyNTAEAAAAATIGAAAAATAHAAAAAzE2MAgAAAABMAkAAAABMQoAAAABMAsAAAALMTQxMDE4MzE4MzkMAAAAATENAAAACDIvOC8yMDI1EAAAAAgyLzcvMjAyNX8HxJaAR90IfwfEloBH3QgcQ0lRLklRMjg5MTk0LklRX0VQU19FU1QuMTAwMQEAAACqaQQAAgAAAAc3LjgwODQ2AQ4AAAAFAAAAATMBAAAABzI2NTc5OTICAAAACjEwMDAxOTM1NjUDAAAABjEwMDE3MwQAAAABMgYAAAABMAcAAAADMTYwCAAAAAEwCQAAAAExCgAAAAEwCwAAAAsxNDExMDUzMjAwOAwAAAABMQ0AAAAIMi84LzIwMjUQAAAA</t>
  </si>
  <si>
    <t>CDIvNy8yMDI1JODDloBH3Qgk4MOWgEfdCBxDSVEuSVExODA4NzEuSVFfRVBTX0VTVC4xMDAxAQAAAIfCAgACAAAACDExLjkwNjgxAQ4AAAAFAAAAATMBAAAABzI2MjczNTYCAAAACjEwMDIyNjU1MDUDAAAABjEwMDE3MwQAAAABMgYAAAABMAcAAAADMTYwCAAAAAEwCQAAAAExCgAAAAEwCwAAAAsxNDExNzUwOTg5MwwAAAABMQ0AAAAIMi84LzIwMjUQAAAACTEvMzEvMjAyNX8HxJaAR90IfwfEloBH3QgfQ0lRLklRMjI0MDU1MjgzLklRX0VQU19FU1QuMTAwMQEAAADzz1oNAgAAAAcwLjM2MTkyAQ4AAAAFAAAAATMBAAAACTQxOTE1MTU0NAIAAAAKMTAwMzYzMTU3MwMAAAAGMTAwMTczBAAAAAEyBgAAAAEwBwAAAAMxNjAIAAAAATAJAAAAATEKAAAAATALAAAACzE0MTI0NzY4NTIxDAAAAAExDQAAAAgyLzgvMjAyNRAAAAAIMi83LzIwMjUk4MOWgEfdCCTgw5aAR90IG0NJUS5JUTk3MTk5LklRX0VQU19FU1QuMTAwMQEAAACvewEAAgAAAAgyOC4xMDAwMwEOAAAABQAAAAEzAQAAAAcyNjM0NzIxAgAAAAoxMDAyNjc4MTc1AwAAAAYxMDAxNzMEAAAAATIGAAAAATAHAAAAAzE2MAgAAAABMAkAAAABMQoAAAABMAsAAAALMTQxMjU0MzM1NjgMAAAAATENAAAACDIvOC8yMDI1EAAAAAgyLzcvMjAyNSTgw5aAR90IJODDloBH3QgcQ0lRLklRMzYzMjYzLklRX0VQU19FU1QuMTAwMQEAAAD/igUAAgAAAAgxMy41Nzg3</t>
  </si>
  <si>
    <t>NAEOAAAABQAAAAEzAQAAAAkxMjg4NDQ3MzACAAAACjEwMDQxMDA0NzIDAAAABjEwMDI3OAQAAAABMgYAAAABMAcAAAADMTYwCAAAAAEwCQAAAAExCgAAAAEwCwAAAAsxNDEyNjEzMjU3MQwAAAABMQ0AAAAIMi84LzIwMjUQAAAACDIvNy8yMDI1JODDloBH3Qgk4MOWgEfdCB1DSVEuSVExMzQwNzQwLklRX0VQU19FU1QuMTAwMQEAAABEdRQAAgAAAAgxMC43MTU4NwEOAAAABQAAAAEzAQAAAAcyNjE4OTUwAgAAAAoxMDA0MjQwMjI3AwAAAAYxMDAxNzMEAAAAATIGAAAAATAHAAAAAzE2MAgAAAABMAkAAAABMQoAAAABMAsAAAALMTQxMjU5ODk3NDUMAAAAATENAAAACDIvOC8yMDI1EAAAAAgyLzcvMjAyNSTgw5aAR90IJODDloBH3QgcQ0lRLklRMjc4Njc5LklRX0VQU19FU1QuMTAwMQEAAACXQAQAAgAAAAgxNS4xMTM5MgEOAAAABQAAAAEzAQAAAAcyNjE4ODAwAgAAAAoxMDAzMDk3MTU2AwAAAAYxMDAxNzMEAAAAATIGAAAAATAHAAAAAzE2MAgAAAABMAkAAAABMQoAAAABMAsAAAALMTQxMTc0OTQ0OTUMAAAAATENAAAACDIvOC8yMDI1EAAAAAkxLzMxLzIwMjUk4MOWgEfdCCTgw5aAR90IHENJUS5JUTI4NTgyNy5JUV9FUFNfRVNULjEwMDEBAAAAg1wEAAIAAAAIMjcuMjE5MTgBDgAAAAUAAAABMwEAAAAHMjYyNzA1MAIAAAAKMTAwMjc5MTc0OAMAAAAGMTAwMTczBAAAAAEyBgAAAAEwBwAAAAMxNjAIAAAA</t>
  </si>
  <si>
    <t>ATAJAAAAATEKAAAAATALAAAACzE0MTIwMzQwOTQxDAAAAAExDQAAAAgyLzgvMjAyNRAAAAAIMi83LzIwMjUk4MOWgEfdCCTgw5aAR90IHENJUS5JUTE3NzAzMS5JUV9FUFNfRVNULjEwMDEBAAAAh7MCAAIAAAAHNS40MTc0OQEOAAAABQAAAAEzAQAAAAcyNjE0NjMyAgAAAAoxMDA0MjQ4NDI4AwAAAAYxMDAxNzMEAAAAATIGAAAAATAHAAAAAzE2MAgAAAABMAkAAAABMQoAAAABMAsAAAALMTQxMTU4NTYyMjcMAAAAATENAAAACDIvOC8yMDI1EAAAAAgyLzcvMjAyNSTgw5aAR90IJODDloBH3QgeQ0lRLklRMjA3NjU0NjMuSVFfRVBTX0VTVC4xMDAxAQAAABfbPAECAAAACDI1LjIzNTc5AQ4AAAAFAAAAATMBAAAACTEyNjkxMDMzNwIAAAAKMTAwMTUzNTYyNgMAAAAGMTAwMTczBAAAAAEyBgAAAAEwBwAAAAMxNjAIAAAAATAJAAAAATEKAAAAATALAAAACzE0MTE5MTI2MjYzDAAAAAExDQAAAAgyLzgvMjAyNRAAAAAIMi83LzIwMjUk4MOWgEfdCCTgw5aAR90IHENJUS5JUTM3MDg1Ny5JUV9FUFNfRVNULjEwMDEBAAAAqagFAAIAAAAILTEuNDY2NzYBDgAAAAUAAAABMwEAAAAHMjU5NDg4NAIAAAAKMTAwMjc3OTk2NwMAAAAGMTAwMTczBAAAAAEyBgAAAAEwBwAAAAMxNjAIAAAAATAJAAAAATEKAAAAATALAAAACzE0MTIxMjIyODUwDAAAAAExDQAAAAgyLzgvMjAyNRAAAAAIMi83LzIwMjUk4MOWgEfdCCTgw5aA</t>
  </si>
  <si>
    <t>R90IHENJUS5JUTI2OTIzMS5JUV9FUFNfRVNULjEwMDEBAAAArxsEAAIAAAAHNS45NTg2MgEOAAAABQAAAAEzAQAAAAcyNjA5MDQ0AgAAAAoxMDAyMTQyMzE0AwAAAAYxMDAxNzMEAAAAATIGAAAAATAHAAAAAzE2MAgAAAABMAkAAAABMQoAAAABMAsAAAALMTQxMjU4NTE4ODAMAAAAATENAAAACDIvOC8yMDI1EAAAAAgyLzcvMjAyNX8HxJaAR90IfwfEloBH3QgbQ0lRLklRMjE4MzUuSVFfRVBTX0VTVC4xMDAxAQAAAEtVAAACAAAACDEzLjE2MTU5AQ4AAAAFAAAAATMBAAAABzI2MzA0MTMCAAAACjEwMDE3OTgyNjgDAAAABjEwMDE3MwQAAAABMgYAAAABMAcAAAADMTYwCAAAAAEwCQAAAAExCgAAAAEwCwAAAAsxNDEyMTI2NTI4MgwAAAABMQ0AAAAIMi84LzIwMjUQAAAACDIvNy8yMDI1fwfEloBH3Qh/B8SWgEfdCBtDSVEuSVEyMjc1MS5JUV9FUFNfRVNULjEwMDEBAAAA31gAAAIAAAAIMTkuOTU4NTEBDgAAAAUAAAABMwEAAAAHMjY0MzY5MQIAAAAKMTAwMjU4Nzg0OAMAAAAGMTAwMTczBAAAAAEyBgAAAAEwBwAAAAMxNjAIAAAAATAJAAAAATEKAAAAATALAAAACzE0MTIwMzQyNzE3DAAAAAExDQAAAAgyLzgvMjAyNRAAAAAIMi83LzIwMjV/B8SWgEfdCH8HxJaAR90IHENJUS5JUTE1OTIzMC5JUV9FUFNfRVNULjEwMDEBAAAA/m0CAAIAAAAHNi4xMjc5OAEOAAAABQAAAAEzAQAAAAcyNjYxMDM1AgAAAAox</t>
  </si>
  <si>
    <t>MDAyNTU0OTg5AwAAAAYxMDAxNzMEAAAAATIGAAAAATAHAAAAAzE2MAgAAAABMAkAAAABMQoAAAABMAsAAAALMTQxMTgyNDI0ODkMAAAAATENAAAACDIvOC8yMDI1EAAAAAgyLzcvMjAyNX8HxJaAR90IfwfEloBH3QgbQ0lRLklRMjkwOTYuSVFfRVBTX0VTVC4xMDAxAQAAAKhxAAACAAAABzguOTg2NTMBDgAAAAUAAAABMwEAAAAIMTEzMTE2NjICAAAACjEwMDIwNDQxMDcDAAAABjEwMDE3MwQAAAABMgYAAAABMAcAAAADMTYwCAAAAAEwCQAAAAExCgAAAAEwCwAAAAsxNDEyNTg2MDY3MgwAAAABMQ0AAAAIMi84LzIwMjUQAAAACDIvNy8yMDI1fwfEloBH3Qh/B8SWgEfdCA==</t>
  </si>
  <si>
    <t>Shares Repurchased (# shares in k)</t>
  </si>
  <si>
    <t>Accounts Payable as a % of Sales</t>
  </si>
  <si>
    <t>Accrued Liabilities as a % of Sales</t>
  </si>
  <si>
    <t>Other Current Liabilities as a % of Sales</t>
  </si>
  <si>
    <t>Lazard, Inc.</t>
  </si>
  <si>
    <t>LAZ</t>
  </si>
  <si>
    <t>Houlihan Lokey, Inc.</t>
  </si>
  <si>
    <t>HLI</t>
  </si>
  <si>
    <t>PJT Partners Inc.</t>
  </si>
  <si>
    <t>PJT</t>
  </si>
  <si>
    <t>Moelis &amp; Company</t>
  </si>
  <si>
    <t>MC</t>
  </si>
  <si>
    <t>NA</t>
  </si>
  <si>
    <t>(Invalid Date)</t>
  </si>
  <si>
    <t>IQ524568</t>
  </si>
  <si>
    <t>IQ544741</t>
  </si>
  <si>
    <t>IQ20999</t>
  </si>
  <si>
    <t>IQ286743412</t>
  </si>
  <si>
    <t>IQ260034573</t>
  </si>
  <si>
    <t>Evercore</t>
  </si>
  <si>
    <t>Evercore Group L.L.C.</t>
  </si>
  <si>
    <t>Evercore Partners LLC</t>
  </si>
  <si>
    <t>International Strategy &amp; Investment Group LLC</t>
  </si>
  <si>
    <t>Evercore ISI Institutional Equities, Research Division</t>
  </si>
  <si>
    <t>IQ54192747</t>
  </si>
  <si>
    <t>IQ53418583</t>
  </si>
  <si>
    <t>IQ9537366</t>
  </si>
  <si>
    <t>IQ100489358</t>
  </si>
  <si>
    <t>Lazard</t>
  </si>
  <si>
    <t>Lazard Asset Management LLC</t>
  </si>
  <si>
    <t>Lazard Group LLC</t>
  </si>
  <si>
    <t>Lazard Freres &amp; Co. LLC</t>
  </si>
  <si>
    <t>FM Partners Holdings LLC</t>
  </si>
  <si>
    <t>IQ4471925</t>
  </si>
  <si>
    <t>IQ22846018</t>
  </si>
  <si>
    <t>IQ661170</t>
  </si>
  <si>
    <t>IQ3534737</t>
  </si>
  <si>
    <t>Houlihan Loke</t>
  </si>
  <si>
    <t>Houlihan Lokey Capital, Inc.</t>
  </si>
  <si>
    <t>Houlihan Lokey GMBH</t>
  </si>
  <si>
    <t>Houlihan Lokey Emea, Llp</t>
  </si>
  <si>
    <t>Houlihan Lokey (China) Limited</t>
  </si>
  <si>
    <t>IQ6644351</t>
  </si>
  <si>
    <t>IQ531530741</t>
  </si>
  <si>
    <t>IQ554976779</t>
  </si>
  <si>
    <t>IQ134462753</t>
  </si>
  <si>
    <t>PJT Partners</t>
  </si>
  <si>
    <t>PJT Partners LP</t>
  </si>
  <si>
    <t>PJT Partners Holdings LP</t>
  </si>
  <si>
    <t>PJT Partners HK Limited</t>
  </si>
  <si>
    <t>PJT Partners (UK) Limited</t>
  </si>
  <si>
    <t>IQ268092746</t>
  </si>
  <si>
    <t>IQ328312056</t>
  </si>
  <si>
    <t>IQ1800409908</t>
  </si>
  <si>
    <t>IQ325465504</t>
  </si>
  <si>
    <t>Moelis &amp; Co</t>
  </si>
  <si>
    <t>Emerson Electric U.K. Limited</t>
  </si>
  <si>
    <t>Emerson Electric Company (India) Private Limited</t>
  </si>
  <si>
    <t>IQ39456800</t>
  </si>
  <si>
    <t>IQ53305215</t>
  </si>
  <si>
    <t>Apple Music Co., Inc.</t>
  </si>
  <si>
    <t>IQ423546094</t>
  </si>
  <si>
    <t>Cerner Corporation</t>
  </si>
  <si>
    <t>NetSuite, Inc.</t>
  </si>
  <si>
    <t>IQ259627</t>
  </si>
  <si>
    <t>IQ139431</t>
  </si>
  <si>
    <t>Citrix Systems International GmbH</t>
  </si>
  <si>
    <t>Citrix Systems Asia Pacific Pty. Ltd.</t>
  </si>
  <si>
    <t>Citrix Systems Italy srl</t>
  </si>
  <si>
    <t>IQ22583406</t>
  </si>
  <si>
    <t>IQ29511868</t>
  </si>
  <si>
    <t>Changing Lives</t>
  </si>
  <si>
    <t>IQ182703434</t>
  </si>
  <si>
    <t>CommVault Systems (India) Private Limited</t>
  </si>
  <si>
    <t>CommVault Systems Mexico S. de R.L. de C.V.</t>
  </si>
  <si>
    <t>Commvault Systems (Australia) Pty. Ltd.</t>
  </si>
  <si>
    <t>IQ78887320</t>
  </si>
  <si>
    <t>IQ119046841</t>
  </si>
  <si>
    <t>EGA Invest Anstalt</t>
  </si>
  <si>
    <t>IQ566968141</t>
  </si>
  <si>
    <t>Harmonic AI, Inc.</t>
  </si>
  <si>
    <t>IQ713550374</t>
  </si>
  <si>
    <t>IQ697518070</t>
  </si>
  <si>
    <t>NetApp India Pvt. Ltd.</t>
  </si>
  <si>
    <t>NetApp Australia Pty. Ltd.</t>
  </si>
  <si>
    <t>Netapps GmbH</t>
  </si>
  <si>
    <t>IQ35346556</t>
  </si>
  <si>
    <t>IQ49154429</t>
  </si>
  <si>
    <t>IQ675915087</t>
  </si>
  <si>
    <t>Inseego North America, LLC</t>
  </si>
  <si>
    <t>Inseego Wireless, Inc.</t>
  </si>
  <si>
    <t>Inseego Japan K K</t>
  </si>
  <si>
    <t>IQ1799916204</t>
  </si>
  <si>
    <t>IQ1799920214</t>
  </si>
  <si>
    <t>Samohyb s.r.o.</t>
  </si>
  <si>
    <t>IQ1682613040</t>
  </si>
  <si>
    <t>5.3697k</t>
  </si>
  <si>
    <t>Employee Compensation &amp; Benefits</t>
  </si>
  <si>
    <t>Compensation Ratio</t>
  </si>
  <si>
    <t>2Q</t>
  </si>
  <si>
    <t>Report</t>
  </si>
  <si>
    <t>4Q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</si>
</sst>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quot;$&quot;* #,##0.0_);_(&quot;$&quot;* \(#,##0.0\);_(&quot;$&quot;* &quot;-&quot;?_);_(@_)"/>
    <numFmt numFmtId="165" formatCode="_(* #,##0.0_);_(* \(#,##0.0\);_(* &quot;-&quot;?_);_(@_)"/>
    <numFmt numFmtId="166" formatCode="#,##0.0%_);\(#,##0.0%\)"/>
    <numFmt numFmtId="167" formatCode="#,##0.0%_);\(#,##0.0%_)"/>
    <numFmt numFmtId="168" formatCode="&quot;$&quot;#,##0.0_);\(&quot;$&quot;#,##0.0\)"/>
    <numFmt numFmtId="169" formatCode="0.0%"/>
    <numFmt numFmtId="170" formatCode="&quot;$&quot;#,##0.0_);[Red]\(&quot;$&quot;#,##0.0\)"/>
    <numFmt numFmtId="171" formatCode="#.#;\(#.#\)"/>
    <numFmt numFmtId="172" formatCode="0.0;\(0.0\)"/>
    <numFmt numFmtId="173" formatCode="0.0%;\(0.0%\)"/>
    <numFmt numFmtId="174" formatCode="#,##0.0;\(#,##0.0\)"/>
    <numFmt numFmtId="175" formatCode="#,##0.0_);\(#,##0.0\)"/>
    <numFmt numFmtId="176" formatCode="&quot;$&quot;#,##0.00_);\(&quot;$&quot;#,##0.00\);&quot;OK!&quot;"/>
    <numFmt numFmtId="177" formatCode="_(* #,##0.0_);_(* \(#,##0.0\);_(* &quot;-&quot;??_);_(@_)"/>
    <numFmt numFmtId="178" formatCode="0.0\x;\(0.0\x\)"/>
    <numFmt numFmtId="179" formatCode="0.00\x;\(0.00\x\)"/>
    <numFmt numFmtId="180" formatCode="0.00%;\(0.00%\)"/>
    <numFmt numFmtId="181" formatCode="0.0\ \x"/>
    <numFmt numFmtId="182" formatCode="#,##0.0%_);\(#,##0.0%\);* &quot;-&quot;;_(@_)"/>
    <numFmt numFmtId="183" formatCode="#,##0.00%_);\(#,##0.00%_)"/>
    <numFmt numFmtId="184" formatCode="#,##0.00%_);\(#,##0.00%\)"/>
    <numFmt numFmtId="185" formatCode="0.00%_);\(0.00%\)"/>
    <numFmt numFmtId="186" formatCode="0.0\x"/>
    <numFmt numFmtId="187" formatCode="yyyy&quot;E&quot;"/>
    <numFmt numFmtId="188" formatCode="#,##0.0%_);\(#,##0.0\)%"/>
    <numFmt numFmtId="189" formatCode="0.0\x_);\(0.0\x\)"/>
    <numFmt numFmtId="190" formatCode="[$-409]d\-mmm;@"/>
    <numFmt numFmtId="191" formatCode="0.0"/>
    <numFmt numFmtId="192" formatCode="0.00_);\(0.00\)"/>
    <numFmt numFmtId="193" formatCode="#,##0.0\x_);\(#,##0.0\x_)"/>
    <numFmt numFmtId="194" formatCode="_(0.0%_);\(0.0%\);_(&quot;-&quot;_)_%"/>
    <numFmt numFmtId="195" formatCode="_(* #,##0.00_);_(* \(#,##0.00\);_(* &quot;-&quot;?_);_(@_)"/>
    <numFmt numFmtId="196" formatCode="yyyy&quot;A&quot;"/>
    <numFmt numFmtId="197" formatCode="_(&quot;$&quot;* #,##0.0_);_(&quot;$&quot;* \(#,##0.0\);_(&quot;$&quot;* &quot;-&quot;??_);_(@_)"/>
    <numFmt numFmtId="198" formatCode="#,##0.0%_);\(#,##0.0%\);&quot;-&quot;"/>
    <numFmt numFmtId="199" formatCode="_(&quot;$&quot;* #,##0_);_(&quot;$&quot;* \(#,##0\);_(&quot;$&quot;* &quot;-&quot;??_);_(@_)"/>
    <numFmt numFmtId="200" formatCode="yyyy"/>
    <numFmt numFmtId="201" formatCode="#,##0.0\x_);\(#,##0.0\x\);&quot;-&quot;"/>
    <numFmt numFmtId="202" formatCode="&quot;Check!&quot;;&quot;Check!&quot;;&quot;OK!&quot;"/>
    <numFmt numFmtId="203" formatCode="&quot;$&quot;#,##0"/>
    <numFmt numFmtId="204" formatCode="&quot;$&quot;#,##0.00"/>
    <numFmt numFmtId="205" formatCode="&quot;$&quot;#,##0.0"/>
    <numFmt numFmtId="206" formatCode="0.0&quot;x&quot;"/>
    <numFmt numFmtId="207" formatCode="&quot;&quot;"/>
    <numFmt numFmtId="208" formatCode="_([$$-409]* #,##0_);_([$$-409]* \(#,##0\);_([$$-409]* &quot;-&quot;??_);_(@_)"/>
    <numFmt numFmtId="209" formatCode="#,##0.0%_);\(#,##0.0%\);_(@_)"/>
    <numFmt numFmtId="210" formatCode="_([$$-409]* #,##0.00_);_([$$-409]* \(#,##0.00\);_([$$-409]* &quot;-&quot;??_);_(@_)"/>
  </numFmts>
  <fonts count="74">
    <font>
      <sz val="11"/>
      <color theme="1"/>
      <name val="Calibri"/>
      <family val="2"/>
      <scheme val="minor"/>
    </font>
    <font>
      <u/>
      <sz val="11"/>
      <color theme="10"/>
      <name val="Calibri"/>
      <family val="2"/>
      <scheme val="minor"/>
    </font>
    <font>
      <sz val="11"/>
      <color theme="0"/>
      <name val="Garamond"/>
      <family val="1"/>
    </font>
    <font>
      <b/>
      <sz val="9"/>
      <color indexed="81"/>
      <name val="Tahoma"/>
      <family val="2"/>
    </font>
    <font>
      <sz val="9"/>
      <color indexed="81"/>
      <name val="Tahoma"/>
      <family val="2"/>
    </font>
    <font>
      <sz val="11"/>
      <color theme="1"/>
      <name val="Calibri"/>
      <family val="2"/>
      <scheme val="minor"/>
    </font>
    <font>
      <u/>
      <sz val="11"/>
      <color theme="1"/>
      <name val="Abadi"/>
      <family val="2"/>
    </font>
    <font>
      <sz val="11"/>
      <color theme="1"/>
      <name val="Abadi"/>
      <family val="2"/>
    </font>
    <font>
      <i/>
      <sz val="11"/>
      <color theme="1"/>
      <name val="Abadi"/>
      <family val="2"/>
    </font>
    <font>
      <sz val="11"/>
      <color rgb="FF008000"/>
      <name val="Abadi"/>
      <family val="2"/>
    </font>
    <font>
      <sz val="11"/>
      <name val="Abadi"/>
      <family val="2"/>
    </font>
    <font>
      <sz val="11"/>
      <color theme="0" tint="-0.14999847407452621"/>
      <name val="Abadi"/>
      <family val="2"/>
    </font>
    <font>
      <i/>
      <sz val="11"/>
      <name val="Abadi"/>
      <family val="2"/>
    </font>
    <font>
      <sz val="11"/>
      <color theme="0"/>
      <name val="Abadi"/>
      <family val="2"/>
    </font>
    <font>
      <sz val="11"/>
      <color rgb="FFC8C8C8"/>
      <name val="Abadi"/>
      <family val="2"/>
    </font>
    <font>
      <i/>
      <sz val="10"/>
      <color theme="0"/>
      <name val="Abadi"/>
      <family val="2"/>
    </font>
    <font>
      <u/>
      <sz val="11"/>
      <color theme="0" tint="-0.14999847407452621"/>
      <name val="Abadi"/>
      <family val="2"/>
    </font>
    <font>
      <sz val="10"/>
      <color theme="0" tint="-0.14999847407452621"/>
      <name val="Abadi"/>
      <family val="2"/>
    </font>
    <font>
      <sz val="10"/>
      <color theme="1"/>
      <name val="Abadi"/>
      <family val="2"/>
    </font>
    <font>
      <i/>
      <sz val="10"/>
      <color theme="1"/>
      <name val="Abadi"/>
      <family val="2"/>
    </font>
    <font>
      <sz val="10"/>
      <color theme="0"/>
      <name val="Abadi"/>
      <family val="2"/>
    </font>
    <font>
      <sz val="10"/>
      <color rgb="FF0000FF"/>
      <name val="Abadi"/>
      <family val="2"/>
    </font>
    <font>
      <sz val="10"/>
      <name val="Abadi"/>
      <family val="2"/>
    </font>
    <font>
      <sz val="10"/>
      <color rgb="FF008000"/>
      <name val="Abadi"/>
      <family val="2"/>
    </font>
    <font>
      <sz val="10"/>
      <color rgb="FF000000"/>
      <name val="Abadi"/>
      <family val="2"/>
    </font>
    <font>
      <i/>
      <sz val="10"/>
      <color theme="0" tint="-0.14999847407452621"/>
      <name val="Abadi"/>
      <family val="2"/>
    </font>
    <font>
      <i/>
      <sz val="10"/>
      <name val="Abadi"/>
      <family val="2"/>
    </font>
    <font>
      <i/>
      <sz val="10"/>
      <color rgb="FF0000FF"/>
      <name val="Abadi"/>
      <family val="2"/>
    </font>
    <font>
      <sz val="10"/>
      <color rgb="FFC8C8C8"/>
      <name val="Abadi"/>
      <family val="2"/>
    </font>
    <font>
      <sz val="10"/>
      <color theme="0" tint="-0.499984740745262"/>
      <name val="Abadi"/>
      <family val="2"/>
    </font>
    <font>
      <sz val="10"/>
      <color rgb="FFC00000"/>
      <name val="Abadi"/>
      <family val="2"/>
    </font>
    <font>
      <sz val="10"/>
      <color rgb="FFB4B4B4"/>
      <name val="Abadi"/>
      <family val="2"/>
    </font>
    <font>
      <u/>
      <sz val="10"/>
      <color theme="1"/>
      <name val="Abadi"/>
      <family val="2"/>
    </font>
    <font>
      <sz val="10"/>
      <color rgb="FF002060"/>
      <name val="Abadi"/>
      <family val="2"/>
    </font>
    <font>
      <i/>
      <sz val="10"/>
      <color rgb="FF008000"/>
      <name val="Abadi"/>
      <family val="2"/>
    </font>
    <font>
      <sz val="10"/>
      <color rgb="FF00355F"/>
      <name val="Abadi"/>
      <family val="2"/>
    </font>
    <font>
      <u/>
      <sz val="14"/>
      <color theme="1"/>
      <name val="Abadi"/>
      <family val="2"/>
    </font>
    <font>
      <sz val="10"/>
      <color rgb="FFFFFFFF"/>
      <name val="Abadi"/>
      <family val="2"/>
    </font>
    <font>
      <i/>
      <sz val="11"/>
      <name val="Garamond"/>
      <family val="1"/>
    </font>
    <font>
      <sz val="10"/>
      <color indexed="8"/>
      <name val="Abadi"/>
      <family val="2"/>
    </font>
    <font>
      <sz val="10"/>
      <color indexed="8" tint="-0.14999847407452621"/>
      <name val="Abadi"/>
      <family val="2"/>
    </font>
    <font>
      <sz val="10"/>
      <color rgb="FFFF0000"/>
      <name val="Abadi"/>
      <family val="2"/>
    </font>
    <font>
      <u/>
      <sz val="14"/>
      <color rgb="FF000000"/>
      <name val="Abadi"/>
      <family val="2"/>
    </font>
    <font>
      <sz val="11"/>
      <color rgb="FFFF0000"/>
      <name val="Abadi"/>
      <family val="2"/>
    </font>
    <font>
      <sz val="10"/>
      <color rgb="FF760000"/>
      <name val="Abadi"/>
      <family val="2"/>
    </font>
    <font>
      <sz val="10"/>
      <color rgb="FFB40000"/>
      <name val="Abadi"/>
      <family val="2"/>
    </font>
    <font>
      <u val="singleAccounting"/>
      <sz val="10"/>
      <name val="Abadi"/>
      <family val="2"/>
    </font>
    <font>
      <u val="singleAccounting"/>
      <sz val="10"/>
      <color theme="1"/>
      <name val="Abadi"/>
      <family val="2"/>
    </font>
    <font>
      <u/>
      <sz val="11"/>
      <color theme="10"/>
      <name val="Abadi"/>
      <family val="2"/>
    </font>
    <font>
      <sz val="11"/>
      <color rgb="FF0000FF"/>
      <name val="Abadi"/>
      <family val="2"/>
    </font>
    <font>
      <u val="singleAccounting"/>
      <sz val="10"/>
      <color rgb="FF000000"/>
      <name val="Abadi"/>
      <family val="2"/>
    </font>
    <font>
      <u/>
      <sz val="11"/>
      <color theme="0"/>
      <name val="Abadi"/>
      <family val="2"/>
    </font>
    <font>
      <i/>
      <sz val="10"/>
      <color theme="0" tint="-0.14999847407452621"/>
      <name val="Abadi Extra Light"/>
      <family val="2"/>
    </font>
    <font>
      <i/>
      <sz val="10"/>
      <color theme="1"/>
      <name val="Abadi Extra Light"/>
      <family val="2"/>
    </font>
    <font>
      <i/>
      <sz val="10"/>
      <color rgb="FF008000"/>
      <name val="Abadi Extra Light"/>
      <family val="2"/>
    </font>
    <font>
      <u val="singleAccounting"/>
      <sz val="10"/>
      <color theme="0"/>
      <name val="Abadi"/>
      <family val="2"/>
    </font>
    <font>
      <u val="singleAccounting"/>
      <sz val="10"/>
      <color rgb="FFFFFFFF"/>
      <name val="Abadi"/>
      <family val="2"/>
    </font>
    <font>
      <sz val="1"/>
      <color theme="1"/>
      <name val="Abadi"/>
      <family val="2"/>
    </font>
    <font>
      <sz val="1"/>
      <color theme="0"/>
      <name val="Abadi"/>
      <family val="2"/>
    </font>
    <font>
      <sz val="16"/>
      <color theme="1"/>
      <name val="Abadi"/>
      <family val="2"/>
    </font>
    <font>
      <sz val="10"/>
      <name val="Arial"/>
      <family val="2"/>
    </font>
    <font>
      <sz val="10"/>
      <color indexed="9"/>
      <name val="Abadi"/>
      <family val="2"/>
    </font>
    <font>
      <b/>
      <sz val="24"/>
      <color indexed="9"/>
      <name val="Abadi"/>
      <family val="2"/>
    </font>
    <font>
      <b/>
      <sz val="10"/>
      <name val="Abadi"/>
      <family val="2"/>
    </font>
    <font>
      <sz val="10"/>
      <color indexed="12"/>
      <name val="Abadi"/>
      <family val="2"/>
    </font>
    <font>
      <sz val="10"/>
      <color indexed="17"/>
      <name val="Abadi"/>
      <family val="2"/>
    </font>
    <font>
      <i/>
      <sz val="10"/>
      <color rgb="FF000000"/>
      <name val="Abadi"/>
      <family val="2"/>
    </font>
    <font>
      <sz val="11"/>
      <color rgb="FF000000"/>
      <name val="Abadi"/>
      <family val="2"/>
    </font>
    <font>
      <b/>
      <sz val="9"/>
      <color rgb="FF000000"/>
      <name val="Tahoma"/>
      <family val="2"/>
    </font>
    <font>
      <sz val="9"/>
      <color rgb="FF000000"/>
      <name val="Tahoma"/>
      <family val="2"/>
    </font>
    <font>
      <b/>
      <sz val="10"/>
      <color rgb="FF0000FF"/>
      <name val="Abadi"/>
      <family val="2"/>
    </font>
    <font>
      <b/>
      <sz val="10"/>
      <color theme="1"/>
      <name val="Abadi"/>
      <family val="2"/>
    </font>
    <font>
      <sz val="10"/>
      <color rgb="FF0000FF"/>
      <name val="Abadi"/>
      <family val="2"/>
    </font>
    <font>
      <b/>
      <sz val="10"/>
      <color rgb="FF0000FF"/>
      <name val="Abadi"/>
      <family val="2"/>
    </font>
  </fonts>
  <fills count="22">
    <fill>
      <patternFill patternType="none"/>
    </fill>
    <fill>
      <patternFill patternType="gray125"/>
    </fill>
    <fill>
      <patternFill patternType="solid">
        <fgColor rgb="FFFFFF99"/>
        <bgColor indexed="64"/>
      </patternFill>
    </fill>
    <fill>
      <patternFill patternType="solid">
        <fgColor rgb="FF760000"/>
        <bgColor indexed="64"/>
      </patternFill>
    </fill>
    <fill>
      <patternFill patternType="solid">
        <fgColor rgb="FF0000FF"/>
        <bgColor indexed="64"/>
      </patternFill>
    </fill>
    <fill>
      <patternFill patternType="solid">
        <fgColor rgb="FF008000"/>
        <bgColor indexed="64"/>
      </patternFill>
    </fill>
    <fill>
      <patternFill patternType="solid">
        <fgColor rgb="FFFFDF9F"/>
        <bgColor indexed="64"/>
      </patternFill>
    </fill>
    <fill>
      <patternFill patternType="solid">
        <fgColor rgb="FF002060"/>
        <bgColor indexed="64"/>
      </patternFill>
    </fill>
    <fill>
      <patternFill patternType="solid">
        <fgColor theme="0" tint="-0.14999847407452621"/>
        <bgColor indexed="64"/>
      </patternFill>
    </fill>
    <fill>
      <patternFill patternType="solid">
        <fgColor rgb="FFC0DEF6"/>
        <bgColor indexed="64"/>
      </patternFill>
    </fill>
    <fill>
      <patternFill patternType="solid">
        <fgColor rgb="FFD7D7D7"/>
        <bgColor indexed="64"/>
      </patternFill>
    </fill>
    <fill>
      <patternFill patternType="solid">
        <fgColor rgb="FFEBEBEB"/>
        <bgColor indexed="64"/>
      </patternFill>
    </fill>
    <fill>
      <patternFill patternType="solid">
        <fgColor rgb="FFFFFFCC"/>
      </patternFill>
    </fill>
    <fill>
      <patternFill patternType="solid">
        <fgColor rgb="FFBDD7EE"/>
        <bgColor indexed="64"/>
      </patternFill>
    </fill>
    <fill>
      <patternFill patternType="solid">
        <fgColor rgb="FF00355F"/>
        <bgColor indexed="64"/>
      </patternFill>
    </fill>
    <fill>
      <patternFill patternType="solid">
        <fgColor rgb="FFFFD5D5"/>
        <bgColor indexed="64"/>
      </patternFill>
    </fill>
    <fill>
      <patternFill patternType="solid">
        <fgColor rgb="FF00386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indexed="8"/>
        <bgColor indexed="64"/>
      </patternFill>
    </fill>
    <fill>
      <patternFill patternType="solid">
        <fgColor rgb="FF003562"/>
        <bgColor indexed="64"/>
      </patternFill>
    </fill>
  </fills>
  <borders count="84">
    <border>
      <left/>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ashed">
        <color indexed="64"/>
      </left>
      <right/>
      <top/>
      <bottom style="dashed">
        <color auto="1"/>
      </bottom>
      <diagonal/>
    </border>
    <border>
      <left/>
      <right style="dashed">
        <color indexed="64"/>
      </right>
      <top/>
      <bottom style="dashed">
        <color indexed="64"/>
      </bottom>
      <diagonal/>
    </border>
    <border>
      <left style="dashed">
        <color indexed="64"/>
      </left>
      <right/>
      <top/>
      <bottom/>
      <diagonal/>
    </border>
    <border>
      <left/>
      <right style="dashed">
        <color indexed="64"/>
      </right>
      <top/>
      <bottom/>
      <diagonal/>
    </border>
    <border>
      <left/>
      <right/>
      <top/>
      <bottom style="dashed">
        <color auto="1"/>
      </bottom>
      <diagonal/>
    </border>
    <border>
      <left style="dashed">
        <color auto="1"/>
      </left>
      <right style="dashed">
        <color auto="1"/>
      </right>
      <top style="dashed">
        <color auto="1"/>
      </top>
      <bottom style="dashed">
        <color auto="1"/>
      </bottom>
      <diagonal/>
    </border>
    <border>
      <left/>
      <right/>
      <top style="dashed">
        <color indexed="64"/>
      </top>
      <bottom style="dashed">
        <color indexed="64"/>
      </bottom>
      <diagonal/>
    </border>
    <border>
      <left/>
      <right/>
      <top style="thin">
        <color indexed="64"/>
      </top>
      <bottom style="thin">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bottom/>
      <diagonal/>
    </border>
    <border>
      <left/>
      <right style="thin">
        <color indexed="64"/>
      </right>
      <top/>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dashed">
        <color auto="1"/>
      </bottom>
      <diagonal/>
    </border>
    <border>
      <left/>
      <right/>
      <top style="medium">
        <color auto="1"/>
      </top>
      <bottom style="dashed">
        <color auto="1"/>
      </bottom>
      <diagonal/>
    </border>
    <border>
      <left/>
      <right style="medium">
        <color auto="1"/>
      </right>
      <top style="medium">
        <color auto="1"/>
      </top>
      <bottom style="dashed">
        <color auto="1"/>
      </bottom>
      <diagonal/>
    </border>
    <border>
      <left style="medium">
        <color indexed="64"/>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medium">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auto="1"/>
      </right>
      <top style="thin">
        <color indexed="64"/>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theme="0"/>
      </left>
      <right/>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style="hair">
        <color auto="1"/>
      </left>
      <right/>
      <top/>
      <bottom/>
      <diagonal/>
    </border>
    <border>
      <left style="hair">
        <color auto="1"/>
      </left>
      <right/>
      <top/>
      <bottom style="thin">
        <color indexed="64"/>
      </bottom>
      <diagonal/>
    </border>
    <border>
      <left style="hair">
        <color auto="1"/>
      </left>
      <right/>
      <top style="thin">
        <color indexed="64"/>
      </top>
      <bottom/>
      <diagonal/>
    </border>
    <border>
      <left/>
      <right style="hair">
        <color auto="1"/>
      </right>
      <top/>
      <bottom/>
      <diagonal/>
    </border>
    <border>
      <left/>
      <right style="hair">
        <color auto="1"/>
      </right>
      <top style="thin">
        <color indexed="64"/>
      </top>
      <bottom/>
      <diagonal/>
    </border>
    <border>
      <left style="dashed">
        <color indexed="64"/>
      </left>
      <right/>
      <top style="thin">
        <color indexed="64"/>
      </top>
      <bottom/>
      <diagonal/>
    </border>
    <border>
      <left/>
      <right style="dashed">
        <color indexed="64"/>
      </right>
      <top style="thin">
        <color indexed="64"/>
      </top>
      <bottom/>
      <diagonal/>
    </border>
    <border>
      <left/>
      <right style="hair">
        <color auto="1"/>
      </right>
      <top/>
      <bottom style="thin">
        <color indexed="64"/>
      </bottom>
      <diagonal/>
    </border>
    <border>
      <left style="hair">
        <color auto="1"/>
      </left>
      <right/>
      <top style="dashed">
        <color indexed="64"/>
      </top>
      <bottom style="dashed">
        <color indexed="64"/>
      </bottom>
      <diagonal/>
    </border>
    <border>
      <left/>
      <right style="hair">
        <color auto="1"/>
      </right>
      <top style="dashed">
        <color indexed="64"/>
      </top>
      <bottom style="dashed">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style="medium">
        <color theme="0"/>
      </bottom>
      <diagonal/>
    </border>
    <border>
      <left/>
      <right style="thin">
        <color indexed="64"/>
      </right>
      <top style="thin">
        <color indexed="64"/>
      </top>
      <bottom style="medium">
        <color theme="0"/>
      </bottom>
      <diagonal/>
    </border>
    <border>
      <left style="thin">
        <color indexed="64"/>
      </left>
      <right style="thin">
        <color indexed="64"/>
      </right>
      <top style="thin">
        <color indexed="64"/>
      </top>
      <bottom style="medium">
        <color theme="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top style="medium">
        <color auto="1"/>
      </top>
      <bottom style="thin">
        <color indexed="64"/>
      </bottom>
      <diagonal/>
    </border>
    <border>
      <left style="medium">
        <color auto="1"/>
      </left>
      <right style="thin">
        <color indexed="64"/>
      </right>
      <top/>
      <bottom/>
      <diagonal/>
    </border>
    <border>
      <left/>
      <right style="thin">
        <color indexed="64"/>
      </right>
      <top/>
      <bottom style="medium">
        <color indexed="64"/>
      </bottom>
      <diagonal/>
    </border>
  </borders>
  <cellStyleXfs count="7">
    <xf numFmtId="0" fontId="0" fillId="0" borderId="0"/>
    <xf numFmtId="0" fontId="1" fillId="0" borderId="0" applyNumberForma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5" fillId="12" borderId="28" applyNumberFormat="0" applyFont="0" applyAlignment="0" applyProtection="0"/>
    <xf numFmtId="44" fontId="5" fillId="0" borderId="0" applyFont="0" applyFill="0" applyBorder="0" applyAlignment="0" applyProtection="0"/>
    <xf numFmtId="0" fontId="60" fillId="0" borderId="0"/>
  </cellStyleXfs>
  <cellXfs count="1091">
    <xf numFmtId="0" fontId="0" fillId="0" borderId="0" xfId="0"/>
    <xf numFmtId="0" fontId="2" fillId="14" borderId="3" xfId="0" applyFont="1" applyFill="1" applyBorder="1" applyAlignment="1">
      <alignment horizontal="centerContinuous"/>
    </xf>
    <xf numFmtId="0" fontId="6" fillId="0" borderId="0" xfId="0" applyFont="1"/>
    <xf numFmtId="0" fontId="7" fillId="0" borderId="0" xfId="0" applyFont="1"/>
    <xf numFmtId="0" fontId="8" fillId="0" borderId="0" xfId="0" applyFont="1"/>
    <xf numFmtId="0" fontId="8" fillId="0" borderId="0" xfId="0" applyFont="1" applyAlignment="1">
      <alignment horizontal="left" indent="1"/>
    </xf>
    <xf numFmtId="0" fontId="14" fillId="0" borderId="0" xfId="0" applyFont="1"/>
    <xf numFmtId="0" fontId="7" fillId="0" borderId="15" xfId="0" applyFont="1" applyBorder="1"/>
    <xf numFmtId="0" fontId="7" fillId="0" borderId="20" xfId="0" applyFont="1" applyBorder="1"/>
    <xf numFmtId="0" fontId="7" fillId="0" borderId="21" xfId="0" applyFont="1" applyBorder="1"/>
    <xf numFmtId="0" fontId="7" fillId="0" borderId="0" xfId="0" applyFont="1" applyAlignment="1">
      <alignment horizontal="center"/>
    </xf>
    <xf numFmtId="0" fontId="15" fillId="0" borderId="0" xfId="0" applyFont="1"/>
    <xf numFmtId="0" fontId="7" fillId="0" borderId="18" xfId="0" applyFont="1" applyBorder="1"/>
    <xf numFmtId="0" fontId="10" fillId="0" borderId="0" xfId="0" applyFont="1"/>
    <xf numFmtId="0" fontId="16" fillId="0" borderId="0" xfId="0" applyFont="1" applyAlignment="1">
      <alignment horizontal="center"/>
    </xf>
    <xf numFmtId="0" fontId="11" fillId="0" borderId="0" xfId="0" applyFont="1" applyAlignment="1">
      <alignment horizontal="center"/>
    </xf>
    <xf numFmtId="0" fontId="7" fillId="0" borderId="16" xfId="0" applyFont="1" applyBorder="1"/>
    <xf numFmtId="0" fontId="8" fillId="0" borderId="20" xfId="0" applyFont="1" applyBorder="1" applyAlignment="1">
      <alignment horizontal="left" indent="1"/>
    </xf>
    <xf numFmtId="0" fontId="6" fillId="0" borderId="0" xfId="0" applyFont="1" applyAlignment="1">
      <alignment horizontal="center"/>
    </xf>
    <xf numFmtId="0" fontId="7" fillId="0" borderId="0" xfId="0" applyFont="1" applyAlignment="1">
      <alignment horizontal="left" indent="1"/>
    </xf>
    <xf numFmtId="0" fontId="9" fillId="0" borderId="16" xfId="0" applyFont="1" applyBorder="1"/>
    <xf numFmtId="0" fontId="7" fillId="0" borderId="17" xfId="0" applyFont="1" applyBorder="1"/>
    <xf numFmtId="0" fontId="17" fillId="0" borderId="0" xfId="0" applyFont="1" applyAlignment="1">
      <alignment horizontal="center"/>
    </xf>
    <xf numFmtId="0" fontId="18" fillId="0" borderId="0" xfId="0" applyFont="1"/>
    <xf numFmtId="0" fontId="19" fillId="0" borderId="0" xfId="0" applyFont="1"/>
    <xf numFmtId="0" fontId="18" fillId="0" borderId="53" xfId="0" applyFont="1" applyBorder="1" applyAlignment="1">
      <alignment horizontal="left" indent="2"/>
    </xf>
    <xf numFmtId="0" fontId="20" fillId="14" borderId="3" xfId="0" applyFont="1" applyFill="1" applyBorder="1" applyAlignment="1">
      <alignment horizontal="centerContinuous"/>
    </xf>
    <xf numFmtId="0" fontId="18" fillId="0" borderId="32" xfId="0" applyFont="1" applyBorder="1" applyAlignment="1">
      <alignment horizontal="left" indent="2"/>
    </xf>
    <xf numFmtId="0" fontId="18" fillId="0" borderId="0" xfId="0" applyFont="1" applyAlignment="1">
      <alignment horizontal="left" indent="1"/>
    </xf>
    <xf numFmtId="0" fontId="18" fillId="10" borderId="0" xfId="0" applyFont="1" applyFill="1"/>
    <xf numFmtId="0" fontId="18" fillId="11" borderId="0" xfId="0" applyFont="1" applyFill="1"/>
    <xf numFmtId="175" fontId="21" fillId="10" borderId="21" xfId="0" applyNumberFormat="1" applyFont="1" applyFill="1" applyBorder="1"/>
    <xf numFmtId="175" fontId="18" fillId="0" borderId="21" xfId="0" applyNumberFormat="1" applyFont="1" applyBorder="1"/>
    <xf numFmtId="175" fontId="21" fillId="11" borderId="21" xfId="0" applyNumberFormat="1" applyFont="1" applyFill="1" applyBorder="1"/>
    <xf numFmtId="175" fontId="22" fillId="11" borderId="21" xfId="0" applyNumberFormat="1" applyFont="1" applyFill="1" applyBorder="1"/>
    <xf numFmtId="175" fontId="22" fillId="0" borderId="21" xfId="0" applyNumberFormat="1" applyFont="1" applyBorder="1"/>
    <xf numFmtId="172" fontId="18" fillId="10" borderId="0" xfId="0" applyNumberFormat="1" applyFont="1" applyFill="1"/>
    <xf numFmtId="175" fontId="21" fillId="10" borderId="0" xfId="0" applyNumberFormat="1" applyFont="1" applyFill="1"/>
    <xf numFmtId="175" fontId="18" fillId="0" borderId="0" xfId="0" applyNumberFormat="1" applyFont="1"/>
    <xf numFmtId="175" fontId="21" fillId="11" borderId="0" xfId="0" applyNumberFormat="1" applyFont="1" applyFill="1"/>
    <xf numFmtId="175" fontId="22" fillId="11" borderId="0" xfId="0" applyNumberFormat="1" applyFont="1" applyFill="1"/>
    <xf numFmtId="175" fontId="22" fillId="0" borderId="0" xfId="0" applyNumberFormat="1" applyFont="1"/>
    <xf numFmtId="172" fontId="18" fillId="11" borderId="0" xfId="0" applyNumberFormat="1" applyFont="1" applyFill="1"/>
    <xf numFmtId="175" fontId="23" fillId="11" borderId="0" xfId="0" applyNumberFormat="1" applyFont="1" applyFill="1"/>
    <xf numFmtId="175" fontId="23" fillId="0" borderId="0" xfId="0" applyNumberFormat="1" applyFont="1"/>
    <xf numFmtId="171" fontId="18" fillId="10" borderId="0" xfId="0" applyNumberFormat="1" applyFont="1" applyFill="1"/>
    <xf numFmtId="171" fontId="18" fillId="11" borderId="0" xfId="0" applyNumberFormat="1" applyFont="1" applyFill="1"/>
    <xf numFmtId="175" fontId="21" fillId="0" borderId="0" xfId="0" applyNumberFormat="1" applyFont="1"/>
    <xf numFmtId="175" fontId="21" fillId="0" borderId="21" xfId="0" applyNumberFormat="1" applyFont="1" applyBorder="1"/>
    <xf numFmtId="0" fontId="18" fillId="0" borderId="0" xfId="0" applyFont="1" applyAlignment="1">
      <alignment horizontal="left"/>
    </xf>
    <xf numFmtId="7" fontId="18" fillId="10" borderId="0" xfId="0" applyNumberFormat="1" applyFont="1" applyFill="1"/>
    <xf numFmtId="7" fontId="18" fillId="0" borderId="0" xfId="0" applyNumberFormat="1" applyFont="1"/>
    <xf numFmtId="7" fontId="18" fillId="11" borderId="0" xfId="0" applyNumberFormat="1" applyFont="1" applyFill="1"/>
    <xf numFmtId="175" fontId="18" fillId="10" borderId="21" xfId="0" applyNumberFormat="1" applyFont="1" applyFill="1" applyBorder="1"/>
    <xf numFmtId="175" fontId="18" fillId="11" borderId="21" xfId="0" applyNumberFormat="1" applyFont="1" applyFill="1" applyBorder="1"/>
    <xf numFmtId="0" fontId="22" fillId="10" borderId="0" xfId="0" applyFont="1" applyFill="1"/>
    <xf numFmtId="0" fontId="22" fillId="0" borderId="0" xfId="0" applyFont="1"/>
    <xf numFmtId="0" fontId="22" fillId="11" borderId="0" xfId="0" applyFont="1" applyFill="1"/>
    <xf numFmtId="173" fontId="22" fillId="10" borderId="0" xfId="0" applyNumberFormat="1" applyFont="1" applyFill="1" applyAlignment="1">
      <alignment horizontal="right"/>
    </xf>
    <xf numFmtId="173" fontId="22" fillId="0" borderId="0" xfId="0" applyNumberFormat="1" applyFont="1" applyAlignment="1">
      <alignment horizontal="right"/>
    </xf>
    <xf numFmtId="173" fontId="22" fillId="11" borderId="0" xfId="0" applyNumberFormat="1" applyFont="1" applyFill="1" applyAlignment="1">
      <alignment horizontal="right"/>
    </xf>
    <xf numFmtId="173" fontId="23" fillId="11" borderId="0" xfId="0" applyNumberFormat="1" applyFont="1" applyFill="1" applyAlignment="1">
      <alignment horizontal="right"/>
    </xf>
    <xf numFmtId="173" fontId="23" fillId="0" borderId="0" xfId="0" applyNumberFormat="1" applyFont="1" applyAlignment="1">
      <alignment horizontal="right"/>
    </xf>
    <xf numFmtId="0" fontId="22" fillId="10" borderId="0" xfId="0" applyFont="1" applyFill="1" applyAlignment="1">
      <alignment horizontal="right"/>
    </xf>
    <xf numFmtId="0" fontId="22" fillId="0" borderId="0" xfId="0" applyFont="1" applyAlignment="1">
      <alignment horizontal="right"/>
    </xf>
    <xf numFmtId="0" fontId="22" fillId="11" borderId="0" xfId="0" applyFont="1" applyFill="1" applyAlignment="1">
      <alignment horizontal="right"/>
    </xf>
    <xf numFmtId="174" fontId="18" fillId="10" borderId="0" xfId="0" applyNumberFormat="1" applyFont="1" applyFill="1"/>
    <xf numFmtId="174" fontId="18" fillId="11" borderId="0" xfId="0" applyNumberFormat="1" applyFont="1" applyFill="1"/>
    <xf numFmtId="175" fontId="22" fillId="10" borderId="0" xfId="0" applyNumberFormat="1" applyFont="1" applyFill="1"/>
    <xf numFmtId="168" fontId="18" fillId="10" borderId="0" xfId="0" applyNumberFormat="1" applyFont="1" applyFill="1"/>
    <xf numFmtId="168" fontId="18" fillId="11" borderId="0" xfId="0" applyNumberFormat="1" applyFont="1" applyFill="1"/>
    <xf numFmtId="168" fontId="18" fillId="0" borderId="0" xfId="0" applyNumberFormat="1" applyFont="1"/>
    <xf numFmtId="175" fontId="23" fillId="11" borderId="21" xfId="0" applyNumberFormat="1" applyFont="1" applyFill="1" applyBorder="1"/>
    <xf numFmtId="175" fontId="23" fillId="0" borderId="21" xfId="0" applyNumberFormat="1" applyFont="1" applyBorder="1"/>
    <xf numFmtId="175" fontId="24" fillId="10" borderId="21" xfId="0" applyNumberFormat="1" applyFont="1" applyFill="1" applyBorder="1"/>
    <xf numFmtId="175" fontId="18" fillId="10" borderId="0" xfId="0" applyNumberFormat="1" applyFont="1" applyFill="1"/>
    <xf numFmtId="175" fontId="18" fillId="11" borderId="0" xfId="0" applyNumberFormat="1" applyFont="1" applyFill="1"/>
    <xf numFmtId="173" fontId="18" fillId="10" borderId="0" xfId="0" applyNumberFormat="1" applyFont="1" applyFill="1"/>
    <xf numFmtId="173" fontId="18" fillId="0" borderId="0" xfId="0" applyNumberFormat="1" applyFont="1"/>
    <xf numFmtId="173" fontId="18" fillId="11" borderId="0" xfId="0" applyNumberFormat="1" applyFont="1" applyFill="1"/>
    <xf numFmtId="168" fontId="21" fillId="10" borderId="0" xfId="0" applyNumberFormat="1" applyFont="1" applyFill="1"/>
    <xf numFmtId="168" fontId="22" fillId="11" borderId="0" xfId="0" applyNumberFormat="1" applyFont="1" applyFill="1"/>
    <xf numFmtId="168" fontId="22" fillId="0" borderId="0" xfId="0" applyNumberFormat="1" applyFont="1"/>
    <xf numFmtId="0" fontId="18" fillId="0" borderId="8" xfId="0" applyFont="1" applyBorder="1"/>
    <xf numFmtId="0" fontId="19" fillId="0" borderId="11" xfId="0" applyFont="1" applyBorder="1" applyAlignment="1">
      <alignment horizontal="left" indent="1"/>
    </xf>
    <xf numFmtId="0" fontId="19" fillId="0" borderId="11" xfId="0" applyFont="1" applyBorder="1"/>
    <xf numFmtId="176" fontId="19" fillId="10" borderId="11" xfId="0" applyNumberFormat="1" applyFont="1" applyFill="1" applyBorder="1" applyAlignment="1">
      <alignment horizontal="right"/>
    </xf>
    <xf numFmtId="176" fontId="19" fillId="0" borderId="11" xfId="0" applyNumberFormat="1" applyFont="1" applyBorder="1" applyAlignment="1">
      <alignment horizontal="right"/>
    </xf>
    <xf numFmtId="176" fontId="19" fillId="11" borderId="11" xfId="0" applyNumberFormat="1" applyFont="1" applyFill="1" applyBorder="1" applyAlignment="1">
      <alignment horizontal="right"/>
    </xf>
    <xf numFmtId="176" fontId="19" fillId="0" borderId="14" xfId="0" applyNumberFormat="1" applyFont="1" applyBorder="1" applyAlignment="1">
      <alignment horizontal="right"/>
    </xf>
    <xf numFmtId="0" fontId="18" fillId="10" borderId="9" xfId="0" applyFont="1" applyFill="1" applyBorder="1"/>
    <xf numFmtId="0" fontId="18" fillId="11" borderId="9" xfId="0" applyFont="1" applyFill="1" applyBorder="1"/>
    <xf numFmtId="0" fontId="18" fillId="0" borderId="9" xfId="0" applyFont="1" applyBorder="1"/>
    <xf numFmtId="169" fontId="18" fillId="10" borderId="0" xfId="0" applyNumberFormat="1" applyFont="1" applyFill="1"/>
    <xf numFmtId="169" fontId="18" fillId="0" borderId="0" xfId="0" applyNumberFormat="1" applyFont="1"/>
    <xf numFmtId="169" fontId="23" fillId="11" borderId="0" xfId="0" applyNumberFormat="1" applyFont="1" applyFill="1"/>
    <xf numFmtId="169" fontId="23" fillId="0" borderId="0" xfId="0" applyNumberFormat="1" applyFont="1"/>
    <xf numFmtId="177" fontId="21" fillId="10" borderId="0" xfId="2" applyNumberFormat="1" applyFont="1" applyFill="1" applyBorder="1"/>
    <xf numFmtId="177" fontId="18" fillId="0" borderId="0" xfId="2" applyNumberFormat="1" applyFont="1" applyFill="1" applyBorder="1"/>
    <xf numFmtId="177" fontId="21" fillId="11" borderId="0" xfId="2" applyNumberFormat="1" applyFont="1" applyFill="1" applyBorder="1"/>
    <xf numFmtId="177" fontId="18" fillId="11" borderId="0" xfId="2" applyNumberFormat="1" applyFont="1" applyFill="1" applyBorder="1"/>
    <xf numFmtId="177" fontId="18" fillId="0" borderId="21" xfId="2" applyNumberFormat="1" applyFont="1" applyFill="1" applyBorder="1"/>
    <xf numFmtId="169" fontId="18" fillId="11" borderId="0" xfId="0" applyNumberFormat="1" applyFont="1" applyFill="1"/>
    <xf numFmtId="177" fontId="18" fillId="0" borderId="0" xfId="2" applyNumberFormat="1" applyFont="1" applyBorder="1"/>
    <xf numFmtId="177" fontId="21" fillId="0" borderId="0" xfId="2" applyNumberFormat="1" applyFont="1" applyFill="1" applyBorder="1"/>
    <xf numFmtId="177" fontId="22" fillId="11" borderId="0" xfId="2" applyNumberFormat="1" applyFont="1" applyFill="1" applyBorder="1"/>
    <xf numFmtId="177" fontId="22" fillId="0" borderId="0" xfId="2" applyNumberFormat="1" applyFont="1" applyFill="1" applyBorder="1"/>
    <xf numFmtId="177" fontId="18" fillId="0" borderId="21" xfId="2" applyNumberFormat="1" applyFont="1" applyBorder="1"/>
    <xf numFmtId="177" fontId="21" fillId="11" borderId="21" xfId="2" applyNumberFormat="1" applyFont="1" applyFill="1" applyBorder="1"/>
    <xf numFmtId="177" fontId="21" fillId="0" borderId="21" xfId="2" applyNumberFormat="1" applyFont="1" applyFill="1" applyBorder="1"/>
    <xf numFmtId="173" fontId="22" fillId="11" borderId="0" xfId="0" applyNumberFormat="1" applyFont="1" applyFill="1"/>
    <xf numFmtId="173" fontId="23" fillId="11" borderId="0" xfId="0" applyNumberFormat="1" applyFont="1" applyFill="1"/>
    <xf numFmtId="173" fontId="23" fillId="0" borderId="0" xfId="0" applyNumberFormat="1" applyFont="1"/>
    <xf numFmtId="0" fontId="25" fillId="0" borderId="0" xfId="0" applyFont="1" applyAlignment="1">
      <alignment horizontal="center"/>
    </xf>
    <xf numFmtId="0" fontId="19" fillId="0" borderId="0" xfId="0" applyFont="1" applyAlignment="1">
      <alignment horizontal="left" indent="1"/>
    </xf>
    <xf numFmtId="168" fontId="19" fillId="10" borderId="0" xfId="0" applyNumberFormat="1" applyFont="1" applyFill="1"/>
    <xf numFmtId="168" fontId="19" fillId="0" borderId="0" xfId="0" applyNumberFormat="1" applyFont="1"/>
    <xf numFmtId="168" fontId="19" fillId="11" borderId="0" xfId="0" applyNumberFormat="1" applyFont="1" applyFill="1"/>
    <xf numFmtId="178" fontId="18" fillId="10" borderId="0" xfId="0" applyNumberFormat="1" applyFont="1" applyFill="1"/>
    <xf numFmtId="178" fontId="18" fillId="0" borderId="0" xfId="0" applyNumberFormat="1" applyFont="1"/>
    <xf numFmtId="178" fontId="22" fillId="11" borderId="0" xfId="0" applyNumberFormat="1" applyFont="1" applyFill="1"/>
    <xf numFmtId="7" fontId="21" fillId="10" borderId="0" xfId="0" applyNumberFormat="1" applyFont="1" applyFill="1"/>
    <xf numFmtId="7" fontId="21" fillId="11" borderId="0" xfId="0" applyNumberFormat="1" applyFont="1" applyFill="1"/>
    <xf numFmtId="7" fontId="21" fillId="0" borderId="0" xfId="0" applyNumberFormat="1" applyFont="1"/>
    <xf numFmtId="0" fontId="18" fillId="0" borderId="0" xfId="0" applyFont="1" applyAlignment="1">
      <alignment horizontal="left" indent="2"/>
    </xf>
    <xf numFmtId="169" fontId="19" fillId="10" borderId="0" xfId="0" applyNumberFormat="1" applyFont="1" applyFill="1"/>
    <xf numFmtId="169" fontId="19" fillId="0" borderId="0" xfId="0" applyNumberFormat="1" applyFont="1"/>
    <xf numFmtId="169" fontId="27" fillId="11" borderId="0" xfId="0" applyNumberFormat="1" applyFont="1" applyFill="1"/>
    <xf numFmtId="169" fontId="27" fillId="0" borderId="0" xfId="0" applyNumberFormat="1" applyFont="1"/>
    <xf numFmtId="175" fontId="22" fillId="10" borderId="21" xfId="0" applyNumberFormat="1" applyFont="1" applyFill="1" applyBorder="1"/>
    <xf numFmtId="8" fontId="18" fillId="0" borderId="0" xfId="0" applyNumberFormat="1" applyFont="1"/>
    <xf numFmtId="172" fontId="22" fillId="11" borderId="0" xfId="0" applyNumberFormat="1" applyFont="1" applyFill="1"/>
    <xf numFmtId="172" fontId="22" fillId="0" borderId="0" xfId="0" applyNumberFormat="1" applyFont="1"/>
    <xf numFmtId="172" fontId="21" fillId="0" borderId="21" xfId="0" applyNumberFormat="1" applyFont="1" applyBorder="1"/>
    <xf numFmtId="172" fontId="22" fillId="11" borderId="21" xfId="0" applyNumberFormat="1" applyFont="1" applyFill="1" applyBorder="1"/>
    <xf numFmtId="172" fontId="22" fillId="0" borderId="21" xfId="0" applyNumberFormat="1" applyFont="1" applyBorder="1"/>
    <xf numFmtId="173" fontId="19" fillId="10" borderId="0" xfId="0" applyNumberFormat="1" applyFont="1" applyFill="1"/>
    <xf numFmtId="173" fontId="19" fillId="0" borderId="0" xfId="0" applyNumberFormat="1" applyFont="1"/>
    <xf numFmtId="173" fontId="19" fillId="11" borderId="0" xfId="0" applyNumberFormat="1" applyFont="1" applyFill="1"/>
    <xf numFmtId="180" fontId="27" fillId="11" borderId="0" xfId="0" applyNumberFormat="1" applyFont="1" applyFill="1"/>
    <xf numFmtId="180" fontId="27" fillId="0" borderId="0" xfId="0" applyNumberFormat="1" applyFont="1"/>
    <xf numFmtId="0" fontId="18" fillId="0" borderId="11" xfId="0" applyFont="1" applyBorder="1"/>
    <xf numFmtId="0" fontId="18" fillId="10" borderId="11" xfId="0" applyFont="1" applyFill="1" applyBorder="1"/>
    <xf numFmtId="168" fontId="18" fillId="11" borderId="11" xfId="0" applyNumberFormat="1" applyFont="1" applyFill="1" applyBorder="1"/>
    <xf numFmtId="168" fontId="18" fillId="0" borderId="11" xfId="0" applyNumberFormat="1" applyFont="1" applyBorder="1"/>
    <xf numFmtId="168" fontId="18" fillId="0" borderId="14" xfId="0" applyNumberFormat="1" applyFont="1" applyBorder="1"/>
    <xf numFmtId="0" fontId="28" fillId="0" borderId="0" xfId="0" applyFont="1"/>
    <xf numFmtId="0" fontId="20" fillId="14" borderId="12" xfId="0" applyFont="1" applyFill="1" applyBorder="1"/>
    <xf numFmtId="0" fontId="20" fillId="14" borderId="3" xfId="0" applyFont="1" applyFill="1" applyBorder="1"/>
    <xf numFmtId="0" fontId="18" fillId="0" borderId="14" xfId="0" applyFont="1" applyBorder="1" applyAlignment="1">
      <alignment horizontal="centerContinuous"/>
    </xf>
    <xf numFmtId="0" fontId="18" fillId="0" borderId="15" xfId="0" applyFont="1" applyBorder="1"/>
    <xf numFmtId="170" fontId="23" fillId="0" borderId="16" xfId="0" applyNumberFormat="1" applyFont="1" applyBorder="1"/>
    <xf numFmtId="165" fontId="23" fillId="0" borderId="16" xfId="0" applyNumberFormat="1" applyFont="1" applyBorder="1"/>
    <xf numFmtId="5" fontId="23" fillId="0" borderId="19" xfId="0" applyNumberFormat="1" applyFont="1" applyBorder="1"/>
    <xf numFmtId="0" fontId="19" fillId="0" borderId="20" xfId="0" applyFont="1" applyBorder="1" applyAlignment="1">
      <alignment horizontal="left" indent="1"/>
    </xf>
    <xf numFmtId="0" fontId="18" fillId="0" borderId="21" xfId="0" applyFont="1" applyBorder="1"/>
    <xf numFmtId="166" fontId="23" fillId="0" borderId="22" xfId="0" applyNumberFormat="1" applyFont="1" applyBorder="1"/>
    <xf numFmtId="6" fontId="23" fillId="0" borderId="0" xfId="0" applyNumberFormat="1" applyFont="1"/>
    <xf numFmtId="166" fontId="23" fillId="0" borderId="16" xfId="0" applyNumberFormat="1" applyFont="1" applyBorder="1"/>
    <xf numFmtId="0" fontId="18" fillId="0" borderId="20" xfId="0" applyFont="1" applyBorder="1"/>
    <xf numFmtId="6" fontId="23" fillId="0" borderId="21" xfId="0" applyNumberFormat="1" applyFont="1" applyBorder="1"/>
    <xf numFmtId="0" fontId="21" fillId="2" borderId="2" xfId="0" applyFont="1" applyFill="1" applyBorder="1" applyAlignment="1">
      <alignment horizontal="center"/>
    </xf>
    <xf numFmtId="0" fontId="21" fillId="0" borderId="0" xfId="0" applyFont="1" applyAlignment="1">
      <alignment horizontal="center"/>
    </xf>
    <xf numFmtId="0" fontId="20" fillId="0" borderId="0" xfId="0" applyFont="1"/>
    <xf numFmtId="14" fontId="21" fillId="2" borderId="2" xfId="0" applyNumberFormat="1" applyFont="1" applyFill="1" applyBorder="1" applyAlignment="1">
      <alignment horizontal="center"/>
    </xf>
    <xf numFmtId="14" fontId="18" fillId="2" borderId="2" xfId="0" applyNumberFormat="1" applyFont="1" applyFill="1" applyBorder="1" applyAlignment="1">
      <alignment horizontal="center"/>
    </xf>
    <xf numFmtId="7" fontId="21" fillId="2" borderId="2" xfId="0" applyNumberFormat="1" applyFont="1" applyFill="1" applyBorder="1" applyAlignment="1">
      <alignment horizontal="center"/>
    </xf>
    <xf numFmtId="167" fontId="23" fillId="2" borderId="2" xfId="0" applyNumberFormat="1" applyFont="1" applyFill="1" applyBorder="1" applyAlignment="1">
      <alignment horizontal="center"/>
    </xf>
    <xf numFmtId="175" fontId="23" fillId="2" borderId="2" xfId="0" applyNumberFormat="1" applyFont="1" applyFill="1" applyBorder="1" applyAlignment="1">
      <alignment horizontal="center"/>
    </xf>
    <xf numFmtId="0" fontId="29" fillId="0" borderId="0" xfId="0" applyFont="1" applyAlignment="1">
      <alignment horizontal="center"/>
    </xf>
    <xf numFmtId="0" fontId="20" fillId="14" borderId="12" xfId="0" applyFont="1" applyFill="1" applyBorder="1" applyAlignment="1">
      <alignment horizontal="centerContinuous"/>
    </xf>
    <xf numFmtId="43" fontId="18" fillId="0" borderId="66" xfId="2" applyFont="1" applyBorder="1"/>
    <xf numFmtId="43" fontId="18" fillId="0" borderId="26" xfId="2" applyFont="1" applyBorder="1" applyAlignment="1">
      <alignment horizontal="center"/>
    </xf>
    <xf numFmtId="4" fontId="21" fillId="0" borderId="67" xfId="2" applyNumberFormat="1" applyFont="1" applyBorder="1" applyAlignment="1">
      <alignment horizontal="center"/>
    </xf>
    <xf numFmtId="43" fontId="18" fillId="0" borderId="7" xfId="2" applyFont="1" applyBorder="1"/>
    <xf numFmtId="43" fontId="18" fillId="0" borderId="0" xfId="2" applyFont="1" applyAlignment="1">
      <alignment horizontal="center"/>
    </xf>
    <xf numFmtId="4" fontId="21" fillId="0" borderId="8" xfId="2" applyNumberFormat="1" applyFont="1" applyBorder="1" applyAlignment="1">
      <alignment horizontal="center"/>
    </xf>
    <xf numFmtId="43" fontId="18" fillId="0" borderId="5" xfId="2" applyFont="1" applyBorder="1"/>
    <xf numFmtId="43" fontId="18" fillId="0" borderId="9" xfId="2" applyFont="1" applyBorder="1" applyAlignment="1">
      <alignment horizontal="center"/>
    </xf>
    <xf numFmtId="4" fontId="21" fillId="0" borderId="6" xfId="2" applyNumberFormat="1" applyFont="1" applyBorder="1" applyAlignment="1">
      <alignment horizontal="center"/>
    </xf>
    <xf numFmtId="43" fontId="18" fillId="0" borderId="0" xfId="2" applyFont="1" applyBorder="1"/>
    <xf numFmtId="43" fontId="21" fillId="0" borderId="0" xfId="2" applyFont="1" applyBorder="1" applyAlignment="1">
      <alignment horizontal="center"/>
    </xf>
    <xf numFmtId="0" fontId="21" fillId="0" borderId="7" xfId="0" applyFont="1" applyBorder="1" applyAlignment="1">
      <alignment horizontal="centerContinuous"/>
    </xf>
    <xf numFmtId="0" fontId="18" fillId="0" borderId="8" xfId="0" applyFont="1" applyBorder="1" applyAlignment="1">
      <alignment horizontal="centerContinuous"/>
    </xf>
    <xf numFmtId="0" fontId="18" fillId="0" borderId="7" xfId="0" applyFont="1" applyBorder="1" applyAlignment="1">
      <alignment horizontal="centerContinuous"/>
    </xf>
    <xf numFmtId="0" fontId="23" fillId="0" borderId="7" xfId="0" applyFont="1" applyBorder="1" applyAlignment="1">
      <alignment horizontal="centerContinuous"/>
    </xf>
    <xf numFmtId="0" fontId="18" fillId="0" borderId="0" xfId="0" applyFont="1" applyAlignment="1">
      <alignment horizontal="centerContinuous"/>
    </xf>
    <xf numFmtId="0" fontId="30" fillId="0" borderId="5" xfId="0" applyFont="1" applyBorder="1" applyAlignment="1">
      <alignment horizontal="centerContinuous"/>
    </xf>
    <xf numFmtId="0" fontId="18" fillId="0" borderId="6" xfId="0" applyFont="1" applyBorder="1" applyAlignment="1">
      <alignment horizontal="centerContinuous"/>
    </xf>
    <xf numFmtId="0" fontId="18" fillId="0" borderId="0" xfId="0" applyFont="1" applyAlignment="1">
      <alignment horizontal="center"/>
    </xf>
    <xf numFmtId="169" fontId="21" fillId="0" borderId="0" xfId="0" applyNumberFormat="1" applyFont="1" applyAlignment="1">
      <alignment horizontal="center"/>
    </xf>
    <xf numFmtId="0" fontId="20" fillId="0" borderId="11" xfId="0" applyFont="1" applyBorder="1" applyAlignment="1">
      <alignment horizontal="center"/>
    </xf>
    <xf numFmtId="0" fontId="18" fillId="0" borderId="11" xfId="0" applyFont="1" applyBorder="1" applyAlignment="1">
      <alignment horizontal="center"/>
    </xf>
    <xf numFmtId="0" fontId="20" fillId="14" borderId="0" xfId="0" applyFont="1" applyFill="1"/>
    <xf numFmtId="0" fontId="20" fillId="14" borderId="51" xfId="0" applyFont="1" applyFill="1" applyBorder="1" applyAlignment="1">
      <alignment horizontal="centerContinuous"/>
    </xf>
    <xf numFmtId="0" fontId="20" fillId="14" borderId="26" xfId="0" applyFont="1" applyFill="1" applyBorder="1" applyAlignment="1">
      <alignment horizontal="centerContinuous"/>
    </xf>
    <xf numFmtId="0" fontId="18" fillId="0" borderId="52" xfId="0" applyFont="1" applyBorder="1"/>
    <xf numFmtId="166" fontId="19" fillId="0" borderId="53" xfId="0" applyNumberFormat="1" applyFont="1" applyBorder="1" applyAlignment="1">
      <alignment horizontal="center"/>
    </xf>
    <xf numFmtId="166" fontId="26" fillId="0" borderId="0" xfId="0" applyNumberFormat="1" applyFont="1"/>
    <xf numFmtId="166" fontId="26" fillId="0" borderId="37" xfId="0" applyNumberFormat="1" applyFont="1" applyBorder="1"/>
    <xf numFmtId="166" fontId="26" fillId="0" borderId="64" xfId="0" applyNumberFormat="1" applyFont="1" applyBorder="1"/>
    <xf numFmtId="0" fontId="18" fillId="0" borderId="37" xfId="0" applyFont="1" applyBorder="1"/>
    <xf numFmtId="0" fontId="18" fillId="0" borderId="64" xfId="0" applyFont="1" applyBorder="1"/>
    <xf numFmtId="167" fontId="19" fillId="0" borderId="53" xfId="0" applyNumberFormat="1" applyFont="1" applyBorder="1" applyAlignment="1">
      <alignment horizontal="center"/>
    </xf>
    <xf numFmtId="0" fontId="18" fillId="0" borderId="26" xfId="0" applyFont="1" applyBorder="1"/>
    <xf numFmtId="0" fontId="18" fillId="0" borderId="54" xfId="0" applyFont="1" applyBorder="1"/>
    <xf numFmtId="0" fontId="18" fillId="0" borderId="65" xfId="0" applyFont="1" applyBorder="1"/>
    <xf numFmtId="167" fontId="19" fillId="0" borderId="32" xfId="0" applyNumberFormat="1" applyFont="1" applyBorder="1" applyAlignment="1">
      <alignment horizontal="center"/>
    </xf>
    <xf numFmtId="5" fontId="22" fillId="0" borderId="0" xfId="0" applyNumberFormat="1" applyFont="1"/>
    <xf numFmtId="5" fontId="22" fillId="0" borderId="37" xfId="0" applyNumberFormat="1" applyFont="1" applyBorder="1"/>
    <xf numFmtId="5" fontId="22" fillId="0" borderId="64" xfId="0" applyNumberFormat="1" applyFont="1" applyBorder="1"/>
    <xf numFmtId="5" fontId="18" fillId="0" borderId="0" xfId="0" applyNumberFormat="1" applyFont="1"/>
    <xf numFmtId="5" fontId="18" fillId="0" borderId="37" xfId="0" applyNumberFormat="1" applyFont="1" applyBorder="1"/>
    <xf numFmtId="37" fontId="22" fillId="0" borderId="0" xfId="0" applyNumberFormat="1" applyFont="1"/>
    <xf numFmtId="37" fontId="22" fillId="0" borderId="37" xfId="0" applyNumberFormat="1" applyFont="1" applyBorder="1"/>
    <xf numFmtId="37" fontId="22" fillId="0" borderId="64" xfId="0" applyNumberFormat="1" applyFont="1" applyBorder="1"/>
    <xf numFmtId="37" fontId="18" fillId="0" borderId="0" xfId="0" applyNumberFormat="1" applyFont="1"/>
    <xf numFmtId="37" fontId="18" fillId="0" borderId="37" xfId="0" applyNumberFormat="1" applyFont="1" applyBorder="1"/>
    <xf numFmtId="165" fontId="18" fillId="0" borderId="0" xfId="0" applyNumberFormat="1" applyFont="1"/>
    <xf numFmtId="165" fontId="18" fillId="0" borderId="37" xfId="0" applyNumberFormat="1" applyFont="1" applyBorder="1"/>
    <xf numFmtId="165" fontId="18" fillId="0" borderId="64" xfId="0" applyNumberFormat="1" applyFont="1" applyBorder="1"/>
    <xf numFmtId="6" fontId="18" fillId="0" borderId="0" xfId="0" applyNumberFormat="1" applyFont="1"/>
    <xf numFmtId="166" fontId="18" fillId="0" borderId="0" xfId="0" applyNumberFormat="1" applyFont="1"/>
    <xf numFmtId="166" fontId="18" fillId="0" borderId="37" xfId="0" applyNumberFormat="1" applyFont="1" applyBorder="1"/>
    <xf numFmtId="166" fontId="18" fillId="0" borderId="64" xfId="0" applyNumberFormat="1" applyFont="1" applyBorder="1"/>
    <xf numFmtId="189" fontId="18" fillId="0" borderId="0" xfId="0" applyNumberFormat="1" applyFont="1" applyAlignment="1">
      <alignment horizontal="right"/>
    </xf>
    <xf numFmtId="189" fontId="18" fillId="0" borderId="37" xfId="0" applyNumberFormat="1" applyFont="1" applyBorder="1" applyAlignment="1">
      <alignment horizontal="right"/>
    </xf>
    <xf numFmtId="189" fontId="18" fillId="0" borderId="64" xfId="0" applyNumberFormat="1" applyFont="1" applyBorder="1" applyAlignment="1">
      <alignment horizontal="right"/>
    </xf>
    <xf numFmtId="189" fontId="18" fillId="0" borderId="64" xfId="0" applyNumberFormat="1" applyFont="1" applyBorder="1"/>
    <xf numFmtId="189" fontId="18" fillId="0" borderId="0" xfId="0" applyNumberFormat="1" applyFont="1"/>
    <xf numFmtId="189" fontId="18" fillId="0" borderId="37" xfId="0" applyNumberFormat="1" applyFont="1" applyBorder="1"/>
    <xf numFmtId="175" fontId="18" fillId="0" borderId="37" xfId="0" applyNumberFormat="1" applyFont="1" applyBorder="1"/>
    <xf numFmtId="0" fontId="31" fillId="0" borderId="0" xfId="0" applyFont="1"/>
    <xf numFmtId="0" fontId="31" fillId="0" borderId="0" xfId="0" applyFont="1" applyAlignment="1">
      <alignment horizontal="center"/>
    </xf>
    <xf numFmtId="44" fontId="18" fillId="0" borderId="0" xfId="0" applyNumberFormat="1" applyFont="1"/>
    <xf numFmtId="164" fontId="18" fillId="0" borderId="0" xfId="0" applyNumberFormat="1" applyFont="1"/>
    <xf numFmtId="43" fontId="18" fillId="0" borderId="0" xfId="0" applyNumberFormat="1" applyFont="1"/>
    <xf numFmtId="39" fontId="23" fillId="0" borderId="0" xfId="0" applyNumberFormat="1" applyFont="1"/>
    <xf numFmtId="195" fontId="18" fillId="0" borderId="0" xfId="0" applyNumberFormat="1" applyFont="1"/>
    <xf numFmtId="195" fontId="23" fillId="0" borderId="0" xfId="0" applyNumberFormat="1" applyFont="1"/>
    <xf numFmtId="166" fontId="19" fillId="0" borderId="0" xfId="0" applyNumberFormat="1" applyFont="1"/>
    <xf numFmtId="0" fontId="18" fillId="0" borderId="56" xfId="0" applyFont="1" applyBorder="1" applyAlignment="1">
      <alignment horizontal="centerContinuous"/>
    </xf>
    <xf numFmtId="0" fontId="18" fillId="0" borderId="57" xfId="0" applyFont="1" applyBorder="1" applyAlignment="1">
      <alignment horizontal="centerContinuous"/>
    </xf>
    <xf numFmtId="0" fontId="32" fillId="0" borderId="0" xfId="0" applyFont="1"/>
    <xf numFmtId="0" fontId="20" fillId="0" borderId="21" xfId="0" applyFont="1" applyBorder="1"/>
    <xf numFmtId="0" fontId="33" fillId="0" borderId="0" xfId="0" applyFont="1"/>
    <xf numFmtId="0" fontId="33" fillId="14" borderId="25" xfId="0" applyFont="1" applyFill="1" applyBorder="1"/>
    <xf numFmtId="0" fontId="33" fillId="14" borderId="26" xfId="0" applyFont="1" applyFill="1" applyBorder="1"/>
    <xf numFmtId="0" fontId="33" fillId="14" borderId="27" xfId="0" applyFont="1" applyFill="1" applyBorder="1"/>
    <xf numFmtId="0" fontId="20" fillId="14" borderId="27" xfId="0" applyFont="1" applyFill="1" applyBorder="1" applyAlignment="1">
      <alignment horizontal="centerContinuous"/>
    </xf>
    <xf numFmtId="0" fontId="17" fillId="0" borderId="0" xfId="0" applyFont="1"/>
    <xf numFmtId="0" fontId="18" fillId="0" borderId="25" xfId="0" applyFont="1" applyBorder="1"/>
    <xf numFmtId="0" fontId="18" fillId="0" borderId="27" xfId="0" applyFont="1" applyBorder="1"/>
    <xf numFmtId="173" fontId="19" fillId="0" borderId="15" xfId="0" applyNumberFormat="1" applyFont="1" applyBorder="1" applyAlignment="1">
      <alignment horizontal="center"/>
    </xf>
    <xf numFmtId="173" fontId="19" fillId="0" borderId="16" xfId="0" applyNumberFormat="1" applyFont="1" applyBorder="1" applyAlignment="1">
      <alignment horizontal="center"/>
    </xf>
    <xf numFmtId="169" fontId="34" fillId="10" borderId="0" xfId="0" applyNumberFormat="1" applyFont="1" applyFill="1" applyAlignment="1">
      <alignment horizontal="right"/>
    </xf>
    <xf numFmtId="173" fontId="34" fillId="10" borderId="0" xfId="0" applyNumberFormat="1" applyFont="1" applyFill="1" applyAlignment="1">
      <alignment horizontal="right"/>
    </xf>
    <xf numFmtId="173" fontId="34" fillId="0" borderId="0" xfId="0" applyNumberFormat="1" applyFont="1" applyAlignment="1">
      <alignment horizontal="right"/>
    </xf>
    <xf numFmtId="173" fontId="19" fillId="11" borderId="0" xfId="0" applyNumberFormat="1" applyFont="1" applyFill="1" applyAlignment="1">
      <alignment horizontal="right"/>
    </xf>
    <xf numFmtId="173" fontId="19" fillId="0" borderId="0" xfId="0" applyNumberFormat="1" applyFont="1" applyAlignment="1">
      <alignment horizontal="right"/>
    </xf>
    <xf numFmtId="0" fontId="19" fillId="0" borderId="15" xfId="0" applyFont="1" applyBorder="1"/>
    <xf numFmtId="0" fontId="19" fillId="0" borderId="16" xfId="0" applyFont="1" applyBorder="1"/>
    <xf numFmtId="0" fontId="19" fillId="0" borderId="20" xfId="0" applyFont="1" applyBorder="1"/>
    <xf numFmtId="0" fontId="19" fillId="0" borderId="22" xfId="0" applyFont="1" applyBorder="1"/>
    <xf numFmtId="0" fontId="19" fillId="0" borderId="0" xfId="0" applyFont="1" applyAlignment="1">
      <alignment horizontal="left" indent="2"/>
    </xf>
    <xf numFmtId="173" fontId="26" fillId="10" borderId="0" xfId="0" applyNumberFormat="1" applyFont="1" applyFill="1" applyAlignment="1">
      <alignment horizontal="right"/>
    </xf>
    <xf numFmtId="173" fontId="26" fillId="0" borderId="0" xfId="0" applyNumberFormat="1" applyFont="1" applyAlignment="1">
      <alignment horizontal="right"/>
    </xf>
    <xf numFmtId="173" fontId="26" fillId="11" borderId="0" xfId="0" applyNumberFormat="1" applyFont="1" applyFill="1" applyAlignment="1">
      <alignment horizontal="right"/>
    </xf>
    <xf numFmtId="0" fontId="18" fillId="10" borderId="0" xfId="0" applyFont="1" applyFill="1" applyAlignment="1">
      <alignment horizontal="right"/>
    </xf>
    <xf numFmtId="0" fontId="18" fillId="0" borderId="0" xfId="0" applyFont="1" applyAlignment="1">
      <alignment horizontal="right"/>
    </xf>
    <xf numFmtId="173" fontId="27" fillId="11" borderId="0" xfId="0" applyNumberFormat="1" applyFont="1" applyFill="1" applyAlignment="1">
      <alignment horizontal="right"/>
    </xf>
    <xf numFmtId="173" fontId="27" fillId="0" borderId="0" xfId="0" applyNumberFormat="1" applyFont="1" applyAlignment="1">
      <alignment horizontal="right"/>
    </xf>
    <xf numFmtId="0" fontId="18" fillId="11" borderId="0" xfId="0" applyFont="1" applyFill="1" applyAlignment="1">
      <alignment horizontal="right"/>
    </xf>
    <xf numFmtId="0" fontId="19" fillId="10" borderId="0" xfId="0" applyFont="1" applyFill="1" applyAlignment="1">
      <alignment horizontal="right"/>
    </xf>
    <xf numFmtId="0" fontId="19" fillId="0" borderId="0" xfId="0" applyFont="1" applyAlignment="1">
      <alignment horizontal="right"/>
    </xf>
    <xf numFmtId="0" fontId="19" fillId="0" borderId="0" xfId="0" applyFont="1" applyAlignment="1">
      <alignment horizontal="left" indent="3"/>
    </xf>
    <xf numFmtId="0" fontId="18" fillId="0" borderId="0" xfId="0" applyFont="1" applyAlignment="1">
      <alignment horizontal="left" indent="3"/>
    </xf>
    <xf numFmtId="179" fontId="18" fillId="10" borderId="0" xfId="0" applyNumberFormat="1" applyFont="1" applyFill="1" applyAlignment="1">
      <alignment horizontal="right"/>
    </xf>
    <xf numFmtId="179" fontId="26" fillId="10" borderId="0" xfId="0" applyNumberFormat="1" applyFont="1" applyFill="1" applyAlignment="1">
      <alignment horizontal="right"/>
    </xf>
    <xf numFmtId="179" fontId="18" fillId="0" borderId="0" xfId="0" applyNumberFormat="1" applyFont="1" applyAlignment="1">
      <alignment horizontal="right"/>
    </xf>
    <xf numFmtId="179" fontId="26" fillId="0" borderId="0" xfId="0" applyNumberFormat="1" applyFont="1" applyAlignment="1">
      <alignment horizontal="right"/>
    </xf>
    <xf numFmtId="179" fontId="27" fillId="11" borderId="0" xfId="2" applyNumberFormat="1" applyFont="1" applyFill="1" applyBorder="1" applyAlignment="1">
      <alignment horizontal="right"/>
    </xf>
    <xf numFmtId="179" fontId="27" fillId="0" borderId="0" xfId="0" applyNumberFormat="1" applyFont="1" applyAlignment="1">
      <alignment horizontal="right"/>
    </xf>
    <xf numFmtId="179" fontId="27" fillId="0" borderId="0" xfId="2" applyNumberFormat="1" applyFont="1" applyFill="1" applyBorder="1" applyAlignment="1">
      <alignment horizontal="right"/>
    </xf>
    <xf numFmtId="173" fontId="27" fillId="11" borderId="0" xfId="0" applyNumberFormat="1" applyFont="1" applyFill="1"/>
    <xf numFmtId="173" fontId="27" fillId="0" borderId="0" xfId="0" applyNumberFormat="1" applyFont="1"/>
    <xf numFmtId="175" fontId="22" fillId="0" borderId="0" xfId="0" applyNumberFormat="1" applyFont="1" applyAlignment="1">
      <alignment horizontal="right"/>
    </xf>
    <xf numFmtId="175" fontId="21" fillId="10" borderId="0" xfId="0" applyNumberFormat="1" applyFont="1" applyFill="1" applyAlignment="1">
      <alignment horizontal="right"/>
    </xf>
    <xf numFmtId="175" fontId="21" fillId="11" borderId="0" xfId="0" applyNumberFormat="1" applyFont="1" applyFill="1" applyAlignment="1">
      <alignment horizontal="right"/>
    </xf>
    <xf numFmtId="175" fontId="23" fillId="11" borderId="0" xfId="0" applyNumberFormat="1" applyFont="1" applyFill="1" applyAlignment="1">
      <alignment horizontal="right"/>
    </xf>
    <xf numFmtId="175" fontId="23" fillId="0" borderId="0" xfId="0" applyNumberFormat="1" applyFont="1" applyAlignment="1">
      <alignment horizontal="right"/>
    </xf>
    <xf numFmtId="175" fontId="18" fillId="10" borderId="0" xfId="0" applyNumberFormat="1" applyFont="1" applyFill="1" applyAlignment="1">
      <alignment horizontal="right"/>
    </xf>
    <xf numFmtId="173" fontId="18" fillId="10" borderId="0" xfId="0" applyNumberFormat="1" applyFont="1" applyFill="1" applyAlignment="1">
      <alignment horizontal="right"/>
    </xf>
    <xf numFmtId="173" fontId="18" fillId="0" borderId="0" xfId="0" applyNumberFormat="1" applyFont="1" applyAlignment="1">
      <alignment horizontal="right"/>
    </xf>
    <xf numFmtId="173" fontId="18" fillId="11" borderId="0" xfId="0" applyNumberFormat="1" applyFont="1" applyFill="1" applyAlignment="1">
      <alignment horizontal="right"/>
    </xf>
    <xf numFmtId="175" fontId="21" fillId="0" borderId="0" xfId="0" applyNumberFormat="1" applyFont="1" applyAlignment="1">
      <alignment horizontal="right"/>
    </xf>
    <xf numFmtId="169" fontId="18" fillId="10" borderId="0" xfId="0" applyNumberFormat="1" applyFont="1" applyFill="1" applyAlignment="1">
      <alignment horizontal="right"/>
    </xf>
    <xf numFmtId="169" fontId="18" fillId="0" borderId="0" xfId="0" applyNumberFormat="1" applyFont="1" applyAlignment="1">
      <alignment horizontal="right"/>
    </xf>
    <xf numFmtId="169" fontId="18" fillId="11" borderId="0" xfId="0" applyNumberFormat="1" applyFont="1" applyFill="1" applyAlignment="1">
      <alignment horizontal="right"/>
    </xf>
    <xf numFmtId="172" fontId="18" fillId="10" borderId="0" xfId="0" applyNumberFormat="1" applyFont="1" applyFill="1" applyAlignment="1">
      <alignment horizontal="right"/>
    </xf>
    <xf numFmtId="174" fontId="22" fillId="0" borderId="0" xfId="0" applyNumberFormat="1" applyFont="1" applyAlignment="1">
      <alignment horizontal="right"/>
    </xf>
    <xf numFmtId="172" fontId="18" fillId="11" borderId="0" xfId="0" applyNumberFormat="1" applyFont="1" applyFill="1" applyAlignment="1">
      <alignment horizontal="right"/>
    </xf>
    <xf numFmtId="172" fontId="18" fillId="0" borderId="0" xfId="0" applyNumberFormat="1" applyFont="1" applyAlignment="1">
      <alignment horizontal="right"/>
    </xf>
    <xf numFmtId="0" fontId="21" fillId="10" borderId="0" xfId="0" applyFont="1" applyFill="1" applyAlignment="1">
      <alignment horizontal="right"/>
    </xf>
    <xf numFmtId="0" fontId="21" fillId="11" borderId="0" xfId="0" applyFont="1" applyFill="1" applyAlignment="1">
      <alignment horizontal="right"/>
    </xf>
    <xf numFmtId="0" fontId="21" fillId="0" borderId="0" xfId="0" applyFont="1" applyAlignment="1">
      <alignment horizontal="right"/>
    </xf>
    <xf numFmtId="177" fontId="27" fillId="11" borderId="0" xfId="2" applyNumberFormat="1" applyFont="1" applyFill="1" applyBorder="1" applyAlignment="1">
      <alignment horizontal="right"/>
    </xf>
    <xf numFmtId="177" fontId="27" fillId="0" borderId="0" xfId="2" applyNumberFormat="1" applyFont="1" applyFill="1" applyBorder="1" applyAlignment="1">
      <alignment horizontal="right"/>
    </xf>
    <xf numFmtId="5" fontId="18" fillId="0" borderId="0" xfId="0" applyNumberFormat="1" applyFont="1" applyAlignment="1">
      <alignment horizontal="center"/>
    </xf>
    <xf numFmtId="166" fontId="18" fillId="0" borderId="0" xfId="0" applyNumberFormat="1" applyFont="1" applyAlignment="1">
      <alignment horizontal="center"/>
    </xf>
    <xf numFmtId="37" fontId="18" fillId="0" borderId="0" xfId="0" applyNumberFormat="1" applyFont="1" applyAlignment="1">
      <alignment horizontal="center"/>
    </xf>
    <xf numFmtId="37" fontId="21" fillId="0" borderId="0" xfId="0" applyNumberFormat="1" applyFont="1" applyAlignment="1">
      <alignment horizontal="center"/>
    </xf>
    <xf numFmtId="167" fontId="21" fillId="0" borderId="0" xfId="0" applyNumberFormat="1" applyFont="1"/>
    <xf numFmtId="0" fontId="18" fillId="0" borderId="12" xfId="0" applyFont="1" applyBorder="1"/>
    <xf numFmtId="184" fontId="18" fillId="0" borderId="0" xfId="0" applyNumberFormat="1" applyFont="1"/>
    <xf numFmtId="0" fontId="22" fillId="0" borderId="1" xfId="0" applyFont="1" applyBorder="1"/>
    <xf numFmtId="0" fontId="18" fillId="0" borderId="1" xfId="0" applyFont="1" applyBorder="1" applyAlignment="1">
      <alignment horizontal="centerContinuous"/>
    </xf>
    <xf numFmtId="44" fontId="20" fillId="0" borderId="0" xfId="0" applyNumberFormat="1" applyFont="1"/>
    <xf numFmtId="39" fontId="18" fillId="0" borderId="21" xfId="0" applyNumberFormat="1" applyFont="1" applyBorder="1"/>
    <xf numFmtId="166" fontId="18" fillId="0" borderId="16" xfId="0" applyNumberFormat="1" applyFont="1" applyBorder="1"/>
    <xf numFmtId="167" fontId="23" fillId="0" borderId="0" xfId="0" applyNumberFormat="1" applyFont="1"/>
    <xf numFmtId="39" fontId="18" fillId="0" borderId="0" xfId="0" applyNumberFormat="1" applyFont="1"/>
    <xf numFmtId="0" fontId="23" fillId="0" borderId="0" xfId="0" applyFont="1"/>
    <xf numFmtId="39" fontId="23" fillId="0" borderId="0" xfId="0" applyNumberFormat="1" applyFont="1" applyAlignment="1">
      <alignment horizontal="center"/>
    </xf>
    <xf numFmtId="166" fontId="23" fillId="0" borderId="0" xfId="0" applyNumberFormat="1" applyFont="1" applyAlignment="1">
      <alignment horizontal="center"/>
    </xf>
    <xf numFmtId="39" fontId="18" fillId="0" borderId="0" xfId="0" applyNumberFormat="1" applyFont="1" applyAlignment="1">
      <alignment horizontal="center"/>
    </xf>
    <xf numFmtId="184" fontId="22" fillId="2" borderId="2" xfId="0" applyNumberFormat="1" applyFont="1" applyFill="1" applyBorder="1" applyAlignment="1">
      <alignment horizontal="center"/>
    </xf>
    <xf numFmtId="166" fontId="21" fillId="2" borderId="2" xfId="0" applyNumberFormat="1" applyFont="1" applyFill="1" applyBorder="1" applyAlignment="1">
      <alignment horizontal="center"/>
    </xf>
    <xf numFmtId="166" fontId="22" fillId="2" borderId="2" xfId="0" applyNumberFormat="1" applyFont="1" applyFill="1" applyBorder="1" applyAlignment="1">
      <alignment horizontal="center"/>
    </xf>
    <xf numFmtId="39" fontId="23" fillId="0" borderId="21" xfId="0" applyNumberFormat="1" applyFont="1" applyBorder="1" applyAlignment="1">
      <alignment horizontal="center"/>
    </xf>
    <xf numFmtId="167" fontId="23" fillId="0" borderId="21" xfId="0" applyNumberFormat="1" applyFont="1" applyBorder="1" applyAlignment="1">
      <alignment horizontal="center"/>
    </xf>
    <xf numFmtId="39" fontId="18" fillId="0" borderId="21" xfId="0" applyNumberFormat="1" applyFont="1" applyBorder="1" applyAlignment="1">
      <alignment horizontal="center"/>
    </xf>
    <xf numFmtId="0" fontId="18" fillId="0" borderId="13" xfId="0" applyFont="1" applyBorder="1" applyAlignment="1">
      <alignment horizontal="centerContinuous"/>
    </xf>
    <xf numFmtId="39" fontId="18" fillId="0" borderId="11" xfId="0" applyNumberFormat="1" applyFont="1" applyBorder="1" applyAlignment="1">
      <alignment horizontal="center"/>
    </xf>
    <xf numFmtId="166" fontId="18" fillId="0" borderId="11" xfId="0" applyNumberFormat="1" applyFont="1" applyBorder="1" applyAlignment="1">
      <alignment horizontal="center"/>
    </xf>
    <xf numFmtId="39" fontId="18" fillId="0" borderId="14" xfId="0" applyNumberFormat="1" applyFont="1" applyBorder="1" applyAlignment="1">
      <alignment horizontal="center"/>
    </xf>
    <xf numFmtId="39" fontId="18" fillId="0" borderId="11" xfId="0" applyNumberFormat="1" applyFont="1" applyBorder="1"/>
    <xf numFmtId="183" fontId="18" fillId="0" borderId="11" xfId="0" applyNumberFormat="1" applyFont="1" applyBorder="1"/>
    <xf numFmtId="39" fontId="23" fillId="0" borderId="14" xfId="0" applyNumberFormat="1" applyFont="1" applyBorder="1" applyAlignment="1">
      <alignment horizontal="center"/>
    </xf>
    <xf numFmtId="8" fontId="23" fillId="0" borderId="0" xfId="0" applyNumberFormat="1" applyFont="1" applyAlignment="1">
      <alignment horizontal="center"/>
    </xf>
    <xf numFmtId="170" fontId="18" fillId="0" borderId="0" xfId="0" applyNumberFormat="1" applyFont="1" applyAlignment="1">
      <alignment horizontal="center"/>
    </xf>
    <xf numFmtId="6" fontId="19" fillId="0" borderId="0" xfId="0" applyNumberFormat="1" applyFont="1" applyAlignment="1">
      <alignment horizontal="center"/>
    </xf>
    <xf numFmtId="166" fontId="19" fillId="0" borderId="0" xfId="0" applyNumberFormat="1" applyFont="1" applyAlignment="1">
      <alignment horizontal="center"/>
    </xf>
    <xf numFmtId="0" fontId="20" fillId="0" borderId="0" xfId="0" applyFont="1" applyAlignment="1">
      <alignment shrinkToFit="1"/>
    </xf>
    <xf numFmtId="0" fontId="18" fillId="9" borderId="20" xfId="0" applyFont="1" applyFill="1" applyBorder="1"/>
    <xf numFmtId="178" fontId="18" fillId="0" borderId="0" xfId="0" applyNumberFormat="1" applyFont="1" applyAlignment="1">
      <alignment horizontal="center"/>
    </xf>
    <xf numFmtId="0" fontId="19" fillId="0" borderId="21" xfId="0" applyFont="1" applyBorder="1"/>
    <xf numFmtId="6" fontId="19" fillId="0" borderId="21" xfId="0" applyNumberFormat="1" applyFont="1" applyBorder="1" applyAlignment="1">
      <alignment horizontal="center"/>
    </xf>
    <xf numFmtId="166" fontId="19" fillId="0" borderId="21" xfId="0" applyNumberFormat="1" applyFont="1" applyBorder="1" applyAlignment="1">
      <alignment horizontal="center"/>
    </xf>
    <xf numFmtId="6" fontId="19" fillId="0" borderId="0" xfId="0" applyNumberFormat="1" applyFont="1"/>
    <xf numFmtId="0" fontId="27" fillId="0" borderId="0" xfId="0" applyFont="1" applyAlignment="1">
      <alignment horizontal="center"/>
    </xf>
    <xf numFmtId="0" fontId="35" fillId="0" borderId="0" xfId="0" applyFont="1" applyAlignment="1">
      <alignment horizontal="center"/>
    </xf>
    <xf numFmtId="0" fontId="35" fillId="0" borderId="0" xfId="0" applyFont="1"/>
    <xf numFmtId="168" fontId="18" fillId="0" borderId="16" xfId="0" applyNumberFormat="1" applyFont="1" applyBorder="1"/>
    <xf numFmtId="5" fontId="18" fillId="0" borderId="16" xfId="0" applyNumberFormat="1" applyFont="1" applyBorder="1"/>
    <xf numFmtId="182" fontId="22" fillId="0" borderId="2" xfId="0" applyNumberFormat="1" applyFont="1" applyBorder="1"/>
    <xf numFmtId="37" fontId="18" fillId="0" borderId="16" xfId="0" applyNumberFormat="1" applyFont="1" applyBorder="1"/>
    <xf numFmtId="0" fontId="18" fillId="0" borderId="16" xfId="0" applyFont="1" applyBorder="1"/>
    <xf numFmtId="37" fontId="23" fillId="0" borderId="16" xfId="0" applyNumberFormat="1" applyFont="1" applyBorder="1"/>
    <xf numFmtId="37" fontId="22" fillId="0" borderId="16" xfId="0" applyNumberFormat="1" applyFont="1" applyBorder="1"/>
    <xf numFmtId="37" fontId="21" fillId="0" borderId="16" xfId="0" applyNumberFormat="1" applyFont="1" applyBorder="1"/>
    <xf numFmtId="175" fontId="23" fillId="0" borderId="16" xfId="0" applyNumberFormat="1" applyFont="1" applyBorder="1"/>
    <xf numFmtId="175" fontId="22" fillId="0" borderId="16" xfId="0" applyNumberFormat="1" applyFont="1" applyBorder="1"/>
    <xf numFmtId="166" fontId="19" fillId="0" borderId="22" xfId="0" applyNumberFormat="1" applyFont="1" applyBorder="1"/>
    <xf numFmtId="181" fontId="22" fillId="2" borderId="2" xfId="0" applyNumberFormat="1" applyFont="1" applyFill="1" applyBorder="1" applyAlignment="1">
      <alignment horizontal="center"/>
    </xf>
    <xf numFmtId="182" fontId="22" fillId="2" borderId="2" xfId="0" applyNumberFormat="1" applyFont="1" applyFill="1" applyBorder="1" applyAlignment="1">
      <alignment horizontal="center"/>
    </xf>
    <xf numFmtId="10" fontId="23" fillId="0" borderId="0" xfId="0" applyNumberFormat="1" applyFont="1" applyAlignment="1">
      <alignment horizontal="center"/>
    </xf>
    <xf numFmtId="169" fontId="23" fillId="0" borderId="0" xfId="0" applyNumberFormat="1" applyFont="1" applyAlignment="1">
      <alignment horizontal="center"/>
    </xf>
    <xf numFmtId="178" fontId="21" fillId="0" borderId="0" xfId="0" applyNumberFormat="1" applyFont="1" applyAlignment="1">
      <alignment horizontal="center"/>
    </xf>
    <xf numFmtId="10" fontId="21" fillId="0" borderId="0" xfId="0" applyNumberFormat="1" applyFont="1" applyAlignment="1">
      <alignment horizontal="center"/>
    </xf>
    <xf numFmtId="167" fontId="22" fillId="2" borderId="2" xfId="0" applyNumberFormat="1" applyFont="1" applyFill="1" applyBorder="1" applyAlignment="1">
      <alignment horizontal="center"/>
    </xf>
    <xf numFmtId="181" fontId="21" fillId="2" borderId="2" xfId="0" applyNumberFormat="1" applyFont="1" applyFill="1" applyBorder="1" applyAlignment="1">
      <alignment horizontal="center"/>
    </xf>
    <xf numFmtId="167" fontId="21" fillId="2" borderId="2" xfId="0" applyNumberFormat="1" applyFont="1" applyFill="1" applyBorder="1" applyAlignment="1">
      <alignment horizontal="center"/>
    </xf>
    <xf numFmtId="185" fontId="21" fillId="0" borderId="0" xfId="4" applyNumberFormat="1" applyFont="1" applyFill="1" applyBorder="1"/>
    <xf numFmtId="7" fontId="20" fillId="0" borderId="0" xfId="0" applyNumberFormat="1" applyFont="1"/>
    <xf numFmtId="166" fontId="20" fillId="0" borderId="0" xfId="0" applyNumberFormat="1" applyFont="1"/>
    <xf numFmtId="8" fontId="18" fillId="0" borderId="25" xfId="0" applyNumberFormat="1" applyFont="1" applyBorder="1" applyAlignment="1">
      <alignment horizontal="center"/>
    </xf>
    <xf numFmtId="8" fontId="18" fillId="0" borderId="26" xfId="0" applyNumberFormat="1" applyFont="1" applyBorder="1" applyAlignment="1">
      <alignment horizontal="center"/>
    </xf>
    <xf numFmtId="8" fontId="18" fillId="0" borderId="27" xfId="0" applyNumberFormat="1" applyFont="1" applyBorder="1" applyAlignment="1">
      <alignment horizontal="center"/>
    </xf>
    <xf numFmtId="166" fontId="18" fillId="0" borderId="25" xfId="0" applyNumberFormat="1" applyFont="1" applyBorder="1" applyAlignment="1">
      <alignment horizontal="center"/>
    </xf>
    <xf numFmtId="166" fontId="18" fillId="0" borderId="26" xfId="0" applyNumberFormat="1" applyFont="1" applyBorder="1" applyAlignment="1">
      <alignment horizontal="center"/>
    </xf>
    <xf numFmtId="166" fontId="18" fillId="0" borderId="27" xfId="0" applyNumberFormat="1" applyFont="1" applyBorder="1" applyAlignment="1">
      <alignment horizontal="center"/>
    </xf>
    <xf numFmtId="8" fontId="18" fillId="0" borderId="15" xfId="0" applyNumberFormat="1" applyFont="1" applyBorder="1" applyAlignment="1">
      <alignment horizontal="center"/>
    </xf>
    <xf numFmtId="8" fontId="20" fillId="14" borderId="0" xfId="0" applyNumberFormat="1" applyFont="1" applyFill="1" applyAlignment="1">
      <alignment horizontal="center"/>
    </xf>
    <xf numFmtId="8" fontId="18" fillId="0" borderId="16" xfId="0" applyNumberFormat="1" applyFont="1" applyBorder="1" applyAlignment="1">
      <alignment horizontal="center"/>
    </xf>
    <xf numFmtId="166" fontId="18" fillId="0" borderId="15" xfId="0" applyNumberFormat="1" applyFont="1" applyBorder="1" applyAlignment="1">
      <alignment horizontal="center"/>
    </xf>
    <xf numFmtId="166" fontId="22" fillId="0" borderId="0" xfId="0" applyNumberFormat="1" applyFont="1" applyAlignment="1">
      <alignment horizontal="center"/>
    </xf>
    <xf numFmtId="166" fontId="18" fillId="0" borderId="16" xfId="0" applyNumberFormat="1" applyFont="1" applyBorder="1" applyAlignment="1">
      <alignment horizontal="center"/>
    </xf>
    <xf numFmtId="8" fontId="18" fillId="0" borderId="20" xfId="0" applyNumberFormat="1" applyFont="1" applyBorder="1" applyAlignment="1">
      <alignment horizontal="center"/>
    </xf>
    <xf numFmtId="8" fontId="18" fillId="0" borderId="21" xfId="0" applyNumberFormat="1" applyFont="1" applyBorder="1" applyAlignment="1">
      <alignment horizontal="center"/>
    </xf>
    <xf numFmtId="8" fontId="18" fillId="0" borderId="22" xfId="0" applyNumberFormat="1" applyFont="1" applyBorder="1" applyAlignment="1">
      <alignment horizontal="center"/>
    </xf>
    <xf numFmtId="166" fontId="18" fillId="0" borderId="20" xfId="0" applyNumberFormat="1" applyFont="1" applyBorder="1" applyAlignment="1">
      <alignment horizontal="center"/>
    </xf>
    <xf numFmtId="166" fontId="18" fillId="0" borderId="21" xfId="0" applyNumberFormat="1" applyFont="1" applyBorder="1" applyAlignment="1">
      <alignment horizontal="center"/>
    </xf>
    <xf numFmtId="166" fontId="18" fillId="0" borderId="22" xfId="0" applyNumberFormat="1" applyFont="1" applyBorder="1" applyAlignment="1">
      <alignment horizontal="center"/>
    </xf>
    <xf numFmtId="0" fontId="18" fillId="0" borderId="1" xfId="0" applyFont="1" applyBorder="1" applyAlignment="1">
      <alignment horizontal="center"/>
    </xf>
    <xf numFmtId="178" fontId="22" fillId="0" borderId="16" xfId="0" applyNumberFormat="1" applyFont="1" applyBorder="1"/>
    <xf numFmtId="178" fontId="18" fillId="0" borderId="16" xfId="0" applyNumberFormat="1" applyFont="1" applyBorder="1"/>
    <xf numFmtId="166" fontId="26" fillId="0" borderId="16" xfId="0" applyNumberFormat="1" applyFont="1" applyBorder="1"/>
    <xf numFmtId="166" fontId="26" fillId="0" borderId="16" xfId="0" applyNumberFormat="1" applyFont="1" applyBorder="1" applyAlignment="1">
      <alignment horizontal="right"/>
    </xf>
    <xf numFmtId="166" fontId="27" fillId="0" borderId="16" xfId="0" applyNumberFormat="1" applyFont="1" applyBorder="1"/>
    <xf numFmtId="8" fontId="18" fillId="0" borderId="16" xfId="0" applyNumberFormat="1" applyFont="1" applyBorder="1"/>
    <xf numFmtId="6" fontId="18" fillId="0" borderId="16" xfId="0" applyNumberFormat="1" applyFont="1" applyBorder="1"/>
    <xf numFmtId="166" fontId="26" fillId="0" borderId="22" xfId="0" applyNumberFormat="1" applyFont="1" applyBorder="1"/>
    <xf numFmtId="37" fontId="22" fillId="0" borderId="22" xfId="0" applyNumberFormat="1" applyFont="1" applyBorder="1"/>
    <xf numFmtId="167" fontId="21" fillId="0" borderId="0" xfId="0" applyNumberFormat="1" applyFont="1" applyAlignment="1">
      <alignment horizontal="center"/>
    </xf>
    <xf numFmtId="0" fontId="24" fillId="0" borderId="15" xfId="0" applyFont="1" applyBorder="1"/>
    <xf numFmtId="177" fontId="23" fillId="0" borderId="16" xfId="2" applyNumberFormat="1" applyFont="1" applyBorder="1"/>
    <xf numFmtId="177" fontId="18" fillId="0" borderId="16" xfId="2" applyNumberFormat="1" applyFont="1" applyBorder="1"/>
    <xf numFmtId="178" fontId="18" fillId="0" borderId="0" xfId="0" applyNumberFormat="1" applyFont="1" applyAlignment="1">
      <alignment horizontal="centerContinuous"/>
    </xf>
    <xf numFmtId="0" fontId="18" fillId="9" borderId="12" xfId="0" applyFont="1" applyFill="1" applyBorder="1"/>
    <xf numFmtId="0" fontId="18" fillId="14" borderId="12" xfId="0" applyFont="1" applyFill="1" applyBorder="1" applyAlignment="1">
      <alignment horizontal="centerContinuous"/>
    </xf>
    <xf numFmtId="0" fontId="18" fillId="14" borderId="3" xfId="0" applyFont="1" applyFill="1" applyBorder="1" applyAlignment="1">
      <alignment horizontal="centerContinuous"/>
    </xf>
    <xf numFmtId="186" fontId="18" fillId="0" borderId="0" xfId="3" applyNumberFormat="1" applyFont="1" applyBorder="1" applyAlignment="1">
      <alignment horizontal="center"/>
    </xf>
    <xf numFmtId="186" fontId="21" fillId="0" borderId="0" xfId="3" applyNumberFormat="1" applyFont="1" applyFill="1" applyBorder="1" applyAlignment="1">
      <alignment horizontal="center"/>
    </xf>
    <xf numFmtId="186" fontId="21" fillId="0" borderId="0" xfId="3" applyNumberFormat="1" applyFont="1" applyBorder="1" applyAlignment="1">
      <alignment horizontal="center"/>
    </xf>
    <xf numFmtId="9" fontId="18" fillId="0" borderId="0" xfId="3" applyFont="1" applyAlignment="1">
      <alignment horizontal="center"/>
    </xf>
    <xf numFmtId="190" fontId="18" fillId="0" borderId="0" xfId="0" applyNumberFormat="1" applyFont="1" applyAlignment="1">
      <alignment horizontal="center"/>
    </xf>
    <xf numFmtId="188" fontId="18" fillId="0" borderId="0" xfId="3" applyNumberFormat="1" applyFont="1" applyAlignment="1">
      <alignment horizontal="center"/>
    </xf>
    <xf numFmtId="186" fontId="18" fillId="0" borderId="0" xfId="0" applyNumberFormat="1" applyFont="1" applyAlignment="1">
      <alignment horizontal="center"/>
    </xf>
    <xf numFmtId="189" fontId="18" fillId="0" borderId="0" xfId="0" applyNumberFormat="1" applyFont="1" applyAlignment="1">
      <alignment horizontal="center"/>
    </xf>
    <xf numFmtId="188" fontId="18" fillId="0" borderId="0" xfId="0" applyNumberFormat="1" applyFont="1" applyAlignment="1">
      <alignment horizontal="center"/>
    </xf>
    <xf numFmtId="0" fontId="22" fillId="8" borderId="0" xfId="0" applyFont="1" applyFill="1"/>
    <xf numFmtId="0" fontId="22" fillId="8" borderId="1" xfId="0" applyFont="1" applyFill="1" applyBorder="1"/>
    <xf numFmtId="166" fontId="18" fillId="0" borderId="0" xfId="3" applyNumberFormat="1" applyFont="1" applyAlignment="1">
      <alignment horizontal="center"/>
    </xf>
    <xf numFmtId="193" fontId="18" fillId="0" borderId="0" xfId="0" applyNumberFormat="1" applyFont="1" applyAlignment="1">
      <alignment horizontal="center"/>
    </xf>
    <xf numFmtId="192" fontId="18" fillId="0" borderId="0" xfId="0" applyNumberFormat="1" applyFont="1" applyAlignment="1">
      <alignment horizontal="center"/>
    </xf>
    <xf numFmtId="189" fontId="18" fillId="0" borderId="0" xfId="0" quotePrefix="1" applyNumberFormat="1" applyFont="1" applyAlignment="1">
      <alignment horizontal="center"/>
    </xf>
    <xf numFmtId="167" fontId="18" fillId="0" borderId="0" xfId="3" applyNumberFormat="1" applyFont="1" applyAlignment="1">
      <alignment horizontal="center"/>
    </xf>
    <xf numFmtId="0" fontId="18" fillId="0" borderId="1" xfId="0" applyFont="1" applyBorder="1"/>
    <xf numFmtId="0" fontId="18" fillId="2" borderId="3" xfId="0" applyFont="1" applyFill="1" applyBorder="1"/>
    <xf numFmtId="169" fontId="18" fillId="0" borderId="0" xfId="0" applyNumberFormat="1" applyFont="1" applyAlignment="1">
      <alignment horizontal="center"/>
    </xf>
    <xf numFmtId="9" fontId="18" fillId="0" borderId="0" xfId="0" applyNumberFormat="1" applyFont="1" applyAlignment="1">
      <alignment horizontal="center"/>
    </xf>
    <xf numFmtId="194" fontId="18" fillId="0" borderId="0" xfId="3" applyNumberFormat="1" applyFont="1" applyAlignment="1">
      <alignment horizontal="center"/>
    </xf>
    <xf numFmtId="0" fontId="18" fillId="0" borderId="0" xfId="0" quotePrefix="1" applyFont="1"/>
    <xf numFmtId="0" fontId="18" fillId="0" borderId="0" xfId="0" quotePrefix="1" applyFont="1" applyAlignment="1">
      <alignment horizontal="center"/>
    </xf>
    <xf numFmtId="0" fontId="18" fillId="0" borderId="21" xfId="0" applyFont="1" applyBorder="1" applyAlignment="1">
      <alignment horizontal="center"/>
    </xf>
    <xf numFmtId="0" fontId="20" fillId="14" borderId="11" xfId="0" applyFont="1" applyFill="1" applyBorder="1"/>
    <xf numFmtId="0" fontId="20" fillId="14" borderId="46" xfId="0" applyFont="1" applyFill="1" applyBorder="1"/>
    <xf numFmtId="194" fontId="18" fillId="0" borderId="0" xfId="0" applyNumberFormat="1" applyFont="1" applyAlignment="1">
      <alignment horizontal="center"/>
    </xf>
    <xf numFmtId="164" fontId="18" fillId="0" borderId="0" xfId="0" applyNumberFormat="1" applyFont="1" applyAlignment="1">
      <alignment horizontal="center"/>
    </xf>
    <xf numFmtId="0" fontId="18" fillId="13" borderId="1" xfId="0" applyFont="1" applyFill="1" applyBorder="1"/>
    <xf numFmtId="0" fontId="21" fillId="0" borderId="0" xfId="0" applyFont="1"/>
    <xf numFmtId="187" fontId="18" fillId="0" borderId="0" xfId="0" applyNumberFormat="1" applyFont="1"/>
    <xf numFmtId="166" fontId="34" fillId="0" borderId="0" xfId="3" applyNumberFormat="1" applyFont="1"/>
    <xf numFmtId="197" fontId="21" fillId="0" borderId="0" xfId="5" applyNumberFormat="1" applyFont="1"/>
    <xf numFmtId="198" fontId="34" fillId="0" borderId="0" xfId="3" applyNumberFormat="1" applyFont="1"/>
    <xf numFmtId="5" fontId="23" fillId="0" borderId="0" xfId="5" applyNumberFormat="1" applyFont="1"/>
    <xf numFmtId="198" fontId="27" fillId="0" borderId="0" xfId="3" applyNumberFormat="1" applyFont="1"/>
    <xf numFmtId="198" fontId="19" fillId="0" borderId="0" xfId="3" applyNumberFormat="1" applyFont="1"/>
    <xf numFmtId="7" fontId="23" fillId="0" borderId="0" xfId="5" applyNumberFormat="1" applyFont="1"/>
    <xf numFmtId="0" fontId="23" fillId="0" borderId="0" xfId="0" applyFont="1" applyAlignment="1">
      <alignment horizontal="center"/>
    </xf>
    <xf numFmtId="5" fontId="21" fillId="0" borderId="0" xfId="5" applyNumberFormat="1" applyFont="1"/>
    <xf numFmtId="0" fontId="18" fillId="0" borderId="0" xfId="0" quotePrefix="1" applyFont="1" applyAlignment="1">
      <alignment horizontal="right"/>
    </xf>
    <xf numFmtId="169" fontId="26" fillId="0" borderId="2" xfId="3" applyNumberFormat="1" applyFont="1" applyBorder="1"/>
    <xf numFmtId="199" fontId="21" fillId="0" borderId="0" xfId="0" applyNumberFormat="1" applyFont="1"/>
    <xf numFmtId="5" fontId="21" fillId="0" borderId="0" xfId="0" applyNumberFormat="1" applyFont="1"/>
    <xf numFmtId="37" fontId="21" fillId="0" borderId="0" xfId="0" applyNumberFormat="1" applyFont="1"/>
    <xf numFmtId="14" fontId="21" fillId="0" borderId="0" xfId="0" applyNumberFormat="1" applyFont="1"/>
    <xf numFmtId="43" fontId="21" fillId="0" borderId="0" xfId="0" applyNumberFormat="1" applyFont="1"/>
    <xf numFmtId="0" fontId="20" fillId="7" borderId="0" xfId="0" applyFont="1" applyFill="1" applyAlignment="1">
      <alignment horizontal="centerContinuous"/>
    </xf>
    <xf numFmtId="0" fontId="18" fillId="9" borderId="0" xfId="0" applyFont="1" applyFill="1"/>
    <xf numFmtId="0" fontId="24" fillId="0" borderId="0" xfId="0" applyFont="1"/>
    <xf numFmtId="14" fontId="18" fillId="0" borderId="0" xfId="0" applyNumberFormat="1" applyFont="1"/>
    <xf numFmtId="0" fontId="23" fillId="2" borderId="2" xfId="0" applyFont="1" applyFill="1" applyBorder="1" applyAlignment="1">
      <alignment horizontal="center"/>
    </xf>
    <xf numFmtId="0" fontId="22" fillId="2" borderId="2" xfId="0" applyFont="1" applyFill="1" applyBorder="1" applyAlignment="1">
      <alignment horizontal="center"/>
    </xf>
    <xf numFmtId="168" fontId="23" fillId="0" borderId="0" xfId="0" applyNumberFormat="1" applyFont="1" applyAlignment="1">
      <alignment horizontal="center"/>
    </xf>
    <xf numFmtId="168" fontId="21" fillId="0" borderId="0" xfId="0" applyNumberFormat="1" applyFont="1" applyAlignment="1">
      <alignment horizontal="center"/>
    </xf>
    <xf numFmtId="194" fontId="18" fillId="0" borderId="36" xfId="0" applyNumberFormat="1" applyFont="1" applyBorder="1" applyAlignment="1">
      <alignment horizontal="center"/>
    </xf>
    <xf numFmtId="169" fontId="34" fillId="0" borderId="0" xfId="2" applyNumberFormat="1" applyFont="1" applyAlignment="1">
      <alignment horizontal="center"/>
    </xf>
    <xf numFmtId="169" fontId="27" fillId="0" borderId="0" xfId="2" applyNumberFormat="1" applyFont="1" applyAlignment="1">
      <alignment horizontal="center"/>
    </xf>
    <xf numFmtId="194" fontId="19" fillId="0" borderId="36" xfId="0" applyNumberFormat="1" applyFont="1" applyBorder="1" applyAlignment="1">
      <alignment horizontal="center"/>
    </xf>
    <xf numFmtId="194" fontId="19" fillId="0" borderId="0" xfId="0" applyNumberFormat="1" applyFont="1" applyAlignment="1">
      <alignment horizontal="center"/>
    </xf>
    <xf numFmtId="7" fontId="23" fillId="0" borderId="0" xfId="2" applyNumberFormat="1" applyFont="1" applyAlignment="1">
      <alignment horizontal="center"/>
    </xf>
    <xf numFmtId="7" fontId="21" fillId="0" borderId="0" xfId="2" applyNumberFormat="1" applyFont="1" applyAlignment="1">
      <alignment horizontal="center"/>
    </xf>
    <xf numFmtId="177" fontId="23" fillId="0" borderId="1" xfId="2" applyNumberFormat="1" applyFont="1" applyBorder="1" applyAlignment="1">
      <alignment horizontal="center"/>
    </xf>
    <xf numFmtId="177" fontId="21" fillId="0" borderId="1" xfId="2" applyNumberFormat="1" applyFont="1" applyBorder="1" applyAlignment="1">
      <alignment horizontal="center"/>
    </xf>
    <xf numFmtId="194" fontId="18" fillId="0" borderId="38" xfId="0" applyNumberFormat="1" applyFont="1" applyBorder="1" applyAlignment="1">
      <alignment horizontal="center"/>
    </xf>
    <xf numFmtId="194" fontId="18" fillId="0" borderId="1" xfId="0" applyNumberFormat="1" applyFont="1" applyBorder="1" applyAlignment="1">
      <alignment horizontal="center"/>
    </xf>
    <xf numFmtId="194" fontId="18" fillId="0" borderId="59" xfId="0" applyNumberFormat="1" applyFont="1" applyBorder="1" applyAlignment="1">
      <alignment horizontal="center"/>
    </xf>
    <xf numFmtId="194" fontId="18" fillId="0" borderId="60" xfId="0" applyNumberFormat="1" applyFont="1" applyBorder="1" applyAlignment="1">
      <alignment horizontal="center"/>
    </xf>
    <xf numFmtId="175" fontId="21" fillId="0" borderId="0" xfId="2" applyNumberFormat="1" applyFont="1" applyAlignment="1">
      <alignment horizontal="center"/>
    </xf>
    <xf numFmtId="175" fontId="21" fillId="0" borderId="1" xfId="2" applyNumberFormat="1" applyFont="1" applyBorder="1" applyAlignment="1">
      <alignment horizontal="center"/>
    </xf>
    <xf numFmtId="175" fontId="23" fillId="0" borderId="0" xfId="2" applyNumberFormat="1" applyFont="1" applyAlignment="1">
      <alignment horizontal="center"/>
    </xf>
    <xf numFmtId="175" fontId="23" fillId="0" borderId="1" xfId="2" applyNumberFormat="1" applyFont="1" applyBorder="1" applyAlignment="1">
      <alignment horizontal="center"/>
    </xf>
    <xf numFmtId="0" fontId="21" fillId="9" borderId="2" xfId="0" applyFont="1" applyFill="1" applyBorder="1" applyAlignment="1">
      <alignment horizontal="center"/>
    </xf>
    <xf numFmtId="0" fontId="18" fillId="17" borderId="0" xfId="0" applyFont="1" applyFill="1"/>
    <xf numFmtId="177" fontId="18" fillId="17" borderId="0" xfId="2" applyNumberFormat="1" applyFont="1" applyFill="1" applyBorder="1"/>
    <xf numFmtId="177" fontId="18" fillId="17" borderId="21" xfId="2" applyNumberFormat="1" applyFont="1" applyFill="1" applyBorder="1"/>
    <xf numFmtId="0" fontId="18" fillId="17" borderId="61" xfId="0" applyFont="1" applyFill="1" applyBorder="1"/>
    <xf numFmtId="0" fontId="18" fillId="17" borderId="64" xfId="0" applyFont="1" applyFill="1" applyBorder="1"/>
    <xf numFmtId="177" fontId="18" fillId="17" borderId="61" xfId="2" applyNumberFormat="1" applyFont="1" applyFill="1" applyBorder="1"/>
    <xf numFmtId="177" fontId="18" fillId="17" borderId="64" xfId="2" applyNumberFormat="1" applyFont="1" applyFill="1" applyBorder="1"/>
    <xf numFmtId="177" fontId="18" fillId="17" borderId="62" xfId="2" applyNumberFormat="1" applyFont="1" applyFill="1" applyBorder="1"/>
    <xf numFmtId="177" fontId="18" fillId="17" borderId="68" xfId="2" applyNumberFormat="1" applyFont="1" applyFill="1" applyBorder="1"/>
    <xf numFmtId="4" fontId="19" fillId="0" borderId="0" xfId="2" applyNumberFormat="1" applyFont="1" applyBorder="1" applyAlignment="1">
      <alignment horizontal="right"/>
    </xf>
    <xf numFmtId="0" fontId="7" fillId="0" borderId="0" xfId="0" applyFont="1" applyAlignment="1">
      <alignment horizontal="left"/>
    </xf>
    <xf numFmtId="0" fontId="21" fillId="0" borderId="26" xfId="0" applyFont="1" applyBorder="1" applyAlignment="1">
      <alignment horizontal="centerContinuous"/>
    </xf>
    <xf numFmtId="0" fontId="2" fillId="14" borderId="12" xfId="0" applyFont="1" applyFill="1" applyBorder="1" applyAlignment="1">
      <alignment horizontal="centerContinuous"/>
    </xf>
    <xf numFmtId="202" fontId="12" fillId="0" borderId="0" xfId="0" applyNumberFormat="1" applyFont="1" applyAlignment="1">
      <alignment horizontal="center"/>
    </xf>
    <xf numFmtId="178" fontId="18" fillId="11" borderId="25" xfId="0" applyNumberFormat="1" applyFont="1" applyFill="1" applyBorder="1" applyAlignment="1">
      <alignment horizontal="center"/>
    </xf>
    <xf numFmtId="178" fontId="18" fillId="11" borderId="27" xfId="0" applyNumberFormat="1" applyFont="1" applyFill="1" applyBorder="1" applyAlignment="1">
      <alignment horizontal="center"/>
    </xf>
    <xf numFmtId="178" fontId="18" fillId="11" borderId="20" xfId="0" applyNumberFormat="1" applyFont="1" applyFill="1" applyBorder="1" applyAlignment="1">
      <alignment horizontal="center"/>
    </xf>
    <xf numFmtId="178" fontId="18" fillId="11" borderId="22" xfId="0" applyNumberFormat="1" applyFont="1" applyFill="1" applyBorder="1" applyAlignment="1">
      <alignment horizontal="center"/>
    </xf>
    <xf numFmtId="4" fontId="18" fillId="0" borderId="0" xfId="0" applyNumberFormat="1" applyFont="1"/>
    <xf numFmtId="175" fontId="22" fillId="0" borderId="37" xfId="0" applyNumberFormat="1" applyFont="1" applyBorder="1"/>
    <xf numFmtId="175" fontId="22" fillId="0" borderId="64" xfId="0" applyNumberFormat="1" applyFont="1" applyBorder="1"/>
    <xf numFmtId="0" fontId="21" fillId="9" borderId="2" xfId="0" applyFont="1" applyFill="1" applyBorder="1" applyAlignment="1">
      <alignment horizontal="centerContinuous"/>
    </xf>
    <xf numFmtId="0" fontId="7" fillId="8" borderId="4" xfId="0" applyFont="1" applyFill="1" applyBorder="1" applyAlignment="1">
      <alignment horizontal="centerContinuous"/>
    </xf>
    <xf numFmtId="0" fontId="36" fillId="0" borderId="0" xfId="0" applyFont="1"/>
    <xf numFmtId="0" fontId="20" fillId="14" borderId="0" xfId="0" applyFont="1" applyFill="1" applyAlignment="1">
      <alignment horizontal="left"/>
    </xf>
    <xf numFmtId="0" fontId="20" fillId="14" borderId="0" xfId="0" applyFont="1" applyFill="1" applyAlignment="1">
      <alignment horizontal="center"/>
    </xf>
    <xf numFmtId="0" fontId="18" fillId="9" borderId="4" xfId="0" applyFont="1" applyFill="1" applyBorder="1" applyAlignment="1">
      <alignment horizontal="center"/>
    </xf>
    <xf numFmtId="0" fontId="18" fillId="9" borderId="12" xfId="0" applyFont="1" applyFill="1" applyBorder="1" applyAlignment="1">
      <alignment horizontal="center"/>
    </xf>
    <xf numFmtId="0" fontId="24" fillId="9" borderId="12" xfId="0" applyFont="1" applyFill="1" applyBorder="1" applyAlignment="1">
      <alignment horizontal="center"/>
    </xf>
    <xf numFmtId="0" fontId="24" fillId="9" borderId="3" xfId="0" applyFont="1" applyFill="1" applyBorder="1" applyAlignment="1">
      <alignment horizontal="center"/>
    </xf>
    <xf numFmtId="0" fontId="18" fillId="9" borderId="3" xfId="0" applyFont="1" applyFill="1" applyBorder="1" applyAlignment="1">
      <alignment horizontal="center"/>
    </xf>
    <xf numFmtId="0" fontId="18" fillId="9" borderId="21" xfId="0" applyFont="1" applyFill="1" applyBorder="1" applyAlignment="1">
      <alignment horizontal="center"/>
    </xf>
    <xf numFmtId="0" fontId="24" fillId="9" borderId="21" xfId="0" applyFont="1" applyFill="1" applyBorder="1" applyAlignment="1">
      <alignment horizontal="center"/>
    </xf>
    <xf numFmtId="0" fontId="18" fillId="9" borderId="22" xfId="0" applyFont="1" applyFill="1" applyBorder="1" applyAlignment="1">
      <alignment horizontal="center"/>
    </xf>
    <xf numFmtId="0" fontId="20" fillId="14" borderId="25" xfId="0" applyFont="1" applyFill="1" applyBorder="1" applyAlignment="1">
      <alignment horizontal="left"/>
    </xf>
    <xf numFmtId="0" fontId="20" fillId="14" borderId="26" xfId="0" applyFont="1" applyFill="1" applyBorder="1"/>
    <xf numFmtId="0" fontId="20" fillId="14" borderId="26" xfId="0" applyFont="1" applyFill="1" applyBorder="1" applyAlignment="1">
      <alignment horizontal="center"/>
    </xf>
    <xf numFmtId="0" fontId="20" fillId="14" borderId="63" xfId="0" applyFont="1" applyFill="1" applyBorder="1" applyAlignment="1">
      <alignment horizontal="center"/>
    </xf>
    <xf numFmtId="0" fontId="20" fillId="14" borderId="65" xfId="0" applyFont="1" applyFill="1" applyBorder="1" applyAlignment="1">
      <alignment horizontal="center"/>
    </xf>
    <xf numFmtId="0" fontId="20" fillId="14" borderId="27" xfId="0" applyFont="1" applyFill="1" applyBorder="1" applyAlignment="1">
      <alignment horizontal="center"/>
    </xf>
    <xf numFmtId="0" fontId="35" fillId="14" borderId="20" xfId="0" applyFont="1" applyFill="1" applyBorder="1" applyAlignment="1">
      <alignment horizontal="left"/>
    </xf>
    <xf numFmtId="0" fontId="35" fillId="14" borderId="21" xfId="0" applyFont="1" applyFill="1" applyBorder="1"/>
    <xf numFmtId="4" fontId="35" fillId="14" borderId="21" xfId="0" applyNumberFormat="1" applyFont="1" applyFill="1" applyBorder="1" applyAlignment="1">
      <alignment horizontal="center"/>
    </xf>
    <xf numFmtId="4" fontId="35" fillId="14" borderId="22" xfId="0" applyNumberFormat="1" applyFont="1" applyFill="1" applyBorder="1" applyAlignment="1">
      <alignment horizontal="center"/>
    </xf>
    <xf numFmtId="168" fontId="18" fillId="17" borderId="61" xfId="0" applyNumberFormat="1" applyFont="1" applyFill="1" applyBorder="1"/>
    <xf numFmtId="168" fontId="18" fillId="17" borderId="0" xfId="0" applyNumberFormat="1" applyFont="1" applyFill="1"/>
    <xf numFmtId="168" fontId="18" fillId="17" borderId="64" xfId="0" applyNumberFormat="1" applyFont="1" applyFill="1" applyBorder="1"/>
    <xf numFmtId="173" fontId="18" fillId="17" borderId="61" xfId="0" applyNumberFormat="1" applyFont="1" applyFill="1" applyBorder="1"/>
    <xf numFmtId="173" fontId="18" fillId="17" borderId="0" xfId="0" applyNumberFormat="1" applyFont="1" applyFill="1"/>
    <xf numFmtId="173" fontId="18" fillId="17" borderId="64" xfId="0" applyNumberFormat="1" applyFont="1" applyFill="1" applyBorder="1"/>
    <xf numFmtId="168" fontId="18" fillId="17" borderId="69" xfId="2" applyNumberFormat="1" applyFont="1" applyFill="1" applyBorder="1"/>
    <xf numFmtId="168" fontId="18" fillId="17" borderId="11" xfId="2" applyNumberFormat="1" applyFont="1" applyFill="1" applyBorder="1"/>
    <xf numFmtId="168" fontId="18" fillId="17" borderId="70" xfId="2" applyNumberFormat="1" applyFont="1" applyFill="1" applyBorder="1"/>
    <xf numFmtId="168" fontId="18" fillId="0" borderId="11" xfId="2" applyNumberFormat="1" applyFont="1" applyBorder="1"/>
    <xf numFmtId="168" fontId="18" fillId="0" borderId="14" xfId="2" applyNumberFormat="1" applyFont="1" applyBorder="1"/>
    <xf numFmtId="0" fontId="20" fillId="14" borderId="4" xfId="0" applyFont="1" applyFill="1" applyBorder="1" applyAlignment="1">
      <alignment horizontal="centerContinuous"/>
    </xf>
    <xf numFmtId="5" fontId="18" fillId="0" borderId="27" xfId="0" applyNumberFormat="1" applyFont="1" applyBorder="1"/>
    <xf numFmtId="7" fontId="18" fillId="0" borderId="27" xfId="0" applyNumberFormat="1" applyFont="1" applyBorder="1"/>
    <xf numFmtId="0" fontId="22" fillId="9" borderId="4" xfId="0" applyFont="1" applyFill="1" applyBorder="1" applyAlignment="1">
      <alignment horizontal="left"/>
    </xf>
    <xf numFmtId="0" fontId="20" fillId="9" borderId="12" xfId="0" applyFont="1" applyFill="1" applyBorder="1"/>
    <xf numFmtId="0" fontId="20" fillId="9" borderId="12" xfId="0" applyFont="1" applyFill="1" applyBorder="1" applyAlignment="1">
      <alignment horizontal="center"/>
    </xf>
    <xf numFmtId="0" fontId="20" fillId="9" borderId="3" xfId="0" applyFont="1" applyFill="1" applyBorder="1" applyAlignment="1">
      <alignment horizontal="center"/>
    </xf>
    <xf numFmtId="202" fontId="26" fillId="0" borderId="0" xfId="0" applyNumberFormat="1" applyFont="1" applyAlignment="1">
      <alignment horizontal="center"/>
    </xf>
    <xf numFmtId="0" fontId="20" fillId="0" borderId="0" xfId="0" applyFont="1" applyAlignment="1">
      <alignment horizontal="center"/>
    </xf>
    <xf numFmtId="0" fontId="22" fillId="0" borderId="1" xfId="0" applyFont="1" applyBorder="1" applyAlignment="1">
      <alignment horizontal="center"/>
    </xf>
    <xf numFmtId="0" fontId="22" fillId="0" borderId="1" xfId="0" applyFont="1" applyBorder="1" applyAlignment="1">
      <alignment horizontal="centerContinuous"/>
    </xf>
    <xf numFmtId="186" fontId="18" fillId="0" borderId="21" xfId="3" applyNumberFormat="1" applyFont="1" applyBorder="1" applyAlignment="1">
      <alignment horizontal="center"/>
    </xf>
    <xf numFmtId="186" fontId="21" fillId="0" borderId="21" xfId="3" applyNumberFormat="1" applyFont="1" applyBorder="1" applyAlignment="1">
      <alignment horizontal="center"/>
    </xf>
    <xf numFmtId="166" fontId="21" fillId="0" borderId="16" xfId="0" applyNumberFormat="1" applyFont="1" applyBorder="1"/>
    <xf numFmtId="166" fontId="18" fillId="0" borderId="21" xfId="3" applyNumberFormat="1" applyFont="1" applyBorder="1" applyAlignment="1">
      <alignment horizontal="center"/>
    </xf>
    <xf numFmtId="166" fontId="21" fillId="0" borderId="21" xfId="3" applyNumberFormat="1" applyFont="1" applyBorder="1" applyAlignment="1">
      <alignment horizontal="center"/>
    </xf>
    <xf numFmtId="170" fontId="18" fillId="0" borderId="16" xfId="0" applyNumberFormat="1" applyFont="1" applyBorder="1"/>
    <xf numFmtId="0" fontId="20" fillId="14" borderId="0" xfId="0" applyFont="1" applyFill="1" applyAlignment="1">
      <alignment horizontal="centerContinuous"/>
    </xf>
    <xf numFmtId="0" fontId="22" fillId="0" borderId="0" xfId="0" applyFont="1" applyAlignment="1">
      <alignment horizontal="left"/>
    </xf>
    <xf numFmtId="202" fontId="38" fillId="0" borderId="0" xfId="0" applyNumberFormat="1" applyFont="1" applyAlignment="1">
      <alignment horizontal="center"/>
    </xf>
    <xf numFmtId="7" fontId="18" fillId="0" borderId="16" xfId="0" applyNumberFormat="1" applyFont="1" applyBorder="1"/>
    <xf numFmtId="7" fontId="21" fillId="0" borderId="16" xfId="0" applyNumberFormat="1" applyFont="1" applyBorder="1"/>
    <xf numFmtId="7" fontId="22" fillId="0" borderId="16" xfId="0" applyNumberFormat="1" applyFont="1" applyBorder="1"/>
    <xf numFmtId="5" fontId="21" fillId="0" borderId="16" xfId="0" applyNumberFormat="1" applyFont="1" applyBorder="1"/>
    <xf numFmtId="5" fontId="22" fillId="0" borderId="16" xfId="0" applyNumberFormat="1" applyFont="1" applyBorder="1"/>
    <xf numFmtId="0" fontId="37" fillId="0" borderId="0" xfId="0" applyFont="1"/>
    <xf numFmtId="0" fontId="24" fillId="0" borderId="0" xfId="0" applyFont="1" applyAlignment="1">
      <alignment horizontal="center"/>
    </xf>
    <xf numFmtId="0" fontId="22" fillId="0" borderId="0" xfId="0" applyFont="1" applyAlignment="1">
      <alignment horizontal="center" vertical="center" wrapText="1"/>
    </xf>
    <xf numFmtId="0" fontId="18" fillId="9" borderId="4" xfId="0" applyFont="1" applyFill="1" applyBorder="1"/>
    <xf numFmtId="0" fontId="20" fillId="14" borderId="2" xfId="0" applyFont="1" applyFill="1" applyBorder="1" applyAlignment="1">
      <alignment horizontal="centerContinuous"/>
    </xf>
    <xf numFmtId="0" fontId="18" fillId="0" borderId="52" xfId="0" applyFont="1" applyBorder="1" applyAlignment="1">
      <alignment horizontal="left" indent="2"/>
    </xf>
    <xf numFmtId="0" fontId="20" fillId="14" borderId="20" xfId="0" applyFont="1" applyFill="1" applyBorder="1" applyAlignment="1">
      <alignment horizontal="left" indent="1"/>
    </xf>
    <xf numFmtId="0" fontId="20" fillId="14" borderId="21" xfId="0" applyFont="1" applyFill="1" applyBorder="1" applyAlignment="1">
      <alignment horizontal="center"/>
    </xf>
    <xf numFmtId="0" fontId="20" fillId="14" borderId="22" xfId="0" applyFont="1" applyFill="1" applyBorder="1" applyAlignment="1">
      <alignment horizontal="center"/>
    </xf>
    <xf numFmtId="0" fontId="37" fillId="14" borderId="26" xfId="0" applyFont="1" applyFill="1" applyBorder="1" applyAlignment="1">
      <alignment horizontal="center"/>
    </xf>
    <xf numFmtId="0" fontId="18" fillId="9" borderId="21" xfId="0" applyFont="1" applyFill="1" applyBorder="1"/>
    <xf numFmtId="0" fontId="18" fillId="9" borderId="22" xfId="0" applyFont="1" applyFill="1" applyBorder="1"/>
    <xf numFmtId="0" fontId="20" fillId="14" borderId="4" xfId="0" applyFont="1" applyFill="1" applyBorder="1" applyAlignment="1">
      <alignment horizontal="left"/>
    </xf>
    <xf numFmtId="0" fontId="37" fillId="14" borderId="12" xfId="0" applyFont="1" applyFill="1" applyBorder="1" applyAlignment="1">
      <alignment horizontal="center"/>
    </xf>
    <xf numFmtId="0" fontId="20" fillId="14" borderId="12" xfId="0" applyFont="1" applyFill="1" applyBorder="1" applyAlignment="1">
      <alignment horizontal="center"/>
    </xf>
    <xf numFmtId="0" fontId="20" fillId="14" borderId="3" xfId="0" applyFont="1" applyFill="1" applyBorder="1" applyAlignment="1">
      <alignment horizontal="center"/>
    </xf>
    <xf numFmtId="0" fontId="18" fillId="0" borderId="11" xfId="0" applyFont="1" applyBorder="1" applyAlignment="1">
      <alignment horizontal="left"/>
    </xf>
    <xf numFmtId="168" fontId="18" fillId="10" borderId="11" xfId="0" applyNumberFormat="1" applyFont="1" applyFill="1" applyBorder="1"/>
    <xf numFmtId="168" fontId="24" fillId="10" borderId="0" xfId="0" applyNumberFormat="1" applyFont="1" applyFill="1"/>
    <xf numFmtId="0" fontId="18" fillId="9" borderId="3" xfId="0" applyFont="1" applyFill="1" applyBorder="1"/>
    <xf numFmtId="0" fontId="18" fillId="0" borderId="13" xfId="0" applyFont="1" applyBorder="1" applyAlignment="1">
      <alignment horizontal="left"/>
    </xf>
    <xf numFmtId="168" fontId="22" fillId="10" borderId="0" xfId="0" applyNumberFormat="1" applyFont="1" applyFill="1"/>
    <xf numFmtId="172" fontId="18" fillId="0" borderId="0" xfId="0" applyNumberFormat="1" applyFont="1"/>
    <xf numFmtId="0" fontId="39" fillId="0" borderId="0" xfId="0" applyFont="1"/>
    <xf numFmtId="0" fontId="40" fillId="0" borderId="0" xfId="0" applyFont="1" applyAlignment="1">
      <alignment horizontal="center"/>
    </xf>
    <xf numFmtId="0" fontId="41" fillId="0" borderId="0" xfId="0" applyFont="1" applyAlignment="1">
      <alignment horizontal="center"/>
    </xf>
    <xf numFmtId="0" fontId="20" fillId="14" borderId="58" xfId="0" applyFont="1" applyFill="1" applyBorder="1" applyAlignment="1">
      <alignment horizontal="center"/>
    </xf>
    <xf numFmtId="0" fontId="42" fillId="0" borderId="0" xfId="0" applyFont="1"/>
    <xf numFmtId="0" fontId="43" fillId="0" borderId="0" xfId="0" applyFont="1" applyAlignment="1">
      <alignment horizontal="center"/>
    </xf>
    <xf numFmtId="0" fontId="37" fillId="7" borderId="0" xfId="0" applyFont="1" applyFill="1" applyAlignment="1">
      <alignment horizontal="centerContinuous"/>
    </xf>
    <xf numFmtId="0" fontId="24" fillId="9" borderId="15" xfId="0" applyFont="1" applyFill="1" applyBorder="1" applyAlignment="1">
      <alignment horizontal="center"/>
    </xf>
    <xf numFmtId="0" fontId="24" fillId="9" borderId="0" xfId="0" applyFont="1" applyFill="1" applyAlignment="1">
      <alignment horizontal="center"/>
    </xf>
    <xf numFmtId="0" fontId="24" fillId="9" borderId="16" xfId="0" applyFont="1" applyFill="1" applyBorder="1" applyAlignment="1">
      <alignment horizontal="center"/>
    </xf>
    <xf numFmtId="9" fontId="24" fillId="9" borderId="16" xfId="3" applyFont="1" applyFill="1" applyBorder="1" applyAlignment="1">
      <alignment horizontal="center"/>
    </xf>
    <xf numFmtId="0" fontId="24" fillId="0" borderId="16" xfId="0" applyFont="1" applyBorder="1" applyAlignment="1">
      <alignment horizontal="center"/>
    </xf>
    <xf numFmtId="196" fontId="18" fillId="0" borderId="27" xfId="0" applyNumberFormat="1" applyFont="1" applyBorder="1" applyAlignment="1">
      <alignment horizontal="center"/>
    </xf>
    <xf numFmtId="187" fontId="18" fillId="0" borderId="16" xfId="0" applyNumberFormat="1" applyFont="1" applyBorder="1" applyAlignment="1">
      <alignment horizontal="center"/>
    </xf>
    <xf numFmtId="187" fontId="18" fillId="0" borderId="22" xfId="0" applyNumberFormat="1" applyFont="1" applyBorder="1" applyAlignment="1">
      <alignment horizontal="center"/>
    </xf>
    <xf numFmtId="0" fontId="22" fillId="9" borderId="0" xfId="0" applyFont="1" applyFill="1" applyAlignment="1">
      <alignment horizontal="centerContinuous"/>
    </xf>
    <xf numFmtId="0" fontId="44" fillId="0" borderId="0" xfId="0" applyFont="1"/>
    <xf numFmtId="198" fontId="23" fillId="0" borderId="0" xfId="0" applyNumberFormat="1" applyFont="1"/>
    <xf numFmtId="198" fontId="45" fillId="0" borderId="0" xfId="0" applyNumberFormat="1" applyFont="1"/>
    <xf numFmtId="198" fontId="22" fillId="0" borderId="0" xfId="0" applyNumberFormat="1" applyFont="1"/>
    <xf numFmtId="198" fontId="35" fillId="0" borderId="0" xfId="0" applyNumberFormat="1" applyFont="1"/>
    <xf numFmtId="201" fontId="23" fillId="0" borderId="0" xfId="0" applyNumberFormat="1" applyFont="1"/>
    <xf numFmtId="201" fontId="45" fillId="0" borderId="0" xfId="0" applyNumberFormat="1" applyFont="1"/>
    <xf numFmtId="201" fontId="22" fillId="0" borderId="0" xfId="0" applyNumberFormat="1" applyFont="1"/>
    <xf numFmtId="201" fontId="35" fillId="0" borderId="0" xfId="0" applyNumberFormat="1" applyFont="1"/>
    <xf numFmtId="0" fontId="20" fillId="0" borderId="0" xfId="0" applyFont="1" applyAlignment="1">
      <alignment horizontal="centerContinuous"/>
    </xf>
    <xf numFmtId="0" fontId="22" fillId="0" borderId="12" xfId="0" applyFont="1" applyBorder="1" applyAlignment="1">
      <alignment horizontal="center"/>
    </xf>
    <xf numFmtId="0" fontId="22" fillId="0" borderId="3" xfId="0" applyFont="1" applyBorder="1" applyAlignment="1">
      <alignment horizontal="center"/>
    </xf>
    <xf numFmtId="0" fontId="18" fillId="0" borderId="53" xfId="0" applyFont="1" applyBorder="1"/>
    <xf numFmtId="0" fontId="18" fillId="0" borderId="32" xfId="0" applyFont="1" applyBorder="1"/>
    <xf numFmtId="0" fontId="23" fillId="0" borderId="53" xfId="0" applyFont="1" applyBorder="1"/>
    <xf numFmtId="0" fontId="23" fillId="0" borderId="12" xfId="0" applyFont="1" applyBorder="1" applyAlignment="1">
      <alignment horizontal="center"/>
    </xf>
    <xf numFmtId="0" fontId="23" fillId="0" borderId="3" xfId="0" applyFont="1" applyBorder="1" applyAlignment="1">
      <alignment horizontal="center"/>
    </xf>
    <xf numFmtId="1" fontId="21" fillId="0" borderId="12" xfId="0" applyNumberFormat="1" applyFont="1" applyBorder="1" applyAlignment="1">
      <alignment horizontal="center"/>
    </xf>
    <xf numFmtId="1" fontId="18" fillId="0" borderId="12" xfId="0" applyNumberFormat="1" applyFont="1" applyBorder="1" applyAlignment="1">
      <alignment horizontal="center"/>
    </xf>
    <xf numFmtId="1" fontId="18" fillId="0" borderId="3" xfId="0" applyNumberFormat="1" applyFont="1" applyBorder="1" applyAlignment="1">
      <alignment horizontal="center"/>
    </xf>
    <xf numFmtId="1" fontId="18" fillId="0" borderId="0" xfId="0" applyNumberFormat="1" applyFont="1" applyAlignment="1">
      <alignment horizontal="center"/>
    </xf>
    <xf numFmtId="0" fontId="20" fillId="14" borderId="0" xfId="0" quotePrefix="1" applyFont="1" applyFill="1"/>
    <xf numFmtId="200" fontId="21" fillId="0" borderId="12" xfId="0" applyNumberFormat="1" applyFont="1" applyBorder="1" applyAlignment="1">
      <alignment horizontal="center" vertical="center" wrapText="1"/>
    </xf>
    <xf numFmtId="200" fontId="18" fillId="0" borderId="12" xfId="0" applyNumberFormat="1" applyFont="1" applyBorder="1" applyAlignment="1">
      <alignment horizontal="center" vertical="center" wrapText="1"/>
    </xf>
    <xf numFmtId="200" fontId="18" fillId="0" borderId="3" xfId="0" applyNumberFormat="1" applyFont="1" applyBorder="1" applyAlignment="1">
      <alignment horizontal="center" vertical="center" wrapText="1"/>
    </xf>
    <xf numFmtId="0" fontId="18" fillId="0" borderId="55" xfId="0" applyFont="1" applyBorder="1" applyAlignment="1">
      <alignment horizontal="centerContinuous"/>
    </xf>
    <xf numFmtId="0" fontId="46" fillId="0" borderId="0" xfId="0" applyFont="1" applyAlignment="1">
      <alignment horizontal="centerContinuous"/>
    </xf>
    <xf numFmtId="0" fontId="47" fillId="0" borderId="0" xfId="0" applyFont="1" applyAlignment="1">
      <alignment horizontal="centerContinuous"/>
    </xf>
    <xf numFmtId="0" fontId="47" fillId="0" borderId="0" xfId="0" applyFont="1" applyAlignment="1">
      <alignment horizontal="center"/>
    </xf>
    <xf numFmtId="187" fontId="47" fillId="0" borderId="0" xfId="0" applyNumberFormat="1" applyFont="1" applyAlignment="1">
      <alignment horizontal="center"/>
    </xf>
    <xf numFmtId="0" fontId="20" fillId="14" borderId="4" xfId="0" applyFont="1" applyFill="1" applyBorder="1"/>
    <xf numFmtId="5" fontId="20" fillId="14" borderId="12" xfId="0" applyNumberFormat="1" applyFont="1" applyFill="1" applyBorder="1" applyAlignment="1">
      <alignment horizontal="center"/>
    </xf>
    <xf numFmtId="188" fontId="20" fillId="14" borderId="12" xfId="3" applyNumberFormat="1" applyFont="1" applyFill="1" applyBorder="1" applyAlignment="1">
      <alignment horizontal="center"/>
    </xf>
    <xf numFmtId="189" fontId="20" fillId="14" borderId="12" xfId="0" applyNumberFormat="1" applyFont="1" applyFill="1" applyBorder="1" applyAlignment="1">
      <alignment horizontal="center"/>
    </xf>
    <xf numFmtId="189" fontId="20" fillId="14" borderId="3" xfId="0" applyNumberFormat="1" applyFont="1" applyFill="1" applyBorder="1" applyAlignment="1">
      <alignment horizontal="center"/>
    </xf>
    <xf numFmtId="0" fontId="22" fillId="8" borderId="33" xfId="0" applyFont="1" applyFill="1" applyBorder="1"/>
    <xf numFmtId="0" fontId="22" fillId="8" borderId="34" xfId="0" applyFont="1" applyFill="1" applyBorder="1"/>
    <xf numFmtId="0" fontId="22" fillId="8" borderId="34" xfId="0" applyFont="1" applyFill="1" applyBorder="1" applyAlignment="1">
      <alignment horizontal="center"/>
    </xf>
    <xf numFmtId="5" fontId="22" fillId="8" borderId="34" xfId="0" applyNumberFormat="1" applyFont="1" applyFill="1" applyBorder="1" applyAlignment="1">
      <alignment horizontal="center"/>
    </xf>
    <xf numFmtId="188" fontId="22" fillId="8" borderId="34" xfId="0" applyNumberFormat="1" applyFont="1" applyFill="1" applyBorder="1" applyAlignment="1">
      <alignment horizontal="center"/>
    </xf>
    <xf numFmtId="186" fontId="22" fillId="8" borderId="34" xfId="0" applyNumberFormat="1" applyFont="1" applyFill="1" applyBorder="1" applyAlignment="1">
      <alignment horizontal="center"/>
    </xf>
    <xf numFmtId="189" fontId="22" fillId="8" borderId="34" xfId="0" applyNumberFormat="1" applyFont="1" applyFill="1" applyBorder="1" applyAlignment="1">
      <alignment horizontal="center"/>
    </xf>
    <xf numFmtId="189" fontId="22" fillId="8" borderId="35" xfId="0" applyNumberFormat="1" applyFont="1" applyFill="1" applyBorder="1" applyAlignment="1">
      <alignment horizontal="center"/>
    </xf>
    <xf numFmtId="0" fontId="22" fillId="8" borderId="36" xfId="0" applyFont="1" applyFill="1" applyBorder="1"/>
    <xf numFmtId="0" fontId="22" fillId="8" borderId="0" xfId="0" applyFont="1" applyFill="1" applyAlignment="1">
      <alignment horizontal="center"/>
    </xf>
    <xf numFmtId="37" fontId="22" fillId="8" borderId="0" xfId="0" applyNumberFormat="1" applyFont="1" applyFill="1" applyAlignment="1">
      <alignment horizontal="center"/>
    </xf>
    <xf numFmtId="188" fontId="22" fillId="8" borderId="0" xfId="0" applyNumberFormat="1" applyFont="1" applyFill="1" applyAlignment="1">
      <alignment horizontal="center"/>
    </xf>
    <xf numFmtId="189" fontId="22" fillId="8" borderId="0" xfId="0" applyNumberFormat="1" applyFont="1" applyFill="1" applyAlignment="1">
      <alignment horizontal="center"/>
    </xf>
    <xf numFmtId="189" fontId="22" fillId="8" borderId="37" xfId="0" applyNumberFormat="1" applyFont="1" applyFill="1" applyBorder="1" applyAlignment="1">
      <alignment horizontal="center"/>
    </xf>
    <xf numFmtId="0" fontId="22" fillId="8" borderId="38" xfId="0" applyFont="1" applyFill="1" applyBorder="1"/>
    <xf numFmtId="37" fontId="22" fillId="8" borderId="1" xfId="0" applyNumberFormat="1" applyFont="1" applyFill="1" applyBorder="1" applyAlignment="1">
      <alignment horizontal="center"/>
    </xf>
    <xf numFmtId="188" fontId="22" fillId="8" borderId="1" xfId="0" applyNumberFormat="1" applyFont="1" applyFill="1" applyBorder="1" applyAlignment="1">
      <alignment horizontal="center"/>
    </xf>
    <xf numFmtId="189" fontId="22" fillId="8" borderId="1" xfId="0" applyNumberFormat="1" applyFont="1" applyFill="1" applyBorder="1" applyAlignment="1">
      <alignment horizontal="center"/>
    </xf>
    <xf numFmtId="189" fontId="22" fillId="8" borderId="39" xfId="0" applyNumberFormat="1" applyFont="1" applyFill="1" applyBorder="1" applyAlignment="1">
      <alignment horizontal="center"/>
    </xf>
    <xf numFmtId="188" fontId="20" fillId="14" borderId="12" xfId="0" applyNumberFormat="1" applyFont="1" applyFill="1" applyBorder="1" applyAlignment="1">
      <alignment horizontal="center"/>
    </xf>
    <xf numFmtId="192" fontId="20" fillId="14" borderId="12" xfId="0" applyNumberFormat="1" applyFont="1" applyFill="1" applyBorder="1" applyAlignment="1">
      <alignment horizontal="center"/>
    </xf>
    <xf numFmtId="39" fontId="22" fillId="8" borderId="34" xfId="0" applyNumberFormat="1" applyFont="1" applyFill="1" applyBorder="1" applyAlignment="1">
      <alignment horizontal="center"/>
    </xf>
    <xf numFmtId="0" fontId="22" fillId="8" borderId="34" xfId="0" quotePrefix="1" applyFont="1" applyFill="1" applyBorder="1" applyAlignment="1">
      <alignment horizontal="center"/>
    </xf>
    <xf numFmtId="0" fontId="22" fillId="8" borderId="35" xfId="0" quotePrefix="1" applyFont="1" applyFill="1" applyBorder="1" applyAlignment="1">
      <alignment horizontal="center"/>
    </xf>
    <xf numFmtId="39" fontId="22" fillId="8" borderId="0" xfId="0" applyNumberFormat="1" applyFont="1" applyFill="1" applyAlignment="1">
      <alignment horizontal="center"/>
    </xf>
    <xf numFmtId="0" fontId="22" fillId="8" borderId="0" xfId="0" quotePrefix="1" applyFont="1" applyFill="1" applyAlignment="1">
      <alignment horizontal="center"/>
    </xf>
    <xf numFmtId="0" fontId="22" fillId="8" borderId="37" xfId="0" quotePrefix="1" applyFont="1" applyFill="1" applyBorder="1" applyAlignment="1">
      <alignment horizontal="center"/>
    </xf>
    <xf numFmtId="39" fontId="22" fillId="8" borderId="1" xfId="0" applyNumberFormat="1" applyFont="1" applyFill="1" applyBorder="1" applyAlignment="1">
      <alignment horizontal="center"/>
    </xf>
    <xf numFmtId="0" fontId="22" fillId="8" borderId="1" xfId="0" quotePrefix="1" applyFont="1" applyFill="1" applyBorder="1" applyAlignment="1">
      <alignment horizontal="center"/>
    </xf>
    <xf numFmtId="0" fontId="22" fillId="8" borderId="39" xfId="0" quotePrefix="1" applyFont="1" applyFill="1" applyBorder="1" applyAlignment="1">
      <alignment horizontal="center"/>
    </xf>
    <xf numFmtId="189" fontId="18" fillId="0" borderId="1" xfId="0" applyNumberFormat="1" applyFont="1" applyBorder="1" applyAlignment="1">
      <alignment horizontal="center"/>
    </xf>
    <xf numFmtId="186" fontId="18" fillId="0" borderId="1" xfId="0" applyNumberFormat="1" applyFont="1" applyBorder="1" applyAlignment="1">
      <alignment horizontal="center"/>
    </xf>
    <xf numFmtId="0" fontId="18" fillId="0" borderId="1" xfId="0" quotePrefix="1" applyFont="1" applyBorder="1" applyAlignment="1">
      <alignment horizontal="center"/>
    </xf>
    <xf numFmtId="0" fontId="18" fillId="2" borderId="4" xfId="0" applyFont="1" applyFill="1" applyBorder="1"/>
    <xf numFmtId="0" fontId="18" fillId="13" borderId="4" xfId="0" applyFont="1" applyFill="1" applyBorder="1"/>
    <xf numFmtId="0" fontId="18" fillId="13" borderId="12" xfId="0" applyFont="1" applyFill="1" applyBorder="1"/>
    <xf numFmtId="0" fontId="18" fillId="13" borderId="12" xfId="0" applyFont="1" applyFill="1" applyBorder="1" applyAlignment="1">
      <alignment horizontal="center"/>
    </xf>
    <xf numFmtId="5" fontId="18" fillId="13" borderId="12" xfId="0" applyNumberFormat="1" applyFont="1" applyFill="1" applyBorder="1" applyAlignment="1">
      <alignment horizontal="center"/>
    </xf>
    <xf numFmtId="188" fontId="18" fillId="13" borderId="12" xfId="3" applyNumberFormat="1" applyFont="1" applyFill="1" applyBorder="1" applyAlignment="1">
      <alignment horizontal="center"/>
    </xf>
    <xf numFmtId="189" fontId="18" fillId="13" borderId="12" xfId="0" applyNumberFormat="1" applyFont="1" applyFill="1" applyBorder="1" applyAlignment="1">
      <alignment horizontal="center"/>
    </xf>
    <xf numFmtId="189" fontId="18" fillId="13" borderId="3" xfId="0" applyNumberFormat="1" applyFont="1" applyFill="1" applyBorder="1" applyAlignment="1">
      <alignment horizontal="center"/>
    </xf>
    <xf numFmtId="0" fontId="20" fillId="14" borderId="40" xfId="0" applyFont="1" applyFill="1" applyBorder="1"/>
    <xf numFmtId="0" fontId="20" fillId="14" borderId="41" xfId="0" applyFont="1" applyFill="1" applyBorder="1"/>
    <xf numFmtId="0" fontId="20" fillId="14" borderId="41" xfId="0" applyFont="1" applyFill="1" applyBorder="1" applyAlignment="1">
      <alignment horizontal="center"/>
    </xf>
    <xf numFmtId="5" fontId="20" fillId="14" borderId="41" xfId="0" applyNumberFormat="1" applyFont="1" applyFill="1" applyBorder="1" applyAlignment="1">
      <alignment horizontal="center"/>
    </xf>
    <xf numFmtId="188" fontId="20" fillId="14" borderId="41" xfId="0" applyNumberFormat="1" applyFont="1" applyFill="1" applyBorder="1" applyAlignment="1">
      <alignment horizontal="center"/>
    </xf>
    <xf numFmtId="186" fontId="20" fillId="14" borderId="41" xfId="0" applyNumberFormat="1" applyFont="1" applyFill="1" applyBorder="1" applyAlignment="1">
      <alignment horizontal="center"/>
    </xf>
    <xf numFmtId="189" fontId="20" fillId="14" borderId="41" xfId="0" applyNumberFormat="1" applyFont="1" applyFill="1" applyBorder="1" applyAlignment="1">
      <alignment horizontal="center"/>
    </xf>
    <xf numFmtId="189" fontId="20" fillId="14" borderId="42" xfId="0" applyNumberFormat="1" applyFont="1" applyFill="1" applyBorder="1" applyAlignment="1">
      <alignment horizontal="center"/>
    </xf>
    <xf numFmtId="0" fontId="20" fillId="14" borderId="43" xfId="0" applyFont="1" applyFill="1" applyBorder="1"/>
    <xf numFmtId="0" fontId="20" fillId="14" borderId="11" xfId="0" applyFont="1" applyFill="1" applyBorder="1" applyAlignment="1">
      <alignment horizontal="center"/>
    </xf>
    <xf numFmtId="37" fontId="20" fillId="14" borderId="11" xfId="0" applyNumberFormat="1" applyFont="1" applyFill="1" applyBorder="1" applyAlignment="1">
      <alignment horizontal="center"/>
    </xf>
    <xf numFmtId="188" fontId="20" fillId="14" borderId="11" xfId="0" applyNumberFormat="1" applyFont="1" applyFill="1" applyBorder="1" applyAlignment="1">
      <alignment horizontal="center"/>
    </xf>
    <xf numFmtId="191" fontId="20" fillId="14" borderId="11" xfId="0" applyNumberFormat="1" applyFont="1" applyFill="1" applyBorder="1" applyAlignment="1">
      <alignment horizontal="center"/>
    </xf>
    <xf numFmtId="189" fontId="20" fillId="14" borderId="11" xfId="0" applyNumberFormat="1" applyFont="1" applyFill="1" applyBorder="1" applyAlignment="1">
      <alignment horizontal="center"/>
    </xf>
    <xf numFmtId="189" fontId="20" fillId="14" borderId="44" xfId="0" applyNumberFormat="1" applyFont="1" applyFill="1" applyBorder="1" applyAlignment="1">
      <alignment horizontal="center"/>
    </xf>
    <xf numFmtId="0" fontId="20" fillId="14" borderId="45" xfId="0" applyFont="1" applyFill="1" applyBorder="1"/>
    <xf numFmtId="37" fontId="20" fillId="14" borderId="46" xfId="0" applyNumberFormat="1" applyFont="1" applyFill="1" applyBorder="1" applyAlignment="1">
      <alignment horizontal="center"/>
    </xf>
    <xf numFmtId="188" fontId="20" fillId="14" borderId="46" xfId="0" applyNumberFormat="1" applyFont="1" applyFill="1" applyBorder="1" applyAlignment="1">
      <alignment horizontal="center"/>
    </xf>
    <xf numFmtId="191" fontId="20" fillId="14" borderId="46" xfId="0" applyNumberFormat="1" applyFont="1" applyFill="1" applyBorder="1" applyAlignment="1">
      <alignment horizontal="center"/>
    </xf>
    <xf numFmtId="189" fontId="20" fillId="14" borderId="46" xfId="0" applyNumberFormat="1" applyFont="1" applyFill="1" applyBorder="1" applyAlignment="1">
      <alignment horizontal="center"/>
    </xf>
    <xf numFmtId="189" fontId="20" fillId="14" borderId="47" xfId="0" applyNumberFormat="1" applyFont="1" applyFill="1" applyBorder="1" applyAlignment="1">
      <alignment horizontal="center"/>
    </xf>
    <xf numFmtId="188" fontId="18" fillId="13" borderId="12" xfId="0" applyNumberFormat="1" applyFont="1" applyFill="1" applyBorder="1" applyAlignment="1">
      <alignment horizontal="center"/>
    </xf>
    <xf numFmtId="192" fontId="18" fillId="13" borderId="12" xfId="0" applyNumberFormat="1" applyFont="1" applyFill="1" applyBorder="1" applyAlignment="1">
      <alignment horizontal="center"/>
    </xf>
    <xf numFmtId="0" fontId="18" fillId="13" borderId="3" xfId="0" applyFont="1" applyFill="1" applyBorder="1" applyAlignment="1">
      <alignment horizontal="center"/>
    </xf>
    <xf numFmtId="0" fontId="18" fillId="0" borderId="4" xfId="0" applyFont="1" applyBorder="1"/>
    <xf numFmtId="184" fontId="18" fillId="0" borderId="3" xfId="0" applyNumberFormat="1" applyFont="1" applyBorder="1" applyAlignment="1">
      <alignment horizontal="center"/>
    </xf>
    <xf numFmtId="184" fontId="18" fillId="0" borderId="26" xfId="0" applyNumberFormat="1" applyFont="1" applyBorder="1"/>
    <xf numFmtId="166" fontId="21" fillId="0" borderId="16" xfId="0" applyNumberFormat="1" applyFont="1" applyBorder="1" applyAlignment="1">
      <alignment horizontal="center"/>
    </xf>
    <xf numFmtId="0" fontId="18" fillId="0" borderId="13" xfId="0" applyFont="1" applyBorder="1"/>
    <xf numFmtId="0" fontId="22" fillId="9" borderId="20" xfId="0" applyFont="1" applyFill="1" applyBorder="1" applyAlignment="1">
      <alignment horizontal="left"/>
    </xf>
    <xf numFmtId="0" fontId="20" fillId="9" borderId="21" xfId="0" applyFont="1" applyFill="1" applyBorder="1"/>
    <xf numFmtId="0" fontId="37" fillId="9" borderId="21" xfId="0" applyFont="1" applyFill="1" applyBorder="1" applyAlignment="1">
      <alignment horizontal="center"/>
    </xf>
    <xf numFmtId="0" fontId="20" fillId="9" borderId="21" xfId="0" applyFont="1" applyFill="1" applyBorder="1" applyAlignment="1">
      <alignment horizontal="center"/>
    </xf>
    <xf numFmtId="0" fontId="20" fillId="9" borderId="22" xfId="0" applyFont="1" applyFill="1" applyBorder="1" applyAlignment="1">
      <alignment horizontal="center"/>
    </xf>
    <xf numFmtId="173" fontId="22" fillId="0" borderId="0" xfId="0" applyNumberFormat="1" applyFont="1"/>
    <xf numFmtId="0" fontId="37" fillId="9" borderId="12" xfId="0" applyFont="1" applyFill="1" applyBorder="1" applyAlignment="1">
      <alignment horizontal="right"/>
    </xf>
    <xf numFmtId="0" fontId="20" fillId="9" borderId="12" xfId="0" applyFont="1" applyFill="1" applyBorder="1" applyAlignment="1">
      <alignment horizontal="right"/>
    </xf>
    <xf numFmtId="0" fontId="20" fillId="9" borderId="3" xfId="0" applyFont="1" applyFill="1" applyBorder="1" applyAlignment="1">
      <alignment horizontal="right"/>
    </xf>
    <xf numFmtId="177" fontId="18" fillId="10" borderId="0" xfId="2" applyNumberFormat="1" applyFont="1" applyFill="1" applyBorder="1" applyAlignment="1">
      <alignment horizontal="right"/>
    </xf>
    <xf numFmtId="177" fontId="18" fillId="0" borderId="0" xfId="2" applyNumberFormat="1" applyFont="1" applyFill="1" applyBorder="1" applyAlignment="1">
      <alignment horizontal="right"/>
    </xf>
    <xf numFmtId="177" fontId="22" fillId="11" borderId="0" xfId="2" applyNumberFormat="1" applyFont="1" applyFill="1" applyBorder="1" applyAlignment="1">
      <alignment horizontal="right"/>
    </xf>
    <xf numFmtId="177" fontId="21" fillId="11" borderId="0" xfId="2" applyNumberFormat="1" applyFont="1" applyFill="1" applyBorder="1" applyAlignment="1">
      <alignment horizontal="right"/>
    </xf>
    <xf numFmtId="177" fontId="21" fillId="0" borderId="0" xfId="2" applyNumberFormat="1" applyFont="1" applyFill="1" applyBorder="1" applyAlignment="1">
      <alignment horizontal="right"/>
    </xf>
    <xf numFmtId="0" fontId="37" fillId="9" borderId="21" xfId="0" applyFont="1" applyFill="1" applyBorder="1" applyAlignment="1">
      <alignment horizontal="right"/>
    </xf>
    <xf numFmtId="0" fontId="20" fillId="9" borderId="21" xfId="0" applyFont="1" applyFill="1" applyBorder="1" applyAlignment="1">
      <alignment horizontal="right"/>
    </xf>
    <xf numFmtId="0" fontId="20" fillId="9" borderId="22" xfId="0" applyFont="1" applyFill="1" applyBorder="1" applyAlignment="1">
      <alignment horizontal="right"/>
    </xf>
    <xf numFmtId="177" fontId="22" fillId="0" borderId="0" xfId="2" applyNumberFormat="1" applyFont="1" applyFill="1" applyBorder="1" applyAlignment="1">
      <alignment horizontal="right"/>
    </xf>
    <xf numFmtId="168" fontId="18" fillId="10" borderId="0" xfId="0" applyNumberFormat="1" applyFont="1" applyFill="1" applyAlignment="1">
      <alignment horizontal="right"/>
    </xf>
    <xf numFmtId="168" fontId="18" fillId="0" borderId="0" xfId="0" applyNumberFormat="1" applyFont="1" applyAlignment="1">
      <alignment horizontal="right"/>
    </xf>
    <xf numFmtId="168" fontId="18" fillId="11" borderId="0" xfId="0" applyNumberFormat="1" applyFont="1" applyFill="1" applyAlignment="1">
      <alignment horizontal="right"/>
    </xf>
    <xf numFmtId="0" fontId="18" fillId="9" borderId="12" xfId="0" applyFont="1" applyFill="1" applyBorder="1" applyAlignment="1">
      <alignment horizontal="right"/>
    </xf>
    <xf numFmtId="0" fontId="18" fillId="9" borderId="3" xfId="0" applyFont="1" applyFill="1" applyBorder="1" applyAlignment="1">
      <alignment horizontal="right"/>
    </xf>
    <xf numFmtId="170" fontId="22" fillId="10" borderId="0" xfId="0" applyNumberFormat="1" applyFont="1" applyFill="1" applyAlignment="1">
      <alignment horizontal="right"/>
    </xf>
    <xf numFmtId="170" fontId="22" fillId="11" borderId="0" xfId="0" applyNumberFormat="1" applyFont="1" applyFill="1" applyAlignment="1">
      <alignment horizontal="right"/>
    </xf>
    <xf numFmtId="170" fontId="22" fillId="0" borderId="0" xfId="0" applyNumberFormat="1" applyFont="1" applyAlignment="1">
      <alignment horizontal="right"/>
    </xf>
    <xf numFmtId="0" fontId="20" fillId="14" borderId="25" xfId="0" applyFont="1" applyFill="1" applyBorder="1" applyAlignment="1">
      <alignment horizontal="centerContinuous"/>
    </xf>
    <xf numFmtId="0" fontId="20" fillId="14" borderId="20" xfId="0" applyFont="1" applyFill="1" applyBorder="1" applyAlignment="1">
      <alignment horizontal="left"/>
    </xf>
    <xf numFmtId="0" fontId="20" fillId="14" borderId="21" xfId="0" applyFont="1" applyFill="1" applyBorder="1"/>
    <xf numFmtId="0" fontId="37" fillId="14" borderId="21" xfId="0" applyFont="1" applyFill="1" applyBorder="1" applyAlignment="1">
      <alignment horizontal="center"/>
    </xf>
    <xf numFmtId="0" fontId="20" fillId="14" borderId="20" xfId="0" applyFont="1" applyFill="1" applyBorder="1" applyAlignment="1">
      <alignment horizontal="center"/>
    </xf>
    <xf numFmtId="168" fontId="23" fillId="10" borderId="0" xfId="0" applyNumberFormat="1" applyFont="1" applyFill="1"/>
    <xf numFmtId="168" fontId="23" fillId="0" borderId="0" xfId="0" applyNumberFormat="1" applyFont="1"/>
    <xf numFmtId="168" fontId="23" fillId="10" borderId="0" xfId="0" applyNumberFormat="1" applyFont="1" applyFill="1" applyAlignment="1">
      <alignment horizontal="right"/>
    </xf>
    <xf numFmtId="168" fontId="23" fillId="0" borderId="0" xfId="0" applyNumberFormat="1" applyFont="1" applyAlignment="1">
      <alignment horizontal="right"/>
    </xf>
    <xf numFmtId="0" fontId="37" fillId="14" borderId="3" xfId="0" applyFont="1" applyFill="1" applyBorder="1" applyAlignment="1">
      <alignment horizontal="center"/>
    </xf>
    <xf numFmtId="177" fontId="18" fillId="0" borderId="0" xfId="0" applyNumberFormat="1" applyFont="1" applyAlignment="1">
      <alignment horizontal="right"/>
    </xf>
    <xf numFmtId="177" fontId="18" fillId="11" borderId="0" xfId="2" applyNumberFormat="1" applyFont="1" applyFill="1" applyBorder="1" applyAlignment="1">
      <alignment horizontal="right"/>
    </xf>
    <xf numFmtId="177" fontId="18" fillId="0" borderId="0" xfId="2" applyNumberFormat="1" applyFont="1" applyBorder="1" applyAlignment="1">
      <alignment horizontal="right"/>
    </xf>
    <xf numFmtId="177" fontId="18" fillId="10" borderId="0" xfId="2" applyNumberFormat="1" applyFont="1" applyFill="1" applyBorder="1"/>
    <xf numFmtId="177" fontId="18" fillId="0" borderId="0" xfId="0" applyNumberFormat="1" applyFont="1"/>
    <xf numFmtId="179" fontId="18" fillId="10" borderId="0" xfId="2" applyNumberFormat="1" applyFont="1" applyFill="1" applyBorder="1" applyAlignment="1">
      <alignment horizontal="right"/>
    </xf>
    <xf numFmtId="179" fontId="18" fillId="0" borderId="0" xfId="2" applyNumberFormat="1" applyFont="1" applyFill="1" applyBorder="1" applyAlignment="1">
      <alignment horizontal="right"/>
    </xf>
    <xf numFmtId="179" fontId="18" fillId="11" borderId="0" xfId="2" applyNumberFormat="1" applyFont="1" applyFill="1" applyBorder="1" applyAlignment="1">
      <alignment horizontal="right"/>
    </xf>
    <xf numFmtId="179" fontId="22" fillId="0" borderId="0" xfId="0" applyNumberFormat="1" applyFont="1" applyAlignment="1">
      <alignment horizontal="right"/>
    </xf>
    <xf numFmtId="178" fontId="18" fillId="10" borderId="0" xfId="2" applyNumberFormat="1" applyFont="1" applyFill="1" applyBorder="1" applyAlignment="1">
      <alignment horizontal="right"/>
    </xf>
    <xf numFmtId="178" fontId="18" fillId="0" borderId="0" xfId="2" applyNumberFormat="1" applyFont="1" applyFill="1" applyBorder="1" applyAlignment="1">
      <alignment horizontal="right"/>
    </xf>
    <xf numFmtId="0" fontId="13" fillId="14" borderId="0" xfId="0" applyFont="1" applyFill="1"/>
    <xf numFmtId="0" fontId="13" fillId="14" borderId="0" xfId="0" applyFont="1" applyFill="1" applyAlignment="1">
      <alignment horizontal="center"/>
    </xf>
    <xf numFmtId="0" fontId="7" fillId="9" borderId="4" xfId="0" applyFont="1" applyFill="1" applyBorder="1"/>
    <xf numFmtId="0" fontId="7" fillId="9" borderId="12" xfId="0" applyFont="1" applyFill="1" applyBorder="1" applyAlignment="1">
      <alignment horizontal="center"/>
    </xf>
    <xf numFmtId="0" fontId="7" fillId="9" borderId="3" xfId="0" applyFont="1" applyFill="1" applyBorder="1"/>
    <xf numFmtId="0" fontId="6" fillId="0" borderId="0" xfId="0" applyFont="1" applyAlignment="1">
      <alignment horizontal="left"/>
    </xf>
    <xf numFmtId="0" fontId="7" fillId="9" borderId="12" xfId="0" applyFont="1" applyFill="1" applyBorder="1"/>
    <xf numFmtId="0" fontId="20" fillId="14" borderId="48" xfId="0" applyFont="1" applyFill="1" applyBorder="1" applyAlignment="1">
      <alignment horizontal="center"/>
    </xf>
    <xf numFmtId="0" fontId="20" fillId="14" borderId="49" xfId="0" applyFont="1" applyFill="1" applyBorder="1" applyAlignment="1">
      <alignment horizontal="center"/>
    </xf>
    <xf numFmtId="0" fontId="20" fillId="14" borderId="50" xfId="0" applyFont="1" applyFill="1" applyBorder="1" applyAlignment="1">
      <alignment horizontal="center"/>
    </xf>
    <xf numFmtId="7" fontId="18" fillId="0" borderId="11" xfId="0" applyNumberFormat="1" applyFont="1" applyBorder="1"/>
    <xf numFmtId="7" fontId="18" fillId="0" borderId="14" xfId="0" applyNumberFormat="1" applyFont="1" applyBorder="1"/>
    <xf numFmtId="0" fontId="22" fillId="9" borderId="4" xfId="0" applyFont="1" applyFill="1" applyBorder="1"/>
    <xf numFmtId="0" fontId="22" fillId="9" borderId="12" xfId="0" applyFont="1" applyFill="1" applyBorder="1"/>
    <xf numFmtId="0" fontId="26" fillId="9" borderId="12" xfId="0" applyFont="1" applyFill="1" applyBorder="1"/>
    <xf numFmtId="0" fontId="22" fillId="9" borderId="12" xfId="0" applyFont="1" applyFill="1" applyBorder="1" applyAlignment="1">
      <alignment horizontal="center"/>
    </xf>
    <xf numFmtId="0" fontId="22" fillId="9" borderId="3" xfId="0" applyFont="1" applyFill="1" applyBorder="1" applyAlignment="1">
      <alignment horizontal="center"/>
    </xf>
    <xf numFmtId="7" fontId="22" fillId="0" borderId="0" xfId="0" applyNumberFormat="1" applyFont="1"/>
    <xf numFmtId="7" fontId="22" fillId="0" borderId="37" xfId="0" applyNumberFormat="1" applyFont="1" applyBorder="1"/>
    <xf numFmtId="7" fontId="22" fillId="0" borderId="64" xfId="0" applyNumberFormat="1" applyFont="1" applyBorder="1"/>
    <xf numFmtId="37" fontId="18" fillId="0" borderId="26" xfId="0" applyNumberFormat="1" applyFont="1" applyBorder="1"/>
    <xf numFmtId="37" fontId="18" fillId="0" borderId="54" xfId="0" applyNumberFormat="1" applyFont="1" applyBorder="1"/>
    <xf numFmtId="37" fontId="18" fillId="0" borderId="65" xfId="0" applyNumberFormat="1" applyFont="1" applyBorder="1"/>
    <xf numFmtId="6" fontId="18" fillId="0" borderId="26" xfId="0" applyNumberFormat="1" applyFont="1" applyBorder="1"/>
    <xf numFmtId="6" fontId="18" fillId="0" borderId="54" xfId="0" applyNumberFormat="1" applyFont="1" applyBorder="1"/>
    <xf numFmtId="6" fontId="18" fillId="0" borderId="65" xfId="0" applyNumberFormat="1" applyFont="1" applyBorder="1"/>
    <xf numFmtId="196" fontId="20" fillId="0" borderId="0" xfId="0" applyNumberFormat="1" applyFont="1" applyAlignment="1">
      <alignment horizontal="center"/>
    </xf>
    <xf numFmtId="187" fontId="20" fillId="0" borderId="0" xfId="0" applyNumberFormat="1" applyFont="1" applyAlignment="1">
      <alignment horizontal="center"/>
    </xf>
    <xf numFmtId="0" fontId="7" fillId="9" borderId="4" xfId="0" applyFont="1" applyFill="1" applyBorder="1" applyAlignment="1">
      <alignment horizontal="centerContinuous"/>
    </xf>
    <xf numFmtId="0" fontId="7" fillId="9" borderId="12" xfId="0" applyFont="1" applyFill="1" applyBorder="1" applyAlignment="1">
      <alignment horizontal="centerContinuous"/>
    </xf>
    <xf numFmtId="0" fontId="7" fillId="9" borderId="3" xfId="0" applyFont="1" applyFill="1" applyBorder="1" applyAlignment="1">
      <alignment horizontal="centerContinuous"/>
    </xf>
    <xf numFmtId="0" fontId="7" fillId="8" borderId="12" xfId="0" applyFont="1" applyFill="1" applyBorder="1" applyAlignment="1">
      <alignment horizontal="centerContinuous"/>
    </xf>
    <xf numFmtId="0" fontId="7" fillId="8" borderId="3" xfId="0" applyFont="1" applyFill="1" applyBorder="1" applyAlignment="1">
      <alignment horizontal="centerContinuous"/>
    </xf>
    <xf numFmtId="0" fontId="7" fillId="0" borderId="23" xfId="0" applyFont="1" applyBorder="1" applyAlignment="1">
      <alignment horizontal="center"/>
    </xf>
    <xf numFmtId="0" fontId="7" fillId="0" borderId="24" xfId="0" applyFont="1" applyBorder="1" applyAlignment="1">
      <alignment horizontal="center"/>
    </xf>
    <xf numFmtId="0" fontId="18" fillId="0" borderId="0" xfId="0" applyFont="1" applyAlignment="1">
      <alignment vertical="center"/>
    </xf>
    <xf numFmtId="43" fontId="18" fillId="9" borderId="20" xfId="2" applyFont="1" applyFill="1" applyBorder="1"/>
    <xf numFmtId="43" fontId="18" fillId="9" borderId="21" xfId="2" applyFont="1" applyFill="1" applyBorder="1" applyAlignment="1">
      <alignment horizontal="center"/>
    </xf>
    <xf numFmtId="43" fontId="18" fillId="9" borderId="22" xfId="2" applyFont="1" applyFill="1" applyBorder="1" applyAlignment="1">
      <alignment horizontal="center"/>
    </xf>
    <xf numFmtId="0" fontId="20" fillId="5" borderId="10" xfId="0" applyFont="1" applyFill="1" applyBorder="1" applyAlignment="1">
      <alignment horizontal="centerContinuous"/>
    </xf>
    <xf numFmtId="0" fontId="20" fillId="14" borderId="10" xfId="0" applyFont="1" applyFill="1" applyBorder="1" applyAlignment="1">
      <alignment horizontal="centerContinuous"/>
    </xf>
    <xf numFmtId="0" fontId="22" fillId="9" borderId="10" xfId="0" applyFont="1" applyFill="1" applyBorder="1" applyAlignment="1">
      <alignment horizontal="centerContinuous"/>
    </xf>
    <xf numFmtId="0" fontId="20" fillId="3" borderId="10" xfId="0" applyFont="1" applyFill="1" applyBorder="1" applyAlignment="1">
      <alignment horizontal="centerContinuous"/>
    </xf>
    <xf numFmtId="0" fontId="22" fillId="15" borderId="10" xfId="0" applyFont="1" applyFill="1" applyBorder="1" applyAlignment="1">
      <alignment horizontal="centerContinuous"/>
    </xf>
    <xf numFmtId="0" fontId="20" fillId="4" borderId="10" xfId="0" applyFont="1" applyFill="1" applyBorder="1" applyAlignment="1">
      <alignment horizontal="centerContinuous"/>
    </xf>
    <xf numFmtId="0" fontId="18" fillId="0" borderId="10" xfId="0" applyFont="1" applyBorder="1" applyAlignment="1">
      <alignment horizontal="center"/>
    </xf>
    <xf numFmtId="0" fontId="18" fillId="6" borderId="10" xfId="0" applyFont="1" applyFill="1" applyBorder="1" applyAlignment="1">
      <alignment horizontal="centerContinuous"/>
    </xf>
    <xf numFmtId="0" fontId="18" fillId="2" borderId="10" xfId="0" applyFont="1" applyFill="1" applyBorder="1" applyAlignment="1">
      <alignment horizontal="centerContinuous"/>
    </xf>
    <xf numFmtId="0" fontId="20" fillId="16" borderId="10" xfId="0" applyFont="1" applyFill="1" applyBorder="1" applyAlignment="1">
      <alignment horizontal="centerContinuous"/>
    </xf>
    <xf numFmtId="0" fontId="22" fillId="10" borderId="10" xfId="0" applyFont="1" applyFill="1" applyBorder="1" applyAlignment="1">
      <alignment horizontal="centerContinuous"/>
    </xf>
    <xf numFmtId="0" fontId="22" fillId="11" borderId="10" xfId="0" applyFont="1" applyFill="1" applyBorder="1" applyAlignment="1">
      <alignment horizontal="centerContinuous"/>
    </xf>
    <xf numFmtId="0" fontId="22" fillId="0" borderId="10" xfId="0" applyFont="1" applyBorder="1" applyAlignment="1">
      <alignment horizontal="centerContinuous"/>
    </xf>
    <xf numFmtId="0" fontId="13" fillId="14" borderId="4" xfId="0" applyFont="1" applyFill="1" applyBorder="1" applyAlignment="1">
      <alignment horizontal="left"/>
    </xf>
    <xf numFmtId="0" fontId="35" fillId="0" borderId="0" xfId="0" applyFont="1" applyAlignment="1">
      <alignment horizontal="right"/>
    </xf>
    <xf numFmtId="0" fontId="13" fillId="14" borderId="4" xfId="0" applyFont="1" applyFill="1" applyBorder="1"/>
    <xf numFmtId="0" fontId="48" fillId="0" borderId="0" xfId="1" applyFont="1" applyAlignment="1">
      <alignment horizontal="left" indent="1"/>
    </xf>
    <xf numFmtId="0" fontId="13" fillId="14" borderId="2" xfId="0" applyFont="1" applyFill="1" applyBorder="1" applyAlignment="1">
      <alignment horizontal="centerContinuous"/>
    </xf>
    <xf numFmtId="0" fontId="49" fillId="9" borderId="2" xfId="0" applyFont="1" applyFill="1" applyBorder="1" applyAlignment="1">
      <alignment horizontal="centerContinuous"/>
    </xf>
    <xf numFmtId="0" fontId="50" fillId="0" borderId="0" xfId="0" applyFont="1" applyAlignment="1">
      <alignment horizontal="center"/>
    </xf>
    <xf numFmtId="166" fontId="24" fillId="0" borderId="0" xfId="0" applyNumberFormat="1" applyFont="1" applyAlignment="1">
      <alignment horizontal="center"/>
    </xf>
    <xf numFmtId="184" fontId="18" fillId="0" borderId="25" xfId="0" applyNumberFormat="1" applyFont="1" applyBorder="1" applyAlignment="1">
      <alignment horizontal="center"/>
    </xf>
    <xf numFmtId="184" fontId="18" fillId="0" borderId="26" xfId="0" applyNumberFormat="1" applyFont="1" applyBorder="1" applyAlignment="1">
      <alignment horizontal="center"/>
    </xf>
    <xf numFmtId="184" fontId="18" fillId="0" borderId="27" xfId="0" applyNumberFormat="1" applyFont="1" applyBorder="1" applyAlignment="1">
      <alignment horizontal="center"/>
    </xf>
    <xf numFmtId="184" fontId="18" fillId="0" borderId="15" xfId="0" applyNumberFormat="1" applyFont="1" applyBorder="1" applyAlignment="1">
      <alignment horizontal="center"/>
    </xf>
    <xf numFmtId="184" fontId="20" fillId="14" borderId="0" xfId="0" applyNumberFormat="1" applyFont="1" applyFill="1" applyAlignment="1">
      <alignment horizontal="center"/>
    </xf>
    <xf numFmtId="184" fontId="18" fillId="0" borderId="16" xfId="0" applyNumberFormat="1" applyFont="1" applyBorder="1" applyAlignment="1">
      <alignment horizontal="center"/>
    </xf>
    <xf numFmtId="184" fontId="18" fillId="0" borderId="20" xfId="0" applyNumberFormat="1" applyFont="1" applyBorder="1" applyAlignment="1">
      <alignment horizontal="center"/>
    </xf>
    <xf numFmtId="184" fontId="18" fillId="0" borderId="21" xfId="0" applyNumberFormat="1" applyFont="1" applyBorder="1" applyAlignment="1">
      <alignment horizontal="center"/>
    </xf>
    <xf numFmtId="184" fontId="18" fillId="0" borderId="22" xfId="0" applyNumberFormat="1" applyFont="1" applyBorder="1" applyAlignment="1">
      <alignment horizontal="center"/>
    </xf>
    <xf numFmtId="178" fontId="21" fillId="0" borderId="15" xfId="0" applyNumberFormat="1" applyFont="1" applyBorder="1" applyAlignment="1">
      <alignment horizontal="center"/>
    </xf>
    <xf numFmtId="178" fontId="21" fillId="0" borderId="16" xfId="0" applyNumberFormat="1" applyFont="1" applyBorder="1" applyAlignment="1">
      <alignment horizontal="center"/>
    </xf>
    <xf numFmtId="0" fontId="51" fillId="0" borderId="0" xfId="0" applyFont="1"/>
    <xf numFmtId="0" fontId="13" fillId="0" borderId="0" xfId="0" applyFont="1"/>
    <xf numFmtId="0" fontId="52" fillId="0" borderId="0" xfId="0" applyFont="1" applyAlignment="1">
      <alignment horizontal="center"/>
    </xf>
    <xf numFmtId="0" fontId="53" fillId="0" borderId="0" xfId="0" applyFont="1"/>
    <xf numFmtId="169" fontId="54" fillId="10" borderId="0" xfId="0" applyNumberFormat="1" applyFont="1" applyFill="1" applyAlignment="1">
      <alignment horizontal="right"/>
    </xf>
    <xf numFmtId="173" fontId="54" fillId="10" borderId="0" xfId="0" applyNumberFormat="1" applyFont="1" applyFill="1" applyAlignment="1">
      <alignment horizontal="right"/>
    </xf>
    <xf numFmtId="173" fontId="54" fillId="0" borderId="0" xfId="0" applyNumberFormat="1" applyFont="1" applyAlignment="1">
      <alignment horizontal="right"/>
    </xf>
    <xf numFmtId="173" fontId="53" fillId="11" borderId="0" xfId="0" applyNumberFormat="1" applyFont="1" applyFill="1" applyAlignment="1">
      <alignment horizontal="right"/>
    </xf>
    <xf numFmtId="173" fontId="53" fillId="0" borderId="0" xfId="0" applyNumberFormat="1" applyFont="1" applyAlignment="1">
      <alignment horizontal="right"/>
    </xf>
    <xf numFmtId="0" fontId="53" fillId="0" borderId="15" xfId="0" applyFont="1" applyBorder="1" applyAlignment="1">
      <alignment horizontal="center"/>
    </xf>
    <xf numFmtId="0" fontId="53" fillId="0" borderId="16" xfId="0" applyFont="1" applyBorder="1" applyAlignment="1">
      <alignment horizontal="center"/>
    </xf>
    <xf numFmtId="9" fontId="34" fillId="0" borderId="26" xfId="3" applyFont="1" applyBorder="1"/>
    <xf numFmtId="9" fontId="34" fillId="0" borderId="0" xfId="3" applyFont="1"/>
    <xf numFmtId="0" fontId="21" fillId="0" borderId="0" xfId="0" applyFont="1" applyAlignment="1">
      <alignment horizontal="left" indent="1"/>
    </xf>
    <xf numFmtId="14" fontId="22" fillId="0" borderId="0" xfId="0" applyNumberFormat="1" applyFont="1"/>
    <xf numFmtId="37" fontId="22" fillId="0" borderId="21" xfId="0" applyNumberFormat="1" applyFont="1" applyBorder="1"/>
    <xf numFmtId="203" fontId="18" fillId="0" borderId="26" xfId="0" applyNumberFormat="1" applyFont="1" applyBorder="1" applyAlignment="1">
      <alignment horizontal="center"/>
    </xf>
    <xf numFmtId="0" fontId="18" fillId="9" borderId="2" xfId="0" applyFont="1" applyFill="1" applyBorder="1" applyAlignment="1">
      <alignment horizontal="center"/>
    </xf>
    <xf numFmtId="0" fontId="28" fillId="0" borderId="21" xfId="0" applyFont="1" applyBorder="1"/>
    <xf numFmtId="0" fontId="20" fillId="14" borderId="2" xfId="0" applyFont="1" applyFill="1" applyBorder="1" applyAlignment="1">
      <alignment horizontal="center"/>
    </xf>
    <xf numFmtId="184" fontId="22" fillId="0" borderId="0" xfId="0" applyNumberFormat="1" applyFont="1"/>
    <xf numFmtId="166" fontId="22" fillId="0" borderId="0" xfId="0" applyNumberFormat="1" applyFont="1"/>
    <xf numFmtId="169" fontId="21" fillId="0" borderId="0" xfId="0" applyNumberFormat="1" applyFont="1"/>
    <xf numFmtId="10" fontId="7" fillId="0" borderId="0" xfId="0" applyNumberFormat="1" applyFont="1"/>
    <xf numFmtId="0" fontId="55" fillId="0" borderId="0" xfId="0" applyFont="1" applyAlignment="1">
      <alignment horizontal="centerContinuous"/>
    </xf>
    <xf numFmtId="0" fontId="37" fillId="0" borderId="0" xfId="0" applyFont="1" applyAlignment="1">
      <alignment horizontal="centerContinuous"/>
    </xf>
    <xf numFmtId="0" fontId="56" fillId="0" borderId="0" xfId="0" applyFont="1" applyAlignment="1">
      <alignment horizontal="centerContinuous"/>
    </xf>
    <xf numFmtId="0" fontId="55" fillId="14" borderId="12" xfId="0" applyFont="1" applyFill="1" applyBorder="1" applyAlignment="1">
      <alignment horizontal="centerContinuous"/>
    </xf>
    <xf numFmtId="0" fontId="55" fillId="14" borderId="3" xfId="0" applyFont="1" applyFill="1" applyBorder="1" applyAlignment="1">
      <alignment horizontal="centerContinuous"/>
    </xf>
    <xf numFmtId="0" fontId="37" fillId="14" borderId="4" xfId="0" applyFont="1" applyFill="1" applyBorder="1" applyAlignment="1">
      <alignment horizontal="centerContinuous"/>
    </xf>
    <xf numFmtId="0" fontId="56" fillId="14" borderId="12" xfId="0" applyFont="1" applyFill="1" applyBorder="1" applyAlignment="1">
      <alignment horizontal="centerContinuous"/>
    </xf>
    <xf numFmtId="0" fontId="37" fillId="14" borderId="12" xfId="0" applyFont="1" applyFill="1" applyBorder="1" applyAlignment="1">
      <alignment horizontal="centerContinuous"/>
    </xf>
    <xf numFmtId="0" fontId="56" fillId="14" borderId="3" xfId="0" applyFont="1" applyFill="1" applyBorder="1" applyAlignment="1">
      <alignment horizontal="centerContinuous"/>
    </xf>
    <xf numFmtId="0" fontId="37" fillId="14" borderId="2" xfId="0" applyFont="1" applyFill="1" applyBorder="1" applyAlignment="1">
      <alignment horizontal="centerContinuous"/>
    </xf>
    <xf numFmtId="168" fontId="22" fillId="11" borderId="0" xfId="0" applyNumberFormat="1" applyFont="1" applyFill="1" applyAlignment="1">
      <alignment horizontal="right"/>
    </xf>
    <xf numFmtId="168" fontId="22" fillId="0" borderId="0" xfId="0" applyNumberFormat="1" applyFont="1" applyAlignment="1">
      <alignment horizontal="right"/>
    </xf>
    <xf numFmtId="177" fontId="23" fillId="11" borderId="0" xfId="2" applyNumberFormat="1" applyFont="1" applyFill="1" applyBorder="1"/>
    <xf numFmtId="177" fontId="23" fillId="0" borderId="0" xfId="2" applyNumberFormat="1" applyFont="1" applyFill="1" applyBorder="1"/>
    <xf numFmtId="186" fontId="23" fillId="0" borderId="0" xfId="0" applyNumberFormat="1" applyFont="1" applyAlignment="1">
      <alignment horizontal="center"/>
    </xf>
    <xf numFmtId="186" fontId="23" fillId="0" borderId="21" xfId="0" applyNumberFormat="1" applyFont="1" applyBorder="1" applyAlignment="1">
      <alignment horizontal="center"/>
    </xf>
    <xf numFmtId="186" fontId="23" fillId="0" borderId="11" xfId="0" applyNumberFormat="1" applyFont="1" applyBorder="1" applyAlignment="1">
      <alignment horizontal="center"/>
    </xf>
    <xf numFmtId="0" fontId="18" fillId="0" borderId="71" xfId="0" applyFont="1" applyBorder="1"/>
    <xf numFmtId="168" fontId="21" fillId="0" borderId="0" xfId="0" applyNumberFormat="1" applyFont="1"/>
    <xf numFmtId="191" fontId="23" fillId="0" borderId="0" xfId="0" applyNumberFormat="1" applyFont="1" applyAlignment="1">
      <alignment horizontal="center"/>
    </xf>
    <xf numFmtId="166" fontId="27" fillId="0" borderId="0" xfId="0" applyNumberFormat="1" applyFont="1" applyAlignment="1">
      <alignment horizontal="center"/>
    </xf>
    <xf numFmtId="0" fontId="18" fillId="18" borderId="0" xfId="0" applyFont="1" applyFill="1"/>
    <xf numFmtId="0" fontId="18" fillId="18" borderId="0" xfId="0" applyFont="1" applyFill="1" applyAlignment="1">
      <alignment horizontal="center"/>
    </xf>
    <xf numFmtId="0" fontId="7" fillId="0" borderId="37" xfId="0" applyFont="1" applyBorder="1"/>
    <xf numFmtId="166" fontId="19" fillId="0" borderId="52" xfId="0" applyNumberFormat="1" applyFont="1" applyBorder="1" applyAlignment="1">
      <alignment horizontal="center"/>
    </xf>
    <xf numFmtId="0" fontId="7" fillId="0" borderId="32" xfId="0" applyFont="1" applyBorder="1"/>
    <xf numFmtId="206" fontId="18" fillId="0" borderId="26" xfId="0" applyNumberFormat="1" applyFont="1" applyBorder="1" applyAlignment="1">
      <alignment horizontal="center"/>
    </xf>
    <xf numFmtId="206" fontId="18" fillId="0" borderId="0" xfId="0" applyNumberFormat="1" applyFont="1" applyAlignment="1">
      <alignment horizontal="center"/>
    </xf>
    <xf numFmtId="206" fontId="22" fillId="0" borderId="26" xfId="0" applyNumberFormat="1" applyFont="1" applyBorder="1" applyAlignment="1">
      <alignment horizontal="center"/>
    </xf>
    <xf numFmtId="0" fontId="7" fillId="0" borderId="53" xfId="0" applyFont="1" applyBorder="1"/>
    <xf numFmtId="0" fontId="18" fillId="19" borderId="2" xfId="0" applyFont="1" applyFill="1" applyBorder="1" applyAlignment="1">
      <alignment horizontal="center"/>
    </xf>
    <xf numFmtId="1" fontId="58" fillId="0" borderId="0" xfId="0" applyNumberFormat="1" applyFont="1" applyAlignment="1">
      <alignment horizontal="right"/>
    </xf>
    <xf numFmtId="1" fontId="57" fillId="0" borderId="0" xfId="0" applyNumberFormat="1" applyFont="1" applyAlignment="1">
      <alignment horizontal="right"/>
    </xf>
    <xf numFmtId="189" fontId="19" fillId="0" borderId="52" xfId="0" applyNumberFormat="1" applyFont="1" applyBorder="1" applyAlignment="1">
      <alignment horizontal="center"/>
    </xf>
    <xf numFmtId="189" fontId="19" fillId="0" borderId="53" xfId="0" applyNumberFormat="1" applyFont="1" applyBorder="1" applyAlignment="1">
      <alignment horizontal="center"/>
    </xf>
    <xf numFmtId="0" fontId="20" fillId="14" borderId="25" xfId="0" applyFont="1" applyFill="1" applyBorder="1"/>
    <xf numFmtId="0" fontId="20" fillId="14" borderId="20" xfId="0" applyFont="1" applyFill="1" applyBorder="1"/>
    <xf numFmtId="0" fontId="20" fillId="14" borderId="75" xfId="0" applyFont="1" applyFill="1" applyBorder="1" applyAlignment="1">
      <alignment horizontal="center"/>
    </xf>
    <xf numFmtId="0" fontId="20" fillId="14" borderId="32" xfId="0" applyFont="1" applyFill="1" applyBorder="1" applyAlignment="1">
      <alignment horizontal="center"/>
    </xf>
    <xf numFmtId="1" fontId="58" fillId="14" borderId="26" xfId="0" applyNumberFormat="1" applyFont="1" applyFill="1" applyBorder="1" applyAlignment="1">
      <alignment horizontal="right"/>
    </xf>
    <xf numFmtId="1" fontId="58" fillId="14" borderId="21" xfId="0" applyNumberFormat="1" applyFont="1" applyFill="1" applyBorder="1" applyAlignment="1">
      <alignment horizontal="right"/>
    </xf>
    <xf numFmtId="181" fontId="22" fillId="0" borderId="2" xfId="0" applyNumberFormat="1" applyFont="1" applyBorder="1"/>
    <xf numFmtId="0" fontId="0" fillId="0" borderId="15" xfId="0" applyBorder="1"/>
    <xf numFmtId="0" fontId="0" fillId="0" borderId="16" xfId="0" applyBorder="1"/>
    <xf numFmtId="0" fontId="18" fillId="0" borderId="79" xfId="0" applyFont="1" applyBorder="1"/>
    <xf numFmtId="0" fontId="7" fillId="0" borderId="0" xfId="0" applyFont="1" applyAlignment="1">
      <alignment horizontal="right"/>
    </xf>
    <xf numFmtId="0" fontId="59" fillId="0" borderId="0" xfId="0" applyFont="1"/>
    <xf numFmtId="175" fontId="21" fillId="8" borderId="21" xfId="0" applyNumberFormat="1" applyFont="1" applyFill="1" applyBorder="1"/>
    <xf numFmtId="175" fontId="21" fillId="8" borderId="0" xfId="0" applyNumberFormat="1" applyFont="1" applyFill="1"/>
    <xf numFmtId="7" fontId="21" fillId="8" borderId="0" xfId="0" applyNumberFormat="1" applyFont="1" applyFill="1"/>
    <xf numFmtId="175" fontId="18" fillId="8" borderId="0" xfId="0" applyNumberFormat="1" applyFont="1" applyFill="1"/>
    <xf numFmtId="7" fontId="18" fillId="8" borderId="0" xfId="0" applyNumberFormat="1" applyFont="1" applyFill="1"/>
    <xf numFmtId="0" fontId="18" fillId="8" borderId="0" xfId="0" applyFont="1" applyFill="1"/>
    <xf numFmtId="39" fontId="18" fillId="10" borderId="0" xfId="0" applyNumberFormat="1" applyFont="1" applyFill="1"/>
    <xf numFmtId="177" fontId="21" fillId="8" borderId="0" xfId="2" applyNumberFormat="1" applyFont="1" applyFill="1" applyBorder="1"/>
    <xf numFmtId="168" fontId="18" fillId="8" borderId="0" xfId="0" applyNumberFormat="1" applyFont="1" applyFill="1"/>
    <xf numFmtId="169" fontId="19" fillId="8" borderId="0" xfId="0" applyNumberFormat="1" applyFont="1" applyFill="1"/>
    <xf numFmtId="175" fontId="18" fillId="8" borderId="21" xfId="0" applyNumberFormat="1" applyFont="1" applyFill="1" applyBorder="1"/>
    <xf numFmtId="175" fontId="22" fillId="8" borderId="21" xfId="0" applyNumberFormat="1" applyFont="1" applyFill="1" applyBorder="1"/>
    <xf numFmtId="175" fontId="22" fillId="11" borderId="0" xfId="0" applyNumberFormat="1" applyFont="1" applyFill="1" applyAlignment="1">
      <alignment horizontal="right"/>
    </xf>
    <xf numFmtId="174" fontId="21" fillId="10" borderId="0" xfId="0" applyNumberFormat="1" applyFont="1" applyFill="1" applyAlignment="1">
      <alignment horizontal="right"/>
    </xf>
    <xf numFmtId="174" fontId="21" fillId="11" borderId="0" xfId="0" applyNumberFormat="1" applyFont="1" applyFill="1" applyAlignment="1">
      <alignment horizontal="right"/>
    </xf>
    <xf numFmtId="176" fontId="26" fillId="10" borderId="0" xfId="0" applyNumberFormat="1" applyFont="1" applyFill="1" applyAlignment="1">
      <alignment horizontal="right"/>
    </xf>
    <xf numFmtId="176" fontId="26" fillId="0" borderId="0" xfId="0" applyNumberFormat="1" applyFont="1" applyAlignment="1">
      <alignment horizontal="right"/>
    </xf>
    <xf numFmtId="176" fontId="26" fillId="11" borderId="0" xfId="0" applyNumberFormat="1" applyFont="1" applyFill="1" applyAlignment="1">
      <alignment horizontal="right"/>
    </xf>
    <xf numFmtId="0" fontId="53" fillId="0" borderId="20" xfId="0" applyFont="1" applyBorder="1" applyAlignment="1">
      <alignment horizontal="center"/>
    </xf>
    <xf numFmtId="0" fontId="53" fillId="0" borderId="22" xfId="0" applyFont="1" applyBorder="1" applyAlignment="1">
      <alignment horizontal="center"/>
    </xf>
    <xf numFmtId="5" fontId="26" fillId="0" borderId="53" xfId="0" applyNumberFormat="1" applyFont="1" applyBorder="1" applyAlignment="1">
      <alignment horizontal="center"/>
    </xf>
    <xf numFmtId="37" fontId="26" fillId="0" borderId="53" xfId="0" applyNumberFormat="1" applyFont="1" applyBorder="1" applyAlignment="1">
      <alignment horizontal="center"/>
    </xf>
    <xf numFmtId="175" fontId="19" fillId="0" borderId="53" xfId="0" applyNumberFormat="1" applyFont="1" applyBorder="1" applyAlignment="1">
      <alignment horizontal="center"/>
    </xf>
    <xf numFmtId="175" fontId="19" fillId="0" borderId="32" xfId="0" applyNumberFormat="1" applyFont="1" applyBorder="1" applyAlignment="1">
      <alignment horizontal="center"/>
    </xf>
    <xf numFmtId="0" fontId="18" fillId="0" borderId="0" xfId="0" quotePrefix="1" applyFont="1" applyAlignment="1">
      <alignment horizontal="left" indent="1"/>
    </xf>
    <xf numFmtId="177" fontId="21" fillId="10" borderId="0" xfId="2" applyNumberFormat="1" applyFont="1" applyFill="1" applyBorder="1" applyAlignment="1">
      <alignment horizontal="right"/>
    </xf>
    <xf numFmtId="0" fontId="9" fillId="0" borderId="0" xfId="0" applyFont="1"/>
    <xf numFmtId="2" fontId="20" fillId="14" borderId="41" xfId="0" applyNumberFormat="1" applyFont="1" applyFill="1" applyBorder="1" applyAlignment="1">
      <alignment horizontal="center"/>
    </xf>
    <xf numFmtId="2" fontId="20" fillId="14" borderId="11" xfId="0" applyNumberFormat="1" applyFont="1" applyFill="1" applyBorder="1" applyAlignment="1">
      <alignment horizontal="center"/>
    </xf>
    <xf numFmtId="206" fontId="20" fillId="14" borderId="11" xfId="0" applyNumberFormat="1" applyFont="1" applyFill="1" applyBorder="1" applyAlignment="1">
      <alignment horizontal="center"/>
    </xf>
    <xf numFmtId="2" fontId="20" fillId="14" borderId="46" xfId="0" applyNumberFormat="1" applyFont="1" applyFill="1" applyBorder="1" applyAlignment="1">
      <alignment horizontal="center"/>
    </xf>
    <xf numFmtId="206" fontId="20" fillId="14" borderId="46" xfId="0" applyNumberFormat="1" applyFont="1" applyFill="1" applyBorder="1" applyAlignment="1">
      <alignment horizontal="center"/>
    </xf>
    <xf numFmtId="0" fontId="21" fillId="0" borderId="21" xfId="0" applyFont="1" applyBorder="1"/>
    <xf numFmtId="0" fontId="18" fillId="0" borderId="22" xfId="0" applyFont="1" applyBorder="1"/>
    <xf numFmtId="0" fontId="22" fillId="0" borderId="21" xfId="0" applyFont="1" applyBorder="1"/>
    <xf numFmtId="0" fontId="21" fillId="0" borderId="26" xfId="0" applyFont="1" applyBorder="1"/>
    <xf numFmtId="0" fontId="21" fillId="0" borderId="26" xfId="0" quotePrefix="1" applyFont="1" applyBorder="1"/>
    <xf numFmtId="0" fontId="21" fillId="0" borderId="22" xfId="0" applyFont="1" applyBorder="1"/>
    <xf numFmtId="0" fontId="21" fillId="0" borderId="27" xfId="0" applyFont="1" applyBorder="1"/>
    <xf numFmtId="0" fontId="21" fillId="0" borderId="16" xfId="0" applyFont="1" applyBorder="1"/>
    <xf numFmtId="0" fontId="21" fillId="0" borderId="27" xfId="0" quotePrefix="1" applyFont="1" applyBorder="1"/>
    <xf numFmtId="186" fontId="22" fillId="8" borderId="0" xfId="0" applyNumberFormat="1" applyFont="1" applyFill="1" applyAlignment="1">
      <alignment horizontal="center"/>
    </xf>
    <xf numFmtId="186" fontId="22" fillId="8" borderId="1" xfId="0" applyNumberFormat="1" applyFont="1" applyFill="1" applyBorder="1" applyAlignment="1">
      <alignment horizontal="center"/>
    </xf>
    <xf numFmtId="204" fontId="18" fillId="0" borderId="0" xfId="0" applyNumberFormat="1" applyFont="1" applyAlignment="1">
      <alignment horizontal="right"/>
    </xf>
    <xf numFmtId="14" fontId="7" fillId="0" borderId="0" xfId="0" applyNumberFormat="1" applyFont="1" applyAlignment="1">
      <alignment horizontal="left" vertical="top"/>
    </xf>
    <xf numFmtId="0" fontId="7" fillId="0" borderId="0" xfId="0" applyFont="1" applyAlignment="1">
      <alignment horizontal="center" vertical="top"/>
    </xf>
    <xf numFmtId="0" fontId="22" fillId="0" borderId="0" xfId="6" applyFont="1"/>
    <xf numFmtId="0" fontId="61" fillId="0" borderId="0" xfId="6" applyFont="1"/>
    <xf numFmtId="207" fontId="20" fillId="0" borderId="0" xfId="6" applyNumberFormat="1" applyFont="1" applyAlignment="1">
      <alignment horizontal="left"/>
    </xf>
    <xf numFmtId="0" fontId="62" fillId="20" borderId="0" xfId="6" applyFont="1" applyFill="1"/>
    <xf numFmtId="0" fontId="61" fillId="20" borderId="0" xfId="6" applyFont="1" applyFill="1"/>
    <xf numFmtId="0" fontId="63" fillId="0" borderId="0" xfId="6" applyFont="1"/>
    <xf numFmtId="0" fontId="63" fillId="0" borderId="21" xfId="6" applyFont="1" applyBorder="1"/>
    <xf numFmtId="0" fontId="64" fillId="0" borderId="0" xfId="6" applyFont="1"/>
    <xf numFmtId="0" fontId="64" fillId="0" borderId="0" xfId="6" applyFont="1" applyAlignment="1">
      <alignment horizontal="right"/>
    </xf>
    <xf numFmtId="0" fontId="65" fillId="0" borderId="0" xfId="6" applyFont="1"/>
    <xf numFmtId="14" fontId="7" fillId="0" borderId="0" xfId="0" applyNumberFormat="1" applyFont="1" applyAlignment="1">
      <alignment horizontal="left"/>
    </xf>
    <xf numFmtId="169" fontId="26" fillId="0" borderId="0" xfId="2" applyNumberFormat="1" applyFont="1" applyAlignment="1">
      <alignment horizontal="center"/>
    </xf>
    <xf numFmtId="14" fontId="67" fillId="0" borderId="0" xfId="0" applyNumberFormat="1" applyFont="1" applyAlignment="1">
      <alignment horizontal="left"/>
    </xf>
    <xf numFmtId="0" fontId="67" fillId="0" borderId="0" xfId="0" applyFont="1"/>
    <xf numFmtId="202" fontId="66" fillId="0" borderId="0" xfId="0" applyNumberFormat="1" applyFont="1" applyAlignment="1">
      <alignment horizontal="center"/>
    </xf>
    <xf numFmtId="0" fontId="24" fillId="0" borderId="0" xfId="0" applyFont="1" applyAlignment="1">
      <alignment horizontal="left" indent="1"/>
    </xf>
    <xf numFmtId="5" fontId="24" fillId="2" borderId="2" xfId="0" applyNumberFormat="1" applyFont="1" applyFill="1" applyBorder="1" applyAlignment="1">
      <alignment horizontal="center"/>
    </xf>
    <xf numFmtId="7" fontId="24" fillId="2" borderId="2" xfId="0" applyNumberFormat="1" applyFont="1" applyFill="1" applyBorder="1" applyAlignment="1">
      <alignment horizontal="center"/>
    </xf>
    <xf numFmtId="175" fontId="22" fillId="10" borderId="0" xfId="0" applyNumberFormat="1" applyFont="1" applyFill="1" applyAlignment="1">
      <alignment horizontal="right"/>
    </xf>
    <xf numFmtId="176" fontId="26" fillId="17" borderId="0" xfId="0" applyNumberFormat="1" applyFont="1" applyFill="1" applyAlignment="1">
      <alignment horizontal="right"/>
    </xf>
    <xf numFmtId="168" fontId="22" fillId="10" borderId="0" xfId="0" applyNumberFormat="1" applyFont="1" applyFill="1" applyAlignment="1">
      <alignment horizontal="right"/>
    </xf>
    <xf numFmtId="168" fontId="22" fillId="17" borderId="0" xfId="0" applyNumberFormat="1" applyFont="1" applyFill="1" applyAlignment="1">
      <alignment horizontal="right"/>
    </xf>
    <xf numFmtId="175" fontId="24" fillId="0" borderId="0" xfId="0" applyNumberFormat="1" applyFont="1" applyAlignment="1">
      <alignment horizontal="right"/>
    </xf>
    <xf numFmtId="176" fontId="34" fillId="10" borderId="0" xfId="0" applyNumberFormat="1" applyFont="1" applyFill="1" applyAlignment="1">
      <alignment horizontal="right"/>
    </xf>
    <xf numFmtId="0" fontId="24" fillId="0" borderId="0" xfId="0" applyFont="1" applyAlignment="1">
      <alignment horizontal="left"/>
    </xf>
    <xf numFmtId="173" fontId="23" fillId="10" borderId="0" xfId="0" applyNumberFormat="1" applyFont="1" applyFill="1" applyAlignment="1">
      <alignment horizontal="right"/>
    </xf>
    <xf numFmtId="175" fontId="24" fillId="11" borderId="0" xfId="0" applyNumberFormat="1" applyFont="1" applyFill="1" applyAlignment="1">
      <alignment horizontal="right"/>
    </xf>
    <xf numFmtId="173" fontId="24" fillId="0" borderId="0" xfId="0" applyNumberFormat="1" applyFont="1" applyAlignment="1">
      <alignment horizontal="right"/>
    </xf>
    <xf numFmtId="168" fontId="23" fillId="11" borderId="0" xfId="0" applyNumberFormat="1" applyFont="1" applyFill="1" applyAlignment="1">
      <alignment horizontal="right"/>
    </xf>
    <xf numFmtId="5" fontId="23" fillId="0" borderId="0" xfId="0" applyNumberFormat="1" applyFont="1"/>
    <xf numFmtId="186" fontId="23" fillId="0" borderId="0" xfId="3" applyNumberFormat="1" applyFont="1" applyBorder="1" applyAlignment="1">
      <alignment horizontal="center"/>
    </xf>
    <xf numFmtId="8" fontId="18" fillId="0" borderId="27" xfId="0" applyNumberFormat="1" applyFont="1" applyBorder="1"/>
    <xf numFmtId="8" fontId="18" fillId="0" borderId="22" xfId="0" applyNumberFormat="1" applyFont="1" applyBorder="1"/>
    <xf numFmtId="37" fontId="24" fillId="0" borderId="16" xfId="0" applyNumberFormat="1" applyFont="1" applyBorder="1"/>
    <xf numFmtId="0" fontId="66" fillId="0" borderId="0" xfId="0" applyFont="1" applyAlignment="1">
      <alignment horizontal="left" indent="1"/>
    </xf>
    <xf numFmtId="8" fontId="18" fillId="0" borderId="0" xfId="0" applyNumberFormat="1" applyFont="1" applyAlignment="1">
      <alignment horizontal="center"/>
    </xf>
    <xf numFmtId="166" fontId="21" fillId="0" borderId="81" xfId="3" applyNumberFormat="1" applyFont="1" applyFill="1" applyBorder="1" applyAlignment="1">
      <alignment horizontal="center"/>
    </xf>
    <xf numFmtId="166" fontId="21" fillId="0" borderId="82" xfId="0" applyNumberFormat="1" applyFont="1" applyBorder="1"/>
    <xf numFmtId="0" fontId="20" fillId="14" borderId="59" xfId="0" applyFont="1" applyFill="1" applyBorder="1" applyAlignment="1">
      <alignment horizontal="centerContinuous"/>
    </xf>
    <xf numFmtId="0" fontId="20" fillId="14" borderId="60" xfId="0" applyFont="1" applyFill="1" applyBorder="1" applyAlignment="1">
      <alignment horizontal="centerContinuous"/>
    </xf>
    <xf numFmtId="0" fontId="20" fillId="14" borderId="72" xfId="0" applyFont="1" applyFill="1" applyBorder="1" applyAlignment="1">
      <alignment horizontal="centerContinuous"/>
    </xf>
    <xf numFmtId="0" fontId="20" fillId="14" borderId="76" xfId="0" applyFont="1" applyFill="1" applyBorder="1" applyAlignment="1">
      <alignment horizontal="centerContinuous"/>
    </xf>
    <xf numFmtId="0" fontId="20" fillId="14" borderId="77" xfId="0" applyFont="1" applyFill="1" applyBorder="1" applyAlignment="1">
      <alignment horizontal="centerContinuous"/>
    </xf>
    <xf numFmtId="0" fontId="20" fillId="14" borderId="78" xfId="0" applyFont="1" applyFill="1" applyBorder="1" applyAlignment="1">
      <alignment horizontal="centerContinuous"/>
    </xf>
    <xf numFmtId="0" fontId="18" fillId="8" borderId="4" xfId="0" applyFont="1" applyFill="1" applyBorder="1" applyAlignment="1">
      <alignment horizontal="centerContinuous"/>
    </xf>
    <xf numFmtId="0" fontId="18" fillId="8" borderId="12" xfId="0" applyFont="1" applyFill="1" applyBorder="1" applyAlignment="1">
      <alignment horizontal="centerContinuous"/>
    </xf>
    <xf numFmtId="0" fontId="18" fillId="8" borderId="3" xfId="0" applyFont="1" applyFill="1" applyBorder="1" applyAlignment="1">
      <alignment horizontal="centerContinuous"/>
    </xf>
    <xf numFmtId="0" fontId="20" fillId="14" borderId="73" xfId="0" applyFont="1" applyFill="1" applyBorder="1" applyAlignment="1">
      <alignment horizontal="centerContinuous"/>
    </xf>
    <xf numFmtId="0" fontId="20" fillId="14" borderId="74" xfId="0" applyFont="1" applyFill="1" applyBorder="1" applyAlignment="1">
      <alignment horizontal="centerContinuous"/>
    </xf>
    <xf numFmtId="0" fontId="22" fillId="9" borderId="4" xfId="0" applyFont="1" applyFill="1" applyBorder="1" applyAlignment="1">
      <alignment horizontal="centerContinuous"/>
    </xf>
    <xf numFmtId="0" fontId="20" fillId="9" borderId="12" xfId="0" applyFont="1" applyFill="1" applyBorder="1" applyAlignment="1">
      <alignment horizontal="centerContinuous"/>
    </xf>
    <xf numFmtId="0" fontId="20" fillId="9" borderId="3" xfId="0" applyFont="1" applyFill="1" applyBorder="1" applyAlignment="1">
      <alignment horizontal="centerContinuous"/>
    </xf>
    <xf numFmtId="0" fontId="18" fillId="0" borderId="21" xfId="0" applyFont="1" applyBorder="1" applyAlignment="1">
      <alignment horizontal="centerContinuous"/>
    </xf>
    <xf numFmtId="0" fontId="37" fillId="14" borderId="25" xfId="0" applyFont="1" applyFill="1" applyBorder="1" applyAlignment="1">
      <alignment horizontal="centerContinuous"/>
    </xf>
    <xf numFmtId="0" fontId="18" fillId="14" borderId="26" xfId="0" applyFont="1" applyFill="1" applyBorder="1" applyAlignment="1">
      <alignment horizontal="centerContinuous"/>
    </xf>
    <xf numFmtId="0" fontId="18" fillId="14" borderId="27" xfId="0" applyFont="1" applyFill="1" applyBorder="1" applyAlignment="1">
      <alignment horizontal="centerContinuous"/>
    </xf>
    <xf numFmtId="0" fontId="7" fillId="0" borderId="0" xfId="0" applyFont="1" applyAlignment="1">
      <alignment wrapText="1"/>
    </xf>
    <xf numFmtId="0" fontId="7" fillId="0" borderId="0" xfId="0" applyFont="1" applyAlignment="1">
      <alignment horizontal="justify" wrapText="1"/>
    </xf>
    <xf numFmtId="0" fontId="67" fillId="0" borderId="0" xfId="0" applyFont="1" applyAlignment="1">
      <alignment horizontal="justify" wrapText="1"/>
    </xf>
    <xf numFmtId="0" fontId="7" fillId="0" borderId="0" xfId="0" applyFont="1" applyAlignment="1">
      <alignment horizontal="justify" vertical="top" wrapText="1"/>
    </xf>
    <xf numFmtId="0" fontId="67" fillId="0" borderId="0" xfId="0" applyFont="1" applyAlignment="1">
      <alignment horizontal="justify" vertical="top" wrapText="1"/>
    </xf>
    <xf numFmtId="0" fontId="7" fillId="0" borderId="0" xfId="0" applyFont="1" applyAlignment="1">
      <alignment horizontal="justify"/>
    </xf>
    <xf numFmtId="169" fontId="18" fillId="0" borderId="0" xfId="3" applyNumberFormat="1" applyFont="1"/>
    <xf numFmtId="208" fontId="18" fillId="0" borderId="0" xfId="0" applyNumberFormat="1" applyFont="1"/>
    <xf numFmtId="209" fontId="18" fillId="0" borderId="0" xfId="3" applyNumberFormat="1" applyFont="1" applyAlignment="1">
      <alignment horizontal="center"/>
    </xf>
    <xf numFmtId="209" fontId="22" fillId="8" borderId="34" xfId="0" applyNumberFormat="1" applyFont="1" applyFill="1" applyBorder="1" applyAlignment="1">
      <alignment horizontal="center"/>
    </xf>
    <xf numFmtId="209" fontId="22" fillId="8" borderId="0" xfId="0" applyNumberFormat="1" applyFont="1" applyFill="1" applyAlignment="1">
      <alignment horizontal="center"/>
    </xf>
    <xf numFmtId="209" fontId="22" fillId="8" borderId="1" xfId="0" applyNumberFormat="1" applyFont="1" applyFill="1" applyBorder="1" applyAlignment="1">
      <alignment horizontal="center"/>
    </xf>
    <xf numFmtId="209" fontId="20" fillId="14" borderId="12" xfId="3" applyNumberFormat="1" applyFont="1" applyFill="1" applyBorder="1" applyAlignment="1">
      <alignment horizontal="center"/>
    </xf>
    <xf numFmtId="175" fontId="71" fillId="10" borderId="0" xfId="0" applyNumberFormat="1" applyFont="1" applyFill="1"/>
    <xf numFmtId="10" fontId="18" fillId="0" borderId="0" xfId="0" applyNumberFormat="1" applyFont="1"/>
    <xf numFmtId="169" fontId="18" fillId="10" borderId="0" xfId="2" applyNumberFormat="1" applyFont="1" applyFill="1" applyBorder="1" applyAlignment="1">
      <alignment horizontal="right"/>
    </xf>
    <xf numFmtId="169" fontId="18" fillId="0" borderId="0" xfId="2" applyNumberFormat="1" applyFont="1" applyFill="1" applyBorder="1" applyAlignment="1">
      <alignment horizontal="right"/>
    </xf>
    <xf numFmtId="169" fontId="27" fillId="11" borderId="0" xfId="2" applyNumberFormat="1" applyFont="1" applyFill="1" applyBorder="1" applyAlignment="1">
      <alignment horizontal="right"/>
    </xf>
    <xf numFmtId="169" fontId="27" fillId="0" borderId="0" xfId="2" applyNumberFormat="1" applyFont="1" applyFill="1" applyBorder="1" applyAlignment="1">
      <alignment horizontal="right"/>
    </xf>
    <xf numFmtId="169" fontId="22" fillId="0" borderId="0" xfId="2" applyNumberFormat="1" applyFont="1" applyFill="1" applyBorder="1" applyAlignment="1">
      <alignment horizontal="right"/>
    </xf>
    <xf numFmtId="169" fontId="22" fillId="11" borderId="0" xfId="2" applyNumberFormat="1" applyFont="1" applyFill="1" applyBorder="1" applyAlignment="1">
      <alignment horizontal="right"/>
    </xf>
    <xf numFmtId="172" fontId="71" fillId="10" borderId="0" xfId="0" applyNumberFormat="1" applyFont="1" applyFill="1"/>
    <xf numFmtId="172" fontId="21" fillId="10" borderId="0" xfId="0" applyNumberFormat="1" applyFont="1" applyFill="1"/>
    <xf numFmtId="172" fontId="70" fillId="10" borderId="0" xfId="0" applyNumberFormat="1" applyFont="1" applyFill="1"/>
    <xf numFmtId="172" fontId="21" fillId="10" borderId="21" xfId="0" applyNumberFormat="1" applyFont="1" applyFill="1" applyBorder="1"/>
    <xf numFmtId="172" fontId="70" fillId="10" borderId="21" xfId="0" applyNumberFormat="1" applyFont="1" applyFill="1" applyBorder="1"/>
    <xf numFmtId="177" fontId="22" fillId="10" borderId="0" xfId="2" applyNumberFormat="1" applyFont="1" applyFill="1" applyBorder="1"/>
    <xf numFmtId="177" fontId="21" fillId="10" borderId="21" xfId="2" applyNumberFormat="1" applyFont="1" applyFill="1" applyBorder="1"/>
    <xf numFmtId="0" fontId="20" fillId="0" borderId="12" xfId="0" applyFont="1" applyBorder="1"/>
    <xf numFmtId="205" fontId="22" fillId="0" borderId="0" xfId="0" applyNumberFormat="1" applyFont="1" applyAlignment="1">
      <alignment horizontal="right"/>
    </xf>
    <xf numFmtId="205" fontId="27" fillId="0" borderId="0" xfId="0" applyNumberFormat="1" applyFont="1" applyAlignment="1">
      <alignment horizontal="right"/>
    </xf>
    <xf numFmtId="204" fontId="27" fillId="0" borderId="0" xfId="0" applyNumberFormat="1" applyFont="1" applyAlignment="1">
      <alignment horizontal="right"/>
    </xf>
    <xf numFmtId="168" fontId="27" fillId="0" borderId="0" xfId="0" applyNumberFormat="1" applyFont="1" applyAlignment="1">
      <alignment horizontal="right"/>
    </xf>
    <xf numFmtId="0" fontId="20" fillId="0" borderId="4" xfId="0" applyFont="1" applyBorder="1" applyAlignment="1">
      <alignment horizontal="left"/>
    </xf>
    <xf numFmtId="0" fontId="20" fillId="0" borderId="12" xfId="0" applyFont="1" applyBorder="1" applyAlignment="1">
      <alignment horizontal="center"/>
    </xf>
    <xf numFmtId="0" fontId="20" fillId="0" borderId="3" xfId="0" applyFont="1" applyBorder="1" applyAlignment="1">
      <alignment horizontal="center"/>
    </xf>
    <xf numFmtId="0" fontId="20" fillId="21" borderId="25" xfId="0" applyFont="1" applyFill="1" applyBorder="1" applyAlignment="1">
      <alignment horizontal="left"/>
    </xf>
    <xf numFmtId="0" fontId="20" fillId="21" borderId="26" xfId="0" applyFont="1" applyFill="1" applyBorder="1"/>
    <xf numFmtId="0" fontId="37" fillId="21" borderId="26" xfId="0" applyFont="1" applyFill="1" applyBorder="1" applyAlignment="1">
      <alignment horizontal="center"/>
    </xf>
    <xf numFmtId="0" fontId="20" fillId="21" borderId="26" xfId="0" applyFont="1" applyFill="1" applyBorder="1" applyAlignment="1">
      <alignment horizontal="center"/>
    </xf>
    <xf numFmtId="0" fontId="20" fillId="21" borderId="27" xfId="0" applyFont="1" applyFill="1" applyBorder="1" applyAlignment="1">
      <alignment horizontal="center"/>
    </xf>
    <xf numFmtId="0" fontId="37" fillId="10" borderId="12" xfId="0" applyFont="1" applyFill="1" applyBorder="1" applyAlignment="1">
      <alignment horizontal="center"/>
    </xf>
    <xf numFmtId="0" fontId="20" fillId="10" borderId="12" xfId="0" applyFont="1" applyFill="1" applyBorder="1" applyAlignment="1">
      <alignment horizontal="center"/>
    </xf>
    <xf numFmtId="205" fontId="22" fillId="11" borderId="0" xfId="0" applyNumberFormat="1" applyFont="1" applyFill="1" applyAlignment="1">
      <alignment horizontal="right"/>
    </xf>
    <xf numFmtId="205" fontId="27" fillId="11" borderId="0" xfId="0" applyNumberFormat="1" applyFont="1" applyFill="1" applyAlignment="1">
      <alignment horizontal="right"/>
    </xf>
    <xf numFmtId="168" fontId="27" fillId="11" borderId="0" xfId="0" applyNumberFormat="1" applyFont="1" applyFill="1" applyAlignment="1">
      <alignment horizontal="right"/>
    </xf>
    <xf numFmtId="0" fontId="20" fillId="11" borderId="12" xfId="0" applyFont="1" applyFill="1" applyBorder="1" applyAlignment="1">
      <alignment horizontal="center"/>
    </xf>
    <xf numFmtId="10" fontId="18" fillId="10" borderId="0" xfId="0" applyNumberFormat="1" applyFont="1" applyFill="1"/>
    <xf numFmtId="191" fontId="20" fillId="14" borderId="12" xfId="0" applyNumberFormat="1" applyFont="1" applyFill="1" applyBorder="1" applyAlignment="1">
      <alignment horizontal="center"/>
    </xf>
    <xf numFmtId="43" fontId="20" fillId="14" borderId="12" xfId="0" applyNumberFormat="1" applyFont="1" applyFill="1" applyBorder="1" applyAlignment="1">
      <alignment horizontal="center"/>
    </xf>
    <xf numFmtId="43" fontId="18" fillId="0" borderId="0" xfId="0" applyNumberFormat="1" applyFont="1" applyAlignment="1">
      <alignment horizontal="center"/>
    </xf>
    <xf numFmtId="43" fontId="22" fillId="8" borderId="34" xfId="0" applyNumberFormat="1" applyFont="1" applyFill="1" applyBorder="1" applyAlignment="1">
      <alignment horizontal="center"/>
    </xf>
    <xf numFmtId="43" fontId="22" fillId="8" borderId="0" xfId="0" applyNumberFormat="1" applyFont="1" applyFill="1" applyAlignment="1">
      <alignment horizontal="center"/>
    </xf>
    <xf numFmtId="43" fontId="22" fillId="8" borderId="1" xfId="0" applyNumberFormat="1" applyFont="1" applyFill="1" applyBorder="1" applyAlignment="1">
      <alignment horizontal="center"/>
    </xf>
    <xf numFmtId="6" fontId="19" fillId="0" borderId="26" xfId="0" applyNumberFormat="1" applyFont="1" applyBorder="1"/>
    <xf numFmtId="6" fontId="19" fillId="0" borderId="26" xfId="0" applyNumberFormat="1" applyFont="1" applyBorder="1" applyAlignment="1">
      <alignment horizontal="center"/>
    </xf>
    <xf numFmtId="166" fontId="19" fillId="0" borderId="26" xfId="0" applyNumberFormat="1" applyFont="1" applyBorder="1" applyAlignment="1">
      <alignment horizontal="center"/>
    </xf>
    <xf numFmtId="0" fontId="24" fillId="9" borderId="22" xfId="0" applyFont="1" applyFill="1" applyBorder="1" applyAlignment="1">
      <alignment horizontal="center"/>
    </xf>
    <xf numFmtId="0" fontId="22" fillId="0" borderId="0" xfId="0" applyFont="1" applyAlignment="1">
      <alignment horizontal="left" indent="1"/>
    </xf>
    <xf numFmtId="0" fontId="18" fillId="0" borderId="0" xfId="0" applyFont="1" applyAlignment="1">
      <alignment wrapText="1"/>
    </xf>
    <xf numFmtId="175" fontId="72" fillId="10" borderId="0" xfId="0" applyNumberFormat="1" applyFont="1" applyFill="1"/>
    <xf numFmtId="178" fontId="73" fillId="0" borderId="0" xfId="0" applyNumberFormat="1" applyFont="1" applyAlignment="1">
      <alignment horizontal="center"/>
    </xf>
    <xf numFmtId="210" fontId="18" fillId="10" borderId="0" xfId="0" applyNumberFormat="1" applyFont="1" applyFill="1" applyAlignment="1">
      <alignment horizontal="right"/>
    </xf>
    <xf numFmtId="0" fontId="24" fillId="0" borderId="83" xfId="0" applyFont="1" applyBorder="1" applyAlignment="1">
      <alignment horizontal="center"/>
    </xf>
    <xf numFmtId="8" fontId="18" fillId="10" borderId="0" xfId="0" applyNumberFormat="1" applyFont="1" applyFill="1"/>
    <xf numFmtId="8" fontId="22" fillId="11" borderId="0" xfId="0" applyNumberFormat="1" applyFont="1" applyFill="1"/>
    <xf numFmtId="8" fontId="22" fillId="0" borderId="0" xfId="0" applyNumberFormat="1" applyFont="1"/>
    <xf numFmtId="173" fontId="53" fillId="10" borderId="0" xfId="0" applyNumberFormat="1" applyFont="1" applyFill="1" applyAlignment="1">
      <alignment horizontal="right"/>
    </xf>
    <xf numFmtId="0" fontId="18" fillId="0" borderId="0" xfId="0" applyFont="1"/>
    <xf numFmtId="3" fontId="18" fillId="0" borderId="9" xfId="0" applyNumberFormat="1" applyFont="1" applyBorder="1" applyAlignment="1">
      <alignment horizontal="right"/>
    </xf>
    <xf numFmtId="3" fontId="18" fillId="0" borderId="80" xfId="0" applyNumberFormat="1" applyFont="1" applyBorder="1" applyAlignment="1">
      <alignment horizontal="right"/>
    </xf>
    <xf numFmtId="5" fontId="18" fillId="0" borderId="18" xfId="0" applyNumberFormat="1" applyFont="1" applyBorder="1"/>
    <xf numFmtId="0" fontId="18" fillId="0" borderId="19" xfId="0" applyFont="1" applyBorder="1"/>
    <xf numFmtId="166" fontId="18" fillId="0" borderId="21" xfId="0" applyNumberFormat="1" applyFont="1" applyBorder="1"/>
    <xf numFmtId="166" fontId="18" fillId="0" borderId="22" xfId="0" applyNumberFormat="1" applyFont="1" applyBorder="1"/>
    <xf numFmtId="0" fontId="18" fillId="0" borderId="0" xfId="0" applyFont="1"/>
    <xf numFmtId="0" fontId="18" fillId="0" borderId="0" xfId="0" applyFont="1" applyAlignment="1">
      <alignment horizontal="left"/>
    </xf>
    <xf numFmtId="5" fontId="22" fillId="0" borderId="26" xfId="0" applyNumberFormat="1" applyFont="1" applyBorder="1" applyAlignment="1">
      <alignment wrapText="1"/>
    </xf>
    <xf numFmtId="5" fontId="22" fillId="0" borderId="27" xfId="0" applyNumberFormat="1" applyFont="1" applyBorder="1" applyAlignment="1">
      <alignment wrapText="1"/>
    </xf>
    <xf numFmtId="14" fontId="18" fillId="0" borderId="0" xfId="0" applyNumberFormat="1" applyFont="1" applyAlignment="1">
      <alignment horizontal="left"/>
    </xf>
    <xf numFmtId="0" fontId="18" fillId="0" borderId="0" xfId="0" applyFont="1" applyAlignment="1">
      <alignment horizontal="right"/>
    </xf>
    <xf numFmtId="0" fontId="22" fillId="0" borderId="0" xfId="6" applyFont="1" applyAlignment="1">
      <alignment horizontal="left" vertical="top" wrapText="1"/>
    </xf>
    <xf numFmtId="0" fontId="22" fillId="0" borderId="31"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29" xfId="0" applyFont="1" applyBorder="1" applyAlignment="1">
      <alignment horizontal="center" vertical="center" wrapText="1"/>
    </xf>
    <xf numFmtId="0" fontId="18" fillId="9" borderId="4" xfId="0" applyFont="1" applyFill="1" applyBorder="1" applyAlignment="1">
      <alignment horizontal="center"/>
    </xf>
    <xf numFmtId="0" fontId="18" fillId="9" borderId="3" xfId="0" applyFont="1" applyFill="1" applyBorder="1" applyAlignment="1">
      <alignment horizontal="center"/>
    </xf>
    <xf numFmtId="0" fontId="22" fillId="0" borderId="36" xfId="0" applyFont="1" applyBorder="1" applyAlignment="1">
      <alignment horizontal="center" vertical="center" wrapText="1"/>
    </xf>
    <xf numFmtId="0" fontId="22" fillId="9" borderId="4" xfId="0" applyFont="1" applyFill="1" applyBorder="1" applyAlignment="1">
      <alignment horizontal="center"/>
    </xf>
    <xf numFmtId="0" fontId="22" fillId="9" borderId="12" xfId="0" applyFont="1" applyFill="1" applyBorder="1" applyAlignment="1">
      <alignment horizontal="center"/>
    </xf>
    <xf numFmtId="0" fontId="22" fillId="9" borderId="3" xfId="0" applyFont="1" applyFill="1" applyBorder="1" applyAlignment="1">
      <alignment horizontal="center"/>
    </xf>
  </cellXfs>
  <cellStyles count="7">
    <cellStyle name="Comma" xfId="2" builtinId="3"/>
    <cellStyle name="Currency" xfId="5" builtinId="4"/>
    <cellStyle name="Hyperlink" xfId="1" builtinId="8"/>
    <cellStyle name="Normal" xfId="0" builtinId="0"/>
    <cellStyle name="Normal 2" xfId="6" xr:uid="{00000000-0005-0000-0000-000004000000}"/>
    <cellStyle name="Note" xfId="4" builtinId="10"/>
    <cellStyle name="Percent" xfId="3" builtinId="5"/>
  </cellStyles>
  <dxfs count="155">
    <dxf>
      <fill>
        <patternFill>
          <bgColor rgb="FFC6EFCE"/>
        </patternFill>
      </fill>
    </dxf>
    <dxf>
      <fill>
        <patternFill>
          <bgColor rgb="FFF4C7C3"/>
        </patternFill>
      </fill>
    </dxf>
    <dxf>
      <fill>
        <patternFill>
          <bgColor rgb="FFC6EFCE"/>
        </patternFill>
      </fill>
    </dxf>
    <dxf>
      <fill>
        <patternFill>
          <bgColor rgb="FFF4C7C3"/>
        </patternFill>
      </fill>
    </dxf>
    <dxf>
      <fill>
        <patternFill>
          <bgColor rgb="FFC6EFCE"/>
        </patternFill>
      </fill>
    </dxf>
    <dxf>
      <fill>
        <patternFill>
          <bgColor rgb="FFF4C7C3"/>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rgb="FFC6EFCE"/>
        </patternFill>
      </fill>
    </dxf>
    <dxf>
      <fill>
        <patternFill>
          <bgColor rgb="FFF4C7C3"/>
        </patternFill>
      </fill>
    </dxf>
    <dxf>
      <fill>
        <patternFill>
          <bgColor rgb="FFC6EFCE"/>
        </patternFill>
      </fill>
    </dxf>
    <dxf>
      <fill>
        <patternFill>
          <bgColor rgb="FFF4C7C3"/>
        </patternFill>
      </fill>
    </dxf>
    <dxf>
      <fill>
        <patternFill>
          <bgColor rgb="FFC6EFCE"/>
        </patternFill>
      </fill>
    </dxf>
    <dxf>
      <fill>
        <patternFill>
          <bgColor rgb="FFF4C7C3"/>
        </patternFill>
      </fill>
    </dxf>
    <dxf>
      <font>
        <color auto="1"/>
      </font>
    </dxf>
    <dxf>
      <font>
        <color auto="1"/>
      </font>
    </dxf>
    <dxf>
      <font>
        <color auto="1"/>
      </font>
    </dxf>
    <dxf>
      <font>
        <color auto="1"/>
      </font>
    </dxf>
    <dxf>
      <font>
        <color auto="1"/>
      </font>
    </dxf>
    <dxf>
      <font>
        <color theme="1"/>
      </font>
    </dxf>
    <dxf>
      <font>
        <color auto="1"/>
      </font>
    </dxf>
    <dxf>
      <font>
        <color auto="1"/>
      </font>
    </dxf>
    <dxf>
      <font>
        <color auto="1"/>
      </font>
    </dxf>
    <dxf>
      <font>
        <color theme="1"/>
      </font>
    </dxf>
    <dxf>
      <font>
        <color rgb="FF760000"/>
      </font>
      <fill>
        <patternFill>
          <bgColor rgb="FFFF7C80"/>
        </patternFill>
      </fill>
    </dxf>
    <dxf>
      <font>
        <color theme="1"/>
      </font>
    </dxf>
    <dxf>
      <font>
        <color auto="1"/>
      </font>
    </dxf>
    <dxf>
      <font>
        <color rgb="FF760000"/>
      </font>
      <fill>
        <patternFill>
          <bgColor rgb="FFFF7C80"/>
        </patternFill>
      </fill>
    </dxf>
    <dxf>
      <font>
        <color theme="1"/>
      </font>
    </dxf>
    <dxf>
      <font>
        <color theme="1"/>
      </font>
    </dxf>
    <dxf>
      <font>
        <color auto="1"/>
      </font>
    </dxf>
    <dxf>
      <font>
        <color auto="1"/>
      </font>
    </dxf>
    <dxf>
      <font>
        <color auto="1"/>
      </font>
    </dxf>
    <dxf>
      <font>
        <color theme="1"/>
      </font>
    </dxf>
    <dxf>
      <font>
        <color rgb="FF760000"/>
      </font>
      <fill>
        <patternFill>
          <bgColor rgb="FFFF7C80"/>
        </patternFill>
      </fill>
    </dxf>
    <dxf>
      <font>
        <color auto="1"/>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auto="1"/>
      </font>
    </dxf>
    <dxf>
      <font>
        <color rgb="FF006100"/>
      </font>
      <fill>
        <patternFill>
          <bgColor rgb="FFC6EFCE"/>
        </patternFill>
      </fill>
    </dxf>
    <dxf>
      <font>
        <color auto="1"/>
      </font>
    </dxf>
    <dxf>
      <font>
        <color auto="1"/>
      </font>
    </dxf>
    <dxf>
      <font>
        <color rgb="FF006100"/>
      </font>
      <fill>
        <patternFill>
          <bgColor rgb="FFC6EFCE"/>
        </patternFill>
      </fill>
    </dxf>
    <dxf>
      <font>
        <color rgb="FF760000"/>
      </font>
      <fill>
        <patternFill>
          <bgColor rgb="FFFF7C80"/>
        </patternFill>
      </fill>
    </dxf>
    <dxf>
      <font>
        <color theme="1"/>
      </font>
    </dxf>
    <dxf>
      <font>
        <color theme="1"/>
      </font>
    </dxf>
    <dxf>
      <font>
        <color theme="1"/>
      </font>
    </dxf>
    <dxf>
      <font>
        <color rgb="FF760000"/>
      </font>
      <fill>
        <patternFill>
          <bgColor rgb="FFFF7C80"/>
        </patternFill>
      </fill>
    </dxf>
    <dxf>
      <font>
        <color theme="1"/>
      </font>
    </dxf>
    <dxf>
      <font>
        <color rgb="FF760000"/>
      </font>
      <fill>
        <patternFill>
          <bgColor rgb="FFFF7C80"/>
        </patternFill>
      </fill>
    </dxf>
    <dxf>
      <font>
        <color theme="1"/>
      </font>
    </dxf>
    <dxf>
      <font>
        <color theme="1"/>
      </font>
    </dxf>
    <dxf>
      <font>
        <color auto="1"/>
      </font>
    </dxf>
    <dxf>
      <font>
        <color theme="1"/>
      </font>
    </dxf>
    <dxf>
      <font>
        <color theme="1"/>
      </font>
    </dxf>
    <dxf>
      <font>
        <color rgb="FF760000"/>
      </font>
      <fill>
        <patternFill>
          <bgColor rgb="FFFF7C80"/>
        </patternFill>
      </fill>
    </dxf>
    <dxf>
      <font>
        <color theme="1"/>
      </font>
    </dxf>
    <dxf>
      <font>
        <color rgb="FF006100"/>
      </font>
      <fill>
        <patternFill>
          <bgColor rgb="FFC6EFCE"/>
        </patternFill>
      </fill>
    </dxf>
    <dxf>
      <font>
        <color theme="1"/>
      </font>
    </dxf>
    <dxf>
      <font>
        <color rgb="FF006100"/>
      </font>
      <fill>
        <patternFill>
          <bgColor rgb="FFC6EFCE"/>
        </patternFill>
      </fill>
    </dxf>
    <dxf>
      <font>
        <color theme="1"/>
      </font>
    </dxf>
    <dxf>
      <font>
        <color rgb="FF006100"/>
      </font>
      <fill>
        <patternFill>
          <bgColor rgb="FFC6EFCE"/>
        </patternFill>
      </fill>
    </dxf>
    <dxf>
      <font>
        <color theme="1"/>
      </font>
    </dxf>
    <dxf>
      <font>
        <color rgb="FF006100"/>
      </font>
      <fill>
        <patternFill>
          <bgColor rgb="FFC6EFCE"/>
        </patternFill>
      </fill>
    </dxf>
    <dxf>
      <font>
        <color theme="1"/>
      </font>
    </dxf>
    <dxf>
      <font>
        <color rgb="FF760000"/>
      </font>
      <fill>
        <patternFill>
          <bgColor rgb="FFFF7C80"/>
        </patternFill>
      </fill>
    </dxf>
    <dxf>
      <font>
        <color theme="1"/>
      </font>
    </dxf>
    <dxf>
      <font>
        <color rgb="FF760000"/>
      </font>
      <fill>
        <patternFill>
          <bgColor rgb="FFFF7C80"/>
        </patternFill>
      </fill>
    </dxf>
    <dxf>
      <font>
        <color rgb="FF006100"/>
      </font>
      <fill>
        <patternFill>
          <bgColor rgb="FFC6EFCE"/>
        </patternFill>
      </fill>
    </dxf>
    <dxf>
      <font>
        <color theme="1"/>
      </font>
    </dxf>
    <dxf>
      <font>
        <color theme="1"/>
      </font>
    </dxf>
    <dxf>
      <font>
        <color auto="1"/>
      </font>
    </dxf>
    <dxf>
      <font>
        <color rgb="FF9C0006"/>
      </font>
      <fill>
        <patternFill>
          <bgColor rgb="FFFFC7CE"/>
        </patternFill>
      </fill>
    </dxf>
    <dxf>
      <font>
        <color rgb="FF9C0006"/>
      </font>
      <fill>
        <patternFill>
          <bgColor rgb="FFFFC7CE"/>
        </patternFill>
      </fill>
    </dxf>
    <dxf>
      <font>
        <color theme="1"/>
      </font>
    </dxf>
    <dxf>
      <font>
        <color auto="1"/>
      </font>
    </dxf>
    <dxf>
      <font>
        <color rgb="FF760000"/>
      </font>
      <fill>
        <patternFill>
          <bgColor rgb="FFFF7C80"/>
        </patternFill>
      </fill>
    </dxf>
    <dxf>
      <font>
        <color theme="1"/>
      </font>
    </dxf>
    <dxf>
      <font>
        <color theme="1"/>
      </font>
    </dxf>
    <dxf>
      <font>
        <color theme="1"/>
      </font>
    </dxf>
    <dxf>
      <font>
        <color rgb="FF760000"/>
      </font>
      <fill>
        <patternFill>
          <bgColor rgb="FFFF7C80"/>
        </patternFill>
      </fill>
    </dxf>
    <dxf>
      <font>
        <color theme="1"/>
      </font>
    </dxf>
    <dxf>
      <font>
        <color rgb="FF006100"/>
      </font>
      <fill>
        <patternFill>
          <bgColor rgb="FFC6EFCE"/>
        </patternFill>
      </fill>
    </dxf>
    <dxf>
      <font>
        <color theme="1"/>
      </font>
    </dxf>
    <dxf>
      <font>
        <color rgb="FF760000"/>
      </font>
      <fill>
        <patternFill>
          <bgColor rgb="FFFF7C80"/>
        </patternFill>
      </fill>
    </dxf>
    <dxf>
      <font>
        <color theme="1"/>
      </font>
    </dxf>
    <dxf>
      <font>
        <color rgb="FF760000"/>
      </font>
      <fill>
        <patternFill>
          <bgColor rgb="FFFF7C80"/>
        </patternFill>
      </fill>
    </dxf>
    <dxf>
      <font>
        <color theme="1"/>
      </font>
    </dxf>
    <dxf>
      <font>
        <color theme="1"/>
      </font>
    </dxf>
    <dxf>
      <font>
        <color theme="1"/>
      </font>
    </dxf>
    <dxf>
      <font>
        <color rgb="FF006100"/>
      </font>
      <fill>
        <patternFill>
          <bgColor rgb="FFC6EFCE"/>
        </patternFill>
      </fill>
    </dxf>
    <dxf>
      <font>
        <color theme="1"/>
      </font>
    </dxf>
    <dxf>
      <font>
        <color rgb="FF760000"/>
      </font>
      <fill>
        <patternFill>
          <bgColor rgb="FFFF7C80"/>
        </patternFill>
      </fill>
    </dxf>
    <dxf>
      <font>
        <color theme="1"/>
      </font>
    </dxf>
    <dxf>
      <font>
        <color rgb="FF760000"/>
      </font>
      <fill>
        <patternFill>
          <bgColor rgb="FFFF7C80"/>
        </patternFill>
      </fill>
    </dxf>
    <dxf>
      <font>
        <color theme="1"/>
      </font>
    </dxf>
    <dxf>
      <font>
        <color theme="1"/>
      </font>
    </dxf>
    <dxf>
      <font>
        <color rgb="FF760000"/>
      </font>
      <fill>
        <patternFill>
          <bgColor rgb="FFFF7C80"/>
        </patternFill>
      </fill>
    </dxf>
    <dxf>
      <font>
        <color theme="1"/>
      </font>
    </dxf>
    <dxf>
      <font>
        <color theme="1"/>
      </font>
    </dxf>
    <dxf>
      <font>
        <color rgb="FF760000"/>
      </font>
      <fill>
        <patternFill>
          <bgColor rgb="FFFF7C80"/>
        </patternFill>
      </fill>
    </dxf>
    <dxf>
      <font>
        <color theme="1"/>
      </font>
    </dxf>
    <dxf>
      <font>
        <color theme="1"/>
      </font>
    </dxf>
    <dxf>
      <font>
        <color rgb="FF760000"/>
      </font>
      <fill>
        <patternFill>
          <bgColor rgb="FFFF7C80"/>
        </patternFill>
      </fill>
    </dxf>
    <dxf>
      <font>
        <color theme="1"/>
      </font>
    </dxf>
    <dxf>
      <fill>
        <patternFill>
          <bgColor rgb="FFFFFF99"/>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right/>
        <top/>
        <bottom/>
        <vertical/>
        <horizontal/>
      </border>
    </dxf>
    <dxf>
      <font>
        <color auto="1"/>
      </font>
      <fill>
        <patternFill>
          <bgColor rgb="FFFFFF99"/>
        </patternFill>
      </fill>
      <border>
        <left style="thin">
          <color auto="1"/>
        </left>
        <right style="thin">
          <color auto="1"/>
        </right>
        <top style="thin">
          <color auto="1"/>
        </top>
        <bottom style="thin">
          <color auto="1"/>
        </bottom>
        <vertical/>
        <horizontal/>
      </border>
    </dxf>
    <dxf>
      <font>
        <b val="0"/>
        <i val="0"/>
        <color auto="1"/>
      </font>
      <fill>
        <patternFill patternType="none">
          <bgColor auto="1"/>
        </patternFill>
      </fill>
      <border>
        <left/>
        <right/>
        <top/>
        <bottom/>
      </border>
    </dxf>
    <dxf>
      <font>
        <color rgb="FF0000FF"/>
      </font>
      <fill>
        <patternFill>
          <bgColor rgb="FFFFFF99"/>
        </patternFill>
      </fill>
      <border>
        <left style="thin">
          <color auto="1"/>
        </left>
        <right style="thin">
          <color auto="1"/>
        </right>
        <top style="thin">
          <color auto="1"/>
        </top>
        <bottom style="thin">
          <color auto="1"/>
        </bottom>
      </border>
    </dxf>
    <dxf>
      <font>
        <color theme="1"/>
      </font>
    </dxf>
    <dxf>
      <font>
        <color auto="1"/>
      </font>
    </dxf>
    <dxf>
      <font>
        <b/>
        <i val="0"/>
        <condense val="0"/>
        <extend val="0"/>
        <color indexed="10"/>
      </font>
    </dxf>
    <dxf>
      <font>
        <color rgb="FF008000"/>
      </font>
    </dxf>
    <dxf>
      <font>
        <color rgb="FF008000"/>
      </font>
    </dxf>
    <dxf>
      <font>
        <color rgb="FF008000"/>
      </font>
    </dxf>
    <dxf>
      <font>
        <color auto="1"/>
      </font>
    </dxf>
    <dxf>
      <font>
        <color auto="1"/>
      </font>
    </dxf>
    <dxf>
      <font>
        <color auto="1"/>
      </font>
    </dxf>
    <dxf>
      <font>
        <color auto="1"/>
      </font>
    </dxf>
    <dxf>
      <font>
        <color auto="1"/>
      </font>
    </dxf>
    <dxf>
      <font>
        <color theme="1"/>
      </font>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auto="1"/>
      </font>
      <fill>
        <patternFill patternType="none">
          <bgColor auto="1"/>
        </patternFill>
      </fill>
      <border>
        <left/>
        <right/>
        <top/>
        <bottom/>
        <vertical/>
        <horizontal/>
      </border>
    </dxf>
  </dxfs>
  <tableStyles count="0" defaultTableStyle="TableStyleMedium2" defaultPivotStyle="PivotStyleLight16"/>
  <colors>
    <mruColors>
      <color rgb="FFD7D7D7"/>
      <color rgb="FF0000FF"/>
      <color rgb="FF003562"/>
      <color rgb="FFC0DEF6"/>
      <color rgb="FFEBEBEB"/>
      <color rgb="FF008000"/>
      <color rgb="FF00355F"/>
      <color rgb="FF760000"/>
      <color rgb="FF4472C4"/>
      <color rgb="FF0000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customXml" Target="../customXml/item1.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00508608672719"/>
          <c:y val="5.555544833852414E-2"/>
          <c:w val="0.8272054151125845"/>
          <c:h val="0.84190288713910766"/>
        </c:manualLayout>
      </c:layout>
      <c:barChart>
        <c:barDir val="col"/>
        <c:grouping val="clustered"/>
        <c:varyColors val="1"/>
        <c:ser>
          <c:idx val="0"/>
          <c:order val="0"/>
          <c:spPr>
            <a:solidFill>
              <a:srgbClr val="00355F"/>
            </a:solidFill>
          </c:spPr>
          <c:invertIfNegative val="0"/>
          <c:dPt>
            <c:idx val="0"/>
            <c:invertIfNegative val="0"/>
            <c:bubble3D val="0"/>
            <c:spPr>
              <a:solidFill>
                <a:srgbClr val="00355F"/>
              </a:solidFill>
              <a:ln>
                <a:noFill/>
              </a:ln>
              <a:effectLst/>
            </c:spPr>
            <c:extLst>
              <c:ext xmlns:c16="http://schemas.microsoft.com/office/drawing/2014/chart" uri="{C3380CC4-5D6E-409C-BE32-E72D297353CC}">
                <c16:uniqueId val="{00000003-63FF-48B0-9E1D-55ACB4DA54D8}"/>
              </c:ext>
            </c:extLst>
          </c:dPt>
          <c:dPt>
            <c:idx val="1"/>
            <c:invertIfNegative val="0"/>
            <c:bubble3D val="0"/>
            <c:spPr>
              <a:solidFill>
                <a:srgbClr val="00355F"/>
              </a:solidFill>
              <a:ln>
                <a:noFill/>
              </a:ln>
              <a:effectLst/>
            </c:spPr>
            <c:extLst>
              <c:ext xmlns:c16="http://schemas.microsoft.com/office/drawing/2014/chart" uri="{C3380CC4-5D6E-409C-BE32-E72D297353CC}">
                <c16:uniqueId val="{00000002-63FF-48B0-9E1D-55ACB4DA54D8}"/>
              </c:ext>
            </c:extLst>
          </c:dPt>
          <c:dPt>
            <c:idx val="2"/>
            <c:invertIfNegative val="0"/>
            <c:bubble3D val="0"/>
            <c:spPr>
              <a:solidFill>
                <a:srgbClr val="00355F"/>
              </a:solidFill>
              <a:ln>
                <a:noFill/>
              </a:ln>
              <a:effectLst/>
            </c:spPr>
            <c:extLst>
              <c:ext xmlns:c16="http://schemas.microsoft.com/office/drawing/2014/chart" uri="{C3380CC4-5D6E-409C-BE32-E72D297353CC}">
                <c16:uniqueId val="{00000001-63FF-48B0-9E1D-55ACB4DA54D8}"/>
              </c:ext>
            </c:extLst>
          </c:dPt>
          <c:dPt>
            <c:idx val="3"/>
            <c:invertIfNegative val="0"/>
            <c:bubble3D val="0"/>
            <c:spPr>
              <a:solidFill>
                <a:srgbClr val="760000"/>
              </a:solidFill>
              <a:ln>
                <a:noFill/>
              </a:ln>
              <a:effectLst/>
            </c:spPr>
            <c:extLst>
              <c:ext xmlns:c16="http://schemas.microsoft.com/office/drawing/2014/chart" uri="{C3380CC4-5D6E-409C-BE32-E72D297353CC}">
                <c16:uniqueId val="{00000000-63FF-48B0-9E1D-55ACB4DA54D8}"/>
              </c:ext>
            </c:extLst>
          </c:dPt>
          <c:dPt>
            <c:idx val="4"/>
            <c:invertIfNegative val="0"/>
            <c:bubble3D val="0"/>
            <c:spPr>
              <a:solidFill>
                <a:srgbClr val="760000"/>
              </a:solidFill>
              <a:ln>
                <a:noFill/>
              </a:ln>
              <a:effectLst/>
            </c:spPr>
            <c:extLst>
              <c:ext xmlns:c16="http://schemas.microsoft.com/office/drawing/2014/chart" uri="{C3380CC4-5D6E-409C-BE32-E72D297353CC}">
                <c16:uniqueId val="{00000004-63FF-48B0-9E1D-55ACB4DA54D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Output'!$R$24:$R$28</c:f>
              <c:strCache>
                <c:ptCount val="5"/>
                <c:pt idx="0">
                  <c:v>Entry Multiple</c:v>
                </c:pt>
                <c:pt idx="1">
                  <c:v>2026e</c:v>
                </c:pt>
                <c:pt idx="2">
                  <c:v>2030e</c:v>
                </c:pt>
                <c:pt idx="3">
                  <c:v>Exit Multiple</c:v>
                </c:pt>
                <c:pt idx="4">
                  <c:v>Implied PGM </c:v>
                </c:pt>
              </c:strCache>
            </c:strRef>
          </c:cat>
          <c:val>
            <c:numRef>
              <c:f>'Model Output'!$U$24:$U$28</c:f>
              <c:numCache>
                <c:formatCode>0.0"x"</c:formatCode>
                <c:ptCount val="5"/>
                <c:pt idx="0">
                  <c:v>16.600000000000001</c:v>
                </c:pt>
                <c:pt idx="1">
                  <c:v>8.4881791032658693</c:v>
                </c:pt>
                <c:pt idx="2">
                  <c:v>6.7250514843982572</c:v>
                </c:pt>
                <c:pt idx="3">
                  <c:v>12.651052105579955</c:v>
                </c:pt>
                <c:pt idx="4">
                  <c:v>15.595295503900463</c:v>
                </c:pt>
              </c:numCache>
            </c:numRef>
          </c:val>
          <c:extLst>
            <c:ext xmlns:c16="http://schemas.microsoft.com/office/drawing/2014/chart" uri="{C3380CC4-5D6E-409C-BE32-E72D297353CC}">
              <c16:uniqueId val="{00000000-6281-4E6A-975B-28169498D787}"/>
            </c:ext>
          </c:extLst>
        </c:ser>
        <c:dLbls>
          <c:dLblPos val="outEnd"/>
          <c:showLegendKey val="0"/>
          <c:showVal val="1"/>
          <c:showCatName val="0"/>
          <c:showSerName val="0"/>
          <c:showPercent val="0"/>
          <c:showBubbleSize val="0"/>
        </c:dLbls>
        <c:gapWidth val="219"/>
        <c:overlap val="-27"/>
        <c:axId val="-982879344"/>
        <c:axId val="-982874992"/>
      </c:barChart>
      <c:catAx>
        <c:axId val="-9828793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panose="020B0604020104020204" pitchFamily="34" charset="0"/>
                <a:ea typeface="+mn-ea"/>
                <a:cs typeface="+mn-cs"/>
              </a:defRPr>
            </a:pPr>
            <a:endParaRPr lang="en-US"/>
          </a:p>
        </c:txPr>
        <c:crossAx val="-982874992"/>
        <c:crosses val="autoZero"/>
        <c:auto val="1"/>
        <c:lblAlgn val="ctr"/>
        <c:lblOffset val="100"/>
        <c:noMultiLvlLbl val="0"/>
      </c:catAx>
      <c:valAx>
        <c:axId val="-982874992"/>
        <c:scaling>
          <c:orientation val="minMax"/>
          <c:min val="0"/>
        </c:scaling>
        <c:delete val="0"/>
        <c:axPos val="l"/>
        <c:numFmt formatCode="0.0&quot;x&quot;"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panose="020B0604020104020204" pitchFamily="34" charset="0"/>
                <a:ea typeface="+mn-ea"/>
                <a:cs typeface="+mn-cs"/>
              </a:defRPr>
            </a:pPr>
            <a:endParaRPr lang="en-US"/>
          </a:p>
        </c:txPr>
        <c:crossAx val="-982879344"/>
        <c:crosses val="autoZero"/>
        <c:crossBetween val="between"/>
        <c:majorUnit val="10"/>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'Football Field'!$C$1</c:f>
          <c:strCache>
            <c:ptCount val="1"/>
            <c:pt idx="0">
              <c:v>Evercore Inc. - Football Field: Base Case</c:v>
            </c:pt>
          </c:strCache>
        </c:strRef>
      </c:tx>
      <c:layout>
        <c:manualLayout>
          <c:xMode val="edge"/>
          <c:yMode val="edge"/>
          <c:x val="0.40119148936170212"/>
          <c:y val="2.1967960220117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manualLayout>
          <c:layoutTarget val="inner"/>
          <c:xMode val="edge"/>
          <c:yMode val="edge"/>
          <c:x val="0.49798600690964351"/>
          <c:y val="0.12025753593051831"/>
          <c:w val="0.46579378827291745"/>
          <c:h val="0.79810132464249017"/>
        </c:manualLayout>
      </c:layout>
      <c:barChart>
        <c:barDir val="bar"/>
        <c:grouping val="stacked"/>
        <c:varyColors val="0"/>
        <c:ser>
          <c:idx val="0"/>
          <c:order val="0"/>
          <c:spPr>
            <a:solidFill>
              <a:schemeClr val="accent1"/>
            </a:solid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Field'!$P$5:$P$19</c:f>
              <c:numCache>
                <c:formatCode>General</c:formatCode>
                <c:ptCount val="15"/>
              </c:numCache>
            </c:numRef>
          </c:val>
          <c:extLst>
            <c:ext xmlns:c16="http://schemas.microsoft.com/office/drawing/2014/chart" uri="{C3380CC4-5D6E-409C-BE32-E72D297353CC}">
              <c16:uniqueId val="{00000000-D072-412D-872E-DC8E38E86913}"/>
            </c:ext>
          </c:extLst>
        </c:ser>
        <c:ser>
          <c:idx val="1"/>
          <c:order val="1"/>
          <c:spPr>
            <a:solidFill>
              <a:schemeClr val="accent2"/>
            </a:solid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Field'!$Q$5:$Q$19</c:f>
              <c:numCache>
                <c:formatCode>General</c:formatCode>
                <c:ptCount val="15"/>
              </c:numCache>
            </c:numRef>
          </c:val>
          <c:extLst>
            <c:ext xmlns:c16="http://schemas.microsoft.com/office/drawing/2014/chart" uri="{C3380CC4-5D6E-409C-BE32-E72D297353CC}">
              <c16:uniqueId val="{00000001-D072-412D-872E-DC8E38E86913}"/>
            </c:ext>
          </c:extLst>
        </c:ser>
        <c:ser>
          <c:idx val="2"/>
          <c:order val="2"/>
          <c:spPr>
            <a:solidFill>
              <a:schemeClr val="accent3"/>
            </a:solid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Field'!$R$5:$R$19</c:f>
              <c:numCache>
                <c:formatCode>General</c:formatCode>
                <c:ptCount val="15"/>
              </c:numCache>
            </c:numRef>
          </c:val>
          <c:extLst>
            <c:ext xmlns:c16="http://schemas.microsoft.com/office/drawing/2014/chart" uri="{C3380CC4-5D6E-409C-BE32-E72D297353CC}">
              <c16:uniqueId val="{00000002-D072-412D-872E-DC8E38E86913}"/>
            </c:ext>
          </c:extLst>
        </c:ser>
        <c:ser>
          <c:idx val="3"/>
          <c:order val="3"/>
          <c:spPr>
            <a:solidFill>
              <a:schemeClr val="accent4"/>
            </a:solid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Field'!$S$5:$S$19</c:f>
              <c:numCache>
                <c:formatCode>General</c:formatCode>
                <c:ptCount val="15"/>
              </c:numCache>
            </c:numRef>
          </c:val>
          <c:extLst>
            <c:ext xmlns:c16="http://schemas.microsoft.com/office/drawing/2014/chart" uri="{C3380CC4-5D6E-409C-BE32-E72D297353CC}">
              <c16:uniqueId val="{00000003-D072-412D-872E-DC8E38E86913}"/>
            </c:ext>
          </c:extLst>
        </c:ser>
        <c:ser>
          <c:idx val="4"/>
          <c:order val="4"/>
          <c:spPr>
            <a:no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Field'!$T$5:$T$19</c:f>
              <c:numCache>
                <c:formatCode>_(* #,##0.00_);_(* \(#,##0.00\);_(* "-"??_);_(@_)</c:formatCode>
                <c:ptCount val="15"/>
                <c:pt idx="0" formatCode="_(&quot;$&quot;* #,##0.00_);_(&quot;$&quot;* \(#,##0.00\);_(&quot;$&quot;* &quot;-&quot;??_);_(@_)">
                  <c:v>564.09799594524611</c:v>
                </c:pt>
                <c:pt idx="1">
                  <c:v>443.18418947748813</c:v>
                </c:pt>
                <c:pt idx="3">
                  <c:v>150.76659069193738</c:v>
                </c:pt>
                <c:pt idx="4">
                  <c:v>191.12287689330472</c:v>
                </c:pt>
                <c:pt idx="5">
                  <c:v>361.0243358738129</c:v>
                </c:pt>
                <c:pt idx="6">
                  <c:v>397.10342271070607</c:v>
                </c:pt>
                <c:pt idx="8">
                  <c:v>178.19657864647215</c:v>
                </c:pt>
                <c:pt idx="9">
                  <c:v>106.58654572312123</c:v>
                </c:pt>
                <c:pt idx="10">
                  <c:v>637.05294846845493</c:v>
                </c:pt>
                <c:pt idx="11">
                  <c:v>485.10604813688303</c:v>
                </c:pt>
                <c:pt idx="13" formatCode="#,##0.00_);\(#,##0.00\)">
                  <c:v>215.26</c:v>
                </c:pt>
                <c:pt idx="14" formatCode="&quot;$&quot;#,##0.00_);\(&quot;$&quot;#,##0.00\)">
                  <c:v>361.0243358738129</c:v>
                </c:pt>
              </c:numCache>
            </c:numRef>
          </c:val>
          <c:extLst>
            <c:ext xmlns:c16="http://schemas.microsoft.com/office/drawing/2014/chart" uri="{C3380CC4-5D6E-409C-BE32-E72D297353CC}">
              <c16:uniqueId val="{00000004-D072-412D-872E-DC8E38E86913}"/>
            </c:ext>
          </c:extLst>
        </c:ser>
        <c:ser>
          <c:idx val="5"/>
          <c:order val="5"/>
          <c:spPr>
            <a:solidFill>
              <a:srgbClr val="00355F"/>
            </a:solidFill>
            <a:ln>
              <a:noFill/>
            </a:ln>
            <a:effectLst>
              <a:outerShdw blurRad="63500" sx="102000" sy="102000" algn="ctr" rotWithShape="0">
                <a:prstClr val="black">
                  <a:alpha val="40000"/>
                </a:prstClr>
              </a:outerShdw>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Field'!$U$5:$U$19</c:f>
              <c:numCache>
                <c:formatCode>_(* #,##0.0_);_(* \(#,##0.0\);_(* "-"?_);_(@_)</c:formatCode>
                <c:ptCount val="15"/>
                <c:pt idx="0" formatCode="_(&quot;$&quot;* #,##0.0_);_(&quot;$&quot;* \(#,##0.0\);_(&quot;$&quot;* &quot;-&quot;?_);_(@_)">
                  <c:v>30.880249415792264</c:v>
                </c:pt>
                <c:pt idx="1">
                  <c:v>50.182878679855946</c:v>
                </c:pt>
                <c:pt idx="3">
                  <c:v>78.050564583218971</c:v>
                </c:pt>
                <c:pt idx="4">
                  <c:v>87.018628183522793</c:v>
                </c:pt>
                <c:pt idx="5">
                  <c:v>146.50724400116798</c:v>
                </c:pt>
                <c:pt idx="6">
                  <c:v>154.52481885381093</c:v>
                </c:pt>
                <c:pt idx="8">
                  <c:v>36.257761743134552</c:v>
                </c:pt>
                <c:pt idx="9">
                  <c:v>36.257761743134509</c:v>
                </c:pt>
                <c:pt idx="10">
                  <c:v>54.228774932989609</c:v>
                </c:pt>
                <c:pt idx="11">
                  <c:v>54.228774932989609</c:v>
                </c:pt>
                <c:pt idx="13" formatCode="_(* #,##0.00_);_(* \(#,##0.00\);_(* &quot;-&quot;?_);_(@_)">
                  <c:v>173.45</c:v>
                </c:pt>
                <c:pt idx="14" formatCode="&quot;$&quot;#,##0.00_);\(&quot;$&quot;#,##0.00\)">
                  <c:v>54.228774932989609</c:v>
                </c:pt>
              </c:numCache>
            </c:numRef>
          </c:val>
          <c:extLst>
            <c:ext xmlns:c16="http://schemas.microsoft.com/office/drawing/2014/chart" uri="{C3380CC4-5D6E-409C-BE32-E72D297353CC}">
              <c16:uniqueId val="{00000005-D072-412D-872E-DC8E38E86913}"/>
            </c:ext>
          </c:extLst>
        </c:ser>
        <c:ser>
          <c:idx val="6"/>
          <c:order val="6"/>
          <c:spPr>
            <a:noFill/>
            <a:ln>
              <a:noFill/>
            </a:ln>
            <a:effectLst/>
          </c:spPr>
          <c:invertIfNegative val="0"/>
          <c:cat>
            <c:strRef>
              <c:f>'Football Field'!$O$5:$O$19</c:f>
              <c:strCache>
                <c:ptCount val="15"/>
                <c:pt idx="0">
                  <c:v>9.5% - 10.5% WACC &amp; 1.5% - 2.5% PGR</c:v>
                </c:pt>
                <c:pt idx="1">
                  <c:v>9.5% - 10.5% WACC &amp; 8.0x - 10.0x Exit Multiple</c:v>
                </c:pt>
                <c:pt idx="3">
                  <c:v>NTM EV/EBITDA Spread to Comps: 8.4x - 10.4x</c:v>
                </c:pt>
                <c:pt idx="4">
                  <c:v>NTM EV/EBITDA: 10.6x - 12.6x</c:v>
                </c:pt>
                <c:pt idx="5">
                  <c:v>NTM P/E Spread to Comps: 13.3x - 15.3x</c:v>
                </c:pt>
                <c:pt idx="6">
                  <c:v>NTM P/E: 14.6x - 16.6x</c:v>
                </c:pt>
                <c:pt idx="8">
                  <c:v>2009-2018 Early Cycle EV/EBITDA Spread to Comps: 9.9x - 11.9x</c:v>
                </c:pt>
                <c:pt idx="9">
                  <c:v>2009-2018 Early Cycle EV/EBITDA: 5.9x - 7.9x</c:v>
                </c:pt>
                <c:pt idx="10">
                  <c:v>2009-2018 Early Cycle P/E Spread to Comps: 23.5x - 25.5x</c:v>
                </c:pt>
                <c:pt idx="11">
                  <c:v>2009-2018 Early Cycle P/E: 17.9x - 19.9x</c:v>
                </c:pt>
                <c:pt idx="13">
                  <c:v>52-Week Price Range:</c:v>
                </c:pt>
                <c:pt idx="14">
                  <c:v>Median Value:</c:v>
                </c:pt>
              </c:strCache>
            </c:strRef>
          </c:cat>
          <c:val>
            <c:numRef>
              <c:f>'Football Field'!$V$5:$V$19</c:f>
              <c:numCache>
                <c:formatCode>_(* #,##0.00_);_(* \(#,##0.00\);_(* "-"??_);_(@_)</c:formatCode>
                <c:ptCount val="15"/>
                <c:pt idx="0" formatCode="_(&quot;$&quot;* #,##0.00_);_(&quot;$&quot;* \(#,##0.00\);_(&quot;$&quot;* &quot;-&quot;??_);_(@_)">
                  <c:v>594.97824536103838</c:v>
                </c:pt>
                <c:pt idx="1">
                  <c:v>493.36706815734408</c:v>
                </c:pt>
                <c:pt idx="3">
                  <c:v>228.81715527515635</c:v>
                </c:pt>
                <c:pt idx="4">
                  <c:v>278.14150507682751</c:v>
                </c:pt>
                <c:pt idx="5">
                  <c:v>507.53157987498088</c:v>
                </c:pt>
                <c:pt idx="6">
                  <c:v>551.628241564517</c:v>
                </c:pt>
                <c:pt idx="8">
                  <c:v>214.4543403896067</c:v>
                </c:pt>
                <c:pt idx="9">
                  <c:v>142.84430746625574</c:v>
                </c:pt>
                <c:pt idx="10">
                  <c:v>691.28172340144454</c:v>
                </c:pt>
                <c:pt idx="11">
                  <c:v>539.33482306987264</c:v>
                </c:pt>
                <c:pt idx="13" formatCode="_(* #,##0.00_);_(* \(#,##0.00\);_(* &quot;-&quot;?_);_(@_)">
                  <c:v>388.71</c:v>
                </c:pt>
                <c:pt idx="14" formatCode="&quot;$&quot;#,##0.00_);\(&quot;$&quot;#,##0.00\)">
                  <c:v>493.36706815734408</c:v>
                </c:pt>
              </c:numCache>
            </c:numRef>
          </c:val>
          <c:extLst>
            <c:ext xmlns:c16="http://schemas.microsoft.com/office/drawing/2014/chart" uri="{C3380CC4-5D6E-409C-BE32-E72D297353CC}">
              <c16:uniqueId val="{00000006-D072-412D-872E-DC8E38E86913}"/>
            </c:ext>
          </c:extLst>
        </c:ser>
        <c:dLbls>
          <c:showLegendKey val="0"/>
          <c:showVal val="0"/>
          <c:showCatName val="0"/>
          <c:showSerName val="0"/>
          <c:showPercent val="0"/>
          <c:showBubbleSize val="0"/>
        </c:dLbls>
        <c:gapWidth val="30"/>
        <c:overlap val="100"/>
        <c:axId val="-982874448"/>
        <c:axId val="-982878256"/>
      </c:barChart>
      <c:catAx>
        <c:axId val="-982874448"/>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badi" panose="020B0604020104020204" pitchFamily="34" charset="0"/>
                <a:ea typeface="+mn-ea"/>
                <a:cs typeface="+mn-cs"/>
              </a:defRPr>
            </a:pPr>
            <a:endParaRPr lang="en-US"/>
          </a:p>
        </c:txPr>
        <c:crossAx val="-982878256"/>
        <c:crosses val="autoZero"/>
        <c:auto val="1"/>
        <c:lblAlgn val="ctr"/>
        <c:lblOffset val="100"/>
        <c:noMultiLvlLbl val="0"/>
      </c:catAx>
      <c:valAx>
        <c:axId val="-982878256"/>
        <c:scaling>
          <c:orientation val="minMax"/>
          <c:max val="500"/>
          <c:min val="90"/>
        </c:scaling>
        <c:delete val="0"/>
        <c:axPos val="b"/>
        <c:numFmt formatCode="&quot;$&quot;#,##0_);\(&quot;$&quot;#,##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badi" panose="020B0604020104020204" pitchFamily="34" charset="0"/>
                <a:ea typeface="+mn-ea"/>
                <a:cs typeface="+mn-cs"/>
              </a:defRPr>
            </a:pPr>
            <a:endParaRPr lang="en-US"/>
          </a:p>
        </c:txPr>
        <c:crossAx val="-982874448"/>
        <c:crosses val="autoZero"/>
        <c:crossBetween val="between"/>
        <c:maj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spPr>
            <a:solidFill>
              <a:srgbClr val="C0DEF6"/>
            </a:solidFill>
            <a:ln w="25400">
              <a:noFill/>
            </a:ln>
            <a:effectLst/>
          </c:spPr>
          <c:cat>
            <c:numRef>
              <c:f>Charts!$C$181:$C$447</c:f>
              <c:numCache>
                <c:formatCode>m/d/yyyy</c:formatCode>
                <c:ptCount val="267"/>
                <c:pt idx="0">
                  <c:v>45702</c:v>
                </c:pt>
                <c:pt idx="1">
                  <c:v>45701</c:v>
                </c:pt>
                <c:pt idx="2">
                  <c:v>45700</c:v>
                </c:pt>
                <c:pt idx="3">
                  <c:v>45699</c:v>
                </c:pt>
                <c:pt idx="4">
                  <c:v>45698</c:v>
                </c:pt>
                <c:pt idx="5">
                  <c:v>45695</c:v>
                </c:pt>
                <c:pt idx="6">
                  <c:v>45694</c:v>
                </c:pt>
                <c:pt idx="7">
                  <c:v>45693</c:v>
                </c:pt>
                <c:pt idx="8">
                  <c:v>45692</c:v>
                </c:pt>
                <c:pt idx="9">
                  <c:v>45691</c:v>
                </c:pt>
                <c:pt idx="10">
                  <c:v>45688</c:v>
                </c:pt>
                <c:pt idx="11">
                  <c:v>45687</c:v>
                </c:pt>
                <c:pt idx="12">
                  <c:v>45686</c:v>
                </c:pt>
                <c:pt idx="13">
                  <c:v>45685</c:v>
                </c:pt>
                <c:pt idx="14">
                  <c:v>45684</c:v>
                </c:pt>
                <c:pt idx="15">
                  <c:v>45681</c:v>
                </c:pt>
                <c:pt idx="16">
                  <c:v>45680</c:v>
                </c:pt>
                <c:pt idx="17">
                  <c:v>45679</c:v>
                </c:pt>
                <c:pt idx="18">
                  <c:v>45678</c:v>
                </c:pt>
                <c:pt idx="19">
                  <c:v>45674</c:v>
                </c:pt>
                <c:pt idx="20">
                  <c:v>45673</c:v>
                </c:pt>
                <c:pt idx="21">
                  <c:v>45672</c:v>
                </c:pt>
                <c:pt idx="22">
                  <c:v>45671</c:v>
                </c:pt>
                <c:pt idx="23">
                  <c:v>45670</c:v>
                </c:pt>
                <c:pt idx="24">
                  <c:v>45667</c:v>
                </c:pt>
                <c:pt idx="25">
                  <c:v>45665</c:v>
                </c:pt>
                <c:pt idx="26">
                  <c:v>45664</c:v>
                </c:pt>
                <c:pt idx="27">
                  <c:v>45663</c:v>
                </c:pt>
                <c:pt idx="28">
                  <c:v>45660</c:v>
                </c:pt>
                <c:pt idx="29">
                  <c:v>45659</c:v>
                </c:pt>
                <c:pt idx="30">
                  <c:v>45657</c:v>
                </c:pt>
                <c:pt idx="31">
                  <c:v>45656</c:v>
                </c:pt>
                <c:pt idx="32">
                  <c:v>45653</c:v>
                </c:pt>
                <c:pt idx="33">
                  <c:v>45652</c:v>
                </c:pt>
                <c:pt idx="34">
                  <c:v>45650</c:v>
                </c:pt>
                <c:pt idx="35">
                  <c:v>45649</c:v>
                </c:pt>
                <c:pt idx="36">
                  <c:v>45646</c:v>
                </c:pt>
                <c:pt idx="37">
                  <c:v>45645</c:v>
                </c:pt>
                <c:pt idx="38">
                  <c:v>45644</c:v>
                </c:pt>
                <c:pt idx="39">
                  <c:v>45643</c:v>
                </c:pt>
                <c:pt idx="40">
                  <c:v>45642</c:v>
                </c:pt>
                <c:pt idx="41">
                  <c:v>45639</c:v>
                </c:pt>
                <c:pt idx="42">
                  <c:v>45638</c:v>
                </c:pt>
                <c:pt idx="43">
                  <c:v>45637</c:v>
                </c:pt>
                <c:pt idx="44">
                  <c:v>45636</c:v>
                </c:pt>
                <c:pt idx="45">
                  <c:v>45635</c:v>
                </c:pt>
                <c:pt idx="46">
                  <c:v>45632</c:v>
                </c:pt>
                <c:pt idx="47">
                  <c:v>45631</c:v>
                </c:pt>
                <c:pt idx="48">
                  <c:v>45630</c:v>
                </c:pt>
                <c:pt idx="49">
                  <c:v>45629</c:v>
                </c:pt>
                <c:pt idx="50">
                  <c:v>45628</c:v>
                </c:pt>
                <c:pt idx="51">
                  <c:v>45625</c:v>
                </c:pt>
                <c:pt idx="52">
                  <c:v>45623</c:v>
                </c:pt>
                <c:pt idx="53">
                  <c:v>45622</c:v>
                </c:pt>
                <c:pt idx="54">
                  <c:v>45621</c:v>
                </c:pt>
                <c:pt idx="55">
                  <c:v>45618</c:v>
                </c:pt>
                <c:pt idx="56">
                  <c:v>45617</c:v>
                </c:pt>
                <c:pt idx="57">
                  <c:v>45616</c:v>
                </c:pt>
                <c:pt idx="58">
                  <c:v>45615</c:v>
                </c:pt>
                <c:pt idx="59">
                  <c:v>45614</c:v>
                </c:pt>
                <c:pt idx="60">
                  <c:v>45611</c:v>
                </c:pt>
                <c:pt idx="61">
                  <c:v>45610</c:v>
                </c:pt>
                <c:pt idx="62">
                  <c:v>45609</c:v>
                </c:pt>
                <c:pt idx="63">
                  <c:v>45608</c:v>
                </c:pt>
                <c:pt idx="64">
                  <c:v>45607</c:v>
                </c:pt>
                <c:pt idx="65">
                  <c:v>45604</c:v>
                </c:pt>
                <c:pt idx="66">
                  <c:v>45603</c:v>
                </c:pt>
                <c:pt idx="67">
                  <c:v>45602</c:v>
                </c:pt>
                <c:pt idx="68">
                  <c:v>45601</c:v>
                </c:pt>
                <c:pt idx="69">
                  <c:v>45600</c:v>
                </c:pt>
                <c:pt idx="70">
                  <c:v>45597</c:v>
                </c:pt>
                <c:pt idx="71">
                  <c:v>45596</c:v>
                </c:pt>
                <c:pt idx="72">
                  <c:v>45595</c:v>
                </c:pt>
                <c:pt idx="73">
                  <c:v>45594</c:v>
                </c:pt>
                <c:pt idx="74">
                  <c:v>45593</c:v>
                </c:pt>
                <c:pt idx="75">
                  <c:v>45590</c:v>
                </c:pt>
                <c:pt idx="76">
                  <c:v>45589</c:v>
                </c:pt>
                <c:pt idx="77">
                  <c:v>45588</c:v>
                </c:pt>
                <c:pt idx="78">
                  <c:v>45587</c:v>
                </c:pt>
                <c:pt idx="79">
                  <c:v>45586</c:v>
                </c:pt>
                <c:pt idx="80">
                  <c:v>45583</c:v>
                </c:pt>
                <c:pt idx="81">
                  <c:v>45582</c:v>
                </c:pt>
                <c:pt idx="82">
                  <c:v>45581</c:v>
                </c:pt>
                <c:pt idx="83">
                  <c:v>45580</c:v>
                </c:pt>
                <c:pt idx="84">
                  <c:v>45579</c:v>
                </c:pt>
                <c:pt idx="85">
                  <c:v>45576</c:v>
                </c:pt>
                <c:pt idx="86">
                  <c:v>45575</c:v>
                </c:pt>
                <c:pt idx="87">
                  <c:v>45574</c:v>
                </c:pt>
                <c:pt idx="88">
                  <c:v>45573</c:v>
                </c:pt>
                <c:pt idx="89">
                  <c:v>45572</c:v>
                </c:pt>
                <c:pt idx="90">
                  <c:v>45569</c:v>
                </c:pt>
                <c:pt idx="91">
                  <c:v>45568</c:v>
                </c:pt>
                <c:pt idx="92">
                  <c:v>45567</c:v>
                </c:pt>
                <c:pt idx="93">
                  <c:v>45566</c:v>
                </c:pt>
                <c:pt idx="94">
                  <c:v>45565</c:v>
                </c:pt>
                <c:pt idx="95">
                  <c:v>45562</c:v>
                </c:pt>
                <c:pt idx="96">
                  <c:v>45561</c:v>
                </c:pt>
                <c:pt idx="97">
                  <c:v>45560</c:v>
                </c:pt>
                <c:pt idx="98">
                  <c:v>45559</c:v>
                </c:pt>
                <c:pt idx="99">
                  <c:v>45558</c:v>
                </c:pt>
                <c:pt idx="100">
                  <c:v>45555</c:v>
                </c:pt>
                <c:pt idx="101">
                  <c:v>45554</c:v>
                </c:pt>
                <c:pt idx="102">
                  <c:v>45553</c:v>
                </c:pt>
                <c:pt idx="103">
                  <c:v>45552</c:v>
                </c:pt>
                <c:pt idx="104">
                  <c:v>45551</c:v>
                </c:pt>
                <c:pt idx="105">
                  <c:v>45548</c:v>
                </c:pt>
                <c:pt idx="106">
                  <c:v>45547</c:v>
                </c:pt>
                <c:pt idx="107">
                  <c:v>45546</c:v>
                </c:pt>
                <c:pt idx="108">
                  <c:v>45545</c:v>
                </c:pt>
                <c:pt idx="109">
                  <c:v>45544</c:v>
                </c:pt>
                <c:pt idx="110">
                  <c:v>45541</c:v>
                </c:pt>
                <c:pt idx="111">
                  <c:v>45540</c:v>
                </c:pt>
                <c:pt idx="112">
                  <c:v>45539</c:v>
                </c:pt>
                <c:pt idx="113">
                  <c:v>45538</c:v>
                </c:pt>
                <c:pt idx="114">
                  <c:v>45534</c:v>
                </c:pt>
                <c:pt idx="115">
                  <c:v>45533</c:v>
                </c:pt>
                <c:pt idx="116">
                  <c:v>45532</c:v>
                </c:pt>
                <c:pt idx="117">
                  <c:v>45531</c:v>
                </c:pt>
                <c:pt idx="118">
                  <c:v>45530</c:v>
                </c:pt>
                <c:pt idx="119">
                  <c:v>45527</c:v>
                </c:pt>
                <c:pt idx="120">
                  <c:v>45526</c:v>
                </c:pt>
                <c:pt idx="121">
                  <c:v>45525</c:v>
                </c:pt>
                <c:pt idx="122">
                  <c:v>45524</c:v>
                </c:pt>
                <c:pt idx="123">
                  <c:v>45523</c:v>
                </c:pt>
                <c:pt idx="124">
                  <c:v>45520</c:v>
                </c:pt>
                <c:pt idx="125">
                  <c:v>45519</c:v>
                </c:pt>
                <c:pt idx="126">
                  <c:v>45518</c:v>
                </c:pt>
                <c:pt idx="127">
                  <c:v>45517</c:v>
                </c:pt>
                <c:pt idx="128">
                  <c:v>45516</c:v>
                </c:pt>
                <c:pt idx="129">
                  <c:v>45513</c:v>
                </c:pt>
                <c:pt idx="130">
                  <c:v>45512</c:v>
                </c:pt>
                <c:pt idx="131">
                  <c:v>45511</c:v>
                </c:pt>
                <c:pt idx="132">
                  <c:v>45510</c:v>
                </c:pt>
                <c:pt idx="133">
                  <c:v>45509</c:v>
                </c:pt>
                <c:pt idx="134">
                  <c:v>45506</c:v>
                </c:pt>
                <c:pt idx="135">
                  <c:v>45505</c:v>
                </c:pt>
                <c:pt idx="136">
                  <c:v>45504</c:v>
                </c:pt>
                <c:pt idx="137">
                  <c:v>45503</c:v>
                </c:pt>
                <c:pt idx="138">
                  <c:v>45502</c:v>
                </c:pt>
                <c:pt idx="139">
                  <c:v>45499</c:v>
                </c:pt>
                <c:pt idx="140">
                  <c:v>45498</c:v>
                </c:pt>
                <c:pt idx="141">
                  <c:v>45497</c:v>
                </c:pt>
                <c:pt idx="142">
                  <c:v>45496</c:v>
                </c:pt>
                <c:pt idx="143">
                  <c:v>45495</c:v>
                </c:pt>
                <c:pt idx="144">
                  <c:v>45492</c:v>
                </c:pt>
                <c:pt idx="145">
                  <c:v>45491</c:v>
                </c:pt>
                <c:pt idx="146">
                  <c:v>45490</c:v>
                </c:pt>
                <c:pt idx="147">
                  <c:v>45489</c:v>
                </c:pt>
                <c:pt idx="148">
                  <c:v>45488</c:v>
                </c:pt>
                <c:pt idx="149">
                  <c:v>45485</c:v>
                </c:pt>
                <c:pt idx="150">
                  <c:v>45484</c:v>
                </c:pt>
                <c:pt idx="151">
                  <c:v>45483</c:v>
                </c:pt>
                <c:pt idx="152">
                  <c:v>45482</c:v>
                </c:pt>
                <c:pt idx="153">
                  <c:v>45481</c:v>
                </c:pt>
                <c:pt idx="154">
                  <c:v>45478</c:v>
                </c:pt>
                <c:pt idx="155">
                  <c:v>45476</c:v>
                </c:pt>
                <c:pt idx="156">
                  <c:v>45475</c:v>
                </c:pt>
                <c:pt idx="157">
                  <c:v>45474</c:v>
                </c:pt>
                <c:pt idx="158">
                  <c:v>45471</c:v>
                </c:pt>
                <c:pt idx="159">
                  <c:v>45470</c:v>
                </c:pt>
                <c:pt idx="160">
                  <c:v>45469</c:v>
                </c:pt>
                <c:pt idx="161">
                  <c:v>45468</c:v>
                </c:pt>
                <c:pt idx="162">
                  <c:v>45467</c:v>
                </c:pt>
                <c:pt idx="163">
                  <c:v>45464</c:v>
                </c:pt>
                <c:pt idx="164">
                  <c:v>45463</c:v>
                </c:pt>
                <c:pt idx="165">
                  <c:v>45461</c:v>
                </c:pt>
                <c:pt idx="166">
                  <c:v>45460</c:v>
                </c:pt>
                <c:pt idx="167">
                  <c:v>45457</c:v>
                </c:pt>
                <c:pt idx="168">
                  <c:v>45456</c:v>
                </c:pt>
                <c:pt idx="169">
                  <c:v>45455</c:v>
                </c:pt>
                <c:pt idx="170">
                  <c:v>45454</c:v>
                </c:pt>
                <c:pt idx="171">
                  <c:v>45453</c:v>
                </c:pt>
                <c:pt idx="172">
                  <c:v>45450</c:v>
                </c:pt>
                <c:pt idx="173">
                  <c:v>45449</c:v>
                </c:pt>
                <c:pt idx="174">
                  <c:v>45448</c:v>
                </c:pt>
                <c:pt idx="175">
                  <c:v>45447</c:v>
                </c:pt>
                <c:pt idx="176">
                  <c:v>45446</c:v>
                </c:pt>
                <c:pt idx="177">
                  <c:v>45443</c:v>
                </c:pt>
                <c:pt idx="178">
                  <c:v>45442</c:v>
                </c:pt>
                <c:pt idx="179">
                  <c:v>45441</c:v>
                </c:pt>
                <c:pt idx="180">
                  <c:v>45440</c:v>
                </c:pt>
                <c:pt idx="181">
                  <c:v>45436</c:v>
                </c:pt>
                <c:pt idx="182">
                  <c:v>45435</c:v>
                </c:pt>
                <c:pt idx="183">
                  <c:v>45434</c:v>
                </c:pt>
                <c:pt idx="184">
                  <c:v>45433</c:v>
                </c:pt>
                <c:pt idx="185">
                  <c:v>45432</c:v>
                </c:pt>
                <c:pt idx="186">
                  <c:v>45429</c:v>
                </c:pt>
                <c:pt idx="187">
                  <c:v>45428</c:v>
                </c:pt>
                <c:pt idx="188">
                  <c:v>45427</c:v>
                </c:pt>
                <c:pt idx="189">
                  <c:v>45426</c:v>
                </c:pt>
                <c:pt idx="190">
                  <c:v>45425</c:v>
                </c:pt>
                <c:pt idx="191">
                  <c:v>45422</c:v>
                </c:pt>
                <c:pt idx="192">
                  <c:v>45421</c:v>
                </c:pt>
                <c:pt idx="193">
                  <c:v>45420</c:v>
                </c:pt>
                <c:pt idx="194">
                  <c:v>45419</c:v>
                </c:pt>
                <c:pt idx="195">
                  <c:v>45418</c:v>
                </c:pt>
                <c:pt idx="196">
                  <c:v>45415</c:v>
                </c:pt>
                <c:pt idx="197">
                  <c:v>45414</c:v>
                </c:pt>
                <c:pt idx="198">
                  <c:v>45413</c:v>
                </c:pt>
                <c:pt idx="199">
                  <c:v>45412</c:v>
                </c:pt>
                <c:pt idx="200">
                  <c:v>45411</c:v>
                </c:pt>
                <c:pt idx="201">
                  <c:v>45408</c:v>
                </c:pt>
                <c:pt idx="202">
                  <c:v>45407</c:v>
                </c:pt>
                <c:pt idx="203">
                  <c:v>45406</c:v>
                </c:pt>
                <c:pt idx="204">
                  <c:v>45405</c:v>
                </c:pt>
                <c:pt idx="205">
                  <c:v>45404</c:v>
                </c:pt>
                <c:pt idx="206">
                  <c:v>45401</c:v>
                </c:pt>
                <c:pt idx="207">
                  <c:v>45400</c:v>
                </c:pt>
                <c:pt idx="208">
                  <c:v>45399</c:v>
                </c:pt>
                <c:pt idx="209">
                  <c:v>45398</c:v>
                </c:pt>
                <c:pt idx="210">
                  <c:v>45397</c:v>
                </c:pt>
                <c:pt idx="211">
                  <c:v>45394</c:v>
                </c:pt>
                <c:pt idx="212">
                  <c:v>45393</c:v>
                </c:pt>
                <c:pt idx="213">
                  <c:v>45392</c:v>
                </c:pt>
                <c:pt idx="214">
                  <c:v>45391</c:v>
                </c:pt>
                <c:pt idx="215">
                  <c:v>45390</c:v>
                </c:pt>
                <c:pt idx="216">
                  <c:v>45387</c:v>
                </c:pt>
                <c:pt idx="217">
                  <c:v>45386</c:v>
                </c:pt>
                <c:pt idx="218">
                  <c:v>45385</c:v>
                </c:pt>
                <c:pt idx="219">
                  <c:v>45384</c:v>
                </c:pt>
                <c:pt idx="220">
                  <c:v>45383</c:v>
                </c:pt>
                <c:pt idx="221">
                  <c:v>45379</c:v>
                </c:pt>
                <c:pt idx="222">
                  <c:v>45378</c:v>
                </c:pt>
                <c:pt idx="223">
                  <c:v>45377</c:v>
                </c:pt>
                <c:pt idx="224">
                  <c:v>45376</c:v>
                </c:pt>
                <c:pt idx="225">
                  <c:v>45373</c:v>
                </c:pt>
                <c:pt idx="226">
                  <c:v>45372</c:v>
                </c:pt>
                <c:pt idx="227">
                  <c:v>45371</c:v>
                </c:pt>
                <c:pt idx="228">
                  <c:v>45370</c:v>
                </c:pt>
                <c:pt idx="229">
                  <c:v>45369</c:v>
                </c:pt>
                <c:pt idx="230">
                  <c:v>45366</c:v>
                </c:pt>
                <c:pt idx="231">
                  <c:v>45365</c:v>
                </c:pt>
                <c:pt idx="232">
                  <c:v>45364</c:v>
                </c:pt>
                <c:pt idx="233">
                  <c:v>45363</c:v>
                </c:pt>
                <c:pt idx="234">
                  <c:v>45362</c:v>
                </c:pt>
                <c:pt idx="235">
                  <c:v>45359</c:v>
                </c:pt>
                <c:pt idx="236">
                  <c:v>45358</c:v>
                </c:pt>
                <c:pt idx="237">
                  <c:v>45357</c:v>
                </c:pt>
                <c:pt idx="238">
                  <c:v>45356</c:v>
                </c:pt>
                <c:pt idx="239">
                  <c:v>45355</c:v>
                </c:pt>
                <c:pt idx="240">
                  <c:v>45352</c:v>
                </c:pt>
                <c:pt idx="241">
                  <c:v>45351</c:v>
                </c:pt>
                <c:pt idx="242">
                  <c:v>45350</c:v>
                </c:pt>
                <c:pt idx="243">
                  <c:v>45349</c:v>
                </c:pt>
                <c:pt idx="244">
                  <c:v>45348</c:v>
                </c:pt>
                <c:pt idx="245">
                  <c:v>45345</c:v>
                </c:pt>
                <c:pt idx="246">
                  <c:v>45344</c:v>
                </c:pt>
                <c:pt idx="247">
                  <c:v>45343</c:v>
                </c:pt>
                <c:pt idx="248">
                  <c:v>45342</c:v>
                </c:pt>
              </c:numCache>
            </c:numRef>
          </c:cat>
          <c:val>
            <c:numRef>
              <c:f>Charts!$E$181:$E$447</c:f>
              <c:numCache>
                <c:formatCode>#,##0_);\(#,##0\)</c:formatCode>
                <c:ptCount val="267"/>
                <c:pt idx="0">
                  <c:v>2769871</c:v>
                </c:pt>
                <c:pt idx="1">
                  <c:v>3250400</c:v>
                </c:pt>
                <c:pt idx="2">
                  <c:v>2628800</c:v>
                </c:pt>
                <c:pt idx="3">
                  <c:v>4110400</c:v>
                </c:pt>
                <c:pt idx="4">
                  <c:v>4195200</c:v>
                </c:pt>
                <c:pt idx="5">
                  <c:v>4914400</c:v>
                </c:pt>
                <c:pt idx="6">
                  <c:v>5378300</c:v>
                </c:pt>
                <c:pt idx="7">
                  <c:v>16992700</c:v>
                </c:pt>
                <c:pt idx="8">
                  <c:v>8256400</c:v>
                </c:pt>
                <c:pt idx="9">
                  <c:v>3485800</c:v>
                </c:pt>
                <c:pt idx="10">
                  <c:v>2399300</c:v>
                </c:pt>
                <c:pt idx="11">
                  <c:v>2753600</c:v>
                </c:pt>
                <c:pt idx="12">
                  <c:v>3367300</c:v>
                </c:pt>
                <c:pt idx="13">
                  <c:v>2548300</c:v>
                </c:pt>
                <c:pt idx="14">
                  <c:v>2296200</c:v>
                </c:pt>
                <c:pt idx="15">
                  <c:v>2853800</c:v>
                </c:pt>
                <c:pt idx="16">
                  <c:v>2335500</c:v>
                </c:pt>
                <c:pt idx="17">
                  <c:v>3162200</c:v>
                </c:pt>
                <c:pt idx="18">
                  <c:v>2335100</c:v>
                </c:pt>
                <c:pt idx="19">
                  <c:v>3051700</c:v>
                </c:pt>
                <c:pt idx="20">
                  <c:v>2841600</c:v>
                </c:pt>
                <c:pt idx="21">
                  <c:v>2532800</c:v>
                </c:pt>
                <c:pt idx="22">
                  <c:v>2152500</c:v>
                </c:pt>
                <c:pt idx="23">
                  <c:v>4106100</c:v>
                </c:pt>
                <c:pt idx="24">
                  <c:v>3422200</c:v>
                </c:pt>
                <c:pt idx="25">
                  <c:v>3358100</c:v>
                </c:pt>
                <c:pt idx="26">
                  <c:v>3244100</c:v>
                </c:pt>
                <c:pt idx="27">
                  <c:v>2112900</c:v>
                </c:pt>
                <c:pt idx="28">
                  <c:v>2882400</c:v>
                </c:pt>
                <c:pt idx="29">
                  <c:v>5214000</c:v>
                </c:pt>
                <c:pt idx="30">
                  <c:v>4920700</c:v>
                </c:pt>
                <c:pt idx="31">
                  <c:v>3188000</c:v>
                </c:pt>
                <c:pt idx="32">
                  <c:v>2943300</c:v>
                </c:pt>
                <c:pt idx="33">
                  <c:v>3191900</c:v>
                </c:pt>
                <c:pt idx="34">
                  <c:v>2405600</c:v>
                </c:pt>
                <c:pt idx="35">
                  <c:v>2436300</c:v>
                </c:pt>
                <c:pt idx="36">
                  <c:v>3993600</c:v>
                </c:pt>
                <c:pt idx="37">
                  <c:v>3647100</c:v>
                </c:pt>
                <c:pt idx="38">
                  <c:v>2588300</c:v>
                </c:pt>
                <c:pt idx="39">
                  <c:v>2553000</c:v>
                </c:pt>
                <c:pt idx="40">
                  <c:v>2456300</c:v>
                </c:pt>
                <c:pt idx="41">
                  <c:v>2715900</c:v>
                </c:pt>
                <c:pt idx="42">
                  <c:v>2628800</c:v>
                </c:pt>
                <c:pt idx="43">
                  <c:v>2510600</c:v>
                </c:pt>
                <c:pt idx="44">
                  <c:v>4149500</c:v>
                </c:pt>
                <c:pt idx="45">
                  <c:v>2767800</c:v>
                </c:pt>
                <c:pt idx="46">
                  <c:v>2835900</c:v>
                </c:pt>
                <c:pt idx="47">
                  <c:v>3995700</c:v>
                </c:pt>
                <c:pt idx="48">
                  <c:v>4539400</c:v>
                </c:pt>
                <c:pt idx="49">
                  <c:v>9316900</c:v>
                </c:pt>
                <c:pt idx="50">
                  <c:v>4260900</c:v>
                </c:pt>
                <c:pt idx="51">
                  <c:v>4175800</c:v>
                </c:pt>
                <c:pt idx="52">
                  <c:v>4472600</c:v>
                </c:pt>
                <c:pt idx="53">
                  <c:v>3257700</c:v>
                </c:pt>
                <c:pt idx="54">
                  <c:v>3127800</c:v>
                </c:pt>
                <c:pt idx="55">
                  <c:v>3905800</c:v>
                </c:pt>
                <c:pt idx="56">
                  <c:v>3638900</c:v>
                </c:pt>
                <c:pt idx="57">
                  <c:v>3604600</c:v>
                </c:pt>
                <c:pt idx="58">
                  <c:v>2913500</c:v>
                </c:pt>
                <c:pt idx="59">
                  <c:v>4210500</c:v>
                </c:pt>
                <c:pt idx="60">
                  <c:v>3469200</c:v>
                </c:pt>
                <c:pt idx="61">
                  <c:v>3997700</c:v>
                </c:pt>
                <c:pt idx="62">
                  <c:v>4105600</c:v>
                </c:pt>
                <c:pt idx="63">
                  <c:v>3619400</c:v>
                </c:pt>
                <c:pt idx="64">
                  <c:v>5126500</c:v>
                </c:pt>
                <c:pt idx="65">
                  <c:v>3565600</c:v>
                </c:pt>
                <c:pt idx="66">
                  <c:v>4089300</c:v>
                </c:pt>
                <c:pt idx="67">
                  <c:v>3396200</c:v>
                </c:pt>
                <c:pt idx="68">
                  <c:v>4032700</c:v>
                </c:pt>
                <c:pt idx="69">
                  <c:v>4397700</c:v>
                </c:pt>
                <c:pt idx="70">
                  <c:v>6797900</c:v>
                </c:pt>
                <c:pt idx="71">
                  <c:v>5691500</c:v>
                </c:pt>
                <c:pt idx="72">
                  <c:v>5798800</c:v>
                </c:pt>
                <c:pt idx="73">
                  <c:v>3743000</c:v>
                </c:pt>
                <c:pt idx="74">
                  <c:v>4494000</c:v>
                </c:pt>
                <c:pt idx="75">
                  <c:v>5406600</c:v>
                </c:pt>
                <c:pt idx="76">
                  <c:v>4449200</c:v>
                </c:pt>
                <c:pt idx="77">
                  <c:v>4476900</c:v>
                </c:pt>
                <c:pt idx="78">
                  <c:v>3694800</c:v>
                </c:pt>
                <c:pt idx="79">
                  <c:v>4525200</c:v>
                </c:pt>
                <c:pt idx="80">
                  <c:v>3715300</c:v>
                </c:pt>
                <c:pt idx="81">
                  <c:v>4150100</c:v>
                </c:pt>
                <c:pt idx="82">
                  <c:v>4629500</c:v>
                </c:pt>
                <c:pt idx="83">
                  <c:v>4255500</c:v>
                </c:pt>
                <c:pt idx="84">
                  <c:v>3860200</c:v>
                </c:pt>
                <c:pt idx="85">
                  <c:v>4939200</c:v>
                </c:pt>
                <c:pt idx="86">
                  <c:v>3453900</c:v>
                </c:pt>
                <c:pt idx="87">
                  <c:v>3017000</c:v>
                </c:pt>
                <c:pt idx="88">
                  <c:v>3634000</c:v>
                </c:pt>
                <c:pt idx="89">
                  <c:v>3713000</c:v>
                </c:pt>
                <c:pt idx="90">
                  <c:v>2716600</c:v>
                </c:pt>
                <c:pt idx="91">
                  <c:v>3006200</c:v>
                </c:pt>
                <c:pt idx="92">
                  <c:v>3828800</c:v>
                </c:pt>
                <c:pt idx="93">
                  <c:v>6359800</c:v>
                </c:pt>
                <c:pt idx="94">
                  <c:v>3656300</c:v>
                </c:pt>
                <c:pt idx="95">
                  <c:v>3371900</c:v>
                </c:pt>
                <c:pt idx="96">
                  <c:v>2964500</c:v>
                </c:pt>
                <c:pt idx="97">
                  <c:v>3647900</c:v>
                </c:pt>
                <c:pt idx="98">
                  <c:v>3168500</c:v>
                </c:pt>
                <c:pt idx="99">
                  <c:v>2684300</c:v>
                </c:pt>
                <c:pt idx="100">
                  <c:v>3276300</c:v>
                </c:pt>
                <c:pt idx="101">
                  <c:v>2917700</c:v>
                </c:pt>
                <c:pt idx="102">
                  <c:v>3507200</c:v>
                </c:pt>
                <c:pt idx="103">
                  <c:v>3192200</c:v>
                </c:pt>
                <c:pt idx="104">
                  <c:v>3564200</c:v>
                </c:pt>
                <c:pt idx="105">
                  <c:v>3547600</c:v>
                </c:pt>
                <c:pt idx="106">
                  <c:v>3970900</c:v>
                </c:pt>
                <c:pt idx="107">
                  <c:v>4795200</c:v>
                </c:pt>
                <c:pt idx="108">
                  <c:v>4543300</c:v>
                </c:pt>
                <c:pt idx="109">
                  <c:v>3555400</c:v>
                </c:pt>
                <c:pt idx="110">
                  <c:v>3324400</c:v>
                </c:pt>
                <c:pt idx="111">
                  <c:v>4700200</c:v>
                </c:pt>
                <c:pt idx="112">
                  <c:v>8525100</c:v>
                </c:pt>
                <c:pt idx="113">
                  <c:v>3888100</c:v>
                </c:pt>
                <c:pt idx="114">
                  <c:v>3119900</c:v>
                </c:pt>
                <c:pt idx="115">
                  <c:v>3737200</c:v>
                </c:pt>
                <c:pt idx="116">
                  <c:v>3745200</c:v>
                </c:pt>
                <c:pt idx="117">
                  <c:v>3638700</c:v>
                </c:pt>
                <c:pt idx="118">
                  <c:v>4989600</c:v>
                </c:pt>
                <c:pt idx="119">
                  <c:v>3394900</c:v>
                </c:pt>
                <c:pt idx="120">
                  <c:v>4585200</c:v>
                </c:pt>
                <c:pt idx="121">
                  <c:v>4613400</c:v>
                </c:pt>
                <c:pt idx="122">
                  <c:v>5143100</c:v>
                </c:pt>
                <c:pt idx="123">
                  <c:v>7792700</c:v>
                </c:pt>
                <c:pt idx="124">
                  <c:v>5238500</c:v>
                </c:pt>
                <c:pt idx="125">
                  <c:v>4330900</c:v>
                </c:pt>
                <c:pt idx="126">
                  <c:v>3361100</c:v>
                </c:pt>
                <c:pt idx="127">
                  <c:v>6030400</c:v>
                </c:pt>
                <c:pt idx="128">
                  <c:v>6639300</c:v>
                </c:pt>
                <c:pt idx="129">
                  <c:v>9972300</c:v>
                </c:pt>
                <c:pt idx="130">
                  <c:v>5149500</c:v>
                </c:pt>
                <c:pt idx="131">
                  <c:v>3767700</c:v>
                </c:pt>
                <c:pt idx="132">
                  <c:v>2842000</c:v>
                </c:pt>
                <c:pt idx="133">
                  <c:v>2758700</c:v>
                </c:pt>
                <c:pt idx="134">
                  <c:v>2244100</c:v>
                </c:pt>
                <c:pt idx="135">
                  <c:v>2947700</c:v>
                </c:pt>
                <c:pt idx="136">
                  <c:v>2035500</c:v>
                </c:pt>
                <c:pt idx="137">
                  <c:v>2783900</c:v>
                </c:pt>
                <c:pt idx="138">
                  <c:v>2837900</c:v>
                </c:pt>
                <c:pt idx="139">
                  <c:v>2723800</c:v>
                </c:pt>
                <c:pt idx="140">
                  <c:v>3421800</c:v>
                </c:pt>
                <c:pt idx="141">
                  <c:v>2562700</c:v>
                </c:pt>
                <c:pt idx="142">
                  <c:v>2679800</c:v>
                </c:pt>
                <c:pt idx="143">
                  <c:v>2996500</c:v>
                </c:pt>
                <c:pt idx="144">
                  <c:v>3181900</c:v>
                </c:pt>
                <c:pt idx="145">
                  <c:v>3898500</c:v>
                </c:pt>
                <c:pt idx="146">
                  <c:v>4400500</c:v>
                </c:pt>
                <c:pt idx="147">
                  <c:v>3816600</c:v>
                </c:pt>
                <c:pt idx="148">
                  <c:v>4762700</c:v>
                </c:pt>
                <c:pt idx="149">
                  <c:v>2496200</c:v>
                </c:pt>
                <c:pt idx="150">
                  <c:v>4764100</c:v>
                </c:pt>
                <c:pt idx="151">
                  <c:v>3612300</c:v>
                </c:pt>
                <c:pt idx="152">
                  <c:v>5322600</c:v>
                </c:pt>
                <c:pt idx="153">
                  <c:v>3899800</c:v>
                </c:pt>
                <c:pt idx="154">
                  <c:v>4683100</c:v>
                </c:pt>
                <c:pt idx="155">
                  <c:v>3727200</c:v>
                </c:pt>
                <c:pt idx="156">
                  <c:v>4090900</c:v>
                </c:pt>
                <c:pt idx="157">
                  <c:v>3291800</c:v>
                </c:pt>
                <c:pt idx="158">
                  <c:v>4036900</c:v>
                </c:pt>
                <c:pt idx="159">
                  <c:v>3005200</c:v>
                </c:pt>
                <c:pt idx="160">
                  <c:v>4971200</c:v>
                </c:pt>
                <c:pt idx="161">
                  <c:v>4144100</c:v>
                </c:pt>
                <c:pt idx="162">
                  <c:v>4937000</c:v>
                </c:pt>
                <c:pt idx="163">
                  <c:v>3911900</c:v>
                </c:pt>
                <c:pt idx="164">
                  <c:v>7243400</c:v>
                </c:pt>
                <c:pt idx="165">
                  <c:v>2335300</c:v>
                </c:pt>
                <c:pt idx="166">
                  <c:v>3227000</c:v>
                </c:pt>
                <c:pt idx="167">
                  <c:v>3326100</c:v>
                </c:pt>
                <c:pt idx="168">
                  <c:v>2635000</c:v>
                </c:pt>
                <c:pt idx="169">
                  <c:v>1044600</c:v>
                </c:pt>
                <c:pt idx="170">
                  <c:v>3613700</c:v>
                </c:pt>
                <c:pt idx="171">
                  <c:v>3274200</c:v>
                </c:pt>
                <c:pt idx="172">
                  <c:v>5153100</c:v>
                </c:pt>
                <c:pt idx="173">
                  <c:v>11916900</c:v>
                </c:pt>
                <c:pt idx="174">
                  <c:v>4471500</c:v>
                </c:pt>
                <c:pt idx="175">
                  <c:v>4443500</c:v>
                </c:pt>
                <c:pt idx="176">
                  <c:v>4764700</c:v>
                </c:pt>
                <c:pt idx="177">
                  <c:v>4654000</c:v>
                </c:pt>
                <c:pt idx="178">
                  <c:v>5292600</c:v>
                </c:pt>
                <c:pt idx="179">
                  <c:v>6647400</c:v>
                </c:pt>
                <c:pt idx="180">
                  <c:v>11093300</c:v>
                </c:pt>
                <c:pt idx="181">
                  <c:v>6737300</c:v>
                </c:pt>
                <c:pt idx="182">
                  <c:v>7306800</c:v>
                </c:pt>
                <c:pt idx="183">
                  <c:v>4709100</c:v>
                </c:pt>
                <c:pt idx="184">
                  <c:v>4870100</c:v>
                </c:pt>
                <c:pt idx="185">
                  <c:v>5133100</c:v>
                </c:pt>
                <c:pt idx="186">
                  <c:v>6103700</c:v>
                </c:pt>
                <c:pt idx="187">
                  <c:v>7292400</c:v>
                </c:pt>
                <c:pt idx="188">
                  <c:v>2081300</c:v>
                </c:pt>
                <c:pt idx="189">
                  <c:v>5228300</c:v>
                </c:pt>
                <c:pt idx="190">
                  <c:v>7190200</c:v>
                </c:pt>
                <c:pt idx="191">
                  <c:v>6978500</c:v>
                </c:pt>
                <c:pt idx="192">
                  <c:v>6005800</c:v>
                </c:pt>
                <c:pt idx="193">
                  <c:v>9393700</c:v>
                </c:pt>
                <c:pt idx="194">
                  <c:v>18087800</c:v>
                </c:pt>
                <c:pt idx="195">
                  <c:v>5642100</c:v>
                </c:pt>
                <c:pt idx="196">
                  <c:v>5005400</c:v>
                </c:pt>
                <c:pt idx="197">
                  <c:v>4036000</c:v>
                </c:pt>
                <c:pt idx="198">
                  <c:v>3893900</c:v>
                </c:pt>
                <c:pt idx="199">
                  <c:v>4551700</c:v>
                </c:pt>
                <c:pt idx="200">
                  <c:v>5925100</c:v>
                </c:pt>
                <c:pt idx="201">
                  <c:v>10765200</c:v>
                </c:pt>
                <c:pt idx="202">
                  <c:v>2672900</c:v>
                </c:pt>
                <c:pt idx="203">
                  <c:v>4088100</c:v>
                </c:pt>
                <c:pt idx="204">
                  <c:v>5006500</c:v>
                </c:pt>
                <c:pt idx="205">
                  <c:v>2908200</c:v>
                </c:pt>
                <c:pt idx="206">
                  <c:v>2978900</c:v>
                </c:pt>
                <c:pt idx="207">
                  <c:v>3948900</c:v>
                </c:pt>
                <c:pt idx="208">
                  <c:v>3697800</c:v>
                </c:pt>
                <c:pt idx="209">
                  <c:v>4947700</c:v>
                </c:pt>
                <c:pt idx="210">
                  <c:v>4425700</c:v>
                </c:pt>
                <c:pt idx="211">
                  <c:v>4380800</c:v>
                </c:pt>
                <c:pt idx="212">
                  <c:v>2963100</c:v>
                </c:pt>
                <c:pt idx="213">
                  <c:v>3266800</c:v>
                </c:pt>
                <c:pt idx="214">
                  <c:v>3431800</c:v>
                </c:pt>
                <c:pt idx="215">
                  <c:v>3603800</c:v>
                </c:pt>
                <c:pt idx="216">
                  <c:v>4073200</c:v>
                </c:pt>
                <c:pt idx="217">
                  <c:v>3879100</c:v>
                </c:pt>
                <c:pt idx="218">
                  <c:v>3631600</c:v>
                </c:pt>
                <c:pt idx="219">
                  <c:v>3474800</c:v>
                </c:pt>
                <c:pt idx="220">
                  <c:v>2987800</c:v>
                </c:pt>
                <c:pt idx="221">
                  <c:v>3377900</c:v>
                </c:pt>
                <c:pt idx="222">
                  <c:v>4593700</c:v>
                </c:pt>
                <c:pt idx="223">
                  <c:v>3105700</c:v>
                </c:pt>
                <c:pt idx="224">
                  <c:v>2587400</c:v>
                </c:pt>
                <c:pt idx="225">
                  <c:v>2765600</c:v>
                </c:pt>
                <c:pt idx="226">
                  <c:v>2437400</c:v>
                </c:pt>
                <c:pt idx="227">
                  <c:v>2026600</c:v>
                </c:pt>
                <c:pt idx="228">
                  <c:v>2677200</c:v>
                </c:pt>
                <c:pt idx="229">
                  <c:v>4198600</c:v>
                </c:pt>
                <c:pt idx="230">
                  <c:v>2212000</c:v>
                </c:pt>
                <c:pt idx="231">
                  <c:v>2815700</c:v>
                </c:pt>
                <c:pt idx="232">
                  <c:v>2828600</c:v>
                </c:pt>
                <c:pt idx="233">
                  <c:v>3888600</c:v>
                </c:pt>
                <c:pt idx="234">
                  <c:v>3245500</c:v>
                </c:pt>
                <c:pt idx="235">
                  <c:v>3526300</c:v>
                </c:pt>
                <c:pt idx="236">
                  <c:v>3929500</c:v>
                </c:pt>
                <c:pt idx="237">
                  <c:v>5484700</c:v>
                </c:pt>
                <c:pt idx="238">
                  <c:v>3717800</c:v>
                </c:pt>
                <c:pt idx="239">
                  <c:v>3814700</c:v>
                </c:pt>
                <c:pt idx="240">
                  <c:v>3998100</c:v>
                </c:pt>
                <c:pt idx="241">
                  <c:v>3583300</c:v>
                </c:pt>
                <c:pt idx="242">
                  <c:v>4870800</c:v>
                </c:pt>
                <c:pt idx="243">
                  <c:v>4129200</c:v>
                </c:pt>
                <c:pt idx="244">
                  <c:v>4382600</c:v>
                </c:pt>
                <c:pt idx="245">
                  <c:v>4892800</c:v>
                </c:pt>
                <c:pt idx="246">
                  <c:v>6303800</c:v>
                </c:pt>
                <c:pt idx="247">
                  <c:v>5734400</c:v>
                </c:pt>
                <c:pt idx="248">
                  <c:v>4262700</c:v>
                </c:pt>
              </c:numCache>
            </c:numRef>
          </c:val>
          <c:extLst>
            <c:ext xmlns:c16="http://schemas.microsoft.com/office/drawing/2014/chart" uri="{C3380CC4-5D6E-409C-BE32-E72D297353CC}">
              <c16:uniqueId val="{00000000-97F1-4609-B8FF-E188E15C2BB1}"/>
            </c:ext>
          </c:extLst>
        </c:ser>
        <c:dLbls>
          <c:showLegendKey val="0"/>
          <c:showVal val="0"/>
          <c:showCatName val="0"/>
          <c:showSerName val="0"/>
          <c:showPercent val="0"/>
          <c:showBubbleSize val="0"/>
        </c:dLbls>
        <c:axId val="19406624"/>
        <c:axId val="19404960"/>
      </c:areaChart>
      <c:lineChart>
        <c:grouping val="standard"/>
        <c:varyColors val="0"/>
        <c:ser>
          <c:idx val="0"/>
          <c:order val="0"/>
          <c:spPr>
            <a:ln w="25400" cap="rnd">
              <a:solidFill>
                <a:srgbClr val="00355F"/>
              </a:solidFill>
              <a:round/>
            </a:ln>
            <a:effectLst/>
          </c:spPr>
          <c:marker>
            <c:symbol val="none"/>
          </c:marker>
          <c:cat>
            <c:numRef>
              <c:f>Charts!$C$181:$C$447</c:f>
              <c:numCache>
                <c:formatCode>m/d/yyyy</c:formatCode>
                <c:ptCount val="267"/>
                <c:pt idx="0">
                  <c:v>45702</c:v>
                </c:pt>
                <c:pt idx="1">
                  <c:v>45701</c:v>
                </c:pt>
                <c:pt idx="2">
                  <c:v>45700</c:v>
                </c:pt>
                <c:pt idx="3">
                  <c:v>45699</c:v>
                </c:pt>
                <c:pt idx="4">
                  <c:v>45698</c:v>
                </c:pt>
                <c:pt idx="5">
                  <c:v>45695</c:v>
                </c:pt>
                <c:pt idx="6">
                  <c:v>45694</c:v>
                </c:pt>
                <c:pt idx="7">
                  <c:v>45693</c:v>
                </c:pt>
                <c:pt idx="8">
                  <c:v>45692</c:v>
                </c:pt>
                <c:pt idx="9">
                  <c:v>45691</c:v>
                </c:pt>
                <c:pt idx="10">
                  <c:v>45688</c:v>
                </c:pt>
                <c:pt idx="11">
                  <c:v>45687</c:v>
                </c:pt>
                <c:pt idx="12">
                  <c:v>45686</c:v>
                </c:pt>
                <c:pt idx="13">
                  <c:v>45685</c:v>
                </c:pt>
                <c:pt idx="14">
                  <c:v>45684</c:v>
                </c:pt>
                <c:pt idx="15">
                  <c:v>45681</c:v>
                </c:pt>
                <c:pt idx="16">
                  <c:v>45680</c:v>
                </c:pt>
                <c:pt idx="17">
                  <c:v>45679</c:v>
                </c:pt>
                <c:pt idx="18">
                  <c:v>45678</c:v>
                </c:pt>
                <c:pt idx="19">
                  <c:v>45674</c:v>
                </c:pt>
                <c:pt idx="20">
                  <c:v>45673</c:v>
                </c:pt>
                <c:pt idx="21">
                  <c:v>45672</c:v>
                </c:pt>
                <c:pt idx="22">
                  <c:v>45671</c:v>
                </c:pt>
                <c:pt idx="23">
                  <c:v>45670</c:v>
                </c:pt>
                <c:pt idx="24">
                  <c:v>45667</c:v>
                </c:pt>
                <c:pt idx="25">
                  <c:v>45665</c:v>
                </c:pt>
                <c:pt idx="26">
                  <c:v>45664</c:v>
                </c:pt>
                <c:pt idx="27">
                  <c:v>45663</c:v>
                </c:pt>
                <c:pt idx="28">
                  <c:v>45660</c:v>
                </c:pt>
                <c:pt idx="29">
                  <c:v>45659</c:v>
                </c:pt>
                <c:pt idx="30">
                  <c:v>45657</c:v>
                </c:pt>
                <c:pt idx="31">
                  <c:v>45656</c:v>
                </c:pt>
                <c:pt idx="32">
                  <c:v>45653</c:v>
                </c:pt>
                <c:pt idx="33">
                  <c:v>45652</c:v>
                </c:pt>
                <c:pt idx="34">
                  <c:v>45650</c:v>
                </c:pt>
                <c:pt idx="35">
                  <c:v>45649</c:v>
                </c:pt>
                <c:pt idx="36">
                  <c:v>45646</c:v>
                </c:pt>
                <c:pt idx="37">
                  <c:v>45645</c:v>
                </c:pt>
                <c:pt idx="38">
                  <c:v>45644</c:v>
                </c:pt>
                <c:pt idx="39">
                  <c:v>45643</c:v>
                </c:pt>
                <c:pt idx="40">
                  <c:v>45642</c:v>
                </c:pt>
                <c:pt idx="41">
                  <c:v>45639</c:v>
                </c:pt>
                <c:pt idx="42">
                  <c:v>45638</c:v>
                </c:pt>
                <c:pt idx="43">
                  <c:v>45637</c:v>
                </c:pt>
                <c:pt idx="44">
                  <c:v>45636</c:v>
                </c:pt>
                <c:pt idx="45">
                  <c:v>45635</c:v>
                </c:pt>
                <c:pt idx="46">
                  <c:v>45632</c:v>
                </c:pt>
                <c:pt idx="47">
                  <c:v>45631</c:v>
                </c:pt>
                <c:pt idx="48">
                  <c:v>45630</c:v>
                </c:pt>
                <c:pt idx="49">
                  <c:v>45629</c:v>
                </c:pt>
                <c:pt idx="50">
                  <c:v>45628</c:v>
                </c:pt>
                <c:pt idx="51">
                  <c:v>45625</c:v>
                </c:pt>
                <c:pt idx="52">
                  <c:v>45623</c:v>
                </c:pt>
                <c:pt idx="53">
                  <c:v>45622</c:v>
                </c:pt>
                <c:pt idx="54">
                  <c:v>45621</c:v>
                </c:pt>
                <c:pt idx="55">
                  <c:v>45618</c:v>
                </c:pt>
                <c:pt idx="56">
                  <c:v>45617</c:v>
                </c:pt>
                <c:pt idx="57">
                  <c:v>45616</c:v>
                </c:pt>
                <c:pt idx="58">
                  <c:v>45615</c:v>
                </c:pt>
                <c:pt idx="59">
                  <c:v>45614</c:v>
                </c:pt>
                <c:pt idx="60">
                  <c:v>45611</c:v>
                </c:pt>
                <c:pt idx="61">
                  <c:v>45610</c:v>
                </c:pt>
                <c:pt idx="62">
                  <c:v>45609</c:v>
                </c:pt>
                <c:pt idx="63">
                  <c:v>45608</c:v>
                </c:pt>
                <c:pt idx="64">
                  <c:v>45607</c:v>
                </c:pt>
                <c:pt idx="65">
                  <c:v>45604</c:v>
                </c:pt>
                <c:pt idx="66">
                  <c:v>45603</c:v>
                </c:pt>
                <c:pt idx="67">
                  <c:v>45602</c:v>
                </c:pt>
                <c:pt idx="68">
                  <c:v>45601</c:v>
                </c:pt>
                <c:pt idx="69">
                  <c:v>45600</c:v>
                </c:pt>
                <c:pt idx="70">
                  <c:v>45597</c:v>
                </c:pt>
                <c:pt idx="71">
                  <c:v>45596</c:v>
                </c:pt>
                <c:pt idx="72">
                  <c:v>45595</c:v>
                </c:pt>
                <c:pt idx="73">
                  <c:v>45594</c:v>
                </c:pt>
                <c:pt idx="74">
                  <c:v>45593</c:v>
                </c:pt>
                <c:pt idx="75">
                  <c:v>45590</c:v>
                </c:pt>
                <c:pt idx="76">
                  <c:v>45589</c:v>
                </c:pt>
                <c:pt idx="77">
                  <c:v>45588</c:v>
                </c:pt>
                <c:pt idx="78">
                  <c:v>45587</c:v>
                </c:pt>
                <c:pt idx="79">
                  <c:v>45586</c:v>
                </c:pt>
                <c:pt idx="80">
                  <c:v>45583</c:v>
                </c:pt>
                <c:pt idx="81">
                  <c:v>45582</c:v>
                </c:pt>
                <c:pt idx="82">
                  <c:v>45581</c:v>
                </c:pt>
                <c:pt idx="83">
                  <c:v>45580</c:v>
                </c:pt>
                <c:pt idx="84">
                  <c:v>45579</c:v>
                </c:pt>
                <c:pt idx="85">
                  <c:v>45576</c:v>
                </c:pt>
                <c:pt idx="86">
                  <c:v>45575</c:v>
                </c:pt>
                <c:pt idx="87">
                  <c:v>45574</c:v>
                </c:pt>
                <c:pt idx="88">
                  <c:v>45573</c:v>
                </c:pt>
                <c:pt idx="89">
                  <c:v>45572</c:v>
                </c:pt>
                <c:pt idx="90">
                  <c:v>45569</c:v>
                </c:pt>
                <c:pt idx="91">
                  <c:v>45568</c:v>
                </c:pt>
                <c:pt idx="92">
                  <c:v>45567</c:v>
                </c:pt>
                <c:pt idx="93">
                  <c:v>45566</c:v>
                </c:pt>
                <c:pt idx="94">
                  <c:v>45565</c:v>
                </c:pt>
                <c:pt idx="95">
                  <c:v>45562</c:v>
                </c:pt>
                <c:pt idx="96">
                  <c:v>45561</c:v>
                </c:pt>
                <c:pt idx="97">
                  <c:v>45560</c:v>
                </c:pt>
                <c:pt idx="98">
                  <c:v>45559</c:v>
                </c:pt>
                <c:pt idx="99">
                  <c:v>45558</c:v>
                </c:pt>
                <c:pt idx="100">
                  <c:v>45555</c:v>
                </c:pt>
                <c:pt idx="101">
                  <c:v>45554</c:v>
                </c:pt>
                <c:pt idx="102">
                  <c:v>45553</c:v>
                </c:pt>
                <c:pt idx="103">
                  <c:v>45552</c:v>
                </c:pt>
                <c:pt idx="104">
                  <c:v>45551</c:v>
                </c:pt>
                <c:pt idx="105">
                  <c:v>45548</c:v>
                </c:pt>
                <c:pt idx="106">
                  <c:v>45547</c:v>
                </c:pt>
                <c:pt idx="107">
                  <c:v>45546</c:v>
                </c:pt>
                <c:pt idx="108">
                  <c:v>45545</c:v>
                </c:pt>
                <c:pt idx="109">
                  <c:v>45544</c:v>
                </c:pt>
                <c:pt idx="110">
                  <c:v>45541</c:v>
                </c:pt>
                <c:pt idx="111">
                  <c:v>45540</c:v>
                </c:pt>
                <c:pt idx="112">
                  <c:v>45539</c:v>
                </c:pt>
                <c:pt idx="113">
                  <c:v>45538</c:v>
                </c:pt>
                <c:pt idx="114">
                  <c:v>45534</c:v>
                </c:pt>
                <c:pt idx="115">
                  <c:v>45533</c:v>
                </c:pt>
                <c:pt idx="116">
                  <c:v>45532</c:v>
                </c:pt>
                <c:pt idx="117">
                  <c:v>45531</c:v>
                </c:pt>
                <c:pt idx="118">
                  <c:v>45530</c:v>
                </c:pt>
                <c:pt idx="119">
                  <c:v>45527</c:v>
                </c:pt>
                <c:pt idx="120">
                  <c:v>45526</c:v>
                </c:pt>
                <c:pt idx="121">
                  <c:v>45525</c:v>
                </c:pt>
                <c:pt idx="122">
                  <c:v>45524</c:v>
                </c:pt>
                <c:pt idx="123">
                  <c:v>45523</c:v>
                </c:pt>
                <c:pt idx="124">
                  <c:v>45520</c:v>
                </c:pt>
                <c:pt idx="125">
                  <c:v>45519</c:v>
                </c:pt>
                <c:pt idx="126">
                  <c:v>45518</c:v>
                </c:pt>
                <c:pt idx="127">
                  <c:v>45517</c:v>
                </c:pt>
                <c:pt idx="128">
                  <c:v>45516</c:v>
                </c:pt>
                <c:pt idx="129">
                  <c:v>45513</c:v>
                </c:pt>
                <c:pt idx="130">
                  <c:v>45512</c:v>
                </c:pt>
                <c:pt idx="131">
                  <c:v>45511</c:v>
                </c:pt>
                <c:pt idx="132">
                  <c:v>45510</c:v>
                </c:pt>
                <c:pt idx="133">
                  <c:v>45509</c:v>
                </c:pt>
                <c:pt idx="134">
                  <c:v>45506</c:v>
                </c:pt>
                <c:pt idx="135">
                  <c:v>45505</c:v>
                </c:pt>
                <c:pt idx="136">
                  <c:v>45504</c:v>
                </c:pt>
                <c:pt idx="137">
                  <c:v>45503</c:v>
                </c:pt>
                <c:pt idx="138">
                  <c:v>45502</c:v>
                </c:pt>
                <c:pt idx="139">
                  <c:v>45499</c:v>
                </c:pt>
                <c:pt idx="140">
                  <c:v>45498</c:v>
                </c:pt>
                <c:pt idx="141">
                  <c:v>45497</c:v>
                </c:pt>
                <c:pt idx="142">
                  <c:v>45496</c:v>
                </c:pt>
                <c:pt idx="143">
                  <c:v>45495</c:v>
                </c:pt>
                <c:pt idx="144">
                  <c:v>45492</c:v>
                </c:pt>
                <c:pt idx="145">
                  <c:v>45491</c:v>
                </c:pt>
                <c:pt idx="146">
                  <c:v>45490</c:v>
                </c:pt>
                <c:pt idx="147">
                  <c:v>45489</c:v>
                </c:pt>
                <c:pt idx="148">
                  <c:v>45488</c:v>
                </c:pt>
                <c:pt idx="149">
                  <c:v>45485</c:v>
                </c:pt>
                <c:pt idx="150">
                  <c:v>45484</c:v>
                </c:pt>
                <c:pt idx="151">
                  <c:v>45483</c:v>
                </c:pt>
                <c:pt idx="152">
                  <c:v>45482</c:v>
                </c:pt>
                <c:pt idx="153">
                  <c:v>45481</c:v>
                </c:pt>
                <c:pt idx="154">
                  <c:v>45478</c:v>
                </c:pt>
                <c:pt idx="155">
                  <c:v>45476</c:v>
                </c:pt>
                <c:pt idx="156">
                  <c:v>45475</c:v>
                </c:pt>
                <c:pt idx="157">
                  <c:v>45474</c:v>
                </c:pt>
                <c:pt idx="158">
                  <c:v>45471</c:v>
                </c:pt>
                <c:pt idx="159">
                  <c:v>45470</c:v>
                </c:pt>
                <c:pt idx="160">
                  <c:v>45469</c:v>
                </c:pt>
                <c:pt idx="161">
                  <c:v>45468</c:v>
                </c:pt>
                <c:pt idx="162">
                  <c:v>45467</c:v>
                </c:pt>
                <c:pt idx="163">
                  <c:v>45464</c:v>
                </c:pt>
                <c:pt idx="164">
                  <c:v>45463</c:v>
                </c:pt>
                <c:pt idx="165">
                  <c:v>45461</c:v>
                </c:pt>
                <c:pt idx="166">
                  <c:v>45460</c:v>
                </c:pt>
                <c:pt idx="167">
                  <c:v>45457</c:v>
                </c:pt>
                <c:pt idx="168">
                  <c:v>45456</c:v>
                </c:pt>
                <c:pt idx="169">
                  <c:v>45455</c:v>
                </c:pt>
                <c:pt idx="170">
                  <c:v>45454</c:v>
                </c:pt>
                <c:pt idx="171">
                  <c:v>45453</c:v>
                </c:pt>
                <c:pt idx="172">
                  <c:v>45450</c:v>
                </c:pt>
                <c:pt idx="173">
                  <c:v>45449</c:v>
                </c:pt>
                <c:pt idx="174">
                  <c:v>45448</c:v>
                </c:pt>
                <c:pt idx="175">
                  <c:v>45447</c:v>
                </c:pt>
                <c:pt idx="176">
                  <c:v>45446</c:v>
                </c:pt>
                <c:pt idx="177">
                  <c:v>45443</c:v>
                </c:pt>
                <c:pt idx="178">
                  <c:v>45442</c:v>
                </c:pt>
                <c:pt idx="179">
                  <c:v>45441</c:v>
                </c:pt>
                <c:pt idx="180">
                  <c:v>45440</c:v>
                </c:pt>
                <c:pt idx="181">
                  <c:v>45436</c:v>
                </c:pt>
                <c:pt idx="182">
                  <c:v>45435</c:v>
                </c:pt>
                <c:pt idx="183">
                  <c:v>45434</c:v>
                </c:pt>
                <c:pt idx="184">
                  <c:v>45433</c:v>
                </c:pt>
                <c:pt idx="185">
                  <c:v>45432</c:v>
                </c:pt>
                <c:pt idx="186">
                  <c:v>45429</c:v>
                </c:pt>
                <c:pt idx="187">
                  <c:v>45428</c:v>
                </c:pt>
                <c:pt idx="188">
                  <c:v>45427</c:v>
                </c:pt>
                <c:pt idx="189">
                  <c:v>45426</c:v>
                </c:pt>
                <c:pt idx="190">
                  <c:v>45425</c:v>
                </c:pt>
                <c:pt idx="191">
                  <c:v>45422</c:v>
                </c:pt>
                <c:pt idx="192">
                  <c:v>45421</c:v>
                </c:pt>
                <c:pt idx="193">
                  <c:v>45420</c:v>
                </c:pt>
                <c:pt idx="194">
                  <c:v>45419</c:v>
                </c:pt>
                <c:pt idx="195">
                  <c:v>45418</c:v>
                </c:pt>
                <c:pt idx="196">
                  <c:v>45415</c:v>
                </c:pt>
                <c:pt idx="197">
                  <c:v>45414</c:v>
                </c:pt>
                <c:pt idx="198">
                  <c:v>45413</c:v>
                </c:pt>
                <c:pt idx="199">
                  <c:v>45412</c:v>
                </c:pt>
                <c:pt idx="200">
                  <c:v>45411</c:v>
                </c:pt>
                <c:pt idx="201">
                  <c:v>45408</c:v>
                </c:pt>
                <c:pt idx="202">
                  <c:v>45407</c:v>
                </c:pt>
                <c:pt idx="203">
                  <c:v>45406</c:v>
                </c:pt>
                <c:pt idx="204">
                  <c:v>45405</c:v>
                </c:pt>
                <c:pt idx="205">
                  <c:v>45404</c:v>
                </c:pt>
                <c:pt idx="206">
                  <c:v>45401</c:v>
                </c:pt>
                <c:pt idx="207">
                  <c:v>45400</c:v>
                </c:pt>
                <c:pt idx="208">
                  <c:v>45399</c:v>
                </c:pt>
                <c:pt idx="209">
                  <c:v>45398</c:v>
                </c:pt>
                <c:pt idx="210">
                  <c:v>45397</c:v>
                </c:pt>
                <c:pt idx="211">
                  <c:v>45394</c:v>
                </c:pt>
                <c:pt idx="212">
                  <c:v>45393</c:v>
                </c:pt>
                <c:pt idx="213">
                  <c:v>45392</c:v>
                </c:pt>
                <c:pt idx="214">
                  <c:v>45391</c:v>
                </c:pt>
                <c:pt idx="215">
                  <c:v>45390</c:v>
                </c:pt>
                <c:pt idx="216">
                  <c:v>45387</c:v>
                </c:pt>
                <c:pt idx="217">
                  <c:v>45386</c:v>
                </c:pt>
                <c:pt idx="218">
                  <c:v>45385</c:v>
                </c:pt>
                <c:pt idx="219">
                  <c:v>45384</c:v>
                </c:pt>
                <c:pt idx="220">
                  <c:v>45383</c:v>
                </c:pt>
                <c:pt idx="221">
                  <c:v>45379</c:v>
                </c:pt>
                <c:pt idx="222">
                  <c:v>45378</c:v>
                </c:pt>
                <c:pt idx="223">
                  <c:v>45377</c:v>
                </c:pt>
                <c:pt idx="224">
                  <c:v>45376</c:v>
                </c:pt>
                <c:pt idx="225">
                  <c:v>45373</c:v>
                </c:pt>
                <c:pt idx="226">
                  <c:v>45372</c:v>
                </c:pt>
                <c:pt idx="227">
                  <c:v>45371</c:v>
                </c:pt>
                <c:pt idx="228">
                  <c:v>45370</c:v>
                </c:pt>
                <c:pt idx="229">
                  <c:v>45369</c:v>
                </c:pt>
                <c:pt idx="230">
                  <c:v>45366</c:v>
                </c:pt>
                <c:pt idx="231">
                  <c:v>45365</c:v>
                </c:pt>
                <c:pt idx="232">
                  <c:v>45364</c:v>
                </c:pt>
                <c:pt idx="233">
                  <c:v>45363</c:v>
                </c:pt>
                <c:pt idx="234">
                  <c:v>45362</c:v>
                </c:pt>
                <c:pt idx="235">
                  <c:v>45359</c:v>
                </c:pt>
                <c:pt idx="236">
                  <c:v>45358</c:v>
                </c:pt>
                <c:pt idx="237">
                  <c:v>45357</c:v>
                </c:pt>
                <c:pt idx="238">
                  <c:v>45356</c:v>
                </c:pt>
                <c:pt idx="239">
                  <c:v>45355</c:v>
                </c:pt>
                <c:pt idx="240">
                  <c:v>45352</c:v>
                </c:pt>
                <c:pt idx="241">
                  <c:v>45351</c:v>
                </c:pt>
                <c:pt idx="242">
                  <c:v>45350</c:v>
                </c:pt>
                <c:pt idx="243">
                  <c:v>45349</c:v>
                </c:pt>
                <c:pt idx="244">
                  <c:v>45348</c:v>
                </c:pt>
                <c:pt idx="245">
                  <c:v>45345</c:v>
                </c:pt>
                <c:pt idx="246">
                  <c:v>45344</c:v>
                </c:pt>
                <c:pt idx="247">
                  <c:v>45343</c:v>
                </c:pt>
                <c:pt idx="248">
                  <c:v>45342</c:v>
                </c:pt>
              </c:numCache>
            </c:numRef>
          </c:cat>
          <c:val>
            <c:numRef>
              <c:f>Charts!$D$181:$D$447</c:f>
              <c:numCache>
                <c:formatCode>_(* #,##0.00_);_(* \(#,##0.00\);_(* "-"??_);_(@_)</c:formatCode>
                <c:ptCount val="267"/>
                <c:pt idx="0" formatCode="&quot;$&quot;#,##0.00_);\(&quot;$&quot;#,##0.00\)">
                  <c:v>269.31</c:v>
                </c:pt>
                <c:pt idx="1">
                  <c:v>267.33999999999997</c:v>
                </c:pt>
                <c:pt idx="2">
                  <c:v>265.52999999999997</c:v>
                </c:pt>
                <c:pt idx="3">
                  <c:v>265.57</c:v>
                </c:pt>
                <c:pt idx="4">
                  <c:v>272.19</c:v>
                </c:pt>
                <c:pt idx="5">
                  <c:v>275.51</c:v>
                </c:pt>
                <c:pt idx="6">
                  <c:v>285.37</c:v>
                </c:pt>
                <c:pt idx="7">
                  <c:v>285.06</c:v>
                </c:pt>
                <c:pt idx="8">
                  <c:v>282.85000000000002</c:v>
                </c:pt>
                <c:pt idx="9">
                  <c:v>283.14999999999998</c:v>
                </c:pt>
                <c:pt idx="10">
                  <c:v>291.27</c:v>
                </c:pt>
                <c:pt idx="11">
                  <c:v>289.52</c:v>
                </c:pt>
                <c:pt idx="12">
                  <c:v>284.70999999999998</c:v>
                </c:pt>
                <c:pt idx="13">
                  <c:v>286.67</c:v>
                </c:pt>
                <c:pt idx="14">
                  <c:v>281.38</c:v>
                </c:pt>
                <c:pt idx="15">
                  <c:v>285.95999999999998</c:v>
                </c:pt>
                <c:pt idx="16">
                  <c:v>284.64</c:v>
                </c:pt>
                <c:pt idx="17">
                  <c:v>286.29000000000002</c:v>
                </c:pt>
                <c:pt idx="18">
                  <c:v>287.58999999999997</c:v>
                </c:pt>
                <c:pt idx="19">
                  <c:v>282.60000000000002</c:v>
                </c:pt>
                <c:pt idx="20">
                  <c:v>279.33999999999997</c:v>
                </c:pt>
                <c:pt idx="21">
                  <c:v>276.29000000000002</c:v>
                </c:pt>
                <c:pt idx="22">
                  <c:v>266.2</c:v>
                </c:pt>
                <c:pt idx="23">
                  <c:v>260.86</c:v>
                </c:pt>
                <c:pt idx="24">
                  <c:v>262.95</c:v>
                </c:pt>
                <c:pt idx="25">
                  <c:v>274.32</c:v>
                </c:pt>
                <c:pt idx="26">
                  <c:v>274.77</c:v>
                </c:pt>
                <c:pt idx="27">
                  <c:v>278.86</c:v>
                </c:pt>
                <c:pt idx="28">
                  <c:v>277.69</c:v>
                </c:pt>
                <c:pt idx="29">
                  <c:v>276.14999999999998</c:v>
                </c:pt>
                <c:pt idx="30">
                  <c:v>277.19</c:v>
                </c:pt>
                <c:pt idx="31">
                  <c:v>277.89999999999998</c:v>
                </c:pt>
                <c:pt idx="32">
                  <c:v>278.04000000000002</c:v>
                </c:pt>
                <c:pt idx="33">
                  <c:v>282.42</c:v>
                </c:pt>
                <c:pt idx="34">
                  <c:v>279.26</c:v>
                </c:pt>
                <c:pt idx="35">
                  <c:v>275.17</c:v>
                </c:pt>
                <c:pt idx="36">
                  <c:v>275.83999999999997</c:v>
                </c:pt>
                <c:pt idx="37">
                  <c:v>270.57</c:v>
                </c:pt>
                <c:pt idx="38">
                  <c:v>272.5</c:v>
                </c:pt>
                <c:pt idx="39">
                  <c:v>290.2</c:v>
                </c:pt>
                <c:pt idx="40">
                  <c:v>298.37</c:v>
                </c:pt>
                <c:pt idx="41">
                  <c:v>295.52</c:v>
                </c:pt>
                <c:pt idx="42">
                  <c:v>299.39999999999998</c:v>
                </c:pt>
                <c:pt idx="43">
                  <c:v>297.44</c:v>
                </c:pt>
                <c:pt idx="44">
                  <c:v>291.11</c:v>
                </c:pt>
                <c:pt idx="45">
                  <c:v>295.17</c:v>
                </c:pt>
                <c:pt idx="46">
                  <c:v>297.76</c:v>
                </c:pt>
                <c:pt idx="47">
                  <c:v>296.68</c:v>
                </c:pt>
                <c:pt idx="48">
                  <c:v>300.95999999999998</c:v>
                </c:pt>
                <c:pt idx="49">
                  <c:v>303</c:v>
                </c:pt>
                <c:pt idx="50">
                  <c:v>305.57</c:v>
                </c:pt>
                <c:pt idx="51">
                  <c:v>307.89999999999998</c:v>
                </c:pt>
                <c:pt idx="52">
                  <c:v>308.10000000000002</c:v>
                </c:pt>
                <c:pt idx="53">
                  <c:v>311</c:v>
                </c:pt>
                <c:pt idx="54">
                  <c:v>313.75</c:v>
                </c:pt>
                <c:pt idx="55">
                  <c:v>311.35000000000002</c:v>
                </c:pt>
                <c:pt idx="56">
                  <c:v>309.52999999999997</c:v>
                </c:pt>
                <c:pt idx="57">
                  <c:v>301.3</c:v>
                </c:pt>
                <c:pt idx="58">
                  <c:v>300.89</c:v>
                </c:pt>
                <c:pt idx="59">
                  <c:v>297.37</c:v>
                </c:pt>
                <c:pt idx="60">
                  <c:v>299.38</c:v>
                </c:pt>
                <c:pt idx="61">
                  <c:v>299.66000000000003</c:v>
                </c:pt>
                <c:pt idx="62">
                  <c:v>301.8</c:v>
                </c:pt>
                <c:pt idx="63">
                  <c:v>307.05</c:v>
                </c:pt>
                <c:pt idx="64">
                  <c:v>315.64999999999998</c:v>
                </c:pt>
                <c:pt idx="65">
                  <c:v>308.82</c:v>
                </c:pt>
                <c:pt idx="66">
                  <c:v>306.43</c:v>
                </c:pt>
                <c:pt idx="67">
                  <c:v>316</c:v>
                </c:pt>
                <c:pt idx="68">
                  <c:v>271.83999999999997</c:v>
                </c:pt>
                <c:pt idx="69">
                  <c:v>263.76</c:v>
                </c:pt>
                <c:pt idx="70">
                  <c:v>268.83999999999997</c:v>
                </c:pt>
                <c:pt idx="71">
                  <c:v>264.17</c:v>
                </c:pt>
                <c:pt idx="72">
                  <c:v>265.07</c:v>
                </c:pt>
                <c:pt idx="73">
                  <c:v>265.20999999999998</c:v>
                </c:pt>
                <c:pt idx="74">
                  <c:v>261.35000000000002</c:v>
                </c:pt>
                <c:pt idx="75">
                  <c:v>260.57</c:v>
                </c:pt>
                <c:pt idx="76">
                  <c:v>262.77</c:v>
                </c:pt>
                <c:pt idx="77">
                  <c:v>257.74</c:v>
                </c:pt>
                <c:pt idx="78">
                  <c:v>275.61</c:v>
                </c:pt>
                <c:pt idx="79">
                  <c:v>278.39</c:v>
                </c:pt>
                <c:pt idx="80">
                  <c:v>286.04000000000002</c:v>
                </c:pt>
                <c:pt idx="81">
                  <c:v>282.27999999999997</c:v>
                </c:pt>
                <c:pt idx="82">
                  <c:v>276.64999999999998</c:v>
                </c:pt>
                <c:pt idx="83">
                  <c:v>272.68</c:v>
                </c:pt>
                <c:pt idx="84">
                  <c:v>271.02</c:v>
                </c:pt>
                <c:pt idx="85">
                  <c:v>265.61</c:v>
                </c:pt>
                <c:pt idx="86">
                  <c:v>252.89</c:v>
                </c:pt>
                <c:pt idx="87">
                  <c:v>255.07</c:v>
                </c:pt>
                <c:pt idx="88">
                  <c:v>248.61</c:v>
                </c:pt>
                <c:pt idx="89">
                  <c:v>247.57</c:v>
                </c:pt>
                <c:pt idx="90">
                  <c:v>251.74</c:v>
                </c:pt>
                <c:pt idx="91">
                  <c:v>247.87</c:v>
                </c:pt>
                <c:pt idx="92">
                  <c:v>248.78</c:v>
                </c:pt>
                <c:pt idx="93">
                  <c:v>251</c:v>
                </c:pt>
                <c:pt idx="94">
                  <c:v>253.34</c:v>
                </c:pt>
                <c:pt idx="95">
                  <c:v>254.13</c:v>
                </c:pt>
                <c:pt idx="96">
                  <c:v>256.83</c:v>
                </c:pt>
                <c:pt idx="97">
                  <c:v>256.26</c:v>
                </c:pt>
                <c:pt idx="98">
                  <c:v>258.35000000000002</c:v>
                </c:pt>
                <c:pt idx="99">
                  <c:v>258.68</c:v>
                </c:pt>
                <c:pt idx="100">
                  <c:v>256.75</c:v>
                </c:pt>
                <c:pt idx="101">
                  <c:v>255.58</c:v>
                </c:pt>
                <c:pt idx="102">
                  <c:v>246.6</c:v>
                </c:pt>
                <c:pt idx="103">
                  <c:v>246.23</c:v>
                </c:pt>
                <c:pt idx="104">
                  <c:v>242.13</c:v>
                </c:pt>
                <c:pt idx="105">
                  <c:v>238.93</c:v>
                </c:pt>
                <c:pt idx="106">
                  <c:v>234.65</c:v>
                </c:pt>
                <c:pt idx="107">
                  <c:v>231.62</c:v>
                </c:pt>
                <c:pt idx="108">
                  <c:v>233.88</c:v>
                </c:pt>
                <c:pt idx="109">
                  <c:v>238.56</c:v>
                </c:pt>
                <c:pt idx="110">
                  <c:v>234.09</c:v>
                </c:pt>
                <c:pt idx="111">
                  <c:v>239.16</c:v>
                </c:pt>
                <c:pt idx="112">
                  <c:v>237.07</c:v>
                </c:pt>
                <c:pt idx="113">
                  <c:v>237.53</c:v>
                </c:pt>
                <c:pt idx="114">
                  <c:v>245.74</c:v>
                </c:pt>
                <c:pt idx="115">
                  <c:v>243.79</c:v>
                </c:pt>
                <c:pt idx="116">
                  <c:v>243.67</c:v>
                </c:pt>
                <c:pt idx="117">
                  <c:v>242.48</c:v>
                </c:pt>
                <c:pt idx="118">
                  <c:v>245.33</c:v>
                </c:pt>
                <c:pt idx="119">
                  <c:v>245.09</c:v>
                </c:pt>
                <c:pt idx="120">
                  <c:v>239.48</c:v>
                </c:pt>
                <c:pt idx="121">
                  <c:v>239.63</c:v>
                </c:pt>
                <c:pt idx="122">
                  <c:v>236.86</c:v>
                </c:pt>
                <c:pt idx="123">
                  <c:v>240.92</c:v>
                </c:pt>
                <c:pt idx="124">
                  <c:v>240.65</c:v>
                </c:pt>
                <c:pt idx="125">
                  <c:v>241.79</c:v>
                </c:pt>
                <c:pt idx="126">
                  <c:v>236.97</c:v>
                </c:pt>
                <c:pt idx="127">
                  <c:v>234.1</c:v>
                </c:pt>
                <c:pt idx="128">
                  <c:v>228.88</c:v>
                </c:pt>
                <c:pt idx="129">
                  <c:v>233.09</c:v>
                </c:pt>
                <c:pt idx="130">
                  <c:v>233.17</c:v>
                </c:pt>
                <c:pt idx="131">
                  <c:v>223.8</c:v>
                </c:pt>
                <c:pt idx="132">
                  <c:v>227.28</c:v>
                </c:pt>
                <c:pt idx="133">
                  <c:v>222.09</c:v>
                </c:pt>
                <c:pt idx="134">
                  <c:v>227.98</c:v>
                </c:pt>
                <c:pt idx="135">
                  <c:v>238.13</c:v>
                </c:pt>
                <c:pt idx="136">
                  <c:v>250.39</c:v>
                </c:pt>
                <c:pt idx="137">
                  <c:v>247.16</c:v>
                </c:pt>
                <c:pt idx="138">
                  <c:v>245.2</c:v>
                </c:pt>
                <c:pt idx="139">
                  <c:v>249.23</c:v>
                </c:pt>
                <c:pt idx="140">
                  <c:v>245.72</c:v>
                </c:pt>
                <c:pt idx="141">
                  <c:v>236.39</c:v>
                </c:pt>
                <c:pt idx="142">
                  <c:v>244.18</c:v>
                </c:pt>
                <c:pt idx="143">
                  <c:v>240.45</c:v>
                </c:pt>
                <c:pt idx="144">
                  <c:v>240.51</c:v>
                </c:pt>
                <c:pt idx="145">
                  <c:v>241.8</c:v>
                </c:pt>
                <c:pt idx="146">
                  <c:v>243.36</c:v>
                </c:pt>
                <c:pt idx="147">
                  <c:v>244.34</c:v>
                </c:pt>
                <c:pt idx="148">
                  <c:v>236.39</c:v>
                </c:pt>
                <c:pt idx="149">
                  <c:v>226.94</c:v>
                </c:pt>
                <c:pt idx="150">
                  <c:v>225.47</c:v>
                </c:pt>
                <c:pt idx="151">
                  <c:v>221.04</c:v>
                </c:pt>
                <c:pt idx="152">
                  <c:v>214.61</c:v>
                </c:pt>
                <c:pt idx="153">
                  <c:v>212.64</c:v>
                </c:pt>
                <c:pt idx="154">
                  <c:v>212.77</c:v>
                </c:pt>
                <c:pt idx="155">
                  <c:v>211</c:v>
                </c:pt>
                <c:pt idx="156">
                  <c:v>211.41</c:v>
                </c:pt>
                <c:pt idx="157">
                  <c:v>211.08</c:v>
                </c:pt>
                <c:pt idx="158">
                  <c:v>208.43</c:v>
                </c:pt>
                <c:pt idx="159">
                  <c:v>197.51</c:v>
                </c:pt>
                <c:pt idx="160">
                  <c:v>194.64</c:v>
                </c:pt>
                <c:pt idx="161">
                  <c:v>194.47</c:v>
                </c:pt>
                <c:pt idx="162">
                  <c:v>196.79</c:v>
                </c:pt>
                <c:pt idx="163">
                  <c:v>194.77</c:v>
                </c:pt>
                <c:pt idx="164">
                  <c:v>201.26</c:v>
                </c:pt>
                <c:pt idx="165">
                  <c:v>204.58</c:v>
                </c:pt>
                <c:pt idx="166">
                  <c:v>200.26</c:v>
                </c:pt>
                <c:pt idx="167">
                  <c:v>197.26</c:v>
                </c:pt>
                <c:pt idx="168">
                  <c:v>197.4</c:v>
                </c:pt>
                <c:pt idx="169">
                  <c:v>197.61</c:v>
                </c:pt>
                <c:pt idx="170">
                  <c:v>193.02</c:v>
                </c:pt>
                <c:pt idx="171">
                  <c:v>194.12</c:v>
                </c:pt>
                <c:pt idx="172">
                  <c:v>192.6</c:v>
                </c:pt>
                <c:pt idx="173">
                  <c:v>195.76</c:v>
                </c:pt>
                <c:pt idx="174">
                  <c:v>197.54</c:v>
                </c:pt>
                <c:pt idx="175">
                  <c:v>195.18</c:v>
                </c:pt>
                <c:pt idx="176">
                  <c:v>201.38</c:v>
                </c:pt>
                <c:pt idx="177">
                  <c:v>202.94</c:v>
                </c:pt>
                <c:pt idx="178">
                  <c:v>202</c:v>
                </c:pt>
                <c:pt idx="179">
                  <c:v>199.01</c:v>
                </c:pt>
                <c:pt idx="180">
                  <c:v>201.98</c:v>
                </c:pt>
                <c:pt idx="181">
                  <c:v>204.42</c:v>
                </c:pt>
                <c:pt idx="182">
                  <c:v>200.09</c:v>
                </c:pt>
                <c:pt idx="183">
                  <c:v>201.85</c:v>
                </c:pt>
                <c:pt idx="184">
                  <c:v>205.77</c:v>
                </c:pt>
                <c:pt idx="185">
                  <c:v>203.02</c:v>
                </c:pt>
                <c:pt idx="186">
                  <c:v>203.48</c:v>
                </c:pt>
                <c:pt idx="187">
                  <c:v>199.27</c:v>
                </c:pt>
                <c:pt idx="188">
                  <c:v>200.29</c:v>
                </c:pt>
                <c:pt idx="189">
                  <c:v>195.86</c:v>
                </c:pt>
                <c:pt idx="190">
                  <c:v>195.88</c:v>
                </c:pt>
                <c:pt idx="191">
                  <c:v>196.25</c:v>
                </c:pt>
                <c:pt idx="192">
                  <c:v>194.48</c:v>
                </c:pt>
                <c:pt idx="193">
                  <c:v>193.56</c:v>
                </c:pt>
                <c:pt idx="194">
                  <c:v>193.1</c:v>
                </c:pt>
                <c:pt idx="195">
                  <c:v>193.23</c:v>
                </c:pt>
                <c:pt idx="196">
                  <c:v>189.83</c:v>
                </c:pt>
                <c:pt idx="197">
                  <c:v>186.53</c:v>
                </c:pt>
                <c:pt idx="198">
                  <c:v>184.08</c:v>
                </c:pt>
                <c:pt idx="199">
                  <c:v>181.5</c:v>
                </c:pt>
                <c:pt idx="200">
                  <c:v>184.85</c:v>
                </c:pt>
                <c:pt idx="201">
                  <c:v>184.29</c:v>
                </c:pt>
                <c:pt idx="202">
                  <c:v>183.65</c:v>
                </c:pt>
                <c:pt idx="203">
                  <c:v>186.59</c:v>
                </c:pt>
                <c:pt idx="204">
                  <c:v>196.1</c:v>
                </c:pt>
                <c:pt idx="205">
                  <c:v>192.08</c:v>
                </c:pt>
                <c:pt idx="206">
                  <c:v>186.36</c:v>
                </c:pt>
                <c:pt idx="207">
                  <c:v>185.29</c:v>
                </c:pt>
                <c:pt idx="208">
                  <c:v>185.5</c:v>
                </c:pt>
                <c:pt idx="209">
                  <c:v>184.67</c:v>
                </c:pt>
                <c:pt idx="210">
                  <c:v>185.86</c:v>
                </c:pt>
                <c:pt idx="211">
                  <c:v>190.9</c:v>
                </c:pt>
                <c:pt idx="212">
                  <c:v>194.09</c:v>
                </c:pt>
                <c:pt idx="213">
                  <c:v>191.4</c:v>
                </c:pt>
                <c:pt idx="214">
                  <c:v>193.85</c:v>
                </c:pt>
                <c:pt idx="215">
                  <c:v>195.61</c:v>
                </c:pt>
                <c:pt idx="216">
                  <c:v>193.4</c:v>
                </c:pt>
                <c:pt idx="217">
                  <c:v>190.95</c:v>
                </c:pt>
                <c:pt idx="218">
                  <c:v>192.67</c:v>
                </c:pt>
                <c:pt idx="219">
                  <c:v>188.76</c:v>
                </c:pt>
                <c:pt idx="220">
                  <c:v>189.25</c:v>
                </c:pt>
                <c:pt idx="221">
                  <c:v>192.59</c:v>
                </c:pt>
                <c:pt idx="222">
                  <c:v>192.21</c:v>
                </c:pt>
                <c:pt idx="223">
                  <c:v>190.25</c:v>
                </c:pt>
                <c:pt idx="224">
                  <c:v>192.36</c:v>
                </c:pt>
                <c:pt idx="225">
                  <c:v>192.08</c:v>
                </c:pt>
                <c:pt idx="226">
                  <c:v>195.12</c:v>
                </c:pt>
                <c:pt idx="227">
                  <c:v>192.15</c:v>
                </c:pt>
                <c:pt idx="228">
                  <c:v>190.6</c:v>
                </c:pt>
                <c:pt idx="229">
                  <c:v>187.94</c:v>
                </c:pt>
                <c:pt idx="230">
                  <c:v>189.27</c:v>
                </c:pt>
                <c:pt idx="231">
                  <c:v>189.97</c:v>
                </c:pt>
                <c:pt idx="232">
                  <c:v>194.69</c:v>
                </c:pt>
                <c:pt idx="233">
                  <c:v>190.73</c:v>
                </c:pt>
                <c:pt idx="234">
                  <c:v>193.55</c:v>
                </c:pt>
                <c:pt idx="235">
                  <c:v>196.33</c:v>
                </c:pt>
                <c:pt idx="236">
                  <c:v>194.23</c:v>
                </c:pt>
                <c:pt idx="237">
                  <c:v>194.02</c:v>
                </c:pt>
                <c:pt idx="238">
                  <c:v>194.17</c:v>
                </c:pt>
                <c:pt idx="239">
                  <c:v>190.84</c:v>
                </c:pt>
                <c:pt idx="240">
                  <c:v>186.29</c:v>
                </c:pt>
                <c:pt idx="241">
                  <c:v>187.08</c:v>
                </c:pt>
                <c:pt idx="242">
                  <c:v>183.75</c:v>
                </c:pt>
                <c:pt idx="243">
                  <c:v>183.09</c:v>
                </c:pt>
                <c:pt idx="244">
                  <c:v>182.16</c:v>
                </c:pt>
                <c:pt idx="245">
                  <c:v>183.01</c:v>
                </c:pt>
                <c:pt idx="246">
                  <c:v>184.53</c:v>
                </c:pt>
                <c:pt idx="247">
                  <c:v>181.27</c:v>
                </c:pt>
                <c:pt idx="248">
                  <c:v>181.89</c:v>
                </c:pt>
              </c:numCache>
            </c:numRef>
          </c:val>
          <c:smooth val="0"/>
          <c:extLst>
            <c:ext xmlns:c16="http://schemas.microsoft.com/office/drawing/2014/chart" uri="{C3380CC4-5D6E-409C-BE32-E72D297353CC}">
              <c16:uniqueId val="{00000001-97F1-4609-B8FF-E188E15C2BB1}"/>
            </c:ext>
          </c:extLst>
        </c:ser>
        <c:dLbls>
          <c:showLegendKey val="0"/>
          <c:showVal val="0"/>
          <c:showCatName val="0"/>
          <c:showSerName val="0"/>
          <c:showPercent val="0"/>
          <c:showBubbleSize val="0"/>
        </c:dLbls>
        <c:marker val="1"/>
        <c:smooth val="0"/>
        <c:axId val="-982872816"/>
        <c:axId val="-982888048"/>
      </c:lineChart>
      <c:dateAx>
        <c:axId val="-98287281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8048"/>
        <c:crosses val="autoZero"/>
        <c:auto val="1"/>
        <c:lblOffset val="100"/>
        <c:baseTimeUnit val="days"/>
        <c:majorUnit val="4"/>
        <c:majorTimeUnit val="months"/>
        <c:minorUnit val="1"/>
        <c:minorTimeUnit val="months"/>
      </c:dateAx>
      <c:valAx>
        <c:axId val="-982888048"/>
        <c:scaling>
          <c:orientation val="minMax"/>
        </c:scaling>
        <c:delete val="0"/>
        <c:axPos val="l"/>
        <c:numFmt formatCode="_(&quot;$&quot;* #,##0_);_(&quot;$&quot;* \(#,##0\);_(&quot;$&quot;* &quot;-&quot;_);_(@_)"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72816"/>
        <c:crosses val="autoZero"/>
        <c:crossBetween val="between"/>
        <c:majorUnit val="40"/>
      </c:valAx>
      <c:valAx>
        <c:axId val="19404960"/>
        <c:scaling>
          <c:orientation val="minMax"/>
        </c:scaling>
        <c:delete val="0"/>
        <c:axPos val="r"/>
        <c:numFmt formatCode="#,##0,,\ \M_);\(#,##0,,\ \M\);&quot;-&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19406624"/>
        <c:crosses val="max"/>
        <c:crossBetween val="between"/>
        <c:majorUnit val="4000000"/>
      </c:valAx>
      <c:dateAx>
        <c:axId val="19406624"/>
        <c:scaling>
          <c:orientation val="minMax"/>
        </c:scaling>
        <c:delete val="1"/>
        <c:axPos val="b"/>
        <c:numFmt formatCode="m/d/yyyy" sourceLinked="1"/>
        <c:majorTickMark val="out"/>
        <c:minorTickMark val="none"/>
        <c:tickLblPos val="nextTo"/>
        <c:crossAx val="19404960"/>
        <c:crosses val="autoZero"/>
        <c:auto val="1"/>
        <c:lblOffset val="100"/>
        <c:baseTimeUnit val="days"/>
        <c:majorUnit val="1"/>
        <c:minorUnit val="1"/>
      </c:date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Charts!$C$4</c:f>
          <c:strCache>
            <c:ptCount val="1"/>
            <c:pt idx="0">
              <c:v>Margins Analysis</c:v>
            </c:pt>
          </c:strCache>
        </c:strRef>
      </c:tx>
      <c:layout>
        <c:manualLayout>
          <c:xMode val="edge"/>
          <c:yMode val="edge"/>
          <c:x val="0.33222740791033112"/>
          <c:y val="4.597687685733498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lineChart>
        <c:grouping val="standard"/>
        <c:varyColors val="0"/>
        <c:ser>
          <c:idx val="0"/>
          <c:order val="0"/>
          <c:tx>
            <c:strRef>
              <c:f>Charts!$C$7</c:f>
              <c:strCache>
                <c:ptCount val="1"/>
                <c:pt idx="0">
                  <c:v>EBIT</c:v>
                </c:pt>
              </c:strCache>
            </c:strRef>
          </c:tx>
          <c:spPr>
            <a:ln w="28575" cap="rnd">
              <a:solidFill>
                <a:srgbClr val="C0DEF6"/>
              </a:solidFill>
              <a:round/>
            </a:ln>
            <a:effectLst/>
          </c:spPr>
          <c:marker>
            <c:symbol val="none"/>
          </c:marker>
          <c:dPt>
            <c:idx val="4"/>
            <c:marker>
              <c:symbol val="none"/>
            </c:marker>
            <c:bubble3D val="0"/>
            <c:spPr>
              <a:ln w="28575" cap="rnd">
                <a:solidFill>
                  <a:srgbClr val="C0DEF6"/>
                </a:solidFill>
                <a:prstDash val="sysDash"/>
                <a:round/>
              </a:ln>
              <a:effectLst/>
            </c:spPr>
            <c:extLst>
              <c:ext xmlns:c16="http://schemas.microsoft.com/office/drawing/2014/chart" uri="{C3380CC4-5D6E-409C-BE32-E72D297353CC}">
                <c16:uniqueId val="{00000001-4BF0-4288-AA23-DC2F1595C729}"/>
              </c:ext>
            </c:extLst>
          </c:dPt>
          <c:dPt>
            <c:idx val="5"/>
            <c:marker>
              <c:symbol val="none"/>
            </c:marker>
            <c:bubble3D val="0"/>
            <c:spPr>
              <a:ln w="28575" cap="rnd">
                <a:solidFill>
                  <a:srgbClr val="C0DEF6"/>
                </a:solidFill>
                <a:prstDash val="sysDash"/>
                <a:round/>
              </a:ln>
              <a:effectLst/>
            </c:spPr>
            <c:extLst>
              <c:ext xmlns:c16="http://schemas.microsoft.com/office/drawing/2014/chart" uri="{C3380CC4-5D6E-409C-BE32-E72D297353CC}">
                <c16:uniqueId val="{00000003-4BF0-4288-AA23-DC2F1595C729}"/>
              </c:ext>
            </c:extLst>
          </c:dPt>
          <c:cat>
            <c:strRef>
              <c:f>Charts!$D$6:$I$6</c:f>
              <c:strCache>
                <c:ptCount val="6"/>
                <c:pt idx="0">
                  <c:v>2023</c:v>
                </c:pt>
                <c:pt idx="1">
                  <c:v>2024</c:v>
                </c:pt>
                <c:pt idx="2">
                  <c:v>2025</c:v>
                </c:pt>
                <c:pt idx="3">
                  <c:v>2026e</c:v>
                </c:pt>
                <c:pt idx="4">
                  <c:v>2027e</c:v>
                </c:pt>
                <c:pt idx="5">
                  <c:v>2028e</c:v>
                </c:pt>
              </c:strCache>
            </c:strRef>
          </c:cat>
          <c:val>
            <c:numRef>
              <c:f>Charts!$D$7:$I$7</c:f>
              <c:numCache>
                <c:formatCode>#,##0.0%_);\(#,##0.0%\)</c:formatCode>
                <c:ptCount val="6"/>
                <c:pt idx="0">
                  <c:v>0.15386958347968982</c:v>
                </c:pt>
                <c:pt idx="1">
                  <c:v>0.18144742906478892</c:v>
                </c:pt>
                <c:pt idx="2">
                  <c:v>0.20984236423747527</c:v>
                </c:pt>
                <c:pt idx="3">
                  <c:v>0.22652642932905109</c:v>
                </c:pt>
                <c:pt idx="4">
                  <c:v>0.22699041548818169</c:v>
                </c:pt>
                <c:pt idx="5">
                  <c:v>0.22783399783116465</c:v>
                </c:pt>
              </c:numCache>
            </c:numRef>
          </c:val>
          <c:smooth val="1"/>
          <c:extLst>
            <c:ext xmlns:c16="http://schemas.microsoft.com/office/drawing/2014/chart" uri="{C3380CC4-5D6E-409C-BE32-E72D297353CC}">
              <c16:uniqueId val="{00000004-4BF0-4288-AA23-DC2F1595C729}"/>
            </c:ext>
          </c:extLst>
        </c:ser>
        <c:ser>
          <c:idx val="1"/>
          <c:order val="1"/>
          <c:tx>
            <c:strRef>
              <c:f>Charts!$C$8</c:f>
              <c:strCache>
                <c:ptCount val="1"/>
                <c:pt idx="0">
                  <c:v>EBITDA</c:v>
                </c:pt>
              </c:strCache>
            </c:strRef>
          </c:tx>
          <c:spPr>
            <a:ln w="28575" cap="rnd">
              <a:solidFill>
                <a:srgbClr val="00355F"/>
              </a:solidFill>
              <a:round/>
            </a:ln>
            <a:effectLst/>
          </c:spPr>
          <c:marker>
            <c:symbol val="none"/>
          </c:marker>
          <c:dPt>
            <c:idx val="4"/>
            <c:marker>
              <c:symbol val="none"/>
            </c:marker>
            <c:bubble3D val="0"/>
            <c:spPr>
              <a:ln w="28575" cap="rnd">
                <a:solidFill>
                  <a:srgbClr val="00355F"/>
                </a:solidFill>
                <a:prstDash val="sysDash"/>
                <a:round/>
              </a:ln>
              <a:effectLst/>
            </c:spPr>
            <c:extLst>
              <c:ext xmlns:c16="http://schemas.microsoft.com/office/drawing/2014/chart" uri="{C3380CC4-5D6E-409C-BE32-E72D297353CC}">
                <c16:uniqueId val="{00000006-4BF0-4288-AA23-DC2F1595C729}"/>
              </c:ext>
            </c:extLst>
          </c:dPt>
          <c:dPt>
            <c:idx val="5"/>
            <c:marker>
              <c:symbol val="none"/>
            </c:marker>
            <c:bubble3D val="0"/>
            <c:spPr>
              <a:ln w="28575" cap="rnd">
                <a:solidFill>
                  <a:srgbClr val="00355F"/>
                </a:solidFill>
                <a:prstDash val="sysDash"/>
                <a:round/>
              </a:ln>
              <a:effectLst/>
            </c:spPr>
            <c:extLst>
              <c:ext xmlns:c16="http://schemas.microsoft.com/office/drawing/2014/chart" uri="{C3380CC4-5D6E-409C-BE32-E72D297353CC}">
                <c16:uniqueId val="{00000008-4BF0-4288-AA23-DC2F1595C729}"/>
              </c:ext>
            </c:extLst>
          </c:dPt>
          <c:cat>
            <c:strRef>
              <c:f>Charts!$D$6:$I$6</c:f>
              <c:strCache>
                <c:ptCount val="6"/>
                <c:pt idx="0">
                  <c:v>2023</c:v>
                </c:pt>
                <c:pt idx="1">
                  <c:v>2024</c:v>
                </c:pt>
                <c:pt idx="2">
                  <c:v>2025</c:v>
                </c:pt>
                <c:pt idx="3">
                  <c:v>2026e</c:v>
                </c:pt>
                <c:pt idx="4">
                  <c:v>2027e</c:v>
                </c:pt>
                <c:pt idx="5">
                  <c:v>2028e</c:v>
                </c:pt>
              </c:strCache>
            </c:strRef>
          </c:cat>
          <c:val>
            <c:numRef>
              <c:f>Charts!$D$8:$I$8</c:f>
              <c:numCache>
                <c:formatCode>#,##0.0%_);\(#,##0.0%\)</c:formatCode>
                <c:ptCount val="6"/>
                <c:pt idx="0">
                  <c:v>0.16383738095998387</c:v>
                </c:pt>
                <c:pt idx="1">
                  <c:v>0.18961333430784874</c:v>
                </c:pt>
                <c:pt idx="2">
                  <c:v>0.21823316196247297</c:v>
                </c:pt>
                <c:pt idx="3">
                  <c:v>0.23229448827676821</c:v>
                </c:pt>
                <c:pt idx="4">
                  <c:v>0.22747707416430354</c:v>
                </c:pt>
                <c:pt idx="5">
                  <c:v>0.23018625260453726</c:v>
                </c:pt>
              </c:numCache>
            </c:numRef>
          </c:val>
          <c:smooth val="1"/>
          <c:extLst>
            <c:ext xmlns:c16="http://schemas.microsoft.com/office/drawing/2014/chart" uri="{C3380CC4-5D6E-409C-BE32-E72D297353CC}">
              <c16:uniqueId val="{00000009-4BF0-4288-AA23-DC2F1595C729}"/>
            </c:ext>
          </c:extLst>
        </c:ser>
        <c:ser>
          <c:idx val="2"/>
          <c:order val="2"/>
          <c:tx>
            <c:strRef>
              <c:f>Charts!$C$9</c:f>
              <c:strCache>
                <c:ptCount val="1"/>
                <c:pt idx="0">
                  <c:v>Profit</c:v>
                </c:pt>
              </c:strCache>
            </c:strRef>
          </c:tx>
          <c:spPr>
            <a:ln w="28575" cap="rnd">
              <a:solidFill>
                <a:srgbClr val="969696"/>
              </a:solidFill>
              <a:round/>
            </a:ln>
            <a:effectLst/>
          </c:spPr>
          <c:marker>
            <c:symbol val="none"/>
          </c:marker>
          <c:dPt>
            <c:idx val="4"/>
            <c:marker>
              <c:symbol val="none"/>
            </c:marker>
            <c:bubble3D val="0"/>
            <c:spPr>
              <a:ln w="28575" cap="rnd">
                <a:solidFill>
                  <a:srgbClr val="969696"/>
                </a:solidFill>
                <a:prstDash val="sysDash"/>
                <a:round/>
              </a:ln>
              <a:effectLst/>
            </c:spPr>
            <c:extLst>
              <c:ext xmlns:c16="http://schemas.microsoft.com/office/drawing/2014/chart" uri="{C3380CC4-5D6E-409C-BE32-E72D297353CC}">
                <c16:uniqueId val="{0000000B-4BF0-4288-AA23-DC2F1595C729}"/>
              </c:ext>
            </c:extLst>
          </c:dPt>
          <c:dPt>
            <c:idx val="5"/>
            <c:marker>
              <c:symbol val="none"/>
            </c:marker>
            <c:bubble3D val="0"/>
            <c:spPr>
              <a:ln w="28575" cap="rnd">
                <a:solidFill>
                  <a:srgbClr val="969696"/>
                </a:solidFill>
                <a:prstDash val="sysDash"/>
                <a:round/>
              </a:ln>
              <a:effectLst/>
            </c:spPr>
            <c:extLst>
              <c:ext xmlns:c16="http://schemas.microsoft.com/office/drawing/2014/chart" uri="{C3380CC4-5D6E-409C-BE32-E72D297353CC}">
                <c16:uniqueId val="{0000000D-4BF0-4288-AA23-DC2F1595C729}"/>
              </c:ext>
            </c:extLst>
          </c:dPt>
          <c:cat>
            <c:strRef>
              <c:f>Charts!$D$6:$I$6</c:f>
              <c:strCache>
                <c:ptCount val="6"/>
                <c:pt idx="0">
                  <c:v>2023</c:v>
                </c:pt>
                <c:pt idx="1">
                  <c:v>2024</c:v>
                </c:pt>
                <c:pt idx="2">
                  <c:v>2025</c:v>
                </c:pt>
                <c:pt idx="3">
                  <c:v>2026e</c:v>
                </c:pt>
                <c:pt idx="4">
                  <c:v>2027e</c:v>
                </c:pt>
                <c:pt idx="5">
                  <c:v>2028e</c:v>
                </c:pt>
              </c:strCache>
            </c:strRef>
          </c:cat>
          <c:val>
            <c:numRef>
              <c:f>Charts!$D$9:$I$9</c:f>
              <c:numCache>
                <c:formatCode>#,##0.0%_);\(#,##0.0%\);"-"</c:formatCode>
                <c:ptCount val="6"/>
                <c:pt idx="0">
                  <c:v>0.1167670897290092</c:v>
                </c:pt>
                <c:pt idx="1">
                  <c:v>0.13941477679091405</c:v>
                </c:pt>
                <c:pt idx="2">
                  <c:v>0.16512709518659904</c:v>
                </c:pt>
                <c:pt idx="3">
                  <c:v>0.17828326151539664</c:v>
                </c:pt>
                <c:pt idx="4">
                  <c:v>0.17486762919362153</c:v>
                </c:pt>
                <c:pt idx="5">
                  <c:v>0.17203622721129042</c:v>
                </c:pt>
              </c:numCache>
            </c:numRef>
          </c:val>
          <c:smooth val="1"/>
          <c:extLst>
            <c:ext xmlns:c16="http://schemas.microsoft.com/office/drawing/2014/chart" uri="{C3380CC4-5D6E-409C-BE32-E72D297353CC}">
              <c16:uniqueId val="{0000000E-4BF0-4288-AA23-DC2F1595C729}"/>
            </c:ext>
          </c:extLst>
        </c:ser>
        <c:dLbls>
          <c:showLegendKey val="0"/>
          <c:showVal val="0"/>
          <c:showCatName val="0"/>
          <c:showSerName val="0"/>
          <c:showPercent val="0"/>
          <c:showBubbleSize val="0"/>
        </c:dLbls>
        <c:smooth val="0"/>
        <c:axId val="-982881520"/>
        <c:axId val="-982886960"/>
      </c:lineChart>
      <c:catAx>
        <c:axId val="-98288152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6960"/>
        <c:crosses val="autoZero"/>
        <c:auto val="1"/>
        <c:lblAlgn val="ctr"/>
        <c:lblOffset val="100"/>
        <c:noMultiLvlLbl val="0"/>
      </c:catAx>
      <c:valAx>
        <c:axId val="-982886960"/>
        <c:scaling>
          <c:orientation val="minMax"/>
          <c:max val="0.25"/>
          <c:min val="0"/>
        </c:scaling>
        <c:delete val="0"/>
        <c:axPos val="l"/>
        <c:numFmt formatCode="#,##0.0%_);\(#,##0.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1520"/>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Charts!$C$28</c:f>
          <c:strCache>
            <c:ptCount val="1"/>
            <c:pt idx="0">
              <c:v>Investment Banking &amp; Equities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Charts!$C$31</c:f>
              <c:strCache>
                <c:ptCount val="1"/>
                <c:pt idx="0">
                  <c:v>Investment Banking &amp; Equities Revenue</c:v>
                </c:pt>
              </c:strCache>
            </c:strRef>
          </c:tx>
          <c:spPr>
            <a:solidFill>
              <a:srgbClr val="002060"/>
            </a:solidFill>
            <a:ln>
              <a:solidFill>
                <a:srgbClr val="00355F"/>
              </a:solid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1-377F-4F3C-B10E-9B2E767F5525}"/>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8-7F2B-4EE0-86FC-0E7C1DA7F2A1}"/>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9-7F2B-4EE0-86FC-0E7C1DA7F2A1}"/>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3-377F-4F3C-B10E-9B2E767F5525}"/>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5-377F-4F3C-B10E-9B2E767F5525}"/>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7-377F-4F3C-B10E-9B2E767F5525}"/>
              </c:ext>
            </c:extLst>
          </c:dPt>
          <c:cat>
            <c:strRef>
              <c:f>Charts!$D$30:$I$30</c:f>
              <c:strCache>
                <c:ptCount val="6"/>
                <c:pt idx="0">
                  <c:v>2023</c:v>
                </c:pt>
                <c:pt idx="1">
                  <c:v>2024</c:v>
                </c:pt>
                <c:pt idx="2">
                  <c:v>2025</c:v>
                </c:pt>
                <c:pt idx="3">
                  <c:v>2026e</c:v>
                </c:pt>
                <c:pt idx="4">
                  <c:v>2027e</c:v>
                </c:pt>
                <c:pt idx="5">
                  <c:v>2028e</c:v>
                </c:pt>
              </c:strCache>
            </c:strRef>
          </c:cat>
          <c:val>
            <c:numRef>
              <c:f>Charts!$D$31:$I$31</c:f>
              <c:numCache>
                <c:formatCode>"$"#,##0_);\("$"#,##0\)</c:formatCode>
                <c:ptCount val="6"/>
                <c:pt idx="0">
                  <c:v>2355943</c:v>
                </c:pt>
                <c:pt idx="1">
                  <c:v>2898489</c:v>
                </c:pt>
                <c:pt idx="2">
                  <c:v>3689419</c:v>
                </c:pt>
                <c:pt idx="3">
                  <c:v>6618536.0547519028</c:v>
                </c:pt>
                <c:pt idx="4">
                  <c:v>7496539.2188444342</c:v>
                </c:pt>
                <c:pt idx="5">
                  <c:v>7743925.0130663002</c:v>
                </c:pt>
              </c:numCache>
            </c:numRef>
          </c:val>
          <c:extLst>
            <c:ext xmlns:c16="http://schemas.microsoft.com/office/drawing/2014/chart" uri="{C3380CC4-5D6E-409C-BE32-E72D297353CC}">
              <c16:uniqueId val="{00000008-377F-4F3C-B10E-9B2E767F5525}"/>
            </c:ext>
          </c:extLst>
        </c:ser>
        <c:dLbls>
          <c:showLegendKey val="0"/>
          <c:showVal val="0"/>
          <c:showCatName val="0"/>
          <c:showSerName val="0"/>
          <c:showPercent val="0"/>
          <c:showBubbleSize val="0"/>
        </c:dLbls>
        <c:gapWidth val="75"/>
        <c:overlap val="-27"/>
        <c:axId val="-982886416"/>
        <c:axId val="-982885328"/>
      </c:barChart>
      <c:lineChart>
        <c:grouping val="standard"/>
        <c:varyColors val="0"/>
        <c:ser>
          <c:idx val="1"/>
          <c:order val="1"/>
          <c:tx>
            <c:strRef>
              <c:f>Charts!$C$32</c:f>
              <c:strCache>
                <c:ptCount val="1"/>
                <c:pt idx="0">
                  <c:v>Growth Rate YoY %</c:v>
                </c:pt>
              </c:strCache>
            </c:strRef>
          </c:tx>
          <c:spPr>
            <a:ln w="28575" cap="rnd">
              <a:solidFill>
                <a:srgbClr val="969696"/>
              </a:solidFill>
              <a:round/>
            </a:ln>
            <a:effectLst/>
          </c:spPr>
          <c:marker>
            <c:symbol val="none"/>
          </c:marker>
          <c:cat>
            <c:strRef>
              <c:f>Charts!$D$30:$I$30</c:f>
              <c:strCache>
                <c:ptCount val="6"/>
                <c:pt idx="0">
                  <c:v>2023</c:v>
                </c:pt>
                <c:pt idx="1">
                  <c:v>2024</c:v>
                </c:pt>
                <c:pt idx="2">
                  <c:v>2025</c:v>
                </c:pt>
                <c:pt idx="3">
                  <c:v>2026e</c:v>
                </c:pt>
                <c:pt idx="4">
                  <c:v>2027e</c:v>
                </c:pt>
                <c:pt idx="5">
                  <c:v>2028e</c:v>
                </c:pt>
              </c:strCache>
            </c:strRef>
          </c:cat>
          <c:val>
            <c:numRef>
              <c:f>Charts!$D$32:$I$32</c:f>
              <c:numCache>
                <c:formatCode>#,##0.0%_);\(#,##0.0%\);"-"</c:formatCode>
                <c:ptCount val="6"/>
                <c:pt idx="0">
                  <c:v>0</c:v>
                </c:pt>
                <c:pt idx="1">
                  <c:v>0.23028825400274955</c:v>
                </c:pt>
                <c:pt idx="2">
                  <c:v>0.27287666090849405</c:v>
                </c:pt>
                <c:pt idx="3">
                  <c:v>0.79392366514941859</c:v>
                </c:pt>
                <c:pt idx="4">
                  <c:v>0.13265821275720824</c:v>
                </c:pt>
                <c:pt idx="5">
                  <c:v>3.2999999999999918E-2</c:v>
                </c:pt>
              </c:numCache>
            </c:numRef>
          </c:val>
          <c:smooth val="1"/>
          <c:extLst>
            <c:ext xmlns:c16="http://schemas.microsoft.com/office/drawing/2014/chart" uri="{C3380CC4-5D6E-409C-BE32-E72D297353CC}">
              <c16:uniqueId val="{00000009-377F-4F3C-B10E-9B2E767F5525}"/>
            </c:ext>
          </c:extLst>
        </c:ser>
        <c:dLbls>
          <c:showLegendKey val="0"/>
          <c:showVal val="0"/>
          <c:showCatName val="0"/>
          <c:showSerName val="0"/>
          <c:showPercent val="0"/>
          <c:showBubbleSize val="0"/>
        </c:dLbls>
        <c:marker val="1"/>
        <c:smooth val="0"/>
        <c:axId val="-982883696"/>
        <c:axId val="-982884784"/>
      </c:lineChart>
      <c:catAx>
        <c:axId val="-98288641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5328"/>
        <c:crosses val="autoZero"/>
        <c:auto val="1"/>
        <c:lblAlgn val="ctr"/>
        <c:lblOffset val="100"/>
        <c:noMultiLvlLbl val="0"/>
      </c:catAx>
      <c:valAx>
        <c:axId val="-982885328"/>
        <c:scaling>
          <c:orientation val="minMax"/>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6416"/>
        <c:crosses val="autoZero"/>
        <c:crossBetween val="between"/>
        <c:majorUnit val="1000000"/>
      </c:valAx>
      <c:valAx>
        <c:axId val="-982884784"/>
        <c:scaling>
          <c:orientation val="minMax"/>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883696"/>
        <c:crosses val="max"/>
        <c:crossBetween val="between"/>
        <c:majorUnit val="0.2"/>
      </c:valAx>
      <c:catAx>
        <c:axId val="-982883696"/>
        <c:scaling>
          <c:orientation val="minMax"/>
        </c:scaling>
        <c:delete val="1"/>
        <c:axPos val="b"/>
        <c:numFmt formatCode="General" sourceLinked="1"/>
        <c:majorTickMark val="none"/>
        <c:minorTickMark val="none"/>
        <c:tickLblPos val="nextTo"/>
        <c:crossAx val="-982884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Charts!$K$28</c:f>
          <c:strCache>
            <c:ptCount val="1"/>
            <c:pt idx="0">
              <c:v>Total Company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Charts!$K$31</c:f>
              <c:strCache>
                <c:ptCount val="1"/>
                <c:pt idx="0">
                  <c:v>Total Company Revenue</c:v>
                </c:pt>
              </c:strCache>
            </c:strRef>
          </c:tx>
          <c:spPr>
            <a:solidFill>
              <a:srgbClr val="002060"/>
            </a:solidFill>
            <a:ln>
              <a:no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6-2F45-43BC-B0AE-D7F055B2DBC0}"/>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7-2F45-43BC-B0AE-D7F055B2DBC0}"/>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8-2F45-43BC-B0AE-D7F055B2DBC0}"/>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1-A938-4DC6-9873-CE40D7F9F751}"/>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3-A938-4DC6-9873-CE40D7F9F751}"/>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5-A938-4DC6-9873-CE40D7F9F751}"/>
              </c:ext>
            </c:extLst>
          </c:dPt>
          <c:cat>
            <c:strRef>
              <c:f>Charts!$L$30:$Q$30</c:f>
              <c:strCache>
                <c:ptCount val="6"/>
                <c:pt idx="0">
                  <c:v>2023</c:v>
                </c:pt>
                <c:pt idx="1">
                  <c:v>2024</c:v>
                </c:pt>
                <c:pt idx="2">
                  <c:v>2025</c:v>
                </c:pt>
                <c:pt idx="3">
                  <c:v>2026e</c:v>
                </c:pt>
                <c:pt idx="4">
                  <c:v>2027e</c:v>
                </c:pt>
                <c:pt idx="5">
                  <c:v>2028e</c:v>
                </c:pt>
              </c:strCache>
            </c:strRef>
          </c:cat>
          <c:val>
            <c:numRef>
              <c:f>Charts!$L$31:$Q$31</c:f>
              <c:numCache>
                <c:formatCode>"$"#,##0_);\("$"#,##0\)</c:formatCode>
                <c:ptCount val="6"/>
                <c:pt idx="0">
                  <c:v>2442666</c:v>
                </c:pt>
                <c:pt idx="1">
                  <c:v>2996361</c:v>
                </c:pt>
                <c:pt idx="2">
                  <c:v>3880084</c:v>
                </c:pt>
                <c:pt idx="3">
                  <c:v>6774791.6859819032</c:v>
                </c:pt>
                <c:pt idx="4">
                  <c:v>7663353.3862973023</c:v>
                </c:pt>
                <c:pt idx="5">
                  <c:v>7894057.7637738818</c:v>
                </c:pt>
              </c:numCache>
            </c:numRef>
          </c:val>
          <c:extLst>
            <c:ext xmlns:c16="http://schemas.microsoft.com/office/drawing/2014/chart" uri="{C3380CC4-5D6E-409C-BE32-E72D297353CC}">
              <c16:uniqueId val="{00000006-A938-4DC6-9873-CE40D7F9F751}"/>
            </c:ext>
          </c:extLst>
        </c:ser>
        <c:dLbls>
          <c:showLegendKey val="0"/>
          <c:showVal val="0"/>
          <c:showCatName val="0"/>
          <c:showSerName val="0"/>
          <c:showPercent val="0"/>
          <c:showBubbleSize val="0"/>
        </c:dLbls>
        <c:gapWidth val="75"/>
        <c:overlap val="-27"/>
        <c:axId val="-982145472"/>
        <c:axId val="-982139488"/>
      </c:barChart>
      <c:lineChart>
        <c:grouping val="standard"/>
        <c:varyColors val="0"/>
        <c:ser>
          <c:idx val="1"/>
          <c:order val="1"/>
          <c:tx>
            <c:strRef>
              <c:f>Charts!$K$32</c:f>
              <c:strCache>
                <c:ptCount val="1"/>
                <c:pt idx="0">
                  <c:v>Growth Rate YoY %</c:v>
                </c:pt>
              </c:strCache>
            </c:strRef>
          </c:tx>
          <c:spPr>
            <a:ln w="28575" cap="rnd">
              <a:solidFill>
                <a:srgbClr val="969696"/>
              </a:solidFill>
              <a:round/>
            </a:ln>
            <a:effectLst/>
          </c:spPr>
          <c:marker>
            <c:symbol val="none"/>
          </c:marker>
          <c:cat>
            <c:strRef>
              <c:f>Charts!$L$30:$Q$30</c:f>
              <c:strCache>
                <c:ptCount val="6"/>
                <c:pt idx="0">
                  <c:v>2023</c:v>
                </c:pt>
                <c:pt idx="1">
                  <c:v>2024</c:v>
                </c:pt>
                <c:pt idx="2">
                  <c:v>2025</c:v>
                </c:pt>
                <c:pt idx="3">
                  <c:v>2026e</c:v>
                </c:pt>
                <c:pt idx="4">
                  <c:v>2027e</c:v>
                </c:pt>
                <c:pt idx="5">
                  <c:v>2028e</c:v>
                </c:pt>
              </c:strCache>
            </c:strRef>
          </c:cat>
          <c:val>
            <c:numRef>
              <c:f>Charts!$L$32:$Q$32</c:f>
              <c:numCache>
                <c:formatCode>#,##0.0%_);\(#,##0.0%\);"-"</c:formatCode>
                <c:ptCount val="6"/>
                <c:pt idx="0">
                  <c:v>0</c:v>
                </c:pt>
                <c:pt idx="1">
                  <c:v>0.22667650837240938</c:v>
                </c:pt>
                <c:pt idx="2">
                  <c:v>0.2949320859535951</c:v>
                </c:pt>
                <c:pt idx="3">
                  <c:v>0.74604253051787106</c:v>
                </c:pt>
                <c:pt idx="4">
                  <c:v>0.13115705124247157</c:v>
                </c:pt>
                <c:pt idx="5">
                  <c:v>3.01048856612951E-2</c:v>
                </c:pt>
              </c:numCache>
            </c:numRef>
          </c:val>
          <c:smooth val="1"/>
          <c:extLst>
            <c:ext xmlns:c16="http://schemas.microsoft.com/office/drawing/2014/chart" uri="{C3380CC4-5D6E-409C-BE32-E72D297353CC}">
              <c16:uniqueId val="{00000007-A938-4DC6-9873-CE40D7F9F751}"/>
            </c:ext>
          </c:extLst>
        </c:ser>
        <c:dLbls>
          <c:showLegendKey val="0"/>
          <c:showVal val="0"/>
          <c:showCatName val="0"/>
          <c:showSerName val="0"/>
          <c:showPercent val="0"/>
          <c:showBubbleSize val="0"/>
        </c:dLbls>
        <c:marker val="1"/>
        <c:smooth val="0"/>
        <c:axId val="-982138400"/>
        <c:axId val="-982146560"/>
      </c:lineChart>
      <c:catAx>
        <c:axId val="-98214547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9488"/>
        <c:crosses val="autoZero"/>
        <c:auto val="1"/>
        <c:lblAlgn val="ctr"/>
        <c:lblOffset val="100"/>
        <c:noMultiLvlLbl val="0"/>
      </c:catAx>
      <c:valAx>
        <c:axId val="-982139488"/>
        <c:scaling>
          <c:orientation val="minMax"/>
          <c:max val="12500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5472"/>
        <c:crosses val="autoZero"/>
        <c:crossBetween val="between"/>
        <c:majorUnit val="25000"/>
      </c:valAx>
      <c:valAx>
        <c:axId val="-982146560"/>
        <c:scaling>
          <c:orientation val="minMax"/>
          <c:max val="0.4"/>
          <c:min val="-0.2"/>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8400"/>
        <c:crosses val="max"/>
        <c:crossBetween val="between"/>
        <c:majorUnit val="0.1"/>
      </c:valAx>
      <c:catAx>
        <c:axId val="-982138400"/>
        <c:scaling>
          <c:orientation val="minMax"/>
        </c:scaling>
        <c:delete val="1"/>
        <c:axPos val="b"/>
        <c:numFmt formatCode="General" sourceLinked="1"/>
        <c:majorTickMark val="none"/>
        <c:minorTickMark val="none"/>
        <c:tickLblPos val="nextTo"/>
        <c:crossAx val="-982146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Charts!$C$48</c:f>
          <c:strCache>
            <c:ptCount val="1"/>
            <c:pt idx="0">
              <c:v>Investment Management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Charts!$C$51</c:f>
              <c:strCache>
                <c:ptCount val="1"/>
                <c:pt idx="0">
                  <c:v>Investment Management Revenue</c:v>
                </c:pt>
              </c:strCache>
            </c:strRef>
          </c:tx>
          <c:spPr>
            <a:solidFill>
              <a:schemeClr val="accent1"/>
            </a:solidFill>
            <a:ln>
              <a:noFill/>
            </a:ln>
            <a:effectLst/>
          </c:spPr>
          <c:invertIfNegative val="0"/>
          <c:val>
            <c:numRef>
              <c:f>Charts!$D$51:$I$51</c:f>
            </c:numRef>
          </c:val>
          <c:extLst>
            <c:ext xmlns:c15="http://schemas.microsoft.com/office/drawing/2012/chart" uri="{02D57815-91ED-43cb-92C2-25804820EDAC}">
              <c15:filteredCategoryTitle>
                <c15:cat>
                  <c:multiLvlStrRef>
                    <c:extLst>
                      <c:ext uri="{02D57815-91ED-43cb-92C2-25804820EDAC}">
                        <c15:formulaRef>
                          <c15:sqref>Charts!$D$50:$I$50</c15:sqref>
                        </c15:formulaRef>
                      </c:ext>
                    </c:extLst>
                  </c:multiLvlStrRef>
                </c15:cat>
              </c15:filteredCategoryTitle>
            </c:ext>
            <c:ext xmlns:c16="http://schemas.microsoft.com/office/drawing/2014/chart" uri="{C3380CC4-5D6E-409C-BE32-E72D297353CC}">
              <c16:uniqueId val="{00000006-94B5-4F13-A60F-57C782EBB800}"/>
            </c:ext>
          </c:extLst>
        </c:ser>
        <c:dLbls>
          <c:showLegendKey val="0"/>
          <c:showVal val="0"/>
          <c:showCatName val="0"/>
          <c:showSerName val="0"/>
          <c:showPercent val="0"/>
          <c:showBubbleSize val="0"/>
        </c:dLbls>
        <c:gapWidth val="75"/>
        <c:overlap val="-27"/>
        <c:axId val="-982146016"/>
        <c:axId val="-982137856"/>
      </c:barChart>
      <c:lineChart>
        <c:grouping val="standard"/>
        <c:varyColors val="0"/>
        <c:ser>
          <c:idx val="1"/>
          <c:order val="1"/>
          <c:tx>
            <c:strRef>
              <c:f>Charts!$C$52</c:f>
              <c:strCache>
                <c:ptCount val="1"/>
                <c:pt idx="0">
                  <c:v>Growth Rate YoY %</c:v>
                </c:pt>
              </c:strCache>
            </c:strRef>
          </c:tx>
          <c:spPr>
            <a:ln w="28575" cap="rnd">
              <a:solidFill>
                <a:schemeClr val="accent2"/>
              </a:solidFill>
              <a:round/>
            </a:ln>
            <a:effectLst/>
          </c:spPr>
          <c:marker>
            <c:symbol val="none"/>
          </c:marker>
          <c:val>
            <c:numRef>
              <c:f>Charts!$D$52:$I$52</c:f>
            </c:numRef>
          </c:val>
          <c:smooth val="1"/>
          <c:extLst>
            <c:ext xmlns:c15="http://schemas.microsoft.com/office/drawing/2012/chart" uri="{02D57815-91ED-43cb-92C2-25804820EDAC}">
              <c15:filteredCategoryTitle>
                <c15:cat>
                  <c:multiLvlStrRef>
                    <c:extLst>
                      <c:ext uri="{02D57815-91ED-43cb-92C2-25804820EDAC}">
                        <c15:formulaRef>
                          <c15:sqref>Charts!$D$50:$I$50</c15:sqref>
                        </c15:formulaRef>
                      </c:ext>
                    </c:extLst>
                  </c:multiLvlStrRef>
                </c15:cat>
              </c15:filteredCategoryTitle>
            </c:ext>
            <c:ext xmlns:c16="http://schemas.microsoft.com/office/drawing/2014/chart" uri="{C3380CC4-5D6E-409C-BE32-E72D297353CC}">
              <c16:uniqueId val="{00000007-94B5-4F13-A60F-57C782EBB800}"/>
            </c:ext>
          </c:extLst>
        </c:ser>
        <c:dLbls>
          <c:showLegendKey val="0"/>
          <c:showVal val="0"/>
          <c:showCatName val="0"/>
          <c:showSerName val="0"/>
          <c:showPercent val="0"/>
          <c:showBubbleSize val="0"/>
        </c:dLbls>
        <c:marker val="1"/>
        <c:smooth val="0"/>
        <c:axId val="-982143840"/>
        <c:axId val="-982151456"/>
      </c:lineChart>
      <c:catAx>
        <c:axId val="-98214601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7856"/>
        <c:crosses val="autoZero"/>
        <c:auto val="1"/>
        <c:lblAlgn val="ctr"/>
        <c:lblOffset val="100"/>
        <c:noMultiLvlLbl val="0"/>
      </c:catAx>
      <c:valAx>
        <c:axId val="-982137856"/>
        <c:scaling>
          <c:orientation val="minMax"/>
          <c:max val="75000"/>
          <c:min val="0"/>
        </c:scaling>
        <c:delete val="0"/>
        <c:axPos val="l"/>
        <c:numFmt formatCode="&quot;$&quot;#,##0" sourceLinked="0"/>
        <c:majorTickMark val="out"/>
        <c:minorTickMark val="none"/>
        <c:tickLblPos val="nextTo"/>
        <c:spPr>
          <a:noFill/>
          <a:ln>
            <a:solidFill>
              <a:srgbClr val="00355F"/>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6016"/>
        <c:crosses val="autoZero"/>
        <c:crossBetween val="between"/>
        <c:majorUnit val="15000"/>
      </c:valAx>
      <c:valAx>
        <c:axId val="-982151456"/>
        <c:scaling>
          <c:orientation val="minMax"/>
          <c:min val="-0.5"/>
        </c:scaling>
        <c:delete val="0"/>
        <c:axPos val="r"/>
        <c:numFmt formatCode="#,##0%_);\(#,##0%\);&quot;-&quot;" sourceLinked="0"/>
        <c:majorTickMark val="out"/>
        <c:minorTickMark val="none"/>
        <c:tickLblPos val="nextTo"/>
        <c:spPr>
          <a:noFill/>
          <a:ln>
            <a:solidFill>
              <a:srgbClr val="00355F"/>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3840"/>
        <c:crosses val="max"/>
        <c:crossBetween val="between"/>
        <c:majorUnit val="0.2"/>
      </c:valAx>
      <c:catAx>
        <c:axId val="-982143840"/>
        <c:scaling>
          <c:orientation val="minMax"/>
        </c:scaling>
        <c:delete val="1"/>
        <c:axPos val="b"/>
        <c:numFmt formatCode="General" sourceLinked="1"/>
        <c:majorTickMark val="none"/>
        <c:minorTickMark val="none"/>
        <c:tickLblPos val="nextTo"/>
        <c:crossAx val="-982151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Charts!$K$48</c:f>
          <c:strCache>
            <c:ptCount val="1"/>
            <c:pt idx="0">
              <c:v>Segment 5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Charts!$K$51</c:f>
              <c:strCache>
                <c:ptCount val="1"/>
                <c:pt idx="0">
                  <c:v>Segment 5 Revenue</c:v>
                </c:pt>
              </c:strCache>
            </c:strRef>
          </c:tx>
          <c:spPr>
            <a:solidFill>
              <a:schemeClr val="accent1"/>
            </a:solidFill>
            <a:ln>
              <a:noFill/>
            </a:ln>
            <a:effectLst/>
          </c:spPr>
          <c:invertIfNegative val="0"/>
          <c:val>
            <c:numRef>
              <c:f>Charts!$L$51:$Q$51</c:f>
            </c:numRef>
          </c:val>
          <c:extLst>
            <c:ext xmlns:c15="http://schemas.microsoft.com/office/drawing/2012/chart" uri="{02D57815-91ED-43cb-92C2-25804820EDAC}">
              <c15:filteredCategoryTitle>
                <c15:cat>
                  <c:multiLvlStrRef>
                    <c:extLst>
                      <c:ext uri="{02D57815-91ED-43cb-92C2-25804820EDAC}">
                        <c15:formulaRef>
                          <c15:sqref>Charts!$L$50:$Q$50</c15:sqref>
                        </c15:formulaRef>
                      </c:ext>
                    </c:extLst>
                  </c:multiLvlStrRef>
                </c15:cat>
              </c15:filteredCategoryTitle>
            </c:ext>
            <c:ext xmlns:c16="http://schemas.microsoft.com/office/drawing/2014/chart" uri="{C3380CC4-5D6E-409C-BE32-E72D297353CC}">
              <c16:uniqueId val="{00000006-8003-45E0-948B-3788798CB307}"/>
            </c:ext>
          </c:extLst>
        </c:ser>
        <c:dLbls>
          <c:showLegendKey val="0"/>
          <c:showVal val="0"/>
          <c:showCatName val="0"/>
          <c:showSerName val="0"/>
          <c:showPercent val="0"/>
          <c:showBubbleSize val="0"/>
        </c:dLbls>
        <c:gapWidth val="75"/>
        <c:overlap val="-27"/>
        <c:axId val="-982138944"/>
        <c:axId val="-982150368"/>
      </c:barChart>
      <c:lineChart>
        <c:grouping val="standard"/>
        <c:varyColors val="0"/>
        <c:ser>
          <c:idx val="1"/>
          <c:order val="1"/>
          <c:tx>
            <c:strRef>
              <c:f>Charts!$K$52</c:f>
              <c:strCache>
                <c:ptCount val="1"/>
                <c:pt idx="0">
                  <c:v>Growth Rate YoY %</c:v>
                </c:pt>
              </c:strCache>
            </c:strRef>
          </c:tx>
          <c:spPr>
            <a:ln w="28575" cap="rnd">
              <a:solidFill>
                <a:schemeClr val="accent2"/>
              </a:solidFill>
              <a:round/>
            </a:ln>
            <a:effectLst/>
          </c:spPr>
          <c:marker>
            <c:symbol val="none"/>
          </c:marker>
          <c:val>
            <c:numRef>
              <c:f>Charts!$L$52:$Q$52</c:f>
            </c:numRef>
          </c:val>
          <c:smooth val="1"/>
          <c:extLst>
            <c:ext xmlns:c15="http://schemas.microsoft.com/office/drawing/2012/chart" uri="{02D57815-91ED-43cb-92C2-25804820EDAC}">
              <c15:filteredCategoryTitle>
                <c15:cat>
                  <c:multiLvlStrRef>
                    <c:extLst>
                      <c:ext uri="{02D57815-91ED-43cb-92C2-25804820EDAC}">
                        <c15:formulaRef>
                          <c15:sqref>Charts!$L$50:$Q$50</c15:sqref>
                        </c15:formulaRef>
                      </c:ext>
                    </c:extLst>
                  </c:multiLvlStrRef>
                </c15:cat>
              </c15:filteredCategoryTitle>
            </c:ext>
            <c:ext xmlns:c16="http://schemas.microsoft.com/office/drawing/2014/chart" uri="{C3380CC4-5D6E-409C-BE32-E72D297353CC}">
              <c16:uniqueId val="{00000007-8003-45E0-948B-3788798CB307}"/>
            </c:ext>
          </c:extLst>
        </c:ser>
        <c:dLbls>
          <c:showLegendKey val="0"/>
          <c:showVal val="0"/>
          <c:showCatName val="0"/>
          <c:showSerName val="0"/>
          <c:showPercent val="0"/>
          <c:showBubbleSize val="0"/>
        </c:dLbls>
        <c:marker val="1"/>
        <c:smooth val="0"/>
        <c:axId val="-982141120"/>
        <c:axId val="-982136768"/>
      </c:lineChart>
      <c:catAx>
        <c:axId val="-98213894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50368"/>
        <c:crosses val="autoZero"/>
        <c:auto val="1"/>
        <c:lblAlgn val="ctr"/>
        <c:lblOffset val="100"/>
        <c:noMultiLvlLbl val="0"/>
      </c:catAx>
      <c:valAx>
        <c:axId val="-982150368"/>
        <c:scaling>
          <c:orientation val="minMax"/>
          <c:max val="2500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8944"/>
        <c:crosses val="autoZero"/>
        <c:crossBetween val="between"/>
      </c:valAx>
      <c:valAx>
        <c:axId val="-982136768"/>
        <c:scaling>
          <c:orientation val="minMax"/>
          <c:min val="-0.1"/>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1120"/>
        <c:crosses val="max"/>
        <c:crossBetween val="between"/>
        <c:majorUnit val="0.25"/>
      </c:valAx>
      <c:catAx>
        <c:axId val="-982141120"/>
        <c:scaling>
          <c:orientation val="minMax"/>
        </c:scaling>
        <c:delete val="1"/>
        <c:axPos val="b"/>
        <c:numFmt formatCode="General" sourceLinked="1"/>
        <c:majorTickMark val="none"/>
        <c:minorTickMark val="none"/>
        <c:tickLblPos val="nextTo"/>
        <c:crossAx val="-982136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Charts!$C$68</c:f>
          <c:strCache>
            <c:ptCount val="1"/>
            <c:pt idx="0">
              <c:v>EVR - Free Cash Flow</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Charts!$C$71</c:f>
              <c:strCache>
                <c:ptCount val="1"/>
                <c:pt idx="0">
                  <c:v>Free Cash Flow (FCF)</c:v>
                </c:pt>
              </c:strCache>
            </c:strRef>
          </c:tx>
          <c:spPr>
            <a:solidFill>
              <a:srgbClr val="002060"/>
            </a:solidFill>
            <a:ln>
              <a:solidFill>
                <a:srgbClr val="00355F"/>
              </a:solid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6-3768-4BA3-BA33-68462368C114}"/>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7-3768-4BA3-BA33-68462368C114}"/>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8-3768-4BA3-BA33-68462368C114}"/>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1-4FFA-472A-8845-8CC735DA113E}"/>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3-4FFA-472A-8845-8CC735DA113E}"/>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5-4FFA-472A-8845-8CC735DA113E}"/>
              </c:ext>
            </c:extLst>
          </c:dPt>
          <c:dLbls>
            <c:delete val="1"/>
          </c:dLbls>
          <c:cat>
            <c:strRef>
              <c:f>Charts!$D$70:$I$70</c:f>
              <c:strCache>
                <c:ptCount val="6"/>
                <c:pt idx="0">
                  <c:v>2023</c:v>
                </c:pt>
                <c:pt idx="1">
                  <c:v>2024</c:v>
                </c:pt>
                <c:pt idx="2">
                  <c:v>2025</c:v>
                </c:pt>
                <c:pt idx="3">
                  <c:v>2026e</c:v>
                </c:pt>
                <c:pt idx="4">
                  <c:v>2027e</c:v>
                </c:pt>
                <c:pt idx="5">
                  <c:v>2028e</c:v>
                </c:pt>
              </c:strCache>
            </c:strRef>
          </c:cat>
          <c:val>
            <c:numRef>
              <c:f>Charts!$D$71:$I$71</c:f>
              <c:numCache>
                <c:formatCode>"$"#,##0_);\("$"#,##0\)</c:formatCode>
                <c:ptCount val="6"/>
                <c:pt idx="0">
                  <c:v>-71792</c:v>
                </c:pt>
                <c:pt idx="1">
                  <c:v>351405</c:v>
                </c:pt>
                <c:pt idx="2">
                  <c:v>466034</c:v>
                </c:pt>
                <c:pt idx="3">
                  <c:v>824785.43739537057</c:v>
                </c:pt>
                <c:pt idx="4">
                  <c:v>1135711.0254087858</c:v>
                </c:pt>
                <c:pt idx="5">
                  <c:v>1308047.5751349512</c:v>
                </c:pt>
              </c:numCache>
            </c:numRef>
          </c:val>
          <c:extLst>
            <c:ext xmlns:c16="http://schemas.microsoft.com/office/drawing/2014/chart" uri="{C3380CC4-5D6E-409C-BE32-E72D297353CC}">
              <c16:uniqueId val="{00000006-4FFA-472A-8845-8CC735DA113E}"/>
            </c:ext>
          </c:extLst>
        </c:ser>
        <c:dLbls>
          <c:dLblPos val="outEnd"/>
          <c:showLegendKey val="0"/>
          <c:showVal val="1"/>
          <c:showCatName val="0"/>
          <c:showSerName val="0"/>
          <c:showPercent val="0"/>
          <c:showBubbleSize val="0"/>
        </c:dLbls>
        <c:gapWidth val="75"/>
        <c:axId val="-982143296"/>
        <c:axId val="-982144928"/>
      </c:barChart>
      <c:lineChart>
        <c:grouping val="standard"/>
        <c:varyColors val="0"/>
        <c:ser>
          <c:idx val="1"/>
          <c:order val="1"/>
          <c:tx>
            <c:strRef>
              <c:f>Charts!$C$72</c:f>
              <c:strCache>
                <c:ptCount val="1"/>
                <c:pt idx="0">
                  <c:v>Growth Rate YoY %</c:v>
                </c:pt>
              </c:strCache>
            </c:strRef>
          </c:tx>
          <c:spPr>
            <a:ln w="28575" cap="rnd">
              <a:solidFill>
                <a:srgbClr val="969696"/>
              </a:solidFill>
              <a:round/>
            </a:ln>
            <a:effectLst/>
          </c:spPr>
          <c:marker>
            <c:symbol val="none"/>
          </c:marker>
          <c:cat>
            <c:strRef>
              <c:f>Charts!$D$70:$I$70</c:f>
              <c:strCache>
                <c:ptCount val="6"/>
                <c:pt idx="0">
                  <c:v>2023</c:v>
                </c:pt>
                <c:pt idx="1">
                  <c:v>2024</c:v>
                </c:pt>
                <c:pt idx="2">
                  <c:v>2025</c:v>
                </c:pt>
                <c:pt idx="3">
                  <c:v>2026e</c:v>
                </c:pt>
                <c:pt idx="4">
                  <c:v>2027e</c:v>
                </c:pt>
                <c:pt idx="5">
                  <c:v>2028e</c:v>
                </c:pt>
              </c:strCache>
            </c:strRef>
          </c:cat>
          <c:val>
            <c:numRef>
              <c:f>Charts!$D$72:$I$72</c:f>
              <c:numCache>
                <c:formatCode>#,##0.0%_);\(#,##0.0%\);"-"</c:formatCode>
                <c:ptCount val="6"/>
                <c:pt idx="0">
                  <c:v>0</c:v>
                </c:pt>
                <c:pt idx="1">
                  <c:v>-5.8947654334744817</c:v>
                </c:pt>
                <c:pt idx="2">
                  <c:v>0.32620196070061613</c:v>
                </c:pt>
                <c:pt idx="3">
                  <c:v>0.76979670452235371</c:v>
                </c:pt>
                <c:pt idx="4">
                  <c:v>0.3769775433903173</c:v>
                </c:pt>
                <c:pt idx="5">
                  <c:v>0.15174330958364601</c:v>
                </c:pt>
              </c:numCache>
            </c:numRef>
          </c:val>
          <c:smooth val="1"/>
          <c:extLst>
            <c:ext xmlns:c16="http://schemas.microsoft.com/office/drawing/2014/chart" uri="{C3380CC4-5D6E-409C-BE32-E72D297353CC}">
              <c16:uniqueId val="{00000007-4FFA-472A-8845-8CC735DA113E}"/>
            </c:ext>
          </c:extLst>
        </c:ser>
        <c:dLbls>
          <c:showLegendKey val="0"/>
          <c:showVal val="0"/>
          <c:showCatName val="0"/>
          <c:showSerName val="0"/>
          <c:showPercent val="0"/>
          <c:showBubbleSize val="0"/>
        </c:dLbls>
        <c:marker val="1"/>
        <c:smooth val="0"/>
        <c:axId val="-982142208"/>
        <c:axId val="-982149280"/>
      </c:lineChart>
      <c:catAx>
        <c:axId val="-982143296"/>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4928"/>
        <c:crosses val="autoZero"/>
        <c:auto val="1"/>
        <c:lblAlgn val="ctr"/>
        <c:lblOffset val="100"/>
        <c:noMultiLvlLbl val="0"/>
      </c:catAx>
      <c:valAx>
        <c:axId val="-982144928"/>
        <c:scaling>
          <c:orientation val="minMax"/>
          <c:min val="0"/>
        </c:scaling>
        <c:delete val="0"/>
        <c:axPos val="l"/>
        <c:numFmt formatCode="&quot;$&quot;#,##0_);\(&quot;$&quot;#,##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3296"/>
        <c:crosses val="autoZero"/>
        <c:crossBetween val="between"/>
        <c:majorUnit val="100000"/>
      </c:valAx>
      <c:valAx>
        <c:axId val="-982149280"/>
        <c:scaling>
          <c:orientation val="minMax"/>
          <c:max val="1.2"/>
          <c:min val="-0.30000000000000004"/>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2208"/>
        <c:crosses val="max"/>
        <c:crossBetween val="between"/>
        <c:majorUnit val="5"/>
      </c:valAx>
      <c:catAx>
        <c:axId val="-982142208"/>
        <c:scaling>
          <c:orientation val="minMax"/>
        </c:scaling>
        <c:delete val="1"/>
        <c:axPos val="b"/>
        <c:numFmt formatCode="General" sourceLinked="1"/>
        <c:majorTickMark val="out"/>
        <c:minorTickMark val="none"/>
        <c:tickLblPos val="nextTo"/>
        <c:crossAx val="-9821492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Charts!$K$68</c:f>
          <c:strCache>
            <c:ptCount val="1"/>
            <c:pt idx="0">
              <c:v>EVR - Adj. EPS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Charts!$K$71</c:f>
              <c:strCache>
                <c:ptCount val="1"/>
                <c:pt idx="0">
                  <c:v>Adj. EPS (Diluted)</c:v>
                </c:pt>
              </c:strCache>
            </c:strRef>
          </c:tx>
          <c:spPr>
            <a:solidFill>
              <a:srgbClr val="00355F"/>
            </a:solidFill>
            <a:ln>
              <a:solidFill>
                <a:srgbClr val="00355F"/>
              </a:solidFill>
            </a:ln>
            <a:effectLst/>
          </c:spPr>
          <c:invertIfNegative val="0"/>
          <c:dPt>
            <c:idx val="0"/>
            <c:invertIfNegative val="0"/>
            <c:bubble3D val="0"/>
            <c:spPr>
              <a:solidFill>
                <a:srgbClr val="00355F"/>
              </a:solidFill>
              <a:ln>
                <a:solidFill>
                  <a:srgbClr val="00355F"/>
                </a:solidFill>
              </a:ln>
              <a:effectLst/>
            </c:spPr>
            <c:extLst>
              <c:ext xmlns:c16="http://schemas.microsoft.com/office/drawing/2014/chart" uri="{C3380CC4-5D6E-409C-BE32-E72D297353CC}">
                <c16:uniqueId val="{00000001-946A-467B-996C-524E9535EDB5}"/>
              </c:ext>
            </c:extLst>
          </c:dPt>
          <c:dPt>
            <c:idx val="1"/>
            <c:invertIfNegative val="0"/>
            <c:bubble3D val="0"/>
            <c:spPr>
              <a:solidFill>
                <a:srgbClr val="00355F"/>
              </a:solidFill>
              <a:ln>
                <a:solidFill>
                  <a:srgbClr val="00355F"/>
                </a:solidFill>
              </a:ln>
              <a:effectLst/>
            </c:spPr>
            <c:extLst>
              <c:ext xmlns:c16="http://schemas.microsoft.com/office/drawing/2014/chart" uri="{C3380CC4-5D6E-409C-BE32-E72D297353CC}">
                <c16:uniqueId val="{00000003-946A-467B-996C-524E9535EDB5}"/>
              </c:ext>
            </c:extLst>
          </c:dPt>
          <c:dPt>
            <c:idx val="2"/>
            <c:invertIfNegative val="0"/>
            <c:bubble3D val="0"/>
            <c:spPr>
              <a:solidFill>
                <a:srgbClr val="00355F"/>
              </a:solidFill>
              <a:ln>
                <a:solidFill>
                  <a:srgbClr val="00355F"/>
                </a:solidFill>
              </a:ln>
              <a:effectLst/>
            </c:spPr>
            <c:extLst>
              <c:ext xmlns:c16="http://schemas.microsoft.com/office/drawing/2014/chart" uri="{C3380CC4-5D6E-409C-BE32-E72D297353CC}">
                <c16:uniqueId val="{00000005-946A-467B-996C-524E9535EDB5}"/>
              </c:ext>
            </c:extLst>
          </c:dPt>
          <c:dPt>
            <c:idx val="3"/>
            <c:invertIfNegative val="0"/>
            <c:bubble3D val="0"/>
            <c:spPr>
              <a:solidFill>
                <a:srgbClr val="C0DEF6"/>
              </a:solidFill>
              <a:ln>
                <a:solidFill>
                  <a:srgbClr val="00355F"/>
                </a:solidFill>
              </a:ln>
              <a:effectLst/>
            </c:spPr>
            <c:extLst>
              <c:ext xmlns:c16="http://schemas.microsoft.com/office/drawing/2014/chart" uri="{C3380CC4-5D6E-409C-BE32-E72D297353CC}">
                <c16:uniqueId val="{00000007-946A-467B-996C-524E9535EDB5}"/>
              </c:ext>
            </c:extLst>
          </c:dPt>
          <c:dPt>
            <c:idx val="4"/>
            <c:invertIfNegative val="0"/>
            <c:bubble3D val="0"/>
            <c:spPr>
              <a:solidFill>
                <a:srgbClr val="C0DEF6"/>
              </a:solidFill>
              <a:ln>
                <a:solidFill>
                  <a:srgbClr val="00355F"/>
                </a:solidFill>
              </a:ln>
              <a:effectLst/>
            </c:spPr>
            <c:extLst>
              <c:ext xmlns:c16="http://schemas.microsoft.com/office/drawing/2014/chart" uri="{C3380CC4-5D6E-409C-BE32-E72D297353CC}">
                <c16:uniqueId val="{00000009-946A-467B-996C-524E9535EDB5}"/>
              </c:ext>
            </c:extLst>
          </c:dPt>
          <c:dPt>
            <c:idx val="5"/>
            <c:invertIfNegative val="0"/>
            <c:bubble3D val="0"/>
            <c:spPr>
              <a:solidFill>
                <a:srgbClr val="C0DEF6"/>
              </a:solidFill>
              <a:ln>
                <a:solidFill>
                  <a:srgbClr val="00355F"/>
                </a:solidFill>
              </a:ln>
              <a:effectLst/>
            </c:spPr>
            <c:extLst>
              <c:ext xmlns:c16="http://schemas.microsoft.com/office/drawing/2014/chart" uri="{C3380CC4-5D6E-409C-BE32-E72D297353CC}">
                <c16:uniqueId val="{0000000B-946A-467B-996C-524E9535EDB5}"/>
              </c:ext>
            </c:extLst>
          </c:dPt>
          <c:cat>
            <c:strRef>
              <c:f>Charts!$L$70:$Q$70</c:f>
              <c:strCache>
                <c:ptCount val="6"/>
                <c:pt idx="0">
                  <c:v>2023</c:v>
                </c:pt>
                <c:pt idx="1">
                  <c:v>2024</c:v>
                </c:pt>
                <c:pt idx="2">
                  <c:v>2025</c:v>
                </c:pt>
                <c:pt idx="3">
                  <c:v>2026e</c:v>
                </c:pt>
                <c:pt idx="4">
                  <c:v>2027e</c:v>
                </c:pt>
                <c:pt idx="5">
                  <c:v>2028e</c:v>
                </c:pt>
              </c:strCache>
            </c:strRef>
          </c:cat>
          <c:val>
            <c:numRef>
              <c:f>Charts!$L$71:$Q$71</c:f>
              <c:numCache>
                <c:formatCode>"$"#,##0.00_);\("$"#,##0.00\)</c:formatCode>
                <c:ptCount val="6"/>
                <c:pt idx="0">
                  <c:v>6.371206264495374</c:v>
                </c:pt>
                <c:pt idx="1">
                  <c:v>9.0832012678288425</c:v>
                </c:pt>
                <c:pt idx="2">
                  <c:v>14.049559706629323</c:v>
                </c:pt>
                <c:pt idx="3">
                  <c:v>25.791306843326122</c:v>
                </c:pt>
                <c:pt idx="4">
                  <c:v>27.030169440180391</c:v>
                </c:pt>
                <c:pt idx="5">
                  <c:v>27.912089942800439</c:v>
                </c:pt>
              </c:numCache>
            </c:numRef>
          </c:val>
          <c:extLst>
            <c:ext xmlns:c16="http://schemas.microsoft.com/office/drawing/2014/chart" uri="{C3380CC4-5D6E-409C-BE32-E72D297353CC}">
              <c16:uniqueId val="{0000000C-946A-467B-996C-524E9535EDB5}"/>
            </c:ext>
          </c:extLst>
        </c:ser>
        <c:dLbls>
          <c:showLegendKey val="0"/>
          <c:showVal val="0"/>
          <c:showCatName val="0"/>
          <c:showSerName val="0"/>
          <c:showPercent val="0"/>
          <c:showBubbleSize val="0"/>
        </c:dLbls>
        <c:gapWidth val="75"/>
        <c:overlap val="-27"/>
        <c:axId val="-982141664"/>
        <c:axId val="-982147648"/>
      </c:barChart>
      <c:lineChart>
        <c:grouping val="standard"/>
        <c:varyColors val="0"/>
        <c:ser>
          <c:idx val="1"/>
          <c:order val="1"/>
          <c:tx>
            <c:strRef>
              <c:f>Charts!$K$72</c:f>
              <c:strCache>
                <c:ptCount val="1"/>
                <c:pt idx="0">
                  <c:v>Growth Rate YoY %</c:v>
                </c:pt>
              </c:strCache>
            </c:strRef>
          </c:tx>
          <c:spPr>
            <a:ln w="28575" cap="rnd">
              <a:solidFill>
                <a:srgbClr val="969696"/>
              </a:solidFill>
              <a:round/>
            </a:ln>
            <a:effectLst/>
          </c:spPr>
          <c:marker>
            <c:symbol val="none"/>
          </c:marker>
          <c:cat>
            <c:strRef>
              <c:f>Charts!$L$70:$Q$70</c:f>
              <c:strCache>
                <c:ptCount val="6"/>
                <c:pt idx="0">
                  <c:v>2023</c:v>
                </c:pt>
                <c:pt idx="1">
                  <c:v>2024</c:v>
                </c:pt>
                <c:pt idx="2">
                  <c:v>2025</c:v>
                </c:pt>
                <c:pt idx="3">
                  <c:v>2026e</c:v>
                </c:pt>
                <c:pt idx="4">
                  <c:v>2027e</c:v>
                </c:pt>
                <c:pt idx="5">
                  <c:v>2028e</c:v>
                </c:pt>
              </c:strCache>
            </c:strRef>
          </c:cat>
          <c:val>
            <c:numRef>
              <c:f>Charts!$L$72:$Q$72</c:f>
              <c:numCache>
                <c:formatCode>#,##0.0%_);\(#,##0.0%\);"-"</c:formatCode>
                <c:ptCount val="6"/>
                <c:pt idx="0">
                  <c:v>0</c:v>
                </c:pt>
                <c:pt idx="1">
                  <c:v>0.42566429193267852</c:v>
                </c:pt>
                <c:pt idx="2">
                  <c:v>0.5467630070458176</c:v>
                </c:pt>
                <c:pt idx="3">
                  <c:v>0.83573772999850138</c:v>
                </c:pt>
                <c:pt idx="4">
                  <c:v>4.8034114920192383E-2</c:v>
                </c:pt>
                <c:pt idx="5">
                  <c:v>3.2627265048108534E-2</c:v>
                </c:pt>
              </c:numCache>
            </c:numRef>
          </c:val>
          <c:smooth val="1"/>
          <c:extLst>
            <c:ext xmlns:c16="http://schemas.microsoft.com/office/drawing/2014/chart" uri="{C3380CC4-5D6E-409C-BE32-E72D297353CC}">
              <c16:uniqueId val="{0000000D-946A-467B-996C-524E9535EDB5}"/>
            </c:ext>
          </c:extLst>
        </c:ser>
        <c:dLbls>
          <c:showLegendKey val="0"/>
          <c:showVal val="0"/>
          <c:showCatName val="0"/>
          <c:showSerName val="0"/>
          <c:showPercent val="0"/>
          <c:showBubbleSize val="0"/>
        </c:dLbls>
        <c:marker val="1"/>
        <c:smooth val="0"/>
        <c:axId val="-982140032"/>
        <c:axId val="-982150912"/>
      </c:lineChart>
      <c:catAx>
        <c:axId val="-98214166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7648"/>
        <c:crosses val="autoZero"/>
        <c:auto val="1"/>
        <c:lblAlgn val="ctr"/>
        <c:lblOffset val="100"/>
        <c:noMultiLvlLbl val="0"/>
      </c:catAx>
      <c:valAx>
        <c:axId val="-982147648"/>
        <c:scaling>
          <c:orientation val="minMax"/>
        </c:scaling>
        <c:delete val="0"/>
        <c:axPos val="l"/>
        <c:numFmt formatCode="&quot;$&quot;#,##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1664"/>
        <c:crosses val="autoZero"/>
        <c:crossBetween val="between"/>
      </c:valAx>
      <c:valAx>
        <c:axId val="-982150912"/>
        <c:scaling>
          <c:orientation val="minMax"/>
          <c:max val="1.1000000000000001"/>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40032"/>
        <c:crosses val="max"/>
        <c:crossBetween val="between"/>
        <c:majorUnit val="1"/>
      </c:valAx>
      <c:catAx>
        <c:axId val="-982140032"/>
        <c:scaling>
          <c:orientation val="minMax"/>
        </c:scaling>
        <c:delete val="1"/>
        <c:axPos val="b"/>
        <c:numFmt formatCode="General" sourceLinked="1"/>
        <c:majorTickMark val="none"/>
        <c:minorTickMark val="none"/>
        <c:tickLblPos val="nextTo"/>
        <c:crossAx val="-982150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Charts!$C$133</c:f>
          <c:strCache>
            <c:ptCount val="1"/>
            <c:pt idx="0">
              <c:v>EVR - Debt Distribution</c:v>
            </c:pt>
          </c:strCache>
        </c:strRef>
      </c:tx>
      <c:layout>
        <c:manualLayout>
          <c:xMode val="edge"/>
          <c:yMode val="edge"/>
          <c:x val="0.30952131414607659"/>
          <c:y val="4.597701149425287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stacked"/>
        <c:varyColors val="0"/>
        <c:ser>
          <c:idx val="0"/>
          <c:order val="0"/>
          <c:tx>
            <c:strRef>
              <c:f>Charts!$C$136</c:f>
              <c:strCache>
                <c:ptCount val="1"/>
                <c:pt idx="0">
                  <c:v>Revolver Outstanding</c:v>
                </c:pt>
              </c:strCache>
            </c:strRef>
          </c:tx>
          <c:spPr>
            <a:solidFill>
              <a:srgbClr val="969696"/>
            </a:solidFill>
            <a:ln>
              <a:noFill/>
            </a:ln>
            <a:effectLst/>
          </c:spPr>
          <c:invertIfNegative val="0"/>
          <c:cat>
            <c:numRef>
              <c:f>Charts!$D$135:$Q$135</c:f>
              <c:numCache>
                <c:formatCode>0</c:formatCode>
                <c:ptCount val="14"/>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numCache>
            </c:numRef>
          </c:cat>
          <c:val>
            <c:numRef>
              <c:f>Charts!$D$136:$Q$136</c:f>
              <c:numCache>
                <c:formatCode>"$"#,##0_);\("$"#,##0\)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7F31-441C-B72E-0F0D23AE2C19}"/>
            </c:ext>
          </c:extLst>
        </c:ser>
        <c:ser>
          <c:idx val="1"/>
          <c:order val="1"/>
          <c:tx>
            <c:strRef>
              <c:f>Charts!$C$137</c:f>
              <c:strCache>
                <c:ptCount val="1"/>
                <c:pt idx="0">
                  <c:v>Bond Principal</c:v>
                </c:pt>
              </c:strCache>
            </c:strRef>
          </c:tx>
          <c:spPr>
            <a:solidFill>
              <a:srgbClr val="00355F"/>
            </a:solidFill>
            <a:ln>
              <a:noFill/>
            </a:ln>
            <a:effectLst/>
          </c:spPr>
          <c:invertIfNegative val="0"/>
          <c:cat>
            <c:numRef>
              <c:f>Charts!$D$135:$Q$135</c:f>
              <c:numCache>
                <c:formatCode>0</c:formatCode>
                <c:ptCount val="14"/>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numCache>
            </c:numRef>
          </c:cat>
          <c:val>
            <c:numRef>
              <c:f>Charts!$D$137:$Q$137</c:f>
              <c:numCache>
                <c:formatCode>#,##0_);\(#,##0\)</c:formatCode>
                <c:ptCount val="14"/>
                <c:pt idx="0">
                  <c:v>0</c:v>
                </c:pt>
                <c:pt idx="1">
                  <c:v>123130</c:v>
                </c:pt>
                <c:pt idx="2">
                  <c:v>123130</c:v>
                </c:pt>
                <c:pt idx="3">
                  <c:v>152680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7F31-441C-B72E-0F0D23AE2C19}"/>
            </c:ext>
          </c:extLst>
        </c:ser>
        <c:ser>
          <c:idx val="2"/>
          <c:order val="2"/>
          <c:tx>
            <c:strRef>
              <c:f>Charts!$C$138</c:f>
              <c:strCache>
                <c:ptCount val="1"/>
                <c:pt idx="0">
                  <c:v>TL Outstanding</c:v>
                </c:pt>
              </c:strCache>
            </c:strRef>
          </c:tx>
          <c:spPr>
            <a:solidFill>
              <a:srgbClr val="C0DEF6"/>
            </a:solidFill>
            <a:ln>
              <a:noFill/>
            </a:ln>
            <a:effectLst/>
          </c:spPr>
          <c:invertIfNegative val="0"/>
          <c:cat>
            <c:numRef>
              <c:f>Charts!$D$135:$Q$135</c:f>
              <c:numCache>
                <c:formatCode>0</c:formatCode>
                <c:ptCount val="14"/>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numCache>
            </c:numRef>
          </c:cat>
          <c:val>
            <c:numRef>
              <c:f>Charts!$D$138:$Q$138</c:f>
              <c:numCache>
                <c:formatCode>#,##0_);\(#,##0\)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7F31-441C-B72E-0F0D23AE2C19}"/>
            </c:ext>
          </c:extLst>
        </c:ser>
        <c:dLbls>
          <c:showLegendKey val="0"/>
          <c:showVal val="0"/>
          <c:showCatName val="0"/>
          <c:showSerName val="0"/>
          <c:showPercent val="0"/>
          <c:showBubbleSize val="0"/>
        </c:dLbls>
        <c:gapWidth val="150"/>
        <c:overlap val="100"/>
        <c:axId val="-982137312"/>
        <c:axId val="-984184992"/>
      </c:barChart>
      <c:catAx>
        <c:axId val="-982137312"/>
        <c:scaling>
          <c:orientation val="minMax"/>
        </c:scaling>
        <c:delete val="0"/>
        <c:axPos val="b"/>
        <c:numFmt formatCode="0" sourceLinked="1"/>
        <c:majorTickMark val="out"/>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4992"/>
        <c:crosses val="autoZero"/>
        <c:auto val="1"/>
        <c:lblAlgn val="ctr"/>
        <c:lblOffset val="100"/>
        <c:noMultiLvlLbl val="0"/>
      </c:catAx>
      <c:valAx>
        <c:axId val="-984184992"/>
        <c:scaling>
          <c:orientation val="minMax"/>
          <c:max val="20000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2137312"/>
        <c:crosses val="autoZero"/>
        <c:crossBetween val="between"/>
        <c:majorUnit val="4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Charts!$C$157</c:f>
          <c:strCache>
            <c:ptCount val="1"/>
            <c:pt idx="0">
              <c:v>Med Tech Revenues</c:v>
            </c:pt>
          </c:strCache>
        </c:strRef>
      </c:tx>
      <c:layout>
        <c:manualLayout>
          <c:xMode val="edge"/>
          <c:yMode val="edge"/>
          <c:x val="0.36344851621764912"/>
          <c:y val="5.79462484544803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stacked"/>
        <c:varyColors val="0"/>
        <c:ser>
          <c:idx val="0"/>
          <c:order val="0"/>
          <c:tx>
            <c:strRef>
              <c:f>Charts!$C$160</c:f>
              <c:strCache>
                <c:ptCount val="1"/>
                <c:pt idx="0">
                  <c:v>Total Sales</c:v>
                </c:pt>
              </c:strCache>
            </c:strRef>
          </c:tx>
          <c:spPr>
            <a:solidFill>
              <a:schemeClr val="accent1"/>
            </a:solidFill>
            <a:ln>
              <a:noFill/>
            </a:ln>
            <a:effectLst/>
          </c:spPr>
          <c:invertIfNegative val="0"/>
          <c:dLbls>
            <c:delete val="1"/>
          </c:dLbls>
          <c:val>
            <c:numRef>
              <c:f>Charts!$D$160:$I$160</c:f>
            </c:numRef>
          </c:val>
          <c:extLst>
            <c:ext xmlns:c15="http://schemas.microsoft.com/office/drawing/2012/chart" uri="{02D57815-91ED-43cb-92C2-25804820EDAC}">
              <c15:filteredCategoryTitle>
                <c15:cat>
                  <c:multiLvlStrRef>
                    <c:extLst>
                      <c:ext uri="{02D57815-91ED-43cb-92C2-25804820EDAC}">
                        <c15:formulaRef>
                          <c15:sqref>Charts!$D$159:$I$159</c15:sqref>
                        </c15:formulaRef>
                      </c:ext>
                    </c:extLst>
                  </c:multiLvlStrRef>
                </c15:cat>
              </c15:filteredCategoryTitle>
            </c:ext>
            <c:ext xmlns:c16="http://schemas.microsoft.com/office/drawing/2014/chart" uri="{C3380CC4-5D6E-409C-BE32-E72D297353CC}">
              <c16:uniqueId val="{0000000C-8DFB-4CDC-A9A1-D4D1108BAC75}"/>
            </c:ext>
          </c:extLst>
        </c:ser>
        <c:dLbls>
          <c:showLegendKey val="0"/>
          <c:showVal val="1"/>
          <c:showCatName val="0"/>
          <c:showSerName val="0"/>
          <c:showPercent val="0"/>
          <c:showBubbleSize val="0"/>
        </c:dLbls>
        <c:gapWidth val="150"/>
        <c:overlap val="100"/>
        <c:axId val="-984190976"/>
        <c:axId val="-984183904"/>
      </c:barChart>
      <c:catAx>
        <c:axId val="-984190976"/>
        <c:scaling>
          <c:orientation val="minMax"/>
        </c:scaling>
        <c:delete val="0"/>
        <c:axPos val="b"/>
        <c:numFmt formatCode="yyyy"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3904"/>
        <c:crosses val="autoZero"/>
        <c:auto val="1"/>
        <c:lblAlgn val="ctr"/>
        <c:lblOffset val="100"/>
        <c:noMultiLvlLbl val="1"/>
      </c:catAx>
      <c:valAx>
        <c:axId val="-984183904"/>
        <c:scaling>
          <c:orientation val="minMax"/>
          <c:min val="30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90976"/>
        <c:crosses val="autoZero"/>
        <c:crossBetween val="between"/>
        <c:majorUnit val="50"/>
      </c:valAx>
      <c:spPr>
        <a:noFill/>
        <a:ln>
          <a:noFill/>
        </a:ln>
        <a:effectLst/>
      </c:spPr>
    </c:plotArea>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Charts!$K$157</c:f>
          <c:strCache>
            <c:ptCount val="1"/>
            <c:pt idx="0">
              <c:v>Structural Heart Market</c:v>
            </c:pt>
          </c:strCache>
        </c:strRef>
      </c:tx>
      <c:layout>
        <c:manualLayout>
          <c:xMode val="edge"/>
          <c:yMode val="edge"/>
          <c:x val="0.34898388087376025"/>
          <c:y val="4.141732283464567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manualLayout>
          <c:layoutTarget val="inner"/>
          <c:xMode val="edge"/>
          <c:yMode val="edge"/>
          <c:x val="0.11234713891810455"/>
          <c:y val="0.12853994490358125"/>
          <c:w val="0.84794166974615537"/>
          <c:h val="0.75796143250688697"/>
        </c:manualLayout>
      </c:layout>
      <c:barChart>
        <c:barDir val="col"/>
        <c:grouping val="stacked"/>
        <c:varyColors val="0"/>
        <c:ser>
          <c:idx val="0"/>
          <c:order val="0"/>
          <c:tx>
            <c:strRef>
              <c:f>Charts!$C$160</c:f>
              <c:strCache>
                <c:ptCount val="1"/>
                <c:pt idx="0">
                  <c:v>Total Sales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Charts!$L$160:$Q$160</c:f>
            </c:numRef>
          </c:val>
          <c:extLst>
            <c:ext xmlns:c15="http://schemas.microsoft.com/office/drawing/2012/chart" uri="{02D57815-91ED-43cb-92C2-25804820EDAC}">
              <c15:filteredCategoryTitle>
                <c15:cat>
                  <c:multiLvlStrRef>
                    <c:extLst>
                      <c:ext uri="{02D57815-91ED-43cb-92C2-25804820EDAC}">
                        <c15:formulaRef>
                          <c15:sqref>Charts!$L$159:$Q$159</c15:sqref>
                        </c15:formulaRef>
                      </c:ext>
                    </c:extLst>
                  </c:multiLvlStrRef>
                </c15:cat>
              </c15:filteredCategoryTitle>
            </c:ext>
            <c:ext xmlns:c16="http://schemas.microsoft.com/office/drawing/2014/chart" uri="{C3380CC4-5D6E-409C-BE32-E72D297353CC}">
              <c16:uniqueId val="{00000007-62ED-49A6-BEC3-10ABC7E3A492}"/>
            </c:ext>
          </c:extLst>
        </c:ser>
        <c:dLbls>
          <c:showLegendKey val="0"/>
          <c:showVal val="1"/>
          <c:showCatName val="0"/>
          <c:showSerName val="0"/>
          <c:showPercent val="0"/>
          <c:showBubbleSize val="0"/>
        </c:dLbls>
        <c:gapWidth val="150"/>
        <c:overlap val="100"/>
        <c:axId val="-984182272"/>
        <c:axId val="-984189344"/>
      </c:barChart>
      <c:catAx>
        <c:axId val="-984182272"/>
        <c:scaling>
          <c:orientation val="minMax"/>
        </c:scaling>
        <c:delete val="0"/>
        <c:axPos val="b"/>
        <c:numFmt formatCode="yyyy" sourceLinked="1"/>
        <c:majorTickMark val="out"/>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9344"/>
        <c:crosses val="autoZero"/>
        <c:auto val="1"/>
        <c:lblAlgn val="ctr"/>
        <c:lblOffset val="100"/>
        <c:noMultiLvlLbl val="1"/>
      </c:catAx>
      <c:valAx>
        <c:axId val="-984189344"/>
        <c:scaling>
          <c:orientation val="minMax"/>
          <c:max val="0.2"/>
          <c:min val="0"/>
        </c:scaling>
        <c:delete val="0"/>
        <c:axPos val="l"/>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2272"/>
        <c:crosses val="autoZero"/>
        <c:crossBetween val="between"/>
        <c:majorUnit val="5.000000000000001E-2"/>
      </c:valAx>
      <c:spPr>
        <a:noFill/>
        <a:ln>
          <a:noFill/>
        </a:ln>
        <a:effectLst/>
      </c:spPr>
    </c:plotArea>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Charts!$C$88</c:f>
          <c:strCache>
            <c:ptCount val="1"/>
            <c:pt idx="0">
              <c:v>Total Company Revenue</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barChart>
        <c:barDir val="col"/>
        <c:grouping val="clustered"/>
        <c:varyColors val="0"/>
        <c:ser>
          <c:idx val="0"/>
          <c:order val="0"/>
          <c:tx>
            <c:strRef>
              <c:f>Charts!$C$91</c:f>
              <c:strCache>
                <c:ptCount val="1"/>
                <c:pt idx="0">
                  <c:v>Total Company Revenue</c:v>
                </c:pt>
              </c:strCache>
            </c:strRef>
          </c:tx>
          <c:spPr>
            <a:solidFill>
              <a:srgbClr val="00355F"/>
            </a:solidFill>
            <a:ln>
              <a:solidFill>
                <a:srgbClr val="00355F"/>
              </a:solidFill>
            </a:ln>
            <a:effectLst/>
          </c:spPr>
          <c:invertIfNegative val="0"/>
          <c:dPt>
            <c:idx val="7"/>
            <c:invertIfNegative val="0"/>
            <c:bubble3D val="0"/>
            <c:spPr>
              <a:solidFill>
                <a:srgbClr val="C0DEF6"/>
              </a:solidFill>
              <a:ln>
                <a:solidFill>
                  <a:srgbClr val="00355F"/>
                </a:solidFill>
              </a:ln>
              <a:effectLst/>
            </c:spPr>
            <c:extLst>
              <c:ext xmlns:c16="http://schemas.microsoft.com/office/drawing/2014/chart" uri="{C3380CC4-5D6E-409C-BE32-E72D297353CC}">
                <c16:uniqueId val="{0000000E-99C2-46E5-B7CB-922DCEEEA8B2}"/>
              </c:ext>
            </c:extLst>
          </c:dPt>
          <c:dPt>
            <c:idx val="8"/>
            <c:invertIfNegative val="0"/>
            <c:bubble3D val="0"/>
            <c:spPr>
              <a:solidFill>
                <a:srgbClr val="C0DEF6"/>
              </a:solidFill>
              <a:ln>
                <a:solidFill>
                  <a:srgbClr val="00355F"/>
                </a:solidFill>
              </a:ln>
              <a:effectLst/>
            </c:spPr>
            <c:extLst>
              <c:ext xmlns:c16="http://schemas.microsoft.com/office/drawing/2014/chart" uri="{C3380CC4-5D6E-409C-BE32-E72D297353CC}">
                <c16:uniqueId val="{0000000F-99C2-46E5-B7CB-922DCEEEA8B2}"/>
              </c:ext>
            </c:extLst>
          </c:dPt>
          <c:dPt>
            <c:idx val="9"/>
            <c:invertIfNegative val="0"/>
            <c:bubble3D val="0"/>
            <c:spPr>
              <a:solidFill>
                <a:srgbClr val="C0DEF6"/>
              </a:solidFill>
              <a:ln>
                <a:solidFill>
                  <a:srgbClr val="00355F"/>
                </a:solidFill>
              </a:ln>
              <a:effectLst/>
            </c:spPr>
            <c:extLst>
              <c:ext xmlns:c16="http://schemas.microsoft.com/office/drawing/2014/chart" uri="{C3380CC4-5D6E-409C-BE32-E72D297353CC}">
                <c16:uniqueId val="{00000008-A97C-4101-B5C0-FF4BFEA478E5}"/>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Charts!$D$91:$Q$91</c:f>
              <c:numCache>
                <c:formatCode>"$"#,##0_);\("$"#,##0\)</c:formatCode>
                <c:ptCount val="14"/>
                <c:pt idx="0">
                  <c:v>56223</c:v>
                </c:pt>
                <c:pt idx="1">
                  <c:v>59074</c:v>
                </c:pt>
                <c:pt idx="2">
                  <c:v>65017</c:v>
                </c:pt>
                <c:pt idx="3">
                  <c:v>68619</c:v>
                </c:pt>
                <c:pt idx="4">
                  <c:v>2442666</c:v>
                </c:pt>
                <c:pt idx="5">
                  <c:v>2996361</c:v>
                </c:pt>
                <c:pt idx="6">
                  <c:v>3880084</c:v>
                </c:pt>
                <c:pt idx="7">
                  <c:v>6774791.6859819032</c:v>
                </c:pt>
                <c:pt idx="8">
                  <c:v>7663353.3862973023</c:v>
                </c:pt>
                <c:pt idx="9">
                  <c:v>7894057.7637738818</c:v>
                </c:pt>
                <c:pt idx="10">
                  <c:v>2996361</c:v>
                </c:pt>
                <c:pt idx="11">
                  <c:v>3880084</c:v>
                </c:pt>
                <c:pt idx="12">
                  <c:v>6774791.6859819032</c:v>
                </c:pt>
                <c:pt idx="13">
                  <c:v>12149114.371963806</c:v>
                </c:pt>
              </c:numCache>
            </c:numRef>
          </c:val>
          <c:extLst>
            <c:ext xmlns:c16="http://schemas.microsoft.com/office/drawing/2014/chart" uri="{C3380CC4-5D6E-409C-BE32-E72D297353CC}">
              <c16:uniqueId val="{0000000C-99C2-46E5-B7CB-922DCEEEA8B2}"/>
            </c:ext>
          </c:extLst>
        </c:ser>
        <c:dLbls>
          <c:showLegendKey val="0"/>
          <c:showVal val="0"/>
          <c:showCatName val="0"/>
          <c:showSerName val="0"/>
          <c:showPercent val="0"/>
          <c:showBubbleSize val="0"/>
        </c:dLbls>
        <c:gapWidth val="75"/>
        <c:overlap val="-27"/>
        <c:axId val="-984179008"/>
        <c:axId val="-984181184"/>
      </c:barChart>
      <c:lineChart>
        <c:grouping val="standard"/>
        <c:varyColors val="0"/>
        <c:ser>
          <c:idx val="1"/>
          <c:order val="1"/>
          <c:tx>
            <c:strRef>
              <c:f>Charts!$C$92</c:f>
              <c:strCache>
                <c:ptCount val="1"/>
                <c:pt idx="0">
                  <c:v>Growth Rate YoY %</c:v>
                </c:pt>
              </c:strCache>
            </c:strRef>
          </c:tx>
          <c:spPr>
            <a:ln w="28575" cap="rnd">
              <a:solidFill>
                <a:srgbClr val="969696"/>
              </a:solidFill>
              <a:round/>
            </a:ln>
            <a:effectLst/>
          </c:spPr>
          <c:marker>
            <c:symbol val="none"/>
          </c:marker>
          <c:dPt>
            <c:idx val="7"/>
            <c:marker>
              <c:symbol val="none"/>
            </c:marker>
            <c:bubble3D val="0"/>
            <c:spPr>
              <a:ln w="28575" cap="rnd">
                <a:solidFill>
                  <a:srgbClr val="969696"/>
                </a:solidFill>
                <a:prstDash val="dash"/>
                <a:round/>
              </a:ln>
              <a:effectLst/>
            </c:spPr>
            <c:extLst>
              <c:ext xmlns:c16="http://schemas.microsoft.com/office/drawing/2014/chart" uri="{C3380CC4-5D6E-409C-BE32-E72D297353CC}">
                <c16:uniqueId val="{00000011-99C2-46E5-B7CB-922DCEEEA8B2}"/>
              </c:ext>
            </c:extLst>
          </c:dPt>
          <c:dPt>
            <c:idx val="8"/>
            <c:marker>
              <c:symbol val="none"/>
            </c:marker>
            <c:bubble3D val="0"/>
            <c:spPr>
              <a:ln w="28575" cap="rnd">
                <a:solidFill>
                  <a:srgbClr val="969696"/>
                </a:solidFill>
                <a:prstDash val="dash"/>
                <a:round/>
              </a:ln>
              <a:effectLst/>
            </c:spPr>
            <c:extLst>
              <c:ext xmlns:c16="http://schemas.microsoft.com/office/drawing/2014/chart" uri="{C3380CC4-5D6E-409C-BE32-E72D297353CC}">
                <c16:uniqueId val="{00000010-99C2-46E5-B7CB-922DCEEEA8B2}"/>
              </c:ext>
            </c:extLst>
          </c:dPt>
          <c:dPt>
            <c:idx val="9"/>
            <c:marker>
              <c:symbol val="none"/>
            </c:marker>
            <c:bubble3D val="0"/>
            <c:spPr>
              <a:ln w="28575" cap="rnd">
                <a:solidFill>
                  <a:srgbClr val="969696"/>
                </a:solidFill>
                <a:prstDash val="dash"/>
                <a:round/>
              </a:ln>
              <a:effectLst/>
            </c:spPr>
            <c:extLst>
              <c:ext xmlns:c16="http://schemas.microsoft.com/office/drawing/2014/chart" uri="{C3380CC4-5D6E-409C-BE32-E72D297353CC}">
                <c16:uniqueId val="{00000009-A97C-4101-B5C0-FF4BFEA478E5}"/>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Charts!$D$92:$Q$92</c:f>
              <c:numCache>
                <c:formatCode>#,##0.0%_);\(#,##0.0%\);"-"</c:formatCode>
                <c:ptCount val="14"/>
                <c:pt idx="0">
                  <c:v>5.2999999999999999E-2</c:v>
                </c:pt>
                <c:pt idx="1">
                  <c:v>5.0708784661081863E-2</c:v>
                </c:pt>
                <c:pt idx="2">
                  <c:v>0.10060263398449409</c:v>
                </c:pt>
                <c:pt idx="3">
                  <c:v>5.5400895150499174E-2</c:v>
                </c:pt>
                <c:pt idx="4">
                  <c:v>34.597516722773577</c:v>
                </c:pt>
                <c:pt idx="5">
                  <c:v>0.22667650837240938</c:v>
                </c:pt>
                <c:pt idx="6">
                  <c:v>0.2949320859535951</c:v>
                </c:pt>
                <c:pt idx="7">
                  <c:v>0.74604253051787106</c:v>
                </c:pt>
                <c:pt idx="8">
                  <c:v>0.13115705124247157</c:v>
                </c:pt>
                <c:pt idx="9">
                  <c:v>3.01048856612951E-2</c:v>
                </c:pt>
                <c:pt idx="10">
                  <c:v>0.17499999999999999</c:v>
                </c:pt>
                <c:pt idx="11">
                  <c:v>0.2949320859535951</c:v>
                </c:pt>
                <c:pt idx="12">
                  <c:v>0.74604253051787106</c:v>
                </c:pt>
                <c:pt idx="13">
                  <c:v>0.79328235244519951</c:v>
                </c:pt>
              </c:numCache>
            </c:numRef>
          </c:val>
          <c:smooth val="1"/>
          <c:extLst>
            <c:ext xmlns:c16="http://schemas.microsoft.com/office/drawing/2014/chart" uri="{C3380CC4-5D6E-409C-BE32-E72D297353CC}">
              <c16:uniqueId val="{0000000D-99C2-46E5-B7CB-922DCEEEA8B2}"/>
            </c:ext>
          </c:extLst>
        </c:ser>
        <c:dLbls>
          <c:showLegendKey val="0"/>
          <c:showVal val="0"/>
          <c:showCatName val="0"/>
          <c:showSerName val="0"/>
          <c:showPercent val="0"/>
          <c:showBubbleSize val="0"/>
        </c:dLbls>
        <c:marker val="1"/>
        <c:smooth val="0"/>
        <c:axId val="-984186080"/>
        <c:axId val="-984188800"/>
      </c:lineChart>
      <c:catAx>
        <c:axId val="-98417900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1184"/>
        <c:crosses val="autoZero"/>
        <c:auto val="1"/>
        <c:lblAlgn val="ctr"/>
        <c:lblOffset val="100"/>
        <c:noMultiLvlLbl val="0"/>
      </c:catAx>
      <c:valAx>
        <c:axId val="-984181184"/>
        <c:scaling>
          <c:orientation val="minMax"/>
          <c:max val="125000"/>
          <c:min val="0"/>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79008"/>
        <c:crosses val="autoZero"/>
        <c:crossBetween val="between"/>
        <c:majorUnit val="25000"/>
      </c:valAx>
      <c:valAx>
        <c:axId val="-984188800"/>
        <c:scaling>
          <c:orientation val="minMax"/>
          <c:max val="0.5"/>
          <c:min val="-0.25"/>
        </c:scaling>
        <c:delete val="0"/>
        <c:axPos val="r"/>
        <c:numFmt formatCode="#,##0%_);\(#,##0%\);&quot;-&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6080"/>
        <c:crosses val="max"/>
        <c:crossBetween val="between"/>
        <c:majorUnit val="0.15000000000000002"/>
      </c:valAx>
      <c:catAx>
        <c:axId val="-984186080"/>
        <c:scaling>
          <c:orientation val="minMax"/>
        </c:scaling>
        <c:delete val="1"/>
        <c:axPos val="b"/>
        <c:numFmt formatCode="General" sourceLinked="1"/>
        <c:majorTickMark val="none"/>
        <c:minorTickMark val="none"/>
        <c:tickLblPos val="nextTo"/>
        <c:crossAx val="-9841888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badi" panose="020B0604020104020204" pitchFamily="34" charset="0"/>
              <a:ea typeface="+mn-ea"/>
              <a:cs typeface="+mn-cs"/>
            </a:defRPr>
          </a:pPr>
          <a:endParaRPr lang="en-US"/>
        </a:p>
      </c:txPr>
    </c:title>
    <c:autoTitleDeleted val="0"/>
    <c:plotArea>
      <c:layout>
        <c:manualLayout>
          <c:layoutTarget val="inner"/>
          <c:xMode val="edge"/>
          <c:yMode val="edge"/>
          <c:x val="0.28188187034641066"/>
          <c:y val="0.14039669815553707"/>
          <c:w val="0.44362787465450026"/>
          <c:h val="0.68060695433912899"/>
        </c:manualLayout>
      </c:layout>
      <c:doughnutChart>
        <c:varyColors val="1"/>
        <c:ser>
          <c:idx val="0"/>
          <c:order val="0"/>
          <c:tx>
            <c:strRef>
              <c:f>Charts!$C$117</c:f>
              <c:strCache>
                <c:ptCount val="1"/>
                <c:pt idx="0">
                  <c:v>Segment Revenue</c:v>
                </c:pt>
              </c:strCache>
            </c:strRef>
          </c:tx>
          <c:dPt>
            <c:idx val="0"/>
            <c:bubble3D val="0"/>
            <c:spPr>
              <a:solidFill>
                <a:srgbClr val="7F7F7F"/>
              </a:solidFill>
              <a:ln w="19050">
                <a:solidFill>
                  <a:schemeClr val="lt1"/>
                </a:solidFill>
              </a:ln>
              <a:effectLst/>
            </c:spPr>
            <c:extLst>
              <c:ext xmlns:c16="http://schemas.microsoft.com/office/drawing/2014/chart" uri="{C3380CC4-5D6E-409C-BE32-E72D297353CC}">
                <c16:uniqueId val="{00000004-66D9-446B-9473-2B08C8B0956C}"/>
              </c:ext>
            </c:extLst>
          </c:dPt>
          <c:dPt>
            <c:idx val="1"/>
            <c:bubble3D val="0"/>
            <c:spPr>
              <a:solidFill>
                <a:srgbClr val="760000"/>
              </a:solidFill>
              <a:ln w="19050">
                <a:solidFill>
                  <a:schemeClr val="lt1"/>
                </a:solidFill>
              </a:ln>
              <a:effectLst/>
            </c:spPr>
            <c:extLst>
              <c:ext xmlns:c16="http://schemas.microsoft.com/office/drawing/2014/chart" uri="{C3380CC4-5D6E-409C-BE32-E72D297353CC}">
                <c16:uniqueId val="{00000002-66D9-446B-9473-2B08C8B0956C}"/>
              </c:ext>
            </c:extLst>
          </c:dPt>
          <c:dPt>
            <c:idx val="2"/>
            <c:bubble3D val="0"/>
            <c:spPr>
              <a:solidFill>
                <a:srgbClr val="00355F"/>
              </a:solidFill>
              <a:ln w="19050">
                <a:solidFill>
                  <a:schemeClr val="lt1"/>
                </a:solidFill>
              </a:ln>
              <a:effectLst/>
            </c:spPr>
            <c:extLst>
              <c:ext xmlns:c16="http://schemas.microsoft.com/office/drawing/2014/chart" uri="{C3380CC4-5D6E-409C-BE32-E72D297353CC}">
                <c16:uniqueId val="{00000003-66D9-446B-9473-2B08C8B0956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Charts!$D$116:$F$116</c:f>
              <c:strCache>
                <c:ptCount val="3"/>
                <c:pt idx="0">
                  <c:v>Investment Banking &amp; Equities</c:v>
                </c:pt>
                <c:pt idx="1">
                  <c:v>Investment Management</c:v>
                </c:pt>
                <c:pt idx="2">
                  <c:v>Segment 5</c:v>
                </c:pt>
              </c:strCache>
            </c:strRef>
          </c:cat>
          <c:val>
            <c:numRef>
              <c:f>Charts!$D$117:$F$117</c:f>
              <c:numCache>
                <c:formatCode>0%</c:formatCode>
                <c:ptCount val="3"/>
                <c:pt idx="0">
                  <c:v>0.95086059992515626</c:v>
                </c:pt>
                <c:pt idx="1">
                  <c:v>4.9139400074843742E-2</c:v>
                </c:pt>
                <c:pt idx="2">
                  <c:v>0</c:v>
                </c:pt>
              </c:numCache>
            </c:numRef>
          </c:val>
          <c:extLst>
            <c:ext xmlns:c16="http://schemas.microsoft.com/office/drawing/2014/chart" uri="{C3380CC4-5D6E-409C-BE32-E72D297353CC}">
              <c16:uniqueId val="{00000000-66D9-446B-9473-2B08C8B0956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00">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575488958681887E-2"/>
          <c:y val="4.4310171198388724E-2"/>
          <c:w val="0.89206026907715352"/>
          <c:h val="0.77126023899580531"/>
        </c:manualLayout>
      </c:layout>
      <c:lineChart>
        <c:grouping val="standard"/>
        <c:varyColors val="0"/>
        <c:ser>
          <c:idx val="0"/>
          <c:order val="0"/>
          <c:tx>
            <c:strRef>
              <c:f>Charts!$D$179</c:f>
              <c:strCache>
                <c:ptCount val="1"/>
                <c:pt idx="0">
                  <c:v>Last Price</c:v>
                </c:pt>
              </c:strCache>
            </c:strRef>
          </c:tx>
          <c:spPr>
            <a:ln w="25400" cap="rnd">
              <a:solidFill>
                <a:srgbClr val="00355F"/>
              </a:solidFill>
              <a:round/>
            </a:ln>
            <a:effectLst/>
          </c:spPr>
          <c:marker>
            <c:symbol val="none"/>
          </c:marker>
          <c:dPt>
            <c:idx val="249"/>
            <c:bubble3D val="0"/>
            <c:spPr>
              <a:ln w="25400" cap="rnd">
                <a:solidFill>
                  <a:schemeClr val="bg1"/>
                </a:solidFill>
                <a:round/>
              </a:ln>
              <a:effectLst/>
            </c:spPr>
            <c:extLst>
              <c:ext xmlns:c16="http://schemas.microsoft.com/office/drawing/2014/chart" uri="{C3380CC4-5D6E-409C-BE32-E72D297353CC}">
                <c16:uniqueId val="{00000001-0B94-48BC-9131-EAC60214AD78}"/>
              </c:ext>
            </c:extLst>
          </c:dPt>
          <c:cat>
            <c:numRef>
              <c:f>Charts!$C$180:$C$447</c:f>
              <c:numCache>
                <c:formatCode>m/d/yyyy</c:formatCode>
                <c:ptCount val="268"/>
                <c:pt idx="0">
                  <c:v>46248</c:v>
                </c:pt>
                <c:pt idx="1">
                  <c:v>45702</c:v>
                </c:pt>
                <c:pt idx="2">
                  <c:v>45701</c:v>
                </c:pt>
                <c:pt idx="3">
                  <c:v>45700</c:v>
                </c:pt>
                <c:pt idx="4">
                  <c:v>45699</c:v>
                </c:pt>
                <c:pt idx="5">
                  <c:v>45698</c:v>
                </c:pt>
                <c:pt idx="6">
                  <c:v>45695</c:v>
                </c:pt>
                <c:pt idx="7">
                  <c:v>45694</c:v>
                </c:pt>
                <c:pt idx="8">
                  <c:v>45693</c:v>
                </c:pt>
                <c:pt idx="9">
                  <c:v>45692</c:v>
                </c:pt>
                <c:pt idx="10">
                  <c:v>45691</c:v>
                </c:pt>
                <c:pt idx="11">
                  <c:v>45688</c:v>
                </c:pt>
                <c:pt idx="12">
                  <c:v>45687</c:v>
                </c:pt>
                <c:pt idx="13">
                  <c:v>45686</c:v>
                </c:pt>
                <c:pt idx="14">
                  <c:v>45685</c:v>
                </c:pt>
                <c:pt idx="15">
                  <c:v>45684</c:v>
                </c:pt>
                <c:pt idx="16">
                  <c:v>45681</c:v>
                </c:pt>
                <c:pt idx="17">
                  <c:v>45680</c:v>
                </c:pt>
                <c:pt idx="18">
                  <c:v>45679</c:v>
                </c:pt>
                <c:pt idx="19">
                  <c:v>45678</c:v>
                </c:pt>
                <c:pt idx="20">
                  <c:v>45674</c:v>
                </c:pt>
                <c:pt idx="21">
                  <c:v>45673</c:v>
                </c:pt>
                <c:pt idx="22">
                  <c:v>45672</c:v>
                </c:pt>
                <c:pt idx="23">
                  <c:v>45671</c:v>
                </c:pt>
                <c:pt idx="24">
                  <c:v>45670</c:v>
                </c:pt>
                <c:pt idx="25">
                  <c:v>45667</c:v>
                </c:pt>
                <c:pt idx="26">
                  <c:v>45665</c:v>
                </c:pt>
                <c:pt idx="27">
                  <c:v>45664</c:v>
                </c:pt>
                <c:pt idx="28">
                  <c:v>45663</c:v>
                </c:pt>
                <c:pt idx="29">
                  <c:v>45660</c:v>
                </c:pt>
                <c:pt idx="30">
                  <c:v>45659</c:v>
                </c:pt>
                <c:pt idx="31">
                  <c:v>45657</c:v>
                </c:pt>
                <c:pt idx="32">
                  <c:v>45656</c:v>
                </c:pt>
                <c:pt idx="33">
                  <c:v>45653</c:v>
                </c:pt>
                <c:pt idx="34">
                  <c:v>45652</c:v>
                </c:pt>
                <c:pt idx="35">
                  <c:v>45650</c:v>
                </c:pt>
                <c:pt idx="36">
                  <c:v>45649</c:v>
                </c:pt>
                <c:pt idx="37">
                  <c:v>45646</c:v>
                </c:pt>
                <c:pt idx="38">
                  <c:v>45645</c:v>
                </c:pt>
                <c:pt idx="39">
                  <c:v>45644</c:v>
                </c:pt>
                <c:pt idx="40">
                  <c:v>45643</c:v>
                </c:pt>
                <c:pt idx="41">
                  <c:v>45642</c:v>
                </c:pt>
                <c:pt idx="42">
                  <c:v>45639</c:v>
                </c:pt>
                <c:pt idx="43">
                  <c:v>45638</c:v>
                </c:pt>
                <c:pt idx="44">
                  <c:v>45637</c:v>
                </c:pt>
                <c:pt idx="45">
                  <c:v>45636</c:v>
                </c:pt>
                <c:pt idx="46">
                  <c:v>45635</c:v>
                </c:pt>
                <c:pt idx="47">
                  <c:v>45632</c:v>
                </c:pt>
                <c:pt idx="48">
                  <c:v>45631</c:v>
                </c:pt>
                <c:pt idx="49">
                  <c:v>45630</c:v>
                </c:pt>
                <c:pt idx="50">
                  <c:v>45629</c:v>
                </c:pt>
                <c:pt idx="51">
                  <c:v>45628</c:v>
                </c:pt>
                <c:pt idx="52">
                  <c:v>45625</c:v>
                </c:pt>
                <c:pt idx="53">
                  <c:v>45623</c:v>
                </c:pt>
                <c:pt idx="54">
                  <c:v>45622</c:v>
                </c:pt>
                <c:pt idx="55">
                  <c:v>45621</c:v>
                </c:pt>
                <c:pt idx="56">
                  <c:v>45618</c:v>
                </c:pt>
                <c:pt idx="57">
                  <c:v>45617</c:v>
                </c:pt>
                <c:pt idx="58">
                  <c:v>45616</c:v>
                </c:pt>
                <c:pt idx="59">
                  <c:v>45615</c:v>
                </c:pt>
                <c:pt idx="60">
                  <c:v>45614</c:v>
                </c:pt>
                <c:pt idx="61">
                  <c:v>45611</c:v>
                </c:pt>
                <c:pt idx="62">
                  <c:v>45610</c:v>
                </c:pt>
                <c:pt idx="63">
                  <c:v>45609</c:v>
                </c:pt>
                <c:pt idx="64">
                  <c:v>45608</c:v>
                </c:pt>
                <c:pt idx="65">
                  <c:v>45607</c:v>
                </c:pt>
                <c:pt idx="66">
                  <c:v>45604</c:v>
                </c:pt>
                <c:pt idx="67">
                  <c:v>45603</c:v>
                </c:pt>
                <c:pt idx="68">
                  <c:v>45602</c:v>
                </c:pt>
                <c:pt idx="69">
                  <c:v>45601</c:v>
                </c:pt>
                <c:pt idx="70">
                  <c:v>45600</c:v>
                </c:pt>
                <c:pt idx="71">
                  <c:v>45597</c:v>
                </c:pt>
                <c:pt idx="72">
                  <c:v>45596</c:v>
                </c:pt>
                <c:pt idx="73">
                  <c:v>45595</c:v>
                </c:pt>
                <c:pt idx="74">
                  <c:v>45594</c:v>
                </c:pt>
                <c:pt idx="75">
                  <c:v>45593</c:v>
                </c:pt>
                <c:pt idx="76">
                  <c:v>45590</c:v>
                </c:pt>
                <c:pt idx="77">
                  <c:v>45589</c:v>
                </c:pt>
                <c:pt idx="78">
                  <c:v>45588</c:v>
                </c:pt>
                <c:pt idx="79">
                  <c:v>45587</c:v>
                </c:pt>
                <c:pt idx="80">
                  <c:v>45586</c:v>
                </c:pt>
                <c:pt idx="81">
                  <c:v>45583</c:v>
                </c:pt>
                <c:pt idx="82">
                  <c:v>45582</c:v>
                </c:pt>
                <c:pt idx="83">
                  <c:v>45581</c:v>
                </c:pt>
                <c:pt idx="84">
                  <c:v>45580</c:v>
                </c:pt>
                <c:pt idx="85">
                  <c:v>45579</c:v>
                </c:pt>
                <c:pt idx="86">
                  <c:v>45576</c:v>
                </c:pt>
                <c:pt idx="87">
                  <c:v>45575</c:v>
                </c:pt>
                <c:pt idx="88">
                  <c:v>45574</c:v>
                </c:pt>
                <c:pt idx="89">
                  <c:v>45573</c:v>
                </c:pt>
                <c:pt idx="90">
                  <c:v>45572</c:v>
                </c:pt>
                <c:pt idx="91">
                  <c:v>45569</c:v>
                </c:pt>
                <c:pt idx="92">
                  <c:v>45568</c:v>
                </c:pt>
                <c:pt idx="93">
                  <c:v>45567</c:v>
                </c:pt>
                <c:pt idx="94">
                  <c:v>45566</c:v>
                </c:pt>
                <c:pt idx="95">
                  <c:v>45565</c:v>
                </c:pt>
                <c:pt idx="96">
                  <c:v>45562</c:v>
                </c:pt>
                <c:pt idx="97">
                  <c:v>45561</c:v>
                </c:pt>
                <c:pt idx="98">
                  <c:v>45560</c:v>
                </c:pt>
                <c:pt idx="99">
                  <c:v>45559</c:v>
                </c:pt>
                <c:pt idx="100">
                  <c:v>45558</c:v>
                </c:pt>
                <c:pt idx="101">
                  <c:v>45555</c:v>
                </c:pt>
                <c:pt idx="102">
                  <c:v>45554</c:v>
                </c:pt>
                <c:pt idx="103">
                  <c:v>45553</c:v>
                </c:pt>
                <c:pt idx="104">
                  <c:v>45552</c:v>
                </c:pt>
                <c:pt idx="105">
                  <c:v>45551</c:v>
                </c:pt>
                <c:pt idx="106">
                  <c:v>45548</c:v>
                </c:pt>
                <c:pt idx="107">
                  <c:v>45547</c:v>
                </c:pt>
                <c:pt idx="108">
                  <c:v>45546</c:v>
                </c:pt>
                <c:pt idx="109">
                  <c:v>45545</c:v>
                </c:pt>
                <c:pt idx="110">
                  <c:v>45544</c:v>
                </c:pt>
                <c:pt idx="111">
                  <c:v>45541</c:v>
                </c:pt>
                <c:pt idx="112">
                  <c:v>45540</c:v>
                </c:pt>
                <c:pt idx="113">
                  <c:v>45539</c:v>
                </c:pt>
                <c:pt idx="114">
                  <c:v>45538</c:v>
                </c:pt>
                <c:pt idx="115">
                  <c:v>45534</c:v>
                </c:pt>
                <c:pt idx="116">
                  <c:v>45533</c:v>
                </c:pt>
                <c:pt idx="117">
                  <c:v>45532</c:v>
                </c:pt>
                <c:pt idx="118">
                  <c:v>45531</c:v>
                </c:pt>
                <c:pt idx="119">
                  <c:v>45530</c:v>
                </c:pt>
                <c:pt idx="120">
                  <c:v>45527</c:v>
                </c:pt>
                <c:pt idx="121">
                  <c:v>45526</c:v>
                </c:pt>
                <c:pt idx="122">
                  <c:v>45525</c:v>
                </c:pt>
                <c:pt idx="123">
                  <c:v>45524</c:v>
                </c:pt>
                <c:pt idx="124">
                  <c:v>45523</c:v>
                </c:pt>
                <c:pt idx="125">
                  <c:v>45520</c:v>
                </c:pt>
                <c:pt idx="126">
                  <c:v>45519</c:v>
                </c:pt>
                <c:pt idx="127">
                  <c:v>45518</c:v>
                </c:pt>
                <c:pt idx="128">
                  <c:v>45517</c:v>
                </c:pt>
                <c:pt idx="129">
                  <c:v>45516</c:v>
                </c:pt>
                <c:pt idx="130">
                  <c:v>45513</c:v>
                </c:pt>
                <c:pt idx="131">
                  <c:v>45512</c:v>
                </c:pt>
                <c:pt idx="132">
                  <c:v>45511</c:v>
                </c:pt>
                <c:pt idx="133">
                  <c:v>45510</c:v>
                </c:pt>
                <c:pt idx="134">
                  <c:v>45509</c:v>
                </c:pt>
                <c:pt idx="135">
                  <c:v>45506</c:v>
                </c:pt>
                <c:pt idx="136">
                  <c:v>45505</c:v>
                </c:pt>
                <c:pt idx="137">
                  <c:v>45504</c:v>
                </c:pt>
                <c:pt idx="138">
                  <c:v>45503</c:v>
                </c:pt>
                <c:pt idx="139">
                  <c:v>45502</c:v>
                </c:pt>
                <c:pt idx="140">
                  <c:v>45499</c:v>
                </c:pt>
                <c:pt idx="141">
                  <c:v>45498</c:v>
                </c:pt>
                <c:pt idx="142">
                  <c:v>45497</c:v>
                </c:pt>
                <c:pt idx="143">
                  <c:v>45496</c:v>
                </c:pt>
                <c:pt idx="144">
                  <c:v>45495</c:v>
                </c:pt>
                <c:pt idx="145">
                  <c:v>45492</c:v>
                </c:pt>
                <c:pt idx="146">
                  <c:v>45491</c:v>
                </c:pt>
                <c:pt idx="147">
                  <c:v>45490</c:v>
                </c:pt>
                <c:pt idx="148">
                  <c:v>45489</c:v>
                </c:pt>
                <c:pt idx="149">
                  <c:v>45488</c:v>
                </c:pt>
                <c:pt idx="150">
                  <c:v>45485</c:v>
                </c:pt>
                <c:pt idx="151">
                  <c:v>45484</c:v>
                </c:pt>
                <c:pt idx="152">
                  <c:v>45483</c:v>
                </c:pt>
                <c:pt idx="153">
                  <c:v>45482</c:v>
                </c:pt>
                <c:pt idx="154">
                  <c:v>45481</c:v>
                </c:pt>
                <c:pt idx="155">
                  <c:v>45478</c:v>
                </c:pt>
                <c:pt idx="156">
                  <c:v>45476</c:v>
                </c:pt>
                <c:pt idx="157">
                  <c:v>45475</c:v>
                </c:pt>
                <c:pt idx="158">
                  <c:v>45474</c:v>
                </c:pt>
                <c:pt idx="159">
                  <c:v>45471</c:v>
                </c:pt>
                <c:pt idx="160">
                  <c:v>45470</c:v>
                </c:pt>
                <c:pt idx="161">
                  <c:v>45469</c:v>
                </c:pt>
                <c:pt idx="162">
                  <c:v>45468</c:v>
                </c:pt>
                <c:pt idx="163">
                  <c:v>45467</c:v>
                </c:pt>
                <c:pt idx="164">
                  <c:v>45464</c:v>
                </c:pt>
                <c:pt idx="165">
                  <c:v>45463</c:v>
                </c:pt>
                <c:pt idx="166">
                  <c:v>45461</c:v>
                </c:pt>
                <c:pt idx="167">
                  <c:v>45460</c:v>
                </c:pt>
                <c:pt idx="168">
                  <c:v>45457</c:v>
                </c:pt>
                <c:pt idx="169">
                  <c:v>45456</c:v>
                </c:pt>
                <c:pt idx="170">
                  <c:v>45455</c:v>
                </c:pt>
                <c:pt idx="171">
                  <c:v>45454</c:v>
                </c:pt>
                <c:pt idx="172">
                  <c:v>45453</c:v>
                </c:pt>
                <c:pt idx="173">
                  <c:v>45450</c:v>
                </c:pt>
                <c:pt idx="174">
                  <c:v>45449</c:v>
                </c:pt>
                <c:pt idx="175">
                  <c:v>45448</c:v>
                </c:pt>
                <c:pt idx="176">
                  <c:v>45447</c:v>
                </c:pt>
                <c:pt idx="177">
                  <c:v>45446</c:v>
                </c:pt>
                <c:pt idx="178">
                  <c:v>45443</c:v>
                </c:pt>
                <c:pt idx="179">
                  <c:v>45442</c:v>
                </c:pt>
                <c:pt idx="180">
                  <c:v>45441</c:v>
                </c:pt>
                <c:pt idx="181">
                  <c:v>45440</c:v>
                </c:pt>
                <c:pt idx="182">
                  <c:v>45436</c:v>
                </c:pt>
                <c:pt idx="183">
                  <c:v>45435</c:v>
                </c:pt>
                <c:pt idx="184">
                  <c:v>45434</c:v>
                </c:pt>
                <c:pt idx="185">
                  <c:v>45433</c:v>
                </c:pt>
                <c:pt idx="186">
                  <c:v>45432</c:v>
                </c:pt>
                <c:pt idx="187">
                  <c:v>45429</c:v>
                </c:pt>
                <c:pt idx="188">
                  <c:v>45428</c:v>
                </c:pt>
                <c:pt idx="189">
                  <c:v>45427</c:v>
                </c:pt>
                <c:pt idx="190">
                  <c:v>45426</c:v>
                </c:pt>
                <c:pt idx="191">
                  <c:v>45425</c:v>
                </c:pt>
                <c:pt idx="192">
                  <c:v>45422</c:v>
                </c:pt>
                <c:pt idx="193">
                  <c:v>45421</c:v>
                </c:pt>
                <c:pt idx="194">
                  <c:v>45420</c:v>
                </c:pt>
                <c:pt idx="195">
                  <c:v>45419</c:v>
                </c:pt>
                <c:pt idx="196">
                  <c:v>45418</c:v>
                </c:pt>
                <c:pt idx="197">
                  <c:v>45415</c:v>
                </c:pt>
                <c:pt idx="198">
                  <c:v>45414</c:v>
                </c:pt>
                <c:pt idx="199">
                  <c:v>45413</c:v>
                </c:pt>
                <c:pt idx="200">
                  <c:v>45412</c:v>
                </c:pt>
                <c:pt idx="201">
                  <c:v>45411</c:v>
                </c:pt>
                <c:pt idx="202">
                  <c:v>45408</c:v>
                </c:pt>
                <c:pt idx="203">
                  <c:v>45407</c:v>
                </c:pt>
                <c:pt idx="204">
                  <c:v>45406</c:v>
                </c:pt>
                <c:pt idx="205">
                  <c:v>45405</c:v>
                </c:pt>
                <c:pt idx="206">
                  <c:v>45404</c:v>
                </c:pt>
                <c:pt idx="207">
                  <c:v>45401</c:v>
                </c:pt>
                <c:pt idx="208">
                  <c:v>45400</c:v>
                </c:pt>
                <c:pt idx="209">
                  <c:v>45399</c:v>
                </c:pt>
                <c:pt idx="210">
                  <c:v>45398</c:v>
                </c:pt>
                <c:pt idx="211">
                  <c:v>45397</c:v>
                </c:pt>
                <c:pt idx="212">
                  <c:v>45394</c:v>
                </c:pt>
                <c:pt idx="213">
                  <c:v>45393</c:v>
                </c:pt>
                <c:pt idx="214">
                  <c:v>45392</c:v>
                </c:pt>
                <c:pt idx="215">
                  <c:v>45391</c:v>
                </c:pt>
                <c:pt idx="216">
                  <c:v>45390</c:v>
                </c:pt>
                <c:pt idx="217">
                  <c:v>45387</c:v>
                </c:pt>
                <c:pt idx="218">
                  <c:v>45386</c:v>
                </c:pt>
                <c:pt idx="219">
                  <c:v>45385</c:v>
                </c:pt>
                <c:pt idx="220">
                  <c:v>45384</c:v>
                </c:pt>
                <c:pt idx="221">
                  <c:v>45383</c:v>
                </c:pt>
                <c:pt idx="222">
                  <c:v>45379</c:v>
                </c:pt>
                <c:pt idx="223">
                  <c:v>45378</c:v>
                </c:pt>
                <c:pt idx="224">
                  <c:v>45377</c:v>
                </c:pt>
                <c:pt idx="225">
                  <c:v>45376</c:v>
                </c:pt>
                <c:pt idx="226">
                  <c:v>45373</c:v>
                </c:pt>
                <c:pt idx="227">
                  <c:v>45372</c:v>
                </c:pt>
                <c:pt idx="228">
                  <c:v>45371</c:v>
                </c:pt>
                <c:pt idx="229">
                  <c:v>45370</c:v>
                </c:pt>
                <c:pt idx="230">
                  <c:v>45369</c:v>
                </c:pt>
                <c:pt idx="231">
                  <c:v>45366</c:v>
                </c:pt>
                <c:pt idx="232">
                  <c:v>45365</c:v>
                </c:pt>
                <c:pt idx="233">
                  <c:v>45364</c:v>
                </c:pt>
                <c:pt idx="234">
                  <c:v>45363</c:v>
                </c:pt>
                <c:pt idx="235">
                  <c:v>45362</c:v>
                </c:pt>
                <c:pt idx="236">
                  <c:v>45359</c:v>
                </c:pt>
                <c:pt idx="237">
                  <c:v>45358</c:v>
                </c:pt>
                <c:pt idx="238">
                  <c:v>45357</c:v>
                </c:pt>
                <c:pt idx="239">
                  <c:v>45356</c:v>
                </c:pt>
                <c:pt idx="240">
                  <c:v>45355</c:v>
                </c:pt>
                <c:pt idx="241">
                  <c:v>45352</c:v>
                </c:pt>
                <c:pt idx="242">
                  <c:v>45351</c:v>
                </c:pt>
                <c:pt idx="243">
                  <c:v>45350</c:v>
                </c:pt>
                <c:pt idx="244">
                  <c:v>45349</c:v>
                </c:pt>
                <c:pt idx="245">
                  <c:v>45348</c:v>
                </c:pt>
                <c:pt idx="246">
                  <c:v>45345</c:v>
                </c:pt>
                <c:pt idx="247">
                  <c:v>45344</c:v>
                </c:pt>
                <c:pt idx="248">
                  <c:v>45343</c:v>
                </c:pt>
                <c:pt idx="249">
                  <c:v>45342</c:v>
                </c:pt>
              </c:numCache>
            </c:numRef>
          </c:cat>
          <c:val>
            <c:numRef>
              <c:f>Charts!$D$181:$D$447</c:f>
              <c:numCache>
                <c:formatCode>_(* #,##0.00_);_(* \(#,##0.00\);_(* "-"??_);_(@_)</c:formatCode>
                <c:ptCount val="267"/>
                <c:pt idx="0" formatCode="&quot;$&quot;#,##0.00_);\(&quot;$&quot;#,##0.00\)">
                  <c:v>269.31</c:v>
                </c:pt>
                <c:pt idx="1">
                  <c:v>267.33999999999997</c:v>
                </c:pt>
                <c:pt idx="2">
                  <c:v>265.52999999999997</c:v>
                </c:pt>
                <c:pt idx="3">
                  <c:v>265.57</c:v>
                </c:pt>
                <c:pt idx="4">
                  <c:v>272.19</c:v>
                </c:pt>
                <c:pt idx="5">
                  <c:v>275.51</c:v>
                </c:pt>
                <c:pt idx="6">
                  <c:v>285.37</c:v>
                </c:pt>
                <c:pt idx="7">
                  <c:v>285.06</c:v>
                </c:pt>
                <c:pt idx="8">
                  <c:v>282.85000000000002</c:v>
                </c:pt>
                <c:pt idx="9">
                  <c:v>283.14999999999998</c:v>
                </c:pt>
                <c:pt idx="10">
                  <c:v>291.27</c:v>
                </c:pt>
                <c:pt idx="11">
                  <c:v>289.52</c:v>
                </c:pt>
                <c:pt idx="12">
                  <c:v>284.70999999999998</c:v>
                </c:pt>
                <c:pt idx="13">
                  <c:v>286.67</c:v>
                </c:pt>
                <c:pt idx="14">
                  <c:v>281.38</c:v>
                </c:pt>
                <c:pt idx="15">
                  <c:v>285.95999999999998</c:v>
                </c:pt>
                <c:pt idx="16">
                  <c:v>284.64</c:v>
                </c:pt>
                <c:pt idx="17">
                  <c:v>286.29000000000002</c:v>
                </c:pt>
                <c:pt idx="18">
                  <c:v>287.58999999999997</c:v>
                </c:pt>
                <c:pt idx="19">
                  <c:v>282.60000000000002</c:v>
                </c:pt>
                <c:pt idx="20">
                  <c:v>279.33999999999997</c:v>
                </c:pt>
                <c:pt idx="21">
                  <c:v>276.29000000000002</c:v>
                </c:pt>
                <c:pt idx="22">
                  <c:v>266.2</c:v>
                </c:pt>
                <c:pt idx="23">
                  <c:v>260.86</c:v>
                </c:pt>
                <c:pt idx="24">
                  <c:v>262.95</c:v>
                </c:pt>
                <c:pt idx="25">
                  <c:v>274.32</c:v>
                </c:pt>
                <c:pt idx="26">
                  <c:v>274.77</c:v>
                </c:pt>
                <c:pt idx="27">
                  <c:v>278.86</c:v>
                </c:pt>
                <c:pt idx="28">
                  <c:v>277.69</c:v>
                </c:pt>
                <c:pt idx="29">
                  <c:v>276.14999999999998</c:v>
                </c:pt>
                <c:pt idx="30">
                  <c:v>277.19</c:v>
                </c:pt>
                <c:pt idx="31">
                  <c:v>277.89999999999998</c:v>
                </c:pt>
                <c:pt idx="32">
                  <c:v>278.04000000000002</c:v>
                </c:pt>
                <c:pt idx="33">
                  <c:v>282.42</c:v>
                </c:pt>
                <c:pt idx="34">
                  <c:v>279.26</c:v>
                </c:pt>
                <c:pt idx="35">
                  <c:v>275.17</c:v>
                </c:pt>
                <c:pt idx="36">
                  <c:v>275.83999999999997</c:v>
                </c:pt>
                <c:pt idx="37">
                  <c:v>270.57</c:v>
                </c:pt>
                <c:pt idx="38">
                  <c:v>272.5</c:v>
                </c:pt>
                <c:pt idx="39">
                  <c:v>290.2</c:v>
                </c:pt>
                <c:pt idx="40">
                  <c:v>298.37</c:v>
                </c:pt>
                <c:pt idx="41">
                  <c:v>295.52</c:v>
                </c:pt>
                <c:pt idx="42">
                  <c:v>299.39999999999998</c:v>
                </c:pt>
                <c:pt idx="43">
                  <c:v>297.44</c:v>
                </c:pt>
                <c:pt idx="44">
                  <c:v>291.11</c:v>
                </c:pt>
                <c:pt idx="45">
                  <c:v>295.17</c:v>
                </c:pt>
                <c:pt idx="46">
                  <c:v>297.76</c:v>
                </c:pt>
                <c:pt idx="47">
                  <c:v>296.68</c:v>
                </c:pt>
                <c:pt idx="48">
                  <c:v>300.95999999999998</c:v>
                </c:pt>
                <c:pt idx="49">
                  <c:v>303</c:v>
                </c:pt>
                <c:pt idx="50">
                  <c:v>305.57</c:v>
                </c:pt>
                <c:pt idx="51">
                  <c:v>307.89999999999998</c:v>
                </c:pt>
                <c:pt idx="52">
                  <c:v>308.10000000000002</c:v>
                </c:pt>
                <c:pt idx="53">
                  <c:v>311</c:v>
                </c:pt>
                <c:pt idx="54">
                  <c:v>313.75</c:v>
                </c:pt>
                <c:pt idx="55">
                  <c:v>311.35000000000002</c:v>
                </c:pt>
                <c:pt idx="56">
                  <c:v>309.52999999999997</c:v>
                </c:pt>
                <c:pt idx="57">
                  <c:v>301.3</c:v>
                </c:pt>
                <c:pt idx="58">
                  <c:v>300.89</c:v>
                </c:pt>
                <c:pt idx="59">
                  <c:v>297.37</c:v>
                </c:pt>
                <c:pt idx="60">
                  <c:v>299.38</c:v>
                </c:pt>
                <c:pt idx="61">
                  <c:v>299.66000000000003</c:v>
                </c:pt>
                <c:pt idx="62">
                  <c:v>301.8</c:v>
                </c:pt>
                <c:pt idx="63">
                  <c:v>307.05</c:v>
                </c:pt>
                <c:pt idx="64">
                  <c:v>315.64999999999998</c:v>
                </c:pt>
                <c:pt idx="65">
                  <c:v>308.82</c:v>
                </c:pt>
                <c:pt idx="66">
                  <c:v>306.43</c:v>
                </c:pt>
                <c:pt idx="67">
                  <c:v>316</c:v>
                </c:pt>
                <c:pt idx="68">
                  <c:v>271.83999999999997</c:v>
                </c:pt>
                <c:pt idx="69">
                  <c:v>263.76</c:v>
                </c:pt>
                <c:pt idx="70">
                  <c:v>268.83999999999997</c:v>
                </c:pt>
                <c:pt idx="71">
                  <c:v>264.17</c:v>
                </c:pt>
                <c:pt idx="72">
                  <c:v>265.07</c:v>
                </c:pt>
                <c:pt idx="73">
                  <c:v>265.20999999999998</c:v>
                </c:pt>
                <c:pt idx="74">
                  <c:v>261.35000000000002</c:v>
                </c:pt>
                <c:pt idx="75">
                  <c:v>260.57</c:v>
                </c:pt>
                <c:pt idx="76">
                  <c:v>262.77</c:v>
                </c:pt>
                <c:pt idx="77">
                  <c:v>257.74</c:v>
                </c:pt>
                <c:pt idx="78">
                  <c:v>275.61</c:v>
                </c:pt>
                <c:pt idx="79">
                  <c:v>278.39</c:v>
                </c:pt>
                <c:pt idx="80">
                  <c:v>286.04000000000002</c:v>
                </c:pt>
                <c:pt idx="81">
                  <c:v>282.27999999999997</c:v>
                </c:pt>
                <c:pt idx="82">
                  <c:v>276.64999999999998</c:v>
                </c:pt>
                <c:pt idx="83">
                  <c:v>272.68</c:v>
                </c:pt>
                <c:pt idx="84">
                  <c:v>271.02</c:v>
                </c:pt>
                <c:pt idx="85">
                  <c:v>265.61</c:v>
                </c:pt>
                <c:pt idx="86">
                  <c:v>252.89</c:v>
                </c:pt>
                <c:pt idx="87">
                  <c:v>255.07</c:v>
                </c:pt>
                <c:pt idx="88">
                  <c:v>248.61</c:v>
                </c:pt>
                <c:pt idx="89">
                  <c:v>247.57</c:v>
                </c:pt>
                <c:pt idx="90">
                  <c:v>251.74</c:v>
                </c:pt>
                <c:pt idx="91">
                  <c:v>247.87</c:v>
                </c:pt>
                <c:pt idx="92">
                  <c:v>248.78</c:v>
                </c:pt>
                <c:pt idx="93">
                  <c:v>251</c:v>
                </c:pt>
                <c:pt idx="94">
                  <c:v>253.34</c:v>
                </c:pt>
                <c:pt idx="95">
                  <c:v>254.13</c:v>
                </c:pt>
                <c:pt idx="96">
                  <c:v>256.83</c:v>
                </c:pt>
                <c:pt idx="97">
                  <c:v>256.26</c:v>
                </c:pt>
                <c:pt idx="98">
                  <c:v>258.35000000000002</c:v>
                </c:pt>
                <c:pt idx="99">
                  <c:v>258.68</c:v>
                </c:pt>
                <c:pt idx="100">
                  <c:v>256.75</c:v>
                </c:pt>
                <c:pt idx="101">
                  <c:v>255.58</c:v>
                </c:pt>
                <c:pt idx="102">
                  <c:v>246.6</c:v>
                </c:pt>
                <c:pt idx="103">
                  <c:v>246.23</c:v>
                </c:pt>
                <c:pt idx="104">
                  <c:v>242.13</c:v>
                </c:pt>
                <c:pt idx="105">
                  <c:v>238.93</c:v>
                </c:pt>
                <c:pt idx="106">
                  <c:v>234.65</c:v>
                </c:pt>
                <c:pt idx="107">
                  <c:v>231.62</c:v>
                </c:pt>
                <c:pt idx="108">
                  <c:v>233.88</c:v>
                </c:pt>
                <c:pt idx="109">
                  <c:v>238.56</c:v>
                </c:pt>
                <c:pt idx="110">
                  <c:v>234.09</c:v>
                </c:pt>
                <c:pt idx="111">
                  <c:v>239.16</c:v>
                </c:pt>
                <c:pt idx="112">
                  <c:v>237.07</c:v>
                </c:pt>
                <c:pt idx="113">
                  <c:v>237.53</c:v>
                </c:pt>
                <c:pt idx="114">
                  <c:v>245.74</c:v>
                </c:pt>
                <c:pt idx="115">
                  <c:v>243.79</c:v>
                </c:pt>
                <c:pt idx="116">
                  <c:v>243.67</c:v>
                </c:pt>
                <c:pt idx="117">
                  <c:v>242.48</c:v>
                </c:pt>
                <c:pt idx="118">
                  <c:v>245.33</c:v>
                </c:pt>
                <c:pt idx="119">
                  <c:v>245.09</c:v>
                </c:pt>
                <c:pt idx="120">
                  <c:v>239.48</c:v>
                </c:pt>
                <c:pt idx="121">
                  <c:v>239.63</c:v>
                </c:pt>
                <c:pt idx="122">
                  <c:v>236.86</c:v>
                </c:pt>
                <c:pt idx="123">
                  <c:v>240.92</c:v>
                </c:pt>
                <c:pt idx="124">
                  <c:v>240.65</c:v>
                </c:pt>
                <c:pt idx="125">
                  <c:v>241.79</c:v>
                </c:pt>
                <c:pt idx="126">
                  <c:v>236.97</c:v>
                </c:pt>
                <c:pt idx="127">
                  <c:v>234.1</c:v>
                </c:pt>
                <c:pt idx="128">
                  <c:v>228.88</c:v>
                </c:pt>
                <c:pt idx="129">
                  <c:v>233.09</c:v>
                </c:pt>
                <c:pt idx="130">
                  <c:v>233.17</c:v>
                </c:pt>
                <c:pt idx="131">
                  <c:v>223.8</c:v>
                </c:pt>
                <c:pt idx="132">
                  <c:v>227.28</c:v>
                </c:pt>
                <c:pt idx="133">
                  <c:v>222.09</c:v>
                </c:pt>
                <c:pt idx="134">
                  <c:v>227.98</c:v>
                </c:pt>
                <c:pt idx="135">
                  <c:v>238.13</c:v>
                </c:pt>
                <c:pt idx="136">
                  <c:v>250.39</c:v>
                </c:pt>
                <c:pt idx="137">
                  <c:v>247.16</c:v>
                </c:pt>
                <c:pt idx="138">
                  <c:v>245.2</c:v>
                </c:pt>
                <c:pt idx="139">
                  <c:v>249.23</c:v>
                </c:pt>
                <c:pt idx="140">
                  <c:v>245.72</c:v>
                </c:pt>
                <c:pt idx="141">
                  <c:v>236.39</c:v>
                </c:pt>
                <c:pt idx="142">
                  <c:v>244.18</c:v>
                </c:pt>
                <c:pt idx="143">
                  <c:v>240.45</c:v>
                </c:pt>
                <c:pt idx="144">
                  <c:v>240.51</c:v>
                </c:pt>
                <c:pt idx="145">
                  <c:v>241.8</c:v>
                </c:pt>
                <c:pt idx="146">
                  <c:v>243.36</c:v>
                </c:pt>
                <c:pt idx="147">
                  <c:v>244.34</c:v>
                </c:pt>
                <c:pt idx="148">
                  <c:v>236.39</c:v>
                </c:pt>
                <c:pt idx="149">
                  <c:v>226.94</c:v>
                </c:pt>
                <c:pt idx="150">
                  <c:v>225.47</c:v>
                </c:pt>
                <c:pt idx="151">
                  <c:v>221.04</c:v>
                </c:pt>
                <c:pt idx="152">
                  <c:v>214.61</c:v>
                </c:pt>
                <c:pt idx="153">
                  <c:v>212.64</c:v>
                </c:pt>
                <c:pt idx="154">
                  <c:v>212.77</c:v>
                </c:pt>
                <c:pt idx="155">
                  <c:v>211</c:v>
                </c:pt>
                <c:pt idx="156">
                  <c:v>211.41</c:v>
                </c:pt>
                <c:pt idx="157">
                  <c:v>211.08</c:v>
                </c:pt>
                <c:pt idx="158">
                  <c:v>208.43</c:v>
                </c:pt>
                <c:pt idx="159">
                  <c:v>197.51</c:v>
                </c:pt>
                <c:pt idx="160">
                  <c:v>194.64</c:v>
                </c:pt>
                <c:pt idx="161">
                  <c:v>194.47</c:v>
                </c:pt>
                <c:pt idx="162">
                  <c:v>196.79</c:v>
                </c:pt>
                <c:pt idx="163">
                  <c:v>194.77</c:v>
                </c:pt>
                <c:pt idx="164">
                  <c:v>201.26</c:v>
                </c:pt>
                <c:pt idx="165">
                  <c:v>204.58</c:v>
                </c:pt>
                <c:pt idx="166">
                  <c:v>200.26</c:v>
                </c:pt>
                <c:pt idx="167">
                  <c:v>197.26</c:v>
                </c:pt>
                <c:pt idx="168">
                  <c:v>197.4</c:v>
                </c:pt>
                <c:pt idx="169">
                  <c:v>197.61</c:v>
                </c:pt>
                <c:pt idx="170">
                  <c:v>193.02</c:v>
                </c:pt>
                <c:pt idx="171">
                  <c:v>194.12</c:v>
                </c:pt>
                <c:pt idx="172">
                  <c:v>192.6</c:v>
                </c:pt>
                <c:pt idx="173">
                  <c:v>195.76</c:v>
                </c:pt>
                <c:pt idx="174">
                  <c:v>197.54</c:v>
                </c:pt>
                <c:pt idx="175">
                  <c:v>195.18</c:v>
                </c:pt>
                <c:pt idx="176">
                  <c:v>201.38</c:v>
                </c:pt>
                <c:pt idx="177">
                  <c:v>202.94</c:v>
                </c:pt>
                <c:pt idx="178">
                  <c:v>202</c:v>
                </c:pt>
                <c:pt idx="179">
                  <c:v>199.01</c:v>
                </c:pt>
                <c:pt idx="180">
                  <c:v>201.98</c:v>
                </c:pt>
                <c:pt idx="181">
                  <c:v>204.42</c:v>
                </c:pt>
                <c:pt idx="182">
                  <c:v>200.09</c:v>
                </c:pt>
                <c:pt idx="183">
                  <c:v>201.85</c:v>
                </c:pt>
                <c:pt idx="184">
                  <c:v>205.77</c:v>
                </c:pt>
                <c:pt idx="185">
                  <c:v>203.02</c:v>
                </c:pt>
                <c:pt idx="186">
                  <c:v>203.48</c:v>
                </c:pt>
                <c:pt idx="187">
                  <c:v>199.27</c:v>
                </c:pt>
                <c:pt idx="188">
                  <c:v>200.29</c:v>
                </c:pt>
                <c:pt idx="189">
                  <c:v>195.86</c:v>
                </c:pt>
                <c:pt idx="190">
                  <c:v>195.88</c:v>
                </c:pt>
                <c:pt idx="191">
                  <c:v>196.25</c:v>
                </c:pt>
                <c:pt idx="192">
                  <c:v>194.48</c:v>
                </c:pt>
                <c:pt idx="193">
                  <c:v>193.56</c:v>
                </c:pt>
                <c:pt idx="194">
                  <c:v>193.1</c:v>
                </c:pt>
                <c:pt idx="195">
                  <c:v>193.23</c:v>
                </c:pt>
                <c:pt idx="196">
                  <c:v>189.83</c:v>
                </c:pt>
                <c:pt idx="197">
                  <c:v>186.53</c:v>
                </c:pt>
                <c:pt idx="198">
                  <c:v>184.08</c:v>
                </c:pt>
                <c:pt idx="199">
                  <c:v>181.5</c:v>
                </c:pt>
                <c:pt idx="200">
                  <c:v>184.85</c:v>
                </c:pt>
                <c:pt idx="201">
                  <c:v>184.29</c:v>
                </c:pt>
                <c:pt idx="202">
                  <c:v>183.65</c:v>
                </c:pt>
                <c:pt idx="203">
                  <c:v>186.59</c:v>
                </c:pt>
                <c:pt idx="204">
                  <c:v>196.1</c:v>
                </c:pt>
                <c:pt idx="205">
                  <c:v>192.08</c:v>
                </c:pt>
                <c:pt idx="206">
                  <c:v>186.36</c:v>
                </c:pt>
                <c:pt idx="207">
                  <c:v>185.29</c:v>
                </c:pt>
                <c:pt idx="208">
                  <c:v>185.5</c:v>
                </c:pt>
                <c:pt idx="209">
                  <c:v>184.67</c:v>
                </c:pt>
                <c:pt idx="210">
                  <c:v>185.86</c:v>
                </c:pt>
                <c:pt idx="211">
                  <c:v>190.9</c:v>
                </c:pt>
                <c:pt idx="212">
                  <c:v>194.09</c:v>
                </c:pt>
                <c:pt idx="213">
                  <c:v>191.4</c:v>
                </c:pt>
                <c:pt idx="214">
                  <c:v>193.85</c:v>
                </c:pt>
                <c:pt idx="215">
                  <c:v>195.61</c:v>
                </c:pt>
                <c:pt idx="216">
                  <c:v>193.4</c:v>
                </c:pt>
                <c:pt idx="217">
                  <c:v>190.95</c:v>
                </c:pt>
                <c:pt idx="218">
                  <c:v>192.67</c:v>
                </c:pt>
                <c:pt idx="219">
                  <c:v>188.76</c:v>
                </c:pt>
                <c:pt idx="220">
                  <c:v>189.25</c:v>
                </c:pt>
                <c:pt idx="221">
                  <c:v>192.59</c:v>
                </c:pt>
                <c:pt idx="222">
                  <c:v>192.21</c:v>
                </c:pt>
                <c:pt idx="223">
                  <c:v>190.25</c:v>
                </c:pt>
                <c:pt idx="224">
                  <c:v>192.36</c:v>
                </c:pt>
                <c:pt idx="225">
                  <c:v>192.08</c:v>
                </c:pt>
                <c:pt idx="226">
                  <c:v>195.12</c:v>
                </c:pt>
                <c:pt idx="227">
                  <c:v>192.15</c:v>
                </c:pt>
                <c:pt idx="228">
                  <c:v>190.6</c:v>
                </c:pt>
                <c:pt idx="229">
                  <c:v>187.94</c:v>
                </c:pt>
                <c:pt idx="230">
                  <c:v>189.27</c:v>
                </c:pt>
                <c:pt idx="231">
                  <c:v>189.97</c:v>
                </c:pt>
                <c:pt idx="232">
                  <c:v>194.69</c:v>
                </c:pt>
                <c:pt idx="233">
                  <c:v>190.73</c:v>
                </c:pt>
                <c:pt idx="234">
                  <c:v>193.55</c:v>
                </c:pt>
                <c:pt idx="235">
                  <c:v>196.33</c:v>
                </c:pt>
                <c:pt idx="236">
                  <c:v>194.23</c:v>
                </c:pt>
                <c:pt idx="237">
                  <c:v>194.02</c:v>
                </c:pt>
                <c:pt idx="238">
                  <c:v>194.17</c:v>
                </c:pt>
                <c:pt idx="239">
                  <c:v>190.84</c:v>
                </c:pt>
                <c:pt idx="240">
                  <c:v>186.29</c:v>
                </c:pt>
                <c:pt idx="241">
                  <c:v>187.08</c:v>
                </c:pt>
                <c:pt idx="242">
                  <c:v>183.75</c:v>
                </c:pt>
                <c:pt idx="243">
                  <c:v>183.09</c:v>
                </c:pt>
                <c:pt idx="244">
                  <c:v>182.16</c:v>
                </c:pt>
                <c:pt idx="245">
                  <c:v>183.01</c:v>
                </c:pt>
                <c:pt idx="246">
                  <c:v>184.53</c:v>
                </c:pt>
                <c:pt idx="247">
                  <c:v>181.27</c:v>
                </c:pt>
                <c:pt idx="248">
                  <c:v>181.89</c:v>
                </c:pt>
              </c:numCache>
            </c:numRef>
          </c:val>
          <c:smooth val="0"/>
          <c:extLst>
            <c:ext xmlns:c16="http://schemas.microsoft.com/office/drawing/2014/chart" uri="{C3380CC4-5D6E-409C-BE32-E72D297353CC}">
              <c16:uniqueId val="{00000006-E79F-42D5-A2F4-1E24582E5C80}"/>
            </c:ext>
          </c:extLst>
        </c:ser>
        <c:ser>
          <c:idx val="1"/>
          <c:order val="1"/>
          <c:tx>
            <c:strRef>
              <c:f>Charts!$F$179</c:f>
              <c:strCache>
                <c:ptCount val="1"/>
                <c:pt idx="0">
                  <c:v>Bear Case</c:v>
                </c:pt>
              </c:strCache>
            </c:strRef>
          </c:tx>
          <c:spPr>
            <a:ln>
              <a:solidFill>
                <a:srgbClr val="FF0000"/>
              </a:solidFill>
              <a:prstDash val="sysDot"/>
            </a:ln>
          </c:spPr>
          <c:marker>
            <c:symbol val="none"/>
          </c:marker>
          <c:dPt>
            <c:idx val="249"/>
            <c:bubble3D val="0"/>
            <c:spPr>
              <a:ln>
                <a:solidFill>
                  <a:srgbClr val="FF0000"/>
                </a:solidFill>
                <a:prstDash val="sysDot"/>
                <a:tailEnd type="triangle"/>
              </a:ln>
            </c:spPr>
            <c:extLst>
              <c:ext xmlns:c16="http://schemas.microsoft.com/office/drawing/2014/chart" uri="{C3380CC4-5D6E-409C-BE32-E72D297353CC}">
                <c16:uniqueId val="{00000003-0B94-48BC-9131-EAC60214AD78}"/>
              </c:ext>
            </c:extLst>
          </c:dPt>
          <c:dLbls>
            <c:dLbl>
              <c:idx val="24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94-48BC-9131-EAC60214AD78}"/>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Charts!$C$180:$C$447</c:f>
              <c:numCache>
                <c:formatCode>m/d/yyyy</c:formatCode>
                <c:ptCount val="268"/>
                <c:pt idx="0">
                  <c:v>46248</c:v>
                </c:pt>
                <c:pt idx="1">
                  <c:v>45702</c:v>
                </c:pt>
                <c:pt idx="2">
                  <c:v>45701</c:v>
                </c:pt>
                <c:pt idx="3">
                  <c:v>45700</c:v>
                </c:pt>
                <c:pt idx="4">
                  <c:v>45699</c:v>
                </c:pt>
                <c:pt idx="5">
                  <c:v>45698</c:v>
                </c:pt>
                <c:pt idx="6">
                  <c:v>45695</c:v>
                </c:pt>
                <c:pt idx="7">
                  <c:v>45694</c:v>
                </c:pt>
                <c:pt idx="8">
                  <c:v>45693</c:v>
                </c:pt>
                <c:pt idx="9">
                  <c:v>45692</c:v>
                </c:pt>
                <c:pt idx="10">
                  <c:v>45691</c:v>
                </c:pt>
                <c:pt idx="11">
                  <c:v>45688</c:v>
                </c:pt>
                <c:pt idx="12">
                  <c:v>45687</c:v>
                </c:pt>
                <c:pt idx="13">
                  <c:v>45686</c:v>
                </c:pt>
                <c:pt idx="14">
                  <c:v>45685</c:v>
                </c:pt>
                <c:pt idx="15">
                  <c:v>45684</c:v>
                </c:pt>
                <c:pt idx="16">
                  <c:v>45681</c:v>
                </c:pt>
                <c:pt idx="17">
                  <c:v>45680</c:v>
                </c:pt>
                <c:pt idx="18">
                  <c:v>45679</c:v>
                </c:pt>
                <c:pt idx="19">
                  <c:v>45678</c:v>
                </c:pt>
                <c:pt idx="20">
                  <c:v>45674</c:v>
                </c:pt>
                <c:pt idx="21">
                  <c:v>45673</c:v>
                </c:pt>
                <c:pt idx="22">
                  <c:v>45672</c:v>
                </c:pt>
                <c:pt idx="23">
                  <c:v>45671</c:v>
                </c:pt>
                <c:pt idx="24">
                  <c:v>45670</c:v>
                </c:pt>
                <c:pt idx="25">
                  <c:v>45667</c:v>
                </c:pt>
                <c:pt idx="26">
                  <c:v>45665</c:v>
                </c:pt>
                <c:pt idx="27">
                  <c:v>45664</c:v>
                </c:pt>
                <c:pt idx="28">
                  <c:v>45663</c:v>
                </c:pt>
                <c:pt idx="29">
                  <c:v>45660</c:v>
                </c:pt>
                <c:pt idx="30">
                  <c:v>45659</c:v>
                </c:pt>
                <c:pt idx="31">
                  <c:v>45657</c:v>
                </c:pt>
                <c:pt idx="32">
                  <c:v>45656</c:v>
                </c:pt>
                <c:pt idx="33">
                  <c:v>45653</c:v>
                </c:pt>
                <c:pt idx="34">
                  <c:v>45652</c:v>
                </c:pt>
                <c:pt idx="35">
                  <c:v>45650</c:v>
                </c:pt>
                <c:pt idx="36">
                  <c:v>45649</c:v>
                </c:pt>
                <c:pt idx="37">
                  <c:v>45646</c:v>
                </c:pt>
                <c:pt idx="38">
                  <c:v>45645</c:v>
                </c:pt>
                <c:pt idx="39">
                  <c:v>45644</c:v>
                </c:pt>
                <c:pt idx="40">
                  <c:v>45643</c:v>
                </c:pt>
                <c:pt idx="41">
                  <c:v>45642</c:v>
                </c:pt>
                <c:pt idx="42">
                  <c:v>45639</c:v>
                </c:pt>
                <c:pt idx="43">
                  <c:v>45638</c:v>
                </c:pt>
                <c:pt idx="44">
                  <c:v>45637</c:v>
                </c:pt>
                <c:pt idx="45">
                  <c:v>45636</c:v>
                </c:pt>
                <c:pt idx="46">
                  <c:v>45635</c:v>
                </c:pt>
                <c:pt idx="47">
                  <c:v>45632</c:v>
                </c:pt>
                <c:pt idx="48">
                  <c:v>45631</c:v>
                </c:pt>
                <c:pt idx="49">
                  <c:v>45630</c:v>
                </c:pt>
                <c:pt idx="50">
                  <c:v>45629</c:v>
                </c:pt>
                <c:pt idx="51">
                  <c:v>45628</c:v>
                </c:pt>
                <c:pt idx="52">
                  <c:v>45625</c:v>
                </c:pt>
                <c:pt idx="53">
                  <c:v>45623</c:v>
                </c:pt>
                <c:pt idx="54">
                  <c:v>45622</c:v>
                </c:pt>
                <c:pt idx="55">
                  <c:v>45621</c:v>
                </c:pt>
                <c:pt idx="56">
                  <c:v>45618</c:v>
                </c:pt>
                <c:pt idx="57">
                  <c:v>45617</c:v>
                </c:pt>
                <c:pt idx="58">
                  <c:v>45616</c:v>
                </c:pt>
                <c:pt idx="59">
                  <c:v>45615</c:v>
                </c:pt>
                <c:pt idx="60">
                  <c:v>45614</c:v>
                </c:pt>
                <c:pt idx="61">
                  <c:v>45611</c:v>
                </c:pt>
                <c:pt idx="62">
                  <c:v>45610</c:v>
                </c:pt>
                <c:pt idx="63">
                  <c:v>45609</c:v>
                </c:pt>
                <c:pt idx="64">
                  <c:v>45608</c:v>
                </c:pt>
                <c:pt idx="65">
                  <c:v>45607</c:v>
                </c:pt>
                <c:pt idx="66">
                  <c:v>45604</c:v>
                </c:pt>
                <c:pt idx="67">
                  <c:v>45603</c:v>
                </c:pt>
                <c:pt idx="68">
                  <c:v>45602</c:v>
                </c:pt>
                <c:pt idx="69">
                  <c:v>45601</c:v>
                </c:pt>
                <c:pt idx="70">
                  <c:v>45600</c:v>
                </c:pt>
                <c:pt idx="71">
                  <c:v>45597</c:v>
                </c:pt>
                <c:pt idx="72">
                  <c:v>45596</c:v>
                </c:pt>
                <c:pt idx="73">
                  <c:v>45595</c:v>
                </c:pt>
                <c:pt idx="74">
                  <c:v>45594</c:v>
                </c:pt>
                <c:pt idx="75">
                  <c:v>45593</c:v>
                </c:pt>
                <c:pt idx="76">
                  <c:v>45590</c:v>
                </c:pt>
                <c:pt idx="77">
                  <c:v>45589</c:v>
                </c:pt>
                <c:pt idx="78">
                  <c:v>45588</c:v>
                </c:pt>
                <c:pt idx="79">
                  <c:v>45587</c:v>
                </c:pt>
                <c:pt idx="80">
                  <c:v>45586</c:v>
                </c:pt>
                <c:pt idx="81">
                  <c:v>45583</c:v>
                </c:pt>
                <c:pt idx="82">
                  <c:v>45582</c:v>
                </c:pt>
                <c:pt idx="83">
                  <c:v>45581</c:v>
                </c:pt>
                <c:pt idx="84">
                  <c:v>45580</c:v>
                </c:pt>
                <c:pt idx="85">
                  <c:v>45579</c:v>
                </c:pt>
                <c:pt idx="86">
                  <c:v>45576</c:v>
                </c:pt>
                <c:pt idx="87">
                  <c:v>45575</c:v>
                </c:pt>
                <c:pt idx="88">
                  <c:v>45574</c:v>
                </c:pt>
                <c:pt idx="89">
                  <c:v>45573</c:v>
                </c:pt>
                <c:pt idx="90">
                  <c:v>45572</c:v>
                </c:pt>
                <c:pt idx="91">
                  <c:v>45569</c:v>
                </c:pt>
                <c:pt idx="92">
                  <c:v>45568</c:v>
                </c:pt>
                <c:pt idx="93">
                  <c:v>45567</c:v>
                </c:pt>
                <c:pt idx="94">
                  <c:v>45566</c:v>
                </c:pt>
                <c:pt idx="95">
                  <c:v>45565</c:v>
                </c:pt>
                <c:pt idx="96">
                  <c:v>45562</c:v>
                </c:pt>
                <c:pt idx="97">
                  <c:v>45561</c:v>
                </c:pt>
                <c:pt idx="98">
                  <c:v>45560</c:v>
                </c:pt>
                <c:pt idx="99">
                  <c:v>45559</c:v>
                </c:pt>
                <c:pt idx="100">
                  <c:v>45558</c:v>
                </c:pt>
                <c:pt idx="101">
                  <c:v>45555</c:v>
                </c:pt>
                <c:pt idx="102">
                  <c:v>45554</c:v>
                </c:pt>
                <c:pt idx="103">
                  <c:v>45553</c:v>
                </c:pt>
                <c:pt idx="104">
                  <c:v>45552</c:v>
                </c:pt>
                <c:pt idx="105">
                  <c:v>45551</c:v>
                </c:pt>
                <c:pt idx="106">
                  <c:v>45548</c:v>
                </c:pt>
                <c:pt idx="107">
                  <c:v>45547</c:v>
                </c:pt>
                <c:pt idx="108">
                  <c:v>45546</c:v>
                </c:pt>
                <c:pt idx="109">
                  <c:v>45545</c:v>
                </c:pt>
                <c:pt idx="110">
                  <c:v>45544</c:v>
                </c:pt>
                <c:pt idx="111">
                  <c:v>45541</c:v>
                </c:pt>
                <c:pt idx="112">
                  <c:v>45540</c:v>
                </c:pt>
                <c:pt idx="113">
                  <c:v>45539</c:v>
                </c:pt>
                <c:pt idx="114">
                  <c:v>45538</c:v>
                </c:pt>
                <c:pt idx="115">
                  <c:v>45534</c:v>
                </c:pt>
                <c:pt idx="116">
                  <c:v>45533</c:v>
                </c:pt>
                <c:pt idx="117">
                  <c:v>45532</c:v>
                </c:pt>
                <c:pt idx="118">
                  <c:v>45531</c:v>
                </c:pt>
                <c:pt idx="119">
                  <c:v>45530</c:v>
                </c:pt>
                <c:pt idx="120">
                  <c:v>45527</c:v>
                </c:pt>
                <c:pt idx="121">
                  <c:v>45526</c:v>
                </c:pt>
                <c:pt idx="122">
                  <c:v>45525</c:v>
                </c:pt>
                <c:pt idx="123">
                  <c:v>45524</c:v>
                </c:pt>
                <c:pt idx="124">
                  <c:v>45523</c:v>
                </c:pt>
                <c:pt idx="125">
                  <c:v>45520</c:v>
                </c:pt>
                <c:pt idx="126">
                  <c:v>45519</c:v>
                </c:pt>
                <c:pt idx="127">
                  <c:v>45518</c:v>
                </c:pt>
                <c:pt idx="128">
                  <c:v>45517</c:v>
                </c:pt>
                <c:pt idx="129">
                  <c:v>45516</c:v>
                </c:pt>
                <c:pt idx="130">
                  <c:v>45513</c:v>
                </c:pt>
                <c:pt idx="131">
                  <c:v>45512</c:v>
                </c:pt>
                <c:pt idx="132">
                  <c:v>45511</c:v>
                </c:pt>
                <c:pt idx="133">
                  <c:v>45510</c:v>
                </c:pt>
                <c:pt idx="134">
                  <c:v>45509</c:v>
                </c:pt>
                <c:pt idx="135">
                  <c:v>45506</c:v>
                </c:pt>
                <c:pt idx="136">
                  <c:v>45505</c:v>
                </c:pt>
                <c:pt idx="137">
                  <c:v>45504</c:v>
                </c:pt>
                <c:pt idx="138">
                  <c:v>45503</c:v>
                </c:pt>
                <c:pt idx="139">
                  <c:v>45502</c:v>
                </c:pt>
                <c:pt idx="140">
                  <c:v>45499</c:v>
                </c:pt>
                <c:pt idx="141">
                  <c:v>45498</c:v>
                </c:pt>
                <c:pt idx="142">
                  <c:v>45497</c:v>
                </c:pt>
                <c:pt idx="143">
                  <c:v>45496</c:v>
                </c:pt>
                <c:pt idx="144">
                  <c:v>45495</c:v>
                </c:pt>
                <c:pt idx="145">
                  <c:v>45492</c:v>
                </c:pt>
                <c:pt idx="146">
                  <c:v>45491</c:v>
                </c:pt>
                <c:pt idx="147">
                  <c:v>45490</c:v>
                </c:pt>
                <c:pt idx="148">
                  <c:v>45489</c:v>
                </c:pt>
                <c:pt idx="149">
                  <c:v>45488</c:v>
                </c:pt>
                <c:pt idx="150">
                  <c:v>45485</c:v>
                </c:pt>
                <c:pt idx="151">
                  <c:v>45484</c:v>
                </c:pt>
                <c:pt idx="152">
                  <c:v>45483</c:v>
                </c:pt>
                <c:pt idx="153">
                  <c:v>45482</c:v>
                </c:pt>
                <c:pt idx="154">
                  <c:v>45481</c:v>
                </c:pt>
                <c:pt idx="155">
                  <c:v>45478</c:v>
                </c:pt>
                <c:pt idx="156">
                  <c:v>45476</c:v>
                </c:pt>
                <c:pt idx="157">
                  <c:v>45475</c:v>
                </c:pt>
                <c:pt idx="158">
                  <c:v>45474</c:v>
                </c:pt>
                <c:pt idx="159">
                  <c:v>45471</c:v>
                </c:pt>
                <c:pt idx="160">
                  <c:v>45470</c:v>
                </c:pt>
                <c:pt idx="161">
                  <c:v>45469</c:v>
                </c:pt>
                <c:pt idx="162">
                  <c:v>45468</c:v>
                </c:pt>
                <c:pt idx="163">
                  <c:v>45467</c:v>
                </c:pt>
                <c:pt idx="164">
                  <c:v>45464</c:v>
                </c:pt>
                <c:pt idx="165">
                  <c:v>45463</c:v>
                </c:pt>
                <c:pt idx="166">
                  <c:v>45461</c:v>
                </c:pt>
                <c:pt idx="167">
                  <c:v>45460</c:v>
                </c:pt>
                <c:pt idx="168">
                  <c:v>45457</c:v>
                </c:pt>
                <c:pt idx="169">
                  <c:v>45456</c:v>
                </c:pt>
                <c:pt idx="170">
                  <c:v>45455</c:v>
                </c:pt>
                <c:pt idx="171">
                  <c:v>45454</c:v>
                </c:pt>
                <c:pt idx="172">
                  <c:v>45453</c:v>
                </c:pt>
                <c:pt idx="173">
                  <c:v>45450</c:v>
                </c:pt>
                <c:pt idx="174">
                  <c:v>45449</c:v>
                </c:pt>
                <c:pt idx="175">
                  <c:v>45448</c:v>
                </c:pt>
                <c:pt idx="176">
                  <c:v>45447</c:v>
                </c:pt>
                <c:pt idx="177">
                  <c:v>45446</c:v>
                </c:pt>
                <c:pt idx="178">
                  <c:v>45443</c:v>
                </c:pt>
                <c:pt idx="179">
                  <c:v>45442</c:v>
                </c:pt>
                <c:pt idx="180">
                  <c:v>45441</c:v>
                </c:pt>
                <c:pt idx="181">
                  <c:v>45440</c:v>
                </c:pt>
                <c:pt idx="182">
                  <c:v>45436</c:v>
                </c:pt>
                <c:pt idx="183">
                  <c:v>45435</c:v>
                </c:pt>
                <c:pt idx="184">
                  <c:v>45434</c:v>
                </c:pt>
                <c:pt idx="185">
                  <c:v>45433</c:v>
                </c:pt>
                <c:pt idx="186">
                  <c:v>45432</c:v>
                </c:pt>
                <c:pt idx="187">
                  <c:v>45429</c:v>
                </c:pt>
                <c:pt idx="188">
                  <c:v>45428</c:v>
                </c:pt>
                <c:pt idx="189">
                  <c:v>45427</c:v>
                </c:pt>
                <c:pt idx="190">
                  <c:v>45426</c:v>
                </c:pt>
                <c:pt idx="191">
                  <c:v>45425</c:v>
                </c:pt>
                <c:pt idx="192">
                  <c:v>45422</c:v>
                </c:pt>
                <c:pt idx="193">
                  <c:v>45421</c:v>
                </c:pt>
                <c:pt idx="194">
                  <c:v>45420</c:v>
                </c:pt>
                <c:pt idx="195">
                  <c:v>45419</c:v>
                </c:pt>
                <c:pt idx="196">
                  <c:v>45418</c:v>
                </c:pt>
                <c:pt idx="197">
                  <c:v>45415</c:v>
                </c:pt>
                <c:pt idx="198">
                  <c:v>45414</c:v>
                </c:pt>
                <c:pt idx="199">
                  <c:v>45413</c:v>
                </c:pt>
                <c:pt idx="200">
                  <c:v>45412</c:v>
                </c:pt>
                <c:pt idx="201">
                  <c:v>45411</c:v>
                </c:pt>
                <c:pt idx="202">
                  <c:v>45408</c:v>
                </c:pt>
                <c:pt idx="203">
                  <c:v>45407</c:v>
                </c:pt>
                <c:pt idx="204">
                  <c:v>45406</c:v>
                </c:pt>
                <c:pt idx="205">
                  <c:v>45405</c:v>
                </c:pt>
                <c:pt idx="206">
                  <c:v>45404</c:v>
                </c:pt>
                <c:pt idx="207">
                  <c:v>45401</c:v>
                </c:pt>
                <c:pt idx="208">
                  <c:v>45400</c:v>
                </c:pt>
                <c:pt idx="209">
                  <c:v>45399</c:v>
                </c:pt>
                <c:pt idx="210">
                  <c:v>45398</c:v>
                </c:pt>
                <c:pt idx="211">
                  <c:v>45397</c:v>
                </c:pt>
                <c:pt idx="212">
                  <c:v>45394</c:v>
                </c:pt>
                <c:pt idx="213">
                  <c:v>45393</c:v>
                </c:pt>
                <c:pt idx="214">
                  <c:v>45392</c:v>
                </c:pt>
                <c:pt idx="215">
                  <c:v>45391</c:v>
                </c:pt>
                <c:pt idx="216">
                  <c:v>45390</c:v>
                </c:pt>
                <c:pt idx="217">
                  <c:v>45387</c:v>
                </c:pt>
                <c:pt idx="218">
                  <c:v>45386</c:v>
                </c:pt>
                <c:pt idx="219">
                  <c:v>45385</c:v>
                </c:pt>
                <c:pt idx="220">
                  <c:v>45384</c:v>
                </c:pt>
                <c:pt idx="221">
                  <c:v>45383</c:v>
                </c:pt>
                <c:pt idx="222">
                  <c:v>45379</c:v>
                </c:pt>
                <c:pt idx="223">
                  <c:v>45378</c:v>
                </c:pt>
                <c:pt idx="224">
                  <c:v>45377</c:v>
                </c:pt>
                <c:pt idx="225">
                  <c:v>45376</c:v>
                </c:pt>
                <c:pt idx="226">
                  <c:v>45373</c:v>
                </c:pt>
                <c:pt idx="227">
                  <c:v>45372</c:v>
                </c:pt>
                <c:pt idx="228">
                  <c:v>45371</c:v>
                </c:pt>
                <c:pt idx="229">
                  <c:v>45370</c:v>
                </c:pt>
                <c:pt idx="230">
                  <c:v>45369</c:v>
                </c:pt>
                <c:pt idx="231">
                  <c:v>45366</c:v>
                </c:pt>
                <c:pt idx="232">
                  <c:v>45365</c:v>
                </c:pt>
                <c:pt idx="233">
                  <c:v>45364</c:v>
                </c:pt>
                <c:pt idx="234">
                  <c:v>45363</c:v>
                </c:pt>
                <c:pt idx="235">
                  <c:v>45362</c:v>
                </c:pt>
                <c:pt idx="236">
                  <c:v>45359</c:v>
                </c:pt>
                <c:pt idx="237">
                  <c:v>45358</c:v>
                </c:pt>
                <c:pt idx="238">
                  <c:v>45357</c:v>
                </c:pt>
                <c:pt idx="239">
                  <c:v>45356</c:v>
                </c:pt>
                <c:pt idx="240">
                  <c:v>45355</c:v>
                </c:pt>
                <c:pt idx="241">
                  <c:v>45352</c:v>
                </c:pt>
                <c:pt idx="242">
                  <c:v>45351</c:v>
                </c:pt>
                <c:pt idx="243">
                  <c:v>45350</c:v>
                </c:pt>
                <c:pt idx="244">
                  <c:v>45349</c:v>
                </c:pt>
                <c:pt idx="245">
                  <c:v>45348</c:v>
                </c:pt>
                <c:pt idx="246">
                  <c:v>45345</c:v>
                </c:pt>
                <c:pt idx="247">
                  <c:v>45344</c:v>
                </c:pt>
                <c:pt idx="248">
                  <c:v>45343</c:v>
                </c:pt>
                <c:pt idx="249">
                  <c:v>45342</c:v>
                </c:pt>
              </c:numCache>
            </c:numRef>
          </c:cat>
          <c:val>
            <c:numRef>
              <c:f>Charts!$F$180:$F$447</c:f>
              <c:numCache>
                <c:formatCode>"$"#,##0.00_);\("$"#,##0.00\)</c:formatCode>
                <c:ptCount val="268"/>
                <c:pt idx="0">
                  <c:v>220</c:v>
                </c:pt>
                <c:pt idx="1">
                  <c:v>269.31</c:v>
                </c:pt>
              </c:numCache>
            </c:numRef>
          </c:val>
          <c:smooth val="0"/>
          <c:extLst>
            <c:ext xmlns:c16="http://schemas.microsoft.com/office/drawing/2014/chart" uri="{C3380CC4-5D6E-409C-BE32-E72D297353CC}">
              <c16:uniqueId val="{00000008-E79F-42D5-A2F4-1E24582E5C80}"/>
            </c:ext>
          </c:extLst>
        </c:ser>
        <c:ser>
          <c:idx val="2"/>
          <c:order val="2"/>
          <c:tx>
            <c:strRef>
              <c:f>Charts!$G$179</c:f>
              <c:strCache>
                <c:ptCount val="1"/>
                <c:pt idx="0">
                  <c:v>Base Case</c:v>
                </c:pt>
              </c:strCache>
            </c:strRef>
          </c:tx>
          <c:spPr>
            <a:ln>
              <a:solidFill>
                <a:srgbClr val="00355F"/>
              </a:solidFill>
              <a:prstDash val="sysDot"/>
            </a:ln>
          </c:spPr>
          <c:marker>
            <c:symbol val="none"/>
          </c:marker>
          <c:dPt>
            <c:idx val="249"/>
            <c:bubble3D val="0"/>
            <c:spPr>
              <a:ln>
                <a:solidFill>
                  <a:srgbClr val="00355F"/>
                </a:solidFill>
                <a:prstDash val="sysDot"/>
                <a:tailEnd type="triangle"/>
              </a:ln>
            </c:spPr>
            <c:extLst>
              <c:ext xmlns:c16="http://schemas.microsoft.com/office/drawing/2014/chart" uri="{C3380CC4-5D6E-409C-BE32-E72D297353CC}">
                <c16:uniqueId val="{00000005-0B94-48BC-9131-EAC60214AD78}"/>
              </c:ext>
            </c:extLst>
          </c:dPt>
          <c:dLbls>
            <c:dLbl>
              <c:idx val="249"/>
              <c:layout>
                <c:manualLayout>
                  <c:x val="-3.7179036234485153E-3"/>
                  <c:y val="4.5246806384851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94-48BC-9131-EAC60214AD78}"/>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Charts!$C$180:$C$447</c:f>
              <c:numCache>
                <c:formatCode>m/d/yyyy</c:formatCode>
                <c:ptCount val="268"/>
                <c:pt idx="0">
                  <c:v>46248</c:v>
                </c:pt>
                <c:pt idx="1">
                  <c:v>45702</c:v>
                </c:pt>
                <c:pt idx="2">
                  <c:v>45701</c:v>
                </c:pt>
                <c:pt idx="3">
                  <c:v>45700</c:v>
                </c:pt>
                <c:pt idx="4">
                  <c:v>45699</c:v>
                </c:pt>
                <c:pt idx="5">
                  <c:v>45698</c:v>
                </c:pt>
                <c:pt idx="6">
                  <c:v>45695</c:v>
                </c:pt>
                <c:pt idx="7">
                  <c:v>45694</c:v>
                </c:pt>
                <c:pt idx="8">
                  <c:v>45693</c:v>
                </c:pt>
                <c:pt idx="9">
                  <c:v>45692</c:v>
                </c:pt>
                <c:pt idx="10">
                  <c:v>45691</c:v>
                </c:pt>
                <c:pt idx="11">
                  <c:v>45688</c:v>
                </c:pt>
                <c:pt idx="12">
                  <c:v>45687</c:v>
                </c:pt>
                <c:pt idx="13">
                  <c:v>45686</c:v>
                </c:pt>
                <c:pt idx="14">
                  <c:v>45685</c:v>
                </c:pt>
                <c:pt idx="15">
                  <c:v>45684</c:v>
                </c:pt>
                <c:pt idx="16">
                  <c:v>45681</c:v>
                </c:pt>
                <c:pt idx="17">
                  <c:v>45680</c:v>
                </c:pt>
                <c:pt idx="18">
                  <c:v>45679</c:v>
                </c:pt>
                <c:pt idx="19">
                  <c:v>45678</c:v>
                </c:pt>
                <c:pt idx="20">
                  <c:v>45674</c:v>
                </c:pt>
                <c:pt idx="21">
                  <c:v>45673</c:v>
                </c:pt>
                <c:pt idx="22">
                  <c:v>45672</c:v>
                </c:pt>
                <c:pt idx="23">
                  <c:v>45671</c:v>
                </c:pt>
                <c:pt idx="24">
                  <c:v>45670</c:v>
                </c:pt>
                <c:pt idx="25">
                  <c:v>45667</c:v>
                </c:pt>
                <c:pt idx="26">
                  <c:v>45665</c:v>
                </c:pt>
                <c:pt idx="27">
                  <c:v>45664</c:v>
                </c:pt>
                <c:pt idx="28">
                  <c:v>45663</c:v>
                </c:pt>
                <c:pt idx="29">
                  <c:v>45660</c:v>
                </c:pt>
                <c:pt idx="30">
                  <c:v>45659</c:v>
                </c:pt>
                <c:pt idx="31">
                  <c:v>45657</c:v>
                </c:pt>
                <c:pt idx="32">
                  <c:v>45656</c:v>
                </c:pt>
                <c:pt idx="33">
                  <c:v>45653</c:v>
                </c:pt>
                <c:pt idx="34">
                  <c:v>45652</c:v>
                </c:pt>
                <c:pt idx="35">
                  <c:v>45650</c:v>
                </c:pt>
                <c:pt idx="36">
                  <c:v>45649</c:v>
                </c:pt>
                <c:pt idx="37">
                  <c:v>45646</c:v>
                </c:pt>
                <c:pt idx="38">
                  <c:v>45645</c:v>
                </c:pt>
                <c:pt idx="39">
                  <c:v>45644</c:v>
                </c:pt>
                <c:pt idx="40">
                  <c:v>45643</c:v>
                </c:pt>
                <c:pt idx="41">
                  <c:v>45642</c:v>
                </c:pt>
                <c:pt idx="42">
                  <c:v>45639</c:v>
                </c:pt>
                <c:pt idx="43">
                  <c:v>45638</c:v>
                </c:pt>
                <c:pt idx="44">
                  <c:v>45637</c:v>
                </c:pt>
                <c:pt idx="45">
                  <c:v>45636</c:v>
                </c:pt>
                <c:pt idx="46">
                  <c:v>45635</c:v>
                </c:pt>
                <c:pt idx="47">
                  <c:v>45632</c:v>
                </c:pt>
                <c:pt idx="48">
                  <c:v>45631</c:v>
                </c:pt>
                <c:pt idx="49">
                  <c:v>45630</c:v>
                </c:pt>
                <c:pt idx="50">
                  <c:v>45629</c:v>
                </c:pt>
                <c:pt idx="51">
                  <c:v>45628</c:v>
                </c:pt>
                <c:pt idx="52">
                  <c:v>45625</c:v>
                </c:pt>
                <c:pt idx="53">
                  <c:v>45623</c:v>
                </c:pt>
                <c:pt idx="54">
                  <c:v>45622</c:v>
                </c:pt>
                <c:pt idx="55">
                  <c:v>45621</c:v>
                </c:pt>
                <c:pt idx="56">
                  <c:v>45618</c:v>
                </c:pt>
                <c:pt idx="57">
                  <c:v>45617</c:v>
                </c:pt>
                <c:pt idx="58">
                  <c:v>45616</c:v>
                </c:pt>
                <c:pt idx="59">
                  <c:v>45615</c:v>
                </c:pt>
                <c:pt idx="60">
                  <c:v>45614</c:v>
                </c:pt>
                <c:pt idx="61">
                  <c:v>45611</c:v>
                </c:pt>
                <c:pt idx="62">
                  <c:v>45610</c:v>
                </c:pt>
                <c:pt idx="63">
                  <c:v>45609</c:v>
                </c:pt>
                <c:pt idx="64">
                  <c:v>45608</c:v>
                </c:pt>
                <c:pt idx="65">
                  <c:v>45607</c:v>
                </c:pt>
                <c:pt idx="66">
                  <c:v>45604</c:v>
                </c:pt>
                <c:pt idx="67">
                  <c:v>45603</c:v>
                </c:pt>
                <c:pt idx="68">
                  <c:v>45602</c:v>
                </c:pt>
                <c:pt idx="69">
                  <c:v>45601</c:v>
                </c:pt>
                <c:pt idx="70">
                  <c:v>45600</c:v>
                </c:pt>
                <c:pt idx="71">
                  <c:v>45597</c:v>
                </c:pt>
                <c:pt idx="72">
                  <c:v>45596</c:v>
                </c:pt>
                <c:pt idx="73">
                  <c:v>45595</c:v>
                </c:pt>
                <c:pt idx="74">
                  <c:v>45594</c:v>
                </c:pt>
                <c:pt idx="75">
                  <c:v>45593</c:v>
                </c:pt>
                <c:pt idx="76">
                  <c:v>45590</c:v>
                </c:pt>
                <c:pt idx="77">
                  <c:v>45589</c:v>
                </c:pt>
                <c:pt idx="78">
                  <c:v>45588</c:v>
                </c:pt>
                <c:pt idx="79">
                  <c:v>45587</c:v>
                </c:pt>
                <c:pt idx="80">
                  <c:v>45586</c:v>
                </c:pt>
                <c:pt idx="81">
                  <c:v>45583</c:v>
                </c:pt>
                <c:pt idx="82">
                  <c:v>45582</c:v>
                </c:pt>
                <c:pt idx="83">
                  <c:v>45581</c:v>
                </c:pt>
                <c:pt idx="84">
                  <c:v>45580</c:v>
                </c:pt>
                <c:pt idx="85">
                  <c:v>45579</c:v>
                </c:pt>
                <c:pt idx="86">
                  <c:v>45576</c:v>
                </c:pt>
                <c:pt idx="87">
                  <c:v>45575</c:v>
                </c:pt>
                <c:pt idx="88">
                  <c:v>45574</c:v>
                </c:pt>
                <c:pt idx="89">
                  <c:v>45573</c:v>
                </c:pt>
                <c:pt idx="90">
                  <c:v>45572</c:v>
                </c:pt>
                <c:pt idx="91">
                  <c:v>45569</c:v>
                </c:pt>
                <c:pt idx="92">
                  <c:v>45568</c:v>
                </c:pt>
                <c:pt idx="93">
                  <c:v>45567</c:v>
                </c:pt>
                <c:pt idx="94">
                  <c:v>45566</c:v>
                </c:pt>
                <c:pt idx="95">
                  <c:v>45565</c:v>
                </c:pt>
                <c:pt idx="96">
                  <c:v>45562</c:v>
                </c:pt>
                <c:pt idx="97">
                  <c:v>45561</c:v>
                </c:pt>
                <c:pt idx="98">
                  <c:v>45560</c:v>
                </c:pt>
                <c:pt idx="99">
                  <c:v>45559</c:v>
                </c:pt>
                <c:pt idx="100">
                  <c:v>45558</c:v>
                </c:pt>
                <c:pt idx="101">
                  <c:v>45555</c:v>
                </c:pt>
                <c:pt idx="102">
                  <c:v>45554</c:v>
                </c:pt>
                <c:pt idx="103">
                  <c:v>45553</c:v>
                </c:pt>
                <c:pt idx="104">
                  <c:v>45552</c:v>
                </c:pt>
                <c:pt idx="105">
                  <c:v>45551</c:v>
                </c:pt>
                <c:pt idx="106">
                  <c:v>45548</c:v>
                </c:pt>
                <c:pt idx="107">
                  <c:v>45547</c:v>
                </c:pt>
                <c:pt idx="108">
                  <c:v>45546</c:v>
                </c:pt>
                <c:pt idx="109">
                  <c:v>45545</c:v>
                </c:pt>
                <c:pt idx="110">
                  <c:v>45544</c:v>
                </c:pt>
                <c:pt idx="111">
                  <c:v>45541</c:v>
                </c:pt>
                <c:pt idx="112">
                  <c:v>45540</c:v>
                </c:pt>
                <c:pt idx="113">
                  <c:v>45539</c:v>
                </c:pt>
                <c:pt idx="114">
                  <c:v>45538</c:v>
                </c:pt>
                <c:pt idx="115">
                  <c:v>45534</c:v>
                </c:pt>
                <c:pt idx="116">
                  <c:v>45533</c:v>
                </c:pt>
                <c:pt idx="117">
                  <c:v>45532</c:v>
                </c:pt>
                <c:pt idx="118">
                  <c:v>45531</c:v>
                </c:pt>
                <c:pt idx="119">
                  <c:v>45530</c:v>
                </c:pt>
                <c:pt idx="120">
                  <c:v>45527</c:v>
                </c:pt>
                <c:pt idx="121">
                  <c:v>45526</c:v>
                </c:pt>
                <c:pt idx="122">
                  <c:v>45525</c:v>
                </c:pt>
                <c:pt idx="123">
                  <c:v>45524</c:v>
                </c:pt>
                <c:pt idx="124">
                  <c:v>45523</c:v>
                </c:pt>
                <c:pt idx="125">
                  <c:v>45520</c:v>
                </c:pt>
                <c:pt idx="126">
                  <c:v>45519</c:v>
                </c:pt>
                <c:pt idx="127">
                  <c:v>45518</c:v>
                </c:pt>
                <c:pt idx="128">
                  <c:v>45517</c:v>
                </c:pt>
                <c:pt idx="129">
                  <c:v>45516</c:v>
                </c:pt>
                <c:pt idx="130">
                  <c:v>45513</c:v>
                </c:pt>
                <c:pt idx="131">
                  <c:v>45512</c:v>
                </c:pt>
                <c:pt idx="132">
                  <c:v>45511</c:v>
                </c:pt>
                <c:pt idx="133">
                  <c:v>45510</c:v>
                </c:pt>
                <c:pt idx="134">
                  <c:v>45509</c:v>
                </c:pt>
                <c:pt idx="135">
                  <c:v>45506</c:v>
                </c:pt>
                <c:pt idx="136">
                  <c:v>45505</c:v>
                </c:pt>
                <c:pt idx="137">
                  <c:v>45504</c:v>
                </c:pt>
                <c:pt idx="138">
                  <c:v>45503</c:v>
                </c:pt>
                <c:pt idx="139">
                  <c:v>45502</c:v>
                </c:pt>
                <c:pt idx="140">
                  <c:v>45499</c:v>
                </c:pt>
                <c:pt idx="141">
                  <c:v>45498</c:v>
                </c:pt>
                <c:pt idx="142">
                  <c:v>45497</c:v>
                </c:pt>
                <c:pt idx="143">
                  <c:v>45496</c:v>
                </c:pt>
                <c:pt idx="144">
                  <c:v>45495</c:v>
                </c:pt>
                <c:pt idx="145">
                  <c:v>45492</c:v>
                </c:pt>
                <c:pt idx="146">
                  <c:v>45491</c:v>
                </c:pt>
                <c:pt idx="147">
                  <c:v>45490</c:v>
                </c:pt>
                <c:pt idx="148">
                  <c:v>45489</c:v>
                </c:pt>
                <c:pt idx="149">
                  <c:v>45488</c:v>
                </c:pt>
                <c:pt idx="150">
                  <c:v>45485</c:v>
                </c:pt>
                <c:pt idx="151">
                  <c:v>45484</c:v>
                </c:pt>
                <c:pt idx="152">
                  <c:v>45483</c:v>
                </c:pt>
                <c:pt idx="153">
                  <c:v>45482</c:v>
                </c:pt>
                <c:pt idx="154">
                  <c:v>45481</c:v>
                </c:pt>
                <c:pt idx="155">
                  <c:v>45478</c:v>
                </c:pt>
                <c:pt idx="156">
                  <c:v>45476</c:v>
                </c:pt>
                <c:pt idx="157">
                  <c:v>45475</c:v>
                </c:pt>
                <c:pt idx="158">
                  <c:v>45474</c:v>
                </c:pt>
                <c:pt idx="159">
                  <c:v>45471</c:v>
                </c:pt>
                <c:pt idx="160">
                  <c:v>45470</c:v>
                </c:pt>
                <c:pt idx="161">
                  <c:v>45469</c:v>
                </c:pt>
                <c:pt idx="162">
                  <c:v>45468</c:v>
                </c:pt>
                <c:pt idx="163">
                  <c:v>45467</c:v>
                </c:pt>
                <c:pt idx="164">
                  <c:v>45464</c:v>
                </c:pt>
                <c:pt idx="165">
                  <c:v>45463</c:v>
                </c:pt>
                <c:pt idx="166">
                  <c:v>45461</c:v>
                </c:pt>
                <c:pt idx="167">
                  <c:v>45460</c:v>
                </c:pt>
                <c:pt idx="168">
                  <c:v>45457</c:v>
                </c:pt>
                <c:pt idx="169">
                  <c:v>45456</c:v>
                </c:pt>
                <c:pt idx="170">
                  <c:v>45455</c:v>
                </c:pt>
                <c:pt idx="171">
                  <c:v>45454</c:v>
                </c:pt>
                <c:pt idx="172">
                  <c:v>45453</c:v>
                </c:pt>
                <c:pt idx="173">
                  <c:v>45450</c:v>
                </c:pt>
                <c:pt idx="174">
                  <c:v>45449</c:v>
                </c:pt>
                <c:pt idx="175">
                  <c:v>45448</c:v>
                </c:pt>
                <c:pt idx="176">
                  <c:v>45447</c:v>
                </c:pt>
                <c:pt idx="177">
                  <c:v>45446</c:v>
                </c:pt>
                <c:pt idx="178">
                  <c:v>45443</c:v>
                </c:pt>
                <c:pt idx="179">
                  <c:v>45442</c:v>
                </c:pt>
                <c:pt idx="180">
                  <c:v>45441</c:v>
                </c:pt>
                <c:pt idx="181">
                  <c:v>45440</c:v>
                </c:pt>
                <c:pt idx="182">
                  <c:v>45436</c:v>
                </c:pt>
                <c:pt idx="183">
                  <c:v>45435</c:v>
                </c:pt>
                <c:pt idx="184">
                  <c:v>45434</c:v>
                </c:pt>
                <c:pt idx="185">
                  <c:v>45433</c:v>
                </c:pt>
                <c:pt idx="186">
                  <c:v>45432</c:v>
                </c:pt>
                <c:pt idx="187">
                  <c:v>45429</c:v>
                </c:pt>
                <c:pt idx="188">
                  <c:v>45428</c:v>
                </c:pt>
                <c:pt idx="189">
                  <c:v>45427</c:v>
                </c:pt>
                <c:pt idx="190">
                  <c:v>45426</c:v>
                </c:pt>
                <c:pt idx="191">
                  <c:v>45425</c:v>
                </c:pt>
                <c:pt idx="192">
                  <c:v>45422</c:v>
                </c:pt>
                <c:pt idx="193">
                  <c:v>45421</c:v>
                </c:pt>
                <c:pt idx="194">
                  <c:v>45420</c:v>
                </c:pt>
                <c:pt idx="195">
                  <c:v>45419</c:v>
                </c:pt>
                <c:pt idx="196">
                  <c:v>45418</c:v>
                </c:pt>
                <c:pt idx="197">
                  <c:v>45415</c:v>
                </c:pt>
                <c:pt idx="198">
                  <c:v>45414</c:v>
                </c:pt>
                <c:pt idx="199">
                  <c:v>45413</c:v>
                </c:pt>
                <c:pt idx="200">
                  <c:v>45412</c:v>
                </c:pt>
                <c:pt idx="201">
                  <c:v>45411</c:v>
                </c:pt>
                <c:pt idx="202">
                  <c:v>45408</c:v>
                </c:pt>
                <c:pt idx="203">
                  <c:v>45407</c:v>
                </c:pt>
                <c:pt idx="204">
                  <c:v>45406</c:v>
                </c:pt>
                <c:pt idx="205">
                  <c:v>45405</c:v>
                </c:pt>
                <c:pt idx="206">
                  <c:v>45404</c:v>
                </c:pt>
                <c:pt idx="207">
                  <c:v>45401</c:v>
                </c:pt>
                <c:pt idx="208">
                  <c:v>45400</c:v>
                </c:pt>
                <c:pt idx="209">
                  <c:v>45399</c:v>
                </c:pt>
                <c:pt idx="210">
                  <c:v>45398</c:v>
                </c:pt>
                <c:pt idx="211">
                  <c:v>45397</c:v>
                </c:pt>
                <c:pt idx="212">
                  <c:v>45394</c:v>
                </c:pt>
                <c:pt idx="213">
                  <c:v>45393</c:v>
                </c:pt>
                <c:pt idx="214">
                  <c:v>45392</c:v>
                </c:pt>
                <c:pt idx="215">
                  <c:v>45391</c:v>
                </c:pt>
                <c:pt idx="216">
                  <c:v>45390</c:v>
                </c:pt>
                <c:pt idx="217">
                  <c:v>45387</c:v>
                </c:pt>
                <c:pt idx="218">
                  <c:v>45386</c:v>
                </c:pt>
                <c:pt idx="219">
                  <c:v>45385</c:v>
                </c:pt>
                <c:pt idx="220">
                  <c:v>45384</c:v>
                </c:pt>
                <c:pt idx="221">
                  <c:v>45383</c:v>
                </c:pt>
                <c:pt idx="222">
                  <c:v>45379</c:v>
                </c:pt>
                <c:pt idx="223">
                  <c:v>45378</c:v>
                </c:pt>
                <c:pt idx="224">
                  <c:v>45377</c:v>
                </c:pt>
                <c:pt idx="225">
                  <c:v>45376</c:v>
                </c:pt>
                <c:pt idx="226">
                  <c:v>45373</c:v>
                </c:pt>
                <c:pt idx="227">
                  <c:v>45372</c:v>
                </c:pt>
                <c:pt idx="228">
                  <c:v>45371</c:v>
                </c:pt>
                <c:pt idx="229">
                  <c:v>45370</c:v>
                </c:pt>
                <c:pt idx="230">
                  <c:v>45369</c:v>
                </c:pt>
                <c:pt idx="231">
                  <c:v>45366</c:v>
                </c:pt>
                <c:pt idx="232">
                  <c:v>45365</c:v>
                </c:pt>
                <c:pt idx="233">
                  <c:v>45364</c:v>
                </c:pt>
                <c:pt idx="234">
                  <c:v>45363</c:v>
                </c:pt>
                <c:pt idx="235">
                  <c:v>45362</c:v>
                </c:pt>
                <c:pt idx="236">
                  <c:v>45359</c:v>
                </c:pt>
                <c:pt idx="237">
                  <c:v>45358</c:v>
                </c:pt>
                <c:pt idx="238">
                  <c:v>45357</c:v>
                </c:pt>
                <c:pt idx="239">
                  <c:v>45356</c:v>
                </c:pt>
                <c:pt idx="240">
                  <c:v>45355</c:v>
                </c:pt>
                <c:pt idx="241">
                  <c:v>45352</c:v>
                </c:pt>
                <c:pt idx="242">
                  <c:v>45351</c:v>
                </c:pt>
                <c:pt idx="243">
                  <c:v>45350</c:v>
                </c:pt>
                <c:pt idx="244">
                  <c:v>45349</c:v>
                </c:pt>
                <c:pt idx="245">
                  <c:v>45348</c:v>
                </c:pt>
                <c:pt idx="246">
                  <c:v>45345</c:v>
                </c:pt>
                <c:pt idx="247">
                  <c:v>45344</c:v>
                </c:pt>
                <c:pt idx="248">
                  <c:v>45343</c:v>
                </c:pt>
                <c:pt idx="249">
                  <c:v>45342</c:v>
                </c:pt>
              </c:numCache>
            </c:numRef>
          </c:cat>
          <c:val>
            <c:numRef>
              <c:f>Charts!$G$180:$G$447</c:f>
              <c:numCache>
                <c:formatCode>"$"#,##0.00_);\("$"#,##0.00\)</c:formatCode>
                <c:ptCount val="268"/>
                <c:pt idx="0">
                  <c:v>339</c:v>
                </c:pt>
                <c:pt idx="1">
                  <c:v>269.31</c:v>
                </c:pt>
              </c:numCache>
            </c:numRef>
          </c:val>
          <c:smooth val="0"/>
          <c:extLst>
            <c:ext xmlns:c16="http://schemas.microsoft.com/office/drawing/2014/chart" uri="{C3380CC4-5D6E-409C-BE32-E72D297353CC}">
              <c16:uniqueId val="{0000000A-E79F-42D5-A2F4-1E24582E5C80}"/>
            </c:ext>
          </c:extLst>
        </c:ser>
        <c:ser>
          <c:idx val="3"/>
          <c:order val="3"/>
          <c:tx>
            <c:strRef>
              <c:f>Charts!$H$179</c:f>
              <c:strCache>
                <c:ptCount val="1"/>
                <c:pt idx="0">
                  <c:v>Bull Case</c:v>
                </c:pt>
              </c:strCache>
            </c:strRef>
          </c:tx>
          <c:spPr>
            <a:ln>
              <a:solidFill>
                <a:srgbClr val="00B050"/>
              </a:solidFill>
              <a:prstDash val="sysDot"/>
            </a:ln>
          </c:spPr>
          <c:marker>
            <c:symbol val="none"/>
          </c:marker>
          <c:dPt>
            <c:idx val="249"/>
            <c:bubble3D val="0"/>
            <c:spPr>
              <a:ln>
                <a:solidFill>
                  <a:srgbClr val="00B050"/>
                </a:solidFill>
                <a:prstDash val="sysDot"/>
                <a:tailEnd type="triangle"/>
              </a:ln>
            </c:spPr>
            <c:extLst>
              <c:ext xmlns:c16="http://schemas.microsoft.com/office/drawing/2014/chart" uri="{C3380CC4-5D6E-409C-BE32-E72D297353CC}">
                <c16:uniqueId val="{00000007-0B94-48BC-9131-EAC60214AD78}"/>
              </c:ext>
            </c:extLst>
          </c:dPt>
          <c:dLbls>
            <c:dLbl>
              <c:idx val="24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94-48BC-9131-EAC60214AD78}"/>
                </c:ext>
              </c:extLst>
            </c:dLbl>
            <c:numFmt formatCode="&quot;$&quot;#,##0" sourceLinked="0"/>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Charts!$C$180:$C$447</c:f>
              <c:numCache>
                <c:formatCode>m/d/yyyy</c:formatCode>
                <c:ptCount val="268"/>
                <c:pt idx="0">
                  <c:v>46248</c:v>
                </c:pt>
                <c:pt idx="1">
                  <c:v>45702</c:v>
                </c:pt>
                <c:pt idx="2">
                  <c:v>45701</c:v>
                </c:pt>
                <c:pt idx="3">
                  <c:v>45700</c:v>
                </c:pt>
                <c:pt idx="4">
                  <c:v>45699</c:v>
                </c:pt>
                <c:pt idx="5">
                  <c:v>45698</c:v>
                </c:pt>
                <c:pt idx="6">
                  <c:v>45695</c:v>
                </c:pt>
                <c:pt idx="7">
                  <c:v>45694</c:v>
                </c:pt>
                <c:pt idx="8">
                  <c:v>45693</c:v>
                </c:pt>
                <c:pt idx="9">
                  <c:v>45692</c:v>
                </c:pt>
                <c:pt idx="10">
                  <c:v>45691</c:v>
                </c:pt>
                <c:pt idx="11">
                  <c:v>45688</c:v>
                </c:pt>
                <c:pt idx="12">
                  <c:v>45687</c:v>
                </c:pt>
                <c:pt idx="13">
                  <c:v>45686</c:v>
                </c:pt>
                <c:pt idx="14">
                  <c:v>45685</c:v>
                </c:pt>
                <c:pt idx="15">
                  <c:v>45684</c:v>
                </c:pt>
                <c:pt idx="16">
                  <c:v>45681</c:v>
                </c:pt>
                <c:pt idx="17">
                  <c:v>45680</c:v>
                </c:pt>
                <c:pt idx="18">
                  <c:v>45679</c:v>
                </c:pt>
                <c:pt idx="19">
                  <c:v>45678</c:v>
                </c:pt>
                <c:pt idx="20">
                  <c:v>45674</c:v>
                </c:pt>
                <c:pt idx="21">
                  <c:v>45673</c:v>
                </c:pt>
                <c:pt idx="22">
                  <c:v>45672</c:v>
                </c:pt>
                <c:pt idx="23">
                  <c:v>45671</c:v>
                </c:pt>
                <c:pt idx="24">
                  <c:v>45670</c:v>
                </c:pt>
                <c:pt idx="25">
                  <c:v>45667</c:v>
                </c:pt>
                <c:pt idx="26">
                  <c:v>45665</c:v>
                </c:pt>
                <c:pt idx="27">
                  <c:v>45664</c:v>
                </c:pt>
                <c:pt idx="28">
                  <c:v>45663</c:v>
                </c:pt>
                <c:pt idx="29">
                  <c:v>45660</c:v>
                </c:pt>
                <c:pt idx="30">
                  <c:v>45659</c:v>
                </c:pt>
                <c:pt idx="31">
                  <c:v>45657</c:v>
                </c:pt>
                <c:pt idx="32">
                  <c:v>45656</c:v>
                </c:pt>
                <c:pt idx="33">
                  <c:v>45653</c:v>
                </c:pt>
                <c:pt idx="34">
                  <c:v>45652</c:v>
                </c:pt>
                <c:pt idx="35">
                  <c:v>45650</c:v>
                </c:pt>
                <c:pt idx="36">
                  <c:v>45649</c:v>
                </c:pt>
                <c:pt idx="37">
                  <c:v>45646</c:v>
                </c:pt>
                <c:pt idx="38">
                  <c:v>45645</c:v>
                </c:pt>
                <c:pt idx="39">
                  <c:v>45644</c:v>
                </c:pt>
                <c:pt idx="40">
                  <c:v>45643</c:v>
                </c:pt>
                <c:pt idx="41">
                  <c:v>45642</c:v>
                </c:pt>
                <c:pt idx="42">
                  <c:v>45639</c:v>
                </c:pt>
                <c:pt idx="43">
                  <c:v>45638</c:v>
                </c:pt>
                <c:pt idx="44">
                  <c:v>45637</c:v>
                </c:pt>
                <c:pt idx="45">
                  <c:v>45636</c:v>
                </c:pt>
                <c:pt idx="46">
                  <c:v>45635</c:v>
                </c:pt>
                <c:pt idx="47">
                  <c:v>45632</c:v>
                </c:pt>
                <c:pt idx="48">
                  <c:v>45631</c:v>
                </c:pt>
                <c:pt idx="49">
                  <c:v>45630</c:v>
                </c:pt>
                <c:pt idx="50">
                  <c:v>45629</c:v>
                </c:pt>
                <c:pt idx="51">
                  <c:v>45628</c:v>
                </c:pt>
                <c:pt idx="52">
                  <c:v>45625</c:v>
                </c:pt>
                <c:pt idx="53">
                  <c:v>45623</c:v>
                </c:pt>
                <c:pt idx="54">
                  <c:v>45622</c:v>
                </c:pt>
                <c:pt idx="55">
                  <c:v>45621</c:v>
                </c:pt>
                <c:pt idx="56">
                  <c:v>45618</c:v>
                </c:pt>
                <c:pt idx="57">
                  <c:v>45617</c:v>
                </c:pt>
                <c:pt idx="58">
                  <c:v>45616</c:v>
                </c:pt>
                <c:pt idx="59">
                  <c:v>45615</c:v>
                </c:pt>
                <c:pt idx="60">
                  <c:v>45614</c:v>
                </c:pt>
                <c:pt idx="61">
                  <c:v>45611</c:v>
                </c:pt>
                <c:pt idx="62">
                  <c:v>45610</c:v>
                </c:pt>
                <c:pt idx="63">
                  <c:v>45609</c:v>
                </c:pt>
                <c:pt idx="64">
                  <c:v>45608</c:v>
                </c:pt>
                <c:pt idx="65">
                  <c:v>45607</c:v>
                </c:pt>
                <c:pt idx="66">
                  <c:v>45604</c:v>
                </c:pt>
                <c:pt idx="67">
                  <c:v>45603</c:v>
                </c:pt>
                <c:pt idx="68">
                  <c:v>45602</c:v>
                </c:pt>
                <c:pt idx="69">
                  <c:v>45601</c:v>
                </c:pt>
                <c:pt idx="70">
                  <c:v>45600</c:v>
                </c:pt>
                <c:pt idx="71">
                  <c:v>45597</c:v>
                </c:pt>
                <c:pt idx="72">
                  <c:v>45596</c:v>
                </c:pt>
                <c:pt idx="73">
                  <c:v>45595</c:v>
                </c:pt>
                <c:pt idx="74">
                  <c:v>45594</c:v>
                </c:pt>
                <c:pt idx="75">
                  <c:v>45593</c:v>
                </c:pt>
                <c:pt idx="76">
                  <c:v>45590</c:v>
                </c:pt>
                <c:pt idx="77">
                  <c:v>45589</c:v>
                </c:pt>
                <c:pt idx="78">
                  <c:v>45588</c:v>
                </c:pt>
                <c:pt idx="79">
                  <c:v>45587</c:v>
                </c:pt>
                <c:pt idx="80">
                  <c:v>45586</c:v>
                </c:pt>
                <c:pt idx="81">
                  <c:v>45583</c:v>
                </c:pt>
                <c:pt idx="82">
                  <c:v>45582</c:v>
                </c:pt>
                <c:pt idx="83">
                  <c:v>45581</c:v>
                </c:pt>
                <c:pt idx="84">
                  <c:v>45580</c:v>
                </c:pt>
                <c:pt idx="85">
                  <c:v>45579</c:v>
                </c:pt>
                <c:pt idx="86">
                  <c:v>45576</c:v>
                </c:pt>
                <c:pt idx="87">
                  <c:v>45575</c:v>
                </c:pt>
                <c:pt idx="88">
                  <c:v>45574</c:v>
                </c:pt>
                <c:pt idx="89">
                  <c:v>45573</c:v>
                </c:pt>
                <c:pt idx="90">
                  <c:v>45572</c:v>
                </c:pt>
                <c:pt idx="91">
                  <c:v>45569</c:v>
                </c:pt>
                <c:pt idx="92">
                  <c:v>45568</c:v>
                </c:pt>
                <c:pt idx="93">
                  <c:v>45567</c:v>
                </c:pt>
                <c:pt idx="94">
                  <c:v>45566</c:v>
                </c:pt>
                <c:pt idx="95">
                  <c:v>45565</c:v>
                </c:pt>
                <c:pt idx="96">
                  <c:v>45562</c:v>
                </c:pt>
                <c:pt idx="97">
                  <c:v>45561</c:v>
                </c:pt>
                <c:pt idx="98">
                  <c:v>45560</c:v>
                </c:pt>
                <c:pt idx="99">
                  <c:v>45559</c:v>
                </c:pt>
                <c:pt idx="100">
                  <c:v>45558</c:v>
                </c:pt>
                <c:pt idx="101">
                  <c:v>45555</c:v>
                </c:pt>
                <c:pt idx="102">
                  <c:v>45554</c:v>
                </c:pt>
                <c:pt idx="103">
                  <c:v>45553</c:v>
                </c:pt>
                <c:pt idx="104">
                  <c:v>45552</c:v>
                </c:pt>
                <c:pt idx="105">
                  <c:v>45551</c:v>
                </c:pt>
                <c:pt idx="106">
                  <c:v>45548</c:v>
                </c:pt>
                <c:pt idx="107">
                  <c:v>45547</c:v>
                </c:pt>
                <c:pt idx="108">
                  <c:v>45546</c:v>
                </c:pt>
                <c:pt idx="109">
                  <c:v>45545</c:v>
                </c:pt>
                <c:pt idx="110">
                  <c:v>45544</c:v>
                </c:pt>
                <c:pt idx="111">
                  <c:v>45541</c:v>
                </c:pt>
                <c:pt idx="112">
                  <c:v>45540</c:v>
                </c:pt>
                <c:pt idx="113">
                  <c:v>45539</c:v>
                </c:pt>
                <c:pt idx="114">
                  <c:v>45538</c:v>
                </c:pt>
                <c:pt idx="115">
                  <c:v>45534</c:v>
                </c:pt>
                <c:pt idx="116">
                  <c:v>45533</c:v>
                </c:pt>
                <c:pt idx="117">
                  <c:v>45532</c:v>
                </c:pt>
                <c:pt idx="118">
                  <c:v>45531</c:v>
                </c:pt>
                <c:pt idx="119">
                  <c:v>45530</c:v>
                </c:pt>
                <c:pt idx="120">
                  <c:v>45527</c:v>
                </c:pt>
                <c:pt idx="121">
                  <c:v>45526</c:v>
                </c:pt>
                <c:pt idx="122">
                  <c:v>45525</c:v>
                </c:pt>
                <c:pt idx="123">
                  <c:v>45524</c:v>
                </c:pt>
                <c:pt idx="124">
                  <c:v>45523</c:v>
                </c:pt>
                <c:pt idx="125">
                  <c:v>45520</c:v>
                </c:pt>
                <c:pt idx="126">
                  <c:v>45519</c:v>
                </c:pt>
                <c:pt idx="127">
                  <c:v>45518</c:v>
                </c:pt>
                <c:pt idx="128">
                  <c:v>45517</c:v>
                </c:pt>
                <c:pt idx="129">
                  <c:v>45516</c:v>
                </c:pt>
                <c:pt idx="130">
                  <c:v>45513</c:v>
                </c:pt>
                <c:pt idx="131">
                  <c:v>45512</c:v>
                </c:pt>
                <c:pt idx="132">
                  <c:v>45511</c:v>
                </c:pt>
                <c:pt idx="133">
                  <c:v>45510</c:v>
                </c:pt>
                <c:pt idx="134">
                  <c:v>45509</c:v>
                </c:pt>
                <c:pt idx="135">
                  <c:v>45506</c:v>
                </c:pt>
                <c:pt idx="136">
                  <c:v>45505</c:v>
                </c:pt>
                <c:pt idx="137">
                  <c:v>45504</c:v>
                </c:pt>
                <c:pt idx="138">
                  <c:v>45503</c:v>
                </c:pt>
                <c:pt idx="139">
                  <c:v>45502</c:v>
                </c:pt>
                <c:pt idx="140">
                  <c:v>45499</c:v>
                </c:pt>
                <c:pt idx="141">
                  <c:v>45498</c:v>
                </c:pt>
                <c:pt idx="142">
                  <c:v>45497</c:v>
                </c:pt>
                <c:pt idx="143">
                  <c:v>45496</c:v>
                </c:pt>
                <c:pt idx="144">
                  <c:v>45495</c:v>
                </c:pt>
                <c:pt idx="145">
                  <c:v>45492</c:v>
                </c:pt>
                <c:pt idx="146">
                  <c:v>45491</c:v>
                </c:pt>
                <c:pt idx="147">
                  <c:v>45490</c:v>
                </c:pt>
                <c:pt idx="148">
                  <c:v>45489</c:v>
                </c:pt>
                <c:pt idx="149">
                  <c:v>45488</c:v>
                </c:pt>
                <c:pt idx="150">
                  <c:v>45485</c:v>
                </c:pt>
                <c:pt idx="151">
                  <c:v>45484</c:v>
                </c:pt>
                <c:pt idx="152">
                  <c:v>45483</c:v>
                </c:pt>
                <c:pt idx="153">
                  <c:v>45482</c:v>
                </c:pt>
                <c:pt idx="154">
                  <c:v>45481</c:v>
                </c:pt>
                <c:pt idx="155">
                  <c:v>45478</c:v>
                </c:pt>
                <c:pt idx="156">
                  <c:v>45476</c:v>
                </c:pt>
                <c:pt idx="157">
                  <c:v>45475</c:v>
                </c:pt>
                <c:pt idx="158">
                  <c:v>45474</c:v>
                </c:pt>
                <c:pt idx="159">
                  <c:v>45471</c:v>
                </c:pt>
                <c:pt idx="160">
                  <c:v>45470</c:v>
                </c:pt>
                <c:pt idx="161">
                  <c:v>45469</c:v>
                </c:pt>
                <c:pt idx="162">
                  <c:v>45468</c:v>
                </c:pt>
                <c:pt idx="163">
                  <c:v>45467</c:v>
                </c:pt>
                <c:pt idx="164">
                  <c:v>45464</c:v>
                </c:pt>
                <c:pt idx="165">
                  <c:v>45463</c:v>
                </c:pt>
                <c:pt idx="166">
                  <c:v>45461</c:v>
                </c:pt>
                <c:pt idx="167">
                  <c:v>45460</c:v>
                </c:pt>
                <c:pt idx="168">
                  <c:v>45457</c:v>
                </c:pt>
                <c:pt idx="169">
                  <c:v>45456</c:v>
                </c:pt>
                <c:pt idx="170">
                  <c:v>45455</c:v>
                </c:pt>
                <c:pt idx="171">
                  <c:v>45454</c:v>
                </c:pt>
                <c:pt idx="172">
                  <c:v>45453</c:v>
                </c:pt>
                <c:pt idx="173">
                  <c:v>45450</c:v>
                </c:pt>
                <c:pt idx="174">
                  <c:v>45449</c:v>
                </c:pt>
                <c:pt idx="175">
                  <c:v>45448</c:v>
                </c:pt>
                <c:pt idx="176">
                  <c:v>45447</c:v>
                </c:pt>
                <c:pt idx="177">
                  <c:v>45446</c:v>
                </c:pt>
                <c:pt idx="178">
                  <c:v>45443</c:v>
                </c:pt>
                <c:pt idx="179">
                  <c:v>45442</c:v>
                </c:pt>
                <c:pt idx="180">
                  <c:v>45441</c:v>
                </c:pt>
                <c:pt idx="181">
                  <c:v>45440</c:v>
                </c:pt>
                <c:pt idx="182">
                  <c:v>45436</c:v>
                </c:pt>
                <c:pt idx="183">
                  <c:v>45435</c:v>
                </c:pt>
                <c:pt idx="184">
                  <c:v>45434</c:v>
                </c:pt>
                <c:pt idx="185">
                  <c:v>45433</c:v>
                </c:pt>
                <c:pt idx="186">
                  <c:v>45432</c:v>
                </c:pt>
                <c:pt idx="187">
                  <c:v>45429</c:v>
                </c:pt>
                <c:pt idx="188">
                  <c:v>45428</c:v>
                </c:pt>
                <c:pt idx="189">
                  <c:v>45427</c:v>
                </c:pt>
                <c:pt idx="190">
                  <c:v>45426</c:v>
                </c:pt>
                <c:pt idx="191">
                  <c:v>45425</c:v>
                </c:pt>
                <c:pt idx="192">
                  <c:v>45422</c:v>
                </c:pt>
                <c:pt idx="193">
                  <c:v>45421</c:v>
                </c:pt>
                <c:pt idx="194">
                  <c:v>45420</c:v>
                </c:pt>
                <c:pt idx="195">
                  <c:v>45419</c:v>
                </c:pt>
                <c:pt idx="196">
                  <c:v>45418</c:v>
                </c:pt>
                <c:pt idx="197">
                  <c:v>45415</c:v>
                </c:pt>
                <c:pt idx="198">
                  <c:v>45414</c:v>
                </c:pt>
                <c:pt idx="199">
                  <c:v>45413</c:v>
                </c:pt>
                <c:pt idx="200">
                  <c:v>45412</c:v>
                </c:pt>
                <c:pt idx="201">
                  <c:v>45411</c:v>
                </c:pt>
                <c:pt idx="202">
                  <c:v>45408</c:v>
                </c:pt>
                <c:pt idx="203">
                  <c:v>45407</c:v>
                </c:pt>
                <c:pt idx="204">
                  <c:v>45406</c:v>
                </c:pt>
                <c:pt idx="205">
                  <c:v>45405</c:v>
                </c:pt>
                <c:pt idx="206">
                  <c:v>45404</c:v>
                </c:pt>
                <c:pt idx="207">
                  <c:v>45401</c:v>
                </c:pt>
                <c:pt idx="208">
                  <c:v>45400</c:v>
                </c:pt>
                <c:pt idx="209">
                  <c:v>45399</c:v>
                </c:pt>
                <c:pt idx="210">
                  <c:v>45398</c:v>
                </c:pt>
                <c:pt idx="211">
                  <c:v>45397</c:v>
                </c:pt>
                <c:pt idx="212">
                  <c:v>45394</c:v>
                </c:pt>
                <c:pt idx="213">
                  <c:v>45393</c:v>
                </c:pt>
                <c:pt idx="214">
                  <c:v>45392</c:v>
                </c:pt>
                <c:pt idx="215">
                  <c:v>45391</c:v>
                </c:pt>
                <c:pt idx="216">
                  <c:v>45390</c:v>
                </c:pt>
                <c:pt idx="217">
                  <c:v>45387</c:v>
                </c:pt>
                <c:pt idx="218">
                  <c:v>45386</c:v>
                </c:pt>
                <c:pt idx="219">
                  <c:v>45385</c:v>
                </c:pt>
                <c:pt idx="220">
                  <c:v>45384</c:v>
                </c:pt>
                <c:pt idx="221">
                  <c:v>45383</c:v>
                </c:pt>
                <c:pt idx="222">
                  <c:v>45379</c:v>
                </c:pt>
                <c:pt idx="223">
                  <c:v>45378</c:v>
                </c:pt>
                <c:pt idx="224">
                  <c:v>45377</c:v>
                </c:pt>
                <c:pt idx="225">
                  <c:v>45376</c:v>
                </c:pt>
                <c:pt idx="226">
                  <c:v>45373</c:v>
                </c:pt>
                <c:pt idx="227">
                  <c:v>45372</c:v>
                </c:pt>
                <c:pt idx="228">
                  <c:v>45371</c:v>
                </c:pt>
                <c:pt idx="229">
                  <c:v>45370</c:v>
                </c:pt>
                <c:pt idx="230">
                  <c:v>45369</c:v>
                </c:pt>
                <c:pt idx="231">
                  <c:v>45366</c:v>
                </c:pt>
                <c:pt idx="232">
                  <c:v>45365</c:v>
                </c:pt>
                <c:pt idx="233">
                  <c:v>45364</c:v>
                </c:pt>
                <c:pt idx="234">
                  <c:v>45363</c:v>
                </c:pt>
                <c:pt idx="235">
                  <c:v>45362</c:v>
                </c:pt>
                <c:pt idx="236">
                  <c:v>45359</c:v>
                </c:pt>
                <c:pt idx="237">
                  <c:v>45358</c:v>
                </c:pt>
                <c:pt idx="238">
                  <c:v>45357</c:v>
                </c:pt>
                <c:pt idx="239">
                  <c:v>45356</c:v>
                </c:pt>
                <c:pt idx="240">
                  <c:v>45355</c:v>
                </c:pt>
                <c:pt idx="241">
                  <c:v>45352</c:v>
                </c:pt>
                <c:pt idx="242">
                  <c:v>45351</c:v>
                </c:pt>
                <c:pt idx="243">
                  <c:v>45350</c:v>
                </c:pt>
                <c:pt idx="244">
                  <c:v>45349</c:v>
                </c:pt>
                <c:pt idx="245">
                  <c:v>45348</c:v>
                </c:pt>
                <c:pt idx="246">
                  <c:v>45345</c:v>
                </c:pt>
                <c:pt idx="247">
                  <c:v>45344</c:v>
                </c:pt>
                <c:pt idx="248">
                  <c:v>45343</c:v>
                </c:pt>
                <c:pt idx="249">
                  <c:v>45342</c:v>
                </c:pt>
              </c:numCache>
            </c:numRef>
          </c:cat>
          <c:val>
            <c:numRef>
              <c:f>Charts!$H$180:$H$447</c:f>
              <c:numCache>
                <c:formatCode>"$"#,##0.00_);\("$"#,##0.00\)</c:formatCode>
                <c:ptCount val="268"/>
                <c:pt idx="0">
                  <c:v>373</c:v>
                </c:pt>
                <c:pt idx="1">
                  <c:v>269.31</c:v>
                </c:pt>
              </c:numCache>
            </c:numRef>
          </c:val>
          <c:smooth val="0"/>
          <c:extLst>
            <c:ext xmlns:c16="http://schemas.microsoft.com/office/drawing/2014/chart" uri="{C3380CC4-5D6E-409C-BE32-E72D297353CC}">
              <c16:uniqueId val="{0000000C-E79F-42D5-A2F4-1E24582E5C80}"/>
            </c:ext>
          </c:extLst>
        </c:ser>
        <c:dLbls>
          <c:showLegendKey val="0"/>
          <c:showVal val="0"/>
          <c:showCatName val="0"/>
          <c:showSerName val="0"/>
          <c:showPercent val="0"/>
          <c:showBubbleSize val="0"/>
        </c:dLbls>
        <c:smooth val="0"/>
        <c:axId val="-984182816"/>
        <c:axId val="-984179552"/>
      </c:lineChart>
      <c:dateAx>
        <c:axId val="-98418281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79552"/>
        <c:crosses val="autoZero"/>
        <c:auto val="1"/>
        <c:lblOffset val="100"/>
        <c:baseTimeUnit val="days"/>
        <c:majorUnit val="6"/>
        <c:majorTimeUnit val="months"/>
        <c:minorUnit val="1"/>
        <c:minorTimeUnit val="months"/>
      </c:dateAx>
      <c:valAx>
        <c:axId val="-984179552"/>
        <c:scaling>
          <c:orientation val="minMax"/>
          <c:max val="400"/>
          <c:min val="125"/>
        </c:scaling>
        <c:delete val="0"/>
        <c:axPos val="l"/>
        <c:numFmt formatCode="&quot;$&quot;#,##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Extra Light" panose="020B0204020104020204" pitchFamily="34" charset="0"/>
                <a:ea typeface="+mn-ea"/>
                <a:cs typeface="+mn-cs"/>
              </a:defRPr>
            </a:pPr>
            <a:endParaRPr lang="en-US"/>
          </a:p>
        </c:txPr>
        <c:crossAx val="-984182816"/>
        <c:crosses val="autoZero"/>
        <c:crossBetween val="between"/>
        <c:majorUnit val="50"/>
      </c:valAx>
    </c:plotArea>
    <c:legend>
      <c:legendPos val="b"/>
      <c:legendEntry>
        <c:idx val="0"/>
        <c:delete val="1"/>
      </c:legendEntry>
      <c:layout>
        <c:manualLayout>
          <c:xMode val="edge"/>
          <c:yMode val="edge"/>
          <c:x val="0.14281833927263157"/>
          <c:y val="0.90512197004786143"/>
          <c:w val="0.71436309917561114"/>
          <c:h val="9.4878029952138329E-2"/>
        </c:manualLayout>
      </c:layout>
      <c:overlay val="0"/>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badi Extra Light" panose="020B0204020104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3826-4FDE-A5E1-E5CD4A03F332}"/>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Benchmark!$O$12:$O$17</c:f>
              <c:strCache>
                <c:ptCount val="6"/>
                <c:pt idx="0">
                  <c:v>EVR</c:v>
                </c:pt>
                <c:pt idx="1">
                  <c:v>MC</c:v>
                </c:pt>
                <c:pt idx="2">
                  <c:v>HLI</c:v>
                </c:pt>
                <c:pt idx="3">
                  <c:v>PJT</c:v>
                </c:pt>
                <c:pt idx="4">
                  <c:v>LAZ</c:v>
                </c:pt>
                <c:pt idx="5">
                  <c:v>0</c:v>
                </c:pt>
              </c:strCache>
            </c:strRef>
          </c:cat>
          <c:val>
            <c:numRef>
              <c:f>Benchmark!$P$12:$P$17</c:f>
              <c:numCache>
                <c:formatCode>#,##0.0%_);\(#,##0.0%\);"-"</c:formatCode>
                <c:ptCount val="6"/>
                <c:pt idx="0">
                  <c:v>0.425431</c:v>
                </c:pt>
                <c:pt idx="1">
                  <c:v>0.24366868356378796</c:v>
                </c:pt>
                <c:pt idx="2">
                  <c:v>0.22849417260901475</c:v>
                </c:pt>
                <c:pt idx="3">
                  <c:v>0.10620472327411244</c:v>
                </c:pt>
                <c:pt idx="4">
                  <c:v>3.6511652824848008E-2</c:v>
                </c:pt>
                <c:pt idx="5">
                  <c:v>9.4004357022564849E-7</c:v>
                </c:pt>
              </c:numCache>
            </c:numRef>
          </c:val>
          <c:extLst>
            <c:ext xmlns:c16="http://schemas.microsoft.com/office/drawing/2014/chart" uri="{C3380CC4-5D6E-409C-BE32-E72D297353CC}">
              <c16:uniqueId val="{00000002-3826-4FDE-A5E1-E5CD4A03F332}"/>
            </c:ext>
          </c:extLst>
        </c:ser>
        <c:dLbls>
          <c:showLegendKey val="0"/>
          <c:showVal val="0"/>
          <c:showCatName val="0"/>
          <c:showSerName val="0"/>
          <c:showPercent val="0"/>
          <c:showBubbleSize val="0"/>
        </c:dLbls>
        <c:gapWidth val="60"/>
        <c:axId val="-1513983408"/>
        <c:axId val="-856894224"/>
      </c:barChart>
      <c:lineChart>
        <c:grouping val="standard"/>
        <c:varyColors val="0"/>
        <c:ser>
          <c:idx val="2"/>
          <c:order val="1"/>
          <c:spPr>
            <a:ln w="31750" cap="rnd">
              <a:solidFill>
                <a:srgbClr val="BDD7EE"/>
              </a:solidFill>
              <a:prstDash val="sysDash"/>
              <a:round/>
            </a:ln>
            <a:effectLst/>
          </c:spPr>
          <c:marker>
            <c:symbol val="none"/>
          </c:marker>
          <c:cat>
            <c:strRef>
              <c:f>Benchmark!$O$12:$O$17</c:f>
              <c:strCache>
                <c:ptCount val="6"/>
                <c:pt idx="0">
                  <c:v>EVR</c:v>
                </c:pt>
                <c:pt idx="1">
                  <c:v>MC</c:v>
                </c:pt>
                <c:pt idx="2">
                  <c:v>HLI</c:v>
                </c:pt>
                <c:pt idx="3">
                  <c:v>PJT</c:v>
                </c:pt>
                <c:pt idx="4">
                  <c:v>LAZ</c:v>
                </c:pt>
                <c:pt idx="5">
                  <c:v>0</c:v>
                </c:pt>
              </c:strCache>
            </c:strRef>
          </c:cat>
          <c:val>
            <c:numRef>
              <c:f>Benchmark!$Q$12:$Q$17</c:f>
              <c:numCache>
                <c:formatCode>#,##0.0%_);\(#,##0.0%\);"-"</c:formatCode>
                <c:ptCount val="6"/>
                <c:pt idx="1">
                  <c:v>0.10620472327411244</c:v>
                </c:pt>
                <c:pt idx="2">
                  <c:v>0.10620472327411244</c:v>
                </c:pt>
                <c:pt idx="3">
                  <c:v>0.10620472327411244</c:v>
                </c:pt>
                <c:pt idx="4">
                  <c:v>0.10620472327411244</c:v>
                </c:pt>
                <c:pt idx="5">
                  <c:v>0.10620472327411244</c:v>
                </c:pt>
              </c:numCache>
            </c:numRef>
          </c:val>
          <c:smooth val="0"/>
          <c:extLst>
            <c:ext xmlns:c16="http://schemas.microsoft.com/office/drawing/2014/chart" uri="{C3380CC4-5D6E-409C-BE32-E72D297353CC}">
              <c16:uniqueId val="{00000003-3826-4FDE-A5E1-E5CD4A03F332}"/>
            </c:ext>
          </c:extLst>
        </c:ser>
        <c:dLbls>
          <c:showLegendKey val="0"/>
          <c:showVal val="0"/>
          <c:showCatName val="0"/>
          <c:showSerName val="0"/>
          <c:showPercent val="0"/>
          <c:showBubbleSize val="0"/>
        </c:dLbls>
        <c:marker val="1"/>
        <c:smooth val="0"/>
        <c:axId val="-1513983408"/>
        <c:axId val="-856894224"/>
      </c:lineChart>
      <c:catAx>
        <c:axId val="-1513983408"/>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94224"/>
        <c:crosses val="autoZero"/>
        <c:auto val="1"/>
        <c:lblAlgn val="ctr"/>
        <c:lblOffset val="100"/>
        <c:noMultiLvlLbl val="0"/>
      </c:catAx>
      <c:valAx>
        <c:axId val="-856894224"/>
        <c:scaling>
          <c:orientation val="minMax"/>
          <c:max val="0.32000000000000006"/>
        </c:scaling>
        <c:delete val="1"/>
        <c:axPos val="l"/>
        <c:numFmt formatCode="#,##0.0%_);\(#,##0%\)" sourceLinked="0"/>
        <c:majorTickMark val="out"/>
        <c:minorTickMark val="none"/>
        <c:tickLblPos val="nextTo"/>
        <c:crossAx val="-1513983408"/>
        <c:crosses val="autoZero"/>
        <c:crossBetween val="between"/>
        <c:majorUnit val="4.0000000000000008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D081-4D11-950D-D63ADB564496}"/>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Benchmark!$O$28:$O$33</c:f>
              <c:strCache>
                <c:ptCount val="6"/>
                <c:pt idx="0">
                  <c:v>EVR</c:v>
                </c:pt>
                <c:pt idx="1">
                  <c:v>MC</c:v>
                </c:pt>
                <c:pt idx="2">
                  <c:v>HLI</c:v>
                </c:pt>
                <c:pt idx="3">
                  <c:v>LAZ</c:v>
                </c:pt>
                <c:pt idx="4">
                  <c:v>PJT</c:v>
                </c:pt>
                <c:pt idx="5">
                  <c:v>0</c:v>
                </c:pt>
              </c:strCache>
            </c:strRef>
          </c:cat>
          <c:val>
            <c:numRef>
              <c:f>Benchmark!$P$28:$P$33</c:f>
              <c:numCache>
                <c:formatCode>#,##0.0%_);\(#,##0.0%\);"-"</c:formatCode>
                <c:ptCount val="6"/>
                <c:pt idx="0">
                  <c:v>0.48799999999999999</c:v>
                </c:pt>
                <c:pt idx="1">
                  <c:v>0.50156718820665502</c:v>
                </c:pt>
                <c:pt idx="2">
                  <c:v>0.44577906062994138</c:v>
                </c:pt>
                <c:pt idx="3">
                  <c:v>0.36378436867777625</c:v>
                </c:pt>
                <c:pt idx="4">
                  <c:v>0.24327445028429781</c:v>
                </c:pt>
                <c:pt idx="5">
                  <c:v>5.0136669961084171E-7</c:v>
                </c:pt>
              </c:numCache>
            </c:numRef>
          </c:val>
          <c:extLst>
            <c:ext xmlns:c16="http://schemas.microsoft.com/office/drawing/2014/chart" uri="{C3380CC4-5D6E-409C-BE32-E72D297353CC}">
              <c16:uniqueId val="{00000002-D081-4D11-950D-D63ADB564496}"/>
            </c:ext>
          </c:extLst>
        </c:ser>
        <c:dLbls>
          <c:showLegendKey val="0"/>
          <c:showVal val="1"/>
          <c:showCatName val="0"/>
          <c:showSerName val="0"/>
          <c:showPercent val="0"/>
          <c:showBubbleSize val="0"/>
        </c:dLbls>
        <c:gapWidth val="60"/>
        <c:axId val="-856893680"/>
        <c:axId val="-856890960"/>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Benchmark!$O$28:$O$33</c:f>
              <c:strCache>
                <c:ptCount val="6"/>
                <c:pt idx="0">
                  <c:v>EVR</c:v>
                </c:pt>
                <c:pt idx="1">
                  <c:v>MC</c:v>
                </c:pt>
                <c:pt idx="2">
                  <c:v>HLI</c:v>
                </c:pt>
                <c:pt idx="3">
                  <c:v>LAZ</c:v>
                </c:pt>
                <c:pt idx="4">
                  <c:v>PJT</c:v>
                </c:pt>
                <c:pt idx="5">
                  <c:v>0</c:v>
                </c:pt>
              </c:strCache>
            </c:strRef>
          </c:cat>
          <c:val>
            <c:numRef>
              <c:f>Benchmark!$Q$28:$Q$33</c:f>
              <c:numCache>
                <c:formatCode>#,##0.0%_);\(#,##0.0%\);"-"</c:formatCode>
                <c:ptCount val="6"/>
                <c:pt idx="1">
                  <c:v>0.36378436867777625</c:v>
                </c:pt>
                <c:pt idx="2">
                  <c:v>0.36378436867777625</c:v>
                </c:pt>
                <c:pt idx="3">
                  <c:v>0.36378436867777625</c:v>
                </c:pt>
                <c:pt idx="4">
                  <c:v>0.36378436867777625</c:v>
                </c:pt>
                <c:pt idx="5">
                  <c:v>0.36378436867777625</c:v>
                </c:pt>
              </c:numCache>
            </c:numRef>
          </c:val>
          <c:smooth val="0"/>
          <c:extLst>
            <c:ext xmlns:c16="http://schemas.microsoft.com/office/drawing/2014/chart" uri="{C3380CC4-5D6E-409C-BE32-E72D297353CC}">
              <c16:uniqueId val="{00000003-D081-4D11-950D-D63ADB564496}"/>
            </c:ext>
          </c:extLst>
        </c:ser>
        <c:dLbls>
          <c:showLegendKey val="0"/>
          <c:showVal val="1"/>
          <c:showCatName val="0"/>
          <c:showSerName val="0"/>
          <c:showPercent val="0"/>
          <c:showBubbleSize val="0"/>
        </c:dLbls>
        <c:marker val="1"/>
        <c:smooth val="0"/>
        <c:axId val="-856893680"/>
        <c:axId val="-856890960"/>
      </c:lineChart>
      <c:catAx>
        <c:axId val="-856893680"/>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90960"/>
        <c:crosses val="autoZero"/>
        <c:auto val="1"/>
        <c:lblAlgn val="ctr"/>
        <c:lblOffset val="100"/>
        <c:noMultiLvlLbl val="0"/>
      </c:catAx>
      <c:valAx>
        <c:axId val="-856890960"/>
        <c:scaling>
          <c:orientation val="minMax"/>
          <c:max val="0.25"/>
        </c:scaling>
        <c:delete val="1"/>
        <c:axPos val="l"/>
        <c:numFmt formatCode="#,##0.0%_);\(#,##0%\)" sourceLinked="0"/>
        <c:majorTickMark val="none"/>
        <c:minorTickMark val="none"/>
        <c:tickLblPos val="nextTo"/>
        <c:crossAx val="-856893680"/>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DA06-4707-BE36-58F77C8BD7DB}"/>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Benchmark!$O$44:$O$49</c:f>
              <c:strCache>
                <c:ptCount val="6"/>
                <c:pt idx="0">
                  <c:v>EVR</c:v>
                </c:pt>
                <c:pt idx="1">
                  <c:v>HLI</c:v>
                </c:pt>
                <c:pt idx="2">
                  <c:v>LAZ</c:v>
                </c:pt>
                <c:pt idx="3">
                  <c:v>0</c:v>
                </c:pt>
                <c:pt idx="4">
                  <c:v>MC</c:v>
                </c:pt>
                <c:pt idx="5">
                  <c:v>PJT</c:v>
                </c:pt>
              </c:strCache>
            </c:strRef>
          </c:cat>
          <c:val>
            <c:numRef>
              <c:f>Benchmark!$P$44:$P$49</c:f>
              <c:numCache>
                <c:formatCode>#,##0.0\x_);\(#,##0.0\x\);"-"</c:formatCode>
                <c:ptCount val="6"/>
                <c:pt idx="0">
                  <c:v>0</c:v>
                </c:pt>
                <c:pt idx="1">
                  <c:v>8.7549224791459702E-7</c:v>
                </c:pt>
                <c:pt idx="2">
                  <c:v>7.8003397788933616E-7</c:v>
                </c:pt>
                <c:pt idx="3">
                  <c:v>7.7302900749948869E-7</c:v>
                </c:pt>
                <c:pt idx="4">
                  <c:v>5.7497411561290236E-7</c:v>
                </c:pt>
                <c:pt idx="5">
                  <c:v>5.3332610946061132E-7</c:v>
                </c:pt>
              </c:numCache>
            </c:numRef>
          </c:val>
          <c:extLst>
            <c:ext xmlns:c16="http://schemas.microsoft.com/office/drawing/2014/chart" uri="{C3380CC4-5D6E-409C-BE32-E72D297353CC}">
              <c16:uniqueId val="{00000002-DA06-4707-BE36-58F77C8BD7DB}"/>
            </c:ext>
          </c:extLst>
        </c:ser>
        <c:dLbls>
          <c:showLegendKey val="0"/>
          <c:showVal val="1"/>
          <c:showCatName val="0"/>
          <c:showSerName val="0"/>
          <c:showPercent val="0"/>
          <c:showBubbleSize val="0"/>
        </c:dLbls>
        <c:gapWidth val="60"/>
        <c:axId val="-856883344"/>
        <c:axId val="-856890416"/>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Benchmark!$O$44:$O$49</c:f>
              <c:strCache>
                <c:ptCount val="6"/>
                <c:pt idx="0">
                  <c:v>EVR</c:v>
                </c:pt>
                <c:pt idx="1">
                  <c:v>HLI</c:v>
                </c:pt>
                <c:pt idx="2">
                  <c:v>LAZ</c:v>
                </c:pt>
                <c:pt idx="3">
                  <c:v>0</c:v>
                </c:pt>
                <c:pt idx="4">
                  <c:v>MC</c:v>
                </c:pt>
                <c:pt idx="5">
                  <c:v>PJT</c:v>
                </c:pt>
              </c:strCache>
            </c:strRef>
          </c:cat>
          <c:val>
            <c:numRef>
              <c:f>Benchmark!$Q$44:$Q$49</c:f>
              <c:numCache>
                <c:formatCode>#,##0.0\x_);\(#,##0.0\x\);"-"</c:formatCode>
                <c:ptCount val="6"/>
                <c:pt idx="1">
                  <c:v>7.7302900749948869E-7</c:v>
                </c:pt>
                <c:pt idx="2">
                  <c:v>7.7302900749948869E-7</c:v>
                </c:pt>
                <c:pt idx="3">
                  <c:v>7.7302900749948869E-7</c:v>
                </c:pt>
                <c:pt idx="4">
                  <c:v>7.7302900749948869E-7</c:v>
                </c:pt>
                <c:pt idx="5">
                  <c:v>7.7302900749948869E-7</c:v>
                </c:pt>
              </c:numCache>
            </c:numRef>
          </c:val>
          <c:smooth val="0"/>
          <c:extLst>
            <c:ext xmlns:c16="http://schemas.microsoft.com/office/drawing/2014/chart" uri="{C3380CC4-5D6E-409C-BE32-E72D297353CC}">
              <c16:uniqueId val="{00000003-DA06-4707-BE36-58F77C8BD7DB}"/>
            </c:ext>
          </c:extLst>
        </c:ser>
        <c:dLbls>
          <c:showLegendKey val="0"/>
          <c:showVal val="1"/>
          <c:showCatName val="0"/>
          <c:showSerName val="0"/>
          <c:showPercent val="0"/>
          <c:showBubbleSize val="0"/>
        </c:dLbls>
        <c:marker val="1"/>
        <c:smooth val="0"/>
        <c:axId val="-856883344"/>
        <c:axId val="-856890416"/>
      </c:lineChart>
      <c:catAx>
        <c:axId val="-85688334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90416"/>
        <c:crosses val="autoZero"/>
        <c:auto val="1"/>
        <c:lblAlgn val="ctr"/>
        <c:lblOffset val="100"/>
        <c:noMultiLvlLbl val="0"/>
      </c:catAx>
      <c:valAx>
        <c:axId val="-856890416"/>
        <c:scaling>
          <c:orientation val="minMax"/>
          <c:max val="18"/>
        </c:scaling>
        <c:delete val="1"/>
        <c:axPos val="l"/>
        <c:numFmt formatCode="#,##0.0\x_);\(#,##0.0\x\);&quot;-&quot;" sourceLinked="0"/>
        <c:majorTickMark val="out"/>
        <c:minorTickMark val="none"/>
        <c:tickLblPos val="nextTo"/>
        <c:crossAx val="-856883344"/>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1853-4377-AC7A-B9988997977F}"/>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Benchmark!$O$60:$O$65</c:f>
              <c:strCache>
                <c:ptCount val="6"/>
                <c:pt idx="0">
                  <c:v>EVR</c:v>
                </c:pt>
                <c:pt idx="1">
                  <c:v>HLI</c:v>
                </c:pt>
                <c:pt idx="2">
                  <c:v>MC</c:v>
                </c:pt>
                <c:pt idx="3">
                  <c:v>PJT</c:v>
                </c:pt>
                <c:pt idx="4">
                  <c:v>LAZ</c:v>
                </c:pt>
                <c:pt idx="5">
                  <c:v>0</c:v>
                </c:pt>
              </c:strCache>
            </c:strRef>
          </c:cat>
          <c:val>
            <c:numRef>
              <c:f>Benchmark!$P$60:$P$65</c:f>
              <c:numCache>
                <c:formatCode>#,##0.0\x_);\(#,##0.0\x\);"-"</c:formatCode>
                <c:ptCount val="6"/>
                <c:pt idx="0">
                  <c:v>17.846255042276262</c:v>
                </c:pt>
                <c:pt idx="1">
                  <c:v>30.458080576033474</c:v>
                </c:pt>
                <c:pt idx="2">
                  <c:v>21.49559804804413</c:v>
                </c:pt>
                <c:pt idx="3">
                  <c:v>15.224025137770973</c:v>
                </c:pt>
                <c:pt idx="4">
                  <c:v>12.270390665556555</c:v>
                </c:pt>
                <c:pt idx="5">
                  <c:v>8.9373684132834474E-7</c:v>
                </c:pt>
              </c:numCache>
            </c:numRef>
          </c:val>
          <c:extLst>
            <c:ext xmlns:c16="http://schemas.microsoft.com/office/drawing/2014/chart" uri="{C3380CC4-5D6E-409C-BE32-E72D297353CC}">
              <c16:uniqueId val="{00000002-1853-4377-AC7A-B9988997977F}"/>
            </c:ext>
          </c:extLst>
        </c:ser>
        <c:dLbls>
          <c:showLegendKey val="0"/>
          <c:showVal val="1"/>
          <c:showCatName val="0"/>
          <c:showSerName val="0"/>
          <c:showPercent val="0"/>
          <c:showBubbleSize val="0"/>
        </c:dLbls>
        <c:gapWidth val="60"/>
        <c:axId val="-856880624"/>
        <c:axId val="-856887696"/>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Benchmark!$O$60:$O$65</c:f>
              <c:strCache>
                <c:ptCount val="6"/>
                <c:pt idx="0">
                  <c:v>EVR</c:v>
                </c:pt>
                <c:pt idx="1">
                  <c:v>HLI</c:v>
                </c:pt>
                <c:pt idx="2">
                  <c:v>MC</c:v>
                </c:pt>
                <c:pt idx="3">
                  <c:v>PJT</c:v>
                </c:pt>
                <c:pt idx="4">
                  <c:v>LAZ</c:v>
                </c:pt>
                <c:pt idx="5">
                  <c:v>0</c:v>
                </c:pt>
              </c:strCache>
            </c:strRef>
          </c:cat>
          <c:val>
            <c:numRef>
              <c:f>Benchmark!$Q$60:$Q$65</c:f>
              <c:numCache>
                <c:formatCode>#,##0.0\x_);\(#,##0.0\x\);"-"</c:formatCode>
                <c:ptCount val="6"/>
                <c:pt idx="1">
                  <c:v>15.224025137770973</c:v>
                </c:pt>
                <c:pt idx="2">
                  <c:v>15.224025137770973</c:v>
                </c:pt>
                <c:pt idx="3">
                  <c:v>15.224025137770973</c:v>
                </c:pt>
                <c:pt idx="4">
                  <c:v>15.224025137770973</c:v>
                </c:pt>
                <c:pt idx="5">
                  <c:v>15.224025137770973</c:v>
                </c:pt>
              </c:numCache>
            </c:numRef>
          </c:val>
          <c:smooth val="0"/>
          <c:extLst>
            <c:ext xmlns:c16="http://schemas.microsoft.com/office/drawing/2014/chart" uri="{C3380CC4-5D6E-409C-BE32-E72D297353CC}">
              <c16:uniqueId val="{00000003-1853-4377-AC7A-B9988997977F}"/>
            </c:ext>
          </c:extLst>
        </c:ser>
        <c:dLbls>
          <c:showLegendKey val="0"/>
          <c:showVal val="1"/>
          <c:showCatName val="0"/>
          <c:showSerName val="0"/>
          <c:showPercent val="0"/>
          <c:showBubbleSize val="0"/>
        </c:dLbls>
        <c:marker val="1"/>
        <c:smooth val="0"/>
        <c:axId val="-856880624"/>
        <c:axId val="-856887696"/>
      </c:lineChart>
      <c:catAx>
        <c:axId val="-85688062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7696"/>
        <c:crosses val="autoZero"/>
        <c:auto val="1"/>
        <c:lblAlgn val="ctr"/>
        <c:lblOffset val="100"/>
        <c:noMultiLvlLbl val="0"/>
      </c:catAx>
      <c:valAx>
        <c:axId val="-856887696"/>
        <c:scaling>
          <c:orientation val="minMax"/>
          <c:max val="24"/>
        </c:scaling>
        <c:delete val="1"/>
        <c:axPos val="l"/>
        <c:numFmt formatCode="#,##0.0\x_);\(#,##0.0\x\);&quot;-&quot;" sourceLinked="0"/>
        <c:majorTickMark val="out"/>
        <c:minorTickMark val="none"/>
        <c:tickLblPos val="nextTo"/>
        <c:crossAx val="-856880624"/>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F164-4F57-8F57-B882D4DF5C92}"/>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Benchmark!$O$76:$O$81</c:f>
              <c:strCache>
                <c:ptCount val="6"/>
                <c:pt idx="0">
                  <c:v>EVR</c:v>
                </c:pt>
                <c:pt idx="1">
                  <c:v>LAZ</c:v>
                </c:pt>
                <c:pt idx="2">
                  <c:v>MC</c:v>
                </c:pt>
                <c:pt idx="3">
                  <c:v>PJT</c:v>
                </c:pt>
                <c:pt idx="4">
                  <c:v>HLI</c:v>
                </c:pt>
                <c:pt idx="5">
                  <c:v>0</c:v>
                </c:pt>
              </c:strCache>
            </c:strRef>
          </c:cat>
          <c:val>
            <c:numRef>
              <c:f>Benchmark!$P$76:$P$81</c:f>
              <c:numCache>
                <c:formatCode>#,##0.0\x_);\(#,##0.0\x\);"-"</c:formatCode>
                <c:ptCount val="6"/>
                <c:pt idx="0">
                  <c:v>1.9578</c:v>
                </c:pt>
                <c:pt idx="1">
                  <c:v>1.3872509811092675</c:v>
                </c:pt>
                <c:pt idx="2">
                  <c:v>0.85989648384269435</c:v>
                </c:pt>
                <c:pt idx="3">
                  <c:v>0.57947183963397275</c:v>
                </c:pt>
                <c:pt idx="4">
                  <c:v>8.7122122092222781E-2</c:v>
                </c:pt>
                <c:pt idx="5">
                  <c:v>1.3933888658627823E-7</c:v>
                </c:pt>
              </c:numCache>
            </c:numRef>
          </c:val>
          <c:extLst>
            <c:ext xmlns:c16="http://schemas.microsoft.com/office/drawing/2014/chart" uri="{C3380CC4-5D6E-409C-BE32-E72D297353CC}">
              <c16:uniqueId val="{00000002-F164-4F57-8F57-B882D4DF5C92}"/>
            </c:ext>
          </c:extLst>
        </c:ser>
        <c:dLbls>
          <c:showLegendKey val="0"/>
          <c:showVal val="1"/>
          <c:showCatName val="0"/>
          <c:showSerName val="0"/>
          <c:showPercent val="0"/>
          <c:showBubbleSize val="0"/>
        </c:dLbls>
        <c:gapWidth val="60"/>
        <c:axId val="-856889872"/>
        <c:axId val="-856893136"/>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Benchmark!$O$76:$O$81</c:f>
              <c:strCache>
                <c:ptCount val="6"/>
                <c:pt idx="0">
                  <c:v>EVR</c:v>
                </c:pt>
                <c:pt idx="1">
                  <c:v>LAZ</c:v>
                </c:pt>
                <c:pt idx="2">
                  <c:v>MC</c:v>
                </c:pt>
                <c:pt idx="3">
                  <c:v>PJT</c:v>
                </c:pt>
                <c:pt idx="4">
                  <c:v>HLI</c:v>
                </c:pt>
                <c:pt idx="5">
                  <c:v>0</c:v>
                </c:pt>
              </c:strCache>
            </c:strRef>
          </c:cat>
          <c:val>
            <c:numRef>
              <c:f>Benchmark!$Q$76:$Q$81</c:f>
              <c:numCache>
                <c:formatCode>#,##0.0\x_);\(#,##0.0\x\);"-"</c:formatCode>
                <c:ptCount val="6"/>
                <c:pt idx="1">
                  <c:v>0.57947183963397275</c:v>
                </c:pt>
                <c:pt idx="2">
                  <c:v>0.57947183963397275</c:v>
                </c:pt>
                <c:pt idx="3">
                  <c:v>0.57947183963397275</c:v>
                </c:pt>
                <c:pt idx="4">
                  <c:v>0.57947183963397275</c:v>
                </c:pt>
                <c:pt idx="5">
                  <c:v>0.57947183963397275</c:v>
                </c:pt>
              </c:numCache>
            </c:numRef>
          </c:val>
          <c:smooth val="0"/>
          <c:extLst>
            <c:ext xmlns:c16="http://schemas.microsoft.com/office/drawing/2014/chart" uri="{C3380CC4-5D6E-409C-BE32-E72D297353CC}">
              <c16:uniqueId val="{00000003-F164-4F57-8F57-B882D4DF5C92}"/>
            </c:ext>
          </c:extLst>
        </c:ser>
        <c:dLbls>
          <c:showLegendKey val="0"/>
          <c:showVal val="1"/>
          <c:showCatName val="0"/>
          <c:showSerName val="0"/>
          <c:showPercent val="0"/>
          <c:showBubbleSize val="0"/>
        </c:dLbls>
        <c:marker val="1"/>
        <c:smooth val="0"/>
        <c:axId val="-856889872"/>
        <c:axId val="-856893136"/>
      </c:lineChart>
      <c:catAx>
        <c:axId val="-85688987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93136"/>
        <c:crosses val="autoZero"/>
        <c:auto val="1"/>
        <c:lblAlgn val="ctr"/>
        <c:lblOffset val="100"/>
        <c:noMultiLvlLbl val="0"/>
      </c:catAx>
      <c:valAx>
        <c:axId val="-856893136"/>
        <c:scaling>
          <c:orientation val="minMax"/>
          <c:max val="3"/>
        </c:scaling>
        <c:delete val="1"/>
        <c:axPos val="l"/>
        <c:numFmt formatCode="#,##0.0\x_);\(#,##0.0\x\);&quot;-&quot;" sourceLinked="0"/>
        <c:majorTickMark val="out"/>
        <c:minorTickMark val="none"/>
        <c:tickLblPos val="nextTo"/>
        <c:crossAx val="-856889872"/>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1-676D-4A2F-9C1E-EA779ED8CE1F}"/>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Benchmark!$O$92:$O$97</c:f>
              <c:strCache>
                <c:ptCount val="6"/>
                <c:pt idx="0">
                  <c:v>EVR</c:v>
                </c:pt>
                <c:pt idx="1">
                  <c:v>#VALUE!</c:v>
                </c:pt>
                <c:pt idx="2">
                  <c:v>#VALUE!</c:v>
                </c:pt>
                <c:pt idx="3">
                  <c:v>#VALUE!</c:v>
                </c:pt>
                <c:pt idx="4">
                  <c:v>#VALUE!</c:v>
                </c:pt>
                <c:pt idx="5">
                  <c:v>#VALUE!</c:v>
                </c:pt>
              </c:strCache>
            </c:strRef>
          </c:cat>
          <c:val>
            <c:numRef>
              <c:f>Benchmark!$P$92:$P$97</c:f>
              <c:numCache>
                <c:formatCode>#,##0.0\x_);\(#,##0.0\x\);"-"</c:formatCode>
                <c:ptCount val="6"/>
                <c:pt idx="0">
                  <c:v>15.353210000000001</c:v>
                </c:pt>
                <c:pt idx="1">
                  <c:v>0</c:v>
                </c:pt>
                <c:pt idx="2">
                  <c:v>0</c:v>
                </c:pt>
                <c:pt idx="3">
                  <c:v>0</c:v>
                </c:pt>
                <c:pt idx="4">
                  <c:v>0</c:v>
                </c:pt>
                <c:pt idx="5">
                  <c:v>0</c:v>
                </c:pt>
              </c:numCache>
            </c:numRef>
          </c:val>
          <c:extLst>
            <c:ext xmlns:c16="http://schemas.microsoft.com/office/drawing/2014/chart" uri="{C3380CC4-5D6E-409C-BE32-E72D297353CC}">
              <c16:uniqueId val="{00000002-676D-4A2F-9C1E-EA779ED8CE1F}"/>
            </c:ext>
          </c:extLst>
        </c:ser>
        <c:dLbls>
          <c:showLegendKey val="0"/>
          <c:showVal val="1"/>
          <c:showCatName val="0"/>
          <c:showSerName val="0"/>
          <c:showPercent val="0"/>
          <c:showBubbleSize val="0"/>
        </c:dLbls>
        <c:gapWidth val="60"/>
        <c:axId val="-856892592"/>
        <c:axId val="-856887152"/>
      </c:barChart>
      <c:lineChart>
        <c:grouping val="standard"/>
        <c:varyColors val="0"/>
        <c:ser>
          <c:idx val="2"/>
          <c:order val="1"/>
          <c:spPr>
            <a:ln w="25400" cap="rnd">
              <a:solidFill>
                <a:srgbClr val="BDD7EE"/>
              </a:solidFill>
              <a:prstDash val="sysDash"/>
              <a:round/>
            </a:ln>
            <a:effectLst/>
          </c:spPr>
          <c:marker>
            <c:symbol val="none"/>
          </c:marker>
          <c:dLbls>
            <c:delete val="1"/>
          </c:dLbls>
          <c:cat>
            <c:strRef>
              <c:f>Benchmark!$O$92:$O$97</c:f>
              <c:strCache>
                <c:ptCount val="6"/>
                <c:pt idx="0">
                  <c:v>EVR</c:v>
                </c:pt>
                <c:pt idx="1">
                  <c:v>#VALUE!</c:v>
                </c:pt>
                <c:pt idx="2">
                  <c:v>#VALUE!</c:v>
                </c:pt>
                <c:pt idx="3">
                  <c:v>#VALUE!</c:v>
                </c:pt>
                <c:pt idx="4">
                  <c:v>#VALUE!</c:v>
                </c:pt>
                <c:pt idx="5">
                  <c:v>#VALUE!</c:v>
                </c:pt>
              </c:strCache>
            </c:strRef>
          </c:cat>
          <c:val>
            <c:numRef>
              <c:f>Benchmark!$Q$92:$Q$97</c:f>
              <c:numCache>
                <c:formatCode>#,##0.0\x_);\(#,##0.0\x\);"-"</c:formatCode>
                <c:ptCount val="6"/>
                <c:pt idx="1">
                  <c:v>0</c:v>
                </c:pt>
                <c:pt idx="2">
                  <c:v>0</c:v>
                </c:pt>
                <c:pt idx="3">
                  <c:v>0</c:v>
                </c:pt>
                <c:pt idx="4">
                  <c:v>0</c:v>
                </c:pt>
                <c:pt idx="5">
                  <c:v>0</c:v>
                </c:pt>
              </c:numCache>
            </c:numRef>
          </c:val>
          <c:smooth val="0"/>
          <c:extLst>
            <c:ext xmlns:c16="http://schemas.microsoft.com/office/drawing/2014/chart" uri="{C3380CC4-5D6E-409C-BE32-E72D297353CC}">
              <c16:uniqueId val="{00000003-676D-4A2F-9C1E-EA779ED8CE1F}"/>
            </c:ext>
          </c:extLst>
        </c:ser>
        <c:dLbls>
          <c:showLegendKey val="0"/>
          <c:showVal val="1"/>
          <c:showCatName val="0"/>
          <c:showSerName val="0"/>
          <c:showPercent val="0"/>
          <c:showBubbleSize val="0"/>
        </c:dLbls>
        <c:marker val="1"/>
        <c:smooth val="0"/>
        <c:axId val="-856892592"/>
        <c:axId val="-856887152"/>
      </c:lineChart>
      <c:catAx>
        <c:axId val="-856892592"/>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7152"/>
        <c:crosses val="autoZero"/>
        <c:auto val="1"/>
        <c:lblAlgn val="ctr"/>
        <c:lblOffset val="100"/>
        <c:noMultiLvlLbl val="0"/>
      </c:catAx>
      <c:valAx>
        <c:axId val="-856887152"/>
        <c:scaling>
          <c:orientation val="minMax"/>
          <c:max val="20"/>
        </c:scaling>
        <c:delete val="1"/>
        <c:axPos val="l"/>
        <c:numFmt formatCode="#,##0.0\x_);\(#,##0.0\x\);&quot;-&quot;" sourceLinked="0"/>
        <c:majorTickMark val="out"/>
        <c:minorTickMark val="none"/>
        <c:tickLblPos val="nextTo"/>
        <c:crossAx val="-856892592"/>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b="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5-1D01-482F-852F-101BAB5C48E2}"/>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Benchmark!$O$108:$O$113</c:f>
              <c:strCache>
                <c:ptCount val="6"/>
                <c:pt idx="0">
                  <c:v>EVR</c:v>
                </c:pt>
                <c:pt idx="1">
                  <c:v>LAZ</c:v>
                </c:pt>
                <c:pt idx="2">
                  <c:v>HLI</c:v>
                </c:pt>
                <c:pt idx="3">
                  <c:v>PJT</c:v>
                </c:pt>
                <c:pt idx="4">
                  <c:v>MC</c:v>
                </c:pt>
                <c:pt idx="5">
                  <c:v>0</c:v>
                </c:pt>
              </c:strCache>
            </c:strRef>
          </c:cat>
          <c:val>
            <c:numRef>
              <c:f>Benchmark!$P$108:$P$113</c:f>
              <c:numCache>
                <c:formatCode>#,##0.0%_);\(#,##0.0%\);"-"</c:formatCode>
                <c:ptCount val="6"/>
                <c:pt idx="0">
                  <c:v>0.244477489576856</c:v>
                </c:pt>
                <c:pt idx="1">
                  <c:v>0.23500088131112523</c:v>
                </c:pt>
                <c:pt idx="2">
                  <c:v>0.22700000660491296</c:v>
                </c:pt>
                <c:pt idx="3">
                  <c:v>0.18900047411280488</c:v>
                </c:pt>
                <c:pt idx="4">
                  <c:v>0.15400079756084892</c:v>
                </c:pt>
                <c:pt idx="5">
                  <c:v>6.7101022798288451E-8</c:v>
                </c:pt>
              </c:numCache>
            </c:numRef>
          </c:val>
          <c:extLst>
            <c:ext xmlns:c16="http://schemas.microsoft.com/office/drawing/2014/chart" uri="{C3380CC4-5D6E-409C-BE32-E72D297353CC}">
              <c16:uniqueId val="{00000006-1D01-482F-852F-101BAB5C48E2}"/>
            </c:ext>
          </c:extLst>
        </c:ser>
        <c:dLbls>
          <c:showLegendKey val="0"/>
          <c:showVal val="1"/>
          <c:showCatName val="0"/>
          <c:showSerName val="0"/>
          <c:showPercent val="0"/>
          <c:showBubbleSize val="0"/>
        </c:dLbls>
        <c:gapWidth val="60"/>
        <c:axId val="-856892048"/>
        <c:axId val="-856886064"/>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Benchmark!$O$108:$O$113</c:f>
              <c:strCache>
                <c:ptCount val="6"/>
                <c:pt idx="0">
                  <c:v>EVR</c:v>
                </c:pt>
                <c:pt idx="1">
                  <c:v>LAZ</c:v>
                </c:pt>
                <c:pt idx="2">
                  <c:v>HLI</c:v>
                </c:pt>
                <c:pt idx="3">
                  <c:v>PJT</c:v>
                </c:pt>
                <c:pt idx="4">
                  <c:v>MC</c:v>
                </c:pt>
                <c:pt idx="5">
                  <c:v>0</c:v>
                </c:pt>
              </c:strCache>
            </c:strRef>
          </c:cat>
          <c:val>
            <c:numRef>
              <c:f>Benchmark!$Q$108:$Q$113</c:f>
              <c:numCache>
                <c:formatCode>#,##0.0%_);\(#,##0.0%\);"-"</c:formatCode>
                <c:ptCount val="6"/>
                <c:pt idx="1">
                  <c:v>0.18900047411280488</c:v>
                </c:pt>
                <c:pt idx="2">
                  <c:v>0.18900047411280488</c:v>
                </c:pt>
                <c:pt idx="3">
                  <c:v>0.18900047411280488</c:v>
                </c:pt>
                <c:pt idx="4">
                  <c:v>0.18900047411280488</c:v>
                </c:pt>
                <c:pt idx="5">
                  <c:v>0.18900047411280488</c:v>
                </c:pt>
              </c:numCache>
            </c:numRef>
          </c:val>
          <c:smooth val="0"/>
          <c:extLst>
            <c:ext xmlns:c16="http://schemas.microsoft.com/office/drawing/2014/chart" uri="{C3380CC4-5D6E-409C-BE32-E72D297353CC}">
              <c16:uniqueId val="{00000008-1D01-482F-852F-101BAB5C48E2}"/>
            </c:ext>
          </c:extLst>
        </c:ser>
        <c:dLbls>
          <c:showLegendKey val="0"/>
          <c:showVal val="1"/>
          <c:showCatName val="0"/>
          <c:showSerName val="0"/>
          <c:showPercent val="0"/>
          <c:showBubbleSize val="0"/>
        </c:dLbls>
        <c:marker val="1"/>
        <c:smooth val="0"/>
        <c:axId val="-856892048"/>
        <c:axId val="-856886064"/>
      </c:lineChart>
      <c:catAx>
        <c:axId val="-856892048"/>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6064"/>
        <c:crosses val="autoZero"/>
        <c:auto val="1"/>
        <c:lblAlgn val="ctr"/>
        <c:lblOffset val="100"/>
        <c:noMultiLvlLbl val="0"/>
      </c:catAx>
      <c:valAx>
        <c:axId val="-856886064"/>
        <c:scaling>
          <c:orientation val="minMax"/>
          <c:max val="0.25"/>
        </c:scaling>
        <c:delete val="1"/>
        <c:axPos val="l"/>
        <c:numFmt formatCode="#,##0.0%_);\(#,##0%\)" sourceLinked="0"/>
        <c:majorTickMark val="none"/>
        <c:minorTickMark val="none"/>
        <c:tickLblPos val="nextTo"/>
        <c:crossAx val="-856892048"/>
        <c:crosses val="autoZero"/>
        <c:crossBetween val="between"/>
        <c:majorUnit val="5.000000000000001E-2"/>
      </c:valAx>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0355F"/>
            </a:solidFill>
            <a:ln>
              <a:noFill/>
            </a:ln>
            <a:effectLst/>
          </c:spPr>
          <c:invertIfNegative val="0"/>
          <c:dPt>
            <c:idx val="0"/>
            <c:invertIfNegative val="0"/>
            <c:bubble3D val="0"/>
            <c:spPr>
              <a:solidFill>
                <a:srgbClr val="760000"/>
              </a:solidFill>
              <a:ln>
                <a:noFill/>
              </a:ln>
              <a:effectLst/>
            </c:spPr>
            <c:extLst>
              <c:ext xmlns:c16="http://schemas.microsoft.com/office/drawing/2014/chart" uri="{C3380CC4-5D6E-409C-BE32-E72D297353CC}">
                <c16:uniqueId val="{00000005-201F-430F-82AB-4D92BB68CE4F}"/>
              </c:ext>
            </c:extLst>
          </c:dPt>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Benchmark!$O$124:$O$129</c:f>
              <c:strCache>
                <c:ptCount val="6"/>
                <c:pt idx="0">
                  <c:v>EVR</c:v>
                </c:pt>
                <c:pt idx="1">
                  <c:v>PJT</c:v>
                </c:pt>
                <c:pt idx="2">
                  <c:v>LAZ</c:v>
                </c:pt>
                <c:pt idx="3">
                  <c:v>HLI</c:v>
                </c:pt>
                <c:pt idx="4">
                  <c:v>HLI</c:v>
                </c:pt>
                <c:pt idx="5">
                  <c:v>HLI</c:v>
                </c:pt>
              </c:strCache>
            </c:strRef>
          </c:cat>
          <c:val>
            <c:numRef>
              <c:f>Benchmark!$P$124:$P$129</c:f>
              <c:numCache>
                <c:formatCode>#,##0.0%_);\(#,##0.0%\);"-"</c:formatCode>
                <c:ptCount val="6"/>
                <c:pt idx="0">
                  <c:v>1.5541000000000001E-2</c:v>
                </c:pt>
                <c:pt idx="1">
                  <c:v>7.4729999999999996E-3</c:v>
                </c:pt>
                <c:pt idx="2">
                  <c:v>5.9209999999999992E-3</c:v>
                </c:pt>
                <c:pt idx="3">
                  <c:v>0</c:v>
                </c:pt>
                <c:pt idx="4">
                  <c:v>0</c:v>
                </c:pt>
                <c:pt idx="5">
                  <c:v>0</c:v>
                </c:pt>
              </c:numCache>
            </c:numRef>
          </c:val>
          <c:extLst>
            <c:ext xmlns:c16="http://schemas.microsoft.com/office/drawing/2014/chart" uri="{C3380CC4-5D6E-409C-BE32-E72D297353CC}">
              <c16:uniqueId val="{00000006-201F-430F-82AB-4D92BB68CE4F}"/>
            </c:ext>
          </c:extLst>
        </c:ser>
        <c:dLbls>
          <c:showLegendKey val="0"/>
          <c:showVal val="1"/>
          <c:showCatName val="0"/>
          <c:showSerName val="0"/>
          <c:showPercent val="0"/>
          <c:showBubbleSize val="0"/>
        </c:dLbls>
        <c:gapWidth val="60"/>
        <c:axId val="-856891504"/>
        <c:axId val="-856889328"/>
      </c:barChart>
      <c:lineChart>
        <c:grouping val="standard"/>
        <c:varyColors val="0"/>
        <c:ser>
          <c:idx val="2"/>
          <c:order val="1"/>
          <c:spPr>
            <a:ln w="31750" cap="rnd">
              <a:solidFill>
                <a:srgbClr val="BDD7EE"/>
              </a:solidFill>
              <a:prstDash val="sysDash"/>
              <a:round/>
            </a:ln>
            <a:effectLst/>
          </c:spPr>
          <c:marker>
            <c:symbol val="none"/>
          </c:marker>
          <c:dLbls>
            <c:delete val="1"/>
          </c:dLbls>
          <c:cat>
            <c:strRef>
              <c:f>Benchmark!$O$124:$O$129</c:f>
              <c:strCache>
                <c:ptCount val="6"/>
                <c:pt idx="0">
                  <c:v>EVR</c:v>
                </c:pt>
                <c:pt idx="1">
                  <c:v>PJT</c:v>
                </c:pt>
                <c:pt idx="2">
                  <c:v>LAZ</c:v>
                </c:pt>
                <c:pt idx="3">
                  <c:v>HLI</c:v>
                </c:pt>
                <c:pt idx="4">
                  <c:v>HLI</c:v>
                </c:pt>
                <c:pt idx="5">
                  <c:v>HLI</c:v>
                </c:pt>
              </c:strCache>
            </c:strRef>
          </c:cat>
          <c:val>
            <c:numRef>
              <c:f>Benchmark!$Q$124:$Q$129</c:f>
              <c:numCache>
                <c:formatCode>#,##0.0%_);\(#,##0.0%\);"-"</c:formatCode>
                <c:ptCount val="6"/>
                <c:pt idx="1">
                  <c:v>0</c:v>
                </c:pt>
                <c:pt idx="2">
                  <c:v>0</c:v>
                </c:pt>
                <c:pt idx="3">
                  <c:v>0</c:v>
                </c:pt>
                <c:pt idx="4">
                  <c:v>0</c:v>
                </c:pt>
                <c:pt idx="5">
                  <c:v>0</c:v>
                </c:pt>
              </c:numCache>
            </c:numRef>
          </c:val>
          <c:smooth val="0"/>
          <c:extLst>
            <c:ext xmlns:c16="http://schemas.microsoft.com/office/drawing/2014/chart" uri="{C3380CC4-5D6E-409C-BE32-E72D297353CC}">
              <c16:uniqueId val="{00000008-201F-430F-82AB-4D92BB68CE4F}"/>
            </c:ext>
          </c:extLst>
        </c:ser>
        <c:dLbls>
          <c:showLegendKey val="0"/>
          <c:showVal val="1"/>
          <c:showCatName val="0"/>
          <c:showSerName val="0"/>
          <c:showPercent val="0"/>
          <c:showBubbleSize val="0"/>
        </c:dLbls>
        <c:marker val="1"/>
        <c:smooth val="0"/>
        <c:axId val="-856891504"/>
        <c:axId val="-856889328"/>
      </c:lineChart>
      <c:catAx>
        <c:axId val="-85689150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9328"/>
        <c:crosses val="autoZero"/>
        <c:auto val="1"/>
        <c:lblAlgn val="ctr"/>
        <c:lblOffset val="100"/>
        <c:noMultiLvlLbl val="0"/>
      </c:catAx>
      <c:valAx>
        <c:axId val="-856889328"/>
        <c:scaling>
          <c:orientation val="minMax"/>
          <c:max val="3.0000000000000006E-2"/>
          <c:min val="0"/>
        </c:scaling>
        <c:delete val="1"/>
        <c:axPos val="l"/>
        <c:numFmt formatCode="#,##0.0%_);\(#,##0%\)" sourceLinked="0"/>
        <c:majorTickMark val="out"/>
        <c:minorTickMark val="none"/>
        <c:tickLblPos val="nextTo"/>
        <c:crossAx val="-856891504"/>
        <c:crosses val="autoZero"/>
        <c:crossBetween val="between"/>
        <c:majorUnit val="1.0000000000000002E-2"/>
      </c:valAx>
    </c:plotArea>
    <c:plotVisOnly val="1"/>
    <c:dispBlanksAs val="gap"/>
    <c:showDLblsOverMax val="0"/>
    <c:extLst/>
  </c:chart>
  <c:spPr>
    <a:solidFill>
      <a:schemeClr val="bg1"/>
    </a:solidFill>
    <a:ln w="9525" cap="flat" cmpd="sng" algn="ctr">
      <a:noFill/>
      <a:round/>
    </a:ln>
    <a:effectLst/>
  </c:spPr>
  <c:txPr>
    <a:bodyPr/>
    <a:lstStyle/>
    <a:p>
      <a:pPr>
        <a:defRPr sz="800">
          <a:solidFill>
            <a:sysClr val="windowText" lastClr="000000"/>
          </a:solidFill>
          <a:latin typeface="Abadi" panose="020B0604020104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355F"/>
            </a:solidFill>
            <a:ln>
              <a:noFill/>
            </a:ln>
            <a:effectLst/>
          </c:spPr>
          <c:invertIfNegative val="0"/>
          <c:dPt>
            <c:idx val="1"/>
            <c:invertIfNegative val="0"/>
            <c:bubble3D val="0"/>
            <c:spPr>
              <a:solidFill>
                <a:srgbClr val="760000"/>
              </a:solidFill>
              <a:ln>
                <a:noFill/>
              </a:ln>
              <a:effectLst/>
            </c:spPr>
            <c:extLst>
              <c:ext xmlns:c16="http://schemas.microsoft.com/office/drawing/2014/chart" uri="{C3380CC4-5D6E-409C-BE32-E72D297353CC}">
                <c16:uniqueId val="{00000002-3864-40C5-96A6-05804508B0C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Benchmark!$O$140:$O$145</c:f>
              <c:strCache>
                <c:ptCount val="6"/>
                <c:pt idx="0">
                  <c:v>EVR</c:v>
                </c:pt>
                <c:pt idx="1">
                  <c:v>LAZ</c:v>
                </c:pt>
                <c:pt idx="2">
                  <c:v>HLI</c:v>
                </c:pt>
                <c:pt idx="3">
                  <c:v>HLI</c:v>
                </c:pt>
                <c:pt idx="4">
                  <c:v>HLI</c:v>
                </c:pt>
                <c:pt idx="5">
                  <c:v>HLI</c:v>
                </c:pt>
              </c:strCache>
            </c:strRef>
          </c:cat>
          <c:val>
            <c:numRef>
              <c:f>Benchmark!$P$140:$P$145</c:f>
              <c:numCache>
                <c:formatCode>#,##0.0%_);\(#,##0.0%\);"-"</c:formatCode>
                <c:ptCount val="6"/>
                <c:pt idx="0">
                  <c:v>0.2828</c:v>
                </c:pt>
                <c:pt idx="1">
                  <c:v>0.2175</c:v>
                </c:pt>
                <c:pt idx="2">
                  <c:v>0</c:v>
                </c:pt>
                <c:pt idx="3">
                  <c:v>0</c:v>
                </c:pt>
                <c:pt idx="4">
                  <c:v>0</c:v>
                </c:pt>
                <c:pt idx="5">
                  <c:v>0</c:v>
                </c:pt>
              </c:numCache>
            </c:numRef>
          </c:val>
          <c:extLst>
            <c:ext xmlns:c16="http://schemas.microsoft.com/office/drawing/2014/chart" uri="{C3380CC4-5D6E-409C-BE32-E72D297353CC}">
              <c16:uniqueId val="{00000000-3864-40C5-96A6-05804508B0C1}"/>
            </c:ext>
          </c:extLst>
        </c:ser>
        <c:dLbls>
          <c:showLegendKey val="0"/>
          <c:showVal val="0"/>
          <c:showCatName val="0"/>
          <c:showSerName val="0"/>
          <c:showPercent val="0"/>
          <c:showBubbleSize val="0"/>
        </c:dLbls>
        <c:gapWidth val="182"/>
        <c:axId val="-856888784"/>
        <c:axId val="-856886608"/>
      </c:barChart>
      <c:catAx>
        <c:axId val="-856888784"/>
        <c:scaling>
          <c:orientation val="minMax"/>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6608"/>
        <c:crosses val="autoZero"/>
        <c:auto val="1"/>
        <c:lblAlgn val="ctr"/>
        <c:lblOffset val="100"/>
        <c:noMultiLvlLbl val="0"/>
      </c:catAx>
      <c:valAx>
        <c:axId val="-856886608"/>
        <c:scaling>
          <c:orientation val="minMax"/>
        </c:scaling>
        <c:delete val="0"/>
        <c:axPos val="b"/>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87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355F"/>
            </a:solidFill>
            <a:ln>
              <a:noFill/>
            </a:ln>
            <a:effectLst/>
          </c:spPr>
          <c:invertIfNegative val="0"/>
          <c:dPt>
            <c:idx val="1"/>
            <c:invertIfNegative val="0"/>
            <c:bubble3D val="0"/>
            <c:spPr>
              <a:solidFill>
                <a:srgbClr val="760000"/>
              </a:solidFill>
              <a:ln>
                <a:noFill/>
              </a:ln>
              <a:effectLst/>
            </c:spPr>
            <c:extLst>
              <c:ext xmlns:c16="http://schemas.microsoft.com/office/drawing/2014/chart" uri="{C3380CC4-5D6E-409C-BE32-E72D297353CC}">
                <c16:uniqueId val="{00000004-EEC1-49D3-82A0-57C1393F03C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Benchmark!$O$156:$O$161</c:f>
              <c:strCache>
                <c:ptCount val="6"/>
                <c:pt idx="0">
                  <c:v>EVR</c:v>
                </c:pt>
                <c:pt idx="1">
                  <c:v>LAZ</c:v>
                </c:pt>
                <c:pt idx="2">
                  <c:v>HLI</c:v>
                </c:pt>
                <c:pt idx="3">
                  <c:v>HLI</c:v>
                </c:pt>
                <c:pt idx="4">
                  <c:v>HLI</c:v>
                </c:pt>
                <c:pt idx="5">
                  <c:v>HLI</c:v>
                </c:pt>
              </c:strCache>
            </c:strRef>
          </c:cat>
          <c:val>
            <c:numRef>
              <c:f>Benchmark!$P$156:$P$161</c:f>
              <c:numCache>
                <c:formatCode>#,##0.0%_);\(#,##0.0%\);"-"</c:formatCode>
                <c:ptCount val="6"/>
                <c:pt idx="0">
                  <c:v>0.24399999999999999</c:v>
                </c:pt>
                <c:pt idx="1">
                  <c:v>0.12959999999999999</c:v>
                </c:pt>
                <c:pt idx="2">
                  <c:v>0</c:v>
                </c:pt>
                <c:pt idx="3">
                  <c:v>0</c:v>
                </c:pt>
                <c:pt idx="4">
                  <c:v>0</c:v>
                </c:pt>
                <c:pt idx="5">
                  <c:v>0</c:v>
                </c:pt>
              </c:numCache>
            </c:numRef>
          </c:val>
          <c:extLst>
            <c:ext xmlns:c16="http://schemas.microsoft.com/office/drawing/2014/chart" uri="{C3380CC4-5D6E-409C-BE32-E72D297353CC}">
              <c16:uniqueId val="{00000005-EEC1-49D3-82A0-57C1393F03CD}"/>
            </c:ext>
          </c:extLst>
        </c:ser>
        <c:dLbls>
          <c:showLegendKey val="0"/>
          <c:showVal val="0"/>
          <c:showCatName val="0"/>
          <c:showSerName val="0"/>
          <c:showPercent val="0"/>
          <c:showBubbleSize val="0"/>
        </c:dLbls>
        <c:gapWidth val="182"/>
        <c:axId val="-856888240"/>
        <c:axId val="-856881168"/>
      </c:barChart>
      <c:catAx>
        <c:axId val="-856888240"/>
        <c:scaling>
          <c:orientation val="minMax"/>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1168"/>
        <c:crosses val="autoZero"/>
        <c:auto val="1"/>
        <c:lblAlgn val="ctr"/>
        <c:lblOffset val="100"/>
        <c:noMultiLvlLbl val="0"/>
      </c:catAx>
      <c:valAx>
        <c:axId val="-856881168"/>
        <c:scaling>
          <c:orientation val="minMax"/>
        </c:scaling>
        <c:delete val="0"/>
        <c:axPos val="b"/>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badi Extra Light" panose="020B0204020104020204" pitchFamily="34" charset="0"/>
                <a:ea typeface="+mn-ea"/>
                <a:cs typeface="+mn-cs"/>
              </a:defRPr>
            </a:pPr>
            <a:endParaRPr lang="en-US"/>
          </a:p>
        </c:txPr>
        <c:crossAx val="-856888240"/>
        <c:crosses val="autoZero"/>
        <c:crossBetween val="between"/>
      </c:valAx>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2</xdr:col>
      <xdr:colOff>346472</xdr:colOff>
      <xdr:row>9</xdr:row>
      <xdr:rowOff>11907</xdr:rowOff>
    </xdr:from>
    <xdr:to>
      <xdr:col>5</xdr:col>
      <xdr:colOff>1366192</xdr:colOff>
      <xdr:row>12</xdr:row>
      <xdr:rowOff>85180</xdr:rowOff>
    </xdr:to>
    <xdr:pic>
      <xdr:nvPicPr>
        <xdr:cNvPr id="2" name="Picture 1" descr="logo">
          <a:extLst>
            <a:ext uri="{FF2B5EF4-FFF2-40B4-BE49-F238E27FC236}">
              <a16:creationId xmlns:a16="http://schemas.microsoft.com/office/drawing/2014/main" id="{B2338571-37EC-DC63-2D53-316E60950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597" y="1643063"/>
          <a:ext cx="38290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190500</xdr:rowOff>
    </xdr:from>
    <xdr:to>
      <xdr:col>7</xdr:col>
      <xdr:colOff>257175</xdr:colOff>
      <xdr:row>16</xdr:row>
      <xdr:rowOff>180974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115886</xdr:colOff>
      <xdr:row>3</xdr:row>
      <xdr:rowOff>0</xdr:rowOff>
    </xdr:from>
    <xdr:to>
      <xdr:col>13</xdr:col>
      <xdr:colOff>5556</xdr:colOff>
      <xdr:row>27</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139700</xdr:colOff>
      <xdr:row>2</xdr:row>
      <xdr:rowOff>25400</xdr:rowOff>
    </xdr:from>
    <xdr:to>
      <xdr:col>6</xdr:col>
      <xdr:colOff>977900</xdr:colOff>
      <xdr:row>4</xdr:row>
      <xdr:rowOff>152400</xdr:rowOff>
    </xdr:to>
    <xdr:sp macro="" textlink="">
      <xdr:nvSpPr>
        <xdr:cNvPr id="60417" name="CommandButton1" hidden="1">
          <a:extLst>
            <a:ext uri="{63B3BB69-23CF-44E3-9099-C40C66FF867C}">
              <a14:compatExt xmlns:a14="http://schemas.microsoft.com/office/drawing/2010/main" spid="_x0000_s60417"/>
            </a:ext>
            <a:ext uri="{FF2B5EF4-FFF2-40B4-BE49-F238E27FC236}">
              <a16:creationId xmlns:a16="http://schemas.microsoft.com/office/drawing/2014/main" id="{00000000-0008-0000-0C00-000001E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304800</xdr:colOff>
      <xdr:row>8</xdr:row>
      <xdr:rowOff>38100</xdr:rowOff>
    </xdr:from>
    <xdr:to>
      <xdr:col>7</xdr:col>
      <xdr:colOff>15240</xdr:colOff>
      <xdr:row>9</xdr:row>
      <xdr:rowOff>0</xdr:rowOff>
    </xdr:to>
    <xdr:pic>
      <xdr:nvPicPr>
        <xdr:cNvPr id="3" name="Picture 1">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8550" y="1333500"/>
          <a:ext cx="93726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2</xdr:row>
      <xdr:rowOff>19050</xdr:rowOff>
    </xdr:from>
    <xdr:to>
      <xdr:col>6</xdr:col>
      <xdr:colOff>733425</xdr:colOff>
      <xdr:row>4</xdr:row>
      <xdr:rowOff>114300</xdr:rowOff>
    </xdr:to>
    <xdr:pic>
      <xdr:nvPicPr>
        <xdr:cNvPr id="2" name="CommandButton1">
          <a:extLst>
            <a:ext uri="{FF2B5EF4-FFF2-40B4-BE49-F238E27FC236}">
              <a16:creationId xmlns:a16="http://schemas.microsoft.com/office/drawing/2014/main" id="{3913B5C8-5E6B-1385-DD7E-9F406434D09C}"/>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3675" y="409575"/>
          <a:ext cx="1438275" cy="419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5</xdr:col>
      <xdr:colOff>139700</xdr:colOff>
      <xdr:row>2</xdr:row>
      <xdr:rowOff>25400</xdr:rowOff>
    </xdr:from>
    <xdr:to>
      <xdr:col>6</xdr:col>
      <xdr:colOff>977900</xdr:colOff>
      <xdr:row>4</xdr:row>
      <xdr:rowOff>152400</xdr:rowOff>
    </xdr:to>
    <xdr:sp macro="" textlink="">
      <xdr:nvSpPr>
        <xdr:cNvPr id="4" name="CommandButton1" hidden="1">
          <a:extLst>
            <a:ext uri="{63B3BB69-23CF-44E3-9099-C40C66FF867C}">
              <a14:compatExt xmlns:a14="http://schemas.microsoft.com/office/drawing/2010/main" spid="_x0000_s60417"/>
            </a:ext>
            <a:ext uri="{FF2B5EF4-FFF2-40B4-BE49-F238E27FC236}">
              <a16:creationId xmlns:a16="http://schemas.microsoft.com/office/drawing/2014/main" id="{7649B875-F9E2-4E5C-9CD6-1BA61D0FD3C9}"/>
            </a:ext>
          </a:extLst>
        </xdr:cNvPr>
        <xdr:cNvSpPr/>
      </xdr:nvSpPr>
      <xdr:spPr bwMode="auto">
        <a:xfrm>
          <a:off x="6578600" y="415925"/>
          <a:ext cx="1647825" cy="450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304800</xdr:colOff>
      <xdr:row>8</xdr:row>
      <xdr:rowOff>38100</xdr:rowOff>
    </xdr:from>
    <xdr:to>
      <xdr:col>7</xdr:col>
      <xdr:colOff>15240</xdr:colOff>
      <xdr:row>9</xdr:row>
      <xdr:rowOff>0</xdr:rowOff>
    </xdr:to>
    <xdr:pic>
      <xdr:nvPicPr>
        <xdr:cNvPr id="5" name="Picture 1">
          <a:extLst>
            <a:ext uri="{FF2B5EF4-FFF2-40B4-BE49-F238E27FC236}">
              <a16:creationId xmlns:a16="http://schemas.microsoft.com/office/drawing/2014/main" id="{6C902471-6490-4581-9021-E2AF48DFFA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5" y="1562100"/>
          <a:ext cx="93916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104775</xdr:colOff>
      <xdr:row>2</xdr:row>
      <xdr:rowOff>19050</xdr:rowOff>
    </xdr:from>
    <xdr:to>
      <xdr:col>6</xdr:col>
      <xdr:colOff>733425</xdr:colOff>
      <xdr:row>4</xdr:row>
      <xdr:rowOff>114300</xdr:rowOff>
    </xdr:to>
    <xdr:pic>
      <xdr:nvPicPr>
        <xdr:cNvPr id="6" name="CommandButton1">
          <a:extLst>
            <a:ext uri="{FF2B5EF4-FFF2-40B4-BE49-F238E27FC236}">
              <a16:creationId xmlns:a16="http://schemas.microsoft.com/office/drawing/2014/main" id="{88D91943-E731-481C-9D30-4C06223BF918}"/>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3675" y="409575"/>
          <a:ext cx="1438275" cy="4191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619125</xdr:colOff>
      <xdr:row>184</xdr:row>
      <xdr:rowOff>71803</xdr:rowOff>
    </xdr:from>
    <xdr:to>
      <xdr:col>13</xdr:col>
      <xdr:colOff>238125</xdr:colOff>
      <xdr:row>196</xdr:row>
      <xdr:rowOff>49822</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0</xdr:rowOff>
    </xdr:from>
    <xdr:to>
      <xdr:col>6</xdr:col>
      <xdr:colOff>698499</xdr:colOff>
      <xdr:row>22</xdr:row>
      <xdr:rowOff>19050</xdr:rowOff>
    </xdr:to>
    <xdr:graphicFrame macro="">
      <xdr:nvGraphicFramePr>
        <xdr:cNvPr id="4" name="Chart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6</xdr:col>
      <xdr:colOff>698500</xdr:colOff>
      <xdr:row>45</xdr:row>
      <xdr:rowOff>19050</xdr:rowOff>
    </xdr:to>
    <xdr:graphicFrame macro="">
      <xdr:nvGraphicFramePr>
        <xdr:cNvPr id="5" name="Chart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33</xdr:row>
      <xdr:rowOff>0</xdr:rowOff>
    </xdr:from>
    <xdr:to>
      <xdr:col>14</xdr:col>
      <xdr:colOff>698499</xdr:colOff>
      <xdr:row>45</xdr:row>
      <xdr:rowOff>19049</xdr:rowOff>
    </xdr:to>
    <xdr:graphicFrame macro="">
      <xdr:nvGraphicFramePr>
        <xdr:cNvPr id="6" name="Chart 5">
          <a:extLst>
            <a:ext uri="{FF2B5EF4-FFF2-40B4-BE49-F238E27FC236}">
              <a16:creationId xmlns:a16="http://schemas.microsoft.com/office/drawing/2014/main" id="{00000000-0008-0000-1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53</xdr:row>
      <xdr:rowOff>0</xdr:rowOff>
    </xdr:from>
    <xdr:to>
      <xdr:col>6</xdr:col>
      <xdr:colOff>698500</xdr:colOff>
      <xdr:row>65</xdr:row>
      <xdr:rowOff>19050</xdr:rowOff>
    </xdr:to>
    <xdr:graphicFrame macro="">
      <xdr:nvGraphicFramePr>
        <xdr:cNvPr id="7" name="Chart 6">
          <a:extLst>
            <a:ext uri="{FF2B5EF4-FFF2-40B4-BE49-F238E27FC236}">
              <a16:creationId xmlns:a16="http://schemas.microsoft.com/office/drawing/2014/main" id="{00000000-0008-0000-1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53</xdr:row>
      <xdr:rowOff>0</xdr:rowOff>
    </xdr:from>
    <xdr:to>
      <xdr:col>14</xdr:col>
      <xdr:colOff>698500</xdr:colOff>
      <xdr:row>65</xdr:row>
      <xdr:rowOff>19050</xdr:rowOff>
    </xdr:to>
    <xdr:graphicFrame macro="">
      <xdr:nvGraphicFramePr>
        <xdr:cNvPr id="8" name="Chart 7">
          <a:extLst>
            <a:ext uri="{FF2B5EF4-FFF2-40B4-BE49-F238E27FC236}">
              <a16:creationId xmlns:a16="http://schemas.microsoft.com/office/drawing/2014/main" id="{00000000-0008-0000-1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73</xdr:row>
      <xdr:rowOff>0</xdr:rowOff>
    </xdr:from>
    <xdr:to>
      <xdr:col>6</xdr:col>
      <xdr:colOff>698499</xdr:colOff>
      <xdr:row>85</xdr:row>
      <xdr:rowOff>19049</xdr:rowOff>
    </xdr:to>
    <xdr:graphicFrame macro="">
      <xdr:nvGraphicFramePr>
        <xdr:cNvPr id="9" name="Chart 8">
          <a:extLst>
            <a:ext uri="{FF2B5EF4-FFF2-40B4-BE49-F238E27FC236}">
              <a16:creationId xmlns:a16="http://schemas.microsoft.com/office/drawing/2014/main" id="{00000000-0008-0000-1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73</xdr:row>
      <xdr:rowOff>0</xdr:rowOff>
    </xdr:from>
    <xdr:to>
      <xdr:col>14</xdr:col>
      <xdr:colOff>698500</xdr:colOff>
      <xdr:row>85</xdr:row>
      <xdr:rowOff>19049</xdr:rowOff>
    </xdr:to>
    <xdr:graphicFrame macro="">
      <xdr:nvGraphicFramePr>
        <xdr:cNvPr id="10" name="Chart 9">
          <a:extLst>
            <a:ext uri="{FF2B5EF4-FFF2-40B4-BE49-F238E27FC236}">
              <a16:creationId xmlns:a16="http://schemas.microsoft.com/office/drawing/2014/main" id="{00000000-0008-0000-1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139</xdr:row>
      <xdr:rowOff>0</xdr:rowOff>
    </xdr:from>
    <xdr:to>
      <xdr:col>6</xdr:col>
      <xdr:colOff>698500</xdr:colOff>
      <xdr:row>151</xdr:row>
      <xdr:rowOff>19050</xdr:rowOff>
    </xdr:to>
    <xdr:graphicFrame macro="">
      <xdr:nvGraphicFramePr>
        <xdr:cNvPr id="11" name="Chart 10">
          <a:extLst>
            <a:ext uri="{FF2B5EF4-FFF2-40B4-BE49-F238E27FC236}">
              <a16:creationId xmlns:a16="http://schemas.microsoft.com/office/drawing/2014/main" id="{00000000-0008-0000-1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162</xdr:row>
      <xdr:rowOff>0</xdr:rowOff>
    </xdr:from>
    <xdr:to>
      <xdr:col>6</xdr:col>
      <xdr:colOff>698500</xdr:colOff>
      <xdr:row>174</xdr:row>
      <xdr:rowOff>19050</xdr:rowOff>
    </xdr:to>
    <xdr:graphicFrame macro="">
      <xdr:nvGraphicFramePr>
        <xdr:cNvPr id="12" name="Chart 11">
          <a:extLst>
            <a:ext uri="{FF2B5EF4-FFF2-40B4-BE49-F238E27FC236}">
              <a16:creationId xmlns:a16="http://schemas.microsoft.com/office/drawing/2014/main" id="{00000000-0008-0000-1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0</xdr:colOff>
      <xdr:row>162</xdr:row>
      <xdr:rowOff>0</xdr:rowOff>
    </xdr:from>
    <xdr:to>
      <xdr:col>14</xdr:col>
      <xdr:colOff>698500</xdr:colOff>
      <xdr:row>174</xdr:row>
      <xdr:rowOff>19050</xdr:rowOff>
    </xdr:to>
    <xdr:graphicFrame macro="">
      <xdr:nvGraphicFramePr>
        <xdr:cNvPr id="13" name="Chart 12">
          <a:extLst>
            <a:ext uri="{FF2B5EF4-FFF2-40B4-BE49-F238E27FC236}">
              <a16:creationId xmlns:a16="http://schemas.microsoft.com/office/drawing/2014/main" id="{00000000-0008-0000-1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74732</xdr:colOff>
      <xdr:row>92</xdr:row>
      <xdr:rowOff>84260</xdr:rowOff>
    </xdr:from>
    <xdr:to>
      <xdr:col>13</xdr:col>
      <xdr:colOff>586154</xdr:colOff>
      <xdr:row>108</xdr:row>
      <xdr:rowOff>95251</xdr:rowOff>
    </xdr:to>
    <xdr:graphicFrame macro="">
      <xdr:nvGraphicFramePr>
        <xdr:cNvPr id="14" name="Chart 13">
          <a:extLst>
            <a:ext uri="{FF2B5EF4-FFF2-40B4-BE49-F238E27FC236}">
              <a16:creationId xmlns:a16="http://schemas.microsoft.com/office/drawing/2014/main" id="{00000000-0008-0000-1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476250</xdr:colOff>
      <xdr:row>118</xdr:row>
      <xdr:rowOff>102577</xdr:rowOff>
    </xdr:from>
    <xdr:to>
      <xdr:col>7</xdr:col>
      <xdr:colOff>395653</xdr:colOff>
      <xdr:row>130</xdr:row>
      <xdr:rowOff>56416</xdr:rowOff>
    </xdr:to>
    <xdr:graphicFrame macro="">
      <xdr:nvGraphicFramePr>
        <xdr:cNvPr id="16" name="Chart 15">
          <a:extLst>
            <a:ext uri="{FF2B5EF4-FFF2-40B4-BE49-F238E27FC236}">
              <a16:creationId xmlns:a16="http://schemas.microsoft.com/office/drawing/2014/main" id="{00000000-0008-0000-1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28575</xdr:colOff>
      <xdr:row>197</xdr:row>
      <xdr:rowOff>19049</xdr:rowOff>
    </xdr:from>
    <xdr:to>
      <xdr:col>10</xdr:col>
      <xdr:colOff>1146048</xdr:colOff>
      <xdr:row>209</xdr:row>
      <xdr:rowOff>64769</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9</xdr:row>
      <xdr:rowOff>0</xdr:rowOff>
    </xdr:from>
    <xdr:to>
      <xdr:col>12</xdr:col>
      <xdr:colOff>560295</xdr:colOff>
      <xdr:row>20</xdr:row>
      <xdr:rowOff>60513</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714375</xdr:colOff>
      <xdr:row>25</xdr:row>
      <xdr:rowOff>9525</xdr:rowOff>
    </xdr:from>
    <xdr:to>
      <xdr:col>12</xdr:col>
      <xdr:colOff>550770</xdr:colOff>
      <xdr:row>36</xdr:row>
      <xdr:rowOff>70037</xdr:rowOff>
    </xdr:to>
    <xdr:graphicFrame macro="">
      <xdr:nvGraphicFramePr>
        <xdr:cNvPr id="3" name="Chart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41</xdr:row>
      <xdr:rowOff>0</xdr:rowOff>
    </xdr:from>
    <xdr:to>
      <xdr:col>12</xdr:col>
      <xdr:colOff>560295</xdr:colOff>
      <xdr:row>52</xdr:row>
      <xdr:rowOff>60512</xdr:rowOff>
    </xdr:to>
    <xdr:graphicFrame macro="">
      <xdr:nvGraphicFramePr>
        <xdr:cNvPr id="4" name="Chart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57</xdr:row>
      <xdr:rowOff>0</xdr:rowOff>
    </xdr:from>
    <xdr:to>
      <xdr:col>12</xdr:col>
      <xdr:colOff>560295</xdr:colOff>
      <xdr:row>68</xdr:row>
      <xdr:rowOff>60512</xdr:rowOff>
    </xdr:to>
    <xdr:graphicFrame macro="">
      <xdr:nvGraphicFramePr>
        <xdr:cNvPr id="5" name="Chart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73</xdr:row>
      <xdr:rowOff>0</xdr:rowOff>
    </xdr:from>
    <xdr:to>
      <xdr:col>12</xdr:col>
      <xdr:colOff>560295</xdr:colOff>
      <xdr:row>84</xdr:row>
      <xdr:rowOff>60513</xdr:rowOff>
    </xdr:to>
    <xdr:graphicFrame macro="">
      <xdr:nvGraphicFramePr>
        <xdr:cNvPr id="6" name="Chart 5">
          <a:extLst>
            <a:ext uri="{FF2B5EF4-FFF2-40B4-BE49-F238E27FC236}">
              <a16:creationId xmlns:a16="http://schemas.microsoft.com/office/drawing/2014/main" id="{00000000-0008-0000-1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89</xdr:row>
      <xdr:rowOff>0</xdr:rowOff>
    </xdr:from>
    <xdr:to>
      <xdr:col>12</xdr:col>
      <xdr:colOff>560295</xdr:colOff>
      <xdr:row>100</xdr:row>
      <xdr:rowOff>60512</xdr:rowOff>
    </xdr:to>
    <xdr:graphicFrame macro="">
      <xdr:nvGraphicFramePr>
        <xdr:cNvPr id="7" name="Chart 6">
          <a:extLst>
            <a:ext uri="{FF2B5EF4-FFF2-40B4-BE49-F238E27FC236}">
              <a16:creationId xmlns:a16="http://schemas.microsoft.com/office/drawing/2014/main" id="{00000000-0008-0000-1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105</xdr:row>
      <xdr:rowOff>0</xdr:rowOff>
    </xdr:from>
    <xdr:to>
      <xdr:col>12</xdr:col>
      <xdr:colOff>560295</xdr:colOff>
      <xdr:row>116</xdr:row>
      <xdr:rowOff>60512</xdr:rowOff>
    </xdr:to>
    <xdr:graphicFrame macro="">
      <xdr:nvGraphicFramePr>
        <xdr:cNvPr id="8" name="Chart 7">
          <a:extLst>
            <a:ext uri="{FF2B5EF4-FFF2-40B4-BE49-F238E27FC236}">
              <a16:creationId xmlns:a16="http://schemas.microsoft.com/office/drawing/2014/main" id="{00000000-0008-0000-1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121</xdr:row>
      <xdr:rowOff>0</xdr:rowOff>
    </xdr:from>
    <xdr:to>
      <xdr:col>12</xdr:col>
      <xdr:colOff>560295</xdr:colOff>
      <xdr:row>132</xdr:row>
      <xdr:rowOff>60512</xdr:rowOff>
    </xdr:to>
    <xdr:graphicFrame macro="">
      <xdr:nvGraphicFramePr>
        <xdr:cNvPr id="9" name="Chart 8">
          <a:extLst>
            <a:ext uri="{FF2B5EF4-FFF2-40B4-BE49-F238E27FC236}">
              <a16:creationId xmlns:a16="http://schemas.microsoft.com/office/drawing/2014/main" id="{00000000-0008-0000-1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273844</xdr:colOff>
      <xdr:row>136</xdr:row>
      <xdr:rowOff>170258</xdr:rowOff>
    </xdr:from>
    <xdr:to>
      <xdr:col>12</xdr:col>
      <xdr:colOff>128111</xdr:colOff>
      <xdr:row>147</xdr:row>
      <xdr:rowOff>95249</xdr:rowOff>
    </xdr:to>
    <xdr:graphicFrame macro="">
      <xdr:nvGraphicFramePr>
        <xdr:cNvPr id="10" name="Chart 9">
          <a:extLst>
            <a:ext uri="{FF2B5EF4-FFF2-40B4-BE49-F238E27FC236}">
              <a16:creationId xmlns:a16="http://schemas.microsoft.com/office/drawing/2014/main" id="{00000000-0008-0000-1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252412</xdr:colOff>
      <xdr:row>152</xdr:row>
      <xdr:rowOff>180975</xdr:rowOff>
    </xdr:from>
    <xdr:to>
      <xdr:col>12</xdr:col>
      <xdr:colOff>110680</xdr:colOff>
      <xdr:row>163</xdr:row>
      <xdr:rowOff>106299</xdr:rowOff>
    </xdr:to>
    <xdr:graphicFrame macro="">
      <xdr:nvGraphicFramePr>
        <xdr:cNvPr id="11" name="Chart 10">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WORK\HARBOR\MERGER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dghebre\Application%20Data\Microsoft\Excel\Sample\CRL%20Budget%202011%20with%20win%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RA%20Clients\_Current\LinQuest%20Corporation\Project%20Jigsaw\Due%20Diligence\Jigsaw%20Due%20Diligence\3%20%20Financial%20&amp;%20Accounting%20Items\3.2%20YTD%202011%20IS,%20BS,%20CF\Mosaic_Inc%20__Forecast_May2011%20Actuals%20Rev%206%202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latim/Downloads/Owl%20Fund%20Model_CAPIQ%20Comps%20Sheet.xlsx" TargetMode="External"/><Relationship Id="rId1" Type="http://schemas.openxmlformats.org/officeDocument/2006/relationships/externalLinkPath" Target="/Users/latim/Downloads/Owl%20Fund%20Model_CAPIQ%20Comps%20Shee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etailed%20Comps%20I2"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Library" Target="POWER5.XLA"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davidbrinkley\Documents\Castellum%20Capital\Clients\IA&amp;T\Financial%20Model%20May%202013\Financial%20Model%20(IAT)%205.1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utsourcing\Client%20Folders\CRL%20Technologies\Budget\2011\2011%20baseline%20v1\CRL%20Budget%202011%20v1-baseline%201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dghebre\Desktop\FY11_CFF_Feb_2011-MAK%20v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sclient/C/Documents%20and%20Settings/Mark/My%20Documents/PP%20LLC/2006%20Projections%20-%20working%20file/2006%20projections%20-%20working%20file.xls" TargetMode="External"/><Relationship Id="rId1" Type="http://schemas.openxmlformats.org/officeDocument/2006/relationships/externalLinkPath" Target="/tsclient/C/Documents%20and%20Settings/Mark/My%20Documents/PP%20LLC/2006%20Projections%20-%20working%20file/2006%20projections%20-%20working%20fil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latim/Downloads/CapIQ%20Comps%20and%20Transactions%20Builder.xlsx" TargetMode="External"/><Relationship Id="rId1" Type="http://schemas.openxmlformats.org/officeDocument/2006/relationships/externalLinkPath" Target="/Users/latim/Downloads/CapIQ%20Comps%20and%20Transactions%20Builde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utsourcing\Client%20Folders\Mosaic,%20Inc\Budget\Bgt%20Work%20Files\Mosaic_Inc%20__Budget_2011%20Working0-4%2025%202011.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sapub/Downloads/Evercore,%20Inc.%20(EVR)_Valuation%20Workbook%20(24-June-2025).xlsx" TargetMode="External"/><Relationship Id="rId1" Type="http://schemas.openxmlformats.org/officeDocument/2006/relationships/externalLinkPath" Target="/Users/sapub/Downloads/Evercore,%20Inc.%20(EVR)_Valuation%20Workbook%20(24-June-2025).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tuo75725/Downloads/Copy%20of%20EVR%20Model_(16-Oct-2024)_v4%20(2)%20(2).xlsx" TargetMode="External"/><Relationship Id="rId1" Type="http://schemas.openxmlformats.org/officeDocument/2006/relationships/externalLinkPath" Target="/Users/tuo75725/Downloads/Copy%20of%20EVR%20Model_(16-Oct-2024)_v4%20(2)%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Ref"/>
      <sheetName val="Template Information"/>
      <sheetName val="Magenta"/>
      <sheetName val="Magenta Data"/>
      <sheetName val="Blue"/>
      <sheetName val="Blue Data"/>
      <sheetName val="Red"/>
      <sheetName val="Red Data"/>
      <sheetName val="Cyan"/>
      <sheetName val="Cyan Data"/>
      <sheetName val="Green"/>
      <sheetName val="Green Data"/>
      <sheetName val="Yellow"/>
      <sheetName val="Yel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Capital budget"/>
      <sheetName val="Fringe Benefits Pool"/>
      <sheetName val="Overhead Pool"/>
      <sheetName val="G &amp; A Pool"/>
      <sheetName val="SMH"/>
      <sheetName val="Rate rec"/>
      <sheetName val="Wrap"/>
      <sheetName val="Labor budget"/>
      <sheetName val="P&amp;L Assumptions"/>
      <sheetName val="Vacation"/>
      <sheetName val="Salaries"/>
      <sheetName val="Facility SC"/>
      <sheetName val="Sub cost"/>
      <sheetName val="Price"/>
      <sheetName val="per head data"/>
      <sheetName val="2010 Labor Rates 091130"/>
    </sheetNames>
    <sheetDataSet>
      <sheetData sheetId="0" refreshError="1"/>
      <sheetData sheetId="1" refreshError="1"/>
      <sheetData sheetId="2" refreshError="1"/>
      <sheetData sheetId="3">
        <row r="17">
          <cell r="D17" t="str">
            <v>SFX 44 · Subcontracts</v>
          </cell>
        </row>
      </sheetData>
      <sheetData sheetId="4" refreshError="1"/>
      <sheetData sheetId="5">
        <row r="46">
          <cell r="C46">
            <v>0.3129109534939285</v>
          </cell>
        </row>
      </sheetData>
      <sheetData sheetId="6"/>
      <sheetData sheetId="7">
        <row r="59">
          <cell r="E59">
            <v>227480.56</v>
          </cell>
        </row>
      </sheetData>
      <sheetData sheetId="8"/>
      <sheetData sheetId="9" refreshError="1"/>
      <sheetData sheetId="10" refreshError="1"/>
      <sheetData sheetId="11"/>
      <sheetData sheetId="12">
        <row r="3">
          <cell r="A3" t="str">
            <v>Budget for the Period Ended December 31, 2011</v>
          </cell>
        </row>
        <row r="40">
          <cell r="M40">
            <v>0.21970000000000001</v>
          </cell>
          <cell r="N40">
            <v>9.2999999999999999E-2</v>
          </cell>
          <cell r="O40">
            <v>0.32100000000000001</v>
          </cell>
          <cell r="P40">
            <v>1.7611000000000001</v>
          </cell>
        </row>
      </sheetData>
      <sheetData sheetId="13">
        <row r="56">
          <cell r="F56">
            <v>152797.46461538458</v>
          </cell>
          <cell r="G56">
            <v>7303.4886153846155</v>
          </cell>
          <cell r="H56">
            <v>10091.950153846154</v>
          </cell>
          <cell r="I56">
            <v>11921.434846153847</v>
          </cell>
          <cell r="J56">
            <v>9582.2386153846146</v>
          </cell>
          <cell r="K56">
            <v>15536.757846153847</v>
          </cell>
          <cell r="L56">
            <v>16721.853999999999</v>
          </cell>
          <cell r="M56">
            <v>16345.988615384615</v>
          </cell>
          <cell r="N56">
            <v>18077.911692307694</v>
          </cell>
          <cell r="O56">
            <v>20683.886769230769</v>
          </cell>
          <cell r="P56">
            <v>13789.257846153845</v>
          </cell>
          <cell r="Q56">
            <v>13789.257846153845</v>
          </cell>
        </row>
      </sheetData>
      <sheetData sheetId="14">
        <row r="2">
          <cell r="A2" t="str">
            <v>001000 Velez Carlos</v>
          </cell>
          <cell r="G2">
            <v>176987.2</v>
          </cell>
          <cell r="K2">
            <v>178757.07200000001</v>
          </cell>
        </row>
        <row r="3">
          <cell r="A3" t="str">
            <v>001001 Velez Elsa</v>
          </cell>
          <cell r="G3">
            <v>129792</v>
          </cell>
          <cell r="K3">
            <v>134983.67999999999</v>
          </cell>
        </row>
        <row r="4">
          <cell r="A4" t="str">
            <v>001002 Fordham Joseph</v>
          </cell>
          <cell r="G4">
            <v>157497.60000000001</v>
          </cell>
          <cell r="K4">
            <v>162222.52800000002</v>
          </cell>
        </row>
        <row r="5">
          <cell r="A5" t="str">
            <v>001003 Test Employee</v>
          </cell>
          <cell r="G5">
            <v>42000</v>
          </cell>
          <cell r="K5">
            <v>43260</v>
          </cell>
        </row>
        <row r="6">
          <cell r="A6" t="str">
            <v>001004 Eckardt Jon</v>
          </cell>
          <cell r="G6">
            <v>139256</v>
          </cell>
          <cell r="K6">
            <v>143433.68</v>
          </cell>
        </row>
        <row r="7">
          <cell r="A7" t="str">
            <v>001005 Mooradian Stephen</v>
          </cell>
          <cell r="G7">
            <v>133910.39999999999</v>
          </cell>
          <cell r="K7">
            <v>137927.712</v>
          </cell>
        </row>
        <row r="8">
          <cell r="A8" t="str">
            <v>001006 Moore Jeffrey</v>
          </cell>
          <cell r="G8">
            <v>124384</v>
          </cell>
          <cell r="K8">
            <v>128115.52</v>
          </cell>
        </row>
        <row r="9">
          <cell r="A9" t="str">
            <v>001008 Foremaster Melvin</v>
          </cell>
          <cell r="G9">
            <v>165505.59999999998</v>
          </cell>
          <cell r="K9">
            <v>168815.71199999997</v>
          </cell>
        </row>
        <row r="10">
          <cell r="A10" t="str">
            <v>001010 Lee Daniel</v>
          </cell>
          <cell r="G10">
            <v>160700.80000000002</v>
          </cell>
          <cell r="K10">
            <v>167128.83200000002</v>
          </cell>
        </row>
        <row r="11">
          <cell r="A11" t="str">
            <v>001013 Chayka Christine</v>
          </cell>
          <cell r="G11">
            <v>101816</v>
          </cell>
          <cell r="K11">
            <v>104870.48</v>
          </cell>
        </row>
        <row r="12">
          <cell r="A12" t="str">
            <v>001014 Furlow CW</v>
          </cell>
          <cell r="G12">
            <v>175156.8</v>
          </cell>
          <cell r="K12">
            <v>176908.36799999999</v>
          </cell>
        </row>
        <row r="13">
          <cell r="A13" t="str">
            <v>001015 Ledman Albert</v>
          </cell>
          <cell r="G13">
            <v>127316.8</v>
          </cell>
          <cell r="K13">
            <v>131136.304</v>
          </cell>
        </row>
        <row r="14">
          <cell r="A14" t="str">
            <v>001016 Albertson Melissa</v>
          </cell>
          <cell r="G14">
            <v>120432</v>
          </cell>
          <cell r="K14">
            <v>124044.96</v>
          </cell>
        </row>
        <row r="15">
          <cell r="A15" t="str">
            <v>001017 Lambert Deryk</v>
          </cell>
          <cell r="G15">
            <v>126900.8</v>
          </cell>
          <cell r="K15">
            <v>130707.82400000001</v>
          </cell>
        </row>
        <row r="16">
          <cell r="A16" t="str">
            <v>001018 Graves Stephen</v>
          </cell>
          <cell r="G16">
            <v>100152</v>
          </cell>
          <cell r="K16">
            <v>103156.56</v>
          </cell>
        </row>
        <row r="17">
          <cell r="A17" t="str">
            <v>001019 Keyworth Crystal</v>
          </cell>
          <cell r="G17">
            <v>98820.800000000003</v>
          </cell>
          <cell r="K17">
            <v>101785.424</v>
          </cell>
        </row>
        <row r="18">
          <cell r="A18" t="str">
            <v>001021 Fecht Bruce</v>
          </cell>
          <cell r="G18">
            <v>154523.20000000001</v>
          </cell>
          <cell r="K18">
            <v>159158.89600000001</v>
          </cell>
        </row>
        <row r="19">
          <cell r="A19" t="str">
            <v>001022 Schied Charles</v>
          </cell>
          <cell r="G19">
            <v>185016</v>
          </cell>
          <cell r="K19">
            <v>185016</v>
          </cell>
        </row>
        <row r="20">
          <cell r="A20" t="str">
            <v>001023 Erhardt William</v>
          </cell>
          <cell r="G20">
            <v>156020.80000000002</v>
          </cell>
          <cell r="K20">
            <v>160701.42400000003</v>
          </cell>
        </row>
        <row r="21">
          <cell r="A21" t="str">
            <v>001024 Ledman Kendra</v>
          </cell>
          <cell r="G21">
            <v>69555.199999999997</v>
          </cell>
          <cell r="K21">
            <v>71641.856</v>
          </cell>
        </row>
        <row r="22">
          <cell r="A22" t="str">
            <v>001025 Horan Tracy</v>
          </cell>
          <cell r="G22">
            <v>88420.800000000003</v>
          </cell>
          <cell r="K22">
            <v>91073.423999999999</v>
          </cell>
        </row>
        <row r="23">
          <cell r="A23" t="str">
            <v>001026 Bischof Kathleen</v>
          </cell>
          <cell r="G23">
            <v>57033.600000000006</v>
          </cell>
          <cell r="K23">
            <v>58744.608000000007</v>
          </cell>
        </row>
        <row r="24">
          <cell r="A24" t="str">
            <v>001027 McQuay Jaime</v>
          </cell>
          <cell r="G24">
            <v>101524.8</v>
          </cell>
          <cell r="K24">
            <v>104570.54400000001</v>
          </cell>
        </row>
        <row r="25">
          <cell r="A25" t="str">
            <v>001028 Mooradian Deborah</v>
          </cell>
          <cell r="G25">
            <v>94785.600000000006</v>
          </cell>
          <cell r="K25">
            <v>97629.168000000005</v>
          </cell>
        </row>
        <row r="26">
          <cell r="A26" t="str">
            <v>001032 Floyd Dionne</v>
          </cell>
          <cell r="G26">
            <v>75774.399999999994</v>
          </cell>
          <cell r="K26">
            <v>78047.631999999998</v>
          </cell>
        </row>
        <row r="27">
          <cell r="G27">
            <v>123616.48000000001</v>
          </cell>
        </row>
        <row r="28">
          <cell r="A28" t="str">
            <v>001035 Padilla Marcell</v>
          </cell>
          <cell r="G28">
            <v>137009.60000000001</v>
          </cell>
          <cell r="K28">
            <v>141119.88800000001</v>
          </cell>
        </row>
        <row r="29">
          <cell r="A29" t="str">
            <v>001036 Slayton Kim</v>
          </cell>
          <cell r="G29">
            <v>140004.80000000002</v>
          </cell>
          <cell r="K29">
            <v>144204.94400000002</v>
          </cell>
        </row>
        <row r="30">
          <cell r="A30" t="str">
            <v>001038 Guy David</v>
          </cell>
          <cell r="G30">
            <v>60008</v>
          </cell>
          <cell r="K30">
            <v>61808.240000000005</v>
          </cell>
        </row>
        <row r="31">
          <cell r="A31" t="str">
            <v>001039 Dukes Robert</v>
          </cell>
          <cell r="G31">
            <v>147014.40000000002</v>
          </cell>
          <cell r="K31">
            <v>151424.83200000002</v>
          </cell>
        </row>
        <row r="32">
          <cell r="G32">
            <v>145017.60000000001</v>
          </cell>
          <cell r="K32">
            <v>149368.128</v>
          </cell>
        </row>
        <row r="33">
          <cell r="A33" t="str">
            <v>TBD Long, Philip</v>
          </cell>
          <cell r="K33">
            <v>86531.535999999993</v>
          </cell>
        </row>
        <row r="34">
          <cell r="A34" t="str">
            <v>TBD Hawitt, Michelle</v>
          </cell>
          <cell r="K34">
            <v>72113.183999999994</v>
          </cell>
        </row>
        <row r="35">
          <cell r="A35" t="str">
            <v>TBD Moore, Marbert</v>
          </cell>
          <cell r="K35">
            <v>144204.94400000002</v>
          </cell>
        </row>
        <row r="36">
          <cell r="A36" t="str">
            <v>TBD Negron, Juan</v>
          </cell>
          <cell r="K36">
            <v>113311.53599999999</v>
          </cell>
        </row>
        <row r="37">
          <cell r="A37" t="str">
            <v>TBD Short, Amie</v>
          </cell>
          <cell r="K37">
            <v>123616.48000000001</v>
          </cell>
        </row>
        <row r="38">
          <cell r="K38">
            <v>87559.887999999992</v>
          </cell>
        </row>
        <row r="39">
          <cell r="A39" t="str">
            <v>TBD Tygrett, Kelly</v>
          </cell>
          <cell r="K39">
            <v>123616.48000000001</v>
          </cell>
        </row>
        <row r="40">
          <cell r="A40" t="str">
            <v>TBD Bot, Penny</v>
          </cell>
          <cell r="K40">
            <v>160680</v>
          </cell>
        </row>
        <row r="41">
          <cell r="A41" t="str">
            <v>TBD New Hire 1</v>
          </cell>
          <cell r="K41">
            <v>170000</v>
          </cell>
        </row>
        <row r="42">
          <cell r="A42" t="str">
            <v>TBD New Hire 2</v>
          </cell>
          <cell r="K42">
            <v>250000</v>
          </cell>
        </row>
        <row r="43">
          <cell r="A43" t="str">
            <v>TBD New Hire 3</v>
          </cell>
          <cell r="K43">
            <v>145000</v>
          </cell>
        </row>
        <row r="44">
          <cell r="A44" t="str">
            <v>TBD New Hire 4</v>
          </cell>
          <cell r="K44">
            <v>85000</v>
          </cell>
        </row>
        <row r="68">
          <cell r="P68">
            <v>368407.17172799999</v>
          </cell>
          <cell r="Q68">
            <v>70584.564799999993</v>
          </cell>
        </row>
      </sheetData>
      <sheetData sheetId="15"/>
      <sheetData sheetId="16" refreshError="1"/>
      <sheetData sheetId="17" refreshError="1"/>
      <sheetData sheetId="18" refreshError="1"/>
      <sheetData sheetId="19">
        <row r="5">
          <cell r="A5" t="str">
            <v>Velez Carlos</v>
          </cell>
        </row>
        <row r="12">
          <cell r="E12" t="str">
            <v>001000</v>
          </cell>
        </row>
        <row r="18">
          <cell r="A18" t="str">
            <v>Fordham Joseph</v>
          </cell>
        </row>
        <row r="25">
          <cell r="E25" t="str">
            <v>001002</v>
          </cell>
        </row>
        <row r="31">
          <cell r="A31" t="str">
            <v>Eckardt Jon</v>
          </cell>
        </row>
        <row r="38">
          <cell r="E38" t="str">
            <v>001004</v>
          </cell>
        </row>
        <row r="44">
          <cell r="A44" t="str">
            <v>Mooradian Stephen</v>
          </cell>
        </row>
        <row r="51">
          <cell r="E51" t="str">
            <v>001005</v>
          </cell>
        </row>
        <row r="57">
          <cell r="A57" t="str">
            <v>Moore Jeffrey</v>
          </cell>
        </row>
        <row r="64">
          <cell r="E64" t="str">
            <v>001006</v>
          </cell>
        </row>
        <row r="70">
          <cell r="A70" t="str">
            <v>Foremaster Melvin</v>
          </cell>
        </row>
        <row r="77">
          <cell r="E77" t="str">
            <v>001008</v>
          </cell>
        </row>
        <row r="96">
          <cell r="A96" t="str">
            <v>Lee Daniel</v>
          </cell>
        </row>
        <row r="103">
          <cell r="E103" t="str">
            <v>001010</v>
          </cell>
        </row>
        <row r="135">
          <cell r="A135" t="str">
            <v>Chayka Christine</v>
          </cell>
        </row>
        <row r="142">
          <cell r="E142" t="str">
            <v>001013</v>
          </cell>
        </row>
        <row r="148">
          <cell r="A148" t="str">
            <v>Furlow CW</v>
          </cell>
        </row>
        <row r="155">
          <cell r="E155" t="str">
            <v>001014</v>
          </cell>
        </row>
        <row r="161">
          <cell r="A161" t="str">
            <v>Ledman Albert</v>
          </cell>
        </row>
        <row r="168">
          <cell r="E168" t="str">
            <v>001015</v>
          </cell>
        </row>
        <row r="174">
          <cell r="A174" t="str">
            <v>Albertson Melissa</v>
          </cell>
        </row>
        <row r="181">
          <cell r="E181" t="str">
            <v>001016</v>
          </cell>
        </row>
        <row r="187">
          <cell r="A187" t="str">
            <v>Lambert Deryk</v>
          </cell>
        </row>
        <row r="194">
          <cell r="E194" t="str">
            <v>001017</v>
          </cell>
        </row>
        <row r="200">
          <cell r="A200" t="str">
            <v>Graves Stephen</v>
          </cell>
        </row>
        <row r="207">
          <cell r="E207" t="str">
            <v>001018</v>
          </cell>
        </row>
        <row r="213">
          <cell r="A213" t="str">
            <v>Keyworth Crystal</v>
          </cell>
        </row>
        <row r="220">
          <cell r="E220" t="str">
            <v>001019</v>
          </cell>
        </row>
        <row r="239">
          <cell r="A239" t="str">
            <v>Fecht Bruce</v>
          </cell>
        </row>
        <row r="246">
          <cell r="E246" t="str">
            <v>001021</v>
          </cell>
        </row>
        <row r="252">
          <cell r="A252" t="str">
            <v>Schied Charles</v>
          </cell>
        </row>
        <row r="259">
          <cell r="E259" t="str">
            <v>001022</v>
          </cell>
        </row>
        <row r="265">
          <cell r="A265" t="str">
            <v>Erhardt William</v>
          </cell>
        </row>
        <row r="272">
          <cell r="E272" t="str">
            <v>001023</v>
          </cell>
        </row>
        <row r="278">
          <cell r="A278" t="str">
            <v>Ledman Kendra</v>
          </cell>
        </row>
        <row r="285">
          <cell r="E285" t="str">
            <v>001024</v>
          </cell>
        </row>
        <row r="291">
          <cell r="A291" t="str">
            <v>Horan Tracy</v>
          </cell>
        </row>
        <row r="298">
          <cell r="E298" t="str">
            <v>001025</v>
          </cell>
        </row>
        <row r="304">
          <cell r="A304" t="str">
            <v>Bischof Kathleen</v>
          </cell>
        </row>
        <row r="311">
          <cell r="E311" t="str">
            <v>001026</v>
          </cell>
        </row>
        <row r="317">
          <cell r="A317" t="str">
            <v>McQuay Jaime</v>
          </cell>
        </row>
        <row r="324">
          <cell r="E324" t="str">
            <v>001027</v>
          </cell>
        </row>
        <row r="330">
          <cell r="A330" t="str">
            <v>Mooradian Deborah</v>
          </cell>
        </row>
        <row r="337">
          <cell r="E337" t="str">
            <v>001028</v>
          </cell>
        </row>
        <row r="343">
          <cell r="A343" t="str">
            <v>Floyd Dionne</v>
          </cell>
        </row>
        <row r="350">
          <cell r="E350" t="str">
            <v>001032</v>
          </cell>
        </row>
        <row r="356">
          <cell r="A356" t="str">
            <v>Chan Libby</v>
          </cell>
        </row>
        <row r="363">
          <cell r="E363" t="str">
            <v>001033</v>
          </cell>
        </row>
        <row r="382">
          <cell r="A382" t="str">
            <v>Padilla Marcell</v>
          </cell>
        </row>
        <row r="389">
          <cell r="E389" t="str">
            <v>001035</v>
          </cell>
        </row>
        <row r="395">
          <cell r="A395" t="str">
            <v>Slayton Kim</v>
          </cell>
        </row>
        <row r="402">
          <cell r="E402" t="str">
            <v>001036</v>
          </cell>
        </row>
        <row r="421">
          <cell r="A421" t="str">
            <v>Guy David</v>
          </cell>
        </row>
        <row r="428">
          <cell r="E428" t="str">
            <v>001038</v>
          </cell>
        </row>
        <row r="434">
          <cell r="A434" t="str">
            <v>Dukes Robert</v>
          </cell>
        </row>
        <row r="441">
          <cell r="E441" t="str">
            <v>001039</v>
          </cell>
        </row>
        <row r="673">
          <cell r="A673" t="str">
            <v>Velez Elsa</v>
          </cell>
        </row>
        <row r="680">
          <cell r="E680" t="str">
            <v>001001</v>
          </cell>
        </row>
        <row r="710">
          <cell r="A710" t="str">
            <v>Test Employee</v>
          </cell>
        </row>
        <row r="716">
          <cell r="N716">
            <v>43260.41</v>
          </cell>
        </row>
        <row r="717">
          <cell r="E717" t="str">
            <v>001003</v>
          </cell>
        </row>
        <row r="735">
          <cell r="E735" t="str">
            <v>TBD</v>
          </cell>
        </row>
        <row r="772">
          <cell r="N772">
            <v>85000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amp;L Summary"/>
      <sheetName val="Summary Balance Sheet"/>
      <sheetName val="Summary Cash Flow Statement"/>
      <sheetName val="Profit &amp; Loss"/>
      <sheetName val="LABOR PVT"/>
      <sheetName val="Labor budget"/>
      <sheetName val="P&amp;L Assumptions"/>
      <sheetName val="Rate Summary &amp; WRAP"/>
      <sheetName val="BaselineBgt"/>
      <sheetName val="Fringe Benefits Pool"/>
      <sheetName val="Overhead Pool"/>
      <sheetName val="Mat_Hand."/>
      <sheetName val="G &amp; A Pool"/>
      <sheetName val="Rate recon"/>
      <sheetName val="Consultants"/>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ow r="12">
          <cell r="C12">
            <v>682144.54</v>
          </cell>
        </row>
      </sheetData>
      <sheetData sheetId="3" refreshError="1"/>
      <sheetData sheetId="4"/>
      <sheetData sheetId="5" refreshError="1"/>
      <sheetData sheetId="6">
        <row r="3">
          <cell r="M3" t="str">
            <v>work days</v>
          </cell>
        </row>
        <row r="139">
          <cell r="DO139" t="str">
            <v>Brad  Beil</v>
          </cell>
          <cell r="DP139">
            <v>0.84617360376695649</v>
          </cell>
          <cell r="DQ139">
            <v>4.6054818010814465E-2</v>
          </cell>
          <cell r="DR139">
            <v>0</v>
          </cell>
          <cell r="DS139">
            <v>0</v>
          </cell>
          <cell r="DT139">
            <v>0</v>
          </cell>
          <cell r="DU139">
            <v>0.10777157822222908</v>
          </cell>
          <cell r="DV139">
            <v>1</v>
          </cell>
        </row>
        <row r="140">
          <cell r="DO140" t="str">
            <v>Pat   Duecy</v>
          </cell>
          <cell r="DP140">
            <v>0.85409099828200097</v>
          </cell>
          <cell r="DQ140">
            <v>4.5606596648539215E-2</v>
          </cell>
          <cell r="DR140">
            <v>0</v>
          </cell>
          <cell r="DS140">
            <v>0</v>
          </cell>
          <cell r="DT140">
            <v>0</v>
          </cell>
          <cell r="DU140">
            <v>0.10030240506945978</v>
          </cell>
          <cell r="DV140">
            <v>0.99999999999999989</v>
          </cell>
        </row>
        <row r="141">
          <cell r="DO141" t="str">
            <v>Cynthia  Femano</v>
          </cell>
          <cell r="DP141">
            <v>0.8589137417752053</v>
          </cell>
          <cell r="DQ141">
            <v>4.3375534872181057E-2</v>
          </cell>
          <cell r="DR141">
            <v>0</v>
          </cell>
          <cell r="DS141">
            <v>0</v>
          </cell>
          <cell r="DT141">
            <v>0</v>
          </cell>
          <cell r="DU141">
            <v>9.7710723352613646E-2</v>
          </cell>
          <cell r="DV141">
            <v>1</v>
          </cell>
        </row>
        <row r="142">
          <cell r="DO142" t="str">
            <v>Lillet  Flynn</v>
          </cell>
          <cell r="DP142">
            <v>0.79710532172662196</v>
          </cell>
          <cell r="DQ142">
            <v>0</v>
          </cell>
          <cell r="DR142">
            <v>0</v>
          </cell>
          <cell r="DS142">
            <v>0</v>
          </cell>
          <cell r="DT142">
            <v>0</v>
          </cell>
          <cell r="DU142">
            <v>0.20289467827337804</v>
          </cell>
          <cell r="DV142">
            <v>1</v>
          </cell>
        </row>
        <row r="143">
          <cell r="DO143" t="str">
            <v>Art  Hughes -142 hrs</v>
          </cell>
          <cell r="DP143">
            <v>0.84617349953085497</v>
          </cell>
          <cell r="DQ143">
            <v>4.605483794569705E-2</v>
          </cell>
          <cell r="DR143">
            <v>0</v>
          </cell>
          <cell r="DS143">
            <v>0</v>
          </cell>
          <cell r="DT143">
            <v>0</v>
          </cell>
          <cell r="DU143">
            <v>0.107771662523448</v>
          </cell>
          <cell r="DV143">
            <v>1</v>
          </cell>
        </row>
        <row r="144">
          <cell r="DO144" t="str">
            <v>Art  Hughes -40 hrs</v>
          </cell>
          <cell r="DP144">
            <v>0.846173637700392</v>
          </cell>
          <cell r="DQ144">
            <v>4.6054726857471986E-2</v>
          </cell>
          <cell r="DR144">
            <v>0</v>
          </cell>
          <cell r="DS144">
            <v>0</v>
          </cell>
          <cell r="DT144">
            <v>0</v>
          </cell>
          <cell r="DU144">
            <v>0.1077716354421361</v>
          </cell>
          <cell r="DV144">
            <v>1.0000000000000002</v>
          </cell>
        </row>
        <row r="145">
          <cell r="DO145" t="str">
            <v>Mike  Kenworthy</v>
          </cell>
          <cell r="DP145">
            <v>0.85506000226225209</v>
          </cell>
          <cell r="DQ145">
            <v>4.6237663522740377E-2</v>
          </cell>
          <cell r="DR145">
            <v>0</v>
          </cell>
          <cell r="DS145">
            <v>0</v>
          </cell>
          <cell r="DT145">
            <v>0</v>
          </cell>
          <cell r="DU145">
            <v>9.8702334215007487E-2</v>
          </cell>
          <cell r="DV145">
            <v>1</v>
          </cell>
        </row>
        <row r="146">
          <cell r="DO146" t="str">
            <v>Steve  Mace</v>
          </cell>
          <cell r="DP146">
            <v>0.84617370150123183</v>
          </cell>
          <cell r="DQ146">
            <v>4.6054934040869147E-2</v>
          </cell>
          <cell r="DR146">
            <v>0</v>
          </cell>
          <cell r="DS146">
            <v>0</v>
          </cell>
          <cell r="DT146">
            <v>0</v>
          </cell>
          <cell r="DU146">
            <v>0.1077713644578991</v>
          </cell>
          <cell r="DV146">
            <v>1</v>
          </cell>
        </row>
        <row r="147">
          <cell r="DO147" t="str">
            <v>Jerry  Makowka</v>
          </cell>
          <cell r="DP147">
            <v>0.72343230037301143</v>
          </cell>
          <cell r="DQ147">
            <v>4.6054866743395019E-2</v>
          </cell>
          <cell r="DR147">
            <v>0</v>
          </cell>
          <cell r="DS147">
            <v>0.12274160354985476</v>
          </cell>
          <cell r="DT147">
            <v>0</v>
          </cell>
          <cell r="DU147">
            <v>0.10777122933373873</v>
          </cell>
          <cell r="DV147">
            <v>0.99999999999999989</v>
          </cell>
        </row>
        <row r="148">
          <cell r="DO148" t="str">
            <v>Mark  Mazzocco</v>
          </cell>
          <cell r="DP148">
            <v>0.84617372693603965</v>
          </cell>
          <cell r="DQ148">
            <v>4.6054960915513671E-2</v>
          </cell>
          <cell r="DR148">
            <v>0</v>
          </cell>
          <cell r="DS148">
            <v>0</v>
          </cell>
          <cell r="DT148">
            <v>0</v>
          </cell>
          <cell r="DU148">
            <v>0.10777131214844658</v>
          </cell>
          <cell r="DV148">
            <v>0.99999999999999989</v>
          </cell>
        </row>
        <row r="149">
          <cell r="DO149" t="str">
            <v>Len  Natkin-10%</v>
          </cell>
          <cell r="DP149">
            <v>0.84588935932867759</v>
          </cell>
          <cell r="DQ149">
            <v>4.6467420976624797E-2</v>
          </cell>
          <cell r="DR149">
            <v>0</v>
          </cell>
          <cell r="DS149">
            <v>0</v>
          </cell>
          <cell r="DT149">
            <v>0</v>
          </cell>
          <cell r="DU149">
            <v>0.10764321969469774</v>
          </cell>
          <cell r="DV149">
            <v>1.0000000000000002</v>
          </cell>
        </row>
        <row r="150">
          <cell r="DO150" t="str">
            <v>Jay  Patel</v>
          </cell>
          <cell r="DP150">
            <v>0.84617376927138799</v>
          </cell>
          <cell r="DQ150">
            <v>4.6054887567339851E-2</v>
          </cell>
          <cell r="DR150">
            <v>0</v>
          </cell>
          <cell r="DS150">
            <v>0</v>
          </cell>
          <cell r="DT150">
            <v>0</v>
          </cell>
          <cell r="DU150">
            <v>0.10777134316127226</v>
          </cell>
          <cell r="DV150">
            <v>1.0000000000000002</v>
          </cell>
        </row>
        <row r="151">
          <cell r="DO151" t="str">
            <v>Ken  Platek</v>
          </cell>
          <cell r="DP151">
            <v>0.82766965175934692</v>
          </cell>
          <cell r="DQ151">
            <v>4.6382948202608312E-2</v>
          </cell>
          <cell r="DR151">
            <v>0</v>
          </cell>
          <cell r="DS151">
            <v>0</v>
          </cell>
          <cell r="DT151">
            <v>0</v>
          </cell>
          <cell r="DU151">
            <v>0.12594740003804483</v>
          </cell>
          <cell r="DV151">
            <v>1</v>
          </cell>
        </row>
        <row r="152">
          <cell r="DO152" t="str">
            <v>Derek  Rose</v>
          </cell>
          <cell r="DP152">
            <v>0.84617388574626251</v>
          </cell>
          <cell r="DQ152">
            <v>4.6055018779243694E-2</v>
          </cell>
          <cell r="DR152">
            <v>0</v>
          </cell>
          <cell r="DS152">
            <v>0</v>
          </cell>
          <cell r="DT152">
            <v>0</v>
          </cell>
          <cell r="DU152">
            <v>0.10777109547449386</v>
          </cell>
          <cell r="DV152">
            <v>1</v>
          </cell>
        </row>
        <row r="153">
          <cell r="DO153" t="str">
            <v>Muriel  Ward</v>
          </cell>
          <cell r="DP153">
            <v>0.85907781632030911</v>
          </cell>
          <cell r="DQ153">
            <v>4.7872885676896244E-2</v>
          </cell>
          <cell r="DR153">
            <v>0</v>
          </cell>
          <cell r="DS153">
            <v>0</v>
          </cell>
          <cell r="DT153">
            <v>0</v>
          </cell>
          <cell r="DU153">
            <v>9.3049298002794767E-2</v>
          </cell>
          <cell r="DV153">
            <v>1.0000000000000002</v>
          </cell>
        </row>
        <row r="154">
          <cell r="DO154" t="str">
            <v>Dan  Seely</v>
          </cell>
          <cell r="DP154">
            <v>0.85541561733495985</v>
          </cell>
          <cell r="DQ154">
            <v>5.1278811533467125E-2</v>
          </cell>
          <cell r="DR154">
            <v>0</v>
          </cell>
          <cell r="DS154">
            <v>0</v>
          </cell>
          <cell r="DT154">
            <v>0</v>
          </cell>
          <cell r="DU154">
            <v>9.3305571131573076E-2</v>
          </cell>
          <cell r="DV154">
            <v>1</v>
          </cell>
        </row>
        <row r="155">
          <cell r="DO155" t="str">
            <v>Sharon  Ocheltree</v>
          </cell>
          <cell r="DP155">
            <v>0</v>
          </cell>
          <cell r="DQ155">
            <v>0</v>
          </cell>
          <cell r="DR155">
            <v>0.7</v>
          </cell>
          <cell r="DS155">
            <v>0</v>
          </cell>
          <cell r="DT155">
            <v>0.19999999999999998</v>
          </cell>
          <cell r="DU155">
            <v>9.9999999999999992E-2</v>
          </cell>
          <cell r="DV155">
            <v>0.99999999999999989</v>
          </cell>
        </row>
        <row r="156">
          <cell r="DO156" t="str">
            <v>Gwyn  Whittaker</v>
          </cell>
          <cell r="DP156">
            <v>0</v>
          </cell>
          <cell r="DQ156">
            <v>0</v>
          </cell>
          <cell r="DR156">
            <v>0.89999982935214062</v>
          </cell>
          <cell r="DS156">
            <v>0</v>
          </cell>
          <cell r="DT156">
            <v>0</v>
          </cell>
          <cell r="DU156">
            <v>0.10000017064785935</v>
          </cell>
          <cell r="DV156">
            <v>1</v>
          </cell>
        </row>
        <row r="157">
          <cell r="DO157" t="str">
            <v>New1-Rajiv Shah</v>
          </cell>
          <cell r="DP157">
            <v>0.83395312857427928</v>
          </cell>
          <cell r="DQ157">
            <v>4.5803096451394666E-2</v>
          </cell>
          <cell r="DR157">
            <v>0</v>
          </cell>
          <cell r="DS157">
            <v>0</v>
          </cell>
          <cell r="DT157">
            <v>0</v>
          </cell>
          <cell r="DU157">
            <v>0.12024377497432602</v>
          </cell>
          <cell r="DV157">
            <v>1</v>
          </cell>
        </row>
        <row r="158">
          <cell r="DO158" t="str">
            <v xml:space="preserve">New2Simmie Adams </v>
          </cell>
          <cell r="DP158">
            <v>0.83449381477137985</v>
          </cell>
          <cell r="DQ158">
            <v>4.7073414806143167E-2</v>
          </cell>
          <cell r="DR158">
            <v>0</v>
          </cell>
          <cell r="DS158">
            <v>0</v>
          </cell>
          <cell r="DT158">
            <v>0</v>
          </cell>
          <cell r="DU158">
            <v>0.11843277042247703</v>
          </cell>
          <cell r="DV158">
            <v>1</v>
          </cell>
        </row>
        <row r="159">
          <cell r="DO159" t="str">
            <v>New3-Chuck Spangler</v>
          </cell>
          <cell r="DP159">
            <v>0.83517999986726899</v>
          </cell>
          <cell r="DQ159">
            <v>4.3253724211467073E-2</v>
          </cell>
          <cell r="DR159">
            <v>0</v>
          </cell>
          <cell r="DS159">
            <v>0</v>
          </cell>
          <cell r="DT159">
            <v>0</v>
          </cell>
          <cell r="DU159">
            <v>0.12156627592126394</v>
          </cell>
          <cell r="DV159">
            <v>1</v>
          </cell>
        </row>
        <row r="160">
          <cell r="DO160" t="str">
            <v>New4-Mike Bennet</v>
          </cell>
          <cell r="DP160">
            <v>0.82266019022981862</v>
          </cell>
          <cell r="DQ160">
            <v>4.5897537178670504E-2</v>
          </cell>
          <cell r="DR160">
            <v>0</v>
          </cell>
          <cell r="DS160">
            <v>0</v>
          </cell>
          <cell r="DT160">
            <v>0</v>
          </cell>
          <cell r="DU160">
            <v>0.13144227259151098</v>
          </cell>
          <cell r="DV160">
            <v>1</v>
          </cell>
        </row>
        <row r="161">
          <cell r="DO161" t="str">
            <v>New5-Matt Meade</v>
          </cell>
          <cell r="DP161">
            <v>0.83111002229165165</v>
          </cell>
          <cell r="DQ161">
            <v>3.764104201207908E-2</v>
          </cell>
          <cell r="DR161">
            <v>0</v>
          </cell>
          <cell r="DS161">
            <v>0</v>
          </cell>
          <cell r="DT161">
            <v>0</v>
          </cell>
          <cell r="DU161">
            <v>0.13124893569626916</v>
          </cell>
          <cell r="DV161">
            <v>0.99999999999999989</v>
          </cell>
        </row>
        <row r="162">
          <cell r="DO162" t="str">
            <v>New6-Monica Milner</v>
          </cell>
          <cell r="DP162">
            <v>0.84079367785603787</v>
          </cell>
          <cell r="DQ162">
            <v>3.8107956397465399E-2</v>
          </cell>
          <cell r="DR162">
            <v>0</v>
          </cell>
          <cell r="DS162">
            <v>0</v>
          </cell>
          <cell r="DT162">
            <v>0</v>
          </cell>
          <cell r="DU162">
            <v>0.12109836574649677</v>
          </cell>
          <cell r="DV162">
            <v>1</v>
          </cell>
        </row>
        <row r="163">
          <cell r="DO163" t="str">
            <v>New7-John Anderson</v>
          </cell>
          <cell r="DP163">
            <v>0.84079379248977015</v>
          </cell>
          <cell r="DQ163">
            <v>3.8108319565501848E-2</v>
          </cell>
          <cell r="DR163">
            <v>0</v>
          </cell>
          <cell r="DS163">
            <v>0</v>
          </cell>
          <cell r="DT163">
            <v>0</v>
          </cell>
          <cell r="DU163">
            <v>0.12109788794472788</v>
          </cell>
          <cell r="DV163">
            <v>0.99999999999999989</v>
          </cell>
        </row>
        <row r="164">
          <cell r="DO164" t="str">
            <v>BD Support  Indirect_Hire1</v>
          </cell>
          <cell r="DP164">
            <v>0</v>
          </cell>
          <cell r="DQ164">
            <v>0</v>
          </cell>
          <cell r="DR164">
            <v>0.88610643220657925</v>
          </cell>
          <cell r="DS164">
            <v>0</v>
          </cell>
          <cell r="DT164">
            <v>0</v>
          </cell>
          <cell r="DU164">
            <v>0.11389356779342072</v>
          </cell>
          <cell r="DV164">
            <v>1</v>
          </cell>
        </row>
        <row r="165">
          <cell r="DO165" t="str">
            <v>New9- Bud Harrell</v>
          </cell>
          <cell r="DP165">
            <v>0.83449979015205611</v>
          </cell>
          <cell r="DQ165">
            <v>4.6639969892238654E-2</v>
          </cell>
          <cell r="DR165">
            <v>0</v>
          </cell>
          <cell r="DS165">
            <v>0</v>
          </cell>
          <cell r="DT165">
            <v>0</v>
          </cell>
          <cell r="DU165">
            <v>0.11886023995570535</v>
          </cell>
          <cell r="DV165">
            <v>1</v>
          </cell>
        </row>
        <row r="166">
          <cell r="DO166" t="str">
            <v>TBD</v>
          </cell>
          <cell r="DP166">
            <v>0</v>
          </cell>
          <cell r="DQ166">
            <v>0</v>
          </cell>
          <cell r="DR166">
            <v>0</v>
          </cell>
          <cell r="DS166">
            <v>0</v>
          </cell>
          <cell r="DT166">
            <v>0</v>
          </cell>
          <cell r="DU166">
            <v>0</v>
          </cell>
          <cell r="DV166">
            <v>0</v>
          </cell>
        </row>
        <row r="167">
          <cell r="DO167" t="str">
            <v>Len  Natkin-80%A</v>
          </cell>
          <cell r="DP167">
            <v>0.84573991399187531</v>
          </cell>
          <cell r="DQ167">
            <v>4.6617105275598612E-2</v>
          </cell>
          <cell r="DR167">
            <v>0</v>
          </cell>
          <cell r="DS167">
            <v>0</v>
          </cell>
          <cell r="DT167">
            <v>0</v>
          </cell>
          <cell r="DU167">
            <v>0.10764298073252601</v>
          </cell>
          <cell r="DV167">
            <v>0.99999999999999989</v>
          </cell>
        </row>
        <row r="168">
          <cell r="DO168" t="str">
            <v>Len Natkin- 10%B</v>
          </cell>
          <cell r="DP168">
            <v>0.84573991399187531</v>
          </cell>
          <cell r="DQ168">
            <v>4.6617105275598612E-2</v>
          </cell>
          <cell r="DR168">
            <v>0</v>
          </cell>
          <cell r="DS168">
            <v>0</v>
          </cell>
          <cell r="DT168">
            <v>0</v>
          </cell>
          <cell r="DU168">
            <v>0.10764298073252601</v>
          </cell>
          <cell r="DV168">
            <v>0.99999999999999989</v>
          </cell>
        </row>
        <row r="169">
          <cell r="DO169" t="str">
            <v>Mike  Kenworthy</v>
          </cell>
          <cell r="DP169">
            <v>0.88014471792599924</v>
          </cell>
          <cell r="DQ169">
            <v>4.0838698829239177E-2</v>
          </cell>
          <cell r="DR169">
            <v>0</v>
          </cell>
          <cell r="DS169">
            <v>0</v>
          </cell>
          <cell r="DT169">
            <v>0</v>
          </cell>
          <cell r="DU169">
            <v>7.9016583244761546E-2</v>
          </cell>
          <cell r="DV169">
            <v>1</v>
          </cell>
        </row>
        <row r="170">
          <cell r="DO170" t="str">
            <v>New8-Frank McGuire</v>
          </cell>
          <cell r="DP170">
            <v>0.93922701256411012</v>
          </cell>
          <cell r="DQ170">
            <v>4.3579684888248052E-2</v>
          </cell>
          <cell r="DR170">
            <v>0</v>
          </cell>
          <cell r="DS170">
            <v>0</v>
          </cell>
          <cell r="DT170">
            <v>0</v>
          </cell>
          <cell r="DU170">
            <v>1.7193302547641801E-2</v>
          </cell>
          <cell r="DV170">
            <v>1</v>
          </cell>
        </row>
        <row r="171">
          <cell r="DO171" t="str">
            <v>TBD</v>
          </cell>
          <cell r="DP171">
            <v>0</v>
          </cell>
          <cell r="DQ171">
            <v>0</v>
          </cell>
          <cell r="DR171">
            <v>0</v>
          </cell>
          <cell r="DS171">
            <v>0</v>
          </cell>
          <cell r="DT171">
            <v>0</v>
          </cell>
          <cell r="DU171">
            <v>0</v>
          </cell>
          <cell r="DV171">
            <v>0</v>
          </cell>
        </row>
        <row r="172">
          <cell r="DP172">
            <v>0</v>
          </cell>
          <cell r="DQ172">
            <v>0</v>
          </cell>
          <cell r="DR172">
            <v>0</v>
          </cell>
          <cell r="DS172">
            <v>0</v>
          </cell>
          <cell r="DT172">
            <v>0</v>
          </cell>
          <cell r="DU172">
            <v>0</v>
          </cell>
          <cell r="DV172">
            <v>0</v>
          </cell>
        </row>
      </sheetData>
      <sheetData sheetId="7"/>
      <sheetData sheetId="8" refreshError="1"/>
      <sheetData sheetId="9" refreshError="1"/>
      <sheetData sheetId="10">
        <row r="11">
          <cell r="J11">
            <v>118895.31</v>
          </cell>
        </row>
      </sheetData>
      <sheetData sheetId="11">
        <row r="7">
          <cell r="E7">
            <v>194454.14</v>
          </cell>
        </row>
      </sheetData>
      <sheetData sheetId="12" refreshError="1"/>
      <sheetData sheetId="13">
        <row r="9">
          <cell r="F9">
            <v>69226.92</v>
          </cell>
        </row>
      </sheetData>
      <sheetData sheetId="14" refreshError="1"/>
      <sheetData sheetId="15">
        <row r="8">
          <cell r="H8">
            <v>13800</v>
          </cell>
        </row>
      </sheetData>
      <sheetData sheetId="16">
        <row r="64">
          <cell r="J64">
            <v>3089238.1947700866</v>
          </cell>
        </row>
      </sheetData>
      <sheetData sheetId="17" refreshError="1"/>
      <sheetData sheetId="18">
        <row r="6">
          <cell r="G6">
            <v>6002.97</v>
          </cell>
        </row>
      </sheetData>
      <sheetData sheetId="19">
        <row r="47">
          <cell r="I47">
            <v>287131.93</v>
          </cell>
        </row>
      </sheetData>
      <sheetData sheetId="20" refreshError="1"/>
      <sheetData sheetId="21" refreshError="1"/>
      <sheetData sheetId="22">
        <row r="22">
          <cell r="Q22">
            <v>408.6716369047619</v>
          </cell>
        </row>
      </sheetData>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Cover"/>
      <sheetName val="Summary"/>
      <sheetName val="Model Output"/>
      <sheetName val="Football Field"/>
      <sheetName val="Integrity"/>
      <sheetName val="Revenue Build"/>
      <sheetName val="Model"/>
      <sheetName val="Segment Analysis"/>
      <sheetName val="Drivers"/>
      <sheetName val="WACC"/>
      <sheetName val="_CIQHiddenCacheSheet"/>
      <sheetName val="Comparables"/>
      <sheetName val="Valuation"/>
      <sheetName val="CIQ ID Locater"/>
      <sheetName val="Multiples Data"/>
      <sheetName val="Charts"/>
      <sheetName val="Benchmark"/>
      <sheetName val="Pre-Earnings"/>
      <sheetName val="Post-Earnings"/>
    </sheetNames>
    <sheetDataSet>
      <sheetData sheetId="0" refreshError="1"/>
      <sheetData sheetId="1">
        <row r="19">
          <cell r="F19" t="str">
            <v>Stamps.com Inc.</v>
          </cell>
        </row>
        <row r="20">
          <cell r="F20" t="str">
            <v>STMP</v>
          </cell>
        </row>
        <row r="22">
          <cell r="F22" t="str">
            <v>Base</v>
          </cell>
        </row>
        <row r="24">
          <cell r="F24">
            <v>44196</v>
          </cell>
        </row>
        <row r="25">
          <cell r="F25">
            <v>44561</v>
          </cell>
        </row>
        <row r="26">
          <cell r="F26" t="str">
            <v>2Q</v>
          </cell>
        </row>
        <row r="27">
          <cell r="F27">
            <v>44434</v>
          </cell>
        </row>
        <row r="29">
          <cell r="F29">
            <v>265.20999999999998</v>
          </cell>
        </row>
        <row r="30">
          <cell r="F30">
            <v>325.13</v>
          </cell>
        </row>
        <row r="31">
          <cell r="F31">
            <v>79.959999999999994</v>
          </cell>
        </row>
        <row r="33">
          <cell r="F33">
            <v>1.4617390534874125E-2</v>
          </cell>
        </row>
        <row r="35">
          <cell r="F35">
            <v>588</v>
          </cell>
        </row>
      </sheetData>
      <sheetData sheetId="2" refreshError="1"/>
      <sheetData sheetId="3" refreshError="1"/>
      <sheetData sheetId="4" refreshError="1"/>
      <sheetData sheetId="5" refreshError="1"/>
      <sheetData sheetId="6">
        <row r="7">
          <cell r="C7" t="str">
            <v>Segment</v>
          </cell>
        </row>
        <row r="9">
          <cell r="C9" t="str">
            <v>Segment</v>
          </cell>
        </row>
        <row r="11">
          <cell r="C11" t="str">
            <v>Segment</v>
          </cell>
        </row>
        <row r="13">
          <cell r="C13" t="str">
            <v>Segment</v>
          </cell>
        </row>
        <row r="15">
          <cell r="C15" t="str">
            <v>Segment</v>
          </cell>
        </row>
        <row r="17">
          <cell r="C17" t="str">
            <v>Segment</v>
          </cell>
        </row>
        <row r="19">
          <cell r="C19" t="str">
            <v>Segment</v>
          </cell>
        </row>
        <row r="26">
          <cell r="C26" t="str">
            <v>Summary</v>
          </cell>
          <cell r="D26"/>
          <cell r="E26"/>
          <cell r="F26" t="str">
            <v>1Q18</v>
          </cell>
          <cell r="G26" t="str">
            <v>2Q18</v>
          </cell>
          <cell r="H26" t="str">
            <v>3Q18</v>
          </cell>
          <cell r="I26" t="str">
            <v>4Q18</v>
          </cell>
          <cell r="J26">
            <v>2018</v>
          </cell>
          <cell r="K26" t="str">
            <v>1Q19</v>
          </cell>
          <cell r="L26" t="str">
            <v>2Q19</v>
          </cell>
          <cell r="M26" t="str">
            <v>3Q19</v>
          </cell>
          <cell r="N26" t="str">
            <v>4Q19</v>
          </cell>
          <cell r="O26">
            <v>2019</v>
          </cell>
          <cell r="P26" t="str">
            <v>1Q20</v>
          </cell>
          <cell r="Q26" t="str">
            <v>2Q20</v>
          </cell>
          <cell r="R26" t="str">
            <v>3Q20</v>
          </cell>
          <cell r="S26" t="str">
            <v>4Q20</v>
          </cell>
          <cell r="T26">
            <v>2020</v>
          </cell>
          <cell r="U26" t="str">
            <v>1Q21</v>
          </cell>
          <cell r="V26" t="str">
            <v>2Q21</v>
          </cell>
          <cell r="W26" t="str">
            <v>3Q21e</v>
          </cell>
          <cell r="X26" t="str">
            <v>4Q21e</v>
          </cell>
          <cell r="Y26" t="str">
            <v>2021e</v>
          </cell>
          <cell r="Z26" t="str">
            <v>1Q22e</v>
          </cell>
          <cell r="AA26" t="str">
            <v>2Q22e</v>
          </cell>
          <cell r="AB26" t="str">
            <v>3Q22e</v>
          </cell>
          <cell r="AC26" t="str">
            <v>4Q22e</v>
          </cell>
          <cell r="AD26" t="str">
            <v>2022e</v>
          </cell>
          <cell r="AE26" t="str">
            <v>2023e</v>
          </cell>
          <cell r="AF26" t="str">
            <v>2024e</v>
          </cell>
          <cell r="AG26" t="str">
            <v>2025e</v>
          </cell>
        </row>
        <row r="27">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row>
        <row r="28">
          <cell r="C28" t="str">
            <v>Total Company Revenue</v>
          </cell>
          <cell r="D28"/>
          <cell r="E28"/>
          <cell r="F28">
            <v>133565</v>
          </cell>
          <cell r="G28">
            <v>139627</v>
          </cell>
          <cell r="H28">
            <v>143507</v>
          </cell>
          <cell r="I28">
            <v>170231</v>
          </cell>
          <cell r="J28">
            <v>586930</v>
          </cell>
          <cell r="K28">
            <v>136003</v>
          </cell>
          <cell r="L28">
            <v>138773</v>
          </cell>
          <cell r="M28">
            <v>136172</v>
          </cell>
          <cell r="N28">
            <v>160902</v>
          </cell>
          <cell r="O28">
            <v>571850</v>
          </cell>
          <cell r="P28">
            <v>151346</v>
          </cell>
          <cell r="Q28">
            <v>206730</v>
          </cell>
          <cell r="R28">
            <v>193917</v>
          </cell>
          <cell r="S28">
            <v>-467884</v>
          </cell>
          <cell r="T28">
            <v>84109</v>
          </cell>
          <cell r="U28">
            <v>151346</v>
          </cell>
          <cell r="V28">
            <v>206730</v>
          </cell>
          <cell r="W28">
            <v>217066.5</v>
          </cell>
          <cell r="X28">
            <v>227919.82499999998</v>
          </cell>
          <cell r="Y28">
            <v>803062.32499999995</v>
          </cell>
          <cell r="Z28">
            <v>239315.81625000003</v>
          </cell>
          <cell r="AA28">
            <v>251281.60706250003</v>
          </cell>
          <cell r="AB28">
            <v>263845.68741562503</v>
          </cell>
          <cell r="AC28">
            <v>277037.9717864063</v>
          </cell>
          <cell r="AD28">
            <v>1031481.0825145314</v>
          </cell>
          <cell r="AE28">
            <v>1083055.1366402581</v>
          </cell>
          <cell r="AF28">
            <v>1137207.893472271</v>
          </cell>
          <cell r="AG28">
            <v>1194068.2881458844</v>
          </cell>
        </row>
        <row r="29">
          <cell r="C29" t="str">
            <v>% Growth</v>
          </cell>
          <cell r="D29"/>
          <cell r="E29"/>
          <cell r="F29"/>
          <cell r="G29">
            <v>4.5386141579006445E-2</v>
          </cell>
          <cell r="H29">
            <v>2.7788321742929334E-2</v>
          </cell>
          <cell r="I29">
            <v>0.18622088121136948</v>
          </cell>
          <cell r="J29"/>
          <cell r="K29">
            <v>-0.20106796059472132</v>
          </cell>
          <cell r="L29">
            <v>2.0367197782401814E-2</v>
          </cell>
          <cell r="M29">
            <v>-1.8742839024882385E-2</v>
          </cell>
          <cell r="N29">
            <v>0.18160855388773012</v>
          </cell>
          <cell r="O29">
            <v>-2.5693012795392933E-2</v>
          </cell>
          <cell r="P29">
            <v>-5.9390187816186213E-2</v>
          </cell>
          <cell r="Q29">
            <v>0.36594293869676098</v>
          </cell>
          <cell r="R29">
            <v>-6.1979393411696448E-2</v>
          </cell>
          <cell r="S29">
            <v>-3.412805478632611</v>
          </cell>
          <cell r="T29">
            <v>-0.85291772317915537</v>
          </cell>
          <cell r="U29">
            <v>-1.3234690649819185</v>
          </cell>
          <cell r="V29">
            <v>0.36594293869676098</v>
          </cell>
          <cell r="W29">
            <v>5.0000000000000044E-2</v>
          </cell>
          <cell r="X29">
            <v>4.9999999999999822E-2</v>
          </cell>
          <cell r="Y29">
            <v>8.5478762677002447</v>
          </cell>
          <cell r="Z29">
            <v>5.0000000000000266E-2</v>
          </cell>
          <cell r="AA29">
            <v>5.0000000000000044E-2</v>
          </cell>
          <cell r="AB29">
            <v>5.0000000000000044E-2</v>
          </cell>
          <cell r="AC29">
            <v>5.0000000000000044E-2</v>
          </cell>
          <cell r="AD29">
            <v>0.28443465768927889</v>
          </cell>
          <cell r="AE29">
            <v>5.0000000000000044E-2</v>
          </cell>
          <cell r="AF29">
            <v>5.0000000000000044E-2</v>
          </cell>
          <cell r="AG29">
            <v>4.9999999999999822E-2</v>
          </cell>
        </row>
        <row r="30">
          <cell r="C30" t="str">
            <v>Service Revenue</v>
          </cell>
          <cell r="D30"/>
          <cell r="E30"/>
          <cell r="F30">
            <v>120916</v>
          </cell>
          <cell r="G30">
            <v>125206</v>
          </cell>
          <cell r="H30">
            <v>127810</v>
          </cell>
          <cell r="I30">
            <v>156750</v>
          </cell>
          <cell r="J30">
            <v>530682</v>
          </cell>
          <cell r="K30">
            <v>123907</v>
          </cell>
          <cell r="L30">
            <v>127429</v>
          </cell>
          <cell r="M30">
            <v>124643</v>
          </cell>
          <cell r="N30">
            <v>147549</v>
          </cell>
          <cell r="O30">
            <v>523528</v>
          </cell>
          <cell r="P30">
            <v>139136</v>
          </cell>
          <cell r="Q30">
            <v>186990</v>
          </cell>
          <cell r="R30">
            <v>183779</v>
          </cell>
          <cell r="S30">
            <v>-486710</v>
          </cell>
          <cell r="T30">
            <v>23195</v>
          </cell>
          <cell r="U30">
            <v>139136</v>
          </cell>
          <cell r="V30">
            <v>186990</v>
          </cell>
          <cell r="W30">
            <v>196339.5</v>
          </cell>
          <cell r="X30">
            <v>206156.47500000001</v>
          </cell>
          <cell r="Y30">
            <v>728621.97499999998</v>
          </cell>
          <cell r="Z30">
            <v>216464.29875000002</v>
          </cell>
          <cell r="AA30">
            <v>227287.51368750003</v>
          </cell>
          <cell r="AB30">
            <v>238651.88937187503</v>
          </cell>
          <cell r="AC30">
            <v>250584.48384046881</v>
          </cell>
          <cell r="AD30">
            <v>932988.18564984389</v>
          </cell>
          <cell r="AE30">
            <v>979637.59493233613</v>
          </cell>
          <cell r="AF30">
            <v>1028619.4746789529</v>
          </cell>
          <cell r="AG30">
            <v>1080050.4484129006</v>
          </cell>
        </row>
        <row r="31">
          <cell r="C31" t="str">
            <v>% Growth</v>
          </cell>
          <cell r="D31"/>
          <cell r="E31"/>
          <cell r="F31"/>
          <cell r="G31">
            <v>3.5479175626054404E-2</v>
          </cell>
          <cell r="H31">
            <v>2.0797725348625562E-2</v>
          </cell>
          <cell r="I31">
            <v>0.2264298568187153</v>
          </cell>
          <cell r="J31"/>
          <cell r="K31">
            <v>-0.20952472089314189</v>
          </cell>
          <cell r="L31">
            <v>2.842454421461249E-2</v>
          </cell>
          <cell r="M31">
            <v>-2.1863155168760695E-2</v>
          </cell>
          <cell r="N31">
            <v>0.18377285527466447</v>
          </cell>
          <cell r="O31">
            <v>-1.3480766259266419E-2</v>
          </cell>
          <cell r="P31">
            <v>-5.7018346447620827E-2</v>
          </cell>
          <cell r="Q31">
            <v>0.34393686752529895</v>
          </cell>
          <cell r="R31">
            <v>-1.7172041285630213E-2</v>
          </cell>
          <cell r="S31">
            <v>-3.6483439348347746</v>
          </cell>
          <cell r="T31">
            <v>-0.95569482434559372</v>
          </cell>
          <cell r="U31">
            <v>-1.2858704361940374</v>
          </cell>
          <cell r="V31">
            <v>0.34393686752529895</v>
          </cell>
          <cell r="W31">
            <v>5.0000000000000044E-2</v>
          </cell>
          <cell r="X31">
            <v>5.0000000000000044E-2</v>
          </cell>
          <cell r="Y31">
            <v>30.412889631386072</v>
          </cell>
          <cell r="Z31">
            <v>5.0000000000000044E-2</v>
          </cell>
          <cell r="AA31">
            <v>5.0000000000000044E-2</v>
          </cell>
          <cell r="AB31">
            <v>5.0000000000000044E-2</v>
          </cell>
          <cell r="AC31">
            <v>5.0000000000000044E-2</v>
          </cell>
          <cell r="AD31">
            <v>0.28048318286014351</v>
          </cell>
          <cell r="AE31">
            <v>5.0000000000000044E-2</v>
          </cell>
          <cell r="AF31">
            <v>5.0000000000000044E-2</v>
          </cell>
          <cell r="AG31">
            <v>5.0000000000000044E-2</v>
          </cell>
        </row>
        <row r="32">
          <cell r="C32" t="str">
            <v>% of Total Revenue</v>
          </cell>
          <cell r="D32"/>
          <cell r="E32"/>
          <cell r="F32">
            <v>0.90529704638191144</v>
          </cell>
          <cell r="G32">
            <v>0.8967176835425813</v>
          </cell>
          <cell r="H32">
            <v>0.89061857609733319</v>
          </cell>
          <cell r="I32">
            <v>0.92080760848494103</v>
          </cell>
          <cell r="J32">
            <v>0.90416574378545989</v>
          </cell>
          <cell r="K32">
            <v>0.91106078542385094</v>
          </cell>
          <cell r="L32">
            <v>0.91825499196529581</v>
          </cell>
          <cell r="M32">
            <v>0.91533501747789559</v>
          </cell>
          <cell r="N32">
            <v>0.91701159712122904</v>
          </cell>
          <cell r="O32">
            <v>0.91549881962052981</v>
          </cell>
          <cell r="P32">
            <v>0.91932393323906814</v>
          </cell>
          <cell r="Q32">
            <v>0.90451313307212311</v>
          </cell>
          <cell r="R32">
            <v>0.9477199007822934</v>
          </cell>
          <cell r="S32">
            <v>1.0402364688683521</v>
          </cell>
          <cell r="T32">
            <v>0.27577310394844784</v>
          </cell>
          <cell r="U32">
            <v>0.91932393323906814</v>
          </cell>
          <cell r="V32">
            <v>0.90451313307212311</v>
          </cell>
          <cell r="W32">
            <v>0.90451313307212311</v>
          </cell>
          <cell r="X32">
            <v>0.90451313307212311</v>
          </cell>
          <cell r="Y32">
            <v>0.90730439259493345</v>
          </cell>
          <cell r="Z32">
            <v>0.904513133072123</v>
          </cell>
          <cell r="AA32">
            <v>0.90451313307212311</v>
          </cell>
          <cell r="AB32">
            <v>0.90451313307212311</v>
          </cell>
          <cell r="AC32">
            <v>0.90451313307212311</v>
          </cell>
          <cell r="AD32">
            <v>0.904513133072123</v>
          </cell>
          <cell r="AE32">
            <v>0.904513133072123</v>
          </cell>
          <cell r="AF32">
            <v>0.904513133072123</v>
          </cell>
          <cell r="AG32">
            <v>0.90451313307212311</v>
          </cell>
        </row>
        <row r="33">
          <cell r="C33" t="str">
            <v>Product Revenue</v>
          </cell>
          <cell r="D33"/>
          <cell r="E33"/>
          <cell r="F33">
            <v>5679</v>
          </cell>
          <cell r="G33">
            <v>4892</v>
          </cell>
          <cell r="H33">
            <v>4705</v>
          </cell>
          <cell r="I33">
            <v>5148</v>
          </cell>
          <cell r="J33">
            <v>20424</v>
          </cell>
          <cell r="K33">
            <v>5405</v>
          </cell>
          <cell r="L33">
            <v>4785</v>
          </cell>
          <cell r="M33">
            <v>5116</v>
          </cell>
          <cell r="N33">
            <v>5188</v>
          </cell>
          <cell r="O33">
            <v>20494</v>
          </cell>
          <cell r="P33">
            <v>5956</v>
          </cell>
          <cell r="Q33">
            <v>6827</v>
          </cell>
          <cell r="R33">
            <v>5816</v>
          </cell>
          <cell r="S33">
            <v>42116</v>
          </cell>
          <cell r="T33">
            <v>60715</v>
          </cell>
          <cell r="U33">
            <v>5956</v>
          </cell>
          <cell r="V33">
            <v>6827</v>
          </cell>
          <cell r="W33">
            <v>7168.35</v>
          </cell>
          <cell r="X33">
            <v>7526.7675000000008</v>
          </cell>
          <cell r="Y33">
            <v>27478.1175</v>
          </cell>
          <cell r="Z33">
            <v>7903.1058750000011</v>
          </cell>
          <cell r="AA33">
            <v>8298.2611687500012</v>
          </cell>
          <cell r="AB33">
            <v>8713.1742271875009</v>
          </cell>
          <cell r="AC33">
            <v>9148.8329385468769</v>
          </cell>
          <cell r="AD33">
            <v>34063.374209484376</v>
          </cell>
          <cell r="AE33">
            <v>35766.5429199586</v>
          </cell>
          <cell r="AF33">
            <v>37554.870065956529</v>
          </cell>
          <cell r="AG33">
            <v>39432.613569254354</v>
          </cell>
        </row>
        <row r="34">
          <cell r="C34" t="str">
            <v>% Growth</v>
          </cell>
          <cell r="D34"/>
          <cell r="E34"/>
          <cell r="F34"/>
          <cell r="G34">
            <v>-0.13858073604507837</v>
          </cell>
          <cell r="H34">
            <v>-3.8225674570727675E-2</v>
          </cell>
          <cell r="I34">
            <v>9.4155154091392079E-2</v>
          </cell>
          <cell r="J34"/>
          <cell r="K34">
            <v>4.9922299922299906E-2</v>
          </cell>
          <cell r="L34">
            <v>-0.1147086031452359</v>
          </cell>
          <cell r="M34">
            <v>6.9174503657262187E-2</v>
          </cell>
          <cell r="N34">
            <v>1.4073494917904661E-2</v>
          </cell>
          <cell r="O34">
            <v>3.4273403838620542E-3</v>
          </cell>
          <cell r="P34">
            <v>0.14803392444101782</v>
          </cell>
          <cell r="Q34">
            <v>0.14623908663532581</v>
          </cell>
          <cell r="R34">
            <v>-0.14808847224256627</v>
          </cell>
          <cell r="S34">
            <v>6.2414030261348001</v>
          </cell>
          <cell r="T34">
            <v>1.9625744120230313</v>
          </cell>
          <cell r="U34">
            <v>-0.85858106182923355</v>
          </cell>
          <cell r="V34">
            <v>0.14623908663532581</v>
          </cell>
          <cell r="W34">
            <v>5.0000000000000044E-2</v>
          </cell>
          <cell r="X34">
            <v>5.0000000000000044E-2</v>
          </cell>
          <cell r="Y34">
            <v>-0.54742456559334596</v>
          </cell>
          <cell r="Z34">
            <v>5.0000000000000044E-2</v>
          </cell>
          <cell r="AA34">
            <v>5.0000000000000044E-2</v>
          </cell>
          <cell r="AB34">
            <v>5.0000000000000044E-2</v>
          </cell>
          <cell r="AC34">
            <v>5.0000000000000044E-2</v>
          </cell>
          <cell r="AD34">
            <v>0.23965458003025053</v>
          </cell>
          <cell r="AE34">
            <v>5.0000000000000044E-2</v>
          </cell>
          <cell r="AF34">
            <v>5.0000000000000044E-2</v>
          </cell>
          <cell r="AG34">
            <v>5.0000000000000044E-2</v>
          </cell>
        </row>
        <row r="35">
          <cell r="C35" t="str">
            <v>% of Total Revenue</v>
          </cell>
          <cell r="D35"/>
          <cell r="E35"/>
          <cell r="F35">
            <v>4.2518623890989406E-2</v>
          </cell>
          <cell r="G35">
            <v>3.5036203599590338E-2</v>
          </cell>
          <cell r="H35">
            <v>3.2785857135888843E-2</v>
          </cell>
          <cell r="I35">
            <v>3.0241260404979115E-2</v>
          </cell>
          <cell r="J35">
            <v>3.4798016799277597E-2</v>
          </cell>
          <cell r="K35">
            <v>3.9741770402123483E-2</v>
          </cell>
          <cell r="L35">
            <v>3.4480770755118073E-2</v>
          </cell>
          <cell r="M35">
            <v>3.7570131892018917E-2</v>
          </cell>
          <cell r="N35">
            <v>3.2243228797653227E-2</v>
          </cell>
          <cell r="O35">
            <v>3.5838069423799947E-2</v>
          </cell>
          <cell r="P35">
            <v>3.9353534285676527E-2</v>
          </cell>
          <cell r="Q35">
            <v>3.3023750786049438E-2</v>
          </cell>
          <cell r="R35">
            <v>2.9992213163363708E-2</v>
          </cell>
          <cell r="S35">
            <v>-9.0013764095374066E-2</v>
          </cell>
          <cell r="T35">
            <v>0.72186091856995094</v>
          </cell>
          <cell r="U35">
            <v>3.9353534285676527E-2</v>
          </cell>
          <cell r="V35">
            <v>3.3023750786049438E-2</v>
          </cell>
          <cell r="W35">
            <v>3.3023750786049438E-2</v>
          </cell>
          <cell r="X35">
            <v>3.3023750786049445E-2</v>
          </cell>
          <cell r="Y35">
            <v>3.4216668675124316E-2</v>
          </cell>
          <cell r="Z35">
            <v>3.3023750786049438E-2</v>
          </cell>
          <cell r="AA35">
            <v>3.3023750786049438E-2</v>
          </cell>
          <cell r="AB35">
            <v>3.3023750786049438E-2</v>
          </cell>
          <cell r="AC35">
            <v>3.3023750786049438E-2</v>
          </cell>
          <cell r="AD35">
            <v>3.3023750786049431E-2</v>
          </cell>
          <cell r="AE35">
            <v>3.3023750786049431E-2</v>
          </cell>
          <cell r="AF35">
            <v>3.3023750786049431E-2</v>
          </cell>
          <cell r="AG35">
            <v>3.3023750786049438E-2</v>
          </cell>
        </row>
        <row r="36">
          <cell r="C36" t="str">
            <v>Insurance Revenue</v>
          </cell>
          <cell r="D36"/>
          <cell r="E36"/>
          <cell r="F36">
            <v>4368</v>
          </cell>
          <cell r="G36">
            <v>4293</v>
          </cell>
          <cell r="H36">
            <v>4023</v>
          </cell>
          <cell r="I36">
            <v>3505</v>
          </cell>
          <cell r="J36">
            <v>16189</v>
          </cell>
          <cell r="K36">
            <v>3334</v>
          </cell>
          <cell r="L36">
            <v>3431</v>
          </cell>
          <cell r="M36">
            <v>3106</v>
          </cell>
          <cell r="N36">
            <v>3231</v>
          </cell>
          <cell r="O36">
            <v>13102</v>
          </cell>
          <cell r="P36">
            <v>3180</v>
          </cell>
          <cell r="Q36">
            <v>4096</v>
          </cell>
          <cell r="R36">
            <v>4322</v>
          </cell>
          <cell r="S36">
            <v>-11324</v>
          </cell>
          <cell r="T36">
            <v>274</v>
          </cell>
          <cell r="U36">
            <v>3180</v>
          </cell>
          <cell r="V36">
            <v>4096</v>
          </cell>
          <cell r="W36">
            <v>4300.8</v>
          </cell>
          <cell r="X36">
            <v>4515.84</v>
          </cell>
          <cell r="Y36">
            <v>16092.64</v>
          </cell>
          <cell r="Z36">
            <v>4741.6320000000005</v>
          </cell>
          <cell r="AA36">
            <v>4978.713600000001</v>
          </cell>
          <cell r="AB36">
            <v>5227.6492800000015</v>
          </cell>
          <cell r="AC36">
            <v>5489.0317440000017</v>
          </cell>
          <cell r="AD36">
            <v>20437.026624000006</v>
          </cell>
          <cell r="AE36">
            <v>21458.877955200005</v>
          </cell>
          <cell r="AF36">
            <v>22531.821852960005</v>
          </cell>
          <cell r="AG36">
            <v>23658.412945608008</v>
          </cell>
        </row>
        <row r="37">
          <cell r="C37" t="str">
            <v>% Growth</v>
          </cell>
          <cell r="D37"/>
          <cell r="E37"/>
          <cell r="F37"/>
          <cell r="G37">
            <v>-1.717032967032972E-2</v>
          </cell>
          <cell r="H37">
            <v>-6.2893081761006275E-2</v>
          </cell>
          <cell r="I37">
            <v>-0.12875963211533681</v>
          </cell>
          <cell r="J37"/>
          <cell r="K37">
            <v>-4.8787446504992893E-2</v>
          </cell>
          <cell r="L37">
            <v>2.9094181163767274E-2</v>
          </cell>
          <cell r="M37">
            <v>-9.4724570096181848E-2</v>
          </cell>
          <cell r="N37">
            <v>4.0244687701223469E-2</v>
          </cell>
          <cell r="O37">
            <v>-0.1906850330471308</v>
          </cell>
          <cell r="P37">
            <v>-1.578458681522743E-2</v>
          </cell>
          <cell r="Q37">
            <v>0.28805031446540874</v>
          </cell>
          <cell r="R37">
            <v>5.517578125E-2</v>
          </cell>
          <cell r="S37">
            <v>-3.6200832947709394</v>
          </cell>
          <cell r="T37">
            <v>-0.97908716226530301</v>
          </cell>
          <cell r="U37">
            <v>-1.2808194984104557</v>
          </cell>
          <cell r="V37">
            <v>0.28805031446540874</v>
          </cell>
          <cell r="W37">
            <v>5.0000000000000044E-2</v>
          </cell>
          <cell r="X37">
            <v>5.0000000000000044E-2</v>
          </cell>
          <cell r="Y37">
            <v>57.732262773722624</v>
          </cell>
          <cell r="Z37">
            <v>5.0000000000000044E-2</v>
          </cell>
          <cell r="AA37">
            <v>5.0000000000000044E-2</v>
          </cell>
          <cell r="AB37">
            <v>5.0000000000000044E-2</v>
          </cell>
          <cell r="AC37">
            <v>5.0000000000000044E-2</v>
          </cell>
          <cell r="AD37">
            <v>0.26996108929299401</v>
          </cell>
          <cell r="AE37">
            <v>5.0000000000000044E-2</v>
          </cell>
          <cell r="AF37">
            <v>5.0000000000000044E-2</v>
          </cell>
          <cell r="AG37">
            <v>5.0000000000000044E-2</v>
          </cell>
        </row>
        <row r="38">
          <cell r="C38" t="str">
            <v>% of Total Revenue</v>
          </cell>
          <cell r="D38"/>
          <cell r="E38"/>
          <cell r="F38">
            <v>3.2703178227829144E-2</v>
          </cell>
          <cell r="G38">
            <v>3.0746202382060776E-2</v>
          </cell>
          <cell r="H38">
            <v>2.8033475718954474E-2</v>
          </cell>
          <cell r="I38">
            <v>2.0589669331672843E-2</v>
          </cell>
          <cell r="J38">
            <v>2.7582505579881757E-2</v>
          </cell>
          <cell r="K38">
            <v>2.4514165128710397E-2</v>
          </cell>
          <cell r="L38">
            <v>2.472382956338769E-2</v>
          </cell>
          <cell r="M38">
            <v>2.2809388126780836E-2</v>
          </cell>
          <cell r="N38">
            <v>2.0080545922362681E-2</v>
          </cell>
          <cell r="O38">
            <v>2.2911602693013903E-2</v>
          </cell>
          <cell r="P38">
            <v>2.1011457190807818E-2</v>
          </cell>
          <cell r="Q38">
            <v>1.9813283026169401E-2</v>
          </cell>
          <cell r="R38">
            <v>2.2287886054342839E-2</v>
          </cell>
          <cell r="S38">
            <v>2.420258012669807E-2</v>
          </cell>
          <cell r="T38">
            <v>3.2576775374811256E-3</v>
          </cell>
          <cell r="U38">
            <v>2.1011457190807818E-2</v>
          </cell>
          <cell r="V38">
            <v>1.9813283026169401E-2</v>
          </cell>
          <cell r="W38">
            <v>1.9813283026169401E-2</v>
          </cell>
          <cell r="X38">
            <v>1.9813283026169401E-2</v>
          </cell>
          <cell r="Y38">
            <v>2.0039092233594697E-2</v>
          </cell>
          <cell r="Z38">
            <v>1.9813283026169397E-2</v>
          </cell>
          <cell r="AA38">
            <v>1.9813283026169401E-2</v>
          </cell>
          <cell r="AB38">
            <v>1.9813283026169404E-2</v>
          </cell>
          <cell r="AC38">
            <v>1.9813283026169401E-2</v>
          </cell>
          <cell r="AD38">
            <v>1.9813283026169401E-2</v>
          </cell>
          <cell r="AE38">
            <v>1.9813283026169397E-2</v>
          </cell>
          <cell r="AF38">
            <v>1.9813283026169397E-2</v>
          </cell>
          <cell r="AG38">
            <v>1.9813283026169404E-2</v>
          </cell>
        </row>
        <row r="39">
          <cell r="C39" t="str">
            <v>Customized Postage Revenue</v>
          </cell>
          <cell r="D39"/>
          <cell r="E39"/>
          <cell r="F39">
            <v>2580</v>
          </cell>
          <cell r="G39">
            <v>5218</v>
          </cell>
          <cell r="H39">
            <v>6957</v>
          </cell>
          <cell r="I39">
            <v>4828</v>
          </cell>
          <cell r="J39">
            <v>19583</v>
          </cell>
          <cell r="K39">
            <v>3357</v>
          </cell>
          <cell r="L39">
            <v>3128</v>
          </cell>
          <cell r="M39">
            <v>3307</v>
          </cell>
          <cell r="N39">
            <v>4934</v>
          </cell>
          <cell r="O39">
            <v>14726</v>
          </cell>
          <cell r="P39">
            <v>3074</v>
          </cell>
          <cell r="Q39">
            <v>8817</v>
          </cell>
          <cell r="R39">
            <v>0</v>
          </cell>
          <cell r="S39">
            <v>-11966</v>
          </cell>
          <cell r="T39">
            <v>-75</v>
          </cell>
          <cell r="U39">
            <v>3074</v>
          </cell>
          <cell r="V39">
            <v>8817</v>
          </cell>
          <cell r="W39">
            <v>9257.85</v>
          </cell>
          <cell r="X39">
            <v>9720.7425000000003</v>
          </cell>
          <cell r="Y39">
            <v>30869.592499999999</v>
          </cell>
          <cell r="Z39">
            <v>10206.779625000001</v>
          </cell>
          <cell r="AA39">
            <v>10717.118606250002</v>
          </cell>
          <cell r="AB39">
            <v>11252.974536562502</v>
          </cell>
          <cell r="AC39">
            <v>11815.623263390627</v>
          </cell>
          <cell r="AD39">
            <v>43992.496031203133</v>
          </cell>
          <cell r="AE39">
            <v>46192.120832763292</v>
          </cell>
          <cell r="AF39">
            <v>48501.726874401458</v>
          </cell>
          <cell r="AG39">
            <v>50926.813218121533</v>
          </cell>
        </row>
        <row r="40">
          <cell r="C40" t="str">
            <v>% Growth</v>
          </cell>
          <cell r="D40"/>
          <cell r="E40"/>
          <cell r="F40"/>
          <cell r="G40">
            <v>1.0224806201550387</v>
          </cell>
          <cell r="H40">
            <v>0.33326945189727875</v>
          </cell>
          <cell r="I40">
            <v>-0.30602271093862299</v>
          </cell>
          <cell r="J40"/>
          <cell r="K40">
            <v>-0.30468102734051372</v>
          </cell>
          <cell r="L40">
            <v>-6.8215668751861802E-2</v>
          </cell>
          <cell r="M40">
            <v>5.7225063938618925E-2</v>
          </cell>
          <cell r="N40">
            <v>0.4919866948896281</v>
          </cell>
          <cell r="O40">
            <v>-0.24802124291477301</v>
          </cell>
          <cell r="P40">
            <v>-0.37697608431293073</v>
          </cell>
          <cell r="Q40">
            <v>1.8682498373454783</v>
          </cell>
          <cell r="R40">
            <v>-1</v>
          </cell>
          <cell r="S40" t="str">
            <v>N/A</v>
          </cell>
          <cell r="T40">
            <v>-1.0050930327312237</v>
          </cell>
          <cell r="U40">
            <v>-1.2568945345144575</v>
          </cell>
          <cell r="V40">
            <v>1.8682498373454783</v>
          </cell>
          <cell r="W40">
            <v>5.0000000000000044E-2</v>
          </cell>
          <cell r="X40">
            <v>5.0000000000000044E-2</v>
          </cell>
          <cell r="Y40">
            <v>-412.59456666666665</v>
          </cell>
          <cell r="Z40">
            <v>5.0000000000000044E-2</v>
          </cell>
          <cell r="AA40">
            <v>5.0000000000000044E-2</v>
          </cell>
          <cell r="AB40">
            <v>5.0000000000000044E-2</v>
          </cell>
          <cell r="AC40">
            <v>5.0000000000000044E-2</v>
          </cell>
          <cell r="AD40">
            <v>0.42510776684865981</v>
          </cell>
          <cell r="AE40">
            <v>5.0000000000000044E-2</v>
          </cell>
          <cell r="AF40">
            <v>5.0000000000000044E-2</v>
          </cell>
          <cell r="AG40">
            <v>5.0000000000000044E-2</v>
          </cell>
        </row>
        <row r="41">
          <cell r="C41" t="str">
            <v>% of Total Revenue</v>
          </cell>
          <cell r="D41"/>
          <cell r="E41"/>
          <cell r="F41">
            <v>1.9316437689514469E-2</v>
          </cell>
          <cell r="G41">
            <v>3.7370995581083886E-2</v>
          </cell>
          <cell r="H41">
            <v>4.8478471433449237E-2</v>
          </cell>
          <cell r="I41">
            <v>2.8361461778406989E-2</v>
          </cell>
          <cell r="J41">
            <v>3.3365137239534527E-2</v>
          </cell>
          <cell r="K41">
            <v>2.4683279045315178E-2</v>
          </cell>
          <cell r="L41">
            <v>2.2540407716198398E-2</v>
          </cell>
          <cell r="M41">
            <v>2.4285462503304645E-2</v>
          </cell>
          <cell r="N41">
            <v>3.0664628158755019E-2</v>
          </cell>
          <cell r="O41">
            <v>2.5751508262656292E-2</v>
          </cell>
          <cell r="P41">
            <v>2.0311075284447557E-2</v>
          </cell>
          <cell r="Q41">
            <v>4.2649833115658106E-2</v>
          </cell>
          <cell r="R41">
            <v>0</v>
          </cell>
          <cell r="S41">
            <v>2.5574715100324011E-2</v>
          </cell>
          <cell r="T41">
            <v>-8.9170005587987022E-4</v>
          </cell>
          <cell r="U41">
            <v>2.0311075284447557E-2</v>
          </cell>
          <cell r="V41">
            <v>4.2649833115658106E-2</v>
          </cell>
          <cell r="W41">
            <v>4.2649833115658106E-2</v>
          </cell>
          <cell r="X41">
            <v>4.2649833115658106E-2</v>
          </cell>
          <cell r="Y41">
            <v>3.8439846496347588E-2</v>
          </cell>
          <cell r="Z41">
            <v>4.2649833115658106E-2</v>
          </cell>
          <cell r="AA41">
            <v>4.2649833115658106E-2</v>
          </cell>
          <cell r="AB41">
            <v>4.2649833115658106E-2</v>
          </cell>
          <cell r="AC41">
            <v>4.2649833115658106E-2</v>
          </cell>
          <cell r="AD41">
            <v>4.2649833115658106E-2</v>
          </cell>
          <cell r="AE41">
            <v>4.2649833115658099E-2</v>
          </cell>
          <cell r="AF41">
            <v>4.2649833115658106E-2</v>
          </cell>
          <cell r="AG41">
            <v>4.2649833115658113E-2</v>
          </cell>
        </row>
        <row r="42">
          <cell r="C42" t="str">
            <v>Other Revenue</v>
          </cell>
          <cell r="D42"/>
          <cell r="E42"/>
          <cell r="F42">
            <v>22</v>
          </cell>
          <cell r="G42">
            <v>18</v>
          </cell>
          <cell r="H42">
            <v>12</v>
          </cell>
          <cell r="I42">
            <v>0</v>
          </cell>
          <cell r="J42">
            <v>52</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row>
        <row r="43">
          <cell r="C43" t="str">
            <v>% Growth</v>
          </cell>
          <cell r="D43"/>
          <cell r="E43"/>
          <cell r="F43"/>
          <cell r="G43">
            <v>-0.18181818181818177</v>
          </cell>
          <cell r="H43">
            <v>-0.33333333333333337</v>
          </cell>
          <cell r="I43">
            <v>-1</v>
          </cell>
          <cell r="J43"/>
          <cell r="K43" t="str">
            <v>N/A</v>
          </cell>
          <cell r="L43" t="str">
            <v>N/A</v>
          </cell>
          <cell r="M43" t="str">
            <v>N/A</v>
          </cell>
          <cell r="N43" t="str">
            <v>N/A</v>
          </cell>
          <cell r="O43">
            <v>-1</v>
          </cell>
          <cell r="P43" t="str">
            <v>N/A</v>
          </cell>
          <cell r="Q43" t="str">
            <v>N/A</v>
          </cell>
          <cell r="R43" t="str">
            <v>N/A</v>
          </cell>
          <cell r="S43" t="str">
            <v>N/A</v>
          </cell>
          <cell r="T43" t="str">
            <v>N/A</v>
          </cell>
          <cell r="U43" t="str">
            <v>N/A</v>
          </cell>
          <cell r="V43" t="str">
            <v>N/A</v>
          </cell>
          <cell r="W43" t="str">
            <v>--</v>
          </cell>
          <cell r="X43" t="str">
            <v>--</v>
          </cell>
          <cell r="Y43" t="str">
            <v>--</v>
          </cell>
          <cell r="Z43" t="str">
            <v>--</v>
          </cell>
          <cell r="AA43" t="str">
            <v>--</v>
          </cell>
          <cell r="AB43" t="str">
            <v>--</v>
          </cell>
          <cell r="AC43" t="str">
            <v>--</v>
          </cell>
          <cell r="AD43" t="str">
            <v>--</v>
          </cell>
          <cell r="AE43" t="str">
            <v>--</v>
          </cell>
          <cell r="AF43" t="str">
            <v>--</v>
          </cell>
          <cell r="AG43" t="str">
            <v>--</v>
          </cell>
        </row>
        <row r="44">
          <cell r="C44" t="str">
            <v>% of Total Revenue</v>
          </cell>
          <cell r="D44"/>
          <cell r="E44"/>
          <cell r="F44">
            <v>1.6471380975554973E-4</v>
          </cell>
          <cell r="G44">
            <v>1.2891489468369298E-4</v>
          </cell>
          <cell r="H44">
            <v>8.3619614374211716E-5</v>
          </cell>
          <cell r="I44">
            <v>0</v>
          </cell>
          <cell r="J44">
            <v>8.8596595846182673E-5</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C45" t="str">
            <v xml:space="preserve"> Revenue</v>
          </cell>
          <cell r="D45"/>
          <cell r="E45"/>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C46" t="str">
            <v>% Growth</v>
          </cell>
          <cell r="D46"/>
          <cell r="E46"/>
          <cell r="F46"/>
          <cell r="G46" t="str">
            <v>N/A</v>
          </cell>
          <cell r="H46" t="str">
            <v>N/A</v>
          </cell>
          <cell r="I46" t="str">
            <v>N/A</v>
          </cell>
          <cell r="J46"/>
          <cell r="K46" t="str">
            <v>N/A</v>
          </cell>
          <cell r="L46" t="str">
            <v>N/A</v>
          </cell>
          <cell r="M46" t="str">
            <v>N/A</v>
          </cell>
          <cell r="N46" t="str">
            <v>N/A</v>
          </cell>
          <cell r="O46" t="str">
            <v>N/A</v>
          </cell>
          <cell r="P46" t="str">
            <v>N/A</v>
          </cell>
          <cell r="Q46" t="str">
            <v>N/A</v>
          </cell>
          <cell r="R46" t="str">
            <v>N/A</v>
          </cell>
          <cell r="S46" t="str">
            <v>N/A</v>
          </cell>
          <cell r="T46" t="str">
            <v>N/A</v>
          </cell>
          <cell r="U46" t="str">
            <v>N/A</v>
          </cell>
          <cell r="V46" t="str">
            <v>N/A</v>
          </cell>
          <cell r="W46" t="str">
            <v>--</v>
          </cell>
          <cell r="X46" t="str">
            <v>--</v>
          </cell>
          <cell r="Y46" t="str">
            <v>--</v>
          </cell>
          <cell r="Z46" t="str">
            <v>--</v>
          </cell>
          <cell r="AA46" t="str">
            <v>--</v>
          </cell>
          <cell r="AB46" t="str">
            <v>--</v>
          </cell>
          <cell r="AC46" t="str">
            <v>--</v>
          </cell>
          <cell r="AD46" t="str">
            <v>--</v>
          </cell>
          <cell r="AE46" t="str">
            <v>--</v>
          </cell>
          <cell r="AF46" t="str">
            <v>--</v>
          </cell>
          <cell r="AG46" t="str">
            <v>--</v>
          </cell>
        </row>
        <row r="47">
          <cell r="C47" t="str">
            <v>% of Total Revenue</v>
          </cell>
          <cell r="D47"/>
          <cell r="E47"/>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sheetData>
      <sheetData sheetId="7">
        <row r="25">
          <cell r="C25" t="str">
            <v>Income Statement</v>
          </cell>
          <cell r="D25"/>
          <cell r="E25"/>
          <cell r="F25" t="str">
            <v>1Q18</v>
          </cell>
          <cell r="G25" t="str">
            <v>2Q18</v>
          </cell>
          <cell r="H25" t="str">
            <v>3Q18</v>
          </cell>
          <cell r="I25" t="str">
            <v>4Q18</v>
          </cell>
          <cell r="J25">
            <v>2018</v>
          </cell>
          <cell r="K25" t="str">
            <v>1Q19</v>
          </cell>
          <cell r="L25" t="str">
            <v>2Q19</v>
          </cell>
          <cell r="M25" t="str">
            <v>3Q19</v>
          </cell>
          <cell r="N25" t="str">
            <v>4Q19</v>
          </cell>
          <cell r="O25">
            <v>2019</v>
          </cell>
          <cell r="P25" t="str">
            <v>1Q20</v>
          </cell>
          <cell r="Q25" t="str">
            <v>2Q20</v>
          </cell>
          <cell r="R25" t="str">
            <v>3Q20</v>
          </cell>
          <cell r="S25" t="str">
            <v>4Q20</v>
          </cell>
          <cell r="T25">
            <v>2020</v>
          </cell>
          <cell r="U25" t="str">
            <v>1Q21</v>
          </cell>
          <cell r="V25" t="str">
            <v>2Q21</v>
          </cell>
          <cell r="W25" t="str">
            <v>3Q21e</v>
          </cell>
          <cell r="X25" t="str">
            <v>4Q21e</v>
          </cell>
          <cell r="Y25" t="str">
            <v>2021e</v>
          </cell>
          <cell r="Z25" t="str">
            <v>1Q22e</v>
          </cell>
          <cell r="AA25" t="str">
            <v>2Q22e</v>
          </cell>
          <cell r="AB25" t="str">
            <v>3Q22e</v>
          </cell>
          <cell r="AC25" t="str">
            <v>4Q22e</v>
          </cell>
          <cell r="AD25" t="str">
            <v>2022e</v>
          </cell>
          <cell r="AE25" t="str">
            <v>2023e</v>
          </cell>
          <cell r="AF25" t="str">
            <v>2024e</v>
          </cell>
          <cell r="AG25" t="str">
            <v>2025e</v>
          </cell>
          <cell r="AH25" t="str">
            <v>x</v>
          </cell>
        </row>
        <row r="26">
          <cell r="C26" t="str">
            <v>Days In Period</v>
          </cell>
          <cell r="D26"/>
          <cell r="E26"/>
          <cell r="F26">
            <v>91</v>
          </cell>
          <cell r="G26">
            <v>91</v>
          </cell>
          <cell r="H26">
            <v>92</v>
          </cell>
          <cell r="I26">
            <v>92</v>
          </cell>
          <cell r="J26">
            <v>366</v>
          </cell>
          <cell r="K26">
            <v>90</v>
          </cell>
          <cell r="L26">
            <v>91</v>
          </cell>
          <cell r="M26">
            <v>92</v>
          </cell>
          <cell r="N26">
            <v>92</v>
          </cell>
          <cell r="O26">
            <v>365</v>
          </cell>
          <cell r="P26">
            <v>90</v>
          </cell>
          <cell r="Q26">
            <v>91</v>
          </cell>
          <cell r="R26">
            <v>92</v>
          </cell>
          <cell r="S26">
            <v>92</v>
          </cell>
          <cell r="T26">
            <v>365</v>
          </cell>
          <cell r="U26">
            <v>90</v>
          </cell>
          <cell r="V26">
            <v>91</v>
          </cell>
          <cell r="W26">
            <v>92</v>
          </cell>
          <cell r="X26">
            <v>92</v>
          </cell>
          <cell r="Y26">
            <v>365</v>
          </cell>
          <cell r="Z26">
            <v>91</v>
          </cell>
          <cell r="AA26">
            <v>91</v>
          </cell>
          <cell r="AB26">
            <v>92</v>
          </cell>
          <cell r="AC26">
            <v>92</v>
          </cell>
          <cell r="AD26">
            <v>366</v>
          </cell>
          <cell r="AE26">
            <v>365</v>
          </cell>
          <cell r="AF26">
            <v>365</v>
          </cell>
          <cell r="AG26">
            <v>365</v>
          </cell>
          <cell r="AH26"/>
        </row>
        <row r="27">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row>
        <row r="28">
          <cell r="C28" t="str">
            <v>Revenue</v>
          </cell>
          <cell r="D28"/>
          <cell r="E28"/>
          <cell r="F28">
            <v>133565</v>
          </cell>
          <cell r="G28">
            <v>139627</v>
          </cell>
          <cell r="H28">
            <v>143507</v>
          </cell>
          <cell r="I28">
            <v>170231</v>
          </cell>
          <cell r="J28">
            <v>586930</v>
          </cell>
          <cell r="K28">
            <v>136003</v>
          </cell>
          <cell r="L28">
            <v>138773</v>
          </cell>
          <cell r="M28">
            <v>136172</v>
          </cell>
          <cell r="N28">
            <v>160902</v>
          </cell>
          <cell r="O28">
            <v>571850</v>
          </cell>
          <cell r="P28">
            <v>151346</v>
          </cell>
          <cell r="Q28">
            <v>206730</v>
          </cell>
          <cell r="R28">
            <v>193917</v>
          </cell>
          <cell r="S28">
            <v>-467884</v>
          </cell>
          <cell r="T28">
            <v>84109</v>
          </cell>
          <cell r="U28">
            <v>151346</v>
          </cell>
          <cell r="V28">
            <v>206730</v>
          </cell>
          <cell r="W28">
            <v>217066.5</v>
          </cell>
          <cell r="X28">
            <v>227919.82499999998</v>
          </cell>
          <cell r="Y28">
            <v>803062.32499999995</v>
          </cell>
          <cell r="Z28">
            <v>239315.81625000003</v>
          </cell>
          <cell r="AA28">
            <v>251281.60706250003</v>
          </cell>
          <cell r="AB28">
            <v>263845.68741562503</v>
          </cell>
          <cell r="AC28">
            <v>277037.9717864063</v>
          </cell>
          <cell r="AD28">
            <v>1031481.0825145314</v>
          </cell>
          <cell r="AE28">
            <v>1083055.1366402581</v>
          </cell>
          <cell r="AF28">
            <v>1137207.893472271</v>
          </cell>
          <cell r="AG28">
            <v>1194068.2881458844</v>
          </cell>
          <cell r="AH28"/>
        </row>
        <row r="29">
          <cell r="C29" t="str">
            <v>Cost of Goods Sold</v>
          </cell>
          <cell r="D29"/>
          <cell r="E29"/>
          <cell r="F29">
            <v>-19097</v>
          </cell>
          <cell r="G29">
            <v>-22325</v>
          </cell>
          <cell r="H29">
            <v>-19904</v>
          </cell>
          <cell r="I29">
            <v>-19464</v>
          </cell>
          <cell r="J29">
            <v>-80790</v>
          </cell>
          <cell r="K29">
            <v>-17264</v>
          </cell>
          <cell r="L29">
            <v>-18388</v>
          </cell>
          <cell r="M29">
            <v>-19987</v>
          </cell>
          <cell r="N29">
            <v>-20427</v>
          </cell>
          <cell r="O29">
            <v>-76066</v>
          </cell>
          <cell r="P29">
            <v>-18824</v>
          </cell>
          <cell r="Q29">
            <v>-19536</v>
          </cell>
          <cell r="R29">
            <v>-21040</v>
          </cell>
          <cell r="S29">
            <v>-22090</v>
          </cell>
          <cell r="T29">
            <v>-81490</v>
          </cell>
          <cell r="U29">
            <v>-18824</v>
          </cell>
          <cell r="V29">
            <v>-19536</v>
          </cell>
          <cell r="W29">
            <v>-188847.85500000001</v>
          </cell>
          <cell r="X29">
            <v>-198290.24774999998</v>
          </cell>
          <cell r="Y29">
            <v>-425498.10274999996</v>
          </cell>
          <cell r="Z29">
            <v>-208204.76013750004</v>
          </cell>
          <cell r="AA29">
            <v>-218614.99814437501</v>
          </cell>
          <cell r="AB29">
            <v>-229545.74805159378</v>
          </cell>
          <cell r="AC29">
            <v>-241023.03545417349</v>
          </cell>
          <cell r="AD29">
            <v>-897388.54178764229</v>
          </cell>
          <cell r="AE29">
            <v>-942257.9688770246</v>
          </cell>
          <cell r="AF29">
            <v>-989370.86732087575</v>
          </cell>
          <cell r="AG29">
            <v>-1038839.4106869195</v>
          </cell>
          <cell r="AH29"/>
        </row>
        <row r="30">
          <cell r="C30" t="str">
            <v>Gross Profit</v>
          </cell>
          <cell r="D30"/>
          <cell r="E30"/>
          <cell r="F30">
            <v>114468</v>
          </cell>
          <cell r="G30">
            <v>117302</v>
          </cell>
          <cell r="H30">
            <v>123603</v>
          </cell>
          <cell r="I30">
            <v>150767</v>
          </cell>
          <cell r="J30">
            <v>506140</v>
          </cell>
          <cell r="K30">
            <v>118739</v>
          </cell>
          <cell r="L30">
            <v>120385</v>
          </cell>
          <cell r="M30">
            <v>116185</v>
          </cell>
          <cell r="N30">
            <v>140475</v>
          </cell>
          <cell r="O30">
            <v>495784</v>
          </cell>
          <cell r="P30">
            <v>132522</v>
          </cell>
          <cell r="Q30">
            <v>187194</v>
          </cell>
          <cell r="R30">
            <v>172877</v>
          </cell>
          <cell r="S30">
            <v>-489974</v>
          </cell>
          <cell r="T30">
            <v>2619</v>
          </cell>
          <cell r="U30">
            <v>132522</v>
          </cell>
          <cell r="V30">
            <v>187194</v>
          </cell>
          <cell r="W30">
            <v>28218.64499999999</v>
          </cell>
          <cell r="X30">
            <v>29629.577250000002</v>
          </cell>
          <cell r="Y30">
            <v>377564.22224999999</v>
          </cell>
          <cell r="Z30">
            <v>31111.056112499995</v>
          </cell>
          <cell r="AA30">
            <v>32666.608918125014</v>
          </cell>
          <cell r="AB30">
            <v>34299.939364031248</v>
          </cell>
          <cell r="AC30">
            <v>36014.936332232814</v>
          </cell>
          <cell r="AD30">
            <v>134092.54072688907</v>
          </cell>
          <cell r="AE30">
            <v>140797.16776323353</v>
          </cell>
          <cell r="AF30">
            <v>147837.02615139529</v>
          </cell>
          <cell r="AG30">
            <v>155228.87745896494</v>
          </cell>
          <cell r="AH30"/>
        </row>
        <row r="31">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row>
        <row r="32">
          <cell r="C32" t="str">
            <v>Selling, General &amp; Administration (SG&amp;A)</v>
          </cell>
          <cell r="D32"/>
          <cell r="E32"/>
          <cell r="F32">
            <v>-888</v>
          </cell>
          <cell r="G32">
            <v>-806</v>
          </cell>
          <cell r="H32">
            <v>-923</v>
          </cell>
          <cell r="I32">
            <v>-999</v>
          </cell>
          <cell r="J32">
            <v>-3616</v>
          </cell>
          <cell r="K32">
            <v>-933</v>
          </cell>
          <cell r="L32">
            <v>-1040</v>
          </cell>
          <cell r="M32">
            <v>-915</v>
          </cell>
          <cell r="N32">
            <v>-1206</v>
          </cell>
          <cell r="O32">
            <v>-4094</v>
          </cell>
          <cell r="P32">
            <v>-997</v>
          </cell>
          <cell r="Q32">
            <v>-1194</v>
          </cell>
          <cell r="R32">
            <v>-1154</v>
          </cell>
          <cell r="S32">
            <v>-1222</v>
          </cell>
          <cell r="T32">
            <v>-4567</v>
          </cell>
          <cell r="U32">
            <v>-997</v>
          </cell>
          <cell r="V32">
            <v>-1194</v>
          </cell>
          <cell r="W32">
            <v>-9767.9925000000003</v>
          </cell>
          <cell r="X32">
            <v>-10256.392124999998</v>
          </cell>
          <cell r="Y32">
            <v>-22215.384624999999</v>
          </cell>
          <cell r="Z32">
            <v>-10769.211731250001</v>
          </cell>
          <cell r="AA32">
            <v>-11307.672317812501</v>
          </cell>
          <cell r="AB32">
            <v>-11873.055933703126</v>
          </cell>
          <cell r="AC32">
            <v>-12466.708730388284</v>
          </cell>
          <cell r="AD32">
            <v>-46416.648713153918</v>
          </cell>
          <cell r="AE32">
            <v>-48737.481148811617</v>
          </cell>
          <cell r="AF32">
            <v>-51174.355206252192</v>
          </cell>
          <cell r="AG32">
            <v>-53733.072966564796</v>
          </cell>
          <cell r="AH32"/>
        </row>
        <row r="33">
          <cell r="C33" t="str">
            <v>Research &amp; Development (R&amp;D)</v>
          </cell>
          <cell r="D33"/>
          <cell r="E33"/>
          <cell r="F33">
            <v>-917</v>
          </cell>
          <cell r="G33">
            <v>-2127</v>
          </cell>
          <cell r="H33">
            <v>-857</v>
          </cell>
          <cell r="I33">
            <v>-726</v>
          </cell>
          <cell r="J33">
            <v>-4627</v>
          </cell>
          <cell r="K33">
            <v>-838</v>
          </cell>
          <cell r="L33">
            <v>-813</v>
          </cell>
          <cell r="M33">
            <v>-767</v>
          </cell>
          <cell r="N33">
            <v>-761</v>
          </cell>
          <cell r="O33">
            <v>-3179</v>
          </cell>
          <cell r="P33">
            <v>-764</v>
          </cell>
          <cell r="Q33">
            <v>-827</v>
          </cell>
          <cell r="R33">
            <v>-826</v>
          </cell>
          <cell r="S33">
            <v>-852</v>
          </cell>
          <cell r="T33">
            <v>-3269</v>
          </cell>
          <cell r="U33">
            <v>-764</v>
          </cell>
          <cell r="V33">
            <v>-827</v>
          </cell>
          <cell r="W33">
            <v>-9767.9925000000003</v>
          </cell>
          <cell r="X33">
            <v>-10256.392124999998</v>
          </cell>
          <cell r="Y33">
            <v>-21615.384624999999</v>
          </cell>
          <cell r="Z33">
            <v>-10769.211731250001</v>
          </cell>
          <cell r="AA33">
            <v>-11307.672317812501</v>
          </cell>
          <cell r="AB33">
            <v>-11873.055933703126</v>
          </cell>
          <cell r="AC33">
            <v>-12466.708730388284</v>
          </cell>
          <cell r="AD33">
            <v>-46416.648713153918</v>
          </cell>
          <cell r="AE33">
            <v>-48737.481148811617</v>
          </cell>
          <cell r="AF33">
            <v>-51174.355206252192</v>
          </cell>
          <cell r="AG33">
            <v>-53733.072966564796</v>
          </cell>
          <cell r="AH33"/>
        </row>
        <row r="34">
          <cell r="C34" t="str">
            <v>Depreciation &amp; Amortization (incl. in SG&amp;A)</v>
          </cell>
          <cell r="D34"/>
          <cell r="E34"/>
          <cell r="F34">
            <v>-443</v>
          </cell>
          <cell r="G34">
            <v>-447</v>
          </cell>
          <cell r="H34">
            <v>-474</v>
          </cell>
          <cell r="I34">
            <v>-546</v>
          </cell>
          <cell r="J34">
            <v>-1910</v>
          </cell>
          <cell r="K34">
            <v>-471</v>
          </cell>
          <cell r="L34">
            <v>-494</v>
          </cell>
          <cell r="M34">
            <v>-522</v>
          </cell>
          <cell r="N34">
            <v>-582</v>
          </cell>
          <cell r="O34">
            <v>-2069</v>
          </cell>
          <cell r="P34">
            <v>-501</v>
          </cell>
          <cell r="Q34">
            <v>-507</v>
          </cell>
          <cell r="R34">
            <v>-523</v>
          </cell>
          <cell r="S34">
            <v>-583</v>
          </cell>
          <cell r="T34">
            <v>-2114</v>
          </cell>
          <cell r="U34">
            <v>-501</v>
          </cell>
          <cell r="V34">
            <v>-507</v>
          </cell>
          <cell r="W34">
            <v>-472.6875</v>
          </cell>
          <cell r="X34">
            <v>-617.76159375000009</v>
          </cell>
          <cell r="Y34">
            <v>-2098.44909375</v>
          </cell>
          <cell r="Z34">
            <v>-765.535402734375</v>
          </cell>
          <cell r="AA34">
            <v>-916.31468731933592</v>
          </cell>
          <cell r="AB34">
            <v>-1070.4140918417359</v>
          </cell>
          <cell r="AC34">
            <v>-1228.1578289593895</v>
          </cell>
          <cell r="AD34">
            <v>-3980.4220108548366</v>
          </cell>
          <cell r="AE34">
            <v>-5559.5215568528683</v>
          </cell>
          <cell r="AF34">
            <v>-7974.7587332457124</v>
          </cell>
          <cell r="AG34">
            <v>-10190.168603675667</v>
          </cell>
          <cell r="AH34"/>
        </row>
        <row r="35">
          <cell r="C35" t="str">
            <v>Other Operating Income (Expense)</v>
          </cell>
          <cell r="D35"/>
          <cell r="E35"/>
          <cell r="F35">
            <v>58</v>
          </cell>
          <cell r="G35">
            <v>84</v>
          </cell>
          <cell r="H35">
            <v>68</v>
          </cell>
          <cell r="I35">
            <v>86</v>
          </cell>
          <cell r="J35">
            <v>296</v>
          </cell>
          <cell r="K35">
            <v>83</v>
          </cell>
          <cell r="L35">
            <v>37</v>
          </cell>
          <cell r="M35">
            <v>49</v>
          </cell>
          <cell r="N35">
            <v>56</v>
          </cell>
          <cell r="O35">
            <v>225</v>
          </cell>
          <cell r="P35">
            <v>78</v>
          </cell>
          <cell r="Q35">
            <v>9</v>
          </cell>
          <cell r="R35">
            <v>101</v>
          </cell>
          <cell r="S35">
            <v>-2</v>
          </cell>
          <cell r="T35">
            <v>186</v>
          </cell>
          <cell r="U35">
            <v>78</v>
          </cell>
          <cell r="V35">
            <v>9</v>
          </cell>
          <cell r="W35">
            <v>1085.3325</v>
          </cell>
          <cell r="X35">
            <v>1139.599125</v>
          </cell>
          <cell r="Y35">
            <v>2311.9316250000002</v>
          </cell>
          <cell r="Z35">
            <v>1196.5790812500002</v>
          </cell>
          <cell r="AA35">
            <v>1256.4080353125003</v>
          </cell>
          <cell r="AB35">
            <v>1319.2284370781251</v>
          </cell>
          <cell r="AC35">
            <v>1385.1898589320315</v>
          </cell>
          <cell r="AD35">
            <v>5157.405412572657</v>
          </cell>
          <cell r="AE35">
            <v>5415.275683201291</v>
          </cell>
          <cell r="AF35">
            <v>5686.0394673613555</v>
          </cell>
          <cell r="AG35">
            <v>5970.3414407294222</v>
          </cell>
          <cell r="AH35"/>
        </row>
        <row r="36">
          <cell r="C36" t="str">
            <v>EBIT</v>
          </cell>
          <cell r="D36"/>
          <cell r="E36"/>
          <cell r="F36">
            <v>112721</v>
          </cell>
          <cell r="G36">
            <v>114453</v>
          </cell>
          <cell r="H36">
            <v>121891</v>
          </cell>
          <cell r="I36">
            <v>149128</v>
          </cell>
          <cell r="J36">
            <v>498193</v>
          </cell>
          <cell r="K36">
            <v>117051</v>
          </cell>
          <cell r="L36">
            <v>118569</v>
          </cell>
          <cell r="M36">
            <v>114552</v>
          </cell>
          <cell r="N36">
            <v>138564</v>
          </cell>
          <cell r="O36">
            <v>488736</v>
          </cell>
          <cell r="P36">
            <v>130839</v>
          </cell>
          <cell r="Q36">
            <v>185182</v>
          </cell>
          <cell r="R36">
            <v>170998</v>
          </cell>
          <cell r="S36">
            <v>-492050</v>
          </cell>
          <cell r="T36">
            <v>-5031</v>
          </cell>
          <cell r="U36">
            <v>130839</v>
          </cell>
          <cell r="V36">
            <v>185182</v>
          </cell>
          <cell r="W36">
            <v>9767.9924999999894</v>
          </cell>
          <cell r="X36">
            <v>10256.392125000006</v>
          </cell>
          <cell r="Y36">
            <v>336045.38462500001</v>
          </cell>
          <cell r="Z36">
            <v>10769.211731249994</v>
          </cell>
          <cell r="AA36">
            <v>11307.67231781251</v>
          </cell>
          <cell r="AB36">
            <v>11873.055933703119</v>
          </cell>
          <cell r="AC36">
            <v>12466.708730388276</v>
          </cell>
          <cell r="AD36">
            <v>46416.648713153903</v>
          </cell>
          <cell r="AE36">
            <v>48737.481148811596</v>
          </cell>
          <cell r="AF36">
            <v>51174.35520625225</v>
          </cell>
          <cell r="AG36">
            <v>53733.072966564767</v>
          </cell>
          <cell r="AH36"/>
        </row>
        <row r="37">
          <cell r="C37"/>
          <cell r="D37"/>
          <cell r="E37"/>
          <cell r="F37"/>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row>
        <row r="38">
          <cell r="C38" t="str">
            <v>Interest Income</v>
          </cell>
          <cell r="D38"/>
          <cell r="E38"/>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row>
        <row r="39">
          <cell r="C39" t="str">
            <v>Interest (Expense)</v>
          </cell>
          <cell r="D39"/>
          <cell r="E39"/>
          <cell r="F39">
            <v>-73</v>
          </cell>
          <cell r="G39">
            <v>-73</v>
          </cell>
          <cell r="H39">
            <v>-81</v>
          </cell>
          <cell r="I39">
            <v>-79</v>
          </cell>
          <cell r="J39">
            <v>-306</v>
          </cell>
          <cell r="K39">
            <v>-87</v>
          </cell>
          <cell r="L39">
            <v>-93</v>
          </cell>
          <cell r="M39">
            <v>-87</v>
          </cell>
          <cell r="N39">
            <v>-93</v>
          </cell>
          <cell r="O39">
            <v>-360</v>
          </cell>
          <cell r="P39">
            <v>-102</v>
          </cell>
          <cell r="Q39">
            <v>-109</v>
          </cell>
          <cell r="R39">
            <v>-106</v>
          </cell>
          <cell r="S39">
            <v>-158</v>
          </cell>
          <cell r="T39">
            <v>-475</v>
          </cell>
          <cell r="U39">
            <v>-102</v>
          </cell>
          <cell r="V39">
            <v>-109</v>
          </cell>
          <cell r="W39">
            <v>-121.18</v>
          </cell>
          <cell r="X39">
            <v>-121.18</v>
          </cell>
          <cell r="Y39">
            <v>-453.36</v>
          </cell>
          <cell r="Z39">
            <v>-633.78788889215093</v>
          </cell>
          <cell r="AA39">
            <v>-633.78788889215093</v>
          </cell>
          <cell r="AB39">
            <v>-121.18</v>
          </cell>
          <cell r="AC39">
            <v>-121.18</v>
          </cell>
          <cell r="AD39">
            <v>-1509.935777784302</v>
          </cell>
          <cell r="AE39">
            <v>-484.72</v>
          </cell>
          <cell r="AF39">
            <v>-484.72</v>
          </cell>
          <cell r="AG39">
            <v>-484.72</v>
          </cell>
          <cell r="AH39"/>
        </row>
        <row r="40">
          <cell r="C40" t="str">
            <v>Goodwill Impairment</v>
          </cell>
          <cell r="D40"/>
          <cell r="E40"/>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row>
        <row r="41">
          <cell r="C41" t="str">
            <v>Other Non-Operating Income (Expense)</v>
          </cell>
          <cell r="D41"/>
          <cell r="E41"/>
          <cell r="F41">
            <v>26</v>
          </cell>
          <cell r="G41">
            <v>13</v>
          </cell>
          <cell r="H41">
            <v>2</v>
          </cell>
          <cell r="I41">
            <v>-1</v>
          </cell>
          <cell r="J41">
            <v>40</v>
          </cell>
          <cell r="K41">
            <v>22</v>
          </cell>
          <cell r="L41">
            <v>27</v>
          </cell>
          <cell r="M41">
            <v>45</v>
          </cell>
          <cell r="N41">
            <v>35</v>
          </cell>
          <cell r="O41">
            <v>129</v>
          </cell>
          <cell r="P41">
            <v>66</v>
          </cell>
          <cell r="Q41">
            <v>-15</v>
          </cell>
          <cell r="R41">
            <v>12</v>
          </cell>
          <cell r="S41">
            <v>29</v>
          </cell>
          <cell r="T41">
            <v>92</v>
          </cell>
          <cell r="U41">
            <v>66</v>
          </cell>
          <cell r="V41">
            <v>-15</v>
          </cell>
          <cell r="W41">
            <v>0</v>
          </cell>
          <cell r="X41">
            <v>0</v>
          </cell>
          <cell r="Y41">
            <v>51</v>
          </cell>
          <cell r="Z41">
            <v>0</v>
          </cell>
          <cell r="AA41">
            <v>0</v>
          </cell>
          <cell r="AB41">
            <v>0</v>
          </cell>
          <cell r="AC41">
            <v>0</v>
          </cell>
          <cell r="AD41">
            <v>0</v>
          </cell>
          <cell r="AE41">
            <v>0</v>
          </cell>
          <cell r="AF41">
            <v>0</v>
          </cell>
          <cell r="AG41">
            <v>0</v>
          </cell>
          <cell r="AH41"/>
        </row>
        <row r="42">
          <cell r="C42" t="str">
            <v>Pre-Tax Income (Loss)</v>
          </cell>
          <cell r="D42"/>
          <cell r="E42"/>
          <cell r="F42">
            <v>112674</v>
          </cell>
          <cell r="G42">
            <v>114393</v>
          </cell>
          <cell r="H42">
            <v>121812</v>
          </cell>
          <cell r="I42">
            <v>149048</v>
          </cell>
          <cell r="J42">
            <v>497927</v>
          </cell>
          <cell r="K42">
            <v>116986</v>
          </cell>
          <cell r="L42">
            <v>118503</v>
          </cell>
          <cell r="M42">
            <v>114510</v>
          </cell>
          <cell r="N42">
            <v>138506</v>
          </cell>
          <cell r="O42">
            <v>488505</v>
          </cell>
          <cell r="P42">
            <v>130803</v>
          </cell>
          <cell r="Q42">
            <v>185058</v>
          </cell>
          <cell r="R42">
            <v>170904</v>
          </cell>
          <cell r="S42">
            <v>-492179</v>
          </cell>
          <cell r="T42">
            <v>-5414</v>
          </cell>
          <cell r="U42">
            <v>130803</v>
          </cell>
          <cell r="V42">
            <v>185058</v>
          </cell>
          <cell r="W42">
            <v>9646.8124999999891</v>
          </cell>
          <cell r="X42">
            <v>10135.212125000005</v>
          </cell>
          <cell r="Y42">
            <v>335643.02462500002</v>
          </cell>
          <cell r="Z42">
            <v>10135.423842357843</v>
          </cell>
          <cell r="AA42">
            <v>10673.884428920359</v>
          </cell>
          <cell r="AB42">
            <v>11751.875933703119</v>
          </cell>
          <cell r="AC42">
            <v>12345.528730388276</v>
          </cell>
          <cell r="AD42">
            <v>44906.712935369593</v>
          </cell>
          <cell r="AE42">
            <v>48252.761148811594</v>
          </cell>
          <cell r="AF42">
            <v>50689.635206252249</v>
          </cell>
          <cell r="AG42">
            <v>53248.352966564766</v>
          </cell>
          <cell r="AH42"/>
        </row>
        <row r="43">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row>
        <row r="44">
          <cell r="C44" t="str">
            <v>Income Tax Benefit (Expense)</v>
          </cell>
          <cell r="D44"/>
          <cell r="E44"/>
          <cell r="F44">
            <v>-522</v>
          </cell>
          <cell r="G44">
            <v>245</v>
          </cell>
          <cell r="H44">
            <v>76</v>
          </cell>
          <cell r="I44">
            <v>-472</v>
          </cell>
          <cell r="J44">
            <v>-673</v>
          </cell>
          <cell r="K44">
            <v>-508</v>
          </cell>
          <cell r="L44">
            <v>-708</v>
          </cell>
          <cell r="M44">
            <v>-794</v>
          </cell>
          <cell r="N44">
            <v>160</v>
          </cell>
          <cell r="O44">
            <v>-1850</v>
          </cell>
          <cell r="P44">
            <v>-362</v>
          </cell>
          <cell r="Q44">
            <v>-390</v>
          </cell>
          <cell r="R44">
            <v>230</v>
          </cell>
          <cell r="S44">
            <v>-622</v>
          </cell>
          <cell r="T44">
            <v>-1144</v>
          </cell>
          <cell r="U44">
            <v>-362</v>
          </cell>
          <cell r="V44">
            <v>-390</v>
          </cell>
          <cell r="W44">
            <v>-2025.8306249999976</v>
          </cell>
          <cell r="X44">
            <v>-2128.394546250001</v>
          </cell>
          <cell r="Y44">
            <v>-4906.2251712499983</v>
          </cell>
          <cell r="Z44">
            <v>-2128.439006895147</v>
          </cell>
          <cell r="AA44">
            <v>-2241.5157300732753</v>
          </cell>
          <cell r="AB44">
            <v>-2467.8939460776551</v>
          </cell>
          <cell r="AC44">
            <v>-2592.561033381538</v>
          </cell>
          <cell r="AD44">
            <v>-9430.4097164276154</v>
          </cell>
          <cell r="AE44">
            <v>-10133.079841250434</v>
          </cell>
          <cell r="AF44">
            <v>-10644.823393312972</v>
          </cell>
          <cell r="AG44">
            <v>-11182.1541229786</v>
          </cell>
          <cell r="AH44"/>
        </row>
        <row r="45">
          <cell r="C45" t="str">
            <v>Net Income (Loss)</v>
          </cell>
          <cell r="D45"/>
          <cell r="E45"/>
          <cell r="F45">
            <v>112152</v>
          </cell>
          <cell r="G45">
            <v>114638</v>
          </cell>
          <cell r="H45">
            <v>121888</v>
          </cell>
          <cell r="I45">
            <v>148576</v>
          </cell>
          <cell r="J45">
            <v>497254</v>
          </cell>
          <cell r="K45">
            <v>116478</v>
          </cell>
          <cell r="L45">
            <v>117795</v>
          </cell>
          <cell r="M45">
            <v>113716</v>
          </cell>
          <cell r="N45">
            <v>138666</v>
          </cell>
          <cell r="O45">
            <v>486655</v>
          </cell>
          <cell r="P45">
            <v>130441</v>
          </cell>
          <cell r="Q45">
            <v>184668</v>
          </cell>
          <cell r="R45">
            <v>171134</v>
          </cell>
          <cell r="S45">
            <v>-492801</v>
          </cell>
          <cell r="T45">
            <v>-6558</v>
          </cell>
          <cell r="U45">
            <v>130441</v>
          </cell>
          <cell r="V45">
            <v>184668</v>
          </cell>
          <cell r="W45">
            <v>7620.9818749999913</v>
          </cell>
          <cell r="X45">
            <v>8006.817578750004</v>
          </cell>
          <cell r="Y45">
            <v>330736.79945375002</v>
          </cell>
          <cell r="Z45">
            <v>8006.9848354626956</v>
          </cell>
          <cell r="AA45">
            <v>8432.3686988470836</v>
          </cell>
          <cell r="AB45">
            <v>9283.9819876254642</v>
          </cell>
          <cell r="AC45">
            <v>9752.9676970067376</v>
          </cell>
          <cell r="AD45">
            <v>35476.303218941983</v>
          </cell>
          <cell r="AE45">
            <v>38119.681307561157</v>
          </cell>
          <cell r="AF45">
            <v>40044.811812939275</v>
          </cell>
          <cell r="AG45">
            <v>42066.198843586164</v>
          </cell>
          <cell r="AH45"/>
        </row>
        <row r="46">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row>
        <row r="47">
          <cell r="C47" t="str">
            <v>Pre-Tax Adjustments</v>
          </cell>
          <cell r="D47"/>
          <cell r="E47"/>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row>
        <row r="48">
          <cell r="C48" t="str">
            <v>Post-Tax Adjustments</v>
          </cell>
          <cell r="D48"/>
          <cell r="E48"/>
          <cell r="F48">
            <v>-90</v>
          </cell>
          <cell r="G48">
            <v>43</v>
          </cell>
          <cell r="H48">
            <v>137</v>
          </cell>
          <cell r="I48">
            <v>-965</v>
          </cell>
          <cell r="J48">
            <v>-875</v>
          </cell>
          <cell r="K48">
            <v>208</v>
          </cell>
          <cell r="L48">
            <v>181</v>
          </cell>
          <cell r="M48">
            <v>198</v>
          </cell>
          <cell r="N48">
            <v>-340</v>
          </cell>
          <cell r="O48">
            <v>247</v>
          </cell>
          <cell r="P48">
            <v>211</v>
          </cell>
          <cell r="Q48">
            <v>23</v>
          </cell>
          <cell r="R48">
            <v>190</v>
          </cell>
          <cell r="S48">
            <v>866</v>
          </cell>
          <cell r="T48">
            <v>1290</v>
          </cell>
          <cell r="U48">
            <v>211</v>
          </cell>
          <cell r="V48">
            <v>23</v>
          </cell>
          <cell r="W48">
            <v>0</v>
          </cell>
          <cell r="X48">
            <v>0</v>
          </cell>
          <cell r="Y48">
            <v>234</v>
          </cell>
          <cell r="Z48">
            <v>0</v>
          </cell>
          <cell r="AA48">
            <v>0</v>
          </cell>
          <cell r="AB48">
            <v>0</v>
          </cell>
          <cell r="AC48">
            <v>0</v>
          </cell>
          <cell r="AD48">
            <v>0</v>
          </cell>
          <cell r="AE48">
            <v>0</v>
          </cell>
          <cell r="AF48">
            <v>0</v>
          </cell>
          <cell r="AG48">
            <v>0</v>
          </cell>
          <cell r="AH48"/>
        </row>
        <row r="49">
          <cell r="C49" t="str">
            <v>Discontinued Operations</v>
          </cell>
          <cell r="D49"/>
          <cell r="E49"/>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row>
        <row r="50">
          <cell r="C50" t="str">
            <v>Income (Loss) due to Non-Controlling Interest</v>
          </cell>
          <cell r="D50"/>
          <cell r="E50"/>
          <cell r="F50">
            <v>1</v>
          </cell>
          <cell r="G50">
            <v>-1</v>
          </cell>
          <cell r="H50">
            <v>-1</v>
          </cell>
          <cell r="I50">
            <v>0</v>
          </cell>
          <cell r="J50">
            <v>-1</v>
          </cell>
          <cell r="K50">
            <v>0</v>
          </cell>
          <cell r="L50">
            <v>-1</v>
          </cell>
          <cell r="M50">
            <v>0</v>
          </cell>
          <cell r="N50">
            <v>-1</v>
          </cell>
          <cell r="O50">
            <v>-2</v>
          </cell>
          <cell r="P50">
            <v>-1</v>
          </cell>
          <cell r="Q50">
            <v>-9</v>
          </cell>
          <cell r="R50">
            <v>-2</v>
          </cell>
          <cell r="S50">
            <v>-9</v>
          </cell>
          <cell r="T50">
            <v>-21</v>
          </cell>
          <cell r="U50">
            <v>-1</v>
          </cell>
          <cell r="V50">
            <v>-9</v>
          </cell>
          <cell r="W50">
            <v>0</v>
          </cell>
          <cell r="X50">
            <v>0</v>
          </cell>
          <cell r="Y50">
            <v>-10</v>
          </cell>
          <cell r="Z50">
            <v>0</v>
          </cell>
          <cell r="AA50">
            <v>0</v>
          </cell>
          <cell r="AB50">
            <v>0</v>
          </cell>
          <cell r="AC50">
            <v>0</v>
          </cell>
          <cell r="AD50">
            <v>0</v>
          </cell>
          <cell r="AE50">
            <v>0</v>
          </cell>
          <cell r="AF50">
            <v>0</v>
          </cell>
          <cell r="AG50">
            <v>0</v>
          </cell>
          <cell r="AH50"/>
        </row>
        <row r="51">
          <cell r="C51" t="str">
            <v>Adj. Net Income (Loss)</v>
          </cell>
          <cell r="D51"/>
          <cell r="E51"/>
          <cell r="F51">
            <v>112063</v>
          </cell>
          <cell r="G51">
            <v>114680</v>
          </cell>
          <cell r="H51">
            <v>122024</v>
          </cell>
          <cell r="I51">
            <v>147611</v>
          </cell>
          <cell r="J51">
            <v>496378</v>
          </cell>
          <cell r="K51">
            <v>116686</v>
          </cell>
          <cell r="L51">
            <v>117975</v>
          </cell>
          <cell r="M51">
            <v>113914</v>
          </cell>
          <cell r="N51">
            <v>138325</v>
          </cell>
          <cell r="O51">
            <v>486900</v>
          </cell>
          <cell r="P51">
            <v>130651</v>
          </cell>
          <cell r="Q51">
            <v>184682</v>
          </cell>
          <cell r="R51">
            <v>171322</v>
          </cell>
          <cell r="S51">
            <v>-491944</v>
          </cell>
          <cell r="T51">
            <v>-5289</v>
          </cell>
          <cell r="U51">
            <v>130651</v>
          </cell>
          <cell r="V51">
            <v>184682</v>
          </cell>
          <cell r="W51">
            <v>7620.9818749999913</v>
          </cell>
          <cell r="X51">
            <v>8006.817578750004</v>
          </cell>
          <cell r="Y51">
            <v>330960.79945375002</v>
          </cell>
          <cell r="Z51">
            <v>8006.9848354626956</v>
          </cell>
          <cell r="AA51">
            <v>8432.3686988470836</v>
          </cell>
          <cell r="AB51">
            <v>9283.9819876254642</v>
          </cell>
          <cell r="AC51">
            <v>9752.9676970067376</v>
          </cell>
          <cell r="AD51">
            <v>35476.303218941983</v>
          </cell>
          <cell r="AE51">
            <v>38119.681307561157</v>
          </cell>
          <cell r="AF51">
            <v>40044.811812939275</v>
          </cell>
          <cell r="AG51">
            <v>42066.198843586164</v>
          </cell>
          <cell r="AH51"/>
        </row>
        <row r="52">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row>
        <row r="53">
          <cell r="C53" t="str">
            <v>GAAP EPS (Basic)</v>
          </cell>
          <cell r="D53"/>
          <cell r="E53"/>
          <cell r="F53">
            <v>170.28849073792892</v>
          </cell>
          <cell r="G53">
            <v>180.44703289784354</v>
          </cell>
          <cell r="H53">
            <v>195.14569324367594</v>
          </cell>
          <cell r="I53">
            <v>239.5799386879215</v>
          </cell>
          <cell r="J53">
            <v>782.46105428796227</v>
          </cell>
          <cell r="K53">
            <v>189.82724902216427</v>
          </cell>
          <cell r="L53">
            <v>195.73778664007978</v>
          </cell>
          <cell r="M53">
            <v>190.28781793842035</v>
          </cell>
          <cell r="N53">
            <v>232.43821839080459</v>
          </cell>
          <cell r="O53">
            <v>807.72614107883817</v>
          </cell>
          <cell r="P53">
            <v>221.04897475004236</v>
          </cell>
          <cell r="Q53">
            <v>317.35349716446126</v>
          </cell>
          <cell r="R53">
            <v>298.03901079763148</v>
          </cell>
          <cell r="S53">
            <v>-859.43669340774318</v>
          </cell>
          <cell r="T53">
            <v>-11.308846352819449</v>
          </cell>
          <cell r="U53">
            <v>221.04897475004236</v>
          </cell>
          <cell r="V53">
            <v>317.35349716446126</v>
          </cell>
          <cell r="W53">
            <v>13.352861825094545</v>
          </cell>
          <cell r="X53">
            <v>14.216738290953542</v>
          </cell>
          <cell r="Y53">
            <v>573.71419123912619</v>
          </cell>
          <cell r="Z53">
            <v>14.409984768115198</v>
          </cell>
          <cell r="AA53">
            <v>15.384329919744065</v>
          </cell>
          <cell r="AB53">
            <v>17.174337199991836</v>
          </cell>
          <cell r="AC53">
            <v>18.297160964333401</v>
          </cell>
          <cell r="AD53">
            <v>65.172635813005726</v>
          </cell>
          <cell r="AE53">
            <v>73.597313171196305</v>
          </cell>
          <cell r="AF53">
            <v>80.845402113050895</v>
          </cell>
          <cell r="AG53">
            <v>88.990910161607033</v>
          </cell>
          <cell r="AH53"/>
        </row>
        <row r="54">
          <cell r="C54" t="str">
            <v>GAAP EPS (Diluted)</v>
          </cell>
          <cell r="D54"/>
          <cell r="E54"/>
          <cell r="F54">
            <v>168.70036101083033</v>
          </cell>
          <cell r="G54">
            <v>180.44703289784354</v>
          </cell>
          <cell r="H54">
            <v>192.92181069958849</v>
          </cell>
          <cell r="I54">
            <v>235.93613733905576</v>
          </cell>
          <cell r="J54">
            <v>773.57498444306168</v>
          </cell>
          <cell r="K54">
            <v>187.74661508704062</v>
          </cell>
          <cell r="L54">
            <v>193.45541139760223</v>
          </cell>
          <cell r="M54">
            <v>187.77410832232496</v>
          </cell>
          <cell r="N54">
            <v>229.33904214559388</v>
          </cell>
          <cell r="O54">
            <v>797.79508196721315</v>
          </cell>
          <cell r="P54">
            <v>218.67728415758592</v>
          </cell>
          <cell r="Q54">
            <v>314.0612244897959</v>
          </cell>
          <cell r="R54">
            <v>294.95691140985866</v>
          </cell>
          <cell r="S54">
            <v>-850.53676216775966</v>
          </cell>
          <cell r="T54">
            <v>-11.187308085977481</v>
          </cell>
          <cell r="U54">
            <v>218.67728415758592</v>
          </cell>
          <cell r="V54">
            <v>314.0612244897959</v>
          </cell>
          <cell r="W54">
            <v>13.21165667377309</v>
          </cell>
          <cell r="X54">
            <v>14.064406246019404</v>
          </cell>
          <cell r="Y54">
            <v>567.63398342375422</v>
          </cell>
          <cell r="Z54">
            <v>14.25350933751735</v>
          </cell>
          <cell r="AA54">
            <v>15.215001123439173</v>
          </cell>
          <cell r="AB54">
            <v>16.982698929894166</v>
          </cell>
          <cell r="AC54">
            <v>18.090137945854654</v>
          </cell>
          <cell r="AD54">
            <v>64.45039447424432</v>
          </cell>
          <cell r="AE54">
            <v>72.740631255337334</v>
          </cell>
          <cell r="AF54">
            <v>79.861892742082716</v>
          </cell>
          <cell r="AG54">
            <v>87.857154815142081</v>
          </cell>
          <cell r="AH54"/>
        </row>
        <row r="55">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row>
        <row r="56">
          <cell r="C56" t="str">
            <v>Adj. EPS (Basic)</v>
          </cell>
          <cell r="D56"/>
          <cell r="E56"/>
          <cell r="F56">
            <v>170.15335560279379</v>
          </cell>
          <cell r="G56">
            <v>180.51314339682042</v>
          </cell>
          <cell r="H56">
            <v>195.363432596862</v>
          </cell>
          <cell r="I56">
            <v>238.02386879215203</v>
          </cell>
          <cell r="J56">
            <v>781.08261211644378</v>
          </cell>
          <cell r="K56">
            <v>190.16623207301171</v>
          </cell>
          <cell r="L56">
            <v>196.03688933200399</v>
          </cell>
          <cell r="M56">
            <v>190.61914323962517</v>
          </cell>
          <cell r="N56">
            <v>231.86661877394636</v>
          </cell>
          <cell r="O56">
            <v>808.13278008298755</v>
          </cell>
          <cell r="P56">
            <v>221.40484663616334</v>
          </cell>
          <cell r="Q56">
            <v>317.37755628114797</v>
          </cell>
          <cell r="R56">
            <v>298.36642284918145</v>
          </cell>
          <cell r="S56">
            <v>-857.94209975584226</v>
          </cell>
          <cell r="T56">
            <v>-9.1205380237972058</v>
          </cell>
          <cell r="U56">
            <v>221.40484663616334</v>
          </cell>
          <cell r="V56">
            <v>317.37755628114797</v>
          </cell>
          <cell r="W56">
            <v>13.352861825094545</v>
          </cell>
          <cell r="X56">
            <v>14.216738290953542</v>
          </cell>
          <cell r="Y56">
            <v>574.10275392416702</v>
          </cell>
          <cell r="Z56">
            <v>14.409984768115198</v>
          </cell>
          <cell r="AA56">
            <v>15.384329919744065</v>
          </cell>
          <cell r="AB56">
            <v>17.174337199991836</v>
          </cell>
          <cell r="AC56">
            <v>18.297160964333401</v>
          </cell>
          <cell r="AD56">
            <v>65.172635813005726</v>
          </cell>
          <cell r="AE56">
            <v>73.597313171196305</v>
          </cell>
          <cell r="AF56">
            <v>80.845402113050895</v>
          </cell>
          <cell r="AG56">
            <v>88.990910161607033</v>
          </cell>
          <cell r="AH56"/>
        </row>
        <row r="57">
          <cell r="C57" t="str">
            <v>Adj. EPS (Diluted)</v>
          </cell>
          <cell r="D57"/>
          <cell r="E57"/>
          <cell r="F57">
            <v>168.5664861612515</v>
          </cell>
          <cell r="G57">
            <v>180.51314339682042</v>
          </cell>
          <cell r="H57">
            <v>193.13706869262427</v>
          </cell>
          <cell r="I57">
            <v>234.40373390557937</v>
          </cell>
          <cell r="J57">
            <v>772.21219663970135</v>
          </cell>
          <cell r="K57">
            <v>188.08188265635076</v>
          </cell>
          <cell r="L57">
            <v>193.75102644112334</v>
          </cell>
          <cell r="M57">
            <v>188.10105680317039</v>
          </cell>
          <cell r="N57">
            <v>228.7750638569604</v>
          </cell>
          <cell r="O57">
            <v>798.19672131147536</v>
          </cell>
          <cell r="P57">
            <v>219.02933780385584</v>
          </cell>
          <cell r="Q57">
            <v>314.08503401360542</v>
          </cell>
          <cell r="R57">
            <v>295.28093760772146</v>
          </cell>
          <cell r="S57">
            <v>-849.05764584052451</v>
          </cell>
          <cell r="T57">
            <v>-9.0225179119754344</v>
          </cell>
          <cell r="U57">
            <v>219.02933780385584</v>
          </cell>
          <cell r="V57">
            <v>314.08503401360542</v>
          </cell>
          <cell r="W57">
            <v>13.21165667377309</v>
          </cell>
          <cell r="X57">
            <v>14.064406246019404</v>
          </cell>
          <cell r="Y57">
            <v>568.01842813174233</v>
          </cell>
          <cell r="Z57">
            <v>14.25350933751735</v>
          </cell>
          <cell r="AA57">
            <v>15.215001123439173</v>
          </cell>
          <cell r="AB57">
            <v>16.982698929894166</v>
          </cell>
          <cell r="AC57">
            <v>18.090137945854654</v>
          </cell>
          <cell r="AD57">
            <v>64.45039447424432</v>
          </cell>
          <cell r="AE57">
            <v>72.740631255337334</v>
          </cell>
          <cell r="AF57">
            <v>79.861892742082716</v>
          </cell>
          <cell r="AG57">
            <v>87.857154815142081</v>
          </cell>
          <cell r="AH57"/>
        </row>
        <row r="58">
          <cell r="C58"/>
          <cell r="D58"/>
          <cell r="E58"/>
          <cell r="F58"/>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row>
        <row r="59">
          <cell r="C59" t="str">
            <v>EBIT</v>
          </cell>
          <cell r="D59"/>
          <cell r="E59"/>
          <cell r="F59">
            <v>112632</v>
          </cell>
          <cell r="G59">
            <v>114495</v>
          </cell>
          <cell r="H59">
            <v>122027</v>
          </cell>
          <cell r="I59">
            <v>148163</v>
          </cell>
          <cell r="J59">
            <v>497317</v>
          </cell>
          <cell r="K59">
            <v>117259</v>
          </cell>
          <cell r="L59">
            <v>118749</v>
          </cell>
          <cell r="M59">
            <v>114750</v>
          </cell>
          <cell r="N59">
            <v>138223</v>
          </cell>
          <cell r="O59">
            <v>488981</v>
          </cell>
          <cell r="P59">
            <v>131049</v>
          </cell>
          <cell r="Q59">
            <v>185196</v>
          </cell>
          <cell r="R59">
            <v>171186</v>
          </cell>
          <cell r="S59">
            <v>-491193</v>
          </cell>
          <cell r="T59">
            <v>-3762</v>
          </cell>
          <cell r="U59">
            <v>131049</v>
          </cell>
          <cell r="V59">
            <v>185196</v>
          </cell>
          <cell r="W59">
            <v>9767.9924999999894</v>
          </cell>
          <cell r="X59">
            <v>10256.392125000006</v>
          </cell>
          <cell r="Y59">
            <v>336269.38462500001</v>
          </cell>
          <cell r="Z59">
            <v>10769.211731249994</v>
          </cell>
          <cell r="AA59">
            <v>11307.67231781251</v>
          </cell>
          <cell r="AB59">
            <v>11873.055933703119</v>
          </cell>
          <cell r="AC59">
            <v>12466.708730388276</v>
          </cell>
          <cell r="AD59">
            <v>46416.648713153903</v>
          </cell>
          <cell r="AE59">
            <v>48737.481148811596</v>
          </cell>
          <cell r="AF59">
            <v>51174.35520625225</v>
          </cell>
          <cell r="AG59">
            <v>53733.072966564767</v>
          </cell>
          <cell r="AH59"/>
        </row>
        <row r="60">
          <cell r="C60" t="str">
            <v>Depreciation &amp; Amortization</v>
          </cell>
          <cell r="D60"/>
          <cell r="E60"/>
          <cell r="F60">
            <v>443</v>
          </cell>
          <cell r="G60">
            <v>447</v>
          </cell>
          <cell r="H60">
            <v>474</v>
          </cell>
          <cell r="I60">
            <v>546</v>
          </cell>
          <cell r="J60">
            <v>1910</v>
          </cell>
          <cell r="K60">
            <v>471</v>
          </cell>
          <cell r="L60">
            <v>494</v>
          </cell>
          <cell r="M60">
            <v>522</v>
          </cell>
          <cell r="N60">
            <v>582</v>
          </cell>
          <cell r="O60">
            <v>2069</v>
          </cell>
          <cell r="P60">
            <v>501</v>
          </cell>
          <cell r="Q60">
            <v>507</v>
          </cell>
          <cell r="R60">
            <v>523</v>
          </cell>
          <cell r="S60">
            <v>583</v>
          </cell>
          <cell r="T60">
            <v>2114</v>
          </cell>
          <cell r="U60">
            <v>501</v>
          </cell>
          <cell r="V60">
            <v>507</v>
          </cell>
          <cell r="W60">
            <v>472.6875</v>
          </cell>
          <cell r="X60">
            <v>617.76159375000009</v>
          </cell>
          <cell r="Y60">
            <v>2098.44909375</v>
          </cell>
          <cell r="Z60">
            <v>765.535402734375</v>
          </cell>
          <cell r="AA60">
            <v>916.31468731933592</v>
          </cell>
          <cell r="AB60">
            <v>1070.4140918417359</v>
          </cell>
          <cell r="AC60">
            <v>1228.1578289593895</v>
          </cell>
          <cell r="AD60">
            <v>3980.4220108548366</v>
          </cell>
          <cell r="AE60">
            <v>5559.5215568528683</v>
          </cell>
          <cell r="AF60">
            <v>7974.7587332457124</v>
          </cell>
          <cell r="AG60">
            <v>10190.168603675667</v>
          </cell>
          <cell r="AH60"/>
        </row>
        <row r="61">
          <cell r="C61" t="str">
            <v>EBITDA</v>
          </cell>
          <cell r="D61"/>
          <cell r="E61"/>
          <cell r="F61">
            <v>113075</v>
          </cell>
          <cell r="G61">
            <v>114942</v>
          </cell>
          <cell r="H61">
            <v>122501</v>
          </cell>
          <cell r="I61">
            <v>148709</v>
          </cell>
          <cell r="J61">
            <v>499227</v>
          </cell>
          <cell r="K61">
            <v>117730</v>
          </cell>
          <cell r="L61">
            <v>119243</v>
          </cell>
          <cell r="M61">
            <v>115272</v>
          </cell>
          <cell r="N61">
            <v>138805</v>
          </cell>
          <cell r="O61">
            <v>491050</v>
          </cell>
          <cell r="P61">
            <v>131550</v>
          </cell>
          <cell r="Q61">
            <v>185703</v>
          </cell>
          <cell r="R61">
            <v>171709</v>
          </cell>
          <cell r="S61">
            <v>-490610</v>
          </cell>
          <cell r="T61">
            <v>-1648</v>
          </cell>
          <cell r="U61">
            <v>131550</v>
          </cell>
          <cell r="V61">
            <v>185703</v>
          </cell>
          <cell r="W61">
            <v>10240.679999999989</v>
          </cell>
          <cell r="X61">
            <v>10874.153718750005</v>
          </cell>
          <cell r="Y61">
            <v>338367.83371874999</v>
          </cell>
          <cell r="Z61">
            <v>11534.747133984369</v>
          </cell>
          <cell r="AA61">
            <v>12223.987005131847</v>
          </cell>
          <cell r="AB61">
            <v>12943.470025544855</v>
          </cell>
          <cell r="AC61">
            <v>13694.866559347665</v>
          </cell>
          <cell r="AD61">
            <v>50397.070724008736</v>
          </cell>
          <cell r="AE61">
            <v>54297.002705664461</v>
          </cell>
          <cell r="AF61">
            <v>59149.113939497962</v>
          </cell>
          <cell r="AG61">
            <v>63923.241570240432</v>
          </cell>
          <cell r="AH61"/>
        </row>
        <row r="62">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row>
        <row r="63">
          <cell r="C63" t="str">
            <v>Income Statement Analysis</v>
          </cell>
          <cell r="D63"/>
          <cell r="E63"/>
          <cell r="F63" t="str">
            <v>1Q18</v>
          </cell>
          <cell r="G63" t="str">
            <v>2Q18</v>
          </cell>
          <cell r="H63" t="str">
            <v>3Q18</v>
          </cell>
          <cell r="I63" t="str">
            <v>4Q18</v>
          </cell>
          <cell r="J63">
            <v>2018</v>
          </cell>
          <cell r="K63" t="str">
            <v>1Q19</v>
          </cell>
          <cell r="L63" t="str">
            <v>2Q19</v>
          </cell>
          <cell r="M63" t="str">
            <v>3Q19</v>
          </cell>
          <cell r="N63" t="str">
            <v>4Q19</v>
          </cell>
          <cell r="O63">
            <v>2019</v>
          </cell>
          <cell r="P63" t="str">
            <v>1Q20</v>
          </cell>
          <cell r="Q63" t="str">
            <v>2Q20</v>
          </cell>
          <cell r="R63" t="str">
            <v>3Q20</v>
          </cell>
          <cell r="S63" t="str">
            <v>4Q20</v>
          </cell>
          <cell r="T63">
            <v>2020</v>
          </cell>
          <cell r="U63" t="str">
            <v>1Q21</v>
          </cell>
          <cell r="V63" t="str">
            <v>2Q21</v>
          </cell>
          <cell r="W63" t="str">
            <v>3Q21e</v>
          </cell>
          <cell r="X63" t="str">
            <v>4Q21e</v>
          </cell>
          <cell r="Y63" t="str">
            <v>2021e</v>
          </cell>
          <cell r="Z63" t="str">
            <v>1Q22e</v>
          </cell>
          <cell r="AA63" t="str">
            <v>2Q22e</v>
          </cell>
          <cell r="AB63" t="str">
            <v>3Q22e</v>
          </cell>
          <cell r="AC63" t="str">
            <v>4Q22e</v>
          </cell>
          <cell r="AD63" t="str">
            <v>2022e</v>
          </cell>
          <cell r="AE63" t="str">
            <v>2023e</v>
          </cell>
          <cell r="AF63" t="str">
            <v>2024e</v>
          </cell>
          <cell r="AG63" t="str">
            <v>2025e</v>
          </cell>
          <cell r="AH63" t="str">
            <v>x</v>
          </cell>
        </row>
        <row r="64">
          <cell r="C64" t="str">
            <v>Drivers</v>
          </cell>
          <cell r="D64"/>
          <cell r="E64"/>
          <cell r="F64"/>
          <cell r="G64"/>
          <cell r="H64"/>
          <cell r="I64"/>
          <cell r="J64"/>
          <cell r="K64"/>
          <cell r="L64"/>
          <cell r="M64"/>
          <cell r="N64"/>
          <cell r="O64"/>
          <cell r="P64"/>
          <cell r="Q64"/>
          <cell r="R64"/>
          <cell r="S64"/>
          <cell r="T64"/>
          <cell r="U64"/>
          <cell r="V64"/>
          <cell r="W64"/>
          <cell r="X64"/>
          <cell r="Y64"/>
          <cell r="Z64"/>
          <cell r="AA64"/>
          <cell r="AB64"/>
          <cell r="AC64"/>
          <cell r="AD64"/>
          <cell r="AE64"/>
          <cell r="AF64"/>
          <cell r="AG64"/>
        </row>
        <row r="65">
          <cell r="D65"/>
          <cell r="E65"/>
          <cell r="F65"/>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row>
        <row r="66">
          <cell r="C66" t="str">
            <v>Gross Margin</v>
          </cell>
          <cell r="D66"/>
          <cell r="E66"/>
          <cell r="F66">
            <v>0.85702092614083025</v>
          </cell>
          <cell r="G66">
            <v>0.84010972089925307</v>
          </cell>
          <cell r="H66">
            <v>0.86130293295797422</v>
          </cell>
          <cell r="I66">
            <v>0.88566124853875028</v>
          </cell>
          <cell r="J66">
            <v>0.86235155810744046</v>
          </cell>
          <cell r="K66">
            <v>0.87306162364065498</v>
          </cell>
          <cell r="L66">
            <v>0.86749583852766754</v>
          </cell>
          <cell r="M66">
            <v>0.85322239520606291</v>
          </cell>
          <cell r="N66">
            <v>0.87304694783159931</v>
          </cell>
          <cell r="O66">
            <v>0.86698260033225494</v>
          </cell>
          <cell r="P66">
            <v>0.87562274523277783</v>
          </cell>
          <cell r="Q66">
            <v>0.90549992744159047</v>
          </cell>
          <cell r="R66">
            <v>0.89149997163734995</v>
          </cell>
          <cell r="S66">
            <v>1.0472125569585624</v>
          </cell>
          <cell r="T66">
            <v>3.1138165951325066E-2</v>
          </cell>
          <cell r="U66">
            <v>0.87562274523277783</v>
          </cell>
          <cell r="V66">
            <v>0.90549992744159047</v>
          </cell>
          <cell r="W66">
            <v>0.13</v>
          </cell>
          <cell r="X66">
            <v>0.13</v>
          </cell>
          <cell r="Y66">
            <v>0.4701555663814761</v>
          </cell>
          <cell r="Z66">
            <v>0.13</v>
          </cell>
          <cell r="AA66">
            <v>0.13</v>
          </cell>
          <cell r="AB66">
            <v>0.13</v>
          </cell>
          <cell r="AC66">
            <v>0.13</v>
          </cell>
          <cell r="AD66">
            <v>0.12999999999999998</v>
          </cell>
          <cell r="AE66">
            <v>0.13</v>
          </cell>
          <cell r="AF66">
            <v>0.13</v>
          </cell>
          <cell r="AG66">
            <v>0.13</v>
          </cell>
          <cell r="AH66"/>
        </row>
        <row r="67">
          <cell r="C67" t="str">
            <v>SG&amp;A as % of Revenue</v>
          </cell>
          <cell r="D67"/>
          <cell r="E67"/>
          <cell r="F67">
            <v>-6.6484483210421889E-3</v>
          </cell>
          <cell r="G67">
            <v>-5.7725225063920303E-3</v>
          </cell>
          <cell r="H67">
            <v>-6.4317420056164507E-3</v>
          </cell>
          <cell r="I67">
            <v>-5.8684963373298637E-3</v>
          </cell>
          <cell r="J67">
            <v>-6.1608709726883957E-3</v>
          </cell>
          <cell r="K67">
            <v>-6.8601427909678464E-3</v>
          </cell>
          <cell r="L67">
            <v>-7.4942532048741474E-3</v>
          </cell>
          <cell r="M67">
            <v>-6.7194430573098724E-3</v>
          </cell>
          <cell r="N67">
            <v>-7.4952455531938694E-3</v>
          </cell>
          <cell r="O67">
            <v>-7.1592200751945442E-3</v>
          </cell>
          <cell r="P67">
            <v>-6.5875543456715077E-3</v>
          </cell>
          <cell r="Q67">
            <v>-5.7756493977652009E-3</v>
          </cell>
          <cell r="R67">
            <v>-5.9509996544913546E-3</v>
          </cell>
          <cell r="S67">
            <v>2.6117584700481315E-3</v>
          </cell>
          <cell r="T67">
            <v>-5.4298588736044893E-2</v>
          </cell>
          <cell r="U67">
            <v>-6.5875543456715077E-3</v>
          </cell>
          <cell r="V67">
            <v>-5.7756493977652009E-3</v>
          </cell>
          <cell r="W67">
            <v>-4.4999999999999998E-2</v>
          </cell>
          <cell r="X67">
            <v>-4.4999999999999998E-2</v>
          </cell>
          <cell r="Y67">
            <v>-2.7663338116378451E-2</v>
          </cell>
          <cell r="Z67">
            <v>-4.4999999999999998E-2</v>
          </cell>
          <cell r="AA67">
            <v>-4.4999999999999998E-2</v>
          </cell>
          <cell r="AB67">
            <v>-4.4999999999999998E-2</v>
          </cell>
          <cell r="AC67">
            <v>-4.4999999999999998E-2</v>
          </cell>
          <cell r="AD67">
            <v>-4.5000000000000005E-2</v>
          </cell>
          <cell r="AE67">
            <v>-4.4999999999999998E-2</v>
          </cell>
          <cell r="AF67">
            <v>-4.4999999999999998E-2</v>
          </cell>
          <cell r="AG67">
            <v>-4.4999999999999998E-2</v>
          </cell>
          <cell r="AH67"/>
        </row>
        <row r="68">
          <cell r="C68" t="str">
            <v>R&amp;D as a % of Revenue</v>
          </cell>
          <cell r="D68"/>
          <cell r="E68"/>
          <cell r="F68">
            <v>-6.8655710702654141E-3</v>
          </cell>
          <cell r="G68">
            <v>-1.5233443388456388E-2</v>
          </cell>
          <cell r="H68">
            <v>-5.9718341265582861E-3</v>
          </cell>
          <cell r="I68">
            <v>-4.2647931340355164E-3</v>
          </cell>
          <cell r="J68">
            <v>-7.883393249620908E-3</v>
          </cell>
          <cell r="K68">
            <v>-6.1616287876002738E-3</v>
          </cell>
          <cell r="L68">
            <v>-5.8584883226564244E-3</v>
          </cell>
          <cell r="M68">
            <v>-5.6325823223570192E-3</v>
          </cell>
          <cell r="N68">
            <v>-4.7295869535493654E-3</v>
          </cell>
          <cell r="O68">
            <v>-5.559150126781499E-3</v>
          </cell>
          <cell r="P68">
            <v>-5.0480356269739539E-3</v>
          </cell>
          <cell r="Q68">
            <v>-4.0003869781841048E-3</v>
          </cell>
          <cell r="R68">
            <v>-4.2595543454158223E-3</v>
          </cell>
          <cell r="S68">
            <v>1.8209641706063897E-3</v>
          </cell>
          <cell r="T68">
            <v>-3.8866233102283938E-2</v>
          </cell>
          <cell r="U68">
            <v>-5.0480356269739539E-3</v>
          </cell>
          <cell r="V68">
            <v>-4.0003869781841048E-3</v>
          </cell>
          <cell r="W68">
            <v>-4.4999999999999998E-2</v>
          </cell>
          <cell r="X68">
            <v>-4.4999999999999998E-2</v>
          </cell>
          <cell r="Y68">
            <v>-2.6916198098323192E-2</v>
          </cell>
          <cell r="Z68">
            <v>-4.4999999999999998E-2</v>
          </cell>
          <cell r="AA68">
            <v>-4.4999999999999998E-2</v>
          </cell>
          <cell r="AB68">
            <v>-4.4999999999999998E-2</v>
          </cell>
          <cell r="AC68">
            <v>-4.4999999999999998E-2</v>
          </cell>
          <cell r="AD68">
            <v>-4.5000000000000005E-2</v>
          </cell>
          <cell r="AE68">
            <v>-4.4999999999999998E-2</v>
          </cell>
          <cell r="AF68">
            <v>-4.4999999999999998E-2</v>
          </cell>
          <cell r="AG68">
            <v>-4.4999999999999998E-2</v>
          </cell>
          <cell r="AH68"/>
        </row>
        <row r="69">
          <cell r="C69" t="str">
            <v>Other Operating Income as a % of Revenue</v>
          </cell>
          <cell r="D69"/>
          <cell r="E69"/>
          <cell r="F69">
            <v>4.342454984464493E-4</v>
          </cell>
          <cell r="G69">
            <v>6.016028418572339E-4</v>
          </cell>
          <cell r="H69">
            <v>4.7384448145386637E-4</v>
          </cell>
          <cell r="I69">
            <v>5.0519588089125952E-4</v>
          </cell>
          <cell r="J69">
            <v>5.0431908404750142E-4</v>
          </cell>
          <cell r="K69">
            <v>6.1028065557377413E-4</v>
          </cell>
          <cell r="L69">
            <v>2.6662246978879179E-4</v>
          </cell>
          <cell r="M69">
            <v>3.5983902711276915E-4</v>
          </cell>
          <cell r="N69">
            <v>3.4803793613503872E-4</v>
          </cell>
          <cell r="O69">
            <v>3.9345982338025707E-4</v>
          </cell>
          <cell r="P69">
            <v>5.1537536505755026E-4</v>
          </cell>
          <cell r="Q69">
            <v>4.3535045711797997E-5</v>
          </cell>
          <cell r="R69">
            <v>5.2084139090435595E-4</v>
          </cell>
          <cell r="S69">
            <v>4.2745637807661727E-6</v>
          </cell>
          <cell r="T69">
            <v>2.211416138582078E-3</v>
          </cell>
          <cell r="U69">
            <v>5.1537536505755026E-4</v>
          </cell>
          <cell r="V69">
            <v>4.3535045711797997E-5</v>
          </cell>
          <cell r="W69">
            <v>5.0000000000000001E-3</v>
          </cell>
          <cell r="X69">
            <v>5.0000000000000001E-3</v>
          </cell>
          <cell r="Y69">
            <v>2.8788943934083826E-3</v>
          </cell>
          <cell r="Z69">
            <v>5.0000000000000001E-3</v>
          </cell>
          <cell r="AA69">
            <v>5.0000000000000001E-3</v>
          </cell>
          <cell r="AB69">
            <v>5.0000000000000001E-3</v>
          </cell>
          <cell r="AC69">
            <v>5.0000000000000001E-3</v>
          </cell>
          <cell r="AD69">
            <v>5.0000000000000001E-3</v>
          </cell>
          <cell r="AE69">
            <v>5.0000000000000001E-3</v>
          </cell>
          <cell r="AF69">
            <v>5.0000000000000001E-3</v>
          </cell>
          <cell r="AG69">
            <v>5.0000000000000001E-3</v>
          </cell>
          <cell r="AH69"/>
        </row>
        <row r="70">
          <cell r="C70" t="str">
            <v>Other Non-Operating Income as a % of Revenue</v>
          </cell>
          <cell r="D70"/>
          <cell r="E70"/>
          <cell r="F70">
            <v>1.9466177516564969E-4</v>
          </cell>
          <cell r="G70">
            <v>9.3105201716000481E-5</v>
          </cell>
          <cell r="H70">
            <v>1.3936602395701951E-5</v>
          </cell>
          <cell r="I70">
            <v>-5.8743707080379014E-6</v>
          </cell>
          <cell r="J70">
            <v>6.8151227573986679E-5</v>
          </cell>
          <cell r="K70">
            <v>1.6176113762196421E-4</v>
          </cell>
          <cell r="L70">
            <v>1.9456234281884806E-4</v>
          </cell>
          <cell r="M70">
            <v>3.3046441265458388E-4</v>
          </cell>
          <cell r="N70">
            <v>2.175237100843992E-4</v>
          </cell>
          <cell r="O70">
            <v>2.2558363207134737E-4</v>
          </cell>
          <cell r="P70">
            <v>4.3608684735638869E-4</v>
          </cell>
          <cell r="Q70">
            <v>-7.255840951966333E-5</v>
          </cell>
          <cell r="R70">
            <v>6.1882145453982885E-5</v>
          </cell>
          <cell r="S70">
            <v>-6.1981174821109508E-5</v>
          </cell>
          <cell r="T70">
            <v>1.0938187352126406E-3</v>
          </cell>
          <cell r="U70">
            <v>4.3608684735638869E-4</v>
          </cell>
          <cell r="V70">
            <v>-7.255840951966333E-5</v>
          </cell>
          <cell r="W70">
            <v>0</v>
          </cell>
          <cell r="X70">
            <v>0</v>
          </cell>
          <cell r="Y70">
            <v>6.3506901534697208E-5</v>
          </cell>
          <cell r="Z70">
            <v>0</v>
          </cell>
          <cell r="AA70">
            <v>0</v>
          </cell>
          <cell r="AB70">
            <v>0</v>
          </cell>
          <cell r="AC70">
            <v>0</v>
          </cell>
          <cell r="AD70">
            <v>0</v>
          </cell>
          <cell r="AE70">
            <v>0</v>
          </cell>
          <cell r="AF70">
            <v>0</v>
          </cell>
          <cell r="AG70">
            <v>0</v>
          </cell>
          <cell r="AH70"/>
        </row>
        <row r="71">
          <cell r="C71" t="str">
            <v>Tax Rate</v>
          </cell>
          <cell r="D71"/>
          <cell r="E71"/>
          <cell r="F71">
            <v>4.6328345492305236E-3</v>
          </cell>
          <cell r="G71">
            <v>-2.1417394420987297E-3</v>
          </cell>
          <cell r="H71">
            <v>-6.2391225823399995E-4</v>
          </cell>
          <cell r="I71">
            <v>3.1667650689710695E-3</v>
          </cell>
          <cell r="J71">
            <v>1.3516037491439509E-3</v>
          </cell>
          <cell r="K71">
            <v>4.3423999452925988E-3</v>
          </cell>
          <cell r="L71">
            <v>5.9745322903217643E-3</v>
          </cell>
          <cell r="M71">
            <v>6.9338922364858965E-3</v>
          </cell>
          <cell r="N71">
            <v>-1.1551846129409557E-3</v>
          </cell>
          <cell r="O71">
            <v>3.7870646155105884E-3</v>
          </cell>
          <cell r="P71">
            <v>2.7675206226156893E-3</v>
          </cell>
          <cell r="Q71">
            <v>2.1074473948707972E-3</v>
          </cell>
          <cell r="R71">
            <v>-1.3457847680569208E-3</v>
          </cell>
          <cell r="S71">
            <v>-1.2637678568163209E-3</v>
          </cell>
          <cell r="T71">
            <v>-0.21130402659770964</v>
          </cell>
          <cell r="U71">
            <v>2.7675206226156893E-3</v>
          </cell>
          <cell r="V71">
            <v>2.1074473948707972E-3</v>
          </cell>
          <cell r="W71">
            <v>0.21</v>
          </cell>
          <cell r="X71">
            <v>0.21</v>
          </cell>
          <cell r="Y71">
            <v>1.4617390534874125E-2</v>
          </cell>
          <cell r="Z71">
            <v>0.21</v>
          </cell>
          <cell r="AA71">
            <v>0.21</v>
          </cell>
          <cell r="AB71">
            <v>0.21</v>
          </cell>
          <cell r="AC71">
            <v>0.21</v>
          </cell>
          <cell r="AD71">
            <v>0.21000000000000002</v>
          </cell>
          <cell r="AE71">
            <v>0.21</v>
          </cell>
          <cell r="AF71">
            <v>0.21</v>
          </cell>
          <cell r="AG71">
            <v>0.21</v>
          </cell>
          <cell r="AH71"/>
        </row>
        <row r="72">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row>
        <row r="73">
          <cell r="C73" t="str">
            <v>Cash Flow Statement</v>
          </cell>
          <cell r="D73"/>
          <cell r="E73"/>
          <cell r="F73" t="str">
            <v>1Q18</v>
          </cell>
          <cell r="G73" t="str">
            <v>2Q18</v>
          </cell>
          <cell r="H73" t="str">
            <v>3Q18</v>
          </cell>
          <cell r="I73" t="str">
            <v>4Q18</v>
          </cell>
          <cell r="J73">
            <v>2018</v>
          </cell>
          <cell r="K73" t="str">
            <v>1Q19</v>
          </cell>
          <cell r="L73" t="str">
            <v>2Q19</v>
          </cell>
          <cell r="M73" t="str">
            <v>3Q19</v>
          </cell>
          <cell r="N73" t="str">
            <v>4Q19</v>
          </cell>
          <cell r="O73">
            <v>2019</v>
          </cell>
          <cell r="P73" t="str">
            <v>1Q20</v>
          </cell>
          <cell r="Q73" t="str">
            <v>2Q20</v>
          </cell>
          <cell r="R73" t="str">
            <v>3Q20</v>
          </cell>
          <cell r="S73" t="str">
            <v>4Q20</v>
          </cell>
          <cell r="T73">
            <v>2020</v>
          </cell>
          <cell r="U73" t="str">
            <v>1Q21</v>
          </cell>
          <cell r="V73" t="str">
            <v>2Q21</v>
          </cell>
          <cell r="W73" t="str">
            <v>3Q21e</v>
          </cell>
          <cell r="X73" t="str">
            <v>4Q21e</v>
          </cell>
          <cell r="Y73" t="str">
            <v>2021e</v>
          </cell>
          <cell r="Z73" t="str">
            <v>1Q22e</v>
          </cell>
          <cell r="AA73" t="str">
            <v>2Q22e</v>
          </cell>
          <cell r="AB73" t="str">
            <v>3Q22e</v>
          </cell>
          <cell r="AC73" t="str">
            <v>4Q22e</v>
          </cell>
          <cell r="AD73" t="str">
            <v>2022e</v>
          </cell>
          <cell r="AE73" t="str">
            <v>2023e</v>
          </cell>
          <cell r="AF73" t="str">
            <v>2024e</v>
          </cell>
          <cell r="AG73" t="str">
            <v>2025e</v>
          </cell>
          <cell r="AH73" t="str">
            <v>x</v>
          </cell>
        </row>
        <row r="74">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row>
        <row r="75">
          <cell r="C75" t="str">
            <v>Net Income</v>
          </cell>
          <cell r="D75"/>
          <cell r="E75"/>
          <cell r="F75"/>
          <cell r="G75"/>
          <cell r="H75"/>
          <cell r="I75"/>
          <cell r="J75"/>
          <cell r="K75"/>
          <cell r="L75"/>
          <cell r="M75"/>
          <cell r="N75"/>
          <cell r="O75"/>
          <cell r="P75"/>
          <cell r="Q75"/>
          <cell r="R75"/>
          <cell r="S75"/>
          <cell r="T75"/>
          <cell r="U75"/>
          <cell r="V75"/>
          <cell r="W75">
            <v>7620.9818749999913</v>
          </cell>
          <cell r="X75">
            <v>8006.817578750004</v>
          </cell>
          <cell r="Y75">
            <v>15627.799453749994</v>
          </cell>
          <cell r="Z75">
            <v>8006.9848354626956</v>
          </cell>
          <cell r="AA75">
            <v>8432.3686988470836</v>
          </cell>
          <cell r="AB75">
            <v>9283.9819876254642</v>
          </cell>
          <cell r="AC75">
            <v>9752.9676970067376</v>
          </cell>
          <cell r="AD75">
            <v>35476.303218941983</v>
          </cell>
          <cell r="AE75">
            <v>38119.681307561157</v>
          </cell>
          <cell r="AF75">
            <v>40044.811812939275</v>
          </cell>
          <cell r="AG75">
            <v>42066.198843586164</v>
          </cell>
          <cell r="AH75"/>
        </row>
        <row r="76">
          <cell r="C76" t="str">
            <v>Depreciation &amp; Amortization</v>
          </cell>
          <cell r="D76"/>
          <cell r="E76"/>
          <cell r="F76"/>
          <cell r="G76"/>
          <cell r="H76"/>
          <cell r="I76"/>
          <cell r="J76"/>
          <cell r="K76"/>
          <cell r="L76"/>
          <cell r="M76"/>
          <cell r="N76"/>
          <cell r="O76"/>
          <cell r="P76"/>
          <cell r="Q76"/>
          <cell r="R76"/>
          <cell r="S76"/>
          <cell r="T76"/>
          <cell r="U76"/>
          <cell r="V76"/>
          <cell r="W76">
            <v>472.6875</v>
          </cell>
          <cell r="X76">
            <v>617.76159375000009</v>
          </cell>
          <cell r="Y76">
            <v>1090.44909375</v>
          </cell>
          <cell r="Z76">
            <v>765.535402734375</v>
          </cell>
          <cell r="AA76">
            <v>916.31468731933592</v>
          </cell>
          <cell r="AB76">
            <v>1070.4140918417359</v>
          </cell>
          <cell r="AC76">
            <v>1228.1578289593895</v>
          </cell>
          <cell r="AD76">
            <v>3980.4220108548366</v>
          </cell>
          <cell r="AE76">
            <v>5559.5215568528683</v>
          </cell>
          <cell r="AF76">
            <v>7974.7587332457124</v>
          </cell>
          <cell r="AG76">
            <v>10190.168603675667</v>
          </cell>
          <cell r="AH76"/>
        </row>
        <row r="77">
          <cell r="C77" t="str">
            <v>Stock-Based Compensation</v>
          </cell>
          <cell r="D77"/>
          <cell r="E77"/>
          <cell r="F77"/>
          <cell r="G77"/>
          <cell r="H77"/>
          <cell r="I77"/>
          <cell r="J77"/>
          <cell r="K77"/>
          <cell r="L77"/>
          <cell r="M77"/>
          <cell r="N77"/>
          <cell r="O77"/>
          <cell r="P77"/>
          <cell r="Q77"/>
          <cell r="R77"/>
          <cell r="S77"/>
          <cell r="T77"/>
          <cell r="U77"/>
          <cell r="V77"/>
          <cell r="W77">
            <v>55.65</v>
          </cell>
          <cell r="X77">
            <v>58.43249999999999</v>
          </cell>
          <cell r="Y77">
            <v>114.08249999999998</v>
          </cell>
          <cell r="Z77">
            <v>61.354125000000003</v>
          </cell>
          <cell r="AA77">
            <v>64.421831250000011</v>
          </cell>
          <cell r="AB77">
            <v>67.642922812500004</v>
          </cell>
          <cell r="AC77">
            <v>71.025068953125015</v>
          </cell>
          <cell r="AD77">
            <v>264.44394801562504</v>
          </cell>
          <cell r="AE77">
            <v>277.66614541640632</v>
          </cell>
          <cell r="AF77">
            <v>291.54945268722662</v>
          </cell>
          <cell r="AG77">
            <v>306.12692532158792</v>
          </cell>
          <cell r="AH77"/>
        </row>
        <row r="78">
          <cell r="C78" t="str">
            <v>(Increase)/Decrease in Working Capital</v>
          </cell>
          <cell r="D78"/>
          <cell r="E78"/>
          <cell r="F78"/>
          <cell r="G78"/>
          <cell r="H78"/>
          <cell r="I78"/>
          <cell r="J78"/>
          <cell r="K78"/>
          <cell r="L78"/>
          <cell r="M78"/>
          <cell r="N78"/>
          <cell r="O78"/>
          <cell r="P78"/>
          <cell r="Q78"/>
          <cell r="R78"/>
          <cell r="S78"/>
          <cell r="T78"/>
          <cell r="U78"/>
          <cell r="V78"/>
          <cell r="W78">
            <v>7833.3231847824063</v>
          </cell>
          <cell r="X78">
            <v>283.36615923931822</v>
          </cell>
          <cell r="Y78">
            <v>8116.6893440217245</v>
          </cell>
          <cell r="Z78">
            <v>-89506.097189021879</v>
          </cell>
          <cell r="AA78">
            <v>83268.228865499957</v>
          </cell>
          <cell r="AB78">
            <v>7175.8457313731778</v>
          </cell>
          <cell r="AC78">
            <v>344.4333375939168</v>
          </cell>
          <cell r="AD78">
            <v>1282.4107454451732</v>
          </cell>
          <cell r="AE78">
            <v>-5682.6992431804538</v>
          </cell>
          <cell r="AF78">
            <v>77.520042313961312</v>
          </cell>
          <cell r="AG78">
            <v>81.396044430322945</v>
          </cell>
          <cell r="AH78"/>
        </row>
        <row r="79">
          <cell r="C79" t="str">
            <v>(Increase)/Decrease in LT Items</v>
          </cell>
          <cell r="D79"/>
          <cell r="E79"/>
          <cell r="F79"/>
          <cell r="G79"/>
          <cell r="H79"/>
          <cell r="I79"/>
          <cell r="J79"/>
          <cell r="K79"/>
          <cell r="L79"/>
          <cell r="M79"/>
          <cell r="N79"/>
          <cell r="O79"/>
          <cell r="P79"/>
          <cell r="Q79"/>
          <cell r="R79"/>
          <cell r="S79"/>
          <cell r="T79"/>
          <cell r="U79"/>
          <cell r="V79"/>
          <cell r="W79">
            <v>0</v>
          </cell>
          <cell r="X79">
            <v>0</v>
          </cell>
          <cell r="Y79">
            <v>0</v>
          </cell>
          <cell r="Z79">
            <v>0</v>
          </cell>
          <cell r="AA79">
            <v>0</v>
          </cell>
          <cell r="AB79">
            <v>0</v>
          </cell>
          <cell r="AC79">
            <v>0</v>
          </cell>
          <cell r="AD79">
            <v>0</v>
          </cell>
          <cell r="AE79">
            <v>0</v>
          </cell>
          <cell r="AF79">
            <v>0</v>
          </cell>
          <cell r="AG79">
            <v>0</v>
          </cell>
          <cell r="AH79"/>
        </row>
        <row r="80">
          <cell r="C80" t="str">
            <v>Net Cash From Operating Activities</v>
          </cell>
          <cell r="D80"/>
          <cell r="E80"/>
          <cell r="F80"/>
          <cell r="G80"/>
          <cell r="H80"/>
          <cell r="I80"/>
          <cell r="J80"/>
          <cell r="K80"/>
          <cell r="L80"/>
          <cell r="M80"/>
          <cell r="N80"/>
          <cell r="O80"/>
          <cell r="P80"/>
          <cell r="Q80"/>
          <cell r="R80"/>
          <cell r="S80"/>
          <cell r="T80"/>
          <cell r="U80"/>
          <cell r="V80"/>
          <cell r="W80">
            <v>15982.642559782398</v>
          </cell>
          <cell r="X80">
            <v>8966.3778317393226</v>
          </cell>
          <cell r="Y80">
            <v>24949.020391521721</v>
          </cell>
          <cell r="Z80">
            <v>-80672.222825824807</v>
          </cell>
          <cell r="AA80">
            <v>92681.334082916379</v>
          </cell>
          <cell r="AB80">
            <v>17597.884733652878</v>
          </cell>
          <cell r="AC80">
            <v>11396.583932513169</v>
          </cell>
          <cell r="AD80">
            <v>41003.579923257617</v>
          </cell>
          <cell r="AE80">
            <v>38274.169766649975</v>
          </cell>
          <cell r="AF80">
            <v>48388.640041186176</v>
          </cell>
          <cell r="AG80">
            <v>52643.890417013739</v>
          </cell>
          <cell r="AH80"/>
        </row>
        <row r="81">
          <cell r="C81"/>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row>
        <row r="82">
          <cell r="C82" t="str">
            <v>Capital Expenditures</v>
          </cell>
          <cell r="D82"/>
          <cell r="E82"/>
          <cell r="F82"/>
          <cell r="G82"/>
          <cell r="H82"/>
          <cell r="I82"/>
          <cell r="J82"/>
          <cell r="K82"/>
          <cell r="L82"/>
          <cell r="M82"/>
          <cell r="N82"/>
          <cell r="O82"/>
          <cell r="P82"/>
          <cell r="Q82"/>
          <cell r="R82"/>
          <cell r="S82"/>
          <cell r="T82"/>
          <cell r="U82"/>
          <cell r="V82"/>
          <cell r="W82">
            <v>-4341.33</v>
          </cell>
          <cell r="X82">
            <v>-4558.3964999999998</v>
          </cell>
          <cell r="Y82">
            <v>-8899.7265000000007</v>
          </cell>
          <cell r="Z82">
            <v>-4786.3163250000007</v>
          </cell>
          <cell r="AA82">
            <v>-5025.632141250001</v>
          </cell>
          <cell r="AB82">
            <v>-5276.9137483125005</v>
          </cell>
          <cell r="AC82">
            <v>-5540.7594357281259</v>
          </cell>
          <cell r="AD82">
            <v>-20629.621650290628</v>
          </cell>
          <cell r="AE82">
            <v>-21661.102732805164</v>
          </cell>
          <cell r="AF82">
            <v>-22744.157869445422</v>
          </cell>
          <cell r="AG82">
            <v>-23881.365762917689</v>
          </cell>
          <cell r="AH82"/>
        </row>
        <row r="83">
          <cell r="C83" t="str">
            <v>Purchases of Intangibles</v>
          </cell>
          <cell r="D83"/>
          <cell r="E83"/>
          <cell r="F83"/>
          <cell r="G83"/>
          <cell r="H83"/>
          <cell r="I83"/>
          <cell r="J83"/>
          <cell r="K83"/>
          <cell r="L83"/>
          <cell r="M83"/>
          <cell r="N83"/>
          <cell r="O83"/>
          <cell r="P83"/>
          <cell r="Q83"/>
          <cell r="R83"/>
          <cell r="S83"/>
          <cell r="T83"/>
          <cell r="U83"/>
          <cell r="V83"/>
          <cell r="W83">
            <v>0</v>
          </cell>
          <cell r="X83">
            <v>0</v>
          </cell>
          <cell r="Y83">
            <v>0</v>
          </cell>
          <cell r="Z83">
            <v>0</v>
          </cell>
          <cell r="AA83">
            <v>0</v>
          </cell>
          <cell r="AB83">
            <v>0</v>
          </cell>
          <cell r="AC83">
            <v>0</v>
          </cell>
          <cell r="AD83">
            <v>0</v>
          </cell>
          <cell r="AE83">
            <v>0</v>
          </cell>
          <cell r="AF83">
            <v>0</v>
          </cell>
          <cell r="AG83">
            <v>0</v>
          </cell>
          <cell r="AH83"/>
        </row>
        <row r="84">
          <cell r="C84" t="str">
            <v>Proceeds From/(Acquisitions of) Businesses</v>
          </cell>
          <cell r="D84"/>
          <cell r="E84"/>
          <cell r="F84"/>
          <cell r="G84"/>
          <cell r="H84"/>
          <cell r="I84"/>
          <cell r="J84"/>
          <cell r="K84"/>
          <cell r="L84"/>
          <cell r="M84"/>
          <cell r="N84"/>
          <cell r="O84"/>
          <cell r="P84"/>
          <cell r="Q84"/>
          <cell r="R84"/>
          <cell r="S84"/>
          <cell r="T84"/>
          <cell r="U84"/>
          <cell r="V84"/>
          <cell r="W84">
            <v>0</v>
          </cell>
          <cell r="X84">
            <v>0</v>
          </cell>
          <cell r="Y84">
            <v>0</v>
          </cell>
          <cell r="Z84">
            <v>0</v>
          </cell>
          <cell r="AA84">
            <v>0</v>
          </cell>
          <cell r="AB84">
            <v>0</v>
          </cell>
          <cell r="AC84">
            <v>0</v>
          </cell>
          <cell r="AD84">
            <v>0</v>
          </cell>
          <cell r="AE84">
            <v>0</v>
          </cell>
          <cell r="AF84">
            <v>0</v>
          </cell>
          <cell r="AG84">
            <v>0</v>
          </cell>
          <cell r="AH84"/>
        </row>
        <row r="85">
          <cell r="C85" t="str">
            <v>Net Cash From Investment Activities</v>
          </cell>
          <cell r="D85"/>
          <cell r="E85"/>
          <cell r="F85"/>
          <cell r="G85"/>
          <cell r="H85"/>
          <cell r="I85"/>
          <cell r="J85"/>
          <cell r="K85"/>
          <cell r="L85"/>
          <cell r="M85"/>
          <cell r="N85"/>
          <cell r="O85"/>
          <cell r="P85"/>
          <cell r="Q85"/>
          <cell r="R85"/>
          <cell r="S85"/>
          <cell r="T85"/>
          <cell r="U85"/>
          <cell r="V85"/>
          <cell r="W85">
            <v>-4341.33</v>
          </cell>
          <cell r="X85">
            <v>-4558.3964999999998</v>
          </cell>
          <cell r="Y85">
            <v>-8899.7265000000007</v>
          </cell>
          <cell r="Z85">
            <v>-4786.3163250000007</v>
          </cell>
          <cell r="AA85">
            <v>-5025.632141250001</v>
          </cell>
          <cell r="AB85">
            <v>-5276.9137483125005</v>
          </cell>
          <cell r="AC85">
            <v>-5540.7594357281259</v>
          </cell>
          <cell r="AD85">
            <v>-20629.621650290628</v>
          </cell>
          <cell r="AE85">
            <v>-21661.102732805164</v>
          </cell>
          <cell r="AF85">
            <v>-22744.157869445422</v>
          </cell>
          <cell r="AG85">
            <v>-23881.365762917689</v>
          </cell>
          <cell r="AH85"/>
        </row>
        <row r="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row>
        <row r="87">
          <cell r="C87" t="str">
            <v>Cash Flow Available for Financing Activities</v>
          </cell>
          <cell r="D87"/>
          <cell r="E87"/>
          <cell r="F87"/>
          <cell r="G87"/>
          <cell r="H87"/>
          <cell r="I87"/>
          <cell r="J87"/>
          <cell r="K87"/>
          <cell r="L87"/>
          <cell r="M87"/>
          <cell r="N87"/>
          <cell r="O87"/>
          <cell r="P87"/>
          <cell r="Q87"/>
          <cell r="R87"/>
          <cell r="S87"/>
          <cell r="T87"/>
          <cell r="U87"/>
          <cell r="V87"/>
          <cell r="W87">
            <v>11641.312559782398</v>
          </cell>
          <cell r="X87">
            <v>4407.9813317393227</v>
          </cell>
          <cell r="Y87">
            <v>16049.29389152172</v>
          </cell>
          <cell r="Z87">
            <v>-85458.539150824814</v>
          </cell>
          <cell r="AA87">
            <v>87655.701941666382</v>
          </cell>
          <cell r="AB87">
            <v>12320.970985340377</v>
          </cell>
          <cell r="AC87">
            <v>5855.8244967850433</v>
          </cell>
          <cell r="AD87">
            <v>20373.958272966989</v>
          </cell>
          <cell r="AE87">
            <v>16613.067033844811</v>
          </cell>
          <cell r="AF87">
            <v>25644.482171740754</v>
          </cell>
          <cell r="AG87">
            <v>28762.524654096051</v>
          </cell>
          <cell r="AH87"/>
        </row>
        <row r="88">
          <cell r="C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row>
        <row r="89">
          <cell r="C89" t="str">
            <v>Issuance/(Repayment) of Revolver</v>
          </cell>
          <cell r="D89"/>
          <cell r="E89"/>
          <cell r="F89"/>
          <cell r="G89"/>
          <cell r="H89"/>
          <cell r="I89"/>
          <cell r="J89"/>
          <cell r="K89"/>
          <cell r="L89"/>
          <cell r="M89"/>
          <cell r="N89"/>
          <cell r="O89"/>
          <cell r="P89"/>
          <cell r="Q89"/>
          <cell r="R89"/>
          <cell r="S89"/>
          <cell r="T89"/>
          <cell r="U89"/>
          <cell r="V89"/>
          <cell r="W89">
            <v>0</v>
          </cell>
          <cell r="X89">
            <v>0</v>
          </cell>
          <cell r="Y89">
            <v>0</v>
          </cell>
          <cell r="Z89">
            <v>82017.262222744161</v>
          </cell>
          <cell r="AA89">
            <v>-82017.262222744161</v>
          </cell>
          <cell r="AB89">
            <v>0</v>
          </cell>
          <cell r="AC89">
            <v>0</v>
          </cell>
          <cell r="AD89">
            <v>0</v>
          </cell>
          <cell r="AE89">
            <v>0</v>
          </cell>
          <cell r="AF89">
            <v>0</v>
          </cell>
          <cell r="AG89">
            <v>0</v>
          </cell>
          <cell r="AH89"/>
        </row>
        <row r="90">
          <cell r="C90" t="str">
            <v>Issuance of Debt</v>
          </cell>
          <cell r="D90"/>
          <cell r="E90"/>
          <cell r="F90"/>
          <cell r="G90"/>
          <cell r="H90"/>
          <cell r="I90"/>
          <cell r="J90"/>
          <cell r="K90"/>
          <cell r="L90"/>
          <cell r="M90"/>
          <cell r="N90"/>
          <cell r="O90"/>
          <cell r="P90"/>
          <cell r="Q90"/>
          <cell r="R90"/>
          <cell r="S90"/>
          <cell r="T90"/>
          <cell r="U90"/>
          <cell r="V90"/>
          <cell r="W90">
            <v>500</v>
          </cell>
          <cell r="X90">
            <v>500</v>
          </cell>
          <cell r="Y90">
            <v>1000</v>
          </cell>
          <cell r="Z90">
            <v>500</v>
          </cell>
          <cell r="AA90">
            <v>500</v>
          </cell>
          <cell r="AB90">
            <v>500</v>
          </cell>
          <cell r="AC90">
            <v>500</v>
          </cell>
          <cell r="AD90">
            <v>2000</v>
          </cell>
          <cell r="AE90">
            <v>2000</v>
          </cell>
          <cell r="AF90">
            <v>2000</v>
          </cell>
          <cell r="AG90">
            <v>2000</v>
          </cell>
          <cell r="AH90"/>
        </row>
        <row r="91">
          <cell r="C91" t="str">
            <v>(Repayment of Debt)</v>
          </cell>
          <cell r="D91"/>
          <cell r="E91"/>
          <cell r="F91"/>
          <cell r="G91"/>
          <cell r="H91"/>
          <cell r="I91"/>
          <cell r="J91"/>
          <cell r="K91"/>
          <cell r="L91"/>
          <cell r="M91"/>
          <cell r="N91"/>
          <cell r="O91"/>
          <cell r="P91"/>
          <cell r="Q91"/>
          <cell r="R91"/>
          <cell r="S91"/>
          <cell r="T91"/>
          <cell r="U91"/>
          <cell r="V91"/>
          <cell r="W91">
            <v>-500</v>
          </cell>
          <cell r="X91">
            <v>-500</v>
          </cell>
          <cell r="Y91">
            <v>-1000</v>
          </cell>
          <cell r="Z91">
            <v>-500</v>
          </cell>
          <cell r="AA91">
            <v>-500</v>
          </cell>
          <cell r="AB91">
            <v>-500</v>
          </cell>
          <cell r="AC91">
            <v>-500</v>
          </cell>
          <cell r="AD91">
            <v>-2000</v>
          </cell>
          <cell r="AE91">
            <v>-2000</v>
          </cell>
          <cell r="AF91">
            <v>-2000</v>
          </cell>
          <cell r="AG91">
            <v>-2000</v>
          </cell>
          <cell r="AH91"/>
        </row>
        <row r="92">
          <cell r="C92" t="str">
            <v>Issuance of Equity</v>
          </cell>
          <cell r="D92"/>
          <cell r="E92"/>
          <cell r="F92"/>
          <cell r="G92"/>
          <cell r="H92"/>
          <cell r="I92"/>
          <cell r="J92"/>
          <cell r="K92"/>
          <cell r="L92"/>
          <cell r="M92"/>
          <cell r="N92"/>
          <cell r="O92"/>
          <cell r="P92"/>
          <cell r="Q92"/>
          <cell r="R92"/>
          <cell r="S92"/>
          <cell r="T92"/>
          <cell r="U92"/>
          <cell r="V92"/>
          <cell r="W92">
            <v>0</v>
          </cell>
          <cell r="X92">
            <v>0</v>
          </cell>
          <cell r="Y92">
            <v>0</v>
          </cell>
          <cell r="Z92">
            <v>0</v>
          </cell>
          <cell r="AA92">
            <v>0</v>
          </cell>
          <cell r="AB92">
            <v>0</v>
          </cell>
          <cell r="AC92">
            <v>0</v>
          </cell>
          <cell r="AD92">
            <v>0</v>
          </cell>
          <cell r="AE92">
            <v>0</v>
          </cell>
          <cell r="AF92">
            <v>0</v>
          </cell>
          <cell r="AG92">
            <v>0</v>
          </cell>
          <cell r="AH92"/>
        </row>
        <row r="93">
          <cell r="C93" t="str">
            <v>(Repurchase) of Equity</v>
          </cell>
          <cell r="D93"/>
          <cell r="E93"/>
          <cell r="F93"/>
          <cell r="G93"/>
          <cell r="H93"/>
          <cell r="I93"/>
          <cell r="J93"/>
          <cell r="K93"/>
          <cell r="L93"/>
          <cell r="M93"/>
          <cell r="N93"/>
          <cell r="O93"/>
          <cell r="P93"/>
          <cell r="Q93"/>
          <cell r="R93"/>
          <cell r="S93"/>
          <cell r="T93"/>
          <cell r="U93"/>
          <cell r="V93"/>
          <cell r="W93">
            <v>-2000</v>
          </cell>
          <cell r="X93">
            <v>-2000</v>
          </cell>
          <cell r="Y93">
            <v>-4000</v>
          </cell>
          <cell r="Z93">
            <v>-2000</v>
          </cell>
          <cell r="AA93">
            <v>-2000</v>
          </cell>
          <cell r="AB93">
            <v>-2000</v>
          </cell>
          <cell r="AC93">
            <v>-2000</v>
          </cell>
          <cell r="AD93">
            <v>-8000</v>
          </cell>
          <cell r="AE93">
            <v>-6000</v>
          </cell>
          <cell r="AF93">
            <v>-6000</v>
          </cell>
          <cell r="AG93">
            <v>-6000</v>
          </cell>
          <cell r="AH93"/>
        </row>
        <row r="94">
          <cell r="C94" t="str">
            <v>Dividends Issued</v>
          </cell>
          <cell r="D94"/>
          <cell r="E94"/>
          <cell r="F94"/>
          <cell r="G94"/>
          <cell r="H94"/>
          <cell r="I94"/>
          <cell r="J94"/>
          <cell r="K94"/>
          <cell r="L94"/>
          <cell r="M94"/>
          <cell r="N94"/>
          <cell r="O94"/>
          <cell r="P94"/>
          <cell r="Q94"/>
          <cell r="R94"/>
          <cell r="S94"/>
          <cell r="T94"/>
          <cell r="U94"/>
          <cell r="V94"/>
          <cell r="W94">
            <v>-1125.8499999999999</v>
          </cell>
          <cell r="X94">
            <v>-1115.5</v>
          </cell>
          <cell r="Y94">
            <v>-2241.35</v>
          </cell>
          <cell r="Z94">
            <v>-1156.8999999999999</v>
          </cell>
          <cell r="AA94">
            <v>-1139.6499999999999</v>
          </cell>
          <cell r="AB94">
            <v>-1294.7274999999997</v>
          </cell>
          <cell r="AC94">
            <v>-1282.8249999999998</v>
          </cell>
          <cell r="AD94">
            <v>-4874.1024999999991</v>
          </cell>
          <cell r="AE94">
            <v>-5605.2178749999985</v>
          </cell>
          <cell r="AF94">
            <v>-6446.0005562499973</v>
          </cell>
          <cell r="AG94">
            <v>-7412.9006396874966</v>
          </cell>
          <cell r="AH94"/>
        </row>
        <row r="95">
          <cell r="C95" t="str">
            <v>Change in Noncontrolling Interests</v>
          </cell>
          <cell r="D95"/>
          <cell r="E95"/>
          <cell r="F95"/>
          <cell r="G95"/>
          <cell r="H95"/>
          <cell r="I95"/>
          <cell r="J95"/>
          <cell r="K95"/>
          <cell r="L95"/>
          <cell r="M95"/>
          <cell r="N95"/>
          <cell r="O95"/>
          <cell r="P95"/>
          <cell r="Q95"/>
          <cell r="R95"/>
          <cell r="S95"/>
          <cell r="T95"/>
          <cell r="U95"/>
          <cell r="V95"/>
          <cell r="W95">
            <v>0</v>
          </cell>
          <cell r="X95">
            <v>0</v>
          </cell>
          <cell r="Y95">
            <v>0</v>
          </cell>
          <cell r="Z95">
            <v>0</v>
          </cell>
          <cell r="AA95">
            <v>0</v>
          </cell>
          <cell r="AB95">
            <v>0</v>
          </cell>
          <cell r="AC95">
            <v>0</v>
          </cell>
          <cell r="AD95">
            <v>0</v>
          </cell>
          <cell r="AE95">
            <v>0</v>
          </cell>
          <cell r="AF95">
            <v>0</v>
          </cell>
          <cell r="AG95">
            <v>0</v>
          </cell>
          <cell r="AH95"/>
        </row>
        <row r="96">
          <cell r="C96" t="str">
            <v>Net Cash From Financing Activities</v>
          </cell>
          <cell r="D96"/>
          <cell r="E96"/>
          <cell r="F96"/>
          <cell r="G96"/>
          <cell r="H96"/>
          <cell r="I96"/>
          <cell r="J96"/>
          <cell r="K96"/>
          <cell r="L96"/>
          <cell r="M96"/>
          <cell r="N96"/>
          <cell r="O96"/>
          <cell r="P96"/>
          <cell r="Q96"/>
          <cell r="R96"/>
          <cell r="S96"/>
          <cell r="T96"/>
          <cell r="U96"/>
          <cell r="V96"/>
          <cell r="W96">
            <v>-3125.85</v>
          </cell>
          <cell r="X96">
            <v>-3115.5</v>
          </cell>
          <cell r="Y96">
            <v>-6241.35</v>
          </cell>
          <cell r="Z96">
            <v>78860.362222744167</v>
          </cell>
          <cell r="AA96">
            <v>-85156.912222744155</v>
          </cell>
          <cell r="AB96">
            <v>-3294.7275</v>
          </cell>
          <cell r="AC96">
            <v>-3282.8249999999998</v>
          </cell>
          <cell r="AD96">
            <v>-12874.10249999999</v>
          </cell>
          <cell r="AE96">
            <v>-11605.217874999998</v>
          </cell>
          <cell r="AF96">
            <v>-12446.000556249997</v>
          </cell>
          <cell r="AG96">
            <v>-13412.900639687497</v>
          </cell>
          <cell r="AH96"/>
        </row>
        <row r="97">
          <cell r="C97"/>
          <cell r="D97"/>
          <cell r="E97"/>
          <cell r="F97"/>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row>
        <row r="98">
          <cell r="C98" t="str">
            <v>Effect of FX Rate Changes on Cash</v>
          </cell>
          <cell r="D98"/>
          <cell r="E98"/>
          <cell r="F98"/>
          <cell r="G98"/>
          <cell r="H98"/>
          <cell r="I98"/>
          <cell r="J98"/>
          <cell r="K98"/>
          <cell r="L98"/>
          <cell r="M98"/>
          <cell r="N98"/>
          <cell r="O98"/>
          <cell r="P98"/>
          <cell r="Q98"/>
          <cell r="R98"/>
          <cell r="S98"/>
          <cell r="T98"/>
          <cell r="U98"/>
          <cell r="V98"/>
          <cell r="W98">
            <v>0</v>
          </cell>
          <cell r="X98">
            <v>0</v>
          </cell>
          <cell r="Y98">
            <v>0</v>
          </cell>
          <cell r="Z98">
            <v>0</v>
          </cell>
          <cell r="AA98">
            <v>0</v>
          </cell>
          <cell r="AB98">
            <v>0</v>
          </cell>
          <cell r="AC98">
            <v>0</v>
          </cell>
          <cell r="AD98">
            <v>0</v>
          </cell>
          <cell r="AE98">
            <v>0</v>
          </cell>
          <cell r="AF98">
            <v>0</v>
          </cell>
          <cell r="AG98">
            <v>0</v>
          </cell>
          <cell r="AH98"/>
        </row>
        <row r="99">
          <cell r="C99" t="str">
            <v>Beginning Cash Adjustments</v>
          </cell>
          <cell r="D99"/>
          <cell r="E99"/>
          <cell r="F99"/>
          <cell r="G99"/>
          <cell r="H99"/>
          <cell r="I99"/>
          <cell r="J99"/>
          <cell r="K99"/>
          <cell r="L99"/>
          <cell r="M99"/>
          <cell r="N99"/>
          <cell r="O99"/>
          <cell r="P99"/>
          <cell r="Q99"/>
          <cell r="R99"/>
          <cell r="S99"/>
          <cell r="T99"/>
          <cell r="U99"/>
          <cell r="V99"/>
          <cell r="W99">
            <v>0</v>
          </cell>
          <cell r="X99">
            <v>0</v>
          </cell>
          <cell r="Y99">
            <v>0</v>
          </cell>
          <cell r="Z99">
            <v>0</v>
          </cell>
          <cell r="AA99">
            <v>0</v>
          </cell>
          <cell r="AB99">
            <v>0</v>
          </cell>
          <cell r="AC99">
            <v>0</v>
          </cell>
          <cell r="AD99">
            <v>0</v>
          </cell>
          <cell r="AE99">
            <v>0</v>
          </cell>
          <cell r="AF99">
            <v>0</v>
          </cell>
          <cell r="AG99">
            <v>0</v>
          </cell>
          <cell r="AH99"/>
        </row>
        <row r="100">
          <cell r="C100" t="str">
            <v>Ending Cash Adjustments</v>
          </cell>
          <cell r="D100"/>
          <cell r="E100"/>
          <cell r="F100"/>
          <cell r="G100"/>
          <cell r="H100"/>
          <cell r="I100"/>
          <cell r="J100"/>
          <cell r="K100"/>
          <cell r="L100"/>
          <cell r="M100"/>
          <cell r="N100"/>
          <cell r="O100"/>
          <cell r="P100"/>
          <cell r="Q100"/>
          <cell r="R100"/>
          <cell r="S100"/>
          <cell r="T100"/>
          <cell r="U100"/>
          <cell r="V100"/>
          <cell r="W100">
            <v>0</v>
          </cell>
          <cell r="X100">
            <v>0</v>
          </cell>
          <cell r="Y100">
            <v>0</v>
          </cell>
          <cell r="Z100">
            <v>0</v>
          </cell>
          <cell r="AA100">
            <v>0</v>
          </cell>
          <cell r="AB100">
            <v>0</v>
          </cell>
          <cell r="AC100">
            <v>0</v>
          </cell>
          <cell r="AD100">
            <v>0</v>
          </cell>
          <cell r="AE100">
            <v>0</v>
          </cell>
          <cell r="AF100">
            <v>0</v>
          </cell>
          <cell r="AG100">
            <v>0</v>
          </cell>
          <cell r="AH100"/>
        </row>
        <row r="101">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row>
        <row r="102">
          <cell r="C102" t="str">
            <v>Beginning Cash Balance</v>
          </cell>
          <cell r="D102"/>
          <cell r="E102"/>
          <cell r="F102"/>
          <cell r="G102"/>
          <cell r="H102"/>
          <cell r="I102"/>
          <cell r="J102"/>
          <cell r="K102"/>
          <cell r="L102"/>
          <cell r="M102"/>
          <cell r="N102"/>
          <cell r="O102"/>
          <cell r="P102"/>
          <cell r="Q102"/>
          <cell r="R102"/>
          <cell r="S102"/>
          <cell r="T102"/>
          <cell r="U102"/>
          <cell r="V102"/>
          <cell r="W102">
            <v>0</v>
          </cell>
          <cell r="X102">
            <v>8515.4625597823979</v>
          </cell>
          <cell r="Y102">
            <v>0</v>
          </cell>
          <cell r="Z102">
            <v>9807.9438915217215</v>
          </cell>
          <cell r="AA102">
            <v>3209.766963441074</v>
          </cell>
          <cell r="AB102">
            <v>5708.5566823633017</v>
          </cell>
          <cell r="AC102">
            <v>14734.800167703677</v>
          </cell>
          <cell r="AD102">
            <v>9807.9438915217215</v>
          </cell>
          <cell r="AE102">
            <v>17307.799664488721</v>
          </cell>
          <cell r="AF102">
            <v>22315.648823333533</v>
          </cell>
          <cell r="AG102">
            <v>35514.130438824286</v>
          </cell>
          <cell r="AH102"/>
        </row>
        <row r="103">
          <cell r="C103" t="str">
            <v>Net Change in Cash</v>
          </cell>
          <cell r="D103"/>
          <cell r="E103"/>
          <cell r="F103"/>
          <cell r="G103"/>
          <cell r="H103"/>
          <cell r="I103"/>
          <cell r="J103"/>
          <cell r="K103"/>
          <cell r="L103"/>
          <cell r="M103"/>
          <cell r="N103"/>
          <cell r="O103"/>
          <cell r="P103"/>
          <cell r="Q103"/>
          <cell r="R103"/>
          <cell r="S103"/>
          <cell r="T103"/>
          <cell r="U103"/>
          <cell r="V103"/>
          <cell r="W103">
            <v>8515.4625597823979</v>
          </cell>
          <cell r="X103">
            <v>1292.4813317393227</v>
          </cell>
          <cell r="Y103">
            <v>9807.9438915217215</v>
          </cell>
          <cell r="Z103">
            <v>-6598.1769280806475</v>
          </cell>
          <cell r="AA103">
            <v>2498.7897189222276</v>
          </cell>
          <cell r="AB103">
            <v>9026.2434853403756</v>
          </cell>
          <cell r="AC103">
            <v>2572.9994967850434</v>
          </cell>
          <cell r="AD103">
            <v>7499.8557729669992</v>
          </cell>
          <cell r="AE103">
            <v>5007.8491588448123</v>
          </cell>
          <cell r="AF103">
            <v>13198.481615490757</v>
          </cell>
          <cell r="AG103">
            <v>15349.624014408553</v>
          </cell>
          <cell r="AH103"/>
        </row>
        <row r="104">
          <cell r="C104" t="str">
            <v>Ending Cash Balance</v>
          </cell>
          <cell r="D104"/>
          <cell r="E104"/>
          <cell r="F104"/>
          <cell r="G104"/>
          <cell r="H104"/>
          <cell r="I104"/>
          <cell r="J104"/>
          <cell r="K104"/>
          <cell r="L104"/>
          <cell r="M104"/>
          <cell r="N104"/>
          <cell r="O104"/>
          <cell r="P104"/>
          <cell r="Q104"/>
          <cell r="R104"/>
          <cell r="S104"/>
          <cell r="T104">
            <v>9763</v>
          </cell>
          <cell r="U104"/>
          <cell r="V104"/>
          <cell r="W104">
            <v>8515.4625597823979</v>
          </cell>
          <cell r="X104">
            <v>9807.9438915217215</v>
          </cell>
          <cell r="Y104">
            <v>9807.9438915217215</v>
          </cell>
          <cell r="Z104">
            <v>3209.766963441074</v>
          </cell>
          <cell r="AA104">
            <v>5708.5566823633017</v>
          </cell>
          <cell r="AB104">
            <v>14734.800167703677</v>
          </cell>
          <cell r="AC104">
            <v>17307.799664488721</v>
          </cell>
          <cell r="AD104">
            <v>17307.799664488721</v>
          </cell>
          <cell r="AE104">
            <v>22315.648823333533</v>
          </cell>
          <cell r="AF104">
            <v>35514.130438824286</v>
          </cell>
          <cell r="AG104">
            <v>50863.754453232839</v>
          </cell>
          <cell r="AH104"/>
        </row>
        <row r="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row>
        <row r="106">
          <cell r="C106" t="str">
            <v>Free Cash Flow Analysis</v>
          </cell>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t="str">
            <v>x</v>
          </cell>
        </row>
        <row r="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row>
        <row r="108">
          <cell r="C108" t="str">
            <v>Net Income</v>
          </cell>
          <cell r="D108"/>
          <cell r="E108"/>
          <cell r="F108">
            <v>112152</v>
          </cell>
          <cell r="G108">
            <v>114638</v>
          </cell>
          <cell r="H108">
            <v>121888</v>
          </cell>
          <cell r="I108">
            <v>148576</v>
          </cell>
          <cell r="J108">
            <v>497254</v>
          </cell>
          <cell r="K108">
            <v>116478</v>
          </cell>
          <cell r="L108">
            <v>117795</v>
          </cell>
          <cell r="M108">
            <v>113716</v>
          </cell>
          <cell r="N108">
            <v>138666</v>
          </cell>
          <cell r="O108">
            <v>486655</v>
          </cell>
          <cell r="P108">
            <v>130441</v>
          </cell>
          <cell r="Q108">
            <v>184668</v>
          </cell>
          <cell r="R108">
            <v>171134</v>
          </cell>
          <cell r="S108">
            <v>-492801</v>
          </cell>
          <cell r="T108">
            <v>-6558</v>
          </cell>
          <cell r="U108">
            <v>130441</v>
          </cell>
          <cell r="V108">
            <v>184668</v>
          </cell>
          <cell r="W108">
            <v>7620.9818749999913</v>
          </cell>
          <cell r="X108">
            <v>8006.817578750004</v>
          </cell>
          <cell r="Y108">
            <v>330736.79945375002</v>
          </cell>
          <cell r="Z108">
            <v>8006.9848354626956</v>
          </cell>
          <cell r="AA108">
            <v>8432.3686988470836</v>
          </cell>
          <cell r="AB108">
            <v>9283.9819876254642</v>
          </cell>
          <cell r="AC108">
            <v>9752.9676970067376</v>
          </cell>
          <cell r="AD108">
            <v>35476.303218941983</v>
          </cell>
          <cell r="AE108">
            <v>38119.681307561157</v>
          </cell>
          <cell r="AF108">
            <v>40044.811812939275</v>
          </cell>
          <cell r="AG108">
            <v>42066.198843586164</v>
          </cell>
          <cell r="AH108"/>
        </row>
        <row r="109">
          <cell r="C109" t="str">
            <v>Depreciation &amp; Amortization</v>
          </cell>
          <cell r="D109"/>
          <cell r="E109"/>
          <cell r="F109">
            <v>443</v>
          </cell>
          <cell r="G109">
            <v>447</v>
          </cell>
          <cell r="H109">
            <v>474</v>
          </cell>
          <cell r="I109">
            <v>546</v>
          </cell>
          <cell r="J109">
            <v>1910</v>
          </cell>
          <cell r="K109">
            <v>471</v>
          </cell>
          <cell r="L109">
            <v>494</v>
          </cell>
          <cell r="M109">
            <v>522</v>
          </cell>
          <cell r="N109">
            <v>582</v>
          </cell>
          <cell r="O109">
            <v>2069</v>
          </cell>
          <cell r="P109">
            <v>501</v>
          </cell>
          <cell r="Q109">
            <v>507</v>
          </cell>
          <cell r="R109">
            <v>523</v>
          </cell>
          <cell r="S109">
            <v>583</v>
          </cell>
          <cell r="T109">
            <v>2114</v>
          </cell>
          <cell r="U109">
            <v>501</v>
          </cell>
          <cell r="V109">
            <v>507</v>
          </cell>
          <cell r="W109">
            <v>472.6875</v>
          </cell>
          <cell r="X109">
            <v>617.76159375000009</v>
          </cell>
          <cell r="Y109">
            <v>2098.44909375</v>
          </cell>
          <cell r="Z109">
            <v>765.535402734375</v>
          </cell>
          <cell r="AA109">
            <v>916.31468731933592</v>
          </cell>
          <cell r="AB109">
            <v>1070.4140918417359</v>
          </cell>
          <cell r="AC109">
            <v>1228.1578289593895</v>
          </cell>
          <cell r="AD109">
            <v>3980.4220108548366</v>
          </cell>
          <cell r="AE109">
            <v>5559.5215568528683</v>
          </cell>
          <cell r="AF109">
            <v>7974.7587332457124</v>
          </cell>
          <cell r="AG109">
            <v>10190.168603675667</v>
          </cell>
          <cell r="AH109"/>
        </row>
        <row r="110">
          <cell r="C110" t="str">
            <v>Change in Operating Working Capital</v>
          </cell>
          <cell r="D110"/>
          <cell r="E110"/>
          <cell r="F110">
            <v>0</v>
          </cell>
          <cell r="G110">
            <v>-3176</v>
          </cell>
          <cell r="H110">
            <v>-2007</v>
          </cell>
          <cell r="I110">
            <v>605</v>
          </cell>
          <cell r="J110">
            <v>-4578</v>
          </cell>
          <cell r="K110">
            <v>223</v>
          </cell>
          <cell r="L110">
            <v>755</v>
          </cell>
          <cell r="M110">
            <v>-1094</v>
          </cell>
          <cell r="N110">
            <v>-1701</v>
          </cell>
          <cell r="O110">
            <v>-1817</v>
          </cell>
          <cell r="P110">
            <v>-8834</v>
          </cell>
          <cell r="Q110">
            <v>323</v>
          </cell>
          <cell r="R110">
            <v>-99</v>
          </cell>
          <cell r="S110">
            <v>-2262</v>
          </cell>
          <cell r="T110">
            <v>-10872</v>
          </cell>
          <cell r="U110">
            <v>2038</v>
          </cell>
          <cell r="V110">
            <v>323</v>
          </cell>
          <cell r="W110">
            <v>-487132.32581521745</v>
          </cell>
          <cell r="X110">
            <v>-26915.066290760762</v>
          </cell>
          <cell r="Y110">
            <v>-511686.39210597822</v>
          </cell>
          <cell r="Z110">
            <v>-34782.547206521966</v>
          </cell>
          <cell r="AA110">
            <v>-29999.946965624928</v>
          </cell>
          <cell r="AB110">
            <v>-24309.739633558085</v>
          </cell>
          <cell r="AC110">
            <v>-32715.431295584189</v>
          </cell>
          <cell r="AD110">
            <v>-121807.66510128917</v>
          </cell>
          <cell r="AE110">
            <v>10040.414948432008</v>
          </cell>
          <cell r="AF110">
            <v>-33849.182112941868</v>
          </cell>
          <cell r="AG110">
            <v>-35541.641218588571</v>
          </cell>
          <cell r="AH110"/>
        </row>
        <row r="111">
          <cell r="C111" t="str">
            <v>Capital Expenditures</v>
          </cell>
          <cell r="D111"/>
          <cell r="E111"/>
          <cell r="F111">
            <v>-748</v>
          </cell>
          <cell r="G111">
            <v>-671</v>
          </cell>
          <cell r="H111">
            <v>-595</v>
          </cell>
          <cell r="I111">
            <v>-599</v>
          </cell>
          <cell r="J111">
            <v>-2613</v>
          </cell>
          <cell r="K111">
            <v>-466</v>
          </cell>
          <cell r="L111">
            <v>-439</v>
          </cell>
          <cell r="M111">
            <v>-399</v>
          </cell>
          <cell r="N111">
            <v>-435</v>
          </cell>
          <cell r="O111">
            <v>-1739</v>
          </cell>
          <cell r="P111">
            <v>-394</v>
          </cell>
          <cell r="Q111">
            <v>-376</v>
          </cell>
          <cell r="R111">
            <v>-457</v>
          </cell>
          <cell r="S111">
            <v>-495</v>
          </cell>
          <cell r="T111">
            <v>-1722</v>
          </cell>
          <cell r="U111">
            <v>-394</v>
          </cell>
          <cell r="V111">
            <v>-376</v>
          </cell>
          <cell r="W111">
            <v>-4341.33</v>
          </cell>
          <cell r="X111">
            <v>-4558.3964999999998</v>
          </cell>
          <cell r="Y111">
            <v>-9669.7265000000007</v>
          </cell>
          <cell r="Z111">
            <v>-4786.3163250000007</v>
          </cell>
          <cell r="AA111">
            <v>-5025.632141250001</v>
          </cell>
          <cell r="AB111">
            <v>-5276.9137483125005</v>
          </cell>
          <cell r="AC111">
            <v>-5540.7594357281259</v>
          </cell>
          <cell r="AD111">
            <v>-20629.621650290628</v>
          </cell>
          <cell r="AE111">
            <v>-21661.102732805164</v>
          </cell>
          <cell r="AF111">
            <v>-22744.157869445422</v>
          </cell>
          <cell r="AG111">
            <v>-23881.365762917689</v>
          </cell>
          <cell r="AH111"/>
        </row>
        <row r="112">
          <cell r="C112" t="str">
            <v>Free Cash Flow (FCF)</v>
          </cell>
          <cell r="D112"/>
          <cell r="E112"/>
          <cell r="F112">
            <v>111847</v>
          </cell>
          <cell r="G112">
            <v>111238</v>
          </cell>
          <cell r="H112">
            <v>119760</v>
          </cell>
          <cell r="I112">
            <v>149128</v>
          </cell>
          <cell r="J112">
            <v>491973</v>
          </cell>
          <cell r="K112">
            <v>116706</v>
          </cell>
          <cell r="L112">
            <v>118605</v>
          </cell>
          <cell r="M112">
            <v>112745</v>
          </cell>
          <cell r="N112">
            <v>137112</v>
          </cell>
          <cell r="O112">
            <v>485168</v>
          </cell>
          <cell r="P112">
            <v>121714</v>
          </cell>
          <cell r="Q112">
            <v>185122</v>
          </cell>
          <cell r="R112">
            <v>171101</v>
          </cell>
          <cell r="S112">
            <v>-494975</v>
          </cell>
          <cell r="T112">
            <v>-17038</v>
          </cell>
          <cell r="U112">
            <v>132586</v>
          </cell>
          <cell r="V112">
            <v>185122</v>
          </cell>
          <cell r="W112">
            <v>-483379.98644021747</v>
          </cell>
          <cell r="X112">
            <v>-22848.883618260759</v>
          </cell>
          <cell r="Y112">
            <v>-188520.87005847821</v>
          </cell>
          <cell r="Z112">
            <v>-30796.343293324895</v>
          </cell>
          <cell r="AA112">
            <v>-25676.895720708508</v>
          </cell>
          <cell r="AB112">
            <v>-19232.257302403385</v>
          </cell>
          <cell r="AC112">
            <v>-27275.065205346189</v>
          </cell>
          <cell r="AD112">
            <v>-102980.56152178298</v>
          </cell>
          <cell r="AE112">
            <v>32058.515080040866</v>
          </cell>
          <cell r="AF112">
            <v>-8573.769436202303</v>
          </cell>
          <cell r="AG112">
            <v>-7166.6395342444303</v>
          </cell>
          <cell r="AH112"/>
        </row>
        <row r="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row>
        <row r="114">
          <cell r="C114" t="str">
            <v>Free Cash Flow Margin</v>
          </cell>
          <cell r="D114"/>
          <cell r="E114"/>
          <cell r="F114">
            <v>0.83739752180586235</v>
          </cell>
          <cell r="G114">
            <v>0.79667972526803554</v>
          </cell>
          <cell r="H114">
            <v>0.83452375145463287</v>
          </cell>
          <cell r="I114">
            <v>0.87603315494827616</v>
          </cell>
          <cell r="J114">
            <v>0.83821409708142369</v>
          </cell>
          <cell r="K114">
            <v>0.85811342396858892</v>
          </cell>
          <cell r="L114">
            <v>0.85466913592701754</v>
          </cell>
          <cell r="M114">
            <v>0.82796022677202363</v>
          </cell>
          <cell r="N114">
            <v>0.85214602677406126</v>
          </cell>
          <cell r="O114">
            <v>0.84841829151001136</v>
          </cell>
          <cell r="P114">
            <v>0.80421022028993172</v>
          </cell>
          <cell r="Q114">
            <v>0.89547719247327429</v>
          </cell>
          <cell r="R114">
            <v>0.88234141411016054</v>
          </cell>
          <cell r="S114">
            <v>1.0579011036923682</v>
          </cell>
          <cell r="T114">
            <v>-0.20257047402774972</v>
          </cell>
          <cell r="U114">
            <v>0.87604561732718411</v>
          </cell>
          <cell r="V114">
            <v>0.89547719247327429</v>
          </cell>
          <cell r="W114">
            <v>-2.2268751117294352</v>
          </cell>
          <cell r="X114">
            <v>-0.10024965409771072</v>
          </cell>
          <cell r="Y114">
            <v>-0.23475247709880825</v>
          </cell>
          <cell r="Z114">
            <v>-0.12868494768082381</v>
          </cell>
          <cell r="AA114">
            <v>-0.1021837452445217</v>
          </cell>
          <cell r="AB114">
            <v>-7.2892066157244473E-2</v>
          </cell>
          <cell r="AC114">
            <v>-9.8452443285915375E-2</v>
          </cell>
          <cell r="AD114">
            <v>-9.9837566841980543E-2</v>
          </cell>
          <cell r="AE114">
            <v>2.9600076667831966E-2</v>
          </cell>
          <cell r="AF114">
            <v>-7.5393157974165612E-3</v>
          </cell>
          <cell r="AG114">
            <v>-6.0018674018825057E-3</v>
          </cell>
          <cell r="AH114"/>
        </row>
        <row r="115">
          <cell r="C115" t="str">
            <v>Free Cash Flow per Share</v>
          </cell>
          <cell r="D115"/>
          <cell r="E115"/>
          <cell r="F115">
            <v>169.82538718493774</v>
          </cell>
          <cell r="G115">
            <v>175.09523059971667</v>
          </cell>
          <cell r="H115">
            <v>191.73871277617675</v>
          </cell>
          <cell r="I115">
            <v>240.47004291845491</v>
          </cell>
          <cell r="J115">
            <v>774.15106215578282</v>
          </cell>
          <cell r="K115">
            <v>190.19882659713167</v>
          </cell>
          <cell r="L115">
            <v>197.0837487537388</v>
          </cell>
          <cell r="M115">
            <v>188.66298527443104</v>
          </cell>
          <cell r="N115">
            <v>229.83333333333334</v>
          </cell>
          <cell r="O115">
            <v>805.25809128630704</v>
          </cell>
          <cell r="P115">
            <v>206.25995593967124</v>
          </cell>
          <cell r="Q115">
            <v>318.13369994844476</v>
          </cell>
          <cell r="R115">
            <v>297.98153953326363</v>
          </cell>
          <cell r="S115">
            <v>-863.22811301011495</v>
          </cell>
          <cell r="T115">
            <v>-29.380927746163128</v>
          </cell>
          <cell r="U115">
            <v>224.68395187256397</v>
          </cell>
          <cell r="V115">
            <v>318.13369994844476</v>
          </cell>
          <cell r="W115">
            <v>-846.93892123346723</v>
          </cell>
          <cell r="X115">
            <v>-40.570001182914574</v>
          </cell>
          <cell r="Y115">
            <v>-327.01864042927838</v>
          </cell>
          <cell r="Z115">
            <v>-55.423464248988324</v>
          </cell>
          <cell r="AA115">
            <v>-46.845892203012141</v>
          </cell>
          <cell r="AB115">
            <v>-35.577543393420697</v>
          </cell>
          <cell r="AC115">
            <v>-51.169682283278014</v>
          </cell>
          <cell r="AD115">
            <v>-189.1830326981333</v>
          </cell>
          <cell r="AE115">
            <v>61.895076066160307</v>
          </cell>
          <cell r="AF115">
            <v>-17.309354353624165</v>
          </cell>
          <cell r="AG115">
            <v>-15.161003192229419</v>
          </cell>
          <cell r="AH115"/>
        </row>
        <row r="116">
          <cell r="C116" t="str">
            <v>Free Cash Flow Yield</v>
          </cell>
          <cell r="D116"/>
          <cell r="E116"/>
          <cell r="F116">
            <v>5.5457714812617436</v>
          </cell>
          <cell r="G116">
            <v>5.3566418539110261</v>
          </cell>
          <cell r="H116">
            <v>5.8001576881547843</v>
          </cell>
          <cell r="I116">
            <v>7.0488067688247078</v>
          </cell>
          <cell r="J116">
            <v>5.9329876585425838</v>
          </cell>
          <cell r="K116">
            <v>4.5315105508876448</v>
          </cell>
          <cell r="L116">
            <v>4.2781515982794547</v>
          </cell>
          <cell r="M116">
            <v>3.3208006208920753</v>
          </cell>
          <cell r="N116">
            <v>3.5238350773633846</v>
          </cell>
          <cell r="O116">
            <v>3.8331933418365205</v>
          </cell>
          <cell r="P116">
            <v>2.4376287412358479</v>
          </cell>
          <cell r="Q116">
            <v>3.6802926795088617</v>
          </cell>
          <cell r="R116">
            <v>3.4293125359871524</v>
          </cell>
          <cell r="S116">
            <v>-9.2264655088725416</v>
          </cell>
          <cell r="T116">
            <v>-8.3584898711738298E-2</v>
          </cell>
          <cell r="U116">
            <v>2.6553678647115047</v>
          </cell>
          <cell r="V116">
            <v>3.6802926795088617</v>
          </cell>
          <cell r="W116">
            <v>-12.773861034402433</v>
          </cell>
          <cell r="X116">
            <v>-0.61189248041800204</v>
          </cell>
          <cell r="Y116">
            <v>-1.0769147999152953</v>
          </cell>
          <cell r="Z116">
            <v>-0.83591816672053587</v>
          </cell>
          <cell r="AA116">
            <v>-0.70654790095414421</v>
          </cell>
          <cell r="AB116">
            <v>-0.53659429725003882</v>
          </cell>
          <cell r="AC116">
            <v>-0.77176097859474402</v>
          </cell>
          <cell r="AD116">
            <v>-0.71333295387856155</v>
          </cell>
          <cell r="AE116">
            <v>0.23338138104204334</v>
          </cell>
          <cell r="AF116">
            <v>-6.526659761556565E-2</v>
          </cell>
          <cell r="AG116">
            <v>-5.7166031417478301E-2</v>
          </cell>
          <cell r="AH116"/>
        </row>
        <row r="117">
          <cell r="C117"/>
          <cell r="D117"/>
          <cell r="E117"/>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row>
        <row r="118">
          <cell r="C118" t="str">
            <v>Balance Sheet</v>
          </cell>
          <cell r="D118"/>
          <cell r="E118"/>
          <cell r="F118" t="str">
            <v>1Q18</v>
          </cell>
          <cell r="G118" t="str">
            <v>2Q18</v>
          </cell>
          <cell r="H118" t="str">
            <v>3Q18</v>
          </cell>
          <cell r="I118" t="str">
            <v>4Q18</v>
          </cell>
          <cell r="J118">
            <v>2018</v>
          </cell>
          <cell r="K118" t="str">
            <v>1Q19</v>
          </cell>
          <cell r="L118" t="str">
            <v>2Q19</v>
          </cell>
          <cell r="M118" t="str">
            <v>3Q19</v>
          </cell>
          <cell r="N118" t="str">
            <v>4Q19</v>
          </cell>
          <cell r="O118">
            <v>2019</v>
          </cell>
          <cell r="P118" t="str">
            <v>1Q20</v>
          </cell>
          <cell r="Q118" t="str">
            <v>2Q20</v>
          </cell>
          <cell r="R118" t="str">
            <v>3Q20</v>
          </cell>
          <cell r="S118" t="str">
            <v>4Q20</v>
          </cell>
          <cell r="T118">
            <v>2020</v>
          </cell>
          <cell r="U118" t="str">
            <v>1Q21</v>
          </cell>
          <cell r="V118" t="str">
            <v>2Q21</v>
          </cell>
          <cell r="W118" t="str">
            <v>3Q21e</v>
          </cell>
          <cell r="X118" t="str">
            <v>4Q21e</v>
          </cell>
          <cell r="Y118" t="str">
            <v>2021e</v>
          </cell>
          <cell r="Z118" t="str">
            <v>1Q22e</v>
          </cell>
          <cell r="AA118" t="str">
            <v>2Q22e</v>
          </cell>
          <cell r="AB118" t="str">
            <v>3Q22e</v>
          </cell>
          <cell r="AC118" t="str">
            <v>4Q22e</v>
          </cell>
          <cell r="AD118" t="str">
            <v>2022e</v>
          </cell>
          <cell r="AE118" t="str">
            <v>2023e</v>
          </cell>
          <cell r="AF118" t="str">
            <v>2024e</v>
          </cell>
          <cell r="AG118" t="str">
            <v>2025e</v>
          </cell>
          <cell r="AH118" t="str">
            <v>x</v>
          </cell>
        </row>
        <row r="119">
          <cell r="C119"/>
          <cell r="D119"/>
          <cell r="E119"/>
          <cell r="F119"/>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row>
        <row r="120">
          <cell r="C120" t="str">
            <v>Cash &amp; Cash Equivalents</v>
          </cell>
          <cell r="D120"/>
          <cell r="E120"/>
          <cell r="F120">
            <v>7886</v>
          </cell>
          <cell r="G120">
            <v>8605</v>
          </cell>
          <cell r="H120">
            <v>8986</v>
          </cell>
          <cell r="I120">
            <v>8801</v>
          </cell>
          <cell r="J120">
            <v>8801</v>
          </cell>
          <cell r="K120">
            <v>8190</v>
          </cell>
          <cell r="L120">
            <v>8737</v>
          </cell>
          <cell r="M120">
            <v>8569</v>
          </cell>
          <cell r="N120">
            <v>8813</v>
          </cell>
          <cell r="O120">
            <v>8813</v>
          </cell>
          <cell r="P120">
            <v>9235</v>
          </cell>
          <cell r="Q120">
            <v>8121</v>
          </cell>
          <cell r="R120">
            <v>8034</v>
          </cell>
          <cell r="S120">
            <v>7637</v>
          </cell>
          <cell r="T120">
            <v>7637</v>
          </cell>
          <cell r="U120">
            <v>9235</v>
          </cell>
          <cell r="V120">
            <v>8121</v>
          </cell>
          <cell r="W120">
            <v>8515.4625597823979</v>
          </cell>
          <cell r="X120">
            <v>9807.9438915217215</v>
          </cell>
          <cell r="Y120">
            <v>9807.9438915217215</v>
          </cell>
          <cell r="Z120">
            <v>3209.766963441074</v>
          </cell>
          <cell r="AA120">
            <v>5708.5566823633017</v>
          </cell>
          <cell r="AB120">
            <v>14734.800167703677</v>
          </cell>
          <cell r="AC120">
            <v>17307.799664488721</v>
          </cell>
          <cell r="AD120">
            <v>17307.799664488721</v>
          </cell>
          <cell r="AE120">
            <v>22315.648823333533</v>
          </cell>
          <cell r="AF120">
            <v>35514.130438824286</v>
          </cell>
          <cell r="AG120">
            <v>50863.754453232839</v>
          </cell>
          <cell r="AH120"/>
        </row>
        <row r="121">
          <cell r="C121" t="str">
            <v>Accounts Receivable</v>
          </cell>
          <cell r="D121"/>
          <cell r="E121"/>
          <cell r="F121">
            <v>9711</v>
          </cell>
          <cell r="G121">
            <v>9809</v>
          </cell>
          <cell r="H121">
            <v>9524</v>
          </cell>
          <cell r="I121">
            <v>8832</v>
          </cell>
          <cell r="J121">
            <v>8832</v>
          </cell>
          <cell r="K121">
            <v>9335</v>
          </cell>
          <cell r="L121">
            <v>9503</v>
          </cell>
          <cell r="M121">
            <v>10644</v>
          </cell>
          <cell r="N121">
            <v>10516</v>
          </cell>
          <cell r="O121">
            <v>10516</v>
          </cell>
          <cell r="P121">
            <v>2802</v>
          </cell>
          <cell r="Q121">
            <v>2823</v>
          </cell>
          <cell r="R121">
            <v>2893</v>
          </cell>
          <cell r="S121">
            <v>3879</v>
          </cell>
          <cell r="T121">
            <v>3879</v>
          </cell>
          <cell r="U121">
            <v>2802</v>
          </cell>
          <cell r="V121">
            <v>2823</v>
          </cell>
          <cell r="W121">
            <v>35391.27717391304</v>
          </cell>
          <cell r="X121">
            <v>37160.841032608689</v>
          </cell>
          <cell r="Y121">
            <v>37160.841032608689</v>
          </cell>
          <cell r="Z121">
            <v>39447.662019230775</v>
          </cell>
          <cell r="AA121">
            <v>41420.045120192313</v>
          </cell>
          <cell r="AB121">
            <v>43018.318600373648</v>
          </cell>
          <cell r="AC121">
            <v>45169.234530392328</v>
          </cell>
          <cell r="AD121">
            <v>45169.234530392328</v>
          </cell>
          <cell r="AE121">
            <v>44509.115204394169</v>
          </cell>
          <cell r="AF121">
            <v>46734.570964613886</v>
          </cell>
          <cell r="AG121">
            <v>49071.299512844562</v>
          </cell>
          <cell r="AH121"/>
        </row>
        <row r="122">
          <cell r="C122" t="str">
            <v>Inventory</v>
          </cell>
          <cell r="D122"/>
          <cell r="E122"/>
          <cell r="F122">
            <v>47266</v>
          </cell>
          <cell r="G122">
            <v>44182</v>
          </cell>
          <cell r="H122">
            <v>42680</v>
          </cell>
          <cell r="I122">
            <v>43199</v>
          </cell>
          <cell r="J122">
            <v>43199</v>
          </cell>
          <cell r="K122">
            <v>43247</v>
          </cell>
          <cell r="L122">
            <v>42453</v>
          </cell>
          <cell r="M122">
            <v>43031</v>
          </cell>
          <cell r="N122">
            <v>44344</v>
          </cell>
          <cell r="O122">
            <v>44344</v>
          </cell>
          <cell r="P122">
            <v>61303</v>
          </cell>
          <cell r="Q122">
            <v>61250</v>
          </cell>
          <cell r="R122">
            <v>62038</v>
          </cell>
          <cell r="S122">
            <v>62567</v>
          </cell>
          <cell r="T122">
            <v>62567</v>
          </cell>
          <cell r="U122">
            <v>61303</v>
          </cell>
          <cell r="V122">
            <v>61250</v>
          </cell>
          <cell r="W122">
            <v>656862.1043478261</v>
          </cell>
          <cell r="X122">
            <v>689705.20956521737</v>
          </cell>
          <cell r="Y122">
            <v>689705.20956521737</v>
          </cell>
          <cell r="Z122">
            <v>732148.60707692325</v>
          </cell>
          <cell r="AA122">
            <v>768756.0374307693</v>
          </cell>
          <cell r="AB122">
            <v>798419.99322293489</v>
          </cell>
          <cell r="AC122">
            <v>838340.99288408167</v>
          </cell>
          <cell r="AD122">
            <v>838340.99288408167</v>
          </cell>
          <cell r="AE122">
            <v>826089.1781935558</v>
          </cell>
          <cell r="AF122">
            <v>867393.6371032336</v>
          </cell>
          <cell r="AG122">
            <v>910763.31895839516</v>
          </cell>
          <cell r="AH122"/>
        </row>
        <row r="123">
          <cell r="C123" t="str">
            <v>Prepaid &amp; Other Current Assets</v>
          </cell>
          <cell r="D123"/>
          <cell r="E123"/>
          <cell r="F123">
            <v>724</v>
          </cell>
          <cell r="G123">
            <v>911</v>
          </cell>
          <cell r="H123">
            <v>1047</v>
          </cell>
          <cell r="I123">
            <v>1656</v>
          </cell>
          <cell r="J123">
            <v>1656</v>
          </cell>
          <cell r="K123">
            <v>1595</v>
          </cell>
          <cell r="L123">
            <v>2138</v>
          </cell>
          <cell r="M123">
            <v>1898</v>
          </cell>
          <cell r="N123">
            <v>1488</v>
          </cell>
          <cell r="O123">
            <v>1488</v>
          </cell>
          <cell r="P123">
            <v>13203</v>
          </cell>
          <cell r="Q123">
            <v>14207</v>
          </cell>
          <cell r="R123">
            <v>14721</v>
          </cell>
          <cell r="S123">
            <v>13747</v>
          </cell>
          <cell r="T123">
            <v>13747</v>
          </cell>
          <cell r="U123">
            <v>13203</v>
          </cell>
          <cell r="V123">
            <v>14207</v>
          </cell>
          <cell r="W123">
            <v>173653.2</v>
          </cell>
          <cell r="X123">
            <v>182335.86</v>
          </cell>
          <cell r="Y123">
            <v>182335.86</v>
          </cell>
          <cell r="Z123">
            <v>191452.65300000005</v>
          </cell>
          <cell r="AA123">
            <v>201025.28565000003</v>
          </cell>
          <cell r="AB123">
            <v>211076.54993250003</v>
          </cell>
          <cell r="AC123">
            <v>221630.37742912504</v>
          </cell>
          <cell r="AD123">
            <v>221630.37742912504</v>
          </cell>
          <cell r="AE123">
            <v>216611.02732805163</v>
          </cell>
          <cell r="AF123">
            <v>227441.57869445422</v>
          </cell>
          <cell r="AG123">
            <v>238813.65762917689</v>
          </cell>
          <cell r="AH123"/>
        </row>
        <row r="124">
          <cell r="C124" t="str">
            <v>Total Current Assets</v>
          </cell>
          <cell r="D124"/>
          <cell r="E124"/>
          <cell r="F124">
            <v>65587</v>
          </cell>
          <cell r="G124">
            <v>63507</v>
          </cell>
          <cell r="H124">
            <v>62237</v>
          </cell>
          <cell r="I124">
            <v>62488</v>
          </cell>
          <cell r="J124">
            <v>62488</v>
          </cell>
          <cell r="K124">
            <v>62367</v>
          </cell>
          <cell r="L124">
            <v>62831</v>
          </cell>
          <cell r="M124">
            <v>64142</v>
          </cell>
          <cell r="N124">
            <v>65161</v>
          </cell>
          <cell r="O124">
            <v>65161</v>
          </cell>
          <cell r="P124">
            <v>86543</v>
          </cell>
          <cell r="Q124">
            <v>86401</v>
          </cell>
          <cell r="R124">
            <v>87686</v>
          </cell>
          <cell r="S124">
            <v>87830</v>
          </cell>
          <cell r="T124">
            <v>87830</v>
          </cell>
          <cell r="U124">
            <v>86543</v>
          </cell>
          <cell r="V124">
            <v>86401</v>
          </cell>
          <cell r="W124">
            <v>874422.04408152145</v>
          </cell>
          <cell r="X124">
            <v>919009.85448934778</v>
          </cell>
          <cell r="Y124">
            <v>919009.85448934778</v>
          </cell>
          <cell r="Z124">
            <v>966258.68905959511</v>
          </cell>
          <cell r="AA124">
            <v>1016909.9248833249</v>
          </cell>
          <cell r="AB124">
            <v>1067249.6619235124</v>
          </cell>
          <cell r="AC124">
            <v>1122448.4045080878</v>
          </cell>
          <cell r="AD124">
            <v>1122448.4045080878</v>
          </cell>
          <cell r="AE124">
            <v>1109524.9695493351</v>
          </cell>
          <cell r="AF124">
            <v>1177083.917201126</v>
          </cell>
          <cell r="AG124">
            <v>1249512.0305536494</v>
          </cell>
          <cell r="AH124"/>
        </row>
        <row r="125">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row>
        <row r="126">
          <cell r="C126" t="str">
            <v>PP&amp;E, Net</v>
          </cell>
          <cell r="D126"/>
          <cell r="E126"/>
          <cell r="F126">
            <v>12269</v>
          </cell>
          <cell r="G126">
            <v>12533</v>
          </cell>
          <cell r="H126">
            <v>12713</v>
          </cell>
          <cell r="I126">
            <v>12807</v>
          </cell>
          <cell r="J126">
            <v>12807</v>
          </cell>
          <cell r="K126">
            <v>12842</v>
          </cell>
          <cell r="L126">
            <v>12820</v>
          </cell>
          <cell r="M126">
            <v>12712</v>
          </cell>
          <cell r="N126">
            <v>12672</v>
          </cell>
          <cell r="O126">
            <v>12672</v>
          </cell>
          <cell r="P126">
            <v>12628</v>
          </cell>
          <cell r="Q126">
            <v>12605</v>
          </cell>
          <cell r="R126">
            <v>12571</v>
          </cell>
          <cell r="S126">
            <v>12645</v>
          </cell>
          <cell r="T126">
            <v>12645</v>
          </cell>
          <cell r="U126">
            <v>12628</v>
          </cell>
          <cell r="V126">
            <v>12605</v>
          </cell>
          <cell r="W126">
            <v>16473.642500000002</v>
          </cell>
          <cell r="X126">
            <v>20414.277406249999</v>
          </cell>
          <cell r="Y126">
            <v>20414.277406249999</v>
          </cell>
          <cell r="Z126">
            <v>24435.058328515624</v>
          </cell>
          <cell r="AA126">
            <v>28544.375782446288</v>
          </cell>
          <cell r="AB126">
            <v>32750.875438917054</v>
          </cell>
          <cell r="AC126">
            <v>37063.477045685788</v>
          </cell>
          <cell r="AD126">
            <v>37063.477045685788</v>
          </cell>
          <cell r="AE126">
            <v>53165.058221638086</v>
          </cell>
          <cell r="AF126">
            <v>67934.457357837789</v>
          </cell>
          <cell r="AG126">
            <v>81625.654517079805</v>
          </cell>
          <cell r="AH126"/>
        </row>
        <row r="127">
          <cell r="C127" t="str">
            <v>Intangible Assets, Net</v>
          </cell>
          <cell r="D127"/>
          <cell r="E127"/>
          <cell r="F127">
            <v>2594</v>
          </cell>
          <cell r="G127">
            <v>2544</v>
          </cell>
          <cell r="H127">
            <v>2488</v>
          </cell>
          <cell r="I127">
            <v>2540</v>
          </cell>
          <cell r="J127">
            <v>2540</v>
          </cell>
          <cell r="K127">
            <v>2496</v>
          </cell>
          <cell r="L127">
            <v>2567</v>
          </cell>
          <cell r="M127">
            <v>2523</v>
          </cell>
          <cell r="N127">
            <v>2573</v>
          </cell>
          <cell r="O127">
            <v>2573</v>
          </cell>
          <cell r="P127">
            <v>2525</v>
          </cell>
          <cell r="Q127">
            <v>2494</v>
          </cell>
          <cell r="R127">
            <v>2530</v>
          </cell>
          <cell r="S127">
            <v>3429</v>
          </cell>
          <cell r="T127">
            <v>3429</v>
          </cell>
          <cell r="U127">
            <v>2525</v>
          </cell>
          <cell r="V127">
            <v>2494</v>
          </cell>
          <cell r="W127">
            <v>2494</v>
          </cell>
          <cell r="X127">
            <v>2494</v>
          </cell>
          <cell r="Y127">
            <v>2494</v>
          </cell>
          <cell r="Z127">
            <v>2494</v>
          </cell>
          <cell r="AA127">
            <v>2494</v>
          </cell>
          <cell r="AB127">
            <v>2494</v>
          </cell>
          <cell r="AC127">
            <v>2494</v>
          </cell>
          <cell r="AD127">
            <v>2494</v>
          </cell>
          <cell r="AE127">
            <v>2494</v>
          </cell>
          <cell r="AF127">
            <v>2494</v>
          </cell>
          <cell r="AG127">
            <v>2494</v>
          </cell>
          <cell r="AH127"/>
        </row>
        <row r="128">
          <cell r="C128" t="str">
            <v>Goodwill</v>
          </cell>
          <cell r="D128"/>
          <cell r="E128"/>
          <cell r="F128">
            <v>5132</v>
          </cell>
          <cell r="G128">
            <v>5128</v>
          </cell>
          <cell r="H128">
            <v>5128</v>
          </cell>
          <cell r="I128">
            <v>5324</v>
          </cell>
          <cell r="J128">
            <v>5324</v>
          </cell>
          <cell r="K128">
            <v>5342</v>
          </cell>
          <cell r="L128">
            <v>5347</v>
          </cell>
          <cell r="M128">
            <v>5344</v>
          </cell>
          <cell r="N128">
            <v>5559</v>
          </cell>
          <cell r="O128">
            <v>5559</v>
          </cell>
          <cell r="P128">
            <v>5558</v>
          </cell>
          <cell r="Q128">
            <v>5550</v>
          </cell>
          <cell r="R128">
            <v>5722</v>
          </cell>
          <cell r="S128">
            <v>7840</v>
          </cell>
          <cell r="T128">
            <v>7840</v>
          </cell>
          <cell r="U128">
            <v>5558</v>
          </cell>
          <cell r="V128">
            <v>5550</v>
          </cell>
          <cell r="W128">
            <v>5550</v>
          </cell>
          <cell r="X128">
            <v>5550</v>
          </cell>
          <cell r="Y128">
            <v>5550</v>
          </cell>
          <cell r="Z128">
            <v>5550</v>
          </cell>
          <cell r="AA128">
            <v>5550</v>
          </cell>
          <cell r="AB128">
            <v>5550</v>
          </cell>
          <cell r="AC128">
            <v>5550</v>
          </cell>
          <cell r="AD128">
            <v>5550</v>
          </cell>
          <cell r="AE128">
            <v>5550</v>
          </cell>
          <cell r="AF128">
            <v>5550</v>
          </cell>
          <cell r="AG128">
            <v>5550</v>
          </cell>
          <cell r="AH128"/>
        </row>
        <row r="129">
          <cell r="C129" t="str">
            <v>Other Non-Current Assets</v>
          </cell>
          <cell r="D129"/>
          <cell r="E129"/>
          <cell r="F129">
            <v>5965</v>
          </cell>
          <cell r="G129">
            <v>5897</v>
          </cell>
          <cell r="H129">
            <v>6384</v>
          </cell>
          <cell r="I129">
            <v>6838</v>
          </cell>
          <cell r="J129">
            <v>6838</v>
          </cell>
          <cell r="K129">
            <v>6626</v>
          </cell>
          <cell r="L129">
            <v>6471</v>
          </cell>
          <cell r="M129">
            <v>6286</v>
          </cell>
          <cell r="N129">
            <v>6368</v>
          </cell>
          <cell r="O129">
            <v>6368</v>
          </cell>
          <cell r="P129">
            <v>6295</v>
          </cell>
          <cell r="Q129">
            <v>6145</v>
          </cell>
          <cell r="R129">
            <v>6150</v>
          </cell>
          <cell r="S129">
            <v>5615</v>
          </cell>
          <cell r="T129">
            <v>5615</v>
          </cell>
          <cell r="U129">
            <v>6295</v>
          </cell>
          <cell r="V129">
            <v>6145</v>
          </cell>
          <cell r="W129">
            <v>6145</v>
          </cell>
          <cell r="X129">
            <v>6145</v>
          </cell>
          <cell r="Y129">
            <v>6145</v>
          </cell>
          <cell r="Z129">
            <v>6145</v>
          </cell>
          <cell r="AA129">
            <v>6145</v>
          </cell>
          <cell r="AB129">
            <v>6145</v>
          </cell>
          <cell r="AC129">
            <v>6145</v>
          </cell>
          <cell r="AD129">
            <v>6145</v>
          </cell>
          <cell r="AE129">
            <v>6145</v>
          </cell>
          <cell r="AF129">
            <v>6145</v>
          </cell>
          <cell r="AG129">
            <v>6145</v>
          </cell>
          <cell r="AH129"/>
        </row>
        <row r="130">
          <cell r="C130" t="str">
            <v>Total Non-Current Assets</v>
          </cell>
          <cell r="D130"/>
          <cell r="E130"/>
          <cell r="F130">
            <v>25960</v>
          </cell>
          <cell r="G130">
            <v>26102</v>
          </cell>
          <cell r="H130">
            <v>26713</v>
          </cell>
          <cell r="I130">
            <v>27509</v>
          </cell>
          <cell r="J130">
            <v>27509</v>
          </cell>
          <cell r="K130">
            <v>27306</v>
          </cell>
          <cell r="L130">
            <v>27205</v>
          </cell>
          <cell r="M130">
            <v>26865</v>
          </cell>
          <cell r="N130">
            <v>27172</v>
          </cell>
          <cell r="O130">
            <v>27172</v>
          </cell>
          <cell r="P130">
            <v>27006</v>
          </cell>
          <cell r="Q130">
            <v>26794</v>
          </cell>
          <cell r="R130">
            <v>26973</v>
          </cell>
          <cell r="S130">
            <v>29529</v>
          </cell>
          <cell r="T130">
            <v>29529</v>
          </cell>
          <cell r="U130">
            <v>27006</v>
          </cell>
          <cell r="V130">
            <v>26794</v>
          </cell>
          <cell r="W130">
            <v>30662.642500000002</v>
          </cell>
          <cell r="X130">
            <v>34603.277406249996</v>
          </cell>
          <cell r="Y130">
            <v>34603.277406249996</v>
          </cell>
          <cell r="Z130">
            <v>38624.058328515624</v>
          </cell>
          <cell r="AA130">
            <v>42733.375782446288</v>
          </cell>
          <cell r="AB130">
            <v>46939.87543891705</v>
          </cell>
          <cell r="AC130">
            <v>51252.477045685788</v>
          </cell>
          <cell r="AD130">
            <v>51252.477045685788</v>
          </cell>
          <cell r="AE130">
            <v>67354.058221638086</v>
          </cell>
          <cell r="AF130">
            <v>82123.457357837789</v>
          </cell>
          <cell r="AG130">
            <v>95814.654517079805</v>
          </cell>
          <cell r="AH130"/>
        </row>
        <row r="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row>
        <row r="132">
          <cell r="C132" t="str">
            <v>Total Assets</v>
          </cell>
          <cell r="D132"/>
          <cell r="E132"/>
          <cell r="F132">
            <v>91547</v>
          </cell>
          <cell r="G132">
            <v>89609</v>
          </cell>
          <cell r="H132">
            <v>88950</v>
          </cell>
          <cell r="I132">
            <v>89997</v>
          </cell>
          <cell r="J132">
            <v>89997</v>
          </cell>
          <cell r="K132">
            <v>89673</v>
          </cell>
          <cell r="L132">
            <v>90036</v>
          </cell>
          <cell r="M132">
            <v>91007</v>
          </cell>
          <cell r="N132">
            <v>92333</v>
          </cell>
          <cell r="O132">
            <v>92333</v>
          </cell>
          <cell r="P132">
            <v>113549</v>
          </cell>
          <cell r="Q132">
            <v>113195</v>
          </cell>
          <cell r="R132">
            <v>114659</v>
          </cell>
          <cell r="S132">
            <v>117359</v>
          </cell>
          <cell r="T132">
            <v>117359</v>
          </cell>
          <cell r="U132">
            <v>113549</v>
          </cell>
          <cell r="V132">
            <v>113195</v>
          </cell>
          <cell r="W132">
            <v>905084.68658152141</v>
          </cell>
          <cell r="X132">
            <v>953613.13189559779</v>
          </cell>
          <cell r="Y132">
            <v>953613.13189559779</v>
          </cell>
          <cell r="Z132">
            <v>1004882.7473881107</v>
          </cell>
          <cell r="AA132">
            <v>1059643.3006657711</v>
          </cell>
          <cell r="AB132">
            <v>1114189.5373624293</v>
          </cell>
          <cell r="AC132">
            <v>1173700.8815537735</v>
          </cell>
          <cell r="AD132">
            <v>1173700.8815537735</v>
          </cell>
          <cell r="AE132">
            <v>1176879.0277709733</v>
          </cell>
          <cell r="AF132">
            <v>1259207.3745589638</v>
          </cell>
          <cell r="AG132">
            <v>1345326.6850707291</v>
          </cell>
          <cell r="AH132"/>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row>
        <row r="134">
          <cell r="C134" t="str">
            <v>Accounts Payable</v>
          </cell>
          <cell r="D134"/>
          <cell r="E134"/>
          <cell r="F134">
            <v>11558</v>
          </cell>
          <cell r="G134">
            <v>11748</v>
          </cell>
          <cell r="H134">
            <v>11968</v>
          </cell>
          <cell r="I134">
            <v>11190</v>
          </cell>
          <cell r="J134">
            <v>11190</v>
          </cell>
          <cell r="K134">
            <v>11964</v>
          </cell>
          <cell r="L134">
            <v>12093</v>
          </cell>
          <cell r="M134">
            <v>12718</v>
          </cell>
          <cell r="N134">
            <v>12202</v>
          </cell>
          <cell r="O134">
            <v>12202</v>
          </cell>
          <cell r="P134">
            <v>12613</v>
          </cell>
          <cell r="Q134">
            <v>12904</v>
          </cell>
          <cell r="R134">
            <v>13663</v>
          </cell>
          <cell r="S134">
            <v>12916</v>
          </cell>
          <cell r="T134">
            <v>12916</v>
          </cell>
          <cell r="U134">
            <v>12613</v>
          </cell>
          <cell r="V134">
            <v>12904</v>
          </cell>
          <cell r="W134">
            <v>153952.05570652173</v>
          </cell>
          <cell r="X134">
            <v>161649.6584918478</v>
          </cell>
          <cell r="Y134">
            <v>161649.6584918478</v>
          </cell>
          <cell r="Z134">
            <v>171597.32978365387</v>
          </cell>
          <cell r="AA134">
            <v>180177.19627283656</v>
          </cell>
          <cell r="AB134">
            <v>187129.68591162539</v>
          </cell>
          <cell r="AC134">
            <v>196486.17020720665</v>
          </cell>
          <cell r="AD134">
            <v>196486.17020720665</v>
          </cell>
          <cell r="AE134">
            <v>193614.65113911466</v>
          </cell>
          <cell r="AF134">
            <v>203295.38369607035</v>
          </cell>
          <cell r="AG134">
            <v>213460.15288087388</v>
          </cell>
          <cell r="AH134"/>
        </row>
        <row r="135">
          <cell r="C135" t="str">
            <v>Accrued Liabilities</v>
          </cell>
          <cell r="D135"/>
          <cell r="E135"/>
          <cell r="F135">
            <v>12790</v>
          </cell>
          <cell r="G135">
            <v>13534</v>
          </cell>
          <cell r="H135">
            <v>13243</v>
          </cell>
          <cell r="I135">
            <v>14691</v>
          </cell>
          <cell r="J135">
            <v>14691</v>
          </cell>
          <cell r="K135">
            <v>13332</v>
          </cell>
          <cell r="L135">
            <v>14294</v>
          </cell>
          <cell r="M135">
            <v>14008</v>
          </cell>
          <cell r="N135">
            <v>15292</v>
          </cell>
          <cell r="O135">
            <v>15292</v>
          </cell>
          <cell r="P135">
            <v>10983</v>
          </cell>
          <cell r="Q135">
            <v>12240</v>
          </cell>
          <cell r="R135">
            <v>12869</v>
          </cell>
          <cell r="S135">
            <v>14808</v>
          </cell>
          <cell r="T135">
            <v>14808</v>
          </cell>
          <cell r="U135">
            <v>10983</v>
          </cell>
          <cell r="V135">
            <v>12240</v>
          </cell>
          <cell r="W135">
            <v>188847.85500000001</v>
          </cell>
          <cell r="X135">
            <v>198290.24774999998</v>
          </cell>
          <cell r="Y135">
            <v>198290.24774999998</v>
          </cell>
          <cell r="Z135">
            <v>208204.76013750004</v>
          </cell>
          <cell r="AA135">
            <v>218614.99814437501</v>
          </cell>
          <cell r="AB135">
            <v>229545.74805159378</v>
          </cell>
          <cell r="AC135">
            <v>241023.03545417349</v>
          </cell>
          <cell r="AD135">
            <v>241023.03545417349</v>
          </cell>
          <cell r="AE135">
            <v>235564.49221925615</v>
          </cell>
          <cell r="AF135">
            <v>247342.71683021894</v>
          </cell>
          <cell r="AG135">
            <v>259709.85267172987</v>
          </cell>
          <cell r="AH135"/>
        </row>
        <row r="136">
          <cell r="C136" t="str">
            <v>Other Current Liabilities</v>
          </cell>
          <cell r="D136"/>
          <cell r="E136"/>
          <cell r="F136">
            <v>23926</v>
          </cell>
          <cell r="G136">
            <v>23409</v>
          </cell>
          <cell r="H136">
            <v>22646</v>
          </cell>
          <cell r="I136">
            <v>23869</v>
          </cell>
          <cell r="J136">
            <v>23869</v>
          </cell>
          <cell r="K136">
            <v>24118</v>
          </cell>
          <cell r="L136">
            <v>25802</v>
          </cell>
          <cell r="M136">
            <v>26695</v>
          </cell>
          <cell r="N136">
            <v>27440</v>
          </cell>
          <cell r="O136">
            <v>27440</v>
          </cell>
          <cell r="P136">
            <v>49955</v>
          </cell>
          <cell r="Q136">
            <v>50970</v>
          </cell>
          <cell r="R136">
            <v>51496</v>
          </cell>
          <cell r="S136">
            <v>50676</v>
          </cell>
          <cell r="T136">
            <v>50676</v>
          </cell>
          <cell r="U136">
            <v>49955</v>
          </cell>
          <cell r="V136">
            <v>50970</v>
          </cell>
          <cell r="W136">
            <v>528773.99399999995</v>
          </cell>
          <cell r="X136">
            <v>555212.69369999995</v>
          </cell>
          <cell r="Y136">
            <v>555212.69369999995</v>
          </cell>
          <cell r="Z136">
            <v>499691.42433000007</v>
          </cell>
          <cell r="AA136">
            <v>612121.99480424996</v>
          </cell>
          <cell r="AB136">
            <v>642728.09454446251</v>
          </cell>
          <cell r="AC136">
            <v>674864.49927168572</v>
          </cell>
          <cell r="AD136">
            <v>674864.49927168572</v>
          </cell>
          <cell r="AE136">
            <v>659580.57821391721</v>
          </cell>
          <cell r="AF136">
            <v>692559.60712461302</v>
          </cell>
          <cell r="AG136">
            <v>727187.58748084353</v>
          </cell>
          <cell r="AH136"/>
        </row>
        <row r="137">
          <cell r="C137" t="str">
            <v>Total Current Liabilities (Excl. Debt)</v>
          </cell>
          <cell r="D137"/>
          <cell r="E137"/>
          <cell r="F137">
            <v>48274</v>
          </cell>
          <cell r="G137">
            <v>48691</v>
          </cell>
          <cell r="H137">
            <v>47857</v>
          </cell>
          <cell r="I137">
            <v>49750</v>
          </cell>
          <cell r="J137">
            <v>49750</v>
          </cell>
          <cell r="K137">
            <v>49414</v>
          </cell>
          <cell r="L137">
            <v>52189</v>
          </cell>
          <cell r="M137">
            <v>53421</v>
          </cell>
          <cell r="N137">
            <v>54934</v>
          </cell>
          <cell r="O137">
            <v>54934</v>
          </cell>
          <cell r="P137">
            <v>73551</v>
          </cell>
          <cell r="Q137">
            <v>76114</v>
          </cell>
          <cell r="R137">
            <v>78028</v>
          </cell>
          <cell r="S137">
            <v>78400</v>
          </cell>
          <cell r="T137">
            <v>78400</v>
          </cell>
          <cell r="U137">
            <v>73551</v>
          </cell>
          <cell r="V137">
            <v>76114</v>
          </cell>
          <cell r="W137">
            <v>871573.90470652166</v>
          </cell>
          <cell r="X137">
            <v>915152.59994184773</v>
          </cell>
          <cell r="Y137">
            <v>915152.59994184773</v>
          </cell>
          <cell r="Z137">
            <v>879493.51425115392</v>
          </cell>
          <cell r="AA137">
            <v>1010914.1892214615</v>
          </cell>
          <cell r="AB137">
            <v>1059403.5285076816</v>
          </cell>
          <cell r="AC137">
            <v>1112373.7049330659</v>
          </cell>
          <cell r="AD137">
            <v>1112373.7049330659</v>
          </cell>
          <cell r="AE137">
            <v>1088759.7215722881</v>
          </cell>
          <cell r="AF137">
            <v>1143197.7076509022</v>
          </cell>
          <cell r="AG137">
            <v>1200357.5930334474</v>
          </cell>
          <cell r="AH137"/>
        </row>
        <row r="138">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row>
        <row r="139">
          <cell r="C139" t="str">
            <v>Revolver</v>
          </cell>
          <cell r="D139"/>
          <cell r="E139"/>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82017.262222744161</v>
          </cell>
          <cell r="AA139">
            <v>0</v>
          </cell>
          <cell r="AB139">
            <v>0</v>
          </cell>
          <cell r="AC139">
            <v>0</v>
          </cell>
          <cell r="AD139">
            <v>0</v>
          </cell>
          <cell r="AE139">
            <v>0</v>
          </cell>
          <cell r="AF139">
            <v>0</v>
          </cell>
          <cell r="AG139">
            <v>0</v>
          </cell>
          <cell r="AH139"/>
        </row>
        <row r="140">
          <cell r="C140" t="str">
            <v>LT Debt (Incl. Current Portion)</v>
          </cell>
          <cell r="D140"/>
          <cell r="E140"/>
          <cell r="F140">
            <v>9964</v>
          </cell>
          <cell r="G140">
            <v>11015</v>
          </cell>
          <cell r="H140">
            <v>10456</v>
          </cell>
          <cell r="I140">
            <v>9952</v>
          </cell>
          <cell r="J140">
            <v>9952</v>
          </cell>
          <cell r="K140">
            <v>10799</v>
          </cell>
          <cell r="L140">
            <v>10775</v>
          </cell>
          <cell r="M140">
            <v>10768</v>
          </cell>
          <cell r="N140">
            <v>11117</v>
          </cell>
          <cell r="O140">
            <v>11117</v>
          </cell>
          <cell r="P140">
            <v>12452</v>
          </cell>
          <cell r="Q140">
            <v>12118</v>
          </cell>
          <cell r="R140">
            <v>11876</v>
          </cell>
          <cell r="S140">
            <v>13847</v>
          </cell>
          <cell r="T140">
            <v>13847</v>
          </cell>
          <cell r="U140">
            <v>12452</v>
          </cell>
          <cell r="V140">
            <v>12118</v>
          </cell>
          <cell r="W140">
            <v>12118</v>
          </cell>
          <cell r="X140">
            <v>12118</v>
          </cell>
          <cell r="Y140">
            <v>12118</v>
          </cell>
          <cell r="Z140">
            <v>12118</v>
          </cell>
          <cell r="AA140">
            <v>12118</v>
          </cell>
          <cell r="AB140">
            <v>12118</v>
          </cell>
          <cell r="AC140">
            <v>12118</v>
          </cell>
          <cell r="AD140">
            <v>12118</v>
          </cell>
          <cell r="AE140">
            <v>12118</v>
          </cell>
          <cell r="AF140">
            <v>12118</v>
          </cell>
          <cell r="AG140">
            <v>12118</v>
          </cell>
          <cell r="AH140"/>
        </row>
        <row r="141">
          <cell r="C141" t="str">
            <v>Deferred Income Taxes</v>
          </cell>
          <cell r="D141"/>
          <cell r="E141"/>
          <cell r="F141">
            <v>2297</v>
          </cell>
          <cell r="G141">
            <v>2422</v>
          </cell>
          <cell r="H141">
            <v>2211</v>
          </cell>
          <cell r="I141">
            <v>1338</v>
          </cell>
          <cell r="J141">
            <v>1338</v>
          </cell>
          <cell r="K141">
            <v>1339</v>
          </cell>
          <cell r="L141">
            <v>1415</v>
          </cell>
          <cell r="M141">
            <v>2884</v>
          </cell>
          <cell r="N141">
            <v>1839</v>
          </cell>
          <cell r="O141">
            <v>1839</v>
          </cell>
          <cell r="P141">
            <v>2001</v>
          </cell>
          <cell r="Q141">
            <v>1900</v>
          </cell>
          <cell r="R141">
            <v>1738</v>
          </cell>
          <cell r="S141">
            <v>1736</v>
          </cell>
          <cell r="T141">
            <v>1736</v>
          </cell>
          <cell r="U141">
            <v>2001</v>
          </cell>
          <cell r="V141">
            <v>1900</v>
          </cell>
          <cell r="W141">
            <v>1900</v>
          </cell>
          <cell r="X141">
            <v>1900</v>
          </cell>
          <cell r="Y141">
            <v>1900</v>
          </cell>
          <cell r="Z141">
            <v>1900</v>
          </cell>
          <cell r="AA141">
            <v>1900</v>
          </cell>
          <cell r="AB141">
            <v>1900</v>
          </cell>
          <cell r="AC141">
            <v>1900</v>
          </cell>
          <cell r="AD141">
            <v>1900</v>
          </cell>
          <cell r="AE141">
            <v>1900</v>
          </cell>
          <cell r="AF141">
            <v>1900</v>
          </cell>
          <cell r="AG141">
            <v>1900</v>
          </cell>
          <cell r="AH141"/>
        </row>
        <row r="142">
          <cell r="C142" t="str">
            <v>Other Non-Current Liabilities</v>
          </cell>
          <cell r="D142"/>
          <cell r="E142"/>
          <cell r="F142">
            <v>26906</v>
          </cell>
          <cell r="G142">
            <v>26834</v>
          </cell>
          <cell r="H142">
            <v>26276</v>
          </cell>
          <cell r="I142">
            <v>28080</v>
          </cell>
          <cell r="J142">
            <v>28080</v>
          </cell>
          <cell r="K142">
            <v>27966</v>
          </cell>
          <cell r="L142">
            <v>27635</v>
          </cell>
          <cell r="M142">
            <v>22789</v>
          </cell>
          <cell r="N142">
            <v>24031</v>
          </cell>
          <cell r="O142">
            <v>24031</v>
          </cell>
          <cell r="P142">
            <v>24247</v>
          </cell>
          <cell r="Q142">
            <v>24437</v>
          </cell>
          <cell r="R142">
            <v>24226</v>
          </cell>
          <cell r="S142">
            <v>22966</v>
          </cell>
          <cell r="T142">
            <v>22966</v>
          </cell>
          <cell r="U142">
            <v>24247</v>
          </cell>
          <cell r="V142">
            <v>24437</v>
          </cell>
          <cell r="W142">
            <v>24437</v>
          </cell>
          <cell r="X142">
            <v>24437</v>
          </cell>
          <cell r="Y142">
            <v>24437</v>
          </cell>
          <cell r="Z142">
            <v>24437</v>
          </cell>
          <cell r="AA142">
            <v>24437</v>
          </cell>
          <cell r="AB142">
            <v>24437</v>
          </cell>
          <cell r="AC142">
            <v>24437</v>
          </cell>
          <cell r="AD142">
            <v>24437</v>
          </cell>
          <cell r="AE142">
            <v>24437</v>
          </cell>
          <cell r="AF142">
            <v>24437</v>
          </cell>
          <cell r="AG142">
            <v>24437</v>
          </cell>
          <cell r="AH142"/>
        </row>
        <row r="143">
          <cell r="C143" t="str">
            <v>Total Non-Current Liabilities</v>
          </cell>
          <cell r="D143"/>
          <cell r="E143"/>
          <cell r="F143">
            <v>39167</v>
          </cell>
          <cell r="G143">
            <v>40271</v>
          </cell>
          <cell r="H143">
            <v>38943</v>
          </cell>
          <cell r="I143">
            <v>39370</v>
          </cell>
          <cell r="J143">
            <v>39370</v>
          </cell>
          <cell r="K143">
            <v>40104</v>
          </cell>
          <cell r="L143">
            <v>39825</v>
          </cell>
          <cell r="M143">
            <v>36441</v>
          </cell>
          <cell r="N143">
            <v>36987</v>
          </cell>
          <cell r="O143">
            <v>36987</v>
          </cell>
          <cell r="P143">
            <v>38700</v>
          </cell>
          <cell r="Q143">
            <v>38455</v>
          </cell>
          <cell r="R143">
            <v>37840</v>
          </cell>
          <cell r="S143">
            <v>38549</v>
          </cell>
          <cell r="T143">
            <v>38549</v>
          </cell>
          <cell r="U143">
            <v>38700</v>
          </cell>
          <cell r="V143">
            <v>38455</v>
          </cell>
          <cell r="W143">
            <v>38455</v>
          </cell>
          <cell r="X143">
            <v>38455</v>
          </cell>
          <cell r="Y143">
            <v>38455</v>
          </cell>
          <cell r="Z143">
            <v>120472.26222274416</v>
          </cell>
          <cell r="AA143">
            <v>38455</v>
          </cell>
          <cell r="AB143">
            <v>38455</v>
          </cell>
          <cell r="AC143">
            <v>38455</v>
          </cell>
          <cell r="AD143">
            <v>38455</v>
          </cell>
          <cell r="AE143">
            <v>38455</v>
          </cell>
          <cell r="AF143">
            <v>38455</v>
          </cell>
          <cell r="AG143">
            <v>38455</v>
          </cell>
          <cell r="AH143"/>
        </row>
        <row r="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row>
        <row r="145">
          <cell r="C145" t="str">
            <v>Total Liabilities</v>
          </cell>
          <cell r="D145"/>
          <cell r="E145"/>
          <cell r="F145">
            <v>87441</v>
          </cell>
          <cell r="G145">
            <v>88962</v>
          </cell>
          <cell r="H145">
            <v>86800</v>
          </cell>
          <cell r="I145">
            <v>89120</v>
          </cell>
          <cell r="J145">
            <v>89120</v>
          </cell>
          <cell r="K145">
            <v>89518</v>
          </cell>
          <cell r="L145">
            <v>92014</v>
          </cell>
          <cell r="M145">
            <v>89862</v>
          </cell>
          <cell r="N145">
            <v>91921</v>
          </cell>
          <cell r="O145">
            <v>91921</v>
          </cell>
          <cell r="P145">
            <v>112251</v>
          </cell>
          <cell r="Q145">
            <v>114569</v>
          </cell>
          <cell r="R145">
            <v>115868</v>
          </cell>
          <cell r="S145">
            <v>116949</v>
          </cell>
          <cell r="T145">
            <v>116949</v>
          </cell>
          <cell r="U145">
            <v>112251</v>
          </cell>
          <cell r="V145">
            <v>114569</v>
          </cell>
          <cell r="W145">
            <v>910028.90470652166</v>
          </cell>
          <cell r="X145">
            <v>953607.59994184773</v>
          </cell>
          <cell r="Y145">
            <v>953607.59994184773</v>
          </cell>
          <cell r="Z145">
            <v>999965.77647389809</v>
          </cell>
          <cell r="AA145">
            <v>1049369.1892214615</v>
          </cell>
          <cell r="AB145">
            <v>1097858.5285076816</v>
          </cell>
          <cell r="AC145">
            <v>1150828.7049330659</v>
          </cell>
          <cell r="AD145">
            <v>1150828.7049330659</v>
          </cell>
          <cell r="AE145">
            <v>1127214.7215722881</v>
          </cell>
          <cell r="AF145">
            <v>1181652.7076509022</v>
          </cell>
          <cell r="AG145">
            <v>1238812.5930334474</v>
          </cell>
          <cell r="AH145"/>
        </row>
        <row r="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row>
        <row r="147">
          <cell r="C147" t="str">
            <v>Common Stock &amp; APIC</v>
          </cell>
          <cell r="D147"/>
          <cell r="E147"/>
          <cell r="F147">
            <v>9845</v>
          </cell>
          <cell r="G147">
            <v>9839</v>
          </cell>
          <cell r="H147">
            <v>9869</v>
          </cell>
          <cell r="I147">
            <v>9823</v>
          </cell>
          <cell r="J147">
            <v>9823</v>
          </cell>
          <cell r="K147">
            <v>9665</v>
          </cell>
          <cell r="L147">
            <v>9705</v>
          </cell>
          <cell r="M147">
            <v>11815</v>
          </cell>
          <cell r="N147">
            <v>11865</v>
          </cell>
          <cell r="O147">
            <v>11865</v>
          </cell>
          <cell r="P147">
            <v>11685</v>
          </cell>
          <cell r="Q147">
            <v>11737</v>
          </cell>
          <cell r="R147">
            <v>11775</v>
          </cell>
          <cell r="S147">
            <v>11829</v>
          </cell>
          <cell r="T147">
            <v>11829</v>
          </cell>
          <cell r="U147">
            <v>11685</v>
          </cell>
          <cell r="V147">
            <v>11737</v>
          </cell>
          <cell r="W147">
            <v>11792.65</v>
          </cell>
          <cell r="X147">
            <v>11851.0825</v>
          </cell>
          <cell r="Y147">
            <v>11851.0825</v>
          </cell>
          <cell r="Z147">
            <v>11912.436625</v>
          </cell>
          <cell r="AA147">
            <v>11976.85845625</v>
          </cell>
          <cell r="AB147">
            <v>12044.5013790625</v>
          </cell>
          <cell r="AC147">
            <v>12115.526448015626</v>
          </cell>
          <cell r="AD147">
            <v>12115.526448015626</v>
          </cell>
          <cell r="AE147">
            <v>12393.192593432032</v>
          </cell>
          <cell r="AF147">
            <v>12684.742046119258</v>
          </cell>
          <cell r="AG147">
            <v>12990.868971440847</v>
          </cell>
          <cell r="AH147"/>
        </row>
        <row r="148">
          <cell r="C148" t="str">
            <v>Retained Earnings</v>
          </cell>
          <cell r="D148"/>
          <cell r="E148"/>
          <cell r="F148">
            <v>39975</v>
          </cell>
          <cell r="G148">
            <v>38362</v>
          </cell>
          <cell r="H148">
            <v>40641</v>
          </cell>
          <cell r="I148">
            <v>40714</v>
          </cell>
          <cell r="J148">
            <v>40714</v>
          </cell>
          <cell r="K148">
            <v>42165</v>
          </cell>
          <cell r="L148">
            <v>42222</v>
          </cell>
          <cell r="M148">
            <v>44052</v>
          </cell>
          <cell r="N148">
            <v>45320</v>
          </cell>
          <cell r="O148">
            <v>45320</v>
          </cell>
          <cell r="P148">
            <v>52095</v>
          </cell>
          <cell r="Q148">
            <v>52303</v>
          </cell>
          <cell r="R148">
            <v>54666</v>
          </cell>
          <cell r="S148">
            <v>55941</v>
          </cell>
          <cell r="T148">
            <v>55941</v>
          </cell>
          <cell r="U148">
            <v>52095</v>
          </cell>
          <cell r="V148">
            <v>52303</v>
          </cell>
          <cell r="W148">
            <v>58798.131874999992</v>
          </cell>
          <cell r="X148">
            <v>65689.44945375</v>
          </cell>
          <cell r="Y148">
            <v>65689.44945375</v>
          </cell>
          <cell r="Z148">
            <v>72539.534289212752</v>
          </cell>
          <cell r="AA148">
            <v>79832.252988059845</v>
          </cell>
          <cell r="AB148">
            <v>87821.507475685314</v>
          </cell>
          <cell r="AC148">
            <v>96291.650172692054</v>
          </cell>
          <cell r="AD148">
            <v>96291.650172692054</v>
          </cell>
          <cell r="AE148">
            <v>128806.11360525319</v>
          </cell>
          <cell r="AF148">
            <v>162404.92486194248</v>
          </cell>
          <cell r="AG148">
            <v>197058.22306584116</v>
          </cell>
          <cell r="AH148"/>
        </row>
        <row r="149">
          <cell r="C149" t="str">
            <v>Treasury Stock</v>
          </cell>
          <cell r="D149"/>
          <cell r="E149"/>
          <cell r="F149">
            <v>-32939</v>
          </cell>
          <cell r="G149">
            <v>-34821</v>
          </cell>
          <cell r="H149">
            <v>-35763</v>
          </cell>
          <cell r="I149">
            <v>-36097</v>
          </cell>
          <cell r="J149">
            <v>-36097</v>
          </cell>
          <cell r="K149">
            <v>-38320</v>
          </cell>
          <cell r="L149">
            <v>-40730</v>
          </cell>
          <cell r="M149">
            <v>-41745</v>
          </cell>
          <cell r="N149">
            <v>-43454</v>
          </cell>
          <cell r="O149">
            <v>-43454</v>
          </cell>
          <cell r="P149">
            <v>-46396</v>
          </cell>
          <cell r="Q149">
            <v>-49342</v>
          </cell>
          <cell r="R149">
            <v>-51781</v>
          </cell>
          <cell r="S149">
            <v>-52348</v>
          </cell>
          <cell r="T149">
            <v>-52348</v>
          </cell>
          <cell r="U149">
            <v>-46396</v>
          </cell>
          <cell r="V149">
            <v>-49342</v>
          </cell>
          <cell r="W149">
            <v>-51342</v>
          </cell>
          <cell r="X149">
            <v>-53342</v>
          </cell>
          <cell r="Y149">
            <v>-53342</v>
          </cell>
          <cell r="Z149">
            <v>-55342</v>
          </cell>
          <cell r="AA149">
            <v>-57342</v>
          </cell>
          <cell r="AB149">
            <v>-59342</v>
          </cell>
          <cell r="AC149">
            <v>-61342</v>
          </cell>
          <cell r="AD149">
            <v>-61342</v>
          </cell>
          <cell r="AE149">
            <v>-67342</v>
          </cell>
          <cell r="AF149">
            <v>-73342</v>
          </cell>
          <cell r="AG149">
            <v>-79342</v>
          </cell>
          <cell r="AH149"/>
        </row>
        <row r="150">
          <cell r="C150" t="str">
            <v>Accumulated Other Comprehensive Income (AOCI)</v>
          </cell>
          <cell r="D150"/>
          <cell r="E150"/>
          <cell r="F150">
            <v>-12838</v>
          </cell>
          <cell r="G150">
            <v>-12795</v>
          </cell>
          <cell r="H150">
            <v>-12658</v>
          </cell>
          <cell r="I150">
            <v>-13623</v>
          </cell>
          <cell r="J150">
            <v>-13623</v>
          </cell>
          <cell r="K150">
            <v>-13415</v>
          </cell>
          <cell r="L150">
            <v>-13234</v>
          </cell>
          <cell r="M150">
            <v>-13036</v>
          </cell>
          <cell r="N150">
            <v>-13376</v>
          </cell>
          <cell r="O150">
            <v>-13376</v>
          </cell>
          <cell r="P150">
            <v>-16162</v>
          </cell>
          <cell r="Q150">
            <v>-16139</v>
          </cell>
          <cell r="R150">
            <v>-15949</v>
          </cell>
          <cell r="S150">
            <v>-15083</v>
          </cell>
          <cell r="T150">
            <v>-15083</v>
          </cell>
          <cell r="U150">
            <v>-16162</v>
          </cell>
          <cell r="V150">
            <v>-16139</v>
          </cell>
          <cell r="W150">
            <v>-16139</v>
          </cell>
          <cell r="X150">
            <v>-16139</v>
          </cell>
          <cell r="Y150">
            <v>-16139</v>
          </cell>
          <cell r="Z150">
            <v>-16139</v>
          </cell>
          <cell r="AA150">
            <v>-16139</v>
          </cell>
          <cell r="AB150">
            <v>-16139</v>
          </cell>
          <cell r="AC150">
            <v>-16139</v>
          </cell>
          <cell r="AD150">
            <v>-16139</v>
          </cell>
          <cell r="AE150">
            <v>-16139</v>
          </cell>
          <cell r="AF150">
            <v>-16139</v>
          </cell>
          <cell r="AG150">
            <v>-16139</v>
          </cell>
          <cell r="AH150"/>
        </row>
        <row r="151">
          <cell r="C151" t="str">
            <v>Total Shareholder's Equity</v>
          </cell>
          <cell r="D151"/>
          <cell r="E151"/>
          <cell r="F151">
            <v>4043</v>
          </cell>
          <cell r="G151">
            <v>585</v>
          </cell>
          <cell r="H151">
            <v>2089</v>
          </cell>
          <cell r="I151">
            <v>817</v>
          </cell>
          <cell r="J151">
            <v>817</v>
          </cell>
          <cell r="K151">
            <v>95</v>
          </cell>
          <cell r="L151">
            <v>-2037</v>
          </cell>
          <cell r="M151">
            <v>1086</v>
          </cell>
          <cell r="N151">
            <v>355</v>
          </cell>
          <cell r="O151">
            <v>355</v>
          </cell>
          <cell r="P151">
            <v>1222</v>
          </cell>
          <cell r="Q151">
            <v>-1441</v>
          </cell>
          <cell r="R151">
            <v>-1289</v>
          </cell>
          <cell r="S151">
            <v>339</v>
          </cell>
          <cell r="T151">
            <v>339</v>
          </cell>
          <cell r="U151">
            <v>1222</v>
          </cell>
          <cell r="V151">
            <v>-1441</v>
          </cell>
          <cell r="W151">
            <v>3109.781874999986</v>
          </cell>
          <cell r="X151">
            <v>8059.5319537500036</v>
          </cell>
          <cell r="Y151">
            <v>8059.5319537500036</v>
          </cell>
          <cell r="Z151">
            <v>12970.970914212754</v>
          </cell>
          <cell r="AA151">
            <v>18328.111444309849</v>
          </cell>
          <cell r="AB151">
            <v>24385.008854747808</v>
          </cell>
          <cell r="AC151">
            <v>30926.176620707673</v>
          </cell>
          <cell r="AD151">
            <v>30926.176620707673</v>
          </cell>
          <cell r="AE151">
            <v>57718.306198685226</v>
          </cell>
          <cell r="AF151">
            <v>85608.666908061743</v>
          </cell>
          <cell r="AG151">
            <v>114568.09203728201</v>
          </cell>
          <cell r="AH151"/>
        </row>
        <row r="152">
          <cell r="C152"/>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row>
        <row r="153">
          <cell r="C153" t="str">
            <v>Noncontrolling Interests</v>
          </cell>
          <cell r="D153"/>
          <cell r="E153"/>
          <cell r="F153">
            <v>63</v>
          </cell>
          <cell r="G153">
            <v>62</v>
          </cell>
          <cell r="H153">
            <v>61</v>
          </cell>
          <cell r="I153">
            <v>60</v>
          </cell>
          <cell r="J153">
            <v>60</v>
          </cell>
          <cell r="K153">
            <v>60</v>
          </cell>
          <cell r="L153">
            <v>59</v>
          </cell>
          <cell r="M153">
            <v>59</v>
          </cell>
          <cell r="N153">
            <v>57</v>
          </cell>
          <cell r="O153">
            <v>57</v>
          </cell>
          <cell r="P153">
            <v>76</v>
          </cell>
          <cell r="Q153">
            <v>67</v>
          </cell>
          <cell r="R153">
            <v>80</v>
          </cell>
          <cell r="S153">
            <v>71</v>
          </cell>
          <cell r="T153">
            <v>71</v>
          </cell>
          <cell r="U153">
            <v>76</v>
          </cell>
          <cell r="V153">
            <v>67</v>
          </cell>
          <cell r="W153">
            <v>67</v>
          </cell>
          <cell r="X153">
            <v>67</v>
          </cell>
          <cell r="Y153">
            <v>67</v>
          </cell>
          <cell r="Z153">
            <v>67</v>
          </cell>
          <cell r="AA153">
            <v>67</v>
          </cell>
          <cell r="AB153">
            <v>67</v>
          </cell>
          <cell r="AC153">
            <v>67</v>
          </cell>
          <cell r="AD153">
            <v>67</v>
          </cell>
          <cell r="AE153">
            <v>67</v>
          </cell>
          <cell r="AF153">
            <v>67</v>
          </cell>
          <cell r="AG153">
            <v>67</v>
          </cell>
          <cell r="AH153"/>
        </row>
        <row r="154">
          <cell r="C154" t="str">
            <v>Total Equity</v>
          </cell>
          <cell r="D154"/>
          <cell r="E154"/>
          <cell r="F154">
            <v>4106</v>
          </cell>
          <cell r="G154">
            <v>647</v>
          </cell>
          <cell r="H154">
            <v>2150</v>
          </cell>
          <cell r="I154">
            <v>877</v>
          </cell>
          <cell r="J154">
            <v>877</v>
          </cell>
          <cell r="K154">
            <v>155</v>
          </cell>
          <cell r="L154">
            <v>-1978</v>
          </cell>
          <cell r="M154">
            <v>1145</v>
          </cell>
          <cell r="N154">
            <v>412</v>
          </cell>
          <cell r="O154">
            <v>412</v>
          </cell>
          <cell r="P154">
            <v>1298</v>
          </cell>
          <cell r="Q154">
            <v>-1374</v>
          </cell>
          <cell r="R154">
            <v>-1209</v>
          </cell>
          <cell r="S154">
            <v>410</v>
          </cell>
          <cell r="T154">
            <v>410</v>
          </cell>
          <cell r="U154">
            <v>1298</v>
          </cell>
          <cell r="V154">
            <v>-1374</v>
          </cell>
          <cell r="W154">
            <v>3176.781874999986</v>
          </cell>
          <cell r="X154">
            <v>8126.5319537500036</v>
          </cell>
          <cell r="Y154">
            <v>8126.5319537500036</v>
          </cell>
          <cell r="Z154">
            <v>13037.970914212754</v>
          </cell>
          <cell r="AA154">
            <v>18395.111444309849</v>
          </cell>
          <cell r="AB154">
            <v>24452.008854747808</v>
          </cell>
          <cell r="AC154">
            <v>30993.176620707673</v>
          </cell>
          <cell r="AD154">
            <v>30993.176620707673</v>
          </cell>
          <cell r="AE154">
            <v>57785.306198685226</v>
          </cell>
          <cell r="AF154">
            <v>85675.666908061743</v>
          </cell>
          <cell r="AG154">
            <v>114635.09203728201</v>
          </cell>
          <cell r="AH154"/>
        </row>
        <row r="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row>
        <row r="156">
          <cell r="C156" t="str">
            <v>Total Liabilities &amp; Shareholder's Equity</v>
          </cell>
          <cell r="D156"/>
          <cell r="E156"/>
          <cell r="F156">
            <v>91547</v>
          </cell>
          <cell r="G156">
            <v>89609</v>
          </cell>
          <cell r="H156">
            <v>88950</v>
          </cell>
          <cell r="I156">
            <v>89997</v>
          </cell>
          <cell r="J156">
            <v>89997</v>
          </cell>
          <cell r="K156">
            <v>89673</v>
          </cell>
          <cell r="L156">
            <v>90036</v>
          </cell>
          <cell r="M156">
            <v>91007</v>
          </cell>
          <cell r="N156">
            <v>92333</v>
          </cell>
          <cell r="O156">
            <v>92333</v>
          </cell>
          <cell r="P156">
            <v>113549</v>
          </cell>
          <cell r="Q156">
            <v>113195</v>
          </cell>
          <cell r="R156">
            <v>114659</v>
          </cell>
          <cell r="S156">
            <v>117359</v>
          </cell>
          <cell r="T156">
            <v>117359</v>
          </cell>
          <cell r="U156">
            <v>113549</v>
          </cell>
          <cell r="V156">
            <v>113195</v>
          </cell>
          <cell r="W156">
            <v>913205.68658152164</v>
          </cell>
          <cell r="X156">
            <v>961734.13189559779</v>
          </cell>
          <cell r="Y156">
            <v>961734.13189559779</v>
          </cell>
          <cell r="Z156">
            <v>1013003.7473881108</v>
          </cell>
          <cell r="AA156">
            <v>1067764.3006657714</v>
          </cell>
          <cell r="AB156">
            <v>1122310.5373624293</v>
          </cell>
          <cell r="AC156">
            <v>1181821.8815537735</v>
          </cell>
          <cell r="AD156">
            <v>1181821.8815537735</v>
          </cell>
          <cell r="AE156">
            <v>1185000.0277709733</v>
          </cell>
          <cell r="AF156">
            <v>1267328.374558964</v>
          </cell>
          <cell r="AG156">
            <v>1353447.6850707293</v>
          </cell>
          <cell r="AH156"/>
        </row>
        <row r="157">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row>
        <row r="158">
          <cell r="C158" t="str">
            <v>Balance Sheet Check</v>
          </cell>
          <cell r="D158"/>
          <cell r="E158"/>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-8121.0000000002328</v>
          </cell>
          <cell r="X158">
            <v>-8121</v>
          </cell>
          <cell r="Y158">
            <v>-8121</v>
          </cell>
          <cell r="Z158">
            <v>-8121.0000000001164</v>
          </cell>
          <cell r="AA158">
            <v>-8121.0000000002328</v>
          </cell>
          <cell r="AB158">
            <v>-8121</v>
          </cell>
          <cell r="AC158">
            <v>-8121</v>
          </cell>
          <cell r="AD158">
            <v>-8121</v>
          </cell>
          <cell r="AE158">
            <v>-8121</v>
          </cell>
          <cell r="AF158">
            <v>-8121.0000000002328</v>
          </cell>
          <cell r="AG158">
            <v>-8121.0000000002328</v>
          </cell>
          <cell r="AH158"/>
        </row>
        <row r="159">
          <cell r="C159"/>
          <cell r="D159"/>
          <cell r="E159"/>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row>
      </sheetData>
      <sheetData sheetId="8" refreshError="1"/>
      <sheetData sheetId="9" refreshError="1"/>
      <sheetData sheetId="10">
        <row r="6">
          <cell r="G6">
            <v>1.7999999999999999E-2</v>
          </cell>
          <cell r="N6">
            <v>7.2104565543514201E-2</v>
          </cell>
        </row>
        <row r="7">
          <cell r="G7">
            <v>0.08</v>
          </cell>
        </row>
        <row r="8">
          <cell r="N8">
            <v>0</v>
          </cell>
        </row>
        <row r="10">
          <cell r="G10">
            <v>0</v>
          </cell>
        </row>
        <row r="13">
          <cell r="O13">
            <v>6.0974902205007071E-2</v>
          </cell>
        </row>
        <row r="17">
          <cell r="G17">
            <v>3.9415304378605034E-2</v>
          </cell>
        </row>
        <row r="25">
          <cell r="G25">
            <v>6.2650247698517542E-2</v>
          </cell>
        </row>
      </sheetData>
      <sheetData sheetId="11" refreshError="1"/>
      <sheetData sheetId="12" refreshError="1"/>
      <sheetData sheetId="13">
        <row r="220">
          <cell r="G220" t="str">
            <v>2002-2008</v>
          </cell>
        </row>
        <row r="221">
          <cell r="G221" t="str">
            <v>Late Cycle</v>
          </cell>
        </row>
        <row r="222">
          <cell r="G222" t="str">
            <v>NTM</v>
          </cell>
        </row>
      </sheetData>
      <sheetData sheetId="14"/>
      <sheetData sheetId="15">
        <row r="14">
          <cell r="C14"/>
          <cell r="D14"/>
          <cell r="E14" t="str">
            <v>LTM P/E</v>
          </cell>
          <cell r="F14" t="str">
            <v>NTM P/E</v>
          </cell>
          <cell r="G14" t="str">
            <v>LTM EV/EBITDA</v>
          </cell>
          <cell r="H14" t="str">
            <v>NTM EV/EBITDA</v>
          </cell>
        </row>
        <row r="15">
          <cell r="C15" t="str">
            <v>2002-2018 Full Cycle</v>
          </cell>
          <cell r="D15"/>
          <cell r="E15">
            <v>18.205671476016477</v>
          </cell>
          <cell r="F15">
            <v>19.283640878196735</v>
          </cell>
          <cell r="G15">
            <v>11.082545507878535</v>
          </cell>
          <cell r="H15">
            <v>9.1811144040872925</v>
          </cell>
        </row>
        <row r="16">
          <cell r="C16" t="str">
            <v>2002-2018 Early Cycle</v>
          </cell>
          <cell r="D16"/>
          <cell r="E16">
            <v>16.631865018705398</v>
          </cell>
          <cell r="F16">
            <v>19.070116660836842</v>
          </cell>
          <cell r="G16">
            <v>10.158647187845514</v>
          </cell>
          <cell r="H16" t="e">
            <v>#DIV/0!</v>
          </cell>
        </row>
        <row r="17">
          <cell r="C17" t="str">
            <v>2002-2018 Mid Cycle</v>
          </cell>
          <cell r="D17"/>
          <cell r="E17">
            <v>23.398224311899781</v>
          </cell>
          <cell r="F17">
            <v>20.451988708480599</v>
          </cell>
          <cell r="G17">
            <v>12.071191686019064</v>
          </cell>
          <cell r="H17">
            <v>10.052153383638277</v>
          </cell>
        </row>
        <row r="18">
          <cell r="C18" t="str">
            <v>2002-2018 Late Cycle</v>
          </cell>
          <cell r="D18"/>
          <cell r="E18">
            <v>18.777389202344729</v>
          </cell>
          <cell r="F18">
            <v>19.764491245647761</v>
          </cell>
          <cell r="G18">
            <v>11.670348005383676</v>
          </cell>
          <cell r="H18">
            <v>10.020605620546235</v>
          </cell>
        </row>
        <row r="19">
          <cell r="C19" t="str">
            <v>2002-2008 Full Cycle</v>
          </cell>
          <cell r="D19"/>
          <cell r="E19">
            <v>20.990344859611792</v>
          </cell>
          <cell r="F19">
            <v>20.603814431351687</v>
          </cell>
          <cell r="G19">
            <v>11.793920525786316</v>
          </cell>
          <cell r="H19">
            <v>9.3541574754593846</v>
          </cell>
        </row>
        <row r="20">
          <cell r="C20" t="str">
            <v>2002-2008 Early Cycle</v>
          </cell>
          <cell r="D20"/>
          <cell r="E20">
            <v>21.249489240284277</v>
          </cell>
          <cell r="F20">
            <v>21.070348116173559</v>
          </cell>
          <cell r="G20">
            <v>10.883267445446497</v>
          </cell>
          <cell r="H20" t="e">
            <v>#DIV/0!</v>
          </cell>
        </row>
        <row r="21">
          <cell r="C21" t="str">
            <v>2002-2008 Mid Cycle</v>
          </cell>
          <cell r="D21"/>
          <cell r="E21">
            <v>29.710481817262107</v>
          </cell>
          <cell r="F21">
            <v>24.405532339385086</v>
          </cell>
          <cell r="G21">
            <v>15.0676972906251</v>
          </cell>
          <cell r="H21">
            <v>11.45371415582796</v>
          </cell>
        </row>
        <row r="22">
          <cell r="C22" t="str">
            <v>2002-2008 Late Cycle</v>
          </cell>
          <cell r="D22"/>
          <cell r="E22">
            <v>18.364666816607834</v>
          </cell>
          <cell r="F22">
            <v>19.049844200140832</v>
          </cell>
          <cell r="G22">
            <v>11.239462473426661</v>
          </cell>
          <cell r="H22">
            <v>9.0854268672387928</v>
          </cell>
        </row>
        <row r="23">
          <cell r="C23" t="str">
            <v>2009-2018 Full Cycle</v>
          </cell>
          <cell r="D23"/>
          <cell r="E23">
            <v>16.256400107499754</v>
          </cell>
          <cell r="F23">
            <v>18.359519390988275</v>
          </cell>
          <cell r="G23">
            <v>10.584582995343096</v>
          </cell>
          <cell r="H23">
            <v>9.1205493291070603</v>
          </cell>
        </row>
        <row r="24">
          <cell r="C24" t="str">
            <v>2009-2018 Early Cycle</v>
          </cell>
          <cell r="D24"/>
          <cell r="E24">
            <v>12.014240797126522</v>
          </cell>
          <cell r="F24">
            <v>17.069885205500125</v>
          </cell>
          <cell r="G24">
            <v>9.4340269302445314</v>
          </cell>
          <cell r="H24">
            <v>7.2319439347489265</v>
          </cell>
        </row>
        <row r="25">
          <cell r="C25" t="str">
            <v>2009-2018 Mid Cycle</v>
          </cell>
          <cell r="D25"/>
          <cell r="E25">
            <v>17.085966806537453</v>
          </cell>
          <cell r="F25">
            <v>16.498445077576111</v>
          </cell>
          <cell r="G25">
            <v>9.074686081413029</v>
          </cell>
          <cell r="H25">
            <v>8.6505926114485945</v>
          </cell>
        </row>
        <row r="26">
          <cell r="C26" t="str">
            <v>2009-2018 Late Cycle</v>
          </cell>
          <cell r="D26"/>
          <cell r="E26">
            <v>19.190111588081624</v>
          </cell>
          <cell r="F26">
            <v>20.479138291154694</v>
          </cell>
          <cell r="G26">
            <v>12.101233537340693</v>
          </cell>
          <cell r="H26">
            <v>10.955784373853678</v>
          </cell>
        </row>
        <row r="36">
          <cell r="C36"/>
          <cell r="D36"/>
          <cell r="E36" t="str">
            <v>LTM P/E</v>
          </cell>
          <cell r="F36" t="str">
            <v>NTM P/E</v>
          </cell>
          <cell r="G36" t="str">
            <v>LTM EV/EBITDA</v>
          </cell>
          <cell r="H36" t="str">
            <v>NTM EV/EBITDA</v>
          </cell>
        </row>
        <row r="37">
          <cell r="C37" t="str">
            <v>2002-2018 Full Cycle</v>
          </cell>
          <cell r="D37"/>
          <cell r="E37">
            <v>21.403246311846644</v>
          </cell>
          <cell r="F37">
            <v>17.95801719118516</v>
          </cell>
          <cell r="G37">
            <v>9.3132513318769821</v>
          </cell>
          <cell r="H37">
            <v>7.4958293757039796</v>
          </cell>
        </row>
        <row r="38">
          <cell r="C38" t="str">
            <v>2002-2018 Early Cycle</v>
          </cell>
          <cell r="D38"/>
          <cell r="E38">
            <v>16.765031355001287</v>
          </cell>
          <cell r="F38">
            <v>15.070760284253637</v>
          </cell>
          <cell r="G38">
            <v>7.1956599918680535</v>
          </cell>
          <cell r="H38" t="e">
            <v>#DIV/0!</v>
          </cell>
        </row>
        <row r="39">
          <cell r="C39" t="str">
            <v>2002-2018 Mid Cycle</v>
          </cell>
          <cell r="D39"/>
          <cell r="E39">
            <v>22.912136348927586</v>
          </cell>
          <cell r="F39">
            <v>15.912102391386668</v>
          </cell>
          <cell r="G39">
            <v>9.5909870477663883</v>
          </cell>
          <cell r="H39">
            <v>7.7035467903506643</v>
          </cell>
        </row>
        <row r="40">
          <cell r="C40" t="str">
            <v>2002-2018 Late Cycle</v>
          </cell>
          <cell r="D40"/>
          <cell r="E40">
            <v>26.940327540795085</v>
          </cell>
          <cell r="F40">
            <v>21.478063172950975</v>
          </cell>
          <cell r="G40">
            <v>10.918281569823044</v>
          </cell>
          <cell r="H40">
            <v>8.2211305895486859</v>
          </cell>
        </row>
        <row r="41">
          <cell r="C41" t="str">
            <v>2002-2008 Full Cycle</v>
          </cell>
          <cell r="D41"/>
          <cell r="E41">
            <v>20.255465760579177</v>
          </cell>
          <cell r="F41">
            <v>21.31317889161188</v>
          </cell>
          <cell r="G41">
            <v>9.1534450379630528</v>
          </cell>
          <cell r="H41">
            <v>7.9483918337634245</v>
          </cell>
        </row>
        <row r="42">
          <cell r="C42" t="str">
            <v>2002-2008 Early Cycle</v>
          </cell>
          <cell r="D42"/>
          <cell r="E42">
            <v>18.198782411247478</v>
          </cell>
          <cell r="F42">
            <v>16.297524839559937</v>
          </cell>
          <cell r="G42">
            <v>7.6015561158213041</v>
          </cell>
          <cell r="H42" t="e">
            <v>#DIV/0!</v>
          </cell>
        </row>
        <row r="43">
          <cell r="C43" t="str">
            <v>2002-2008 Mid Cycle</v>
          </cell>
          <cell r="D43"/>
          <cell r="E43">
            <v>21.941880465375629</v>
          </cell>
          <cell r="F43">
            <v>15.863134957078572</v>
          </cell>
          <cell r="G43">
            <v>9.2477638484750244</v>
          </cell>
          <cell r="H43">
            <v>8.2231007097959399</v>
          </cell>
        </row>
        <row r="44">
          <cell r="C44" t="str">
            <v>2002-2008 Late Cycle</v>
          </cell>
          <cell r="D44"/>
          <cell r="E44">
            <v>23.644373208869958</v>
          </cell>
          <cell r="F44">
            <v>24.783418033166104</v>
          </cell>
          <cell r="G44">
            <v>10.546863511930287</v>
          </cell>
          <cell r="H44">
            <v>7.8442993922775894</v>
          </cell>
        </row>
        <row r="45">
          <cell r="C45" t="str">
            <v>2009-2018 Full Cycle</v>
          </cell>
          <cell r="D45"/>
          <cell r="E45">
            <v>22.027168047407443</v>
          </cell>
          <cell r="F45">
            <v>16.38109119198457</v>
          </cell>
          <cell r="G45">
            <v>9.4041056715640821</v>
          </cell>
          <cell r="H45">
            <v>7.3480074672926108</v>
          </cell>
        </row>
        <row r="46">
          <cell r="C46" t="str">
            <v>2009-2018 Early Cycle</v>
          </cell>
          <cell r="D46"/>
          <cell r="E46">
            <v>15.331280298755098</v>
          </cell>
          <cell r="F46">
            <v>13.843995728947338</v>
          </cell>
          <cell r="G46">
            <v>6.789763867914802</v>
          </cell>
          <cell r="H46">
            <v>6.0055133144661292</v>
          </cell>
        </row>
        <row r="47">
          <cell r="C47" t="str">
            <v>2009-2018 Mid Cycle</v>
          </cell>
          <cell r="D47"/>
          <cell r="E47">
            <v>23.882392232479543</v>
          </cell>
          <cell r="F47">
            <v>15.961069825694764</v>
          </cell>
          <cell r="G47">
            <v>9.9342102470577522</v>
          </cell>
          <cell r="H47">
            <v>7.1839928709053877</v>
          </cell>
        </row>
        <row r="48">
          <cell r="C48" t="str">
            <v>2009-2018 Late Cycle</v>
          </cell>
          <cell r="D48"/>
          <cell r="E48">
            <v>30.236281872720213</v>
          </cell>
          <cell r="F48">
            <v>18.172708312735843</v>
          </cell>
          <cell r="G48">
            <v>11.2896996277158</v>
          </cell>
          <cell r="H48">
            <v>8.5979617868197806</v>
          </cell>
        </row>
        <row r="58">
          <cell r="C58"/>
          <cell r="D58"/>
          <cell r="E58" t="str">
            <v>LTM P/E</v>
          </cell>
          <cell r="F58" t="str">
            <v>NTM P/E</v>
          </cell>
          <cell r="G58" t="str">
            <v>LTM EV/EBITDA</v>
          </cell>
          <cell r="H58" t="str">
            <v>NTM EV/EBITDA</v>
          </cell>
        </row>
        <row r="59">
          <cell r="C59" t="str">
            <v>2002-2018 Full Cycle</v>
          </cell>
          <cell r="D59"/>
          <cell r="E59">
            <v>17.451844369442512</v>
          </cell>
          <cell r="F59">
            <v>14.789390590177238</v>
          </cell>
          <cell r="G59">
            <v>9.0736330644380931</v>
          </cell>
          <cell r="H59">
            <v>8.2467031760817928</v>
          </cell>
        </row>
        <row r="60">
          <cell r="C60" t="str">
            <v>2002-2018 Early Cycle</v>
          </cell>
          <cell r="D60"/>
          <cell r="E60">
            <v>16.511356338309774</v>
          </cell>
          <cell r="F60">
            <v>14.249403727801335</v>
          </cell>
          <cell r="G60">
            <v>8.0081879799852764</v>
          </cell>
          <cell r="H60" t="e">
            <v>#DIV/0!</v>
          </cell>
        </row>
        <row r="61">
          <cell r="C61" t="str">
            <v>2002-2018 Mid Cycle</v>
          </cell>
          <cell r="D61"/>
          <cell r="E61">
            <v>18.174451528888053</v>
          </cell>
          <cell r="F61">
            <v>15.177675768515218</v>
          </cell>
          <cell r="G61">
            <v>9.1033872247162755</v>
          </cell>
          <cell r="H61">
            <v>8.1673101789748106</v>
          </cell>
        </row>
        <row r="62">
          <cell r="C62" t="str">
            <v>2002-2018 Late Cycle</v>
          </cell>
          <cell r="D62"/>
          <cell r="E62">
            <v>18.375615705208343</v>
          </cell>
          <cell r="F62">
            <v>16.379830180926785</v>
          </cell>
          <cell r="G62">
            <v>10.316037257276058</v>
          </cell>
          <cell r="H62">
            <v>9.7916138824697967</v>
          </cell>
        </row>
        <row r="63">
          <cell r="C63" t="str">
            <v>2002-2008 Full Cycle</v>
          </cell>
          <cell r="D63"/>
          <cell r="E63">
            <v>19.372174186392851</v>
          </cell>
          <cell r="F63">
            <v>16.698670553729919</v>
          </cell>
          <cell r="G63">
            <v>9.6234398026286101</v>
          </cell>
          <cell r="H63">
            <v>8.299118515323439</v>
          </cell>
        </row>
        <row r="64">
          <cell r="C64" t="str">
            <v>2002-2008 Early Cycle</v>
          </cell>
          <cell r="D64"/>
          <cell r="E64">
            <v>22.394953041679578</v>
          </cell>
          <cell r="F64">
            <v>19.063007806196822</v>
          </cell>
          <cell r="G64">
            <v>10.384988120065191</v>
          </cell>
          <cell r="H64" t="e">
            <v>#DIV/0!</v>
          </cell>
        </row>
        <row r="65">
          <cell r="C65" t="str">
            <v>2002-2008 Mid Cycle</v>
          </cell>
          <cell r="D65"/>
          <cell r="E65">
            <v>19.262472338714346</v>
          </cell>
          <cell r="F65">
            <v>17.294949146403418</v>
          </cell>
          <cell r="G65">
            <v>9.8177655309079377</v>
          </cell>
          <cell r="H65">
            <v>8.656236152701716</v>
          </cell>
        </row>
        <row r="66">
          <cell r="C66" t="str">
            <v>2002-2008 Late Cycle</v>
          </cell>
          <cell r="D66"/>
          <cell r="E66">
            <v>17.224511078395345</v>
          </cell>
          <cell r="F66">
            <v>14.896640295870613</v>
          </cell>
          <cell r="G66">
            <v>8.9307838896084188</v>
          </cell>
          <cell r="H66">
            <v>8.2881320038219322</v>
          </cell>
        </row>
        <row r="67">
          <cell r="C67" t="str">
            <v>2009-2018 Full Cycle</v>
          </cell>
          <cell r="D67"/>
          <cell r="E67">
            <v>16.187707655771675</v>
          </cell>
          <cell r="F67">
            <v>13.567451413503498</v>
          </cell>
          <cell r="G67">
            <v>8.6942664150866467</v>
          </cell>
          <cell r="H67">
            <v>8.2278336539548018</v>
          </cell>
        </row>
        <row r="68">
          <cell r="C68" t="str">
            <v>2009-2018 Early Cycle</v>
          </cell>
          <cell r="D68"/>
          <cell r="E68">
            <v>10.627759634939974</v>
          </cell>
          <cell r="F68">
            <v>9.4357996494058476</v>
          </cell>
          <cell r="G68">
            <v>5.6313878399053614</v>
          </cell>
          <cell r="H68">
            <v>5.4314602700251715</v>
          </cell>
        </row>
        <row r="69">
          <cell r="C69" t="str">
            <v>2009-2018 Mid Cycle</v>
          </cell>
          <cell r="D69"/>
          <cell r="E69">
            <v>17.086430719061759</v>
          </cell>
          <cell r="F69">
            <v>13.060402390627019</v>
          </cell>
          <cell r="G69">
            <v>8.3890089185246133</v>
          </cell>
          <cell r="H69">
            <v>7.6783842052479061</v>
          </cell>
        </row>
        <row r="70">
          <cell r="C70" t="str">
            <v>2009-2018 Late Cycle</v>
          </cell>
          <cell r="D70"/>
          <cell r="E70">
            <v>19.526720332021341</v>
          </cell>
          <cell r="F70">
            <v>17.863020065982958</v>
          </cell>
          <cell r="G70">
            <v>11.701290624943695</v>
          </cell>
          <cell r="H70">
            <v>11.295095761117661</v>
          </cell>
        </row>
        <row r="80">
          <cell r="C80"/>
          <cell r="D80"/>
          <cell r="E80" t="str">
            <v>LTM P/E</v>
          </cell>
          <cell r="F80" t="str">
            <v>NTM P/E</v>
          </cell>
          <cell r="G80" t="str">
            <v>LTM EV/EBITDA</v>
          </cell>
          <cell r="H80" t="str">
            <v>NTM EV/EBITDA</v>
          </cell>
        </row>
        <row r="81">
          <cell r="C81" t="str">
            <v>2002-2018 Full Cycle</v>
          </cell>
          <cell r="D81"/>
          <cell r="E81">
            <v>23.989111745649577</v>
          </cell>
          <cell r="F81">
            <v>16.203546988432574</v>
          </cell>
          <cell r="G81">
            <v>9.8661131234978807</v>
          </cell>
          <cell r="H81">
            <v>9.2441464344112774</v>
          </cell>
        </row>
        <row r="82">
          <cell r="C82" t="str">
            <v>2002-2018 Early Cycle</v>
          </cell>
          <cell r="D82"/>
          <cell r="E82">
            <v>16.283161986472258</v>
          </cell>
          <cell r="F82">
            <v>15.362904308645149</v>
          </cell>
          <cell r="G82">
            <v>9.8819850551453499</v>
          </cell>
          <cell r="H82">
            <v>9.2905553065414104</v>
          </cell>
        </row>
        <row r="83">
          <cell r="C83" t="str">
            <v>2002-2018 Mid Cycle</v>
          </cell>
          <cell r="D83"/>
          <cell r="E83">
            <v>30.517340865834477</v>
          </cell>
          <cell r="F83">
            <v>16.5008457582353</v>
          </cell>
          <cell r="G83">
            <v>10.780763119234088</v>
          </cell>
          <cell r="H83">
            <v>10.071622690062998</v>
          </cell>
        </row>
        <row r="84">
          <cell r="C84" t="str">
            <v>2002-2018 Late Cycle</v>
          </cell>
          <cell r="D84"/>
          <cell r="E84">
            <v>27.069477185753225</v>
          </cell>
          <cell r="F84">
            <v>15.714148641486672</v>
          </cell>
          <cell r="G84">
            <v>9.9615819121752605</v>
          </cell>
          <cell r="H84">
            <v>9.1156722981071887</v>
          </cell>
        </row>
        <row r="85">
          <cell r="C85" t="str">
            <v>2002-2008 Full Cycle</v>
          </cell>
          <cell r="D85"/>
          <cell r="E85" t="e">
            <v>#REF!</v>
          </cell>
          <cell r="F85" t="e">
            <v>#REF!</v>
          </cell>
          <cell r="G85" t="e">
            <v>#REF!</v>
          </cell>
          <cell r="H85" t="e">
            <v>#REF!</v>
          </cell>
        </row>
        <row r="86">
          <cell r="C86" t="str">
            <v>2002-2008 Early Cycle</v>
          </cell>
          <cell r="D86"/>
          <cell r="E86" t="e">
            <v>#REF!</v>
          </cell>
          <cell r="F86" t="e">
            <v>#REF!</v>
          </cell>
          <cell r="G86" t="e">
            <v>#REF!</v>
          </cell>
          <cell r="H86" t="e">
            <v>#REF!</v>
          </cell>
        </row>
        <row r="87">
          <cell r="C87" t="str">
            <v>2002-2008 Mid Cycle</v>
          </cell>
          <cell r="D87"/>
          <cell r="E87">
            <v>17.392478722963279</v>
          </cell>
          <cell r="F87">
            <v>16.634595658438169</v>
          </cell>
          <cell r="G87">
            <v>10.588664830685548</v>
          </cell>
          <cell r="H87">
            <v>10.397760806394952</v>
          </cell>
        </row>
        <row r="88">
          <cell r="C88" t="str">
            <v>2002-2008 Late Cycle</v>
          </cell>
          <cell r="D88"/>
          <cell r="E88">
            <v>15.514922285786557</v>
          </cell>
          <cell r="F88">
            <v>15.144611461447708</v>
          </cell>
          <cell r="G88">
            <v>9.2118889612689792</v>
          </cell>
          <cell r="H88">
            <v>9.1385054997468451</v>
          </cell>
        </row>
        <row r="89">
          <cell r="C89" t="str">
            <v>2009-2018 Full Cycle</v>
          </cell>
          <cell r="D89"/>
          <cell r="E89">
            <v>27.069477185753225</v>
          </cell>
          <cell r="F89">
            <v>15.714148641486672</v>
          </cell>
          <cell r="G89">
            <v>9.9615819121752605</v>
          </cell>
          <cell r="H89">
            <v>9.1156722981071887</v>
          </cell>
        </row>
        <row r="90">
          <cell r="C90" t="str">
            <v>2009-2018 Early Cycle</v>
          </cell>
          <cell r="D90"/>
          <cell r="E90">
            <v>14.82226101462237</v>
          </cell>
          <cell r="F90">
            <v>14.365408382331177</v>
          </cell>
          <cell r="G90">
            <v>8.0232548958417986</v>
          </cell>
          <cell r="H90">
            <v>7.6333590435799241</v>
          </cell>
        </row>
        <row r="91">
          <cell r="C91" t="str">
            <v>2009-2018 Mid Cycle</v>
          </cell>
          <cell r="D91"/>
          <cell r="E91">
            <v>15.173845249981238</v>
          </cell>
          <cell r="F91">
            <v>14.091212958852129</v>
          </cell>
          <cell r="G91">
            <v>9.1753052796051513</v>
          </cell>
          <cell r="H91">
            <v>8.1833498066878683</v>
          </cell>
        </row>
        <row r="92">
          <cell r="C92" t="str">
            <v>2009-2018 Late Cycle</v>
          </cell>
          <cell r="D92"/>
          <cell r="E92">
            <v>45.5197594458824</v>
          </cell>
          <cell r="F92">
            <v>17.857080055022895</v>
          </cell>
          <cell r="G92">
            <v>12.349637277199196</v>
          </cell>
          <cell r="H92">
            <v>11.004739880379152</v>
          </cell>
        </row>
        <row r="93">
          <cell r="C93"/>
          <cell r="D93"/>
          <cell r="E93"/>
          <cell r="F93"/>
          <cell r="G93"/>
          <cell r="H93"/>
        </row>
      </sheetData>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_CACHE"/>
      <sheetName val="Comps"/>
      <sheetName val="data"/>
      <sheetName val="Key_Company"/>
      <sheetName val="Comp 1"/>
      <sheetName val="Comp 2"/>
      <sheetName val="Comp 3"/>
      <sheetName val="Comp 4"/>
      <sheetName val="Comp 5"/>
      <sheetName val="Comp 6"/>
      <sheetName val="Comp 7"/>
      <sheetName val="Comp 8"/>
      <sheetName val="Comp 9"/>
    </sheetNames>
    <sheetDataSet>
      <sheetData sheetId="0" refreshError="1"/>
      <sheetData sheetId="1" refreshError="1"/>
      <sheetData sheetId="2" refreshError="1">
        <row r="5">
          <cell r="A5" t="str">
            <v>USD</v>
          </cell>
        </row>
        <row r="6">
          <cell r="A6">
            <v>1000000</v>
          </cell>
        </row>
      </sheetData>
      <sheetData sheetId="3" refreshError="1">
        <row r="2">
          <cell r="C2" t="str">
            <v>NAS:AMZN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Macros"/>
      <sheetName val="Inputs"/>
      <sheetName val="Sales - Report First"/>
      <sheetName val="Debt"/>
      <sheetName val="POWER5.XLA"/>
      <sheetName val="Tecua"/>
      <sheetName val="URI"/>
      <sheetName val="Test"/>
      <sheetName val="proforma BS"/>
      <sheetName val="Stock Analysis"/>
      <sheetName val="merger"/>
      <sheetName val="Company summary items"/>
      <sheetName val="synthgraph"/>
      <sheetName val="Vergleichswerte"/>
      <sheetName val="IS &amp; CF"/>
      <sheetName val="Assumptions"/>
      <sheetName val="Mapping"/>
      <sheetName val="Rev Tracker"/>
      <sheetName val="INPUT"/>
      <sheetName val="Graph"/>
      <sheetName val="GER IFO vs Const"/>
      <sheetName val="Europe sales Graph"/>
      <sheetName val="EU Ind vs EU Cons"/>
      <sheetName val="rank"/>
      <sheetName val="GER_IFO_vs_Const"/>
      <sheetName val="Europe_sales_Graph"/>
      <sheetName val="EU_Ind_vs_EU_Cons"/>
      <sheetName val="POWER5_XLA"/>
      <sheetName val="Lookup"/>
      <sheetName val="Main Model"/>
      <sheetName val="Newer version"/>
      <sheetName val="Consolidated"/>
      <sheetName val="AcqIS"/>
      <sheetName val="AcqBSCF"/>
      <sheetName val="ASSUMPT"/>
      <sheetName val="Contract_Details"/>
      <sheetName val="BASE DATA"/>
      <sheetName val="Contents"/>
      <sheetName val="Insulin Sales - NA"/>
      <sheetName val="Business_Model"/>
      <sheetName val="Insulin Sales - EU"/>
      <sheetName val="Insulin Sales - Japan"/>
      <sheetName val="Performance"/>
      <sheetName val="pellet"/>
      <sheetName val="Pro Forma Income Statement"/>
      <sheetName val="Assum"/>
      <sheetName val="COMBINED"/>
      <sheetName val="Aggregation"/>
      <sheetName val="General"/>
      <sheetName val="GL Detail"/>
      <sheetName val="Pro Forma"/>
      <sheetName val="Cases"/>
      <sheetName val="S&amp;U"/>
      <sheetName val="Debt &amp; Interest"/>
      <sheetName val="McKinley P&amp;L"/>
      <sheetName val=" PT 08"/>
      <sheetName val=" PT 07"/>
      <sheetName val=" PT 11"/>
      <sheetName val=" PT 10"/>
      <sheetName val=" PT 12"/>
      <sheetName val=" PT 13"/>
      <sheetName val=" PT 09"/>
      <sheetName val=" PT 01"/>
      <sheetName val=" PT 04"/>
      <sheetName val=" PT 05"/>
      <sheetName val=" PT 03"/>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Cap"/>
      <sheetName val="Main"/>
      <sheetName val="CSI"/>
      <sheetName val="WACC"/>
      <sheetName val="\Applications\Microsoft Office "/>
      <sheetName val="AL1"/>
      <sheetName val="General Assump"/>
      <sheetName val="Summary"/>
      <sheetName val="List"/>
      <sheetName val="CloseTable"/>
      <sheetName val="CloseTable Prior"/>
      <sheetName val="Co List"/>
      <sheetName val="P"/>
      <sheetName val="Royal Carib. Model"/>
      <sheetName val="Annual"/>
      <sheetName val="BIS LIST-NTH 18"/>
      <sheetName val="Drop Down Lists"/>
      <sheetName val="DCF_a"/>
      <sheetName val="CASH FLOW MONTH FC"/>
      <sheetName val="Inc Stmt MONTH FC"/>
      <sheetName val="BS ASSETS FC"/>
      <sheetName val="SCIMED Old"/>
      <sheetName val="QuartRev"/>
      <sheetName val="//na1.salesforce.com/Applicatio"/>
      <sheetName val="\\sfdc\DFS\Applications\Microso"/>
      <sheetName val="\J\Applications\Microsoft Offic"/>
      <sheetName val="Calendar"/>
      <sheetName val="SegAutos"/>
      <sheetName val="Buyers Competitors (2)"/>
      <sheetName val="Trial Balance"/>
      <sheetName val="E&amp;Y Format"/>
      <sheetName val="CALCULATIONS"/>
      <sheetName val="Print Controls"/>
      <sheetName val="Input Page"/>
      <sheetName val="Calcs"/>
      <sheetName val="TargIS"/>
      <sheetName val="C_FB"/>
      <sheetName val="PF_IMP2"/>
      <sheetName val="FB"/>
      <sheetName val="MGMT_IS"/>
      <sheetName val="C_TOR"/>
      <sheetName val="STL"/>
      <sheetName val="NYN_91"/>
      <sheetName val="Fees"/>
      <sheetName val="2000_Activity"/>
      <sheetName val="total_Commonwealth"/>
      <sheetName val="CHK_REQ"/>
      <sheetName val="SW_212218"/>
      <sheetName val="N_TX_-_1997"/>
      <sheetName val="Customize_Your_Invoice"/>
      <sheetName val="Sales_-_Report_First"/>
      <sheetName val="Daily Sales"/>
      <sheetName val="Parameter"/>
      <sheetName val="#REF"/>
      <sheetName val="EXTRACT"/>
      <sheetName val="chad10 June02"/>
      <sheetName val="chad12 Dec02"/>
      <sheetName val="chad4"/>
      <sheetName val="DATA"/>
      <sheetName val="INÍCIO_OPER"/>
      <sheetName val="D &amp; A"/>
      <sheetName val="[POWER5.XLA]__qmaxsolutions_m_2"/>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Share Prices"/>
      <sheetName val="O1"/>
      <sheetName val="Consolidated Financials"/>
      <sheetName val="Equity Index"/>
      <sheetName val="Model"/>
      <sheetName val="BRSW"/>
      <sheetName val="sal"/>
      <sheetName val="check"/>
      <sheetName val="MACRs"/>
      <sheetName val="US Ops Account Detail"/>
      <sheetName val="Cashflow Model"/>
      <sheetName val="[POWER5.XLA][POWER5.XLA][POWER5"/>
      <sheetName val="[POWER5.XLA][POWER5.XLA]\Applic"/>
      <sheetName val="[POWER5.XLA][POWER5.XLA]//na1.s"/>
      <sheetName val="[POWER5.XLA][POWER5.XLA]\\sfdc\"/>
      <sheetName val="[POWER5.XLA]\Applications\Micro"/>
      <sheetName val="[POWER5.XLA]//na1.salesforce.co"/>
      <sheetName val="[POWER5.XLA]\\sfdc\DFS\Applicat"/>
      <sheetName val="Cap Sheet"/>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Set-up"/>
      <sheetName val="D"/>
      <sheetName val="Model Summary"/>
      <sheetName val="Purchase vs. Rights"/>
      <sheetName val="CIH Sensitivities"/>
      <sheetName val="Tables for Memo Update 2-9-09"/>
      <sheetName val="summ2"/>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 Pipeline Schedule"/>
      <sheetName val="Financial Model"/>
      <sheetName val="Revenue Waterfall - Final"/>
      <sheetName val="2013 CRS"/>
      <sheetName val="2013 Monthly P&amp;L"/>
      <sheetName val="2012 Monthly P&amp;L"/>
      <sheetName val="2012 CRS"/>
      <sheetName val="Earnings Adj."/>
      <sheetName val="Fringe Adjustments"/>
      <sheetName val="Monthly Balance Sheets"/>
      <sheetName val="WC Schedule"/>
      <sheetName val="Jan 2013"/>
      <sheetName val="Feb 2013"/>
      <sheetName val="Mar 2013"/>
      <sheetName val="Jan"/>
      <sheetName val="Feb"/>
      <sheetName val="Mar"/>
      <sheetName val="Apr"/>
      <sheetName val="May"/>
      <sheetName val="June"/>
      <sheetName val="July"/>
      <sheetName val="Aug"/>
      <sheetName val="Sept"/>
      <sheetName val="Oct"/>
      <sheetName val="Nov"/>
      <sheetName val="Dec"/>
      <sheetName val="Valuation"/>
      <sheetName val="Financial Chart"/>
      <sheetName val="Pro Forma EBITDA"/>
      <sheetName val="Earnings Adjustments"/>
      <sheetName val="Balance Sheets-Mar-13"/>
      <sheetName val="Balance Sheets"/>
      <sheetName val="Chart Data"/>
      <sheetName val="Revenue Waterfall"/>
      <sheetName val="Staffing Forecast 2013"/>
      <sheetName val="P&amp;L Trend Mar-13"/>
      <sheetName val="Total Inc by Project Mar-13"/>
      <sheetName val="Backlog Schedule"/>
      <sheetName val="P&amp;L - Actual vs Budget (Feb 13)"/>
      <sheetName val="P&amp;L Trend (Feb 13)"/>
      <sheetName val="Invoice Schedule"/>
      <sheetName val="Wage Forecast"/>
      <sheetName val="Indirect Forecast"/>
      <sheetName val="Planning Worksheet"/>
      <sheetName val="2013 Forecast"/>
      <sheetName val="P&amp;L Trend (2)"/>
      <sheetName val="Total Inc by Project by Mon (2)"/>
      <sheetName val="Billiability Trend (2)"/>
      <sheetName val="P&amp;L Trend"/>
      <sheetName val="Total Inc by Project by Month"/>
      <sheetName val="Billability by Employee"/>
      <sheetName val="Employee Hours"/>
      <sheetName val="Sheet2"/>
      <sheetName val="Billiability Trend"/>
      <sheetName val="VV Proj Detail"/>
      <sheetName val="VV Sub Time Detail"/>
      <sheetName val="Staffing Forecast 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C1" t="str">
            <v>Level</v>
          </cell>
          <cell r="P1" t="str">
            <v>Gender</v>
          </cell>
        </row>
        <row r="2">
          <cell r="C2" t="str">
            <v>3 - Jr. Analyst</v>
          </cell>
          <cell r="P2" t="str">
            <v>=F</v>
          </cell>
        </row>
        <row r="6">
          <cell r="C6" t="str">
            <v>Annual Salary</v>
          </cell>
          <cell r="P6" t="str">
            <v>Gender</v>
          </cell>
        </row>
        <row r="7">
          <cell r="C7">
            <v>72000</v>
          </cell>
          <cell r="P7" t="str">
            <v>M</v>
          </cell>
        </row>
        <row r="8">
          <cell r="C8">
            <v>62000</v>
          </cell>
          <cell r="P8" t="str">
            <v>F</v>
          </cell>
        </row>
        <row r="9">
          <cell r="C9">
            <v>135000</v>
          </cell>
          <cell r="P9" t="str">
            <v>M</v>
          </cell>
        </row>
        <row r="10">
          <cell r="C10">
            <v>83000</v>
          </cell>
          <cell r="P10" t="str">
            <v>M</v>
          </cell>
        </row>
        <row r="11">
          <cell r="C11">
            <v>130000</v>
          </cell>
          <cell r="P11" t="str">
            <v>M</v>
          </cell>
        </row>
        <row r="12">
          <cell r="C12">
            <v>130000</v>
          </cell>
          <cell r="P12" t="str">
            <v>M</v>
          </cell>
        </row>
        <row r="13">
          <cell r="C13">
            <v>85000</v>
          </cell>
          <cell r="P13" t="str">
            <v>M</v>
          </cell>
        </row>
        <row r="14">
          <cell r="C14">
            <v>120000</v>
          </cell>
          <cell r="P14" t="str">
            <v>F</v>
          </cell>
        </row>
        <row r="15">
          <cell r="C15">
            <v>200000</v>
          </cell>
          <cell r="P15" t="str">
            <v>M</v>
          </cell>
        </row>
        <row r="16">
          <cell r="C16">
            <v>200000</v>
          </cell>
          <cell r="P16" t="str">
            <v>M</v>
          </cell>
        </row>
        <row r="17">
          <cell r="C17">
            <v>100800</v>
          </cell>
          <cell r="P17" t="str">
            <v>F</v>
          </cell>
        </row>
        <row r="18">
          <cell r="C18">
            <v>155000</v>
          </cell>
          <cell r="P18" t="str">
            <v>M</v>
          </cell>
        </row>
        <row r="19">
          <cell r="C19">
            <v>70000</v>
          </cell>
        </row>
        <row r="21">
          <cell r="C21" t="str">
            <v>Salary</v>
          </cell>
          <cell r="P21" t="str">
            <v>Gender</v>
          </cell>
        </row>
        <row r="22">
          <cell r="C22">
            <v>118000</v>
          </cell>
          <cell r="P22" t="str">
            <v>F</v>
          </cell>
        </row>
        <row r="23">
          <cell r="C23">
            <v>135000</v>
          </cell>
          <cell r="P23" t="str">
            <v>F</v>
          </cell>
        </row>
        <row r="25">
          <cell r="C25" t="str">
            <v>IAT Pay Rate Per Hour</v>
          </cell>
          <cell r="P25" t="str">
            <v>Gender</v>
          </cell>
        </row>
        <row r="26">
          <cell r="C26">
            <v>156</v>
          </cell>
          <cell r="P26" t="str">
            <v>M</v>
          </cell>
        </row>
        <row r="27">
          <cell r="C27">
            <v>152.5</v>
          </cell>
        </row>
        <row r="28">
          <cell r="C28">
            <v>156</v>
          </cell>
        </row>
        <row r="29">
          <cell r="C29">
            <v>156</v>
          </cell>
          <cell r="P29" t="str">
            <v>M</v>
          </cell>
        </row>
        <row r="30">
          <cell r="C30">
            <v>90</v>
          </cell>
          <cell r="P30" t="str">
            <v>F</v>
          </cell>
        </row>
        <row r="33">
          <cell r="P33" t="str">
            <v>M</v>
          </cell>
        </row>
        <row r="34">
          <cell r="C34">
            <v>102.84</v>
          </cell>
          <cell r="P34" t="str">
            <v>F</v>
          </cell>
        </row>
        <row r="35">
          <cell r="C35">
            <v>150</v>
          </cell>
          <cell r="P35" t="str">
            <v>M</v>
          </cell>
        </row>
        <row r="36">
          <cell r="C36">
            <v>125</v>
          </cell>
          <cell r="P36" t="str">
            <v>F</v>
          </cell>
        </row>
        <row r="37">
          <cell r="C37">
            <v>125</v>
          </cell>
        </row>
        <row r="38">
          <cell r="C38">
            <v>197.16</v>
          </cell>
          <cell r="P38" t="str">
            <v>M</v>
          </cell>
        </row>
        <row r="39">
          <cell r="C39">
            <v>125</v>
          </cell>
          <cell r="P39" t="str">
            <v>M</v>
          </cell>
        </row>
        <row r="43">
          <cell r="C43">
            <v>124.5</v>
          </cell>
          <cell r="P43" t="str">
            <v>M</v>
          </cell>
        </row>
        <row r="44">
          <cell r="C44">
            <v>125</v>
          </cell>
          <cell r="P44" t="str">
            <v>M</v>
          </cell>
        </row>
        <row r="46">
          <cell r="C46">
            <v>125</v>
          </cell>
          <cell r="P46" t="str">
            <v>M</v>
          </cell>
        </row>
        <row r="47">
          <cell r="C47">
            <v>130</v>
          </cell>
          <cell r="P47" t="str">
            <v>M</v>
          </cell>
        </row>
        <row r="48">
          <cell r="C48">
            <v>100</v>
          </cell>
          <cell r="P48" t="str">
            <v>M</v>
          </cell>
        </row>
      </sheetData>
      <sheetData sheetId="44"/>
      <sheetData sheetId="45"/>
      <sheetData sheetId="46"/>
      <sheetData sheetId="47"/>
      <sheetData sheetId="48"/>
      <sheetData sheetId="49"/>
      <sheetData sheetId="50"/>
      <sheetData sheetId="51"/>
      <sheetData sheetId="52">
        <row r="6">
          <cell r="D6" t="str">
            <v>Yes</v>
          </cell>
        </row>
        <row r="7">
          <cell r="D7" t="str">
            <v>No</v>
          </cell>
        </row>
      </sheetData>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Labor budget"/>
      <sheetName val="labor rates"/>
      <sheetName val="Rate Rec"/>
      <sheetName val="Fringe Benefits Pool"/>
      <sheetName val="Overhead Pool"/>
      <sheetName val="G &amp; A Pool"/>
      <sheetName val="P&amp;L Assumptions"/>
      <sheetName val="SMH"/>
      <sheetName val="Facility SC"/>
      <sheetName val="Salaries"/>
      <sheetName val="2010 Labor Rates 091130"/>
      <sheetName val="Vacation"/>
    </sheetNames>
    <sheetDataSet>
      <sheetData sheetId="0"/>
      <sheetData sheetId="1"/>
      <sheetData sheetId="2"/>
      <sheetData sheetId="3">
        <row r="20">
          <cell r="Z20">
            <v>0</v>
          </cell>
        </row>
      </sheetData>
      <sheetData sheetId="4"/>
      <sheetData sheetId="5"/>
      <sheetData sheetId="6"/>
      <sheetData sheetId="7"/>
      <sheetData sheetId="8"/>
      <sheetData sheetId="9"/>
      <sheetData sheetId="10">
        <row r="47">
          <cell r="M47">
            <v>0.21970000000000001</v>
          </cell>
        </row>
      </sheetData>
      <sheetData sheetId="11"/>
      <sheetData sheetId="12"/>
      <sheetData sheetId="13">
        <row r="2">
          <cell r="A2" t="str">
            <v>001000 Velez Carlos</v>
          </cell>
        </row>
        <row r="17">
          <cell r="G17">
            <v>98820.800000000003</v>
          </cell>
        </row>
        <row r="26">
          <cell r="A26" t="str">
            <v>001028 Mooradian Deborah</v>
          </cell>
        </row>
      </sheetData>
      <sheetData sheetId="14">
        <row r="5">
          <cell r="A5" t="str">
            <v>Velez Carlos</v>
          </cell>
        </row>
        <row r="226">
          <cell r="A226" t="str">
            <v>Caruso Natalie</v>
          </cell>
        </row>
        <row r="233">
          <cell r="E233" t="str">
            <v>001020</v>
          </cell>
        </row>
        <row r="513">
          <cell r="A513" t="str">
            <v>New Employee 1</v>
          </cell>
        </row>
        <row r="520">
          <cell r="E520" t="str">
            <v>001044</v>
          </cell>
        </row>
        <row r="526">
          <cell r="A526" t="str">
            <v>New Employee 2</v>
          </cell>
        </row>
        <row r="533">
          <cell r="E533" t="str">
            <v>001045</v>
          </cell>
        </row>
        <row r="539">
          <cell r="A539" t="str">
            <v>New Employee 3</v>
          </cell>
        </row>
        <row r="546">
          <cell r="E546" t="str">
            <v>001046</v>
          </cell>
        </row>
        <row r="552">
          <cell r="A552" t="str">
            <v>New Employee 4</v>
          </cell>
        </row>
        <row r="565">
          <cell r="A565" t="str">
            <v>New Employee 5</v>
          </cell>
        </row>
        <row r="591">
          <cell r="A591" t="str">
            <v>New Employee 7</v>
          </cell>
        </row>
        <row r="604">
          <cell r="A604" t="str">
            <v>New Employee 8</v>
          </cell>
        </row>
        <row r="617">
          <cell r="A617" t="str">
            <v>New Employee 9</v>
          </cell>
        </row>
        <row r="630">
          <cell r="A630" t="str">
            <v>New Employee 10</v>
          </cell>
        </row>
        <row r="643">
          <cell r="A643" t="str">
            <v>New Employee 11</v>
          </cell>
        </row>
        <row r="656">
          <cell r="A656" t="str">
            <v>New Employee 12</v>
          </cell>
        </row>
      </sheetData>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11 CFF &amp; ACTUALS"/>
      <sheetName val="FY11 CFF - the PLAN"/>
      <sheetName val="Pay Roll &amp; Taxes"/>
      <sheetName val="Fringe"/>
      <sheetName val="Overhead"/>
      <sheetName val="G&amp;A"/>
      <sheetName val="Wrap Rate Calculation 2011"/>
      <sheetName val="Rate Rec"/>
      <sheetName val="The Utilization model"/>
      <sheetName val="FY11 Sales Forecast"/>
      <sheetName val="2011 Chart of Accounts "/>
      <sheetName val="Sheet1"/>
    </sheetNames>
    <sheetDataSet>
      <sheetData sheetId="0">
        <row r="23">
          <cell r="K23">
            <v>23018.74</v>
          </cell>
        </row>
      </sheetData>
      <sheetData sheetId="1">
        <row r="14">
          <cell r="X14">
            <v>0.91541666666666655</v>
          </cell>
        </row>
      </sheetData>
      <sheetData sheetId="2">
        <row r="4">
          <cell r="E4">
            <v>7295.833333333333</v>
          </cell>
        </row>
        <row r="66">
          <cell r="R66">
            <v>2128637.1996029248</v>
          </cell>
        </row>
        <row r="67">
          <cell r="R67">
            <v>318935.37512193271</v>
          </cell>
        </row>
        <row r="68">
          <cell r="R68">
            <v>117259.65928155277</v>
          </cell>
        </row>
        <row r="69">
          <cell r="R69">
            <v>419406</v>
          </cell>
        </row>
        <row r="70">
          <cell r="R70">
            <v>2984238.2340064105</v>
          </cell>
        </row>
        <row r="76">
          <cell r="B76">
            <v>6621.6</v>
          </cell>
        </row>
        <row r="123">
          <cell r="R123">
            <v>169589.76609182372</v>
          </cell>
        </row>
      </sheetData>
      <sheetData sheetId="3">
        <row r="22">
          <cell r="Q22">
            <v>408.6716369047619</v>
          </cell>
        </row>
      </sheetData>
      <sheetData sheetId="4">
        <row r="4">
          <cell r="D4">
            <v>0</v>
          </cell>
        </row>
      </sheetData>
      <sheetData sheetId="5">
        <row r="4">
          <cell r="E4">
            <v>24513</v>
          </cell>
        </row>
      </sheetData>
      <sheetData sheetId="6"/>
      <sheetData sheetId="7"/>
      <sheetData sheetId="8">
        <row r="4">
          <cell r="B4">
            <v>0.8347457627118644</v>
          </cell>
        </row>
      </sheetData>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an Amortization Schedule"/>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CIQHiddenCacheSheet"/>
      <sheetName val="Compay ID Locater"/>
      <sheetName val="Comps"/>
      <sheetName val="Transactions"/>
      <sheetName val="Hard Coded&gt;&gt;"/>
      <sheetName val="Comps 1"/>
      <sheetName val="Transactions 1"/>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Balance Sheet"/>
      <sheetName val="Summary Cash Flow Statement"/>
      <sheetName val="Profit &amp; Loss"/>
      <sheetName val="Fringe Benefits Pool"/>
      <sheetName val="Overhead Pool"/>
      <sheetName val="Mat_Hand."/>
      <sheetName val="G &amp; A Pool"/>
      <sheetName val="Rate recon"/>
      <sheetName val="Labor budget"/>
      <sheetName val="P&amp;L Assumptions"/>
      <sheetName val="Consultants"/>
      <sheetName val="LABOR PVT"/>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2">
          <cell r="A42" t="str">
            <v>Art  Hughes -142 hrs</v>
          </cell>
        </row>
        <row r="43">
          <cell r="A43" t="str">
            <v>Art  Hughes -40 hrs</v>
          </cell>
        </row>
        <row r="44">
          <cell r="A44" t="str">
            <v>BD Support  Indirect_Hire1</v>
          </cell>
        </row>
        <row r="45">
          <cell r="A45" t="str">
            <v>Brad  Beil</v>
          </cell>
        </row>
        <row r="46">
          <cell r="A46" t="str">
            <v>Cynthia  Femano</v>
          </cell>
        </row>
        <row r="47">
          <cell r="A47" t="str">
            <v>Dan  Seely</v>
          </cell>
        </row>
        <row r="48">
          <cell r="A48" t="str">
            <v>Derek  Rose</v>
          </cell>
        </row>
        <row r="49">
          <cell r="A49" t="str">
            <v>Greg Taylor</v>
          </cell>
        </row>
        <row r="50">
          <cell r="A50" t="str">
            <v>Gwyn  Whittaker</v>
          </cell>
        </row>
        <row r="51">
          <cell r="A51" t="str">
            <v>Jay  Patel</v>
          </cell>
        </row>
        <row r="52">
          <cell r="A52" t="str">
            <v>Jerry  Makowka</v>
          </cell>
        </row>
        <row r="53">
          <cell r="A53" t="str">
            <v>Ken  Platek</v>
          </cell>
        </row>
        <row r="54">
          <cell r="A54" t="str">
            <v>Len  Natkin-10%</v>
          </cell>
        </row>
        <row r="55">
          <cell r="A55" t="str">
            <v>Len  Natkin-45%A</v>
          </cell>
        </row>
        <row r="56">
          <cell r="A56" t="str">
            <v>Len Natkin- 45%B</v>
          </cell>
        </row>
        <row r="57">
          <cell r="A57" t="str">
            <v>Lillet  Flynn</v>
          </cell>
        </row>
        <row r="58">
          <cell r="A58" t="str">
            <v>Mark  Mazzocco</v>
          </cell>
        </row>
        <row r="59">
          <cell r="A59" t="str">
            <v>Mike  Kenworthy</v>
          </cell>
        </row>
        <row r="60">
          <cell r="A60" t="str">
            <v>Muriel  Ward</v>
          </cell>
        </row>
        <row r="61">
          <cell r="A61" t="str">
            <v>New Hire 10</v>
          </cell>
        </row>
        <row r="62">
          <cell r="A62" t="str">
            <v>New Hire 11</v>
          </cell>
        </row>
        <row r="63">
          <cell r="A63" t="str">
            <v>New Hire 12</v>
          </cell>
        </row>
        <row r="64">
          <cell r="A64" t="str">
            <v>New Hire 9</v>
          </cell>
        </row>
        <row r="65">
          <cell r="A65" t="str">
            <v>New Hire 9</v>
          </cell>
        </row>
        <row r="66">
          <cell r="A66" t="str">
            <v>New1-Rajiv Shah</v>
          </cell>
        </row>
        <row r="67">
          <cell r="A67" t="str">
            <v xml:space="preserve">New2Simmie Adams </v>
          </cell>
        </row>
        <row r="68">
          <cell r="A68" t="str">
            <v>New3-Chuck Spangler</v>
          </cell>
        </row>
        <row r="69">
          <cell r="A69" t="str">
            <v>New4-Mike Bennet</v>
          </cell>
        </row>
        <row r="70">
          <cell r="A70" t="str">
            <v>New5-Matt Meade</v>
          </cell>
        </row>
        <row r="71">
          <cell r="A71" t="str">
            <v>New6-Monica Milner</v>
          </cell>
        </row>
        <row r="72">
          <cell r="A72" t="str">
            <v>New7-John Anderson</v>
          </cell>
        </row>
        <row r="73">
          <cell r="A73" t="str">
            <v>Pat   Duecy</v>
          </cell>
        </row>
        <row r="74">
          <cell r="A74" t="str">
            <v>Scott Stewart</v>
          </cell>
        </row>
        <row r="75">
          <cell r="A75" t="str">
            <v>Set Cruz</v>
          </cell>
        </row>
        <row r="76">
          <cell r="A76" t="str">
            <v>Sharon  Ocheltree</v>
          </cell>
        </row>
        <row r="77">
          <cell r="A77" t="str">
            <v>TBD  Indirect_Hire2</v>
          </cell>
        </row>
        <row r="78">
          <cell r="A78" t="str">
            <v>TBD  Indirect_Hire3</v>
          </cell>
        </row>
        <row r="79">
          <cell r="A79" t="str">
            <v>TBD  Indirect_Hire4</v>
          </cell>
        </row>
        <row r="80">
          <cell r="A80" t="str">
            <v>Steve  Mace</v>
          </cell>
        </row>
        <row r="81">
          <cell r="A81" t="str">
            <v>TBD</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ver"/>
      <sheetName val="Summary"/>
      <sheetName val="Model Output"/>
      <sheetName val="Football Field"/>
      <sheetName val="Integrity"/>
      <sheetName val="Revenue Build"/>
      <sheetName val="_CIQHiddenCacheSheet"/>
      <sheetName val="Model"/>
      <sheetName val="Sheet2"/>
      <sheetName val="Segment Analysis"/>
      <sheetName val="Drivers"/>
      <sheetName val="CIQ ID Locater"/>
      <sheetName val="Comparables"/>
      <sheetName val="WACC"/>
      <sheetName val="Multiples Data"/>
      <sheetName val="Valuation"/>
      <sheetName val="Charts"/>
      <sheetName val="Benchmark"/>
      <sheetName val="Pre-Earnings"/>
      <sheetName val="Post-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U25" t="str">
            <v>1Q25</v>
          </cell>
        </row>
        <row r="37">
          <cell r="P37">
            <v>88308</v>
          </cell>
        </row>
        <row r="62">
          <cell r="P62">
            <v>87170</v>
          </cell>
        </row>
      </sheetData>
      <sheetData sheetId="9" refreshError="1"/>
      <sheetData sheetId="10" refreshError="1">
        <row r="7">
          <cell r="P7">
            <v>585003</v>
          </cell>
        </row>
        <row r="8">
          <cell r="P8">
            <v>561728</v>
          </cell>
        </row>
        <row r="9">
          <cell r="P9">
            <v>19087</v>
          </cell>
        </row>
        <row r="10">
          <cell r="P10">
            <v>0</v>
          </cell>
        </row>
        <row r="11">
          <cell r="P11">
            <v>0</v>
          </cell>
        </row>
        <row r="12">
          <cell r="P12">
            <v>0</v>
          </cell>
        </row>
        <row r="13">
          <cell r="P13">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Cover"/>
      <sheetName val="Summary"/>
      <sheetName val="Model Output"/>
      <sheetName val="Football Field"/>
      <sheetName val="Integrity"/>
      <sheetName val="Revenue Build"/>
      <sheetName val="_CIQHiddenCacheSheet"/>
      <sheetName val="Model"/>
      <sheetName val="Segment Analysis"/>
      <sheetName val="Drivers"/>
      <sheetName val="Comparables"/>
      <sheetName val="CIQ ID Locater"/>
      <sheetName val="WACC"/>
      <sheetName val="Valuation"/>
      <sheetName val="Multiples Data"/>
      <sheetName val="Charts"/>
      <sheetName val="Benchmark"/>
      <sheetName val="Pre-Earnings"/>
      <sheetName val="Post-Earnings"/>
    </sheetNames>
    <sheetDataSet>
      <sheetData sheetId="0" refreshError="1"/>
      <sheetData sheetId="1">
        <row r="2">
          <cell r="C2" t="str">
            <v>$ in Thousands Except Per Share Data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15.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pageSetUpPr autoPageBreaks="0"/>
  </sheetPr>
  <dimension ref="A1:R83"/>
  <sheetViews>
    <sheetView showGridLines="0" tabSelected="1" zoomScale="80" zoomScaleNormal="80" workbookViewId="0">
      <pane ySplit="2" topLeftCell="A3" activePane="bottomLeft" state="frozen"/>
      <selection pane="bottomLeft"/>
    </sheetView>
  </sheetViews>
  <sheetFormatPr defaultColWidth="8.7109375" defaultRowHeight="14.25" outlineLevelRow="1"/>
  <cols>
    <col min="1" max="2" width="1.7109375" style="3" customWidth="1"/>
    <col min="3" max="3" width="15.42578125" style="3" customWidth="1"/>
    <col min="4" max="5" width="13.42578125" style="3" customWidth="1"/>
    <col min="6" max="6" width="25.7109375" style="3" customWidth="1"/>
    <col min="7" max="8" width="13.42578125" style="3" customWidth="1"/>
    <col min="9" max="12" width="16.7109375" style="3" customWidth="1"/>
    <col min="13" max="13" width="4.42578125" style="3" customWidth="1"/>
    <col min="14" max="17" width="16.7109375" style="3" customWidth="1"/>
    <col min="18" max="18" width="1.7109375" style="3" customWidth="1"/>
    <col min="19" max="16384" width="8.7109375" style="3"/>
  </cols>
  <sheetData>
    <row r="1" spans="1:18" s="2" customFormat="1" ht="18.600000000000001" customHeight="1">
      <c r="C1" s="508" t="str">
        <f ca="1">Company_Name&amp;" - "&amp;MID(CELL("filename",A1),FIND("]",CELL("filename",A1))+1,255)&amp;": "&amp;Case_Scenario&amp;" Case"</f>
        <v>Evercore Inc. - Cover: Base Case</v>
      </c>
      <c r="Q1" s="812" t="s">
        <v>405</v>
      </c>
    </row>
    <row r="2" spans="1:18">
      <c r="C2" s="4" t="s">
        <v>852</v>
      </c>
      <c r="Q2" s="813" t="s">
        <v>1080</v>
      </c>
    </row>
    <row r="3" spans="1:18" s="23" customFormat="1" ht="12.75">
      <c r="A3" s="588"/>
      <c r="R3" s="146" t="s">
        <v>1</v>
      </c>
    </row>
    <row r="4" spans="1:18" s="23" customFormat="1" ht="12.75">
      <c r="A4" s="146" t="s">
        <v>1</v>
      </c>
      <c r="C4" s="634" t="s">
        <v>15</v>
      </c>
      <c r="D4" s="147"/>
      <c r="E4" s="147"/>
      <c r="F4" s="148"/>
      <c r="I4" s="634" t="s">
        <v>16</v>
      </c>
      <c r="J4" s="147"/>
      <c r="K4" s="147"/>
      <c r="L4" s="147"/>
      <c r="M4" s="147"/>
      <c r="N4" s="147"/>
      <c r="O4" s="147"/>
      <c r="P4" s="147"/>
      <c r="Q4" s="148"/>
    </row>
    <row r="5" spans="1:18" s="23" customFormat="1" ht="12.75"/>
    <row r="6" spans="1:18" s="23" customFormat="1">
      <c r="I6" s="784" t="s">
        <v>560</v>
      </c>
      <c r="J6" s="785"/>
      <c r="K6" s="785"/>
      <c r="L6" s="786"/>
      <c r="N6" s="784" t="s">
        <v>562</v>
      </c>
      <c r="O6" s="785"/>
      <c r="P6" s="785"/>
      <c r="Q6" s="786"/>
    </row>
    <row r="7" spans="1:18" s="23" customFormat="1" ht="15">
      <c r="C7"/>
      <c r="I7" s="3"/>
      <c r="J7" s="3"/>
      <c r="K7" s="3"/>
      <c r="L7" s="3"/>
      <c r="N7" s="3"/>
      <c r="O7" s="3"/>
      <c r="P7" s="3"/>
      <c r="Q7" s="3"/>
    </row>
    <row r="8" spans="1:18" s="23" customFormat="1">
      <c r="I8" s="507" t="s">
        <v>17</v>
      </c>
      <c r="J8" s="787"/>
      <c r="K8" s="787"/>
      <c r="L8" s="788"/>
      <c r="N8" s="507" t="s">
        <v>563</v>
      </c>
      <c r="O8" s="787"/>
      <c r="P8" s="787"/>
      <c r="Q8" s="788"/>
    </row>
    <row r="9" spans="1:18" s="23" customFormat="1">
      <c r="I9" s="7" t="s">
        <v>19</v>
      </c>
      <c r="J9" s="3"/>
      <c r="K9" s="3"/>
      <c r="L9" s="151">
        <f ca="1">Valuation!K65</f>
        <v>19330394.115388785</v>
      </c>
      <c r="N9" s="7"/>
      <c r="O9" s="3"/>
      <c r="P9" s="789" t="s">
        <v>23</v>
      </c>
      <c r="Q9" s="790" t="s">
        <v>22</v>
      </c>
    </row>
    <row r="10" spans="1:18" s="23" customFormat="1">
      <c r="I10" s="7" t="s">
        <v>20</v>
      </c>
      <c r="J10" s="3"/>
      <c r="K10" s="3"/>
      <c r="L10" s="152">
        <f ca="1">Valuation!K72</f>
        <v>19286440.513780605</v>
      </c>
      <c r="N10" s="7"/>
      <c r="O10" s="3"/>
      <c r="P10" s="3"/>
      <c r="Q10" s="16"/>
    </row>
    <row r="11" spans="1:18" s="23" customFormat="1">
      <c r="I11" s="7"/>
      <c r="J11" s="3"/>
      <c r="K11" s="3"/>
      <c r="L11" s="20"/>
      <c r="N11" s="7" t="s">
        <v>564</v>
      </c>
      <c r="O11" s="3"/>
      <c r="P11" s="157">
        <f ca="1">Valuation!N137</f>
        <v>430.49686960034046</v>
      </c>
      <c r="Q11" s="158">
        <f ca="1">Valuation!N138</f>
        <v>0.26175113455945498</v>
      </c>
    </row>
    <row r="12" spans="1:18" s="23" customFormat="1">
      <c r="I12" s="21" t="s">
        <v>21</v>
      </c>
      <c r="J12" s="12"/>
      <c r="K12" s="12"/>
      <c r="L12" s="153">
        <f ca="1">Valuation!K76</f>
        <v>457.77314836535106</v>
      </c>
      <c r="N12" s="7"/>
      <c r="O12" s="3"/>
      <c r="P12" s="3"/>
      <c r="Q12" s="16"/>
    </row>
    <row r="13" spans="1:18" s="23" customFormat="1">
      <c r="I13" s="17" t="s">
        <v>22</v>
      </c>
      <c r="J13" s="9"/>
      <c r="K13" s="9"/>
      <c r="L13" s="156">
        <f ca="1">Valuation!K77</f>
        <v>0.34169567796638556</v>
      </c>
      <c r="N13" s="8" t="s">
        <v>565</v>
      </c>
      <c r="O13" s="9"/>
      <c r="P13" s="160">
        <f ca="1">Valuation!N215</f>
        <v>258.07623118715622</v>
      </c>
      <c r="Q13" s="156">
        <f ca="1">Valuation!N216</f>
        <v>-0.24359966239586084</v>
      </c>
    </row>
    <row r="14" spans="1:18" s="23" customFormat="1">
      <c r="I14" s="3"/>
      <c r="J14" s="3"/>
      <c r="K14" s="3"/>
      <c r="L14" s="3"/>
      <c r="N14" s="3"/>
      <c r="O14" s="3"/>
      <c r="P14" s="3"/>
      <c r="Q14" s="3"/>
    </row>
    <row r="15" spans="1:18" s="23" customFormat="1">
      <c r="I15" s="507" t="s">
        <v>561</v>
      </c>
      <c r="J15" s="787"/>
      <c r="K15" s="787"/>
      <c r="L15" s="788"/>
      <c r="N15" s="507" t="s">
        <v>566</v>
      </c>
      <c r="O15" s="787"/>
      <c r="P15" s="787"/>
      <c r="Q15" s="788"/>
    </row>
    <row r="16" spans="1:18" s="23" customFormat="1">
      <c r="I16" s="7" t="s">
        <v>19</v>
      </c>
      <c r="J16" s="3"/>
      <c r="K16" s="3"/>
      <c r="L16" s="151">
        <f ca="1">Valuation!R65</f>
        <v>23818872.598119419</v>
      </c>
      <c r="N16" s="7"/>
      <c r="O16" s="3"/>
      <c r="P16" s="789" t="s">
        <v>23</v>
      </c>
      <c r="Q16" s="790" t="s">
        <v>22</v>
      </c>
    </row>
    <row r="17" spans="1:17" s="23" customFormat="1">
      <c r="I17" s="7" t="s">
        <v>20</v>
      </c>
      <c r="J17" s="3"/>
      <c r="K17" s="3"/>
      <c r="L17" s="152">
        <f ca="1">Valuation!R72</f>
        <v>23774918.99651124</v>
      </c>
      <c r="N17" s="7"/>
      <c r="O17" s="3"/>
      <c r="P17" s="3"/>
      <c r="Q17" s="16"/>
    </row>
    <row r="18" spans="1:17" s="23" customFormat="1">
      <c r="I18" s="7"/>
      <c r="J18" s="3"/>
      <c r="K18" s="3"/>
      <c r="L18" s="20"/>
      <c r="N18" s="7" t="s">
        <v>567</v>
      </c>
      <c r="O18" s="3"/>
      <c r="P18" s="157">
        <f ca="1">Valuation!F126</f>
        <v>471.35312241911203</v>
      </c>
      <c r="Q18" s="158">
        <f ca="1">Valuation!F127</f>
        <v>0.38149747184592764</v>
      </c>
    </row>
    <row r="19" spans="1:17" s="23" customFormat="1">
      <c r="C19" s="23" t="s">
        <v>625</v>
      </c>
      <c r="F19" s="161" t="s">
        <v>850</v>
      </c>
      <c r="I19" s="21" t="s">
        <v>21</v>
      </c>
      <c r="J19" s="12"/>
      <c r="K19" s="12"/>
      <c r="L19" s="153">
        <f ca="1">Valuation!R76</f>
        <v>564.3093920512506</v>
      </c>
      <c r="N19" s="7"/>
      <c r="O19" s="3"/>
      <c r="P19" s="3"/>
      <c r="Q19" s="16"/>
    </row>
    <row r="20" spans="1:17" s="23" customFormat="1">
      <c r="C20" s="23" t="s">
        <v>360</v>
      </c>
      <c r="F20" s="161" t="s">
        <v>851</v>
      </c>
      <c r="I20" s="17" t="s">
        <v>22</v>
      </c>
      <c r="J20" s="9"/>
      <c r="K20" s="9"/>
      <c r="L20" s="156">
        <f ca="1">Valuation!R77</f>
        <v>0.65394469958454415</v>
      </c>
      <c r="N20" s="8" t="s">
        <v>568</v>
      </c>
      <c r="O20" s="9"/>
      <c r="P20" s="160">
        <f ca="1">Valuation!F204</f>
        <v>569.1338173370865</v>
      </c>
      <c r="Q20" s="156">
        <f ca="1">Valuation!F205</f>
        <v>0.66808469573283658</v>
      </c>
    </row>
    <row r="21" spans="1:17" s="23" customFormat="1">
      <c r="F21" s="162"/>
      <c r="I21" s="3"/>
    </row>
    <row r="22" spans="1:17" s="23" customFormat="1">
      <c r="C22" s="568" t="s">
        <v>220</v>
      </c>
      <c r="D22" s="409"/>
      <c r="E22" s="409"/>
      <c r="F22" s="515" t="s">
        <v>221</v>
      </c>
      <c r="I22" s="810" t="s">
        <v>0</v>
      </c>
      <c r="J22" s="147"/>
      <c r="K22" s="147"/>
      <c r="L22" s="147"/>
      <c r="M22" s="147"/>
      <c r="N22" s="147"/>
      <c r="O22" s="147"/>
      <c r="P22" s="147"/>
      <c r="Q22" s="148"/>
    </row>
    <row r="23" spans="1:17" s="23" customFormat="1">
      <c r="D23" s="163"/>
      <c r="F23" s="162"/>
      <c r="I23" s="3"/>
      <c r="N23" s="791"/>
      <c r="O23" s="791"/>
      <c r="P23" s="791"/>
    </row>
    <row r="24" spans="1:17" s="23" customFormat="1">
      <c r="C24" s="23" t="s">
        <v>617</v>
      </c>
      <c r="F24" s="164">
        <v>46053</v>
      </c>
      <c r="I24" s="811" t="s">
        <v>589</v>
      </c>
    </row>
    <row r="25" spans="1:17" s="23" customFormat="1">
      <c r="C25" s="23" t="s">
        <v>618</v>
      </c>
      <c r="F25" s="165">
        <f>Last_FYE+365</f>
        <v>46418</v>
      </c>
      <c r="I25" s="811" t="s">
        <v>32</v>
      </c>
    </row>
    <row r="26" spans="1:17" s="23" customFormat="1">
      <c r="A26" s="146"/>
      <c r="C26" s="23" t="s">
        <v>253</v>
      </c>
      <c r="F26" s="164" t="s">
        <v>1081</v>
      </c>
      <c r="I26" s="811" t="s">
        <v>31</v>
      </c>
    </row>
    <row r="27" spans="1:17" s="23" customFormat="1">
      <c r="C27" s="23" t="s">
        <v>619</v>
      </c>
      <c r="F27" s="164">
        <v>46150</v>
      </c>
      <c r="H27" s="163"/>
      <c r="I27" s="811" t="s">
        <v>543</v>
      </c>
    </row>
    <row r="28" spans="1:17" s="23" customFormat="1">
      <c r="I28" s="811" t="s">
        <v>590</v>
      </c>
    </row>
    <row r="29" spans="1:17" s="23" customFormat="1">
      <c r="C29" s="23" t="s">
        <v>620</v>
      </c>
      <c r="F29" s="166">
        <v>341.19</v>
      </c>
      <c r="I29" s="811" t="s">
        <v>26</v>
      </c>
    </row>
    <row r="30" spans="1:17" s="23" customFormat="1">
      <c r="C30" s="23" t="s">
        <v>621</v>
      </c>
      <c r="F30" s="166">
        <v>388.71</v>
      </c>
      <c r="I30" s="811" t="s">
        <v>591</v>
      </c>
    </row>
    <row r="31" spans="1:17" s="23" customFormat="1">
      <c r="C31" s="23" t="s">
        <v>622</v>
      </c>
      <c r="F31" s="166">
        <v>215.26</v>
      </c>
      <c r="H31" s="163"/>
      <c r="I31" s="811" t="s">
        <v>25</v>
      </c>
    </row>
    <row r="32" spans="1:17" s="23" customFormat="1">
      <c r="H32" s="163"/>
      <c r="I32" s="811" t="s">
        <v>27</v>
      </c>
    </row>
    <row r="33" spans="1:18" s="23" customFormat="1">
      <c r="C33" s="23" t="s">
        <v>623</v>
      </c>
      <c r="F33" s="167">
        <f>IF(Last_FQR="1Q",Model!P73,IF(Last_FQR="2Q",Model!Q73,IF(Last_FQR="3Q",Model!R73,Model!S73)))</f>
        <v>0.2897761915858762</v>
      </c>
      <c r="H33" s="163"/>
      <c r="I33" s="811" t="s">
        <v>494</v>
      </c>
    </row>
    <row r="34" spans="1:18" s="23" customFormat="1">
      <c r="C34" s="23" t="s">
        <v>208</v>
      </c>
      <c r="F34" s="167">
        <f>IF(Last_FQR="1Q",Model!U267,IF(Last_FQR="2Q",Model!V267,IF(Last_FQR="3Q",Model!W267,Model!X267)))</f>
        <v>1.417677101059164E-2</v>
      </c>
      <c r="H34" s="163"/>
      <c r="I34" s="811" t="s">
        <v>592</v>
      </c>
    </row>
    <row r="35" spans="1:18" s="23" customFormat="1">
      <c r="C35" s="23" t="s">
        <v>624</v>
      </c>
      <c r="F35" s="168">
        <f>IF(Last_FQR="1Q",Model!P286,IF(Last_FQR="2Q",Model!Q286,IF(Last_FQR="3Q",Model!R286,Model!S286)))</f>
        <v>42131</v>
      </c>
      <c r="H35" s="163"/>
      <c r="I35" s="811" t="s">
        <v>33</v>
      </c>
    </row>
    <row r="36" spans="1:18" s="23" customFormat="1">
      <c r="H36" s="163"/>
      <c r="I36" s="811" t="s">
        <v>30</v>
      </c>
    </row>
    <row r="37" spans="1:18" s="23" customFormat="1" ht="15">
      <c r="C37" s="568" t="s">
        <v>660</v>
      </c>
      <c r="D37" s="409"/>
      <c r="E37" s="409"/>
      <c r="F37" s="515" t="s">
        <v>853</v>
      </c>
      <c r="H37" s="163"/>
      <c r="I37" s="811" t="s">
        <v>593</v>
      </c>
      <c r="O37"/>
    </row>
    <row r="38" spans="1:18" s="23" customFormat="1" ht="15">
      <c r="C38"/>
      <c r="D38"/>
      <c r="E38"/>
      <c r="F38"/>
      <c r="H38" s="163"/>
      <c r="I38" s="811" t="s">
        <v>594</v>
      </c>
    </row>
    <row r="39" spans="1:18" s="23" customFormat="1" ht="15">
      <c r="C39"/>
      <c r="D39"/>
      <c r="E39"/>
      <c r="F39"/>
      <c r="H39" s="163"/>
      <c r="I39" s="811" t="s">
        <v>595</v>
      </c>
    </row>
    <row r="40" spans="1:18" s="23" customFormat="1" ht="14.85" customHeight="1">
      <c r="C40"/>
      <c r="D40"/>
      <c r="E40"/>
      <c r="F40"/>
      <c r="H40" s="163"/>
    </row>
    <row r="41" spans="1:18" s="23" customFormat="1" ht="14.85" hidden="1" customHeight="1" outlineLevel="1">
      <c r="C41"/>
      <c r="D41"/>
      <c r="E41"/>
      <c r="F41"/>
      <c r="H41" s="163"/>
    </row>
    <row r="42" spans="1:18" s="23" customFormat="1" ht="14.85" hidden="1" customHeight="1" outlineLevel="1">
      <c r="A42" s="169" t="s">
        <v>1</v>
      </c>
      <c r="B42" s="169"/>
      <c r="C42" s="180"/>
      <c r="D42" s="175"/>
      <c r="E42" s="175"/>
      <c r="F42" s="181"/>
      <c r="H42" s="163"/>
    </row>
    <row r="43" spans="1:18" s="23" customFormat="1" ht="14.85" hidden="1" customHeight="1" outlineLevel="1">
      <c r="A43" s="169"/>
      <c r="B43" s="169"/>
      <c r="C43" s="577" t="s">
        <v>513</v>
      </c>
      <c r="D43" s="170"/>
      <c r="E43" s="170"/>
      <c r="F43" s="26"/>
      <c r="H43" s="163"/>
      <c r="I43" s="577" t="s">
        <v>521</v>
      </c>
      <c r="J43" s="170"/>
      <c r="K43" s="170"/>
      <c r="L43" s="26"/>
    </row>
    <row r="44" spans="1:18" s="23" customFormat="1" ht="14.85" hidden="1" customHeight="1" outlineLevel="1">
      <c r="A44" s="169"/>
      <c r="B44" s="169"/>
      <c r="C44" s="182" t="s">
        <v>2</v>
      </c>
      <c r="D44" s="183"/>
      <c r="E44" s="183"/>
      <c r="F44" s="183"/>
      <c r="H44" s="163"/>
      <c r="I44" s="792" t="s">
        <v>522</v>
      </c>
      <c r="J44" s="793" t="s">
        <v>524</v>
      </c>
      <c r="K44" s="793" t="s">
        <v>523</v>
      </c>
      <c r="L44" s="794" t="s">
        <v>362</v>
      </c>
    </row>
    <row r="45" spans="1:18" s="23" customFormat="1" ht="14.85" hidden="1" customHeight="1" outlineLevel="1">
      <c r="A45" s="169"/>
      <c r="B45" s="169"/>
      <c r="C45" s="184" t="s">
        <v>3</v>
      </c>
      <c r="D45" s="183"/>
      <c r="E45" s="183"/>
      <c r="F45" s="183"/>
      <c r="H45" s="163"/>
      <c r="I45" s="171" t="s">
        <v>525</v>
      </c>
      <c r="J45" s="172" t="s">
        <v>527</v>
      </c>
      <c r="K45" s="172" t="s">
        <v>526</v>
      </c>
      <c r="L45" s="173">
        <v>1000000</v>
      </c>
      <c r="R45" s="146"/>
    </row>
    <row r="46" spans="1:18" s="23" customFormat="1" ht="14.85" hidden="1" customHeight="1" outlineLevel="1">
      <c r="A46" s="169"/>
      <c r="B46" s="169"/>
      <c r="C46" s="185" t="s">
        <v>4</v>
      </c>
      <c r="D46" s="186"/>
      <c r="E46" s="186"/>
      <c r="F46" s="183"/>
      <c r="H46" s="163"/>
      <c r="I46" s="174" t="s">
        <v>528</v>
      </c>
      <c r="J46" s="175" t="s">
        <v>527</v>
      </c>
      <c r="K46" s="175" t="s">
        <v>529</v>
      </c>
      <c r="L46" s="176">
        <v>1000</v>
      </c>
    </row>
    <row r="47" spans="1:18" s="23" customFormat="1" ht="14.85" hidden="1" customHeight="1" outlineLevel="1">
      <c r="A47" s="169"/>
      <c r="B47" s="169"/>
      <c r="C47" s="187" t="s">
        <v>514</v>
      </c>
      <c r="D47" s="188"/>
      <c r="E47" s="188"/>
      <c r="F47" s="188"/>
      <c r="H47" s="163"/>
      <c r="I47" s="177" t="s">
        <v>530</v>
      </c>
      <c r="J47" s="178" t="s">
        <v>527</v>
      </c>
      <c r="K47" s="178" t="s">
        <v>531</v>
      </c>
      <c r="L47" s="179">
        <v>100</v>
      </c>
    </row>
    <row r="48" spans="1:18" s="23" customFormat="1" ht="12.75" hidden="1" outlineLevel="1">
      <c r="A48" s="169" t="s">
        <v>1</v>
      </c>
      <c r="D48" s="189"/>
      <c r="E48" s="189"/>
      <c r="F48" s="190"/>
      <c r="N48" s="791"/>
      <c r="O48" s="791"/>
      <c r="P48" s="791"/>
    </row>
    <row r="49" spans="1:6" s="23" customFormat="1" ht="12.75" hidden="1" outlineLevel="1">
      <c r="A49" s="169"/>
      <c r="C49" s="577" t="s">
        <v>515</v>
      </c>
      <c r="D49" s="170"/>
      <c r="E49" s="170"/>
      <c r="F49" s="26"/>
    </row>
    <row r="50" spans="1:6" s="23" customFormat="1" ht="12.75" hidden="1" outlineLevel="1">
      <c r="A50" s="169"/>
    </row>
    <row r="51" spans="1:6" s="23" customFormat="1" ht="12.75" hidden="1" outlineLevel="1">
      <c r="A51" s="169"/>
      <c r="C51" s="795" t="s">
        <v>32</v>
      </c>
      <c r="D51" s="795"/>
    </row>
    <row r="52" spans="1:6" s="23" customFormat="1" ht="12.75" hidden="1" outlineLevel="1">
      <c r="A52" s="169"/>
    </row>
    <row r="53" spans="1:6" s="23" customFormat="1" ht="12.75" hidden="1" outlineLevel="1">
      <c r="A53" s="169"/>
      <c r="C53" s="796" t="s">
        <v>26</v>
      </c>
      <c r="D53" s="796"/>
    </row>
    <row r="54" spans="1:6" s="23" customFormat="1" ht="12.75" hidden="1" outlineLevel="1">
      <c r="A54" s="169" t="s">
        <v>1</v>
      </c>
    </row>
    <row r="55" spans="1:6" s="23" customFormat="1" ht="12.75" hidden="1" outlineLevel="1">
      <c r="A55" s="169"/>
      <c r="C55" s="797" t="s">
        <v>603</v>
      </c>
      <c r="D55" s="797"/>
    </row>
    <row r="56" spans="1:6" s="23" customFormat="1" ht="12.75" hidden="1" outlineLevel="1">
      <c r="A56" s="169"/>
    </row>
    <row r="57" spans="1:6" s="23" customFormat="1" ht="12.75" hidden="1" outlineLevel="1">
      <c r="A57" s="169"/>
      <c r="C57" s="798" t="s">
        <v>494</v>
      </c>
      <c r="D57" s="798"/>
    </row>
    <row r="58" spans="1:6" s="23" customFormat="1" ht="12.75" hidden="1" outlineLevel="1">
      <c r="A58" s="169"/>
    </row>
    <row r="59" spans="1:6" s="23" customFormat="1" ht="12.75" hidden="1" outlineLevel="1">
      <c r="A59" s="169"/>
      <c r="C59" s="799" t="s">
        <v>29</v>
      </c>
      <c r="D59" s="799"/>
    </row>
    <row r="60" spans="1:6" s="23" customFormat="1" ht="12.75" hidden="1" outlineLevel="1">
      <c r="A60" s="169"/>
    </row>
    <row r="61" spans="1:6" s="23" customFormat="1" ht="12.75" hidden="1" outlineLevel="1">
      <c r="A61" s="169"/>
      <c r="C61" s="540" t="s">
        <v>516</v>
      </c>
      <c r="D61" s="26"/>
      <c r="E61" s="26"/>
      <c r="F61" s="26"/>
    </row>
    <row r="62" spans="1:6" s="23" customFormat="1" ht="12.75" hidden="1" outlineLevel="1">
      <c r="A62" s="169"/>
      <c r="C62" s="92"/>
    </row>
    <row r="63" spans="1:6" s="23" customFormat="1" ht="12.75" hidden="1" outlineLevel="1">
      <c r="A63" s="169"/>
      <c r="C63" s="800" t="s">
        <v>5</v>
      </c>
      <c r="D63" s="800"/>
      <c r="F63" s="801" t="s">
        <v>6</v>
      </c>
    </row>
    <row r="64" spans="1:6" s="23" customFormat="1" ht="12.75" hidden="1" outlineLevel="1">
      <c r="A64" s="169"/>
      <c r="C64" s="191"/>
      <c r="F64" s="192"/>
    </row>
    <row r="65" spans="1:6" s="23" customFormat="1" ht="12.75" hidden="1" outlineLevel="1">
      <c r="A65" s="169"/>
      <c r="C65" s="795" t="s">
        <v>7</v>
      </c>
      <c r="D65" s="795"/>
      <c r="F65" s="801" t="s">
        <v>8</v>
      </c>
    </row>
    <row r="66" spans="1:6" s="23" customFormat="1" ht="12.75" hidden="1" outlineLevel="1">
      <c r="A66" s="169"/>
      <c r="C66" s="191"/>
      <c r="F66" s="192"/>
    </row>
    <row r="67" spans="1:6" s="23" customFormat="1" ht="12.75" hidden="1" outlineLevel="1">
      <c r="A67" s="169"/>
      <c r="C67" s="802" t="s">
        <v>9</v>
      </c>
      <c r="D67" s="802"/>
      <c r="F67" s="801" t="s">
        <v>10</v>
      </c>
    </row>
    <row r="68" spans="1:6" s="23" customFormat="1" ht="12.75" hidden="1" outlineLevel="1">
      <c r="A68" s="169"/>
      <c r="C68" s="192"/>
      <c r="F68" s="192"/>
    </row>
    <row r="69" spans="1:6" s="23" customFormat="1" ht="12.75" hidden="1" outlineLevel="1">
      <c r="A69" s="169"/>
      <c r="C69" s="803" t="s">
        <v>11</v>
      </c>
      <c r="D69" s="803"/>
      <c r="F69" s="801" t="s">
        <v>517</v>
      </c>
    </row>
    <row r="70" spans="1:6" s="23" customFormat="1" ht="12.75" hidden="1" outlineLevel="1">
      <c r="A70" s="169"/>
      <c r="C70" s="141"/>
      <c r="F70" s="141"/>
    </row>
    <row r="71" spans="1:6" s="23" customFormat="1" ht="12.75" hidden="1" outlineLevel="1">
      <c r="A71" s="169"/>
      <c r="C71" s="798" t="s">
        <v>12</v>
      </c>
      <c r="D71" s="798"/>
      <c r="F71" s="801" t="s">
        <v>13</v>
      </c>
    </row>
    <row r="72" spans="1:6" s="23" customFormat="1" ht="12.75" hidden="1" outlineLevel="1">
      <c r="A72" s="169"/>
      <c r="C72" s="141"/>
      <c r="F72" s="141"/>
    </row>
    <row r="73" spans="1:6" s="23" customFormat="1" ht="12.75" hidden="1" outlineLevel="1">
      <c r="A73" s="169"/>
      <c r="C73" s="804" t="s">
        <v>518</v>
      </c>
      <c r="D73" s="804"/>
      <c r="F73" s="801" t="s">
        <v>14</v>
      </c>
    </row>
    <row r="74" spans="1:6" s="23" customFormat="1" ht="12.75" hidden="1" outlineLevel="1">
      <c r="A74" s="169"/>
    </row>
    <row r="75" spans="1:6" s="23" customFormat="1" ht="12.75" hidden="1" outlineLevel="1">
      <c r="A75" s="169"/>
      <c r="C75" s="797" t="s">
        <v>519</v>
      </c>
      <c r="D75" s="797"/>
      <c r="F75" s="801" t="s">
        <v>260</v>
      </c>
    </row>
    <row r="76" spans="1:6" s="23" customFormat="1" ht="12.75" hidden="1" outlineLevel="1">
      <c r="A76" s="169"/>
    </row>
    <row r="77" spans="1:6" s="23" customFormat="1" ht="12.75" hidden="1" outlineLevel="1">
      <c r="A77" s="169"/>
      <c r="C77" s="805" t="s">
        <v>258</v>
      </c>
      <c r="D77" s="805"/>
      <c r="F77" s="801" t="s">
        <v>256</v>
      </c>
    </row>
    <row r="78" spans="1:6" s="23" customFormat="1" ht="12.75" hidden="1" outlineLevel="1">
      <c r="A78" s="169"/>
    </row>
    <row r="79" spans="1:6" s="23" customFormat="1" ht="12.75" hidden="1" outlineLevel="1">
      <c r="A79" s="169"/>
      <c r="C79" s="806" t="s">
        <v>259</v>
      </c>
      <c r="D79" s="806"/>
      <c r="F79" s="801" t="s">
        <v>257</v>
      </c>
    </row>
    <row r="80" spans="1:6" s="23" customFormat="1" ht="12.75" hidden="1" outlineLevel="1">
      <c r="A80" s="169"/>
    </row>
    <row r="81" spans="1:16" s="23" customFormat="1" ht="12.75" hidden="1" outlineLevel="1">
      <c r="A81" s="169"/>
      <c r="C81" s="807" t="s">
        <v>520</v>
      </c>
      <c r="D81" s="807"/>
      <c r="F81" s="801" t="s">
        <v>508</v>
      </c>
    </row>
    <row r="82" spans="1:16" hidden="1" outlineLevel="1">
      <c r="A82" s="169"/>
      <c r="B82" s="23"/>
      <c r="C82" s="23"/>
      <c r="D82" s="23"/>
      <c r="E82" s="23"/>
      <c r="F82" s="23"/>
      <c r="G82" s="23"/>
      <c r="H82" s="23"/>
    </row>
    <row r="83" spans="1:16" ht="15" collapsed="1">
      <c r="A83" s="169" t="s">
        <v>1</v>
      </c>
      <c r="B83" s="169" t="s">
        <v>1</v>
      </c>
      <c r="C83" s="808" t="s">
        <v>539</v>
      </c>
      <c r="D83" s="497"/>
      <c r="E83" s="497"/>
      <c r="F83" s="497"/>
      <c r="G83" s="497"/>
      <c r="H83" s="497"/>
      <c r="I83" s="497"/>
      <c r="J83" s="497"/>
      <c r="K83" s="497"/>
      <c r="L83" s="497"/>
      <c r="M83" s="497"/>
      <c r="N83" s="497"/>
      <c r="O83" s="497"/>
      <c r="P83" s="1"/>
    </row>
  </sheetData>
  <conditionalFormatting sqref="F19:F20 F24:F27 F29:F31 F33:F35">
    <cfRule type="expression" dxfId="154" priority="4">
      <formula>$Q$2="Report"</formula>
    </cfRule>
  </conditionalFormatting>
  <conditionalFormatting sqref="F19:F35 I6:Q20">
    <cfRule type="expression" dxfId="153" priority="5">
      <formula>$Q$2="Report"</formula>
    </cfRule>
  </conditionalFormatting>
  <conditionalFormatting sqref="F37">
    <cfRule type="expression" dxfId="152" priority="1">
      <formula>$Q$2="Report"</formula>
    </cfRule>
  </conditionalFormatting>
  <conditionalFormatting sqref="I8:L20">
    <cfRule type="expression" dxfId="151" priority="8">
      <formula>$P$2="Report"</formula>
    </cfRule>
  </conditionalFormatting>
  <conditionalFormatting sqref="N8:Q8 P9:Q9 N10:O10 N11:Q11 N13:Q13 N15:Q15 N17:O17 N18:Q18 N20:Q20">
    <cfRule type="expression" dxfId="150" priority="7">
      <formula>$P$2="Report"</formula>
    </cfRule>
  </conditionalFormatting>
  <conditionalFormatting sqref="P16:Q16">
    <cfRule type="expression" dxfId="149" priority="6">
      <formula>$P$2="Report"</formula>
    </cfRule>
  </conditionalFormatting>
  <dataValidations count="5">
    <dataValidation type="list" allowBlank="1" showInputMessage="1" showErrorMessage="1" sqref="C2" xr:uid="{00000000-0002-0000-0000-000000000000}">
      <formula1>"$ in Thousands Except Per Share Data, $ in Millions Except Per Share Data, $ in Billions Except Per Share Data"</formula1>
    </dataValidation>
    <dataValidation type="list" allowBlank="1" showInputMessage="1" showErrorMessage="1" sqref="F26" xr:uid="{00000000-0002-0000-0000-000001000000}">
      <formula1>"1Q, 2Q, 3Q, 4Q"</formula1>
    </dataValidation>
    <dataValidation type="list" allowBlank="1" showInputMessage="1" showErrorMessage="1" sqref="F22" xr:uid="{00000000-0002-0000-0000-000002000000}">
      <formula1>"Bull, Base, Bear"</formula1>
    </dataValidation>
    <dataValidation type="list" allowBlank="1" showInputMessage="1" showErrorMessage="1" sqref="Q2" xr:uid="{00000000-0002-0000-0000-000003000000}">
      <formula1>"Working,Report"</formula1>
    </dataValidation>
    <dataValidation type="list" allowBlank="1" showInputMessage="1" showErrorMessage="1" sqref="F37" xr:uid="{00000000-0002-0000-0000-000004000000}">
      <formula1>"Bottom Up, Top Down"</formula1>
    </dataValidation>
  </dataValidations>
  <hyperlinks>
    <hyperlink ref="I24" location="'Cover'!A1" display="Cover" xr:uid="{00000000-0004-0000-0000-000000000000}"/>
    <hyperlink ref="I25" location="'Summary'!A1" display="Summary" xr:uid="{00000000-0004-0000-0000-000001000000}"/>
    <hyperlink ref="I26" location="'Football Field'!A1" display="Football Field" xr:uid="{00000000-0004-0000-0000-000002000000}"/>
    <hyperlink ref="I27" location="'Integrity'!A1" display="Integrity" xr:uid="{00000000-0004-0000-0000-000003000000}"/>
    <hyperlink ref="I28" location="'Revenue Build'!A1" display="Revenue Build" xr:uid="{00000000-0004-0000-0000-000004000000}"/>
    <hyperlink ref="I29" location="'Model'!A1" display="Model" xr:uid="{00000000-0004-0000-0000-000005000000}"/>
    <hyperlink ref="I30" location="'Segment Analysis'!A1" display="Segment Analysis" xr:uid="{00000000-0004-0000-0000-000006000000}"/>
    <hyperlink ref="I31" location="'Drivers'!A1" display="Drivers" xr:uid="{00000000-0004-0000-0000-000007000000}"/>
    <hyperlink ref="I32" location="'WACC'!A1" display="WACC" xr:uid="{00000000-0004-0000-0000-000008000000}"/>
    <hyperlink ref="I33" location="'Valuation'!A1" display="Valuation" xr:uid="{00000000-0004-0000-0000-000009000000}"/>
    <hyperlink ref="I34" location="'Comparables'!A1" display="Comparables" xr:uid="{00000000-0004-0000-0000-00000A000000}"/>
    <hyperlink ref="I35" location="'Charts'!A1" display="Charts" xr:uid="{00000000-0004-0000-0000-00000B000000}"/>
    <hyperlink ref="I36" location="'Benchmark'!A1" display="Benchmark" xr:uid="{00000000-0004-0000-0000-00000C000000}"/>
    <hyperlink ref="I37" location="'Multiples Data'!A1" display="Multiples Data" xr:uid="{00000000-0004-0000-0000-00000D000000}"/>
    <hyperlink ref="I38" location="'Pre-Earnings'!A1" display="Pre-Earnings" xr:uid="{00000000-0004-0000-0000-00000E000000}"/>
    <hyperlink ref="I39" location="'Post-Earnings'!A1" display="Post-Earnings" xr:uid="{00000000-0004-0000-0000-00000F000000}"/>
  </hyperlink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pageSetUpPr autoPageBreaks="0"/>
  </sheetPr>
  <dimension ref="A1:AE118"/>
  <sheetViews>
    <sheetView showGridLines="0" zoomScale="80" zoomScaleNormal="80" zoomScaleSheetLayoutView="80" workbookViewId="0">
      <pane ySplit="2" topLeftCell="A3" activePane="bottomLeft" state="frozen"/>
      <selection pane="bottomLeft"/>
    </sheetView>
  </sheetViews>
  <sheetFormatPr defaultColWidth="8.7109375" defaultRowHeight="14.25" outlineLevelRow="1" outlineLevelCol="1"/>
  <cols>
    <col min="1" max="1" width="1.7109375" style="6" customWidth="1"/>
    <col min="2" max="2" width="1.7109375" style="3" customWidth="1"/>
    <col min="3" max="6" width="10.42578125" style="3" customWidth="1"/>
    <col min="7" max="18" width="12.7109375" style="3" hidden="1" customWidth="1" outlineLevel="1"/>
    <col min="19" max="19" width="1.7109375" style="3" customWidth="1" collapsed="1"/>
    <col min="20" max="27" width="12.7109375" style="3" customWidth="1"/>
    <col min="28" max="28" width="1.7109375" style="3" customWidth="1"/>
    <col min="29" max="29" width="10.42578125" style="3" customWidth="1"/>
    <col min="30" max="30" width="1.7109375" style="3" customWidth="1"/>
    <col min="31" max="31" width="10.42578125" style="3" customWidth="1"/>
    <col min="32" max="16384" width="8.7109375" style="3"/>
  </cols>
  <sheetData>
    <row r="1" spans="1:31" s="2" customFormat="1" ht="18">
      <c r="C1" s="508" t="str">
        <f ca="1">Company_Name&amp;" - "&amp;MID(CELL("filename",A1),FIND("]",CELL("filename",A1))+1,255)&amp;": "&amp;Case_Scenario&amp;" Case"</f>
        <v>Evercore Inc. - Summary: Base Case</v>
      </c>
    </row>
    <row r="2" spans="1:31">
      <c r="A2" s="3"/>
      <c r="C2" s="4" t="str">
        <f>Cover!C2</f>
        <v>$ in Thousands Except Per Share Data</v>
      </c>
    </row>
    <row r="3" spans="1:31">
      <c r="A3" s="588"/>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1" s="13" customFormat="1" outlineLevel="1">
      <c r="A4" s="56"/>
      <c r="B4" s="56"/>
      <c r="C4" s="768" t="s">
        <v>512</v>
      </c>
      <c r="D4" s="769"/>
      <c r="E4" s="769"/>
      <c r="F4" s="769"/>
      <c r="G4" s="770"/>
      <c r="H4" s="770"/>
      <c r="I4" s="770"/>
      <c r="J4" s="769"/>
      <c r="K4" s="769"/>
      <c r="L4" s="769"/>
      <c r="M4" s="769"/>
      <c r="N4" s="770"/>
      <c r="O4" s="770"/>
      <c r="P4" s="770"/>
      <c r="Q4" s="770"/>
      <c r="R4" s="770"/>
      <c r="S4" s="769"/>
      <c r="T4" s="771">
        <f>Model!J24</f>
        <v>2023</v>
      </c>
      <c r="U4" s="771">
        <f>Model!O24</f>
        <v>2024</v>
      </c>
      <c r="V4" s="771">
        <f>Model!T24</f>
        <v>2025</v>
      </c>
      <c r="W4" s="771">
        <f>Model!Y24</f>
        <v>2026</v>
      </c>
      <c r="X4" s="771">
        <f>Model!AD24</f>
        <v>2027</v>
      </c>
      <c r="Y4" s="771">
        <f>Model!AE24</f>
        <v>2028</v>
      </c>
      <c r="Z4" s="771">
        <f>Model!AF24</f>
        <v>2029</v>
      </c>
      <c r="AA4" s="772">
        <f>Model!AG24</f>
        <v>2030</v>
      </c>
      <c r="AB4" s="56"/>
      <c r="AC4" s="56"/>
      <c r="AD4" s="56"/>
      <c r="AE4" s="56"/>
    </row>
    <row r="5" spans="1:31" ht="15" thickBot="1">
      <c r="A5" s="23"/>
      <c r="B5" s="23"/>
      <c r="C5" s="193"/>
      <c r="D5" s="193"/>
      <c r="E5" s="193"/>
      <c r="F5" s="193"/>
      <c r="G5" s="194" t="s">
        <v>507</v>
      </c>
      <c r="H5" s="194"/>
      <c r="I5" s="194"/>
      <c r="J5" s="194"/>
      <c r="K5" s="194"/>
      <c r="L5" s="194"/>
      <c r="M5" s="194"/>
      <c r="N5" s="194"/>
      <c r="O5" s="194"/>
      <c r="P5" s="194"/>
      <c r="Q5" s="194"/>
      <c r="R5" s="194"/>
      <c r="S5" s="195"/>
      <c r="T5" s="194" t="s">
        <v>508</v>
      </c>
      <c r="U5" s="194"/>
      <c r="V5" s="194"/>
      <c r="W5" s="194"/>
      <c r="X5" s="194"/>
      <c r="Y5" s="194"/>
      <c r="Z5" s="194"/>
      <c r="AA5" s="194"/>
      <c r="AB5" s="23"/>
      <c r="AC5" s="194" t="s">
        <v>236</v>
      </c>
      <c r="AD5" s="23"/>
      <c r="AE5" s="194" t="s">
        <v>236</v>
      </c>
    </row>
    <row r="6" spans="1:31">
      <c r="A6" s="146" t="s">
        <v>1</v>
      </c>
      <c r="B6" s="23"/>
      <c r="C6" s="193" t="str">
        <f>"Consolidated "&amp;Model!C25</f>
        <v>Consolidated Income Statement</v>
      </c>
      <c r="D6" s="193"/>
      <c r="E6" s="193"/>
      <c r="F6" s="193"/>
      <c r="G6" s="510" t="str">
        <f>Model!P25</f>
        <v>1Q25</v>
      </c>
      <c r="H6" s="510" t="str">
        <f>Model!Q25</f>
        <v>2Q25</v>
      </c>
      <c r="I6" s="510" t="str">
        <f>Model!R25</f>
        <v>3Q25</v>
      </c>
      <c r="J6" s="510" t="str">
        <f>Model!S25</f>
        <v>4Q25</v>
      </c>
      <c r="K6" s="510" t="str">
        <f>Model!U25</f>
        <v>1Q26</v>
      </c>
      <c r="L6" s="510" t="str">
        <f>Model!V25</f>
        <v>2Q26e</v>
      </c>
      <c r="M6" s="510" t="str">
        <f>Model!W25</f>
        <v>3Q26e</v>
      </c>
      <c r="N6" s="510" t="str">
        <f>Model!X25</f>
        <v>4Q26e</v>
      </c>
      <c r="O6" s="510" t="str">
        <f>Model!Z25</f>
        <v>1Q27e</v>
      </c>
      <c r="P6" s="510" t="str">
        <f>Model!AA25</f>
        <v>2Q27e</v>
      </c>
      <c r="Q6" s="510" t="str">
        <f>Model!AB25</f>
        <v>3Q27e</v>
      </c>
      <c r="R6" s="510" t="str">
        <f>Model!AC25</f>
        <v>4Q27e</v>
      </c>
      <c r="S6" s="510"/>
      <c r="T6" s="510">
        <f>Model!J25</f>
        <v>2023</v>
      </c>
      <c r="U6" s="510">
        <f>Model!O25</f>
        <v>2024</v>
      </c>
      <c r="V6" s="510">
        <f>Model!T25</f>
        <v>2025</v>
      </c>
      <c r="W6" s="510" t="str">
        <f>Model!Y25</f>
        <v>2026e</v>
      </c>
      <c r="X6" s="510" t="str">
        <f>Model!AD25</f>
        <v>2027e</v>
      </c>
      <c r="Y6" s="510" t="str">
        <f>Model!AE25</f>
        <v>2028e</v>
      </c>
      <c r="Z6" s="510" t="str">
        <f>Model!AF25</f>
        <v>2029e</v>
      </c>
      <c r="AA6" s="510" t="str">
        <f>Model!AG25</f>
        <v>2030e</v>
      </c>
      <c r="AB6" s="23"/>
      <c r="AC6" s="510" t="s">
        <v>237</v>
      </c>
      <c r="AD6" s="23"/>
      <c r="AE6" s="510" t="s">
        <v>238</v>
      </c>
    </row>
    <row r="7" spans="1:31" ht="5.0999999999999996" customHeight="1">
      <c r="A7" s="146"/>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196"/>
      <c r="AD7" s="23"/>
      <c r="AE7" s="196"/>
    </row>
    <row r="8" spans="1:31">
      <c r="A8" s="146"/>
      <c r="B8" s="23"/>
      <c r="C8" s="23" t="str">
        <f>Model!C28</f>
        <v>Revenue</v>
      </c>
      <c r="D8" s="23"/>
      <c r="E8" s="23"/>
      <c r="F8" s="23"/>
      <c r="G8" s="208">
        <f>Model!P28</f>
        <v>699022</v>
      </c>
      <c r="H8" s="208">
        <f>Model!Q28</f>
        <v>838040</v>
      </c>
      <c r="I8" s="208">
        <f>Model!R28</f>
        <v>1045994</v>
      </c>
      <c r="J8" s="209">
        <f>Model!S28</f>
        <v>1297028</v>
      </c>
      <c r="K8" s="208">
        <f>Model!U28</f>
        <v>1400469</v>
      </c>
      <c r="L8" s="208">
        <f>Model!V28</f>
        <v>1541864.1675</v>
      </c>
      <c r="M8" s="208">
        <f>Model!W28</f>
        <v>1718730.9434175</v>
      </c>
      <c r="N8" s="210">
        <f>Model!X28</f>
        <v>2113727.5750644035</v>
      </c>
      <c r="O8" s="208">
        <f>Model!Z28</f>
        <v>1569916.8630476727</v>
      </c>
      <c r="P8" s="208">
        <f>Model!AA28</f>
        <v>1730869.86064311</v>
      </c>
      <c r="Q8" s="208">
        <f>Model!AB28</f>
        <v>1922406.9836960782</v>
      </c>
      <c r="R8" s="208">
        <f>Model!AC28</f>
        <v>2440159.6789104422</v>
      </c>
      <c r="S8" s="23"/>
      <c r="T8" s="208">
        <f>Model!J28</f>
        <v>2442666</v>
      </c>
      <c r="U8" s="208">
        <f>Model!O28</f>
        <v>2996361</v>
      </c>
      <c r="V8" s="209">
        <f>Model!T28</f>
        <v>3880084</v>
      </c>
      <c r="W8" s="208">
        <f>Model!Y28</f>
        <v>6774791.6859819032</v>
      </c>
      <c r="X8" s="208">
        <f>Model!AD28</f>
        <v>7663353.3862973023</v>
      </c>
      <c r="Y8" s="208">
        <f>Model!AE28</f>
        <v>7894057.7637738818</v>
      </c>
      <c r="Z8" s="208">
        <f>Model!AF28</f>
        <v>7727144.4667526977</v>
      </c>
      <c r="AA8" s="208">
        <f>Model!AG28</f>
        <v>7330353.4317446342</v>
      </c>
      <c r="AB8" s="23"/>
      <c r="AC8" s="197">
        <f>IFERROR((V8/T8)^(1/(V$4-T$4))-1,"N/A")</f>
        <v>0.26034232245725875</v>
      </c>
      <c r="AD8" s="189"/>
      <c r="AE8" s="197">
        <f>IFERROR((AA8/V8)^(1/(AA$4-V$4))-1,"N/A")</f>
        <v>0.13568203891666242</v>
      </c>
    </row>
    <row r="9" spans="1:31">
      <c r="A9" s="146"/>
      <c r="B9" s="23"/>
      <c r="C9" s="114" t="s">
        <v>511</v>
      </c>
      <c r="D9" s="23"/>
      <c r="E9" s="23"/>
      <c r="F9" s="23"/>
      <c r="G9" s="23"/>
      <c r="H9" s="198"/>
      <c r="I9" s="198"/>
      <c r="J9" s="199"/>
      <c r="K9" s="198">
        <f>K8/G8-1</f>
        <v>1.0034691325881018</v>
      </c>
      <c r="L9" s="198">
        <f t="shared" ref="L9:R9" si="0">L8/H8-1</f>
        <v>0.83984555331487765</v>
      </c>
      <c r="M9" s="198">
        <f t="shared" si="0"/>
        <v>0.64315564278332382</v>
      </c>
      <c r="N9" s="200">
        <f t="shared" si="0"/>
        <v>0.62966996476899761</v>
      </c>
      <c r="O9" s="198">
        <f t="shared" si="0"/>
        <v>0.12099365501676407</v>
      </c>
      <c r="P9" s="198">
        <f t="shared" si="0"/>
        <v>0.12258258355505247</v>
      </c>
      <c r="Q9" s="198">
        <f t="shared" si="0"/>
        <v>0.1185037373409894</v>
      </c>
      <c r="R9" s="198">
        <f t="shared" si="0"/>
        <v>0.15443433094072812</v>
      </c>
      <c r="S9" s="23"/>
      <c r="T9" s="198"/>
      <c r="U9" s="198">
        <f t="shared" ref="U9:AA9" si="1">IF(ISERROR(U8/T8-1),"NA",(U8/T8-1))</f>
        <v>0.22667650837240938</v>
      </c>
      <c r="V9" s="199">
        <f t="shared" si="1"/>
        <v>0.2949320859535951</v>
      </c>
      <c r="W9" s="198">
        <f t="shared" si="1"/>
        <v>0.74604253051787106</v>
      </c>
      <c r="X9" s="198">
        <f t="shared" si="1"/>
        <v>0.13115705124247157</v>
      </c>
      <c r="Y9" s="198">
        <f t="shared" si="1"/>
        <v>3.01048856612951E-2</v>
      </c>
      <c r="Z9" s="198">
        <f t="shared" si="1"/>
        <v>-2.1144169705364368E-2</v>
      </c>
      <c r="AA9" s="198">
        <f t="shared" si="1"/>
        <v>-5.1350280393400394E-2</v>
      </c>
      <c r="AB9" s="23"/>
      <c r="AC9" s="197"/>
      <c r="AD9" s="189"/>
      <c r="AE9" s="197"/>
    </row>
    <row r="10" spans="1:31">
      <c r="A10" s="146"/>
      <c r="B10" s="23"/>
      <c r="C10" s="23"/>
      <c r="D10" s="23"/>
      <c r="E10" s="23"/>
      <c r="F10" s="23"/>
      <c r="G10" s="23"/>
      <c r="H10" s="23"/>
      <c r="I10" s="23"/>
      <c r="J10" s="201"/>
      <c r="K10" s="23"/>
      <c r="L10" s="23"/>
      <c r="M10" s="23"/>
      <c r="N10" s="202"/>
      <c r="O10" s="23"/>
      <c r="P10" s="23"/>
      <c r="Q10" s="23"/>
      <c r="R10" s="23"/>
      <c r="S10" s="23"/>
      <c r="T10" s="23"/>
      <c r="U10" s="23"/>
      <c r="V10" s="201"/>
      <c r="W10" s="23"/>
      <c r="X10" s="23"/>
      <c r="Y10" s="23"/>
      <c r="Z10" s="23"/>
      <c r="AA10" s="23"/>
      <c r="AB10" s="23"/>
      <c r="AC10" s="203"/>
      <c r="AD10" s="189"/>
      <c r="AE10" s="203"/>
    </row>
    <row r="11" spans="1:31">
      <c r="A11" s="146"/>
      <c r="B11" s="23"/>
      <c r="C11" s="23" t="str">
        <f>Model!C30</f>
        <v>Gross Profit</v>
      </c>
      <c r="D11" s="23"/>
      <c r="E11" s="23"/>
      <c r="F11" s="23"/>
      <c r="G11" s="208">
        <f>Model!P30</f>
        <v>699022</v>
      </c>
      <c r="H11" s="208">
        <f>Model!Q30</f>
        <v>838040</v>
      </c>
      <c r="I11" s="208">
        <f>Model!R30</f>
        <v>1045994</v>
      </c>
      <c r="J11" s="209">
        <f>Model!S30</f>
        <v>1297028</v>
      </c>
      <c r="K11" s="208">
        <f>Model!U30</f>
        <v>1400469</v>
      </c>
      <c r="L11" s="208">
        <f>Model!V30</f>
        <v>1541864.1675</v>
      </c>
      <c r="M11" s="208">
        <f>Model!W30</f>
        <v>1718730.9434175</v>
      </c>
      <c r="N11" s="210">
        <f>Model!X30</f>
        <v>2113727.5750644035</v>
      </c>
      <c r="O11" s="208">
        <f>Model!Z30</f>
        <v>1569916.8630476727</v>
      </c>
      <c r="P11" s="208">
        <f>Model!AA30</f>
        <v>1730869.86064311</v>
      </c>
      <c r="Q11" s="208">
        <f>Model!AB30</f>
        <v>1922406.9836960782</v>
      </c>
      <c r="R11" s="208">
        <f>Model!AC30</f>
        <v>2440159.6789104422</v>
      </c>
      <c r="S11" s="23"/>
      <c r="T11" s="208">
        <f>Model!J30</f>
        <v>2442666</v>
      </c>
      <c r="U11" s="208">
        <f>Model!O30</f>
        <v>2996361</v>
      </c>
      <c r="V11" s="209">
        <f>Model!T30</f>
        <v>3880084</v>
      </c>
      <c r="W11" s="208">
        <f>Model!Y30</f>
        <v>6774791.6859819032</v>
      </c>
      <c r="X11" s="208">
        <f>Model!AD30</f>
        <v>7663353.3862973023</v>
      </c>
      <c r="Y11" s="208">
        <f>Model!AE30</f>
        <v>7894057.7637738818</v>
      </c>
      <c r="Z11" s="208">
        <f>Model!AF30</f>
        <v>7727144.4667526977</v>
      </c>
      <c r="AA11" s="208">
        <f>Model!AG30</f>
        <v>7330353.4317446342</v>
      </c>
      <c r="AB11" s="23"/>
      <c r="AC11" s="197">
        <f>IFERROR((V11/T11)^(1/(V$4-T$4))-1,"N/A")</f>
        <v>0.26034232245725875</v>
      </c>
      <c r="AD11" s="189"/>
      <c r="AE11" s="197">
        <f>IFERROR((AA11/V11)^(1/(AA$4-V$4))-1,"N/A")</f>
        <v>0.13568203891666242</v>
      </c>
    </row>
    <row r="12" spans="1:31">
      <c r="A12" s="146"/>
      <c r="B12" s="23"/>
      <c r="C12" s="114" t="s">
        <v>474</v>
      </c>
      <c r="D12" s="23"/>
      <c r="E12" s="23"/>
      <c r="F12" s="23"/>
      <c r="G12" s="198">
        <f>G11/G$8</f>
        <v>1</v>
      </c>
      <c r="H12" s="198">
        <f>H11/H$8</f>
        <v>1</v>
      </c>
      <c r="I12" s="198">
        <f>I11/I$8</f>
        <v>1</v>
      </c>
      <c r="J12" s="199">
        <f>J11/J$8</f>
        <v>1</v>
      </c>
      <c r="K12" s="198">
        <f t="shared" ref="K12:R12" si="2">K11/K$8</f>
        <v>1</v>
      </c>
      <c r="L12" s="198">
        <f t="shared" si="2"/>
        <v>1</v>
      </c>
      <c r="M12" s="198">
        <f t="shared" si="2"/>
        <v>1</v>
      </c>
      <c r="N12" s="200">
        <f t="shared" si="2"/>
        <v>1</v>
      </c>
      <c r="O12" s="198">
        <f t="shared" si="2"/>
        <v>1</v>
      </c>
      <c r="P12" s="198">
        <f t="shared" si="2"/>
        <v>1</v>
      </c>
      <c r="Q12" s="198">
        <f t="shared" si="2"/>
        <v>1</v>
      </c>
      <c r="R12" s="198">
        <f t="shared" si="2"/>
        <v>1</v>
      </c>
      <c r="S12" s="23"/>
      <c r="T12" s="198">
        <f t="shared" ref="T12:AA12" si="3">T11/T$8</f>
        <v>1</v>
      </c>
      <c r="U12" s="198">
        <f t="shared" si="3"/>
        <v>1</v>
      </c>
      <c r="V12" s="199">
        <f t="shared" si="3"/>
        <v>1</v>
      </c>
      <c r="W12" s="198">
        <f t="shared" si="3"/>
        <v>1</v>
      </c>
      <c r="X12" s="198">
        <f t="shared" si="3"/>
        <v>1</v>
      </c>
      <c r="Y12" s="198">
        <f t="shared" si="3"/>
        <v>1</v>
      </c>
      <c r="Z12" s="198">
        <f t="shared" si="3"/>
        <v>1</v>
      </c>
      <c r="AA12" s="198">
        <f t="shared" si="3"/>
        <v>1</v>
      </c>
      <c r="AB12" s="23"/>
      <c r="AC12" s="203"/>
      <c r="AD12" s="189"/>
      <c r="AE12" s="203"/>
    </row>
    <row r="13" spans="1:31">
      <c r="A13" s="146"/>
      <c r="B13" s="23"/>
      <c r="C13" s="114" t="s">
        <v>511</v>
      </c>
      <c r="D13" s="23"/>
      <c r="E13" s="23"/>
      <c r="F13" s="23"/>
      <c r="G13" s="198"/>
      <c r="H13" s="198"/>
      <c r="I13" s="198"/>
      <c r="J13" s="199"/>
      <c r="K13" s="198">
        <f>K11/G11-1</f>
        <v>1.0034691325881018</v>
      </c>
      <c r="L13" s="198">
        <f t="shared" ref="L13:R13" si="4">L11/H11-1</f>
        <v>0.83984555331487765</v>
      </c>
      <c r="M13" s="198">
        <f t="shared" si="4"/>
        <v>0.64315564278332382</v>
      </c>
      <c r="N13" s="200">
        <f t="shared" si="4"/>
        <v>0.62966996476899761</v>
      </c>
      <c r="O13" s="198">
        <f t="shared" si="4"/>
        <v>0.12099365501676407</v>
      </c>
      <c r="P13" s="198">
        <f t="shared" si="4"/>
        <v>0.12258258355505247</v>
      </c>
      <c r="Q13" s="198">
        <f t="shared" si="4"/>
        <v>0.1185037373409894</v>
      </c>
      <c r="R13" s="198">
        <f t="shared" si="4"/>
        <v>0.15443433094072812</v>
      </c>
      <c r="S13" s="23"/>
      <c r="T13" s="198"/>
      <c r="U13" s="198">
        <f>U11/T11-1</f>
        <v>0.22667650837240938</v>
      </c>
      <c r="V13" s="199">
        <f t="shared" ref="V13:AA13" si="5">V11/U11-1</f>
        <v>0.2949320859535951</v>
      </c>
      <c r="W13" s="198">
        <f t="shared" si="5"/>
        <v>0.74604253051787106</v>
      </c>
      <c r="X13" s="198">
        <f t="shared" si="5"/>
        <v>0.13115705124247157</v>
      </c>
      <c r="Y13" s="198">
        <f t="shared" si="5"/>
        <v>3.01048856612951E-2</v>
      </c>
      <c r="Z13" s="198">
        <f t="shared" si="5"/>
        <v>-2.1144169705364368E-2</v>
      </c>
      <c r="AA13" s="198">
        <f t="shared" si="5"/>
        <v>-5.1350280393400394E-2</v>
      </c>
      <c r="AB13" s="23"/>
      <c r="AC13" s="203"/>
      <c r="AD13" s="189"/>
      <c r="AE13" s="203"/>
    </row>
    <row r="14" spans="1:31">
      <c r="A14" s="146"/>
      <c r="B14" s="23"/>
      <c r="C14" s="23"/>
      <c r="D14" s="23"/>
      <c r="E14" s="23"/>
      <c r="F14" s="23"/>
      <c r="G14" s="23"/>
      <c r="H14" s="23"/>
      <c r="I14" s="23"/>
      <c r="J14" s="201"/>
      <c r="K14" s="23"/>
      <c r="L14" s="23"/>
      <c r="M14" s="23"/>
      <c r="N14" s="202"/>
      <c r="O14" s="23"/>
      <c r="P14" s="23"/>
      <c r="Q14" s="23"/>
      <c r="R14" s="23"/>
      <c r="S14" s="23"/>
      <c r="T14" s="23"/>
      <c r="U14" s="23"/>
      <c r="V14" s="201"/>
      <c r="W14" s="23"/>
      <c r="X14" s="23"/>
      <c r="Y14" s="23"/>
      <c r="Z14" s="23"/>
      <c r="AA14" s="23"/>
      <c r="AB14" s="23"/>
      <c r="AC14" s="203"/>
      <c r="AD14" s="189"/>
      <c r="AE14" s="203"/>
    </row>
    <row r="15" spans="1:31">
      <c r="A15" s="146"/>
      <c r="B15" s="23"/>
      <c r="C15" s="23" t="str">
        <f>Model!C37</f>
        <v>EBIT</v>
      </c>
      <c r="D15" s="23"/>
      <c r="E15" s="23"/>
      <c r="F15" s="23"/>
      <c r="G15" s="208">
        <f>Model!P37</f>
        <v>115377</v>
      </c>
      <c r="H15" s="208">
        <f>Model!Q37</f>
        <v>154599</v>
      </c>
      <c r="I15" s="208">
        <f>Model!R37</f>
        <v>223316</v>
      </c>
      <c r="J15" s="209">
        <f>Model!S37</f>
        <v>320914</v>
      </c>
      <c r="K15" s="208">
        <f>Model!U37</f>
        <v>339617</v>
      </c>
      <c r="L15" s="208">
        <f>Model!V37</f>
        <v>315373.10017500003</v>
      </c>
      <c r="M15" s="208">
        <f>Model!W37</f>
        <v>370051.20502613066</v>
      </c>
      <c r="N15" s="210">
        <f>Model!X37</f>
        <v>509628.06487249187</v>
      </c>
      <c r="O15" s="208">
        <f>Model!Z37</f>
        <v>321489.91518235649</v>
      </c>
      <c r="P15" s="208">
        <f>Model!AA37</f>
        <v>372328.77310166764</v>
      </c>
      <c r="Q15" s="208">
        <f>Model!AB37</f>
        <v>438226.91021665744</v>
      </c>
      <c r="R15" s="208">
        <f>Model!AC37</f>
        <v>607462.17068770714</v>
      </c>
      <c r="S15" s="23"/>
      <c r="T15" s="208">
        <f>Model!J37</f>
        <v>375852</v>
      </c>
      <c r="U15" s="208">
        <f ca="1">Model!O37</f>
        <v>543682</v>
      </c>
      <c r="V15" s="209">
        <f>Model!T37</f>
        <v>814206</v>
      </c>
      <c r="W15" s="208">
        <f>Model!Y37</f>
        <v>1534669.3700736226</v>
      </c>
      <c r="X15" s="208">
        <f>Model!AD37</f>
        <v>1739507.7691883887</v>
      </c>
      <c r="Y15" s="208">
        <f>Model!AE37</f>
        <v>1798534.739430747</v>
      </c>
      <c r="Z15" s="208">
        <f>Model!AF37</f>
        <v>1632271.3819773886</v>
      </c>
      <c r="AA15" s="208">
        <f>Model!AG37</f>
        <v>2012773.1094062608</v>
      </c>
      <c r="AB15" s="23"/>
      <c r="AC15" s="197">
        <f>IFERROR((V15/T15)^(1/(V$4-T$4))-1,"N/A")</f>
        <v>0.47183361139223012</v>
      </c>
      <c r="AD15" s="189"/>
      <c r="AE15" s="197">
        <f>IFERROR((AA15/V15)^(1/(AA$4-V$4))-1,"N/A")</f>
        <v>0.19842843417015499</v>
      </c>
    </row>
    <row r="16" spans="1:31">
      <c r="A16" s="146"/>
      <c r="B16" s="23"/>
      <c r="C16" s="114" t="s">
        <v>475</v>
      </c>
      <c r="D16" s="23"/>
      <c r="E16" s="23"/>
      <c r="F16" s="23"/>
      <c r="G16" s="198">
        <f t="shared" ref="G16:R16" si="6">G15/G$8</f>
        <v>0.16505489097624967</v>
      </c>
      <c r="H16" s="198">
        <f t="shared" si="6"/>
        <v>0.18447687461219034</v>
      </c>
      <c r="I16" s="198">
        <f t="shared" si="6"/>
        <v>0.21349644453027455</v>
      </c>
      <c r="J16" s="199">
        <f t="shared" si="6"/>
        <v>0.24742256913497626</v>
      </c>
      <c r="K16" s="198">
        <f t="shared" si="6"/>
        <v>0.2425023331469672</v>
      </c>
      <c r="L16" s="198">
        <f t="shared" si="6"/>
        <v>0.204540131888758</v>
      </c>
      <c r="M16" s="198">
        <f t="shared" si="6"/>
        <v>0.21530490647379988</v>
      </c>
      <c r="N16" s="200">
        <f t="shared" si="6"/>
        <v>0.24110394872289251</v>
      </c>
      <c r="O16" s="198">
        <f t="shared" si="6"/>
        <v>0.20478149050405736</v>
      </c>
      <c r="P16" s="198">
        <f t="shared" si="6"/>
        <v>0.21511078421766947</v>
      </c>
      <c r="Q16" s="198">
        <f t="shared" si="6"/>
        <v>0.22795740648741769</v>
      </c>
      <c r="R16" s="198">
        <f t="shared" si="6"/>
        <v>0.24894361460760864</v>
      </c>
      <c r="S16" s="23"/>
      <c r="T16" s="198">
        <f t="shared" ref="T16:AA16" si="7">T15/T$8</f>
        <v>0.15386958347968982</v>
      </c>
      <c r="U16" s="198">
        <f t="shared" ca="1" si="7"/>
        <v>0.18144742906478892</v>
      </c>
      <c r="V16" s="199">
        <f t="shared" si="7"/>
        <v>0.20984236423747527</v>
      </c>
      <c r="W16" s="198">
        <f t="shared" si="7"/>
        <v>0.22652642932905109</v>
      </c>
      <c r="X16" s="198">
        <f t="shared" si="7"/>
        <v>0.22699041548818169</v>
      </c>
      <c r="Y16" s="198">
        <f t="shared" si="7"/>
        <v>0.22783399783116465</v>
      </c>
      <c r="Z16" s="198">
        <f t="shared" si="7"/>
        <v>0.21123862624809245</v>
      </c>
      <c r="AA16" s="198">
        <f t="shared" si="7"/>
        <v>0.2745806362746166</v>
      </c>
      <c r="AB16" s="23"/>
      <c r="AC16" s="203"/>
      <c r="AD16" s="189"/>
      <c r="AE16" s="203"/>
    </row>
    <row r="17" spans="1:31">
      <c r="A17" s="146"/>
      <c r="B17" s="23"/>
      <c r="C17" s="114" t="s">
        <v>511</v>
      </c>
      <c r="D17" s="23"/>
      <c r="E17" s="23"/>
      <c r="F17" s="23"/>
      <c r="G17" s="23"/>
      <c r="H17" s="198"/>
      <c r="I17" s="198"/>
      <c r="J17" s="199"/>
      <c r="K17" s="198">
        <f t="shared" ref="K17:R17" si="8">K15/G15-1</f>
        <v>1.9435416070794007</v>
      </c>
      <c r="L17" s="198">
        <f t="shared" si="8"/>
        <v>1.0399426915762717</v>
      </c>
      <c r="M17" s="198">
        <f t="shared" si="8"/>
        <v>0.65707430289872049</v>
      </c>
      <c r="N17" s="200">
        <f t="shared" si="8"/>
        <v>0.58805182968799086</v>
      </c>
      <c r="O17" s="198">
        <f t="shared" si="8"/>
        <v>-5.3375080804681452E-2</v>
      </c>
      <c r="P17" s="198">
        <f t="shared" si="8"/>
        <v>0.1805977519803148</v>
      </c>
      <c r="Q17" s="198">
        <f t="shared" si="8"/>
        <v>0.1842331662876564</v>
      </c>
      <c r="R17" s="198">
        <f t="shared" si="8"/>
        <v>0.19197158194122066</v>
      </c>
      <c r="S17" s="23"/>
      <c r="T17" s="198"/>
      <c r="U17" s="198">
        <f ca="1">U15/T15-1</f>
        <v>0.44653214563179122</v>
      </c>
      <c r="V17" s="199">
        <f t="shared" ref="V17:AA17" ca="1" si="9">V15/U15-1</f>
        <v>0.49757762809877826</v>
      </c>
      <c r="W17" s="198">
        <f t="shared" si="9"/>
        <v>0.88486620102728608</v>
      </c>
      <c r="X17" s="198">
        <f t="shared" si="9"/>
        <v>0.13347396065182404</v>
      </c>
      <c r="Y17" s="198">
        <f t="shared" si="9"/>
        <v>3.3933145506960694E-2</v>
      </c>
      <c r="Z17" s="198">
        <f t="shared" si="9"/>
        <v>-9.2443784269622853E-2</v>
      </c>
      <c r="AA17" s="198">
        <f t="shared" si="9"/>
        <v>0.23311180458724912</v>
      </c>
      <c r="AB17" s="23"/>
      <c r="AC17" s="203"/>
      <c r="AD17" s="189"/>
      <c r="AE17" s="203"/>
    </row>
    <row r="18" spans="1:31">
      <c r="A18" s="146"/>
      <c r="B18" s="23"/>
      <c r="C18" s="23"/>
      <c r="D18" s="23"/>
      <c r="E18" s="23"/>
      <c r="F18" s="23"/>
      <c r="G18" s="23"/>
      <c r="H18" s="23"/>
      <c r="I18" s="23"/>
      <c r="J18" s="201"/>
      <c r="K18" s="23"/>
      <c r="L18" s="23"/>
      <c r="M18" s="23"/>
      <c r="N18" s="202"/>
      <c r="O18" s="23"/>
      <c r="P18" s="23"/>
      <c r="Q18" s="23"/>
      <c r="R18" s="23"/>
      <c r="S18" s="23"/>
      <c r="T18" s="23"/>
      <c r="U18" s="23"/>
      <c r="V18" s="201"/>
      <c r="W18" s="23"/>
      <c r="X18" s="23"/>
      <c r="Y18" s="23"/>
      <c r="Z18" s="23"/>
      <c r="AA18" s="23"/>
      <c r="AB18" s="23"/>
      <c r="AC18" s="203"/>
      <c r="AD18" s="189"/>
      <c r="AE18" s="203"/>
    </row>
    <row r="19" spans="1:31">
      <c r="A19" s="146"/>
      <c r="B19" s="23"/>
      <c r="C19" s="23" t="str">
        <f>Model!C46</f>
        <v>Net Income (Loss)</v>
      </c>
      <c r="D19" s="23"/>
      <c r="E19" s="23"/>
      <c r="F19" s="23"/>
      <c r="G19" s="208">
        <f>Model!P46</f>
        <v>153790</v>
      </c>
      <c r="H19" s="208">
        <f>Model!Q46</f>
        <v>106939</v>
      </c>
      <c r="I19" s="208">
        <f>Model!R46</f>
        <v>157494</v>
      </c>
      <c r="J19" s="209">
        <f>Model!S46</f>
        <v>222484</v>
      </c>
      <c r="K19" s="208">
        <f>Model!U46</f>
        <v>322721</v>
      </c>
      <c r="L19" s="208">
        <f ca="1">Model!V46</f>
        <v>230802.51100687502</v>
      </c>
      <c r="M19" s="208">
        <f ca="1">Model!W46</f>
        <v>277383.26477170433</v>
      </c>
      <c r="N19" s="210">
        <f ca="1">Model!X46</f>
        <v>376925.18208566721</v>
      </c>
      <c r="O19" s="208">
        <f ca="1">Model!Z46</f>
        <v>288459.79052381776</v>
      </c>
      <c r="P19" s="208">
        <f ca="1">Model!AA46</f>
        <v>275255.04585080844</v>
      </c>
      <c r="Q19" s="208">
        <f ca="1">Model!AB46</f>
        <v>324690.54293086444</v>
      </c>
      <c r="R19" s="208">
        <f ca="1">Model!AC46</f>
        <v>451667.05902922997</v>
      </c>
      <c r="S19" s="23"/>
      <c r="T19" s="208">
        <f>Model!J46</f>
        <v>285223</v>
      </c>
      <c r="U19" s="208">
        <f ca="1">Model!O46</f>
        <v>417737</v>
      </c>
      <c r="V19" s="209">
        <f>Model!T46</f>
        <v>640707</v>
      </c>
      <c r="W19" s="208">
        <f ca="1">Model!Y46</f>
        <v>1207831.9578642466</v>
      </c>
      <c r="X19" s="208">
        <f ca="1">Model!AD46</f>
        <v>1340072.4383347207</v>
      </c>
      <c r="Y19" s="208">
        <f ca="1">Model!AE46</f>
        <v>1358063.9150676546</v>
      </c>
      <c r="Z19" s="208">
        <f ca="1">Model!AF46</f>
        <v>1231468.2951916298</v>
      </c>
      <c r="AA19" s="208">
        <f ca="1">Model!AG46</f>
        <v>1524493.01076501</v>
      </c>
      <c r="AB19" s="23"/>
      <c r="AC19" s="197">
        <f>IFERROR((V19/T19)^(1/(V$4-T$4))-1,"N/A")</f>
        <v>0.49877852820328972</v>
      </c>
      <c r="AD19" s="189"/>
      <c r="AE19" s="197">
        <f ca="1">IFERROR((AA19/V19)^(1/(AA$4-V$4))-1,"N/A")</f>
        <v>0.18930486042189409</v>
      </c>
    </row>
    <row r="20" spans="1:31">
      <c r="A20" s="146"/>
      <c r="B20" s="23"/>
      <c r="C20" s="114" t="s">
        <v>475</v>
      </c>
      <c r="D20" s="23"/>
      <c r="E20" s="23"/>
      <c r="F20" s="23"/>
      <c r="G20" s="198">
        <f t="shared" ref="G20:R20" si="10">G19/G$8</f>
        <v>0.22000738174191942</v>
      </c>
      <c r="H20" s="198">
        <f t="shared" si="10"/>
        <v>0.1276060808553291</v>
      </c>
      <c r="I20" s="198">
        <f t="shared" si="10"/>
        <v>0.15056874131209166</v>
      </c>
      <c r="J20" s="199">
        <f t="shared" si="10"/>
        <v>0.17153369086866282</v>
      </c>
      <c r="K20" s="198">
        <f t="shared" si="10"/>
        <v>0.23043780333588249</v>
      </c>
      <c r="L20" s="198">
        <f t="shared" ca="1" si="10"/>
        <v>0.14969056021393987</v>
      </c>
      <c r="M20" s="198">
        <f t="shared" ca="1" si="10"/>
        <v>0.16138841616487071</v>
      </c>
      <c r="N20" s="200">
        <f t="shared" ca="1" si="10"/>
        <v>0.17832249838259437</v>
      </c>
      <c r="O20" s="198">
        <f t="shared" ca="1" si="10"/>
        <v>0.18374208043337534</v>
      </c>
      <c r="P20" s="198">
        <f t="shared" ca="1" si="10"/>
        <v>0.15902700261274211</v>
      </c>
      <c r="Q20" s="198">
        <f t="shared" ca="1" si="10"/>
        <v>0.16889792103574475</v>
      </c>
      <c r="R20" s="198">
        <f t="shared" ca="1" si="10"/>
        <v>0.18509733724921815</v>
      </c>
      <c r="S20" s="23"/>
      <c r="T20" s="198">
        <f t="shared" ref="T20:AA20" si="11">T19/T$8</f>
        <v>0.1167670897290092</v>
      </c>
      <c r="U20" s="198">
        <f t="shared" ca="1" si="11"/>
        <v>0.13941477679091405</v>
      </c>
      <c r="V20" s="199">
        <f t="shared" si="11"/>
        <v>0.16512709518659904</v>
      </c>
      <c r="W20" s="198">
        <f t="shared" ca="1" si="11"/>
        <v>0.17828326151539664</v>
      </c>
      <c r="X20" s="198">
        <f t="shared" ca="1" si="11"/>
        <v>0.17486762919362153</v>
      </c>
      <c r="Y20" s="198">
        <f t="shared" ca="1" si="11"/>
        <v>0.17203622721129042</v>
      </c>
      <c r="Z20" s="198">
        <f t="shared" ca="1" si="11"/>
        <v>0.15936913053589505</v>
      </c>
      <c r="AA20" s="198">
        <f t="shared" ca="1" si="11"/>
        <v>0.2079699191805788</v>
      </c>
      <c r="AB20" s="23"/>
      <c r="AC20" s="203"/>
      <c r="AD20" s="189"/>
      <c r="AE20" s="203"/>
    </row>
    <row r="21" spans="1:31">
      <c r="A21" s="146"/>
      <c r="B21" s="23"/>
      <c r="C21" s="114" t="s">
        <v>511</v>
      </c>
      <c r="D21" s="23"/>
      <c r="E21" s="23"/>
      <c r="F21" s="23"/>
      <c r="G21" s="23"/>
      <c r="H21" s="198"/>
      <c r="I21" s="198"/>
      <c r="J21" s="199"/>
      <c r="K21" s="198">
        <f t="shared" ref="K21:R21" si="12">K19/G19-1</f>
        <v>1.0984524351388258</v>
      </c>
      <c r="L21" s="198">
        <f t="shared" ca="1" si="12"/>
        <v>1.1582632248933975</v>
      </c>
      <c r="M21" s="198">
        <f t="shared" ca="1" si="12"/>
        <v>0.76123068035419972</v>
      </c>
      <c r="N21" s="200">
        <f t="shared" ca="1" si="12"/>
        <v>0.69416758996452432</v>
      </c>
      <c r="O21" s="198">
        <f t="shared" ca="1" si="12"/>
        <v>-0.10616355761224783</v>
      </c>
      <c r="P21" s="198">
        <f t="shared" ca="1" si="12"/>
        <v>0.19259987532202061</v>
      </c>
      <c r="Q21" s="198">
        <f t="shared" ca="1" si="12"/>
        <v>0.17054842222761923</v>
      </c>
      <c r="R21" s="198">
        <f t="shared" ca="1" si="12"/>
        <v>0.19829366806958393</v>
      </c>
      <c r="S21" s="23"/>
      <c r="T21" s="198"/>
      <c r="U21" s="198">
        <f ca="1">U19/T19-1</f>
        <v>0.4645978760478644</v>
      </c>
      <c r="V21" s="199">
        <f t="shared" ref="V21:AA21" ca="1" si="13">V19/U19-1</f>
        <v>0.53375688531300791</v>
      </c>
      <c r="W21" s="198">
        <f t="shared" ca="1" si="13"/>
        <v>0.88515492707937726</v>
      </c>
      <c r="X21" s="198">
        <f t="shared" ca="1" si="13"/>
        <v>0.10948582674059137</v>
      </c>
      <c r="Y21" s="198">
        <f t="shared" ca="1" si="13"/>
        <v>1.3425749398511266E-2</v>
      </c>
      <c r="Z21" s="198">
        <f t="shared" ca="1" si="13"/>
        <v>-9.3217718600319466E-2</v>
      </c>
      <c r="AA21" s="198">
        <f t="shared" ca="1" si="13"/>
        <v>0.23794742968009785</v>
      </c>
      <c r="AB21" s="23"/>
      <c r="AC21" s="197"/>
      <c r="AD21" s="189"/>
      <c r="AE21" s="197"/>
    </row>
    <row r="22" spans="1:31">
      <c r="A22" s="146"/>
      <c r="B22" s="23"/>
      <c r="C22" s="23"/>
      <c r="D22" s="23"/>
      <c r="E22" s="23"/>
      <c r="F22" s="23"/>
      <c r="G22" s="23"/>
      <c r="H22" s="23"/>
      <c r="I22" s="23"/>
      <c r="J22" s="201"/>
      <c r="K22" s="23"/>
      <c r="L22" s="23"/>
      <c r="M22" s="23"/>
      <c r="N22" s="202"/>
      <c r="O22" s="23"/>
      <c r="P22" s="23"/>
      <c r="Q22" s="23"/>
      <c r="R22" s="23"/>
      <c r="S22" s="23"/>
      <c r="T22" s="23"/>
      <c r="U22" s="23"/>
      <c r="V22" s="201"/>
      <c r="W22" s="23"/>
      <c r="X22" s="23"/>
      <c r="Y22" s="23"/>
      <c r="Z22" s="23"/>
      <c r="AA22" s="23"/>
      <c r="AB22" s="23"/>
      <c r="AC22" s="203"/>
      <c r="AD22" s="189"/>
      <c r="AE22" s="203"/>
    </row>
    <row r="23" spans="1:31">
      <c r="A23" s="146"/>
      <c r="B23" s="23"/>
      <c r="C23" s="23" t="str">
        <f>Model!C58</f>
        <v>Adj. EPS (Diluted)</v>
      </c>
      <c r="D23" s="23"/>
      <c r="E23" s="23"/>
      <c r="F23" s="23"/>
      <c r="G23" s="773">
        <f>Model!P58</f>
        <v>3.4757715535688809</v>
      </c>
      <c r="H23" s="773">
        <f>Model!Q58</f>
        <v>2.3585033848542936</v>
      </c>
      <c r="I23" s="773">
        <f>Model!R58</f>
        <v>3.4084490440604447</v>
      </c>
      <c r="J23" s="774">
        <f>Model!S58</f>
        <v>4.8409484702475609</v>
      </c>
      <c r="K23" s="773">
        <f>Model!U58</f>
        <v>7.1979689366786141</v>
      </c>
      <c r="L23" s="773">
        <f ca="1">Model!V58</f>
        <v>5.3153285734651163</v>
      </c>
      <c r="M23" s="773">
        <f ca="1">Model!W58</f>
        <v>6.0438439271648328</v>
      </c>
      <c r="N23" s="775">
        <f ca="1">Model!X58</f>
        <v>8.1844873653283408</v>
      </c>
      <c r="O23" s="773">
        <f ca="1">Model!Z58</f>
        <v>5.8774868033911174</v>
      </c>
      <c r="P23" s="773">
        <f ca="1">Model!AA58</f>
        <v>5.6505181556420272</v>
      </c>
      <c r="Q23" s="773">
        <f ca="1">Model!AB58</f>
        <v>6.6214374071253319</v>
      </c>
      <c r="R23" s="773">
        <f ca="1">Model!AC58</f>
        <v>9.1790980091031606</v>
      </c>
      <c r="S23" s="51"/>
      <c r="T23" s="773">
        <f>Model!J58</f>
        <v>6.371206264495374</v>
      </c>
      <c r="U23" s="773">
        <f ca="1">Model!O58</f>
        <v>9.0832012678288425</v>
      </c>
      <c r="V23" s="774">
        <f>Model!T58</f>
        <v>14.049559706629323</v>
      </c>
      <c r="W23" s="773">
        <f ca="1">Model!Y58</f>
        <v>25.791306843326122</v>
      </c>
      <c r="X23" s="773">
        <f ca="1">Model!AD58</f>
        <v>27.030169440180391</v>
      </c>
      <c r="Y23" s="773">
        <f ca="1">Model!AE58</f>
        <v>27.912089942800439</v>
      </c>
      <c r="Z23" s="773">
        <f ca="1">Model!AF58</f>
        <v>25.962365875459771</v>
      </c>
      <c r="AA23" s="773">
        <f ca="1">Model!AG58</f>
        <v>33.296064428197376</v>
      </c>
      <c r="AB23" s="23"/>
      <c r="AC23" s="197">
        <f>IFERROR((V23/T23)^(1/(V$4-T$4))-1,"N/A")</f>
        <v>0.48497972620087837</v>
      </c>
      <c r="AD23" s="189"/>
      <c r="AE23" s="197">
        <f ca="1">IFERROR((AA23/V23)^(1/(AA$4-V$4))-1,"N/A")</f>
        <v>0.18835456214479485</v>
      </c>
    </row>
    <row r="24" spans="1:31">
      <c r="A24" s="146"/>
      <c r="B24" s="23"/>
      <c r="C24" s="114" t="s">
        <v>511</v>
      </c>
      <c r="D24" s="23"/>
      <c r="E24" s="23"/>
      <c r="F24" s="23"/>
      <c r="G24" s="23"/>
      <c r="H24" s="198"/>
      <c r="I24" s="198"/>
      <c r="J24" s="199"/>
      <c r="K24" s="198">
        <f t="shared" ref="K24:R24" si="14">K23/G23-1</f>
        <v>1.0708981662755783</v>
      </c>
      <c r="L24" s="198">
        <f t="shared" ca="1" si="14"/>
        <v>1.2536870659583528</v>
      </c>
      <c r="M24" s="198">
        <f t="shared" ca="1" si="14"/>
        <v>0.77319474313304504</v>
      </c>
      <c r="N24" s="200">
        <f t="shared" ca="1" si="14"/>
        <v>0.69067847254110415</v>
      </c>
      <c r="O24" s="198">
        <f t="shared" ca="1" si="14"/>
        <v>-0.18345204666815518</v>
      </c>
      <c r="P24" s="198">
        <f t="shared" ca="1" si="14"/>
        <v>6.3060933589359935E-2</v>
      </c>
      <c r="Q24" s="198">
        <f t="shared" ca="1" si="14"/>
        <v>9.5567239478906885E-2</v>
      </c>
      <c r="R24" s="198">
        <f t="shared" ca="1" si="14"/>
        <v>0.12152387796311515</v>
      </c>
      <c r="S24" s="23"/>
      <c r="T24" s="198"/>
      <c r="U24" s="198">
        <f t="shared" ref="U24:AA24" ca="1" si="15">IF(ISERROR(U23/T23-1),"NA",(U23/T23-1))</f>
        <v>0.42566429193267852</v>
      </c>
      <c r="V24" s="199">
        <f t="shared" ca="1" si="15"/>
        <v>0.5467630070458176</v>
      </c>
      <c r="W24" s="198">
        <f t="shared" ca="1" si="15"/>
        <v>0.83573772999850138</v>
      </c>
      <c r="X24" s="198">
        <f t="shared" ca="1" si="15"/>
        <v>4.8034114920192383E-2</v>
      </c>
      <c r="Y24" s="198">
        <f t="shared" ca="1" si="15"/>
        <v>3.2627265048108534E-2</v>
      </c>
      <c r="Z24" s="198">
        <f t="shared" ca="1" si="15"/>
        <v>-6.9852313866005322E-2</v>
      </c>
      <c r="AA24" s="198">
        <f t="shared" ca="1" si="15"/>
        <v>0.2824742008458323</v>
      </c>
      <c r="AB24" s="23"/>
      <c r="AC24" s="203"/>
      <c r="AD24" s="189"/>
      <c r="AE24" s="203"/>
    </row>
    <row r="25" spans="1:31">
      <c r="A25" s="146"/>
      <c r="B25" s="23"/>
      <c r="C25" s="114"/>
      <c r="D25" s="23"/>
      <c r="E25" s="23"/>
      <c r="F25" s="23"/>
      <c r="G25" s="23"/>
      <c r="H25" s="23"/>
      <c r="I25" s="23"/>
      <c r="J25" s="868"/>
      <c r="K25" s="155"/>
      <c r="L25" s="23"/>
      <c r="M25" s="23"/>
      <c r="N25" s="202"/>
      <c r="O25" s="23"/>
      <c r="P25" s="23"/>
      <c r="Q25" s="23"/>
      <c r="R25" s="23"/>
      <c r="S25" s="23"/>
      <c r="T25" s="23"/>
      <c r="U25" s="23"/>
      <c r="V25" s="201"/>
      <c r="W25" s="23"/>
      <c r="X25" s="23"/>
      <c r="Y25" s="23"/>
      <c r="Z25" s="23"/>
      <c r="AA25" s="23"/>
      <c r="AB25" s="23"/>
      <c r="AC25" s="203"/>
      <c r="AD25" s="189"/>
      <c r="AE25" s="203"/>
    </row>
    <row r="26" spans="1:31">
      <c r="A26" s="146"/>
      <c r="B26" s="23"/>
      <c r="C26" s="204"/>
      <c r="D26" s="204"/>
      <c r="E26" s="204"/>
      <c r="F26" s="204"/>
      <c r="G26" s="204"/>
      <c r="H26" s="204"/>
      <c r="I26" s="204"/>
      <c r="J26" s="201"/>
      <c r="K26" s="23"/>
      <c r="L26" s="204"/>
      <c r="M26" s="204"/>
      <c r="N26" s="206"/>
      <c r="O26" s="204"/>
      <c r="P26" s="204"/>
      <c r="Q26" s="204"/>
      <c r="R26" s="204"/>
      <c r="S26" s="23"/>
      <c r="T26" s="204"/>
      <c r="U26" s="204"/>
      <c r="V26" s="205"/>
      <c r="W26" s="204"/>
      <c r="X26" s="204"/>
      <c r="Y26" s="204"/>
      <c r="Z26" s="204"/>
      <c r="AA26" s="204"/>
      <c r="AB26" s="23"/>
      <c r="AC26" s="203"/>
      <c r="AD26" s="189"/>
      <c r="AE26" s="203"/>
    </row>
    <row r="27" spans="1:31">
      <c r="A27" s="146"/>
      <c r="B27" s="23"/>
      <c r="C27" s="23" t="str">
        <f>Model!C62</f>
        <v>EBITDA</v>
      </c>
      <c r="D27" s="23"/>
      <c r="E27" s="23"/>
      <c r="F27" s="23"/>
      <c r="G27" s="208">
        <f>Model!P62</f>
        <v>121353</v>
      </c>
      <c r="H27" s="208">
        <f>Model!Q62</f>
        <v>161049</v>
      </c>
      <c r="I27" s="208">
        <f>Model!R62</f>
        <v>231172</v>
      </c>
      <c r="J27" s="209">
        <f>Model!S62</f>
        <v>333189</v>
      </c>
      <c r="K27" s="208">
        <f>Model!U62</f>
        <v>352055</v>
      </c>
      <c r="L27" s="208">
        <f>Model!V62</f>
        <v>323791.47517500003</v>
      </c>
      <c r="M27" s="208">
        <f>Model!W62</f>
        <v>378980.1730235588</v>
      </c>
      <c r="N27" s="210">
        <f>Model!X62</f>
        <v>518920.11967831111</v>
      </c>
      <c r="O27" s="208">
        <f ca="1">Model!Z62</f>
        <v>321752.45810305898</v>
      </c>
      <c r="P27" s="208">
        <f ca="1">Model!AA62</f>
        <v>373022.23920212738</v>
      </c>
      <c r="Q27" s="208">
        <f ca="1">Model!AB62</f>
        <v>439382.03069303423</v>
      </c>
      <c r="R27" s="208">
        <f ca="1">Model!AC62</f>
        <v>609080.4786037975</v>
      </c>
      <c r="S27" s="23"/>
      <c r="T27" s="208">
        <f>Model!J62</f>
        <v>400200</v>
      </c>
      <c r="U27" s="208">
        <f ca="1">Model!O62</f>
        <v>568150</v>
      </c>
      <c r="V27" s="209">
        <f>Model!T62</f>
        <v>846763</v>
      </c>
      <c r="W27" s="208">
        <f>Model!Y62</f>
        <v>1573746.76787687</v>
      </c>
      <c r="X27" s="208">
        <f ca="1">Model!AD62</f>
        <v>1743237.2066020181</v>
      </c>
      <c r="Y27" s="208">
        <f ca="1">Model!AE62</f>
        <v>1817103.5744868633</v>
      </c>
      <c r="Z27" s="208">
        <f ca="1">Model!AF62</f>
        <v>1661971.7826855932</v>
      </c>
      <c r="AA27" s="208">
        <f ca="1">Model!AG62</f>
        <v>2051150.728047221</v>
      </c>
      <c r="AB27" s="23"/>
      <c r="AC27" s="197">
        <f>IFERROR((V27/T27)^(1/(V$4-T$4))-1,"N/A")</f>
        <v>0.45459601787313919</v>
      </c>
      <c r="AD27" s="189"/>
      <c r="AE27" s="197">
        <f ca="1">IFERROR((AA27/V27)^(1/(AA$4-V$4))-1,"N/A")</f>
        <v>0.193567928079865</v>
      </c>
    </row>
    <row r="28" spans="1:31">
      <c r="A28" s="146"/>
      <c r="B28" s="23"/>
      <c r="C28" s="114" t="s">
        <v>475</v>
      </c>
      <c r="D28" s="23"/>
      <c r="E28" s="23"/>
      <c r="F28" s="23"/>
      <c r="G28" s="198">
        <f t="shared" ref="G28:R28" si="16">G27/G$8</f>
        <v>0.1736039781294437</v>
      </c>
      <c r="H28" s="198">
        <f t="shared" si="16"/>
        <v>0.19217340461075844</v>
      </c>
      <c r="I28" s="198">
        <f t="shared" si="16"/>
        <v>0.22100700386426692</v>
      </c>
      <c r="J28" s="199">
        <f t="shared" si="16"/>
        <v>0.25688651285862757</v>
      </c>
      <c r="K28" s="198">
        <f t="shared" si="16"/>
        <v>0.25138364362224369</v>
      </c>
      <c r="L28" s="198">
        <f t="shared" si="16"/>
        <v>0.21000000000000002</v>
      </c>
      <c r="M28" s="198">
        <f t="shared" si="16"/>
        <v>0.22050000000000003</v>
      </c>
      <c r="N28" s="200">
        <f t="shared" si="16"/>
        <v>0.24550000000000002</v>
      </c>
      <c r="O28" s="198">
        <f t="shared" ca="1" si="16"/>
        <v>0.20494872414991602</v>
      </c>
      <c r="P28" s="198">
        <f t="shared" ca="1" si="16"/>
        <v>0.21551143022591532</v>
      </c>
      <c r="Q28" s="198">
        <f t="shared" ca="1" si="16"/>
        <v>0.22855827845998819</v>
      </c>
      <c r="R28" s="198">
        <f t="shared" ca="1" si="16"/>
        <v>0.24960681215573505</v>
      </c>
      <c r="S28" s="23"/>
      <c r="T28" s="198">
        <f t="shared" ref="T28:AA28" si="17">T27/T$8</f>
        <v>0.16383738095998387</v>
      </c>
      <c r="U28" s="198">
        <f t="shared" ca="1" si="17"/>
        <v>0.18961333430784874</v>
      </c>
      <c r="V28" s="199">
        <f t="shared" si="17"/>
        <v>0.21823316196247297</v>
      </c>
      <c r="W28" s="198">
        <f t="shared" si="17"/>
        <v>0.23229448827676821</v>
      </c>
      <c r="X28" s="198">
        <f t="shared" ca="1" si="17"/>
        <v>0.22747707416430354</v>
      </c>
      <c r="Y28" s="198">
        <f t="shared" ca="1" si="17"/>
        <v>0.23018625260453726</v>
      </c>
      <c r="Z28" s="198">
        <f t="shared" ca="1" si="17"/>
        <v>0.2150822713146491</v>
      </c>
      <c r="AA28" s="198">
        <f t="shared" ca="1" si="17"/>
        <v>0.27981607532926883</v>
      </c>
      <c r="AB28" s="23"/>
      <c r="AC28" s="203"/>
      <c r="AD28" s="189"/>
      <c r="AE28" s="203"/>
    </row>
    <row r="29" spans="1:31">
      <c r="A29" s="146"/>
      <c r="B29" s="23"/>
      <c r="C29" s="114" t="s">
        <v>511</v>
      </c>
      <c r="D29" s="23"/>
      <c r="E29" s="23"/>
      <c r="F29" s="23"/>
      <c r="G29" s="23"/>
      <c r="H29" s="198"/>
      <c r="I29" s="198"/>
      <c r="J29" s="199"/>
      <c r="K29" s="198">
        <f t="shared" ref="K29:R29" si="18">K27/G27-1</f>
        <v>1.9010819674832926</v>
      </c>
      <c r="L29" s="198">
        <f t="shared" si="18"/>
        <v>1.0105152790455079</v>
      </c>
      <c r="M29" s="198">
        <f t="shared" si="18"/>
        <v>0.63938614115705539</v>
      </c>
      <c r="N29" s="200">
        <f t="shared" si="18"/>
        <v>0.55743472827227514</v>
      </c>
      <c r="O29" s="198">
        <f t="shared" ca="1" si="18"/>
        <v>-8.6073317796767634E-2</v>
      </c>
      <c r="P29" s="198">
        <f t="shared" ca="1" si="18"/>
        <v>0.1520446577554877</v>
      </c>
      <c r="Q29" s="198">
        <f t="shared" ca="1" si="18"/>
        <v>0.15937999391255908</v>
      </c>
      <c r="R29" s="198">
        <f t="shared" ca="1" si="18"/>
        <v>0.17374612297048464</v>
      </c>
      <c r="S29" s="23"/>
      <c r="T29" s="198"/>
      <c r="U29" s="198">
        <f ca="1">U27/T27-1</f>
        <v>0.4196651674162919</v>
      </c>
      <c r="V29" s="199">
        <f t="shared" ref="V29:AA29" ca="1" si="19">V27/U27-1</f>
        <v>0.49038634163513151</v>
      </c>
      <c r="W29" s="198">
        <f t="shared" si="19"/>
        <v>0.85854456072935403</v>
      </c>
      <c r="X29" s="198">
        <f t="shared" ca="1" si="19"/>
        <v>0.10769867311867865</v>
      </c>
      <c r="Y29" s="198">
        <f t="shared" ca="1" si="19"/>
        <v>4.2373101953708359E-2</v>
      </c>
      <c r="Z29" s="198">
        <f t="shared" ca="1" si="19"/>
        <v>-8.5373114653124915E-2</v>
      </c>
      <c r="AA29" s="198">
        <f t="shared" ca="1" si="19"/>
        <v>0.23416699935347296</v>
      </c>
      <c r="AB29" s="23"/>
      <c r="AC29" s="207"/>
      <c r="AD29" s="189"/>
      <c r="AE29" s="207"/>
    </row>
    <row r="30" spans="1:31" ht="5.0999999999999996" customHeight="1">
      <c r="A30" s="146"/>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row>
    <row r="31" spans="1:31" ht="15" thickBot="1">
      <c r="A31" s="146"/>
      <c r="B31" s="23"/>
      <c r="C31" s="193"/>
      <c r="D31" s="193"/>
      <c r="E31" s="193"/>
      <c r="F31" s="193"/>
      <c r="G31" s="194" t="str">
        <f>G$5</f>
        <v>Quarterly</v>
      </c>
      <c r="H31" s="194"/>
      <c r="I31" s="194"/>
      <c r="J31" s="194"/>
      <c r="K31" s="194"/>
      <c r="L31" s="194"/>
      <c r="M31" s="194"/>
      <c r="N31" s="194"/>
      <c r="O31" s="194"/>
      <c r="P31" s="194"/>
      <c r="Q31" s="194"/>
      <c r="R31" s="194"/>
      <c r="S31" s="195"/>
      <c r="T31" s="194" t="str">
        <f>T$5</f>
        <v>Annuals</v>
      </c>
      <c r="U31" s="194"/>
      <c r="V31" s="194"/>
      <c r="W31" s="194"/>
      <c r="X31" s="194"/>
      <c r="Y31" s="194"/>
      <c r="Z31" s="194"/>
      <c r="AA31" s="194"/>
      <c r="AB31" s="23"/>
      <c r="AC31" s="23"/>
      <c r="AD31" s="23"/>
      <c r="AE31" s="23"/>
    </row>
    <row r="32" spans="1:31">
      <c r="A32" s="146" t="s">
        <v>1</v>
      </c>
      <c r="B32" s="23"/>
      <c r="C32" s="193" t="str">
        <f>"Consolidated "&amp;Model!C120</f>
        <v>Consolidated Balance Sheet</v>
      </c>
      <c r="D32" s="193"/>
      <c r="E32" s="193"/>
      <c r="F32" s="193"/>
      <c r="G32" s="510" t="str">
        <f>G$6</f>
        <v>1Q25</v>
      </c>
      <c r="H32" s="510" t="str">
        <f t="shared" ref="H32:AA32" si="20">H$6</f>
        <v>2Q25</v>
      </c>
      <c r="I32" s="510" t="str">
        <f t="shared" si="20"/>
        <v>3Q25</v>
      </c>
      <c r="J32" s="510" t="str">
        <f t="shared" si="20"/>
        <v>4Q25</v>
      </c>
      <c r="K32" s="510" t="str">
        <f t="shared" si="20"/>
        <v>1Q26</v>
      </c>
      <c r="L32" s="510" t="str">
        <f t="shared" si="20"/>
        <v>2Q26e</v>
      </c>
      <c r="M32" s="510" t="str">
        <f t="shared" si="20"/>
        <v>3Q26e</v>
      </c>
      <c r="N32" s="510" t="str">
        <f t="shared" si="20"/>
        <v>4Q26e</v>
      </c>
      <c r="O32" s="510" t="str">
        <f t="shared" si="20"/>
        <v>1Q27e</v>
      </c>
      <c r="P32" s="510" t="str">
        <f t="shared" si="20"/>
        <v>2Q27e</v>
      </c>
      <c r="Q32" s="510" t="str">
        <f t="shared" si="20"/>
        <v>3Q27e</v>
      </c>
      <c r="R32" s="510" t="str">
        <f t="shared" si="20"/>
        <v>4Q27e</v>
      </c>
      <c r="S32" s="510"/>
      <c r="T32" s="510">
        <f t="shared" si="20"/>
        <v>2023</v>
      </c>
      <c r="U32" s="510">
        <f t="shared" si="20"/>
        <v>2024</v>
      </c>
      <c r="V32" s="510">
        <f t="shared" si="20"/>
        <v>2025</v>
      </c>
      <c r="W32" s="510" t="str">
        <f t="shared" si="20"/>
        <v>2026e</v>
      </c>
      <c r="X32" s="510" t="str">
        <f t="shared" si="20"/>
        <v>2027e</v>
      </c>
      <c r="Y32" s="510" t="str">
        <f t="shared" si="20"/>
        <v>2028e</v>
      </c>
      <c r="Z32" s="510" t="str">
        <f t="shared" si="20"/>
        <v>2029e</v>
      </c>
      <c r="AA32" s="510" t="str">
        <f t="shared" si="20"/>
        <v>2030e</v>
      </c>
      <c r="AB32" s="23"/>
      <c r="AC32" s="23"/>
      <c r="AD32" s="23"/>
      <c r="AE32" s="23"/>
    </row>
    <row r="33" spans="1:31" ht="5.0999999999999996" customHeight="1">
      <c r="A33" s="14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row>
    <row r="34" spans="1:31">
      <c r="A34" s="146"/>
      <c r="B34" s="23"/>
      <c r="C34" s="23" t="str">
        <f>Model!C122</f>
        <v>Cash &amp; Cash Equivalents</v>
      </c>
      <c r="D34" s="23"/>
      <c r="E34" s="23"/>
      <c r="F34" s="23"/>
      <c r="G34" s="208">
        <f>Model!P122</f>
        <v>552954</v>
      </c>
      <c r="H34" s="208">
        <f>Model!Q122</f>
        <v>617298</v>
      </c>
      <c r="I34" s="208">
        <f>Model!R122</f>
        <v>851908</v>
      </c>
      <c r="J34" s="209">
        <f>Model!S122</f>
        <v>1426020</v>
      </c>
      <c r="K34" s="208">
        <f>Model!U122</f>
        <v>985987</v>
      </c>
      <c r="L34" s="208">
        <f ca="1">Model!V122</f>
        <v>795539.03272493195</v>
      </c>
      <c r="M34" s="208">
        <f ca="1">Model!W122</f>
        <v>870481.47031362238</v>
      </c>
      <c r="N34" s="210">
        <f ca="1">Model!X122</f>
        <v>802310.39839182084</v>
      </c>
      <c r="O34" s="211">
        <f ca="1">Model!Z122</f>
        <v>1652640.0877527064</v>
      </c>
      <c r="P34" s="211">
        <f ca="1">Model!AA122</f>
        <v>1736972.7762497419</v>
      </c>
      <c r="Q34" s="211">
        <f ca="1">Model!AB122</f>
        <v>1858789.1217232533</v>
      </c>
      <c r="R34" s="211">
        <f ca="1">Model!AC122</f>
        <v>1772786.4261716146</v>
      </c>
      <c r="S34" s="23"/>
      <c r="T34" s="211">
        <f>Model!J122</f>
        <v>596878</v>
      </c>
      <c r="U34" s="211">
        <f>Model!O122</f>
        <v>873045</v>
      </c>
      <c r="V34" s="212">
        <f>Model!T122</f>
        <v>1426020</v>
      </c>
      <c r="W34" s="211">
        <f ca="1">Model!Y122</f>
        <v>802310.39839182084</v>
      </c>
      <c r="X34" s="211">
        <f ca="1">Model!AD122</f>
        <v>1772786.4261716146</v>
      </c>
      <c r="Y34" s="211">
        <f ca="1">Model!AE122</f>
        <v>473608.99123319285</v>
      </c>
      <c r="Z34" s="211">
        <f ca="1">Model!AF122</f>
        <v>766208.1765599614</v>
      </c>
      <c r="AA34" s="211">
        <f ca="1">Model!AG122</f>
        <v>1789601.0042811267</v>
      </c>
      <c r="AB34" s="23"/>
      <c r="AC34" s="23"/>
      <c r="AD34" s="23"/>
      <c r="AE34" s="23"/>
    </row>
    <row r="35" spans="1:31">
      <c r="A35" s="146"/>
      <c r="B35" s="23"/>
      <c r="C35" s="23" t="str">
        <f>Model!C123</f>
        <v>Accounts Receivable</v>
      </c>
      <c r="D35" s="23"/>
      <c r="E35" s="23"/>
      <c r="F35" s="23"/>
      <c r="G35" s="213">
        <f>Model!P123</f>
        <v>507003</v>
      </c>
      <c r="H35" s="213">
        <f>Model!Q123</f>
        <v>518048</v>
      </c>
      <c r="I35" s="213">
        <f>Model!R123</f>
        <v>561911</v>
      </c>
      <c r="J35" s="214">
        <f>Model!S123</f>
        <v>619246</v>
      </c>
      <c r="K35" s="213">
        <f>Model!U123</f>
        <v>621229</v>
      </c>
      <c r="L35" s="213">
        <f>Model!V123</f>
        <v>779403.86489010986</v>
      </c>
      <c r="M35" s="213">
        <f>Model!W123</f>
        <v>896729.18787000002</v>
      </c>
      <c r="N35" s="215">
        <f>Model!X123</f>
        <v>1102814.3869901234</v>
      </c>
      <c r="O35" s="216">
        <f>Model!Z123</f>
        <v>793584.34835376858</v>
      </c>
      <c r="P35" s="216">
        <f>Model!AA123</f>
        <v>874945.20428113244</v>
      </c>
      <c r="Q35" s="216">
        <f>Model!AB123</f>
        <v>1002994.9480153451</v>
      </c>
      <c r="R35" s="216">
        <f>Model!AC123</f>
        <v>1273126.7889967526</v>
      </c>
      <c r="S35" s="23"/>
      <c r="T35" s="216">
        <f>Model!J123</f>
        <v>397352</v>
      </c>
      <c r="U35" s="216">
        <f>Model!O123</f>
        <v>455068</v>
      </c>
      <c r="V35" s="217">
        <f>Model!T123</f>
        <v>619246</v>
      </c>
      <c r="W35" s="216">
        <f>Model!Y123</f>
        <v>1102814.3869901234</v>
      </c>
      <c r="X35" s="216">
        <f>Model!AD123</f>
        <v>1273126.7889967526</v>
      </c>
      <c r="Y35" s="216">
        <f>Model!AE123</f>
        <v>1189515.5534453795</v>
      </c>
      <c r="Z35" s="216">
        <f>Model!AF123</f>
        <v>1164364.23471616</v>
      </c>
      <c r="AA35" s="216">
        <f>Model!AG123</f>
        <v>1104573.8047834381</v>
      </c>
      <c r="AB35" s="23"/>
      <c r="AC35" s="23"/>
      <c r="AD35" s="23"/>
      <c r="AE35" s="23"/>
    </row>
    <row r="36" spans="1:31">
      <c r="A36" s="146"/>
      <c r="B36" s="23"/>
      <c r="C36" s="23" t="str">
        <f>Model!C124</f>
        <v>Inventory</v>
      </c>
      <c r="D36" s="23"/>
      <c r="E36" s="23"/>
      <c r="F36" s="23"/>
      <c r="G36" s="213">
        <f>Model!P124</f>
        <v>0</v>
      </c>
      <c r="H36" s="213">
        <f>Model!Q124</f>
        <v>0</v>
      </c>
      <c r="I36" s="213">
        <f>Model!R124</f>
        <v>0</v>
      </c>
      <c r="J36" s="214">
        <f>Model!S124</f>
        <v>0</v>
      </c>
      <c r="K36" s="213">
        <f>Model!U124</f>
        <v>0</v>
      </c>
      <c r="L36" s="213">
        <f>Model!V124</f>
        <v>0</v>
      </c>
      <c r="M36" s="213">
        <f>Model!W124</f>
        <v>0</v>
      </c>
      <c r="N36" s="215">
        <f>Model!X124</f>
        <v>0</v>
      </c>
      <c r="O36" s="216">
        <f>Model!Z124</f>
        <v>0</v>
      </c>
      <c r="P36" s="216">
        <f>Model!AA124</f>
        <v>0</v>
      </c>
      <c r="Q36" s="216">
        <f>Model!AB124</f>
        <v>0</v>
      </c>
      <c r="R36" s="216">
        <f>Model!AC124</f>
        <v>0</v>
      </c>
      <c r="S36" s="23"/>
      <c r="T36" s="216">
        <f>Model!J124</f>
        <v>0</v>
      </c>
      <c r="U36" s="216">
        <f>Model!O124</f>
        <v>0</v>
      </c>
      <c r="V36" s="217">
        <f>Model!T124</f>
        <v>0</v>
      </c>
      <c r="W36" s="216">
        <f>Model!Y124</f>
        <v>0</v>
      </c>
      <c r="X36" s="216">
        <f>Model!AD124</f>
        <v>0</v>
      </c>
      <c r="Y36" s="216">
        <f>Model!AE124</f>
        <v>0</v>
      </c>
      <c r="Z36" s="216">
        <f>Model!AF124</f>
        <v>0</v>
      </c>
      <c r="AA36" s="216">
        <f>Model!AG124</f>
        <v>0</v>
      </c>
      <c r="AB36" s="23"/>
      <c r="AC36" s="23"/>
      <c r="AD36" s="23"/>
      <c r="AE36" s="23"/>
    </row>
    <row r="37" spans="1:31">
      <c r="A37" s="146"/>
      <c r="B37" s="23"/>
      <c r="C37" s="23" t="str">
        <f>Model!C125</f>
        <v>Prepaid &amp; Other Current Assets</v>
      </c>
      <c r="D37" s="23"/>
      <c r="E37" s="23"/>
      <c r="F37" s="23"/>
      <c r="G37" s="213">
        <f>Model!P125</f>
        <v>986097</v>
      </c>
      <c r="H37" s="213">
        <f>Model!Q125</f>
        <v>1299760</v>
      </c>
      <c r="I37" s="213">
        <f>Model!R125</f>
        <v>1726752</v>
      </c>
      <c r="J37" s="214">
        <f>Model!S125</f>
        <v>1812975</v>
      </c>
      <c r="K37" s="213">
        <f>Model!U125</f>
        <v>1203341</v>
      </c>
      <c r="L37" s="213">
        <f>Model!V125</f>
        <v>2343633.5345999999</v>
      </c>
      <c r="M37" s="213">
        <f>Model!W125</f>
        <v>2612471.0339946002</v>
      </c>
      <c r="N37" s="215">
        <f>Model!X125</f>
        <v>3212865.9140978935</v>
      </c>
      <c r="O37" s="216">
        <f>Model!Z125</f>
        <v>2386273.6318324623</v>
      </c>
      <c r="P37" s="216">
        <f>Model!AA125</f>
        <v>2630922.1881775274</v>
      </c>
      <c r="Q37" s="216">
        <f>Model!AB125</f>
        <v>2922058.6152180387</v>
      </c>
      <c r="R37" s="216">
        <f>Model!AC125</f>
        <v>3709042.7119438723</v>
      </c>
      <c r="S37" s="23"/>
      <c r="T37" s="216">
        <f>Model!J125</f>
        <v>1610987</v>
      </c>
      <c r="U37" s="216">
        <f>Model!O125</f>
        <v>1659788</v>
      </c>
      <c r="V37" s="217">
        <f>Model!T125</f>
        <v>1812975</v>
      </c>
      <c r="W37" s="216">
        <f>Model!Y125</f>
        <v>3212865.9140978935</v>
      </c>
      <c r="X37" s="216">
        <f>Model!AD125</f>
        <v>3709042.7119438723</v>
      </c>
      <c r="Y37" s="216">
        <f>Model!AE125</f>
        <v>5920543.3228304116</v>
      </c>
      <c r="Z37" s="216">
        <f>Model!AF125</f>
        <v>6181715.5734021589</v>
      </c>
      <c r="AA37" s="216">
        <f>Model!AG125</f>
        <v>6230800.4169829385</v>
      </c>
      <c r="AB37" s="23"/>
      <c r="AC37" s="23"/>
      <c r="AD37" s="23"/>
      <c r="AE37" s="23"/>
    </row>
    <row r="38" spans="1:31">
      <c r="A38" s="146"/>
      <c r="B38" s="23"/>
      <c r="C38" s="28" t="str">
        <f>Model!C126</f>
        <v>Total Current Assets</v>
      </c>
      <c r="D38" s="23"/>
      <c r="E38" s="23"/>
      <c r="F38" s="23"/>
      <c r="G38" s="776">
        <f>SUM(G34:G37)</f>
        <v>2046054</v>
      </c>
      <c r="H38" s="776">
        <f t="shared" ref="H38:AA38" si="21">SUM(H34:H37)</f>
        <v>2435106</v>
      </c>
      <c r="I38" s="776">
        <f t="shared" si="21"/>
        <v>3140571</v>
      </c>
      <c r="J38" s="777">
        <f t="shared" si="21"/>
        <v>3858241</v>
      </c>
      <c r="K38" s="776">
        <f t="shared" si="21"/>
        <v>2810557</v>
      </c>
      <c r="L38" s="776">
        <f t="shared" ca="1" si="21"/>
        <v>3918576.4322150415</v>
      </c>
      <c r="M38" s="776">
        <f t="shared" ca="1" si="21"/>
        <v>4379681.6921782224</v>
      </c>
      <c r="N38" s="778">
        <f t="shared" ca="1" si="21"/>
        <v>5117990.6994798379</v>
      </c>
      <c r="O38" s="776">
        <f t="shared" ca="1" si="21"/>
        <v>4832498.0679389369</v>
      </c>
      <c r="P38" s="776">
        <f t="shared" ca="1" si="21"/>
        <v>5242840.1687084017</v>
      </c>
      <c r="Q38" s="776">
        <f t="shared" ca="1" si="21"/>
        <v>5783842.6849566372</v>
      </c>
      <c r="R38" s="776">
        <f t="shared" ca="1" si="21"/>
        <v>6754955.9271122394</v>
      </c>
      <c r="S38" s="23"/>
      <c r="T38" s="776">
        <f t="shared" si="21"/>
        <v>2605217</v>
      </c>
      <c r="U38" s="776">
        <f t="shared" si="21"/>
        <v>2987901</v>
      </c>
      <c r="V38" s="777">
        <f t="shared" si="21"/>
        <v>3858241</v>
      </c>
      <c r="W38" s="776">
        <f t="shared" ca="1" si="21"/>
        <v>5117990.6994798379</v>
      </c>
      <c r="X38" s="776">
        <f t="shared" ca="1" si="21"/>
        <v>6754955.9271122394</v>
      </c>
      <c r="Y38" s="776">
        <f t="shared" ca="1" si="21"/>
        <v>7583667.8675089842</v>
      </c>
      <c r="Z38" s="776">
        <f t="shared" ca="1" si="21"/>
        <v>8112287.9846782805</v>
      </c>
      <c r="AA38" s="776">
        <f t="shared" ca="1" si="21"/>
        <v>9124975.2260475028</v>
      </c>
      <c r="AB38" s="23"/>
      <c r="AC38" s="23"/>
      <c r="AD38" s="23"/>
      <c r="AE38" s="23"/>
    </row>
    <row r="39" spans="1:31">
      <c r="A39" s="146"/>
      <c r="B39" s="23"/>
      <c r="C39" s="23"/>
      <c r="D39" s="23"/>
      <c r="E39" s="23"/>
      <c r="F39" s="23"/>
      <c r="G39" s="218"/>
      <c r="H39" s="218"/>
      <c r="I39" s="218"/>
      <c r="J39" s="219"/>
      <c r="K39" s="218"/>
      <c r="L39" s="218"/>
      <c r="M39" s="218"/>
      <c r="N39" s="220"/>
      <c r="O39" s="218"/>
      <c r="P39" s="218"/>
      <c r="Q39" s="218"/>
      <c r="R39" s="218"/>
      <c r="S39" s="23"/>
      <c r="T39" s="218"/>
      <c r="U39" s="218"/>
      <c r="V39" s="219"/>
      <c r="W39" s="218"/>
      <c r="X39" s="218"/>
      <c r="Y39" s="218"/>
      <c r="Z39" s="218"/>
      <c r="AA39" s="218"/>
      <c r="AB39" s="23"/>
      <c r="AC39" s="23"/>
      <c r="AD39" s="23"/>
      <c r="AE39" s="23"/>
    </row>
    <row r="40" spans="1:31">
      <c r="A40" s="146"/>
      <c r="B40" s="23"/>
      <c r="C40" s="23" t="str">
        <f>Model!C128</f>
        <v>PP&amp;E, Net</v>
      </c>
      <c r="D40" s="23"/>
      <c r="E40" s="23"/>
      <c r="F40" s="23"/>
      <c r="G40" s="208">
        <f>Model!P128</f>
        <v>161204</v>
      </c>
      <c r="H40" s="208">
        <f>Model!Q128</f>
        <v>182856</v>
      </c>
      <c r="I40" s="208">
        <f>Model!R128</f>
        <v>188947</v>
      </c>
      <c r="J40" s="209">
        <f>Model!S128</f>
        <v>190064</v>
      </c>
      <c r="K40" s="208">
        <f>Model!U128</f>
        <v>187075</v>
      </c>
      <c r="L40" s="208">
        <f>Model!V128</f>
        <v>201784.5875125</v>
      </c>
      <c r="M40" s="208">
        <f>Model!W128</f>
        <v>218636.58366633439</v>
      </c>
      <c r="N40" s="210">
        <f>Model!X128</f>
        <v>241050.44248648125</v>
      </c>
      <c r="O40" s="211">
        <f>Model!Z128</f>
        <v>254836.65251149383</v>
      </c>
      <c r="P40" s="211">
        <f>Model!AA128</f>
        <v>270606.23432068073</v>
      </c>
      <c r="Q40" s="211">
        <f>Model!AB128</f>
        <v>288787.21859974513</v>
      </c>
      <c r="R40" s="211">
        <f>Model!AC128</f>
        <v>314271.3058673116</v>
      </c>
      <c r="S40" s="23"/>
      <c r="T40" s="211">
        <f>Model!J128</f>
        <v>137940</v>
      </c>
      <c r="U40" s="211">
        <f>Model!O128</f>
        <v>144756</v>
      </c>
      <c r="V40" s="212">
        <f>Model!T128</f>
        <v>190064</v>
      </c>
      <c r="W40" s="211">
        <f>Model!Y128</f>
        <v>241050.44248648125</v>
      </c>
      <c r="X40" s="211">
        <f>Model!AD128</f>
        <v>314271.3058673116</v>
      </c>
      <c r="Y40" s="211">
        <f>Model!AE128</f>
        <v>376113.33726780373</v>
      </c>
      <c r="Z40" s="211">
        <f>Model!AF128</f>
        <v>424320.10356088955</v>
      </c>
      <c r="AA40" s="211">
        <f>Model!AG128</f>
        <v>457897.78639609896</v>
      </c>
      <c r="AB40" s="23"/>
      <c r="AC40" s="23"/>
      <c r="AD40" s="23"/>
      <c r="AE40" s="23"/>
    </row>
    <row r="41" spans="1:31" outlineLevel="1">
      <c r="A41" s="146"/>
      <c r="B41" s="23"/>
      <c r="C41" s="23" t="e">
        <f>Model!#REF!</f>
        <v>#REF!</v>
      </c>
      <c r="D41" s="23"/>
      <c r="E41" s="23"/>
      <c r="F41" s="23"/>
      <c r="G41" s="213">
        <f>Model!P129</f>
        <v>0</v>
      </c>
      <c r="H41" s="213">
        <f>Model!Q129</f>
        <v>0</v>
      </c>
      <c r="I41" s="213">
        <f>Model!R129</f>
        <v>0</v>
      </c>
      <c r="J41" s="214">
        <f>Model!S129</f>
        <v>0</v>
      </c>
      <c r="K41" s="213">
        <f>Model!U129</f>
        <v>25871</v>
      </c>
      <c r="L41" s="213">
        <f>Model!V129</f>
        <v>25871</v>
      </c>
      <c r="M41" s="213">
        <f>Model!W129</f>
        <v>25871</v>
      </c>
      <c r="N41" s="215">
        <f>Model!X129</f>
        <v>25871</v>
      </c>
      <c r="O41" s="216">
        <f>Model!Z129</f>
        <v>25871</v>
      </c>
      <c r="P41" s="216">
        <f>Model!AA129</f>
        <v>25871</v>
      </c>
      <c r="Q41" s="216">
        <f>Model!AB129</f>
        <v>25871</v>
      </c>
      <c r="R41" s="216">
        <f>Model!AC129</f>
        <v>25871</v>
      </c>
      <c r="S41" s="23"/>
      <c r="T41" s="216">
        <f>Model!J129</f>
        <v>0</v>
      </c>
      <c r="U41" s="216">
        <f>Model!O129</f>
        <v>0</v>
      </c>
      <c r="V41" s="217">
        <f>Model!T129</f>
        <v>0</v>
      </c>
      <c r="W41" s="216">
        <f>Model!Y129</f>
        <v>25871</v>
      </c>
      <c r="X41" s="216">
        <f>Model!AD129</f>
        <v>25871</v>
      </c>
      <c r="Y41" s="216">
        <f>Model!AE129</f>
        <v>25871</v>
      </c>
      <c r="Z41" s="216">
        <f>Model!AF129</f>
        <v>25871</v>
      </c>
      <c r="AA41" s="216">
        <f>Model!AG129</f>
        <v>25871</v>
      </c>
      <c r="AB41" s="23"/>
      <c r="AC41" s="23"/>
      <c r="AD41" s="23"/>
      <c r="AE41" s="23"/>
    </row>
    <row r="42" spans="1:31">
      <c r="A42" s="146"/>
      <c r="B42" s="23"/>
      <c r="C42" s="23" t="str">
        <f>Model!C130</f>
        <v>Goodwill</v>
      </c>
      <c r="D42" s="23"/>
      <c r="E42" s="23"/>
      <c r="F42" s="23"/>
      <c r="G42" s="213">
        <f>Model!P130</f>
        <v>125996</v>
      </c>
      <c r="H42" s="213">
        <f>Model!Q130</f>
        <v>129109</v>
      </c>
      <c r="I42" s="213">
        <f>Model!R130</f>
        <v>128576</v>
      </c>
      <c r="J42" s="214">
        <f>Model!S130</f>
        <v>230783</v>
      </c>
      <c r="K42" s="213">
        <f>Model!U130</f>
        <v>227412</v>
      </c>
      <c r="L42" s="213">
        <f>Model!V130</f>
        <v>227412</v>
      </c>
      <c r="M42" s="213">
        <f>Model!W130</f>
        <v>227412</v>
      </c>
      <c r="N42" s="215">
        <f>Model!X130</f>
        <v>227412</v>
      </c>
      <c r="O42" s="216">
        <f>Model!Z130</f>
        <v>227412</v>
      </c>
      <c r="P42" s="216">
        <f>Model!AA130</f>
        <v>227412</v>
      </c>
      <c r="Q42" s="216">
        <f>Model!AB130</f>
        <v>227412</v>
      </c>
      <c r="R42" s="216">
        <f>Model!AC130</f>
        <v>227412</v>
      </c>
      <c r="S42" s="23"/>
      <c r="T42" s="216">
        <f>Model!J130</f>
        <v>125493</v>
      </c>
      <c r="U42" s="216">
        <f>Model!O130</f>
        <v>124452</v>
      </c>
      <c r="V42" s="217">
        <f>Model!T130</f>
        <v>230783</v>
      </c>
      <c r="W42" s="216">
        <f>Model!Y130</f>
        <v>227412</v>
      </c>
      <c r="X42" s="216">
        <f>Model!AD130</f>
        <v>227412</v>
      </c>
      <c r="Y42" s="216">
        <f>Model!AE130</f>
        <v>227412</v>
      </c>
      <c r="Z42" s="216">
        <f>Model!AF130</f>
        <v>227412</v>
      </c>
      <c r="AA42" s="216">
        <f>Model!AG130</f>
        <v>227412</v>
      </c>
      <c r="AB42" s="23"/>
      <c r="AC42" s="23"/>
      <c r="AD42" s="23"/>
      <c r="AE42" s="23"/>
    </row>
    <row r="43" spans="1:31">
      <c r="A43" s="146"/>
      <c r="B43" s="23"/>
      <c r="C43" s="23" t="str">
        <f>Model!C131</f>
        <v>Other Non-Current Assets</v>
      </c>
      <c r="D43" s="23"/>
      <c r="E43" s="23"/>
      <c r="F43" s="23"/>
      <c r="G43" s="213">
        <f>Model!P131</f>
        <v>937861</v>
      </c>
      <c r="H43" s="213">
        <f>Model!Q131</f>
        <v>942588</v>
      </c>
      <c r="I43" s="213">
        <f>Model!R131</f>
        <v>964152</v>
      </c>
      <c r="J43" s="214">
        <f>Model!S131</f>
        <v>1079009</v>
      </c>
      <c r="K43" s="213">
        <f>Model!U131</f>
        <v>1063358</v>
      </c>
      <c r="L43" s="213">
        <f>Model!V131</f>
        <v>1064421.3579999998</v>
      </c>
      <c r="M43" s="213">
        <f>Model!W131</f>
        <v>1067614.6220739996</v>
      </c>
      <c r="N43" s="215">
        <f>Model!X131</f>
        <v>1068682.2366960736</v>
      </c>
      <c r="O43" s="216">
        <f>Model!Z131</f>
        <v>1069750.9189327694</v>
      </c>
      <c r="P43" s="216">
        <f>Model!AA131</f>
        <v>1070820.6698517022</v>
      </c>
      <c r="Q43" s="216">
        <f>Model!AB131</f>
        <v>1074033.1318612571</v>
      </c>
      <c r="R43" s="216">
        <f>Model!AC131</f>
        <v>1075107.1649931183</v>
      </c>
      <c r="S43" s="23"/>
      <c r="T43" s="216">
        <f>Model!J131</f>
        <v>834648</v>
      </c>
      <c r="U43" s="216">
        <f>Model!O131</f>
        <v>916862</v>
      </c>
      <c r="V43" s="217">
        <f>Model!T131</f>
        <v>1079009</v>
      </c>
      <c r="W43" s="216">
        <f>Model!Y131</f>
        <v>1068682.2366960736</v>
      </c>
      <c r="X43" s="216">
        <f>Model!AD131</f>
        <v>1075107.1649931183</v>
      </c>
      <c r="Y43" s="216">
        <f>Model!AE131</f>
        <v>1080482.7008180837</v>
      </c>
      <c r="Z43" s="216">
        <f>Model!AF131</f>
        <v>1085885.1143221741</v>
      </c>
      <c r="AA43" s="216">
        <f>Model!AG131</f>
        <v>1091314.5398937848</v>
      </c>
      <c r="AB43" s="23"/>
      <c r="AC43" s="23"/>
      <c r="AD43" s="23"/>
      <c r="AE43" s="23"/>
    </row>
    <row r="44" spans="1:31">
      <c r="A44" s="146"/>
      <c r="B44" s="23"/>
      <c r="C44" s="28" t="str">
        <f>Model!C132</f>
        <v>Total Non-Current Assets</v>
      </c>
      <c r="D44" s="23"/>
      <c r="E44" s="23"/>
      <c r="F44" s="23"/>
      <c r="G44" s="776">
        <f>SUM(G40:G43)</f>
        <v>1225061</v>
      </c>
      <c r="H44" s="776">
        <f t="shared" ref="H44:AA44" si="22">SUM(H40:H43)</f>
        <v>1254553</v>
      </c>
      <c r="I44" s="776">
        <f t="shared" si="22"/>
        <v>1281675</v>
      </c>
      <c r="J44" s="777">
        <f t="shared" si="22"/>
        <v>1499856</v>
      </c>
      <c r="K44" s="776">
        <f t="shared" si="22"/>
        <v>1503716</v>
      </c>
      <c r="L44" s="776">
        <f t="shared" si="22"/>
        <v>1519488.9455124997</v>
      </c>
      <c r="M44" s="776">
        <f t="shared" si="22"/>
        <v>1539534.205740334</v>
      </c>
      <c r="N44" s="778">
        <f t="shared" si="22"/>
        <v>1563015.6791825548</v>
      </c>
      <c r="O44" s="776">
        <f t="shared" si="22"/>
        <v>1577870.5714442632</v>
      </c>
      <c r="P44" s="776">
        <f t="shared" si="22"/>
        <v>1594709.9041723828</v>
      </c>
      <c r="Q44" s="776">
        <f t="shared" si="22"/>
        <v>1616103.3504610022</v>
      </c>
      <c r="R44" s="776">
        <f t="shared" si="22"/>
        <v>1642661.4708604298</v>
      </c>
      <c r="S44" s="23"/>
      <c r="T44" s="776">
        <f t="shared" si="22"/>
        <v>1098081</v>
      </c>
      <c r="U44" s="776">
        <f t="shared" si="22"/>
        <v>1186070</v>
      </c>
      <c r="V44" s="777">
        <f t="shared" si="22"/>
        <v>1499856</v>
      </c>
      <c r="W44" s="776">
        <f t="shared" si="22"/>
        <v>1563015.6791825548</v>
      </c>
      <c r="X44" s="776">
        <f t="shared" si="22"/>
        <v>1642661.4708604298</v>
      </c>
      <c r="Y44" s="776">
        <f t="shared" si="22"/>
        <v>1709879.0380858874</v>
      </c>
      <c r="Z44" s="776">
        <f t="shared" si="22"/>
        <v>1763488.2178830637</v>
      </c>
      <c r="AA44" s="776">
        <f t="shared" si="22"/>
        <v>1802495.3262898838</v>
      </c>
      <c r="AB44" s="23"/>
      <c r="AC44" s="23"/>
      <c r="AD44" s="23"/>
      <c r="AE44" s="23"/>
    </row>
    <row r="45" spans="1:31">
      <c r="A45" s="146"/>
      <c r="B45" s="23"/>
      <c r="C45" s="23"/>
      <c r="D45" s="23"/>
      <c r="E45" s="23"/>
      <c r="F45" s="23"/>
      <c r="G45" s="218"/>
      <c r="H45" s="218"/>
      <c r="I45" s="218"/>
      <c r="J45" s="219"/>
      <c r="K45" s="218"/>
      <c r="L45" s="218"/>
      <c r="M45" s="218"/>
      <c r="N45" s="220"/>
      <c r="O45" s="218"/>
      <c r="P45" s="218"/>
      <c r="Q45" s="218"/>
      <c r="R45" s="218"/>
      <c r="S45" s="23"/>
      <c r="T45" s="218"/>
      <c r="U45" s="218"/>
      <c r="V45" s="219"/>
      <c r="W45" s="218"/>
      <c r="X45" s="218"/>
      <c r="Y45" s="218"/>
      <c r="Z45" s="218"/>
      <c r="AA45" s="218"/>
      <c r="AB45" s="23"/>
      <c r="AC45" s="23"/>
      <c r="AD45" s="23"/>
      <c r="AE45" s="23"/>
    </row>
    <row r="46" spans="1:31">
      <c r="A46" s="146"/>
      <c r="B46" s="23"/>
      <c r="C46" s="28" t="str">
        <f>Model!C134</f>
        <v>Total Assets</v>
      </c>
      <c r="D46" s="23"/>
      <c r="E46" s="23"/>
      <c r="F46" s="23"/>
      <c r="G46" s="779">
        <f>SUM(G38,G44)</f>
        <v>3271115</v>
      </c>
      <c r="H46" s="779">
        <f t="shared" ref="H46:AA46" si="23">SUM(H38,H44)</f>
        <v>3689659</v>
      </c>
      <c r="I46" s="779">
        <f t="shared" si="23"/>
        <v>4422246</v>
      </c>
      <c r="J46" s="780">
        <f t="shared" si="23"/>
        <v>5358097</v>
      </c>
      <c r="K46" s="779">
        <f t="shared" si="23"/>
        <v>4314273</v>
      </c>
      <c r="L46" s="779">
        <f t="shared" ca="1" si="23"/>
        <v>5438065.3777275411</v>
      </c>
      <c r="M46" s="779">
        <f t="shared" ca="1" si="23"/>
        <v>5919215.8979185559</v>
      </c>
      <c r="N46" s="781">
        <f t="shared" ca="1" si="23"/>
        <v>6681006.3786623925</v>
      </c>
      <c r="O46" s="779">
        <f t="shared" ca="1" si="23"/>
        <v>6410368.6393832006</v>
      </c>
      <c r="P46" s="779">
        <f t="shared" ca="1" si="23"/>
        <v>6837550.072880784</v>
      </c>
      <c r="Q46" s="779">
        <f t="shared" ca="1" si="23"/>
        <v>7399946.0354176397</v>
      </c>
      <c r="R46" s="779">
        <f t="shared" ca="1" si="23"/>
        <v>8397617.3979726695</v>
      </c>
      <c r="S46" s="221"/>
      <c r="T46" s="779">
        <f t="shared" si="23"/>
        <v>3703298</v>
      </c>
      <c r="U46" s="779">
        <f t="shared" si="23"/>
        <v>4173971</v>
      </c>
      <c r="V46" s="780">
        <f t="shared" si="23"/>
        <v>5358097</v>
      </c>
      <c r="W46" s="779">
        <f t="shared" ca="1" si="23"/>
        <v>6681006.3786623925</v>
      </c>
      <c r="X46" s="779">
        <f t="shared" ca="1" si="23"/>
        <v>8397617.3979726695</v>
      </c>
      <c r="Y46" s="779">
        <f t="shared" ca="1" si="23"/>
        <v>9293546.9055948723</v>
      </c>
      <c r="Z46" s="779">
        <f t="shared" ca="1" si="23"/>
        <v>9875776.202561345</v>
      </c>
      <c r="AA46" s="779">
        <f t="shared" ca="1" si="23"/>
        <v>10927470.552337386</v>
      </c>
      <c r="AB46" s="23"/>
      <c r="AC46" s="23"/>
      <c r="AD46" s="23"/>
      <c r="AE46" s="23"/>
    </row>
    <row r="47" spans="1:31">
      <c r="A47" s="146"/>
      <c r="B47" s="23"/>
      <c r="C47" s="23"/>
      <c r="D47" s="23"/>
      <c r="E47" s="23"/>
      <c r="F47" s="23"/>
      <c r="G47" s="23"/>
      <c r="H47" s="23"/>
      <c r="I47" s="23"/>
      <c r="J47" s="201"/>
      <c r="K47" s="23"/>
      <c r="L47" s="23"/>
      <c r="M47" s="23"/>
      <c r="N47" s="202"/>
      <c r="O47" s="23"/>
      <c r="P47" s="23"/>
      <c r="Q47" s="23"/>
      <c r="R47" s="23"/>
      <c r="S47" s="23"/>
      <c r="T47" s="23"/>
      <c r="U47" s="23"/>
      <c r="V47" s="201"/>
      <c r="W47" s="23"/>
      <c r="X47" s="23"/>
      <c r="Y47" s="23"/>
      <c r="Z47" s="23"/>
      <c r="AA47" s="23"/>
      <c r="AB47" s="23"/>
      <c r="AC47" s="23"/>
      <c r="AD47" s="23"/>
      <c r="AE47" s="23"/>
    </row>
    <row r="48" spans="1:31">
      <c r="A48" s="146"/>
      <c r="B48" s="23"/>
      <c r="C48" s="23" t="str">
        <f>Model!C136</f>
        <v>Accounts Payable</v>
      </c>
      <c r="D48" s="23"/>
      <c r="E48" s="23"/>
      <c r="F48" s="23"/>
      <c r="G48" s="213">
        <f>Model!P136</f>
        <v>127670</v>
      </c>
      <c r="H48" s="213">
        <f>Model!Q136</f>
        <v>132817</v>
      </c>
      <c r="I48" s="213">
        <f>Model!R136</f>
        <v>103536</v>
      </c>
      <c r="J48" s="214">
        <f>Model!S136</f>
        <v>108485</v>
      </c>
      <c r="K48" s="213">
        <f>Model!U136</f>
        <v>39061</v>
      </c>
      <c r="L48" s="213">
        <f>Model!V136</f>
        <v>185023.70009999999</v>
      </c>
      <c r="M48" s="213">
        <f>Model!W136</f>
        <v>206247.71321009999</v>
      </c>
      <c r="N48" s="215">
        <f>Model!X136</f>
        <v>253647.30900772841</v>
      </c>
      <c r="O48" s="216">
        <f>Model!Z136</f>
        <v>188390.02356572071</v>
      </c>
      <c r="P48" s="216">
        <f>Model!AA136</f>
        <v>207704.38327717318</v>
      </c>
      <c r="Q48" s="216">
        <f>Model!AB136</f>
        <v>230688.83804352937</v>
      </c>
      <c r="R48" s="216">
        <f>Model!AC136</f>
        <v>292819.16146925307</v>
      </c>
      <c r="S48" s="23"/>
      <c r="T48" s="216">
        <f>Model!J136</f>
        <v>71827</v>
      </c>
      <c r="U48" s="216">
        <f>Model!O136</f>
        <v>77535</v>
      </c>
      <c r="V48" s="217">
        <f>Model!T136</f>
        <v>108485</v>
      </c>
      <c r="W48" s="216">
        <f>Model!Y136</f>
        <v>253647.30900772841</v>
      </c>
      <c r="X48" s="216">
        <f>Model!AD136</f>
        <v>292819.16146925307</v>
      </c>
      <c r="Y48" s="216">
        <f>Model!AE136</f>
        <v>221033.61738566871</v>
      </c>
      <c r="Z48" s="216">
        <f>Model!AF136</f>
        <v>216360.04506907554</v>
      </c>
      <c r="AA48" s="216">
        <f>Model!AG136</f>
        <v>205249.89608884975</v>
      </c>
      <c r="AB48" s="23"/>
      <c r="AC48" s="23"/>
      <c r="AD48" s="23"/>
      <c r="AE48" s="23"/>
    </row>
    <row r="49" spans="1:31">
      <c r="A49" s="146"/>
      <c r="B49" s="23"/>
      <c r="C49" s="23" t="str">
        <f>Model!C137</f>
        <v>Accrued Liabilities</v>
      </c>
      <c r="D49" s="23"/>
      <c r="E49" s="23"/>
      <c r="F49" s="23"/>
      <c r="G49" s="213">
        <f>Model!P137</f>
        <v>316383</v>
      </c>
      <c r="H49" s="213">
        <f>Model!Q137</f>
        <v>549660</v>
      </c>
      <c r="I49" s="213">
        <f>Model!R137</f>
        <v>881526</v>
      </c>
      <c r="J49" s="214">
        <f>Model!S137</f>
        <v>1381322</v>
      </c>
      <c r="K49" s="213">
        <f>Model!U137</f>
        <v>853818</v>
      </c>
      <c r="L49" s="213">
        <f>Model!V137</f>
        <v>1480189.6007999999</v>
      </c>
      <c r="M49" s="213">
        <f>Model!W137</f>
        <v>1649981.7056807999</v>
      </c>
      <c r="N49" s="215">
        <f>Model!X137</f>
        <v>1902354.8175579628</v>
      </c>
      <c r="O49" s="216">
        <f>Model!Z137</f>
        <v>1507120.1885257657</v>
      </c>
      <c r="P49" s="216">
        <f>Model!AA137</f>
        <v>1661635.0662173855</v>
      </c>
      <c r="Q49" s="216">
        <f>Model!AB137</f>
        <v>1845510.7043482349</v>
      </c>
      <c r="R49" s="216">
        <f>Model!AC137</f>
        <v>2196143.7110193977</v>
      </c>
      <c r="S49" s="23"/>
      <c r="T49" s="216">
        <f>Model!J137</f>
        <v>763160</v>
      </c>
      <c r="U49" s="216">
        <f>Model!O137</f>
        <v>1024076</v>
      </c>
      <c r="V49" s="217">
        <f>Model!T137</f>
        <v>1381322</v>
      </c>
      <c r="W49" s="216">
        <f>Model!Y137</f>
        <v>1902354.8175579628</v>
      </c>
      <c r="X49" s="216">
        <f>Model!AD137</f>
        <v>2196143.7110193977</v>
      </c>
      <c r="Y49" s="216">
        <f>Model!AE137</f>
        <v>1618281.8415736456</v>
      </c>
      <c r="Z49" s="216">
        <f>Model!AF137</f>
        <v>1159071.6700129046</v>
      </c>
      <c r="AA49" s="216">
        <f>Model!AG137</f>
        <v>733035.34317446349</v>
      </c>
      <c r="AB49" s="23"/>
      <c r="AC49" s="23"/>
      <c r="AD49" s="23"/>
      <c r="AE49" s="23"/>
    </row>
    <row r="50" spans="1:31">
      <c r="A50" s="146"/>
      <c r="B50" s="23"/>
      <c r="C50" s="23" t="str">
        <f>Model!C138</f>
        <v>Other Current Liabilities</v>
      </c>
      <c r="D50" s="23"/>
      <c r="E50" s="23"/>
      <c r="F50" s="23"/>
      <c r="G50" s="213">
        <f>Model!P138</f>
        <v>99453</v>
      </c>
      <c r="H50" s="213">
        <f>Model!Q138</f>
        <v>95934</v>
      </c>
      <c r="I50" s="213">
        <f>Model!R138</f>
        <v>172987</v>
      </c>
      <c r="J50" s="214">
        <f>Model!S138</f>
        <v>293614</v>
      </c>
      <c r="K50" s="213">
        <f>Model!U138</f>
        <v>123221</v>
      </c>
      <c r="L50" s="213">
        <f>Model!V138</f>
        <v>277535.55014999997</v>
      </c>
      <c r="M50" s="213">
        <f>Model!W138</f>
        <v>309371.56981515</v>
      </c>
      <c r="N50" s="215">
        <f>Model!X138</f>
        <v>380470.96351159259</v>
      </c>
      <c r="O50" s="216">
        <f>Model!Z138</f>
        <v>313983.37260953453</v>
      </c>
      <c r="P50" s="216">
        <f>Model!AA138</f>
        <v>311556.57491575979</v>
      </c>
      <c r="Q50" s="216">
        <f>Model!AB138</f>
        <v>346033.25706529408</v>
      </c>
      <c r="R50" s="216">
        <f>Model!AC138</f>
        <v>439228.74220387958</v>
      </c>
      <c r="S50" s="23"/>
      <c r="T50" s="216">
        <f>Model!J138</f>
        <v>75072</v>
      </c>
      <c r="U50" s="216">
        <f>Model!O138</f>
        <v>90239</v>
      </c>
      <c r="V50" s="217">
        <f>Model!T138</f>
        <v>293614</v>
      </c>
      <c r="W50" s="216">
        <f>Model!Y138</f>
        <v>380470.96351159259</v>
      </c>
      <c r="X50" s="216">
        <f>Model!AD138</f>
        <v>439228.74220387958</v>
      </c>
      <c r="Y50" s="216">
        <f>Model!AE138</f>
        <v>236821.73291321646</v>
      </c>
      <c r="Z50" s="216">
        <f>Model!AF138</f>
        <v>231814.33400258093</v>
      </c>
      <c r="AA50" s="216">
        <f>Model!AG138</f>
        <v>146607.0686348927</v>
      </c>
      <c r="AB50" s="23"/>
      <c r="AC50" s="23"/>
      <c r="AD50" s="23"/>
      <c r="AE50" s="23"/>
    </row>
    <row r="51" spans="1:31">
      <c r="A51" s="146"/>
      <c r="B51" s="23"/>
      <c r="C51" s="28" t="str">
        <f>Model!C139</f>
        <v>Total Current Liabilities (Excl. Debt)</v>
      </c>
      <c r="D51" s="23"/>
      <c r="E51" s="23"/>
      <c r="F51" s="23"/>
      <c r="G51" s="776">
        <f>SUM(G48:G50)</f>
        <v>543506</v>
      </c>
      <c r="H51" s="776">
        <f t="shared" ref="H51:AA51" si="24">SUM(H48:H50)</f>
        <v>778411</v>
      </c>
      <c r="I51" s="776">
        <f t="shared" si="24"/>
        <v>1158049</v>
      </c>
      <c r="J51" s="777">
        <f t="shared" si="24"/>
        <v>1783421</v>
      </c>
      <c r="K51" s="776">
        <f t="shared" si="24"/>
        <v>1016100</v>
      </c>
      <c r="L51" s="776">
        <f t="shared" si="24"/>
        <v>1942748.8510499999</v>
      </c>
      <c r="M51" s="776">
        <f t="shared" si="24"/>
        <v>2165600.98870605</v>
      </c>
      <c r="N51" s="778">
        <f t="shared" si="24"/>
        <v>2536473.0900772838</v>
      </c>
      <c r="O51" s="776">
        <f t="shared" si="24"/>
        <v>2009493.584701021</v>
      </c>
      <c r="P51" s="776">
        <f t="shared" si="24"/>
        <v>2180896.0244103186</v>
      </c>
      <c r="Q51" s="776">
        <f t="shared" si="24"/>
        <v>2422232.7994570583</v>
      </c>
      <c r="R51" s="776">
        <f t="shared" si="24"/>
        <v>2928191.6146925306</v>
      </c>
      <c r="S51" s="23"/>
      <c r="T51" s="776">
        <f t="shared" si="24"/>
        <v>910059</v>
      </c>
      <c r="U51" s="776">
        <f t="shared" si="24"/>
        <v>1191850</v>
      </c>
      <c r="V51" s="777">
        <f t="shared" si="24"/>
        <v>1783421</v>
      </c>
      <c r="W51" s="776">
        <f t="shared" si="24"/>
        <v>2536473.0900772838</v>
      </c>
      <c r="X51" s="776">
        <f t="shared" si="24"/>
        <v>2928191.6146925306</v>
      </c>
      <c r="Y51" s="776">
        <f t="shared" si="24"/>
        <v>2076137.1918725306</v>
      </c>
      <c r="Z51" s="776">
        <f t="shared" si="24"/>
        <v>1607246.0490845609</v>
      </c>
      <c r="AA51" s="776">
        <f t="shared" si="24"/>
        <v>1084892.3078982059</v>
      </c>
      <c r="AB51" s="23"/>
      <c r="AC51" s="23"/>
      <c r="AD51" s="23"/>
      <c r="AE51" s="23"/>
    </row>
    <row r="52" spans="1:31">
      <c r="A52" s="146"/>
      <c r="B52" s="23"/>
      <c r="C52" s="23"/>
      <c r="D52" s="23"/>
      <c r="E52" s="23"/>
      <c r="F52" s="23"/>
      <c r="G52" s="218"/>
      <c r="H52" s="218"/>
      <c r="I52" s="218"/>
      <c r="J52" s="219"/>
      <c r="K52" s="218"/>
      <c r="L52" s="218"/>
      <c r="M52" s="218"/>
      <c r="N52" s="220"/>
      <c r="O52" s="218"/>
      <c r="P52" s="218"/>
      <c r="Q52" s="218"/>
      <c r="R52" s="218"/>
      <c r="S52" s="23"/>
      <c r="T52" s="218"/>
      <c r="U52" s="218"/>
      <c r="V52" s="219"/>
      <c r="W52" s="218"/>
      <c r="X52" s="218"/>
      <c r="Y52" s="218"/>
      <c r="Z52" s="218"/>
      <c r="AA52" s="218"/>
      <c r="AB52" s="23"/>
      <c r="AC52" s="23"/>
      <c r="AD52" s="23"/>
      <c r="AE52" s="23"/>
    </row>
    <row r="53" spans="1:31">
      <c r="A53" s="146"/>
      <c r="B53" s="23"/>
      <c r="C53" s="23" t="str">
        <f>Model!C141</f>
        <v>Revolver</v>
      </c>
      <c r="D53" s="23"/>
      <c r="E53" s="23"/>
      <c r="F53" s="23"/>
      <c r="G53" s="208">
        <f>Model!P141</f>
        <v>0</v>
      </c>
      <c r="H53" s="208">
        <f>Model!Q141</f>
        <v>0</v>
      </c>
      <c r="I53" s="208">
        <f>Model!R141</f>
        <v>0</v>
      </c>
      <c r="J53" s="209">
        <f>Model!S141</f>
        <v>0</v>
      </c>
      <c r="K53" s="208">
        <f>Model!U141</f>
        <v>0</v>
      </c>
      <c r="L53" s="208">
        <f ca="1">Model!V141</f>
        <v>0</v>
      </c>
      <c r="M53" s="208">
        <f ca="1">Model!W141</f>
        <v>0</v>
      </c>
      <c r="N53" s="210">
        <f ca="1">Model!X141</f>
        <v>0</v>
      </c>
      <c r="O53" s="211">
        <f ca="1">Model!Z141</f>
        <v>0</v>
      </c>
      <c r="P53" s="211">
        <f ca="1">Model!AA141</f>
        <v>0</v>
      </c>
      <c r="Q53" s="211">
        <f ca="1">Model!AB141</f>
        <v>0</v>
      </c>
      <c r="R53" s="211">
        <f ca="1">Model!AC141</f>
        <v>0</v>
      </c>
      <c r="S53" s="23"/>
      <c r="T53" s="211">
        <f>Model!J141</f>
        <v>0</v>
      </c>
      <c r="U53" s="211">
        <f>Model!O141</f>
        <v>0</v>
      </c>
      <c r="V53" s="212">
        <f>Model!T141</f>
        <v>0</v>
      </c>
      <c r="W53" s="211">
        <f ca="1">Model!Y141</f>
        <v>0</v>
      </c>
      <c r="X53" s="211">
        <f ca="1">Model!AD141</f>
        <v>0</v>
      </c>
      <c r="Y53" s="211">
        <f ca="1">Model!AE141</f>
        <v>273553.56440879195</v>
      </c>
      <c r="Z53" s="211">
        <f ca="1">Model!AF141</f>
        <v>0</v>
      </c>
      <c r="AA53" s="211">
        <f ca="1">Model!AG141</f>
        <v>0</v>
      </c>
      <c r="AB53" s="23"/>
      <c r="AC53" s="23"/>
      <c r="AD53" s="23"/>
      <c r="AE53" s="23"/>
    </row>
    <row r="54" spans="1:31">
      <c r="A54" s="146"/>
      <c r="B54" s="23"/>
      <c r="C54" s="23" t="str">
        <f>Model!C142</f>
        <v>LT Debt (Incl. Current Portion)</v>
      </c>
      <c r="D54" s="23"/>
      <c r="E54" s="23"/>
      <c r="F54" s="23"/>
      <c r="G54" s="213">
        <f>Model!P142</f>
        <v>375055</v>
      </c>
      <c r="H54" s="213">
        <f>Model!Q142</f>
        <v>377237</v>
      </c>
      <c r="I54" s="213">
        <f>Model!R142</f>
        <v>540353</v>
      </c>
      <c r="J54" s="214">
        <f>Model!S142</f>
        <v>540243</v>
      </c>
      <c r="K54" s="213">
        <f>Model!U142</f>
        <v>539749</v>
      </c>
      <c r="L54" s="213">
        <f>Model!V142</f>
        <v>540049</v>
      </c>
      <c r="M54" s="213">
        <f>Model!W142</f>
        <v>539649</v>
      </c>
      <c r="N54" s="215">
        <f>Model!X142</f>
        <v>539749</v>
      </c>
      <c r="O54" s="216">
        <f>Model!Z142</f>
        <v>539549</v>
      </c>
      <c r="P54" s="216">
        <f>Model!AA142</f>
        <v>539849</v>
      </c>
      <c r="Q54" s="216">
        <f>Model!AB142</f>
        <v>539449</v>
      </c>
      <c r="R54" s="216">
        <f>Model!AC142</f>
        <v>539549</v>
      </c>
      <c r="S54" s="23"/>
      <c r="T54" s="216">
        <f>Model!J142</f>
        <v>373885</v>
      </c>
      <c r="U54" s="216">
        <f>Model!O142</f>
        <v>373895</v>
      </c>
      <c r="V54" s="217">
        <f>Model!T142</f>
        <v>540243</v>
      </c>
      <c r="W54" s="216">
        <f>Model!Y142</f>
        <v>539749</v>
      </c>
      <c r="X54" s="216">
        <f>Model!AD142</f>
        <v>539549</v>
      </c>
      <c r="Y54" s="216">
        <f>Model!AE142</f>
        <v>538949</v>
      </c>
      <c r="Z54" s="216">
        <f>Model!AF142</f>
        <v>538349</v>
      </c>
      <c r="AA54" s="216">
        <f>Model!AG142</f>
        <v>537749</v>
      </c>
      <c r="AB54" s="23"/>
      <c r="AC54" s="23"/>
      <c r="AD54" s="23"/>
      <c r="AE54" s="23"/>
    </row>
    <row r="55" spans="1:31">
      <c r="A55" s="146"/>
      <c r="B55" s="23"/>
      <c r="C55" s="23" t="str">
        <f>Model!C143</f>
        <v>Deferred Income Taxes</v>
      </c>
      <c r="D55" s="23"/>
      <c r="E55" s="23"/>
      <c r="F55" s="23"/>
      <c r="G55" s="213">
        <f>Model!P143</f>
        <v>53616</v>
      </c>
      <c r="H55" s="213">
        <f>Model!Q143</f>
        <v>56968</v>
      </c>
      <c r="I55" s="213">
        <f>Model!R143</f>
        <v>61943</v>
      </c>
      <c r="J55" s="214">
        <f>Model!S143</f>
        <v>64231</v>
      </c>
      <c r="K55" s="213">
        <f>Model!U143</f>
        <v>64506</v>
      </c>
      <c r="L55" s="213">
        <f>Model!V143</f>
        <v>64506</v>
      </c>
      <c r="M55" s="213">
        <f>Model!W143</f>
        <v>64506</v>
      </c>
      <c r="N55" s="215">
        <f>Model!X143</f>
        <v>64506</v>
      </c>
      <c r="O55" s="216">
        <f>Model!Z143</f>
        <v>64506</v>
      </c>
      <c r="P55" s="216">
        <f>Model!AA143</f>
        <v>64506</v>
      </c>
      <c r="Q55" s="216">
        <f>Model!AB143</f>
        <v>64506</v>
      </c>
      <c r="R55" s="216">
        <f>Model!AC143</f>
        <v>64506</v>
      </c>
      <c r="S55" s="23"/>
      <c r="T55" s="216">
        <f>Model!J143</f>
        <v>52813</v>
      </c>
      <c r="U55" s="216">
        <f>Model!O143</f>
        <v>52968</v>
      </c>
      <c r="V55" s="217">
        <f>Model!T143</f>
        <v>64231</v>
      </c>
      <c r="W55" s="216">
        <f>Model!Y143</f>
        <v>64506</v>
      </c>
      <c r="X55" s="216">
        <f>Model!AD143</f>
        <v>64506</v>
      </c>
      <c r="Y55" s="216">
        <f>Model!AE143</f>
        <v>64506</v>
      </c>
      <c r="Z55" s="216">
        <f>Model!AF143</f>
        <v>64506</v>
      </c>
      <c r="AA55" s="216">
        <f>Model!AG143</f>
        <v>64506</v>
      </c>
      <c r="AB55" s="23"/>
      <c r="AC55" s="23"/>
      <c r="AD55" s="23"/>
      <c r="AE55" s="23"/>
    </row>
    <row r="56" spans="1:31">
      <c r="A56" s="146"/>
      <c r="B56" s="23"/>
      <c r="C56" s="23" t="str">
        <f>Model!C144</f>
        <v>Other Non-Current Liabilities</v>
      </c>
      <c r="D56" s="23"/>
      <c r="E56" s="23"/>
      <c r="F56" s="23"/>
      <c r="G56" s="213">
        <f>Model!P144</f>
        <v>547283</v>
      </c>
      <c r="H56" s="213">
        <f>Model!Q144</f>
        <v>558549</v>
      </c>
      <c r="I56" s="213">
        <f>Model!R144</f>
        <v>576241</v>
      </c>
      <c r="J56" s="214">
        <f>Model!S144</f>
        <v>650336</v>
      </c>
      <c r="K56" s="213">
        <f>Model!U144</f>
        <v>605317</v>
      </c>
      <c r="L56" s="213">
        <f>Model!V144</f>
        <v>605317</v>
      </c>
      <c r="M56" s="842">
        <f>Model!W144</f>
        <v>605317</v>
      </c>
      <c r="N56" s="215">
        <f>Model!X144</f>
        <v>605317</v>
      </c>
      <c r="O56" s="216">
        <f>Model!Z144</f>
        <v>605317</v>
      </c>
      <c r="P56" s="216">
        <f>Model!AA144</f>
        <v>605317</v>
      </c>
      <c r="Q56" s="216">
        <f>Model!AB144</f>
        <v>605317</v>
      </c>
      <c r="R56" s="216">
        <f>Model!AC144</f>
        <v>605317</v>
      </c>
      <c r="S56" s="23"/>
      <c r="T56" s="216">
        <f>Model!J144</f>
        <v>584051</v>
      </c>
      <c r="U56" s="216">
        <f>Model!O144</f>
        <v>613450</v>
      </c>
      <c r="V56" s="217">
        <f>Model!T144</f>
        <v>650336</v>
      </c>
      <c r="W56" s="216">
        <f>Model!Y144</f>
        <v>605317</v>
      </c>
      <c r="X56" s="216">
        <f>Model!AD144</f>
        <v>605317</v>
      </c>
      <c r="Y56" s="216">
        <f>Model!AE144</f>
        <v>605317</v>
      </c>
      <c r="Z56" s="216">
        <f>Model!AF144</f>
        <v>605317</v>
      </c>
      <c r="AA56" s="216">
        <f>Model!AG144</f>
        <v>605317</v>
      </c>
      <c r="AB56" s="23"/>
      <c r="AC56" s="23"/>
      <c r="AD56" s="23"/>
      <c r="AE56" s="23"/>
    </row>
    <row r="57" spans="1:31" ht="15">
      <c r="A57" s="146"/>
      <c r="B57" s="23"/>
      <c r="C57" s="28" t="str">
        <f>Model!C145</f>
        <v>Total Non-Current Liabilities</v>
      </c>
      <c r="D57" s="23"/>
      <c r="E57" s="23"/>
      <c r="F57" s="23"/>
      <c r="G57" s="776">
        <f>SUM(G53:G56)</f>
        <v>975954</v>
      </c>
      <c r="H57" s="776">
        <f t="shared" ref="H57:R57" si="25">INDEX(Data,MATCH($C57,Line_Items,0),MATCH(H$32,Fiscal_Periods,0))</f>
        <v>992754</v>
      </c>
      <c r="I57" s="776">
        <f t="shared" si="25"/>
        <v>1178537</v>
      </c>
      <c r="J57" s="777">
        <f t="shared" si="25"/>
        <v>1254810</v>
      </c>
      <c r="K57" s="776">
        <f t="shared" si="25"/>
        <v>1209572</v>
      </c>
      <c r="L57" s="776">
        <f t="shared" ca="1" si="25"/>
        <v>1209872</v>
      </c>
      <c r="M57" s="776">
        <f t="shared" ca="1" si="25"/>
        <v>1209472</v>
      </c>
      <c r="N57" s="778">
        <f t="shared" ca="1" si="25"/>
        <v>1209572</v>
      </c>
      <c r="O57" s="776">
        <f t="shared" ca="1" si="25"/>
        <v>1209372</v>
      </c>
      <c r="P57" s="776">
        <f t="shared" ca="1" si="25"/>
        <v>1209672</v>
      </c>
      <c r="Q57" s="776">
        <f t="shared" ca="1" si="25"/>
        <v>1209272</v>
      </c>
      <c r="R57" s="776">
        <f t="shared" ca="1" si="25"/>
        <v>1209372</v>
      </c>
      <c r="S57" s="23"/>
      <c r="T57" s="776">
        <f t="shared" ref="T57:AA57" si="26">INDEX(Data,MATCH($C57,Line_Items,0),MATCH(T$32,Fiscal_Periods,0))</f>
        <v>1010749</v>
      </c>
      <c r="U57" s="776">
        <f t="shared" si="26"/>
        <v>1040313</v>
      </c>
      <c r="V57" s="777">
        <f t="shared" si="26"/>
        <v>1254810</v>
      </c>
      <c r="W57" s="776">
        <f t="shared" ca="1" si="26"/>
        <v>1209572</v>
      </c>
      <c r="X57" s="776">
        <f t="shared" ca="1" si="26"/>
        <v>1209372</v>
      </c>
      <c r="Y57" s="776">
        <f t="shared" ca="1" si="26"/>
        <v>1482325.5644087919</v>
      </c>
      <c r="Z57" s="776">
        <f t="shared" ca="1" si="26"/>
        <v>1208172</v>
      </c>
      <c r="AA57" s="776">
        <f t="shared" ca="1" si="26"/>
        <v>1207572</v>
      </c>
      <c r="AB57" s="23"/>
      <c r="AC57" s="23"/>
      <c r="AD57" s="23"/>
      <c r="AE57" s="23"/>
    </row>
    <row r="58" spans="1:31" ht="15">
      <c r="A58" s="146"/>
      <c r="B58" s="23"/>
      <c r="C58" s="23"/>
      <c r="D58" s="23"/>
      <c r="E58" s="23"/>
      <c r="F58" s="23"/>
      <c r="G58" s="218"/>
      <c r="H58" s="218"/>
      <c r="I58" s="218"/>
      <c r="J58" s="219"/>
      <c r="K58" s="218"/>
      <c r="L58" s="218"/>
      <c r="M58" s="218"/>
      <c r="N58" s="220"/>
      <c r="O58" s="218"/>
      <c r="P58" s="218"/>
      <c r="Q58" s="218"/>
      <c r="R58" s="218"/>
      <c r="S58" s="23"/>
      <c r="T58" s="218"/>
      <c r="U58" s="218"/>
      <c r="V58" s="219"/>
      <c r="W58" s="218"/>
      <c r="X58" s="218"/>
      <c r="Y58" s="218"/>
      <c r="Z58" s="218"/>
      <c r="AA58" s="218"/>
      <c r="AB58" s="23"/>
      <c r="AC58" s="23"/>
      <c r="AD58" s="23"/>
      <c r="AE58" s="23"/>
    </row>
    <row r="59" spans="1:31" ht="15">
      <c r="A59" s="146"/>
      <c r="B59" s="23"/>
      <c r="C59" s="28" t="str">
        <f>Model!C147</f>
        <v>Total Liabilities</v>
      </c>
      <c r="D59" s="23"/>
      <c r="E59" s="23"/>
      <c r="F59" s="23"/>
      <c r="G59" s="776">
        <f>SUM(G51,G57)</f>
        <v>1519460</v>
      </c>
      <c r="H59" s="776">
        <f t="shared" ref="H59:AA59" si="27">SUM(H51,H57)</f>
        <v>1771165</v>
      </c>
      <c r="I59" s="776">
        <f t="shared" si="27"/>
        <v>2336586</v>
      </c>
      <c r="J59" s="777">
        <f t="shared" si="27"/>
        <v>3038231</v>
      </c>
      <c r="K59" s="776">
        <f t="shared" si="27"/>
        <v>2225672</v>
      </c>
      <c r="L59" s="776">
        <f t="shared" ca="1" si="27"/>
        <v>3152620.8510499997</v>
      </c>
      <c r="M59" s="776">
        <f t="shared" ca="1" si="27"/>
        <v>3375072.98870605</v>
      </c>
      <c r="N59" s="778">
        <f t="shared" ca="1" si="27"/>
        <v>3746045.0900772838</v>
      </c>
      <c r="O59" s="776">
        <f t="shared" ca="1" si="27"/>
        <v>3218865.5847010212</v>
      </c>
      <c r="P59" s="776">
        <f t="shared" ca="1" si="27"/>
        <v>3390568.0244103186</v>
      </c>
      <c r="Q59" s="776">
        <f t="shared" ca="1" si="27"/>
        <v>3631504.7994570583</v>
      </c>
      <c r="R59" s="776">
        <f t="shared" ca="1" si="27"/>
        <v>4137563.6146925306</v>
      </c>
      <c r="S59" s="23"/>
      <c r="T59" s="776">
        <f t="shared" si="27"/>
        <v>1920808</v>
      </c>
      <c r="U59" s="776">
        <f t="shared" si="27"/>
        <v>2232163</v>
      </c>
      <c r="V59" s="777">
        <f t="shared" si="27"/>
        <v>3038231</v>
      </c>
      <c r="W59" s="776">
        <f t="shared" ca="1" si="27"/>
        <v>3746045.0900772838</v>
      </c>
      <c r="X59" s="776">
        <f t="shared" ca="1" si="27"/>
        <v>4137563.6146925306</v>
      </c>
      <c r="Y59" s="776">
        <f t="shared" ca="1" si="27"/>
        <v>3558462.7562813228</v>
      </c>
      <c r="Z59" s="776">
        <f t="shared" ca="1" si="27"/>
        <v>2815418.0490845609</v>
      </c>
      <c r="AA59" s="776">
        <f t="shared" ca="1" si="27"/>
        <v>2292464.3078982057</v>
      </c>
      <c r="AB59" s="23"/>
      <c r="AC59" s="23"/>
      <c r="AD59" s="23"/>
      <c r="AE59" s="23"/>
    </row>
    <row r="60" spans="1:31" ht="15">
      <c r="A60" s="146"/>
      <c r="B60" s="23"/>
      <c r="C60" s="23"/>
      <c r="D60" s="23"/>
      <c r="E60" s="23"/>
      <c r="F60" s="23"/>
      <c r="G60" s="23"/>
      <c r="H60" s="23"/>
      <c r="I60" s="23"/>
      <c r="J60" s="201"/>
      <c r="K60" s="23"/>
      <c r="L60" s="23"/>
      <c r="M60" s="23"/>
      <c r="N60" s="202"/>
      <c r="O60" s="23"/>
      <c r="P60" s="23"/>
      <c r="Q60" s="23"/>
      <c r="R60" s="23"/>
      <c r="S60" s="23"/>
      <c r="T60" s="23"/>
      <c r="U60" s="23"/>
      <c r="V60" s="201"/>
      <c r="W60" s="23"/>
      <c r="X60" s="23"/>
      <c r="Y60" s="23"/>
      <c r="Z60" s="23"/>
      <c r="AA60" s="23"/>
      <c r="AB60" s="23"/>
      <c r="AC60" s="23"/>
      <c r="AD60" s="23"/>
      <c r="AE60" s="23"/>
    </row>
    <row r="61" spans="1:31" ht="15">
      <c r="A61" s="146"/>
      <c r="B61" s="23"/>
      <c r="C61" s="23" t="str">
        <f>Model!C149</f>
        <v>Common Stock &amp; APIC</v>
      </c>
      <c r="D61" s="23"/>
      <c r="E61" s="23"/>
      <c r="F61" s="23"/>
      <c r="G61" s="208">
        <f>Model!P149</f>
        <v>3597030</v>
      </c>
      <c r="H61" s="208">
        <f>Model!Q149</f>
        <v>3710589</v>
      </c>
      <c r="I61" s="208">
        <f>Model!R149</f>
        <v>3818151</v>
      </c>
      <c r="J61" s="209">
        <f>Model!S149</f>
        <v>4025372</v>
      </c>
      <c r="K61" s="208">
        <f>Model!U149</f>
        <v>4142780</v>
      </c>
      <c r="L61" s="208">
        <f>Model!V149</f>
        <v>4277329.7556706667</v>
      </c>
      <c r="M61" s="208">
        <f>Model!W149</f>
        <v>4427313.6734339278</v>
      </c>
      <c r="N61" s="210">
        <f>Model!X149</f>
        <v>4611766.7107208623</v>
      </c>
      <c r="O61" s="211">
        <f>Model!Z149</f>
        <v>4748764.4662941163</v>
      </c>
      <c r="P61" s="211">
        <f>Model!AA149</f>
        <v>4899807.6786315944</v>
      </c>
      <c r="Q61" s="211">
        <f>Model!AB149</f>
        <v>5067565.2511908449</v>
      </c>
      <c r="R61" s="211">
        <f>Model!AC149</f>
        <v>5280504.1698811725</v>
      </c>
      <c r="S61" s="23"/>
      <c r="T61" s="211">
        <f>Model!J149</f>
        <v>3164019</v>
      </c>
      <c r="U61" s="211">
        <f>Model!O149</f>
        <v>3511204</v>
      </c>
      <c r="V61" s="212">
        <f>Model!T149</f>
        <v>4025372</v>
      </c>
      <c r="W61" s="211">
        <f>Model!Y149</f>
        <v>4611766.7107208623</v>
      </c>
      <c r="X61" s="211">
        <f>Model!AD149</f>
        <v>5280504.1698811725</v>
      </c>
      <c r="Y61" s="211">
        <f>Model!AE149</f>
        <v>5969373.8937869277</v>
      </c>
      <c r="Z61" s="211">
        <f>Model!AF149</f>
        <v>6643678.0393455327</v>
      </c>
      <c r="AA61" s="211">
        <f>Model!AG149</f>
        <v>7283356.4779592715</v>
      </c>
      <c r="AB61" s="23"/>
      <c r="AC61" s="23"/>
      <c r="AD61" s="23"/>
      <c r="AE61" s="23"/>
    </row>
    <row r="62" spans="1:31" ht="15">
      <c r="A62" s="146"/>
      <c r="B62" s="23"/>
      <c r="C62" s="23" t="str">
        <f>Model!C150</f>
        <v>Retained Earnings</v>
      </c>
      <c r="D62" s="23"/>
      <c r="E62" s="23"/>
      <c r="F62" s="23"/>
      <c r="G62" s="213">
        <f>Model!P150</f>
        <v>2245124</v>
      </c>
      <c r="H62" s="213">
        <f>Model!Q150</f>
        <v>2305996</v>
      </c>
      <c r="I62" s="213">
        <f>Model!R150</f>
        <v>2414099</v>
      </c>
      <c r="J62" s="214">
        <f>Model!S150</f>
        <v>2581815</v>
      </c>
      <c r="K62" s="213">
        <f>Model!U150</f>
        <v>2846337</v>
      </c>
      <c r="L62" s="213">
        <f ca="1">Model!V150</f>
        <v>3038630.7710068747</v>
      </c>
      <c r="M62" s="213">
        <f ca="1">Model!W150</f>
        <v>3277345.2357785795</v>
      </c>
      <c r="N62" s="215">
        <f ca="1">Model!X150</f>
        <v>3613710.5778642469</v>
      </c>
      <c r="O62" s="216">
        <f ca="1">Model!Z150</f>
        <v>3863254.5883880644</v>
      </c>
      <c r="P62" s="216">
        <f ca="1">Model!AA150</f>
        <v>4097690.3698388725</v>
      </c>
      <c r="Q62" s="216">
        <f ca="1">Model!AB150</f>
        <v>4381391.9847697364</v>
      </c>
      <c r="R62" s="216">
        <f ca="1">Model!AC150</f>
        <v>4790065.6133989664</v>
      </c>
      <c r="S62" s="23"/>
      <c r="T62" s="216">
        <f>Model!J150</f>
        <v>1892656</v>
      </c>
      <c r="U62" s="216">
        <f>Model!O150</f>
        <v>2133919</v>
      </c>
      <c r="V62" s="217">
        <f>Model!T150</f>
        <v>2581815</v>
      </c>
      <c r="W62" s="216">
        <f ca="1">Model!Y150</f>
        <v>3613710.5778642469</v>
      </c>
      <c r="X62" s="216">
        <f ca="1">Model!AD150</f>
        <v>4790065.6133989664</v>
      </c>
      <c r="Y62" s="216">
        <f ca="1">Model!AE150</f>
        <v>5976226.2555266209</v>
      </c>
      <c r="Z62" s="216">
        <f ca="1">Model!AF150</f>
        <v>7027196.1141312504</v>
      </c>
      <c r="AA62" s="216">
        <f ca="1">Model!AG150</f>
        <v>8362165.7664799104</v>
      </c>
      <c r="AB62" s="23"/>
      <c r="AC62" s="23"/>
      <c r="AD62" s="23"/>
      <c r="AE62" s="23"/>
    </row>
    <row r="63" spans="1:31" ht="15">
      <c r="A63" s="146"/>
      <c r="B63" s="23"/>
      <c r="C63" s="23" t="str">
        <f>Model!C151</f>
        <v>Treasury Stock</v>
      </c>
      <c r="D63" s="23"/>
      <c r="E63" s="23"/>
      <c r="F63" s="23"/>
      <c r="G63" s="213">
        <f>Model!P151</f>
        <v>-4307384</v>
      </c>
      <c r="H63" s="213">
        <f>Model!Q151</f>
        <v>-4350589</v>
      </c>
      <c r="I63" s="213">
        <f>Model!R151</f>
        <v>-4407621</v>
      </c>
      <c r="J63" s="214">
        <f>Model!S151</f>
        <v>-4562483</v>
      </c>
      <c r="K63" s="213">
        <f>Model!U151</f>
        <v>-5183832</v>
      </c>
      <c r="L63" s="213">
        <f>Model!V151</f>
        <v>-5313832</v>
      </c>
      <c r="M63" s="213">
        <f>Model!W151</f>
        <v>-5443832</v>
      </c>
      <c r="N63" s="215">
        <f>Model!X151</f>
        <v>-5573832</v>
      </c>
      <c r="O63" s="216">
        <f>Model!Z151</f>
        <v>-5703832</v>
      </c>
      <c r="P63" s="216">
        <f>Model!AA151</f>
        <v>-5833832</v>
      </c>
      <c r="Q63" s="216">
        <f>Model!AB151</f>
        <v>-5963832</v>
      </c>
      <c r="R63" s="216">
        <f>Model!AC151</f>
        <v>-6093832</v>
      </c>
      <c r="S63" s="23"/>
      <c r="T63" s="216">
        <f>Model!J151</f>
        <v>-3453203</v>
      </c>
      <c r="U63" s="216">
        <f>Model!O151</f>
        <v>-3901424</v>
      </c>
      <c r="V63" s="217">
        <f>Model!T151</f>
        <v>-4562483</v>
      </c>
      <c r="W63" s="216">
        <f>Model!Y151</f>
        <v>-5573832</v>
      </c>
      <c r="X63" s="216">
        <f>Model!AD151</f>
        <v>-6093832</v>
      </c>
      <c r="Y63" s="216">
        <f>Model!AE151</f>
        <v>-6493832</v>
      </c>
      <c r="Z63" s="216">
        <f>Model!AF151</f>
        <v>-6893832</v>
      </c>
      <c r="AA63" s="216">
        <f>Model!AG151</f>
        <v>-7293832</v>
      </c>
      <c r="AB63" s="23"/>
      <c r="AC63" s="23"/>
      <c r="AD63" s="23"/>
      <c r="AE63" s="23"/>
    </row>
    <row r="64" spans="1:31" ht="15">
      <c r="A64" s="146"/>
      <c r="B64" s="23"/>
      <c r="C64" s="23" t="str">
        <f>Model!C152</f>
        <v>Accumulated Other Comprehensive Income (AOCI)</v>
      </c>
      <c r="D64" s="23"/>
      <c r="E64" s="23"/>
      <c r="F64" s="23"/>
      <c r="G64" s="213">
        <f>Model!P152</f>
        <v>-28210</v>
      </c>
      <c r="H64" s="213">
        <f>Model!Q152</f>
        <v>-10917</v>
      </c>
      <c r="I64" s="213">
        <f>Model!R152</f>
        <v>-15183</v>
      </c>
      <c r="J64" s="214">
        <f>Model!S152</f>
        <v>-13128</v>
      </c>
      <c r="K64" s="213">
        <f>Model!U152</f>
        <v>-23199</v>
      </c>
      <c r="L64" s="213">
        <f>Model!V152</f>
        <v>-23199</v>
      </c>
      <c r="M64" s="213">
        <f>Model!W152</f>
        <v>-23199</v>
      </c>
      <c r="N64" s="215">
        <f>Model!X152</f>
        <v>-23199</v>
      </c>
      <c r="O64" s="216">
        <f>Model!Z152</f>
        <v>-23199</v>
      </c>
      <c r="P64" s="216">
        <f>Model!AA152</f>
        <v>-23199</v>
      </c>
      <c r="Q64" s="216">
        <f>Model!AB152</f>
        <v>-23199</v>
      </c>
      <c r="R64" s="216">
        <f>Model!AC152</f>
        <v>-23199</v>
      </c>
      <c r="S64" s="23"/>
      <c r="T64" s="216">
        <f>Model!J152</f>
        <v>-26538</v>
      </c>
      <c r="U64" s="216">
        <f>Model!O152</f>
        <v>-36057</v>
      </c>
      <c r="V64" s="217">
        <f>Model!T152</f>
        <v>-13128</v>
      </c>
      <c r="W64" s="216">
        <f>Model!Y152</f>
        <v>-23199</v>
      </c>
      <c r="X64" s="216">
        <f>Model!AD152</f>
        <v>-23199</v>
      </c>
      <c r="Y64" s="216">
        <f>Model!AE152</f>
        <v>-23199</v>
      </c>
      <c r="Z64" s="216">
        <f>Model!AF152</f>
        <v>-23199</v>
      </c>
      <c r="AA64" s="216">
        <f>Model!AG152</f>
        <v>-23199</v>
      </c>
      <c r="AB64" s="23"/>
      <c r="AC64" s="23"/>
      <c r="AD64" s="23"/>
      <c r="AE64" s="23"/>
    </row>
    <row r="65" spans="1:31" ht="15">
      <c r="A65" s="146"/>
      <c r="B65" s="23"/>
      <c r="C65" s="28" t="str">
        <f>Model!C153</f>
        <v>Total Shareholder's Equity</v>
      </c>
      <c r="D65" s="23"/>
      <c r="E65" s="23"/>
      <c r="F65" s="23"/>
      <c r="G65" s="776">
        <f>SUM(G61:G64)</f>
        <v>1506560</v>
      </c>
      <c r="H65" s="776">
        <f t="shared" ref="H65:AA65" si="28">SUM(H61:H64)</f>
        <v>1655079</v>
      </c>
      <c r="I65" s="776">
        <f t="shared" si="28"/>
        <v>1809446</v>
      </c>
      <c r="J65" s="777">
        <f t="shared" si="28"/>
        <v>2031576</v>
      </c>
      <c r="K65" s="776">
        <f t="shared" si="28"/>
        <v>1782086</v>
      </c>
      <c r="L65" s="776">
        <f t="shared" ca="1" si="28"/>
        <v>1978929.5266775414</v>
      </c>
      <c r="M65" s="776">
        <f t="shared" ca="1" si="28"/>
        <v>2237627.9092125073</v>
      </c>
      <c r="N65" s="778">
        <f t="shared" ca="1" si="28"/>
        <v>2628446.2885851096</v>
      </c>
      <c r="O65" s="776">
        <f t="shared" ca="1" si="28"/>
        <v>2884988.0546821803</v>
      </c>
      <c r="P65" s="776">
        <f t="shared" ca="1" si="28"/>
        <v>3140467.0484704673</v>
      </c>
      <c r="Q65" s="776">
        <f t="shared" ca="1" si="28"/>
        <v>3461926.2359605804</v>
      </c>
      <c r="R65" s="776">
        <f t="shared" ca="1" si="28"/>
        <v>3953538.7832801379</v>
      </c>
      <c r="S65" s="23"/>
      <c r="T65" s="776">
        <f t="shared" si="28"/>
        <v>1576934</v>
      </c>
      <c r="U65" s="776">
        <f t="shared" si="28"/>
        <v>1707642</v>
      </c>
      <c r="V65" s="777">
        <f t="shared" si="28"/>
        <v>2031576</v>
      </c>
      <c r="W65" s="776">
        <f t="shared" ca="1" si="28"/>
        <v>2628446.2885851096</v>
      </c>
      <c r="X65" s="776">
        <f t="shared" ca="1" si="28"/>
        <v>3953538.7832801379</v>
      </c>
      <c r="Y65" s="776">
        <f t="shared" ca="1" si="28"/>
        <v>5428569.1493135486</v>
      </c>
      <c r="Z65" s="776">
        <f t="shared" ca="1" si="28"/>
        <v>6753843.1534767821</v>
      </c>
      <c r="AA65" s="776">
        <f t="shared" ca="1" si="28"/>
        <v>8328491.2444391809</v>
      </c>
      <c r="AB65" s="23"/>
      <c r="AC65" s="23"/>
      <c r="AD65" s="23"/>
      <c r="AE65" s="23"/>
    </row>
    <row r="66" spans="1:31" ht="15">
      <c r="A66" s="146"/>
      <c r="B66" s="23"/>
      <c r="C66" s="23"/>
      <c r="D66" s="23"/>
      <c r="E66" s="23"/>
      <c r="F66" s="23"/>
      <c r="G66" s="218"/>
      <c r="H66" s="218"/>
      <c r="I66" s="218"/>
      <c r="J66" s="219"/>
      <c r="K66" s="218"/>
      <c r="L66" s="218"/>
      <c r="M66" s="218"/>
      <c r="N66" s="220"/>
      <c r="O66" s="218"/>
      <c r="P66" s="218"/>
      <c r="Q66" s="218"/>
      <c r="R66" s="218"/>
      <c r="S66" s="23"/>
      <c r="T66" s="218"/>
      <c r="U66" s="218"/>
      <c r="V66" s="219"/>
      <c r="W66" s="218"/>
      <c r="X66" s="218"/>
      <c r="Y66" s="218"/>
      <c r="Z66" s="218"/>
      <c r="AA66" s="218"/>
      <c r="AB66" s="23"/>
      <c r="AC66" s="23"/>
      <c r="AD66" s="23"/>
      <c r="AE66" s="23"/>
    </row>
    <row r="67" spans="1:31" ht="15">
      <c r="A67" s="146"/>
      <c r="B67" s="23"/>
      <c r="C67" s="23" t="str">
        <f>Model!C155</f>
        <v>Noncontrolling Interests</v>
      </c>
      <c r="D67" s="23"/>
      <c r="E67" s="23"/>
      <c r="F67" s="23"/>
      <c r="G67" s="213">
        <f>Model!P155</f>
        <v>245095</v>
      </c>
      <c r="H67" s="213">
        <f>Model!Q155</f>
        <v>263415</v>
      </c>
      <c r="I67" s="213">
        <f>Model!R155</f>
        <v>276214</v>
      </c>
      <c r="J67" s="214">
        <f>Model!S155</f>
        <v>288290</v>
      </c>
      <c r="K67" s="213">
        <f>Model!U155</f>
        <v>306515</v>
      </c>
      <c r="L67" s="213">
        <f>Model!V155</f>
        <v>306515</v>
      </c>
      <c r="M67" s="213">
        <f>Model!W155</f>
        <v>306515</v>
      </c>
      <c r="N67" s="215">
        <f>Model!X155</f>
        <v>306515</v>
      </c>
      <c r="O67" s="216">
        <f>Model!Z155</f>
        <v>306515</v>
      </c>
      <c r="P67" s="216">
        <f>Model!AA155</f>
        <v>306515</v>
      </c>
      <c r="Q67" s="216">
        <f>Model!AB155</f>
        <v>306515</v>
      </c>
      <c r="R67" s="216">
        <f>Model!AC155</f>
        <v>306515</v>
      </c>
      <c r="S67" s="23"/>
      <c r="T67" s="216">
        <f>Model!J155</f>
        <v>205556</v>
      </c>
      <c r="U67" s="216">
        <f>Model!O155</f>
        <v>234166</v>
      </c>
      <c r="V67" s="217">
        <f>Model!T155</f>
        <v>288290</v>
      </c>
      <c r="W67" s="216">
        <f>Model!Y155</f>
        <v>306515</v>
      </c>
      <c r="X67" s="216">
        <f>Model!AD155</f>
        <v>306515</v>
      </c>
      <c r="Y67" s="216">
        <f>Model!AE155</f>
        <v>306515</v>
      </c>
      <c r="Z67" s="216">
        <f>Model!AF155</f>
        <v>306515</v>
      </c>
      <c r="AA67" s="216">
        <f>Model!AG155</f>
        <v>306515</v>
      </c>
      <c r="AB67" s="23"/>
      <c r="AC67" s="23"/>
      <c r="AD67" s="23"/>
      <c r="AE67" s="23"/>
    </row>
    <row r="68" spans="1:31" ht="15">
      <c r="A68" s="146"/>
      <c r="B68" s="23"/>
      <c r="C68" s="28" t="str">
        <f>Model!C156</f>
        <v>Total Equity</v>
      </c>
      <c r="D68" s="23"/>
      <c r="E68" s="23"/>
      <c r="F68" s="23"/>
      <c r="G68" s="776">
        <f>SUM(G65,G67)</f>
        <v>1751655</v>
      </c>
      <c r="H68" s="776">
        <f t="shared" ref="H68:AA68" si="29">SUM(H65,H67)</f>
        <v>1918494</v>
      </c>
      <c r="I68" s="776">
        <f t="shared" si="29"/>
        <v>2085660</v>
      </c>
      <c r="J68" s="777">
        <f t="shared" si="29"/>
        <v>2319866</v>
      </c>
      <c r="K68" s="776">
        <f t="shared" si="29"/>
        <v>2088601</v>
      </c>
      <c r="L68" s="776">
        <f t="shared" ca="1" si="29"/>
        <v>2285444.5266775414</v>
      </c>
      <c r="M68" s="776">
        <f t="shared" ca="1" si="29"/>
        <v>2544142.9092125073</v>
      </c>
      <c r="N68" s="778">
        <f t="shared" ca="1" si="29"/>
        <v>2934961.2885851096</v>
      </c>
      <c r="O68" s="776">
        <f t="shared" ca="1" si="29"/>
        <v>3191503.0546821803</v>
      </c>
      <c r="P68" s="776">
        <f t="shared" ca="1" si="29"/>
        <v>3446982.0484704673</v>
      </c>
      <c r="Q68" s="776">
        <f t="shared" ca="1" si="29"/>
        <v>3768441.2359605804</v>
      </c>
      <c r="R68" s="776">
        <f t="shared" ca="1" si="29"/>
        <v>4260053.7832801379</v>
      </c>
      <c r="S68" s="23"/>
      <c r="T68" s="776">
        <f t="shared" si="29"/>
        <v>1782490</v>
      </c>
      <c r="U68" s="776">
        <f t="shared" si="29"/>
        <v>1941808</v>
      </c>
      <c r="V68" s="777">
        <f t="shared" si="29"/>
        <v>2319866</v>
      </c>
      <c r="W68" s="776">
        <f t="shared" ca="1" si="29"/>
        <v>2934961.2885851096</v>
      </c>
      <c r="X68" s="776">
        <f t="shared" ca="1" si="29"/>
        <v>4260053.7832801379</v>
      </c>
      <c r="Y68" s="776">
        <f t="shared" ca="1" si="29"/>
        <v>5735084.1493135486</v>
      </c>
      <c r="Z68" s="776">
        <f t="shared" ca="1" si="29"/>
        <v>7060358.1534767821</v>
      </c>
      <c r="AA68" s="776">
        <f t="shared" ca="1" si="29"/>
        <v>8635006.2444391809</v>
      </c>
      <c r="AB68" s="23"/>
      <c r="AC68" s="23"/>
      <c r="AD68" s="23"/>
      <c r="AE68" s="23"/>
    </row>
    <row r="69" spans="1:31" ht="15">
      <c r="A69" s="146"/>
      <c r="B69" s="23"/>
      <c r="C69" s="23"/>
      <c r="D69" s="23"/>
      <c r="E69" s="23"/>
      <c r="F69" s="23"/>
      <c r="G69" s="218"/>
      <c r="H69" s="218"/>
      <c r="I69" s="218"/>
      <c r="J69" s="219"/>
      <c r="K69" s="218"/>
      <c r="L69" s="218"/>
      <c r="M69" s="218"/>
      <c r="N69" s="220"/>
      <c r="O69" s="218"/>
      <c r="P69" s="218"/>
      <c r="Q69" s="218"/>
      <c r="R69" s="218"/>
      <c r="S69" s="23"/>
      <c r="T69" s="218"/>
      <c r="U69" s="218"/>
      <c r="V69" s="219"/>
      <c r="W69" s="218"/>
      <c r="X69" s="218"/>
      <c r="Y69" s="218"/>
      <c r="Z69" s="218"/>
      <c r="AA69" s="218"/>
      <c r="AB69" s="23"/>
      <c r="AC69" s="23"/>
      <c r="AD69" s="23"/>
      <c r="AE69" s="23"/>
    </row>
    <row r="70" spans="1:31" ht="15">
      <c r="A70" s="146"/>
      <c r="B70" s="23"/>
      <c r="C70" s="28" t="str">
        <f>Model!C158</f>
        <v>Total Liabilities &amp; Shareholder's Equity</v>
      </c>
      <c r="D70" s="23"/>
      <c r="E70" s="23"/>
      <c r="F70" s="23"/>
      <c r="G70" s="779">
        <f>SUM(G59,G68)</f>
        <v>3271115</v>
      </c>
      <c r="H70" s="779">
        <f t="shared" ref="H70:AA70" si="30">SUM(H59,H68)</f>
        <v>3689659</v>
      </c>
      <c r="I70" s="779">
        <f t="shared" si="30"/>
        <v>4422246</v>
      </c>
      <c r="J70" s="780">
        <f t="shared" si="30"/>
        <v>5358097</v>
      </c>
      <c r="K70" s="779">
        <f t="shared" si="30"/>
        <v>4314273</v>
      </c>
      <c r="L70" s="779">
        <f t="shared" ca="1" si="30"/>
        <v>5438065.3777275411</v>
      </c>
      <c r="M70" s="779">
        <f t="shared" ca="1" si="30"/>
        <v>5919215.8979185577</v>
      </c>
      <c r="N70" s="781">
        <f t="shared" ca="1" si="30"/>
        <v>6681006.3786623934</v>
      </c>
      <c r="O70" s="779">
        <f t="shared" ca="1" si="30"/>
        <v>6410368.6393832015</v>
      </c>
      <c r="P70" s="779">
        <f t="shared" ca="1" si="30"/>
        <v>6837550.0728807859</v>
      </c>
      <c r="Q70" s="779">
        <f t="shared" ca="1" si="30"/>
        <v>7399946.0354176387</v>
      </c>
      <c r="R70" s="779">
        <f t="shared" ca="1" si="30"/>
        <v>8397617.3979726695</v>
      </c>
      <c r="S70" s="221"/>
      <c r="T70" s="779">
        <f t="shared" si="30"/>
        <v>3703298</v>
      </c>
      <c r="U70" s="779">
        <f t="shared" si="30"/>
        <v>4173971</v>
      </c>
      <c r="V70" s="780">
        <f t="shared" si="30"/>
        <v>5358097</v>
      </c>
      <c r="W70" s="779">
        <f t="shared" ca="1" si="30"/>
        <v>6681006.3786623934</v>
      </c>
      <c r="X70" s="779">
        <f t="shared" ca="1" si="30"/>
        <v>8397617.3979726695</v>
      </c>
      <c r="Y70" s="779">
        <f t="shared" ca="1" si="30"/>
        <v>9293546.9055948704</v>
      </c>
      <c r="Z70" s="779">
        <f t="shared" ca="1" si="30"/>
        <v>9875776.2025613431</v>
      </c>
      <c r="AA70" s="779">
        <f t="shared" ca="1" si="30"/>
        <v>10927470.552337386</v>
      </c>
      <c r="AB70" s="23"/>
      <c r="AC70" s="23"/>
      <c r="AD70" s="23"/>
      <c r="AE70" s="23"/>
    </row>
    <row r="71" spans="1:31" ht="5.0999999999999996" customHeight="1">
      <c r="A71" s="146"/>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spans="1:31" ht="15.75" thickBot="1">
      <c r="A72" s="146"/>
      <c r="B72" s="23"/>
      <c r="C72" s="193"/>
      <c r="D72" s="193"/>
      <c r="E72" s="193"/>
      <c r="F72" s="193"/>
      <c r="G72" s="194" t="str">
        <f>G$5</f>
        <v>Quarterly</v>
      </c>
      <c r="H72" s="194"/>
      <c r="I72" s="194"/>
      <c r="J72" s="194"/>
      <c r="K72" s="194"/>
      <c r="L72" s="194"/>
      <c r="M72" s="194"/>
      <c r="N72" s="194"/>
      <c r="O72" s="194"/>
      <c r="P72" s="194"/>
      <c r="Q72" s="194"/>
      <c r="R72" s="194"/>
      <c r="S72" s="195"/>
      <c r="T72" s="194" t="str">
        <f>T$31</f>
        <v>Annuals</v>
      </c>
      <c r="U72" s="194"/>
      <c r="V72" s="194"/>
      <c r="W72" s="194"/>
      <c r="X72" s="194"/>
      <c r="Y72" s="194"/>
      <c r="Z72" s="194"/>
      <c r="AA72" s="194"/>
      <c r="AB72" s="23"/>
      <c r="AC72" s="23"/>
      <c r="AD72" s="23"/>
      <c r="AE72" s="23"/>
    </row>
    <row r="73" spans="1:31" ht="15">
      <c r="A73" s="146" t="s">
        <v>1</v>
      </c>
      <c r="B73" s="23"/>
      <c r="C73" s="193" t="s">
        <v>457</v>
      </c>
      <c r="D73" s="193"/>
      <c r="E73" s="193"/>
      <c r="F73" s="193"/>
      <c r="G73" s="510" t="str">
        <f>G$6</f>
        <v>1Q25</v>
      </c>
      <c r="H73" s="510" t="str">
        <f t="shared" ref="H73:AA73" si="31">H$6</f>
        <v>2Q25</v>
      </c>
      <c r="I73" s="510" t="str">
        <f t="shared" si="31"/>
        <v>3Q25</v>
      </c>
      <c r="J73" s="510" t="str">
        <f t="shared" si="31"/>
        <v>4Q25</v>
      </c>
      <c r="K73" s="510" t="str">
        <f t="shared" si="31"/>
        <v>1Q26</v>
      </c>
      <c r="L73" s="510" t="str">
        <f t="shared" si="31"/>
        <v>2Q26e</v>
      </c>
      <c r="M73" s="510" t="str">
        <f t="shared" si="31"/>
        <v>3Q26e</v>
      </c>
      <c r="N73" s="510" t="str">
        <f t="shared" si="31"/>
        <v>4Q26e</v>
      </c>
      <c r="O73" s="510" t="str">
        <f t="shared" si="31"/>
        <v>1Q27e</v>
      </c>
      <c r="P73" s="510" t="str">
        <f t="shared" si="31"/>
        <v>2Q27e</v>
      </c>
      <c r="Q73" s="510" t="str">
        <f t="shared" si="31"/>
        <v>3Q27e</v>
      </c>
      <c r="R73" s="510" t="str">
        <f t="shared" si="31"/>
        <v>4Q27e</v>
      </c>
      <c r="S73" s="510"/>
      <c r="T73" s="510">
        <f t="shared" si="31"/>
        <v>2023</v>
      </c>
      <c r="U73" s="510">
        <f t="shared" si="31"/>
        <v>2024</v>
      </c>
      <c r="V73" s="510">
        <f t="shared" si="31"/>
        <v>2025</v>
      </c>
      <c r="W73" s="510" t="str">
        <f t="shared" si="31"/>
        <v>2026e</v>
      </c>
      <c r="X73" s="510" t="str">
        <f t="shared" si="31"/>
        <v>2027e</v>
      </c>
      <c r="Y73" s="510" t="str">
        <f t="shared" si="31"/>
        <v>2028e</v>
      </c>
      <c r="Z73" s="510" t="str">
        <f t="shared" si="31"/>
        <v>2029e</v>
      </c>
      <c r="AA73" s="510" t="str">
        <f t="shared" si="31"/>
        <v>2030e</v>
      </c>
      <c r="AB73" s="23"/>
      <c r="AC73" s="23"/>
      <c r="AD73" s="23"/>
      <c r="AE73" s="23"/>
    </row>
    <row r="74" spans="1:31" ht="5.0999999999999996" customHeight="1">
      <c r="A74" s="146"/>
      <c r="B74" s="23"/>
      <c r="C74" s="163"/>
      <c r="D74" s="163"/>
      <c r="E74" s="163"/>
      <c r="F74" s="163"/>
      <c r="G74" s="782"/>
      <c r="H74" s="782"/>
      <c r="I74" s="782"/>
      <c r="J74" s="782"/>
      <c r="K74" s="782"/>
      <c r="L74" s="782"/>
      <c r="M74" s="782"/>
      <c r="N74" s="783"/>
      <c r="O74" s="783"/>
      <c r="P74" s="783"/>
      <c r="Q74" s="783"/>
      <c r="R74" s="783"/>
      <c r="S74" s="23"/>
      <c r="T74" s="23"/>
      <c r="U74" s="23"/>
      <c r="V74" s="23"/>
      <c r="W74" s="23"/>
      <c r="X74" s="23"/>
      <c r="Y74" s="23"/>
      <c r="Z74" s="23"/>
      <c r="AA74" s="23"/>
      <c r="AB74" s="23"/>
      <c r="AC74" s="23"/>
      <c r="AD74" s="23"/>
      <c r="AE74" s="23"/>
    </row>
    <row r="75" spans="1:31" ht="15">
      <c r="A75" s="146"/>
      <c r="B75" s="23"/>
      <c r="C75" s="155" t="s">
        <v>570</v>
      </c>
      <c r="D75" s="155"/>
      <c r="E75" s="155"/>
      <c r="F75" s="23"/>
      <c r="G75" s="23"/>
      <c r="H75" s="23"/>
      <c r="I75" s="23"/>
      <c r="J75" s="201"/>
      <c r="K75" s="23"/>
      <c r="L75" s="23"/>
      <c r="M75" s="23"/>
      <c r="N75" s="202"/>
      <c r="O75" s="23"/>
      <c r="P75" s="23"/>
      <c r="Q75" s="23"/>
      <c r="R75" s="23"/>
      <c r="S75" s="23"/>
      <c r="T75" s="23"/>
      <c r="U75" s="23"/>
      <c r="V75" s="201"/>
      <c r="W75" s="23"/>
      <c r="X75" s="23"/>
      <c r="Y75" s="23"/>
      <c r="Z75" s="23"/>
      <c r="AA75" s="23"/>
      <c r="AB75" s="23"/>
      <c r="AC75" s="23"/>
      <c r="AD75" s="23"/>
      <c r="AE75" s="23"/>
    </row>
    <row r="76" spans="1:31" ht="15">
      <c r="A76" s="146"/>
      <c r="B76" s="23"/>
      <c r="C76" s="28" t="s">
        <v>58</v>
      </c>
      <c r="D76" s="23"/>
      <c r="E76" s="23"/>
      <c r="F76" s="23"/>
      <c r="G76" s="222">
        <f t="shared" ref="G76:R76" si="32">G12</f>
        <v>1</v>
      </c>
      <c r="H76" s="222">
        <f t="shared" si="32"/>
        <v>1</v>
      </c>
      <c r="I76" s="222">
        <f t="shared" si="32"/>
        <v>1</v>
      </c>
      <c r="J76" s="223">
        <f t="shared" si="32"/>
        <v>1</v>
      </c>
      <c r="K76" s="222">
        <f t="shared" si="32"/>
        <v>1</v>
      </c>
      <c r="L76" s="222">
        <f t="shared" si="32"/>
        <v>1</v>
      </c>
      <c r="M76" s="222">
        <f t="shared" si="32"/>
        <v>1</v>
      </c>
      <c r="N76" s="224">
        <f t="shared" si="32"/>
        <v>1</v>
      </c>
      <c r="O76" s="222">
        <f t="shared" si="32"/>
        <v>1</v>
      </c>
      <c r="P76" s="222">
        <f t="shared" si="32"/>
        <v>1</v>
      </c>
      <c r="Q76" s="222">
        <f t="shared" si="32"/>
        <v>1</v>
      </c>
      <c r="R76" s="222">
        <f t="shared" si="32"/>
        <v>1</v>
      </c>
      <c r="S76" s="23"/>
      <c r="T76" s="222">
        <f t="shared" ref="T76:AA76" si="33">T12</f>
        <v>1</v>
      </c>
      <c r="U76" s="222">
        <f t="shared" si="33"/>
        <v>1</v>
      </c>
      <c r="V76" s="223">
        <f t="shared" si="33"/>
        <v>1</v>
      </c>
      <c r="W76" s="222">
        <f t="shared" si="33"/>
        <v>1</v>
      </c>
      <c r="X76" s="222">
        <f t="shared" si="33"/>
        <v>1</v>
      </c>
      <c r="Y76" s="222">
        <f t="shared" si="33"/>
        <v>1</v>
      </c>
      <c r="Z76" s="222">
        <f t="shared" si="33"/>
        <v>1</v>
      </c>
      <c r="AA76" s="222">
        <f t="shared" si="33"/>
        <v>1</v>
      </c>
      <c r="AB76" s="23"/>
      <c r="AC76" s="23"/>
      <c r="AD76" s="23"/>
      <c r="AE76" s="23"/>
    </row>
    <row r="77" spans="1:31" ht="15">
      <c r="A77" s="146"/>
      <c r="B77" s="23"/>
      <c r="C77" s="28" t="s">
        <v>357</v>
      </c>
      <c r="D77" s="23"/>
      <c r="E77" s="23"/>
      <c r="F77" s="23"/>
      <c r="G77" s="222">
        <f t="shared" ref="G77:R77" si="34">G28</f>
        <v>0.1736039781294437</v>
      </c>
      <c r="H77" s="222">
        <f t="shared" si="34"/>
        <v>0.19217340461075844</v>
      </c>
      <c r="I77" s="222">
        <f t="shared" si="34"/>
        <v>0.22100700386426692</v>
      </c>
      <c r="J77" s="223">
        <f t="shared" si="34"/>
        <v>0.25688651285862757</v>
      </c>
      <c r="K77" s="222">
        <f t="shared" si="34"/>
        <v>0.25138364362224369</v>
      </c>
      <c r="L77" s="222">
        <f t="shared" si="34"/>
        <v>0.21000000000000002</v>
      </c>
      <c r="M77" s="222">
        <f t="shared" si="34"/>
        <v>0.22050000000000003</v>
      </c>
      <c r="N77" s="224">
        <f t="shared" si="34"/>
        <v>0.24550000000000002</v>
      </c>
      <c r="O77" s="222">
        <f t="shared" ca="1" si="34"/>
        <v>0.20494872414991602</v>
      </c>
      <c r="P77" s="222">
        <f t="shared" ca="1" si="34"/>
        <v>0.21551143022591532</v>
      </c>
      <c r="Q77" s="222">
        <f t="shared" ca="1" si="34"/>
        <v>0.22855827845998819</v>
      </c>
      <c r="R77" s="222">
        <f t="shared" ca="1" si="34"/>
        <v>0.24960681215573505</v>
      </c>
      <c r="S77" s="23"/>
      <c r="T77" s="222">
        <f t="shared" ref="T77:AA77" si="35">T28</f>
        <v>0.16383738095998387</v>
      </c>
      <c r="U77" s="222">
        <f t="shared" ca="1" si="35"/>
        <v>0.18961333430784874</v>
      </c>
      <c r="V77" s="223">
        <f t="shared" si="35"/>
        <v>0.21823316196247297</v>
      </c>
      <c r="W77" s="222">
        <f t="shared" si="35"/>
        <v>0.23229448827676821</v>
      </c>
      <c r="X77" s="222">
        <f t="shared" ca="1" si="35"/>
        <v>0.22747707416430354</v>
      </c>
      <c r="Y77" s="222">
        <f t="shared" ca="1" si="35"/>
        <v>0.23018625260453726</v>
      </c>
      <c r="Z77" s="222">
        <f t="shared" ca="1" si="35"/>
        <v>0.2150822713146491</v>
      </c>
      <c r="AA77" s="222">
        <f t="shared" ca="1" si="35"/>
        <v>0.27981607532926883</v>
      </c>
      <c r="AB77" s="23"/>
      <c r="AC77" s="23"/>
      <c r="AD77" s="23"/>
      <c r="AE77" s="23"/>
    </row>
    <row r="78" spans="1:31" ht="15">
      <c r="A78" s="146"/>
      <c r="B78" s="23"/>
      <c r="C78" s="28" t="s">
        <v>499</v>
      </c>
      <c r="D78" s="23"/>
      <c r="E78" s="23"/>
      <c r="F78" s="23"/>
      <c r="G78" s="222">
        <f t="shared" ref="G78:R78" si="36">G16</f>
        <v>0.16505489097624967</v>
      </c>
      <c r="H78" s="222">
        <f t="shared" si="36"/>
        <v>0.18447687461219034</v>
      </c>
      <c r="I78" s="222">
        <f t="shared" si="36"/>
        <v>0.21349644453027455</v>
      </c>
      <c r="J78" s="223">
        <f t="shared" si="36"/>
        <v>0.24742256913497626</v>
      </c>
      <c r="K78" s="222">
        <f t="shared" si="36"/>
        <v>0.2425023331469672</v>
      </c>
      <c r="L78" s="222">
        <f t="shared" si="36"/>
        <v>0.204540131888758</v>
      </c>
      <c r="M78" s="222">
        <f t="shared" si="36"/>
        <v>0.21530490647379988</v>
      </c>
      <c r="N78" s="224">
        <f t="shared" si="36"/>
        <v>0.24110394872289251</v>
      </c>
      <c r="O78" s="222">
        <f t="shared" si="36"/>
        <v>0.20478149050405736</v>
      </c>
      <c r="P78" s="222">
        <f t="shared" si="36"/>
        <v>0.21511078421766947</v>
      </c>
      <c r="Q78" s="222">
        <f t="shared" si="36"/>
        <v>0.22795740648741769</v>
      </c>
      <c r="R78" s="222">
        <f t="shared" si="36"/>
        <v>0.24894361460760864</v>
      </c>
      <c r="S78" s="23"/>
      <c r="T78" s="222">
        <f t="shared" ref="T78:AA78" si="37">T16</f>
        <v>0.15386958347968982</v>
      </c>
      <c r="U78" s="222">
        <f t="shared" ca="1" si="37"/>
        <v>0.18144742906478892</v>
      </c>
      <c r="V78" s="223">
        <f t="shared" si="37"/>
        <v>0.20984236423747527</v>
      </c>
      <c r="W78" s="222">
        <f t="shared" si="37"/>
        <v>0.22652642932905109</v>
      </c>
      <c r="X78" s="222">
        <f t="shared" si="37"/>
        <v>0.22699041548818169</v>
      </c>
      <c r="Y78" s="222">
        <f t="shared" si="37"/>
        <v>0.22783399783116465</v>
      </c>
      <c r="Z78" s="222">
        <f t="shared" si="37"/>
        <v>0.21123862624809245</v>
      </c>
      <c r="AA78" s="222">
        <f t="shared" si="37"/>
        <v>0.2745806362746166</v>
      </c>
      <c r="AB78" s="23"/>
      <c r="AC78" s="23"/>
      <c r="AD78" s="23"/>
      <c r="AE78" s="23"/>
    </row>
    <row r="79" spans="1:31" ht="15">
      <c r="A79" s="146"/>
      <c r="B79" s="23"/>
      <c r="C79" s="28" t="s">
        <v>571</v>
      </c>
      <c r="D79" s="23"/>
      <c r="E79" s="23"/>
      <c r="F79" s="23"/>
      <c r="G79" s="222">
        <f t="shared" ref="G79:R79" si="38">G20</f>
        <v>0.22000738174191942</v>
      </c>
      <c r="H79" s="222">
        <f t="shared" si="38"/>
        <v>0.1276060808553291</v>
      </c>
      <c r="I79" s="222">
        <f t="shared" si="38"/>
        <v>0.15056874131209166</v>
      </c>
      <c r="J79" s="223">
        <f t="shared" si="38"/>
        <v>0.17153369086866282</v>
      </c>
      <c r="K79" s="222">
        <f t="shared" si="38"/>
        <v>0.23043780333588249</v>
      </c>
      <c r="L79" s="222">
        <f t="shared" ca="1" si="38"/>
        <v>0.14969056021393987</v>
      </c>
      <c r="M79" s="222">
        <f t="shared" ca="1" si="38"/>
        <v>0.16138841616487071</v>
      </c>
      <c r="N79" s="224">
        <f t="shared" ca="1" si="38"/>
        <v>0.17832249838259437</v>
      </c>
      <c r="O79" s="222">
        <f t="shared" ca="1" si="38"/>
        <v>0.18374208043337534</v>
      </c>
      <c r="P79" s="222">
        <f t="shared" ca="1" si="38"/>
        <v>0.15902700261274211</v>
      </c>
      <c r="Q79" s="222">
        <f t="shared" ca="1" si="38"/>
        <v>0.16889792103574475</v>
      </c>
      <c r="R79" s="222">
        <f t="shared" ca="1" si="38"/>
        <v>0.18509733724921815</v>
      </c>
      <c r="S79" s="23"/>
      <c r="T79" s="222">
        <f t="shared" ref="T79:AA79" si="39">T20</f>
        <v>0.1167670897290092</v>
      </c>
      <c r="U79" s="222">
        <f t="shared" ca="1" si="39"/>
        <v>0.13941477679091405</v>
      </c>
      <c r="V79" s="223">
        <f t="shared" si="39"/>
        <v>0.16512709518659904</v>
      </c>
      <c r="W79" s="222">
        <f t="shared" ca="1" si="39"/>
        <v>0.17828326151539664</v>
      </c>
      <c r="X79" s="222">
        <f t="shared" ca="1" si="39"/>
        <v>0.17486762919362153</v>
      </c>
      <c r="Y79" s="222">
        <f t="shared" ca="1" si="39"/>
        <v>0.17203622721129042</v>
      </c>
      <c r="Z79" s="222">
        <f t="shared" ca="1" si="39"/>
        <v>0.15936913053589505</v>
      </c>
      <c r="AA79" s="222">
        <f t="shared" ca="1" si="39"/>
        <v>0.2079699191805788</v>
      </c>
      <c r="AB79" s="23"/>
      <c r="AC79" s="23"/>
      <c r="AD79" s="23"/>
      <c r="AE79" s="23"/>
    </row>
    <row r="80" spans="1:31" ht="15">
      <c r="A80" s="146"/>
      <c r="B80" s="23"/>
      <c r="C80" s="28" t="s">
        <v>572</v>
      </c>
      <c r="D80" s="23"/>
      <c r="E80" s="23"/>
      <c r="F80" s="23"/>
      <c r="G80" s="222">
        <f t="shared" ref="G80:R80" si="40">G19/G46</f>
        <v>4.701455008460418E-2</v>
      </c>
      <c r="H80" s="222">
        <f t="shared" si="40"/>
        <v>2.8983437222789423E-2</v>
      </c>
      <c r="I80" s="222">
        <f t="shared" si="40"/>
        <v>3.5614029613006602E-2</v>
      </c>
      <c r="J80" s="223">
        <f t="shared" si="40"/>
        <v>4.152295115224678E-2</v>
      </c>
      <c r="K80" s="222">
        <f t="shared" si="40"/>
        <v>7.4803101240927497E-2</v>
      </c>
      <c r="L80" s="222">
        <f t="shared" ca="1" si="40"/>
        <v>4.2442025789569078E-2</v>
      </c>
      <c r="M80" s="222">
        <f t="shared" ca="1" si="40"/>
        <v>4.6861488000335294E-2</v>
      </c>
      <c r="N80" s="224">
        <f t="shared" ca="1" si="40"/>
        <v>5.6417425867078964E-2</v>
      </c>
      <c r="O80" s="222">
        <f t="shared" ca="1" si="40"/>
        <v>4.4998939491812606E-2</v>
      </c>
      <c r="P80" s="222">
        <f t="shared" ca="1" si="40"/>
        <v>4.0256384657792861E-2</v>
      </c>
      <c r="Q80" s="222">
        <f t="shared" ca="1" si="40"/>
        <v>4.3877420372639177E-2</v>
      </c>
      <c r="R80" s="222">
        <f t="shared" ca="1" si="40"/>
        <v>5.3785143764500422E-2</v>
      </c>
      <c r="S80" s="23"/>
      <c r="T80" s="222">
        <f t="shared" ref="T80:AA80" si="41">T19/T46</f>
        <v>7.7018646622551035E-2</v>
      </c>
      <c r="U80" s="222">
        <f t="shared" ca="1" si="41"/>
        <v>0.10008143324426547</v>
      </c>
      <c r="V80" s="223">
        <f t="shared" si="41"/>
        <v>0.11957734247812236</v>
      </c>
      <c r="W80" s="222">
        <f t="shared" ca="1" si="41"/>
        <v>0.18078593095222686</v>
      </c>
      <c r="X80" s="222">
        <f t="shared" ca="1" si="41"/>
        <v>0.15957769624729956</v>
      </c>
      <c r="Y80" s="222">
        <f t="shared" ca="1" si="41"/>
        <v>0.1461297746557966</v>
      </c>
      <c r="Z80" s="222">
        <f t="shared" ca="1" si="41"/>
        <v>0.12469584870425078</v>
      </c>
      <c r="AA80" s="222">
        <f t="shared" ca="1" si="41"/>
        <v>0.13951014587167393</v>
      </c>
      <c r="AB80" s="23"/>
      <c r="AC80" s="23"/>
      <c r="AD80" s="23"/>
      <c r="AE80" s="23"/>
    </row>
    <row r="81" spans="1:31" ht="15">
      <c r="A81" s="146"/>
      <c r="B81" s="23"/>
      <c r="C81" s="28" t="s">
        <v>573</v>
      </c>
      <c r="D81" s="23"/>
      <c r="E81" s="23"/>
      <c r="F81" s="23"/>
      <c r="G81" s="222">
        <f t="shared" ref="G81:R81" si="42">G19*4/G68</f>
        <v>0.35118787660812201</v>
      </c>
      <c r="H81" s="222">
        <f t="shared" si="42"/>
        <v>0.22296447109034481</v>
      </c>
      <c r="I81" s="222">
        <f t="shared" si="42"/>
        <v>0.30205114927648802</v>
      </c>
      <c r="J81" s="223">
        <f t="shared" si="42"/>
        <v>0.38361526053659994</v>
      </c>
      <c r="K81" s="222">
        <f t="shared" si="42"/>
        <v>0.61806156369742238</v>
      </c>
      <c r="L81" s="222">
        <f t="shared" ca="1" si="42"/>
        <v>0.40395206851492216</v>
      </c>
      <c r="M81" s="222">
        <f t="shared" ca="1" si="42"/>
        <v>0.43611271012690594</v>
      </c>
      <c r="N81" s="224">
        <f t="shared" ca="1" si="42"/>
        <v>0.51370378689713603</v>
      </c>
      <c r="O81" s="222">
        <f t="shared" ca="1" si="42"/>
        <v>0.36153471963703759</v>
      </c>
      <c r="P81" s="222">
        <f t="shared" ca="1" si="42"/>
        <v>0.31941569985599155</v>
      </c>
      <c r="Q81" s="222">
        <f t="shared" ca="1" si="42"/>
        <v>0.34464174718446994</v>
      </c>
      <c r="R81" s="222">
        <f t="shared" ca="1" si="42"/>
        <v>0.42409517063088092</v>
      </c>
      <c r="S81" s="23"/>
      <c r="T81" s="222">
        <f t="shared" ref="T81:AA81" si="43">T19/T68</f>
        <v>0.16001380091893924</v>
      </c>
      <c r="U81" s="222">
        <f t="shared" ca="1" si="43"/>
        <v>0.21512786022098992</v>
      </c>
      <c r="V81" s="223">
        <f t="shared" si="43"/>
        <v>0.27618276228023514</v>
      </c>
      <c r="W81" s="222">
        <f t="shared" ca="1" si="43"/>
        <v>0.41153250046664835</v>
      </c>
      <c r="X81" s="222">
        <f t="shared" ca="1" si="43"/>
        <v>0.31456702344797566</v>
      </c>
      <c r="Y81" s="222">
        <f t="shared" ca="1" si="43"/>
        <v>0.23679930053514661</v>
      </c>
      <c r="Z81" s="222">
        <f t="shared" ca="1" si="43"/>
        <v>0.1744200886728684</v>
      </c>
      <c r="AA81" s="222">
        <f t="shared" ca="1" si="43"/>
        <v>0.17654799169910981</v>
      </c>
      <c r="AB81" s="23"/>
      <c r="AC81" s="23"/>
      <c r="AD81" s="23"/>
      <c r="AE81" s="23"/>
    </row>
    <row r="82" spans="1:31" ht="15">
      <c r="A82" s="146"/>
      <c r="B82" s="23"/>
      <c r="C82" s="28" t="s">
        <v>574</v>
      </c>
      <c r="D82" s="23"/>
      <c r="E82" s="23"/>
      <c r="F82" s="23"/>
      <c r="G82" s="222">
        <f t="shared" ref="G82:S82" si="44">G19*4/(G53+G54+G68)</f>
        <v>0.28925429419149767</v>
      </c>
      <c r="H82" s="222">
        <f t="shared" si="44"/>
        <v>0.18632670813784369</v>
      </c>
      <c r="I82" s="222">
        <f t="shared" si="44"/>
        <v>0.23989827925452006</v>
      </c>
      <c r="J82" s="223">
        <f t="shared" si="44"/>
        <v>0.31115457487809028</v>
      </c>
      <c r="K82" s="222">
        <f t="shared" si="44"/>
        <v>0.49113854699716553</v>
      </c>
      <c r="L82" s="222">
        <f t="shared" ca="1" si="44"/>
        <v>0.32674293368956675</v>
      </c>
      <c r="M82" s="222">
        <f t="shared" ca="1" si="44"/>
        <v>0.35979504835336096</v>
      </c>
      <c r="N82" s="224">
        <f t="shared" ca="1" si="44"/>
        <v>0.4339068880924169</v>
      </c>
      <c r="O82" s="222">
        <f t="shared" ca="1" si="44"/>
        <v>0.30925303243820806</v>
      </c>
      <c r="P82" s="222">
        <f t="shared" ca="1" si="44"/>
        <v>0.27616424423744668</v>
      </c>
      <c r="Q82" s="222">
        <f t="shared" ca="1" si="44"/>
        <v>0.30148450879316746</v>
      </c>
      <c r="R82" s="222">
        <f t="shared" ca="1" si="44"/>
        <v>0.37642036595416112</v>
      </c>
      <c r="S82" s="222" t="e">
        <f t="shared" si="44"/>
        <v>#DIV/0!</v>
      </c>
      <c r="T82" s="222">
        <f t="shared" ref="T82:AA82" si="45">T19/(T53+T54+T68)</f>
        <v>0.13226966552663613</v>
      </c>
      <c r="U82" s="222">
        <f t="shared" ca="1" si="45"/>
        <v>0.18039316786306361</v>
      </c>
      <c r="V82" s="223">
        <f t="shared" si="45"/>
        <v>0.22401488894304378</v>
      </c>
      <c r="W82" s="222">
        <f t="shared" ca="1" si="45"/>
        <v>0.34760652185367424</v>
      </c>
      <c r="X82" s="222">
        <f t="shared" ca="1" si="45"/>
        <v>0.27920486316138232</v>
      </c>
      <c r="Y82" s="222">
        <f t="shared" ca="1" si="45"/>
        <v>0.20741442220558046</v>
      </c>
      <c r="Z82" s="222">
        <f t="shared" ca="1" si="45"/>
        <v>0.16206287073823769</v>
      </c>
      <c r="AA82" s="222">
        <f t="shared" ca="1" si="45"/>
        <v>0.16619793836636018</v>
      </c>
      <c r="AB82" s="23"/>
      <c r="AC82" s="23"/>
      <c r="AD82" s="23"/>
      <c r="AE82" s="23"/>
    </row>
    <row r="83" spans="1:31" ht="15">
      <c r="A83" s="146"/>
      <c r="B83" s="23"/>
      <c r="C83" s="23"/>
      <c r="D83" s="23"/>
      <c r="E83" s="23"/>
      <c r="F83" s="23"/>
      <c r="G83" s="23"/>
      <c r="H83" s="23"/>
      <c r="I83" s="23"/>
      <c r="J83" s="201"/>
      <c r="K83" s="23"/>
      <c r="L83" s="23"/>
      <c r="M83" s="23"/>
      <c r="N83" s="202"/>
      <c r="O83" s="23"/>
      <c r="P83" s="23"/>
      <c r="Q83" s="23"/>
      <c r="R83" s="23"/>
      <c r="S83" s="23"/>
      <c r="T83" s="23"/>
      <c r="U83" s="23"/>
      <c r="V83" s="201"/>
      <c r="W83" s="23"/>
      <c r="X83" s="23"/>
      <c r="Y83" s="23"/>
      <c r="Z83" s="23"/>
      <c r="AA83" s="23"/>
      <c r="AB83" s="23"/>
      <c r="AC83" s="23"/>
      <c r="AD83" s="23"/>
      <c r="AE83" s="23"/>
    </row>
    <row r="84" spans="1:31" ht="15">
      <c r="A84" s="146"/>
      <c r="B84" s="23"/>
      <c r="C84" s="155" t="s">
        <v>575</v>
      </c>
      <c r="D84" s="155"/>
      <c r="E84" s="155"/>
      <c r="F84" s="23"/>
      <c r="G84" s="23"/>
      <c r="H84" s="23"/>
      <c r="I84" s="23"/>
      <c r="J84" s="201"/>
      <c r="K84" s="23"/>
      <c r="L84" s="23"/>
      <c r="M84" s="23"/>
      <c r="N84" s="202"/>
      <c r="O84" s="23"/>
      <c r="P84" s="23"/>
      <c r="Q84" s="23"/>
      <c r="R84" s="23"/>
      <c r="S84" s="23"/>
      <c r="T84" s="23"/>
      <c r="U84" s="23"/>
      <c r="V84" s="201"/>
      <c r="W84" s="23"/>
      <c r="X84" s="23"/>
      <c r="Y84" s="23"/>
      <c r="Z84" s="23"/>
      <c r="AA84" s="23"/>
      <c r="AB84" s="23"/>
      <c r="AC84" s="23"/>
      <c r="AD84" s="23"/>
      <c r="AE84" s="23"/>
    </row>
    <row r="85" spans="1:31" ht="15">
      <c r="A85" s="146"/>
      <c r="B85" s="23"/>
      <c r="C85" s="28" t="s">
        <v>569</v>
      </c>
      <c r="D85" s="23"/>
      <c r="E85" s="23"/>
      <c r="F85" s="23"/>
      <c r="G85" s="208">
        <f>-Model!P40</f>
        <v>4193</v>
      </c>
      <c r="H85" s="208">
        <f>-Model!Q40</f>
        <v>4210</v>
      </c>
      <c r="I85" s="208">
        <f>-Model!R40</f>
        <v>7110</v>
      </c>
      <c r="J85" s="209">
        <f>-Model!S40</f>
        <v>8751</v>
      </c>
      <c r="K85" s="208">
        <f>-Model!U40</f>
        <v>8891</v>
      </c>
      <c r="L85" s="208">
        <f ca="1">-Model!V40</f>
        <v>9178.2830000000013</v>
      </c>
      <c r="M85" s="208">
        <f ca="1">-Model!W40</f>
        <v>9177.4330000000009</v>
      </c>
      <c r="N85" s="210">
        <f ca="1">-Model!X40</f>
        <v>9174.8829999999998</v>
      </c>
      <c r="O85" s="211">
        <f ca="1">-Model!Z40</f>
        <v>6071.0512499999995</v>
      </c>
      <c r="P85" s="211">
        <f ca="1">-Model!AA40</f>
        <v>6071.6137499999995</v>
      </c>
      <c r="Q85" s="211">
        <f ca="1">-Model!AB40</f>
        <v>6071.0512499999995</v>
      </c>
      <c r="R85" s="211">
        <f ca="1">-Model!AC40</f>
        <v>6069.3637499999995</v>
      </c>
      <c r="S85" s="23"/>
      <c r="T85" s="211">
        <f>-Model!J40</f>
        <v>16717</v>
      </c>
      <c r="U85" s="211">
        <f>-Model!O40</f>
        <v>16768</v>
      </c>
      <c r="V85" s="212">
        <f>-Model!T40</f>
        <v>24264</v>
      </c>
      <c r="W85" s="211">
        <f ca="1">-Model!Y40</f>
        <v>36421.599000000002</v>
      </c>
      <c r="X85" s="211">
        <f ca="1">-Model!AD40</f>
        <v>24283.079999999998</v>
      </c>
      <c r="Y85" s="211">
        <f ca="1">-Model!AE40</f>
        <v>27396.650921907269</v>
      </c>
      <c r="Z85" s="211">
        <f ca="1">-Model!AF40</f>
        <v>27372.650921907269</v>
      </c>
      <c r="AA85" s="211">
        <f ca="1">-Model!AG40</f>
        <v>21521.96</v>
      </c>
      <c r="AB85" s="23"/>
      <c r="AC85" s="23"/>
      <c r="AD85" s="23"/>
      <c r="AE85" s="23"/>
    </row>
    <row r="86" spans="1:31" ht="15">
      <c r="A86" s="146"/>
      <c r="B86" s="23"/>
      <c r="C86" s="28" t="s">
        <v>86</v>
      </c>
      <c r="D86" s="23"/>
      <c r="E86" s="23"/>
      <c r="F86" s="23"/>
      <c r="G86" s="213">
        <f>Model!P195</f>
        <v>19660</v>
      </c>
      <c r="H86" s="213">
        <f>Model!Q195</f>
        <v>26046</v>
      </c>
      <c r="I86" s="213">
        <f>Model!R195</f>
        <v>19434</v>
      </c>
      <c r="J86" s="214">
        <f>Model!S195</f>
        <v>8862</v>
      </c>
      <c r="K86" s="213">
        <f>Model!U195</f>
        <v>3103</v>
      </c>
      <c r="L86" s="213">
        <f>Model!V195</f>
        <v>23127.962512499998</v>
      </c>
      <c r="M86" s="213">
        <f>Model!W195</f>
        <v>25780.964151262498</v>
      </c>
      <c r="N86" s="215">
        <f>Model!X195</f>
        <v>31705.913625966052</v>
      </c>
      <c r="O86" s="216">
        <f>Model!Z195</f>
        <v>23548.752945715089</v>
      </c>
      <c r="P86" s="216">
        <f>Model!AA195</f>
        <v>25963.047909646648</v>
      </c>
      <c r="Q86" s="216">
        <f>Model!AB195</f>
        <v>28836.104755441171</v>
      </c>
      <c r="R86" s="216">
        <f>Model!AC195</f>
        <v>36602.395183656634</v>
      </c>
      <c r="S86" s="23"/>
      <c r="T86" s="216">
        <f>Model!J195</f>
        <v>55838</v>
      </c>
      <c r="U86" s="216">
        <f>Model!O195</f>
        <v>38792</v>
      </c>
      <c r="V86" s="217">
        <f>Model!T195</f>
        <v>74002</v>
      </c>
      <c r="W86" s="216">
        <f>Model!Y195</f>
        <v>83717.840289728541</v>
      </c>
      <c r="X86" s="216">
        <f>Model!AD195</f>
        <v>114950.30079445953</v>
      </c>
      <c r="Y86" s="216">
        <f>Model!AE195</f>
        <v>118410.86645660823</v>
      </c>
      <c r="Z86" s="216">
        <f>Model!AF195</f>
        <v>115907.16700129047</v>
      </c>
      <c r="AA86" s="216">
        <f>Model!AG195</f>
        <v>109955.30147616951</v>
      </c>
      <c r="AB86" s="23"/>
      <c r="AC86" s="23"/>
      <c r="AD86" s="23"/>
      <c r="AE86" s="23"/>
    </row>
    <row r="87" spans="1:31" ht="15">
      <c r="A87" s="146"/>
      <c r="B87" s="23"/>
      <c r="C87" s="28" t="s">
        <v>576</v>
      </c>
      <c r="D87" s="23"/>
      <c r="E87" s="23"/>
      <c r="F87" s="23"/>
      <c r="G87" s="225">
        <f>IF(ISERROR(G15/G85),"N/A",(G15/G85))</f>
        <v>27.516575244455044</v>
      </c>
      <c r="H87" s="225">
        <f t="shared" ref="H87:AA87" si="46">IF(ISERROR(H15/H85),"N/A",(H15/H85))</f>
        <v>36.721852731591447</v>
      </c>
      <c r="I87" s="225">
        <f t="shared" si="46"/>
        <v>31.408720112517582</v>
      </c>
      <c r="J87" s="226">
        <f t="shared" si="46"/>
        <v>36.671694663467029</v>
      </c>
      <c r="K87" s="225">
        <f t="shared" si="46"/>
        <v>38.197840512878194</v>
      </c>
      <c r="L87" s="225">
        <f t="shared" ca="1" si="46"/>
        <v>34.360794952062385</v>
      </c>
      <c r="M87" s="225">
        <f t="shared" ca="1" si="46"/>
        <v>40.321863970690998</v>
      </c>
      <c r="N87" s="227">
        <f t="shared" ca="1" si="46"/>
        <v>55.5460014991463</v>
      </c>
      <c r="O87" s="225">
        <f t="shared" ca="1" si="46"/>
        <v>52.954571118528527</v>
      </c>
      <c r="P87" s="225">
        <f t="shared" ca="1" si="46"/>
        <v>61.322868751601284</v>
      </c>
      <c r="Q87" s="225">
        <f t="shared" ca="1" si="46"/>
        <v>72.183035881414682</v>
      </c>
      <c r="R87" s="225">
        <f t="shared" ca="1" si="46"/>
        <v>100.08663110490077</v>
      </c>
      <c r="S87" s="23"/>
      <c r="T87" s="225">
        <f t="shared" si="46"/>
        <v>22.483220673565832</v>
      </c>
      <c r="U87" s="225">
        <f t="shared" ca="1" si="46"/>
        <v>32.423783396946568</v>
      </c>
      <c r="V87" s="226">
        <f t="shared" si="46"/>
        <v>33.556132542037588</v>
      </c>
      <c r="W87" s="225">
        <f t="shared" ca="1" si="46"/>
        <v>42.136243663371907</v>
      </c>
      <c r="X87" s="225">
        <f t="shared" ca="1" si="46"/>
        <v>71.634560738933814</v>
      </c>
      <c r="Y87" s="225">
        <f t="shared" ca="1" si="46"/>
        <v>65.647978088904992</v>
      </c>
      <c r="Z87" s="225">
        <f t="shared" ca="1" si="46"/>
        <v>59.631468893318846</v>
      </c>
      <c r="AA87" s="225">
        <f t="shared" ca="1" si="46"/>
        <v>93.521831162508477</v>
      </c>
      <c r="AB87" s="23"/>
      <c r="AC87" s="23"/>
      <c r="AD87" s="23"/>
      <c r="AE87" s="23"/>
    </row>
    <row r="88" spans="1:31" ht="15">
      <c r="A88" s="146"/>
      <c r="B88" s="23"/>
      <c r="C88" s="28" t="s">
        <v>577</v>
      </c>
      <c r="D88" s="23"/>
      <c r="E88" s="23"/>
      <c r="F88" s="23"/>
      <c r="G88" s="225">
        <f>IF(ISERROR(G27/G85),"N/A",(G27/G85))</f>
        <v>28.941807774862866</v>
      </c>
      <c r="H88" s="225">
        <f t="shared" ref="H88:AA88" si="47">IF(ISERROR(H27/H85),"N/A",(H27/H85))</f>
        <v>38.253919239904988</v>
      </c>
      <c r="I88" s="225">
        <f t="shared" si="47"/>
        <v>32.513642756680731</v>
      </c>
      <c r="J88" s="226">
        <f t="shared" si="47"/>
        <v>38.074391498114501</v>
      </c>
      <c r="K88" s="225">
        <f t="shared" si="47"/>
        <v>39.596783263974807</v>
      </c>
      <c r="L88" s="225">
        <f t="shared" ca="1" si="47"/>
        <v>35.278000817255254</v>
      </c>
      <c r="M88" s="225">
        <f t="shared" ca="1" si="47"/>
        <v>41.294790495725628</v>
      </c>
      <c r="N88" s="227">
        <f t="shared" ca="1" si="47"/>
        <v>56.558772431028395</v>
      </c>
      <c r="O88" s="225">
        <f t="shared" ca="1" si="47"/>
        <v>52.997816169491074</v>
      </c>
      <c r="P88" s="225">
        <f t="shared" ca="1" si="47"/>
        <v>61.437083214018251</v>
      </c>
      <c r="Q88" s="225">
        <f t="shared" ca="1" si="47"/>
        <v>72.373302843232338</v>
      </c>
      <c r="R88" s="225">
        <f t="shared" ca="1" si="47"/>
        <v>100.35326661774022</v>
      </c>
      <c r="S88" s="23"/>
      <c r="T88" s="225">
        <f t="shared" si="47"/>
        <v>23.93970209965903</v>
      </c>
      <c r="U88" s="225">
        <f t="shared" ca="1" si="47"/>
        <v>33.882991412213741</v>
      </c>
      <c r="V88" s="226">
        <f t="shared" si="47"/>
        <v>34.897914606000661</v>
      </c>
      <c r="W88" s="225">
        <f t="shared" ca="1" si="47"/>
        <v>43.209161900796005</v>
      </c>
      <c r="X88" s="225">
        <f t="shared" ca="1" si="47"/>
        <v>71.78814246800728</v>
      </c>
      <c r="Y88" s="225">
        <f t="shared" ca="1" si="47"/>
        <v>66.325755643141306</v>
      </c>
      <c r="Z88" s="225">
        <f t="shared" ca="1" si="47"/>
        <v>60.716508146292121</v>
      </c>
      <c r="AA88" s="225">
        <f t="shared" ca="1" si="47"/>
        <v>95.305015344662891</v>
      </c>
      <c r="AB88" s="23"/>
      <c r="AC88" s="23"/>
      <c r="AD88" s="23"/>
      <c r="AE88" s="23"/>
    </row>
    <row r="89" spans="1:31" ht="15">
      <c r="A89" s="146"/>
      <c r="B89" s="23"/>
      <c r="C89" s="28" t="s">
        <v>610</v>
      </c>
      <c r="D89" s="23"/>
      <c r="E89" s="23"/>
      <c r="F89" s="23"/>
      <c r="G89" s="225">
        <f>IF(ISERROR((G27-G86)/G85),"N/A",((G27-G86)/G85))</f>
        <v>24.253040782256143</v>
      </c>
      <c r="H89" s="225">
        <f t="shared" ref="H89:AA89" si="48">IF(ISERROR((H27-H86)/H85),"N/A",((H27-H86)/H85))</f>
        <v>32.067220902612824</v>
      </c>
      <c r="I89" s="225">
        <f t="shared" si="48"/>
        <v>29.780309423347397</v>
      </c>
      <c r="J89" s="226">
        <f t="shared" si="48"/>
        <v>37.061707233459032</v>
      </c>
      <c r="K89" s="225">
        <f t="shared" si="48"/>
        <v>39.247778652570013</v>
      </c>
      <c r="L89" s="225">
        <f t="shared" ca="1" si="48"/>
        <v>32.758143616022736</v>
      </c>
      <c r="M89" s="225">
        <f t="shared" ca="1" si="48"/>
        <v>38.485621074247703</v>
      </c>
      <c r="N89" s="227">
        <f t="shared" ca="1" si="48"/>
        <v>53.103042954590819</v>
      </c>
      <c r="O89" s="225">
        <f t="shared" ca="1" si="48"/>
        <v>49.118956977565276</v>
      </c>
      <c r="P89" s="225">
        <f t="shared" ca="1" si="48"/>
        <v>57.160946921645134</v>
      </c>
      <c r="Q89" s="225">
        <f t="shared" ca="1" si="48"/>
        <v>67.623531581551561</v>
      </c>
      <c r="R89" s="225">
        <f t="shared" ca="1" si="48"/>
        <v>94.322585859208218</v>
      </c>
      <c r="S89" s="23"/>
      <c r="T89" s="225">
        <f t="shared" si="48"/>
        <v>20.599509481366272</v>
      </c>
      <c r="U89" s="225">
        <f t="shared" ca="1" si="48"/>
        <v>31.569537213740457</v>
      </c>
      <c r="V89" s="226">
        <f t="shared" si="48"/>
        <v>31.848046488625123</v>
      </c>
      <c r="W89" s="225">
        <f t="shared" ca="1" si="48"/>
        <v>40.91058516094094</v>
      </c>
      <c r="X89" s="225">
        <f t="shared" ca="1" si="48"/>
        <v>67.054381314378517</v>
      </c>
      <c r="Y89" s="225">
        <f t="shared" ca="1" si="48"/>
        <v>62.003662888295743</v>
      </c>
      <c r="Z89" s="225">
        <f t="shared" ca="1" si="48"/>
        <v>56.482093023987474</v>
      </c>
      <c r="AA89" s="225">
        <f t="shared" ca="1" si="48"/>
        <v>90.19603356622963</v>
      </c>
      <c r="AB89" s="23"/>
      <c r="AC89" s="23"/>
      <c r="AD89" s="23"/>
      <c r="AE89" s="23"/>
    </row>
    <row r="90" spans="1:31" ht="15">
      <c r="A90" s="146"/>
      <c r="B90" s="23"/>
      <c r="C90" s="23"/>
      <c r="D90" s="23"/>
      <c r="E90" s="23"/>
      <c r="F90" s="23"/>
      <c r="G90" s="23"/>
      <c r="H90" s="23"/>
      <c r="I90" s="23"/>
      <c r="J90" s="201"/>
      <c r="K90" s="23"/>
      <c r="L90" s="23"/>
      <c r="M90" s="23"/>
      <c r="N90" s="202"/>
      <c r="O90" s="23"/>
      <c r="P90" s="23"/>
      <c r="Q90" s="23"/>
      <c r="R90" s="23"/>
      <c r="S90" s="23"/>
      <c r="T90" s="23"/>
      <c r="U90" s="23"/>
      <c r="V90" s="201"/>
      <c r="W90" s="23"/>
      <c r="X90" s="23"/>
      <c r="Y90" s="23"/>
      <c r="Z90" s="23"/>
      <c r="AA90" s="23"/>
      <c r="AB90" s="23"/>
      <c r="AC90" s="23"/>
      <c r="AD90" s="23"/>
      <c r="AE90" s="23"/>
    </row>
    <row r="91" spans="1:31" ht="15">
      <c r="A91" s="146"/>
      <c r="B91" s="23"/>
      <c r="C91" s="155" t="s">
        <v>578</v>
      </c>
      <c r="D91" s="155"/>
      <c r="E91" s="155"/>
      <c r="F91" s="23"/>
      <c r="G91" s="23"/>
      <c r="H91" s="23"/>
      <c r="I91" s="23"/>
      <c r="J91" s="201"/>
      <c r="K91" s="23"/>
      <c r="L91" s="23"/>
      <c r="M91" s="23"/>
      <c r="N91" s="202"/>
      <c r="O91" s="23"/>
      <c r="P91" s="23"/>
      <c r="Q91" s="23"/>
      <c r="R91" s="23"/>
      <c r="S91" s="23"/>
      <c r="T91" s="23"/>
      <c r="U91" s="23"/>
      <c r="V91" s="201"/>
      <c r="W91" s="23"/>
      <c r="X91" s="23"/>
      <c r="Y91" s="23"/>
      <c r="Z91" s="23"/>
      <c r="AA91" s="23"/>
      <c r="AB91" s="23"/>
      <c r="AC91" s="23"/>
      <c r="AD91" s="23"/>
      <c r="AE91" s="23"/>
    </row>
    <row r="92" spans="1:31" ht="15">
      <c r="A92" s="146"/>
      <c r="B92" s="23"/>
      <c r="C92" s="28" t="s">
        <v>579</v>
      </c>
      <c r="D92" s="23"/>
      <c r="E92" s="23"/>
      <c r="F92" s="23"/>
      <c r="G92" s="225">
        <f t="shared" ref="G92:R92" si="49">IF(ISERROR((G53+G54)/G27),"NA",((G53+G54)/G27))</f>
        <v>3.090611686567287</v>
      </c>
      <c r="H92" s="225">
        <f t="shared" si="49"/>
        <v>2.3423740600686749</v>
      </c>
      <c r="I92" s="225">
        <f t="shared" si="49"/>
        <v>2.3374500372017373</v>
      </c>
      <c r="J92" s="226">
        <f t="shared" si="49"/>
        <v>1.6214310796574918</v>
      </c>
      <c r="K92" s="225">
        <f t="shared" si="49"/>
        <v>1.5331382880515829</v>
      </c>
      <c r="L92" s="225">
        <f t="shared" ca="1" si="49"/>
        <v>1.6678913479983344</v>
      </c>
      <c r="M92" s="225">
        <f t="shared" ca="1" si="49"/>
        <v>1.4239504818803632</v>
      </c>
      <c r="N92" s="228">
        <f t="shared" ca="1" si="49"/>
        <v>1.0401388952399864</v>
      </c>
      <c r="O92" s="225">
        <f t="shared" ca="1" si="49"/>
        <v>1.6769071576981696</v>
      </c>
      <c r="P92" s="225">
        <f t="shared" ca="1" si="49"/>
        <v>1.447230066375413</v>
      </c>
      <c r="Q92" s="225">
        <f t="shared" ca="1" si="49"/>
        <v>1.2277447922691123</v>
      </c>
      <c r="R92" s="225">
        <f t="shared" ca="1" si="49"/>
        <v>0.8858418861770363</v>
      </c>
      <c r="S92" s="225"/>
      <c r="T92" s="225">
        <f t="shared" ref="T92:AA92" si="50">IF(ISERROR((T53+T54)/T27),"NA",((T53+T54)/T27))</f>
        <v>0.93424537731134438</v>
      </c>
      <c r="U92" s="225">
        <f t="shared" ca="1" si="50"/>
        <v>0.65809205315497665</v>
      </c>
      <c r="V92" s="226">
        <f t="shared" si="50"/>
        <v>0.63800969102334415</v>
      </c>
      <c r="W92" s="225">
        <f t="shared" ca="1" si="50"/>
        <v>0.34297068055502433</v>
      </c>
      <c r="X92" s="225">
        <f t="shared" ca="1" si="50"/>
        <v>0.30950980047730203</v>
      </c>
      <c r="Y92" s="225">
        <f t="shared" ca="1" si="50"/>
        <v>0.44714158059935394</v>
      </c>
      <c r="Z92" s="225">
        <f t="shared" ca="1" si="50"/>
        <v>0.32392186534603951</v>
      </c>
      <c r="AA92" s="225">
        <f t="shared" ca="1" si="50"/>
        <v>0.26216942160655299</v>
      </c>
      <c r="AB92" s="23"/>
      <c r="AC92" s="23"/>
      <c r="AD92" s="23"/>
      <c r="AE92" s="23"/>
    </row>
    <row r="93" spans="1:31" ht="15">
      <c r="A93" s="146"/>
      <c r="B93" s="23"/>
      <c r="C93" s="28" t="s">
        <v>580</v>
      </c>
      <c r="D93" s="23"/>
      <c r="E93" s="23"/>
      <c r="F93" s="23"/>
      <c r="G93" s="225">
        <f t="shared" ref="G93:R93" si="51">IF(ISERROR((G53+G54)/G68),"NA",((G53+G54)/G68))</f>
        <v>0.21411465157237014</v>
      </c>
      <c r="H93" s="225">
        <f t="shared" si="51"/>
        <v>0.19663183726402064</v>
      </c>
      <c r="I93" s="225">
        <f t="shared" si="51"/>
        <v>0.25908009934505144</v>
      </c>
      <c r="J93" s="226">
        <f t="shared" si="51"/>
        <v>0.23287681271245839</v>
      </c>
      <c r="K93" s="225">
        <f t="shared" si="51"/>
        <v>0.25842609478785084</v>
      </c>
      <c r="L93" s="225">
        <f t="shared" ca="1" si="51"/>
        <v>0.23629932544680693</v>
      </c>
      <c r="M93" s="225">
        <f t="shared" ca="1" si="51"/>
        <v>0.2121142637254754</v>
      </c>
      <c r="N93" s="228">
        <f t="shared" ca="1" si="51"/>
        <v>0.18390327739559487</v>
      </c>
      <c r="O93" s="225">
        <f t="shared" ca="1" si="51"/>
        <v>0.16905796132904843</v>
      </c>
      <c r="P93" s="225">
        <f t="shared" ca="1" si="51"/>
        <v>0.15661497286867151</v>
      </c>
      <c r="Q93" s="225">
        <f t="shared" ca="1" si="51"/>
        <v>0.14314910760774907</v>
      </c>
      <c r="R93" s="225">
        <f t="shared" ca="1" si="51"/>
        <v>0.12665309581715195</v>
      </c>
      <c r="S93" s="225"/>
      <c r="T93" s="225">
        <f t="shared" ref="T93:AA93" si="52">IF(ISERROR((T53+T54)/T68),"NA",((T53+T54)/T68))</f>
        <v>0.20975433242262229</v>
      </c>
      <c r="U93" s="225">
        <f t="shared" si="52"/>
        <v>0.19254993284608982</v>
      </c>
      <c r="V93" s="226">
        <f t="shared" si="52"/>
        <v>0.23287681271245839</v>
      </c>
      <c r="W93" s="225">
        <f t="shared" ca="1" si="52"/>
        <v>0.18390327739559487</v>
      </c>
      <c r="X93" s="225">
        <f t="shared" ca="1" si="52"/>
        <v>0.12665309581715195</v>
      </c>
      <c r="Y93" s="225">
        <f t="shared" ca="1" si="52"/>
        <v>0.14167230039790141</v>
      </c>
      <c r="Z93" s="225">
        <f t="shared" ca="1" si="52"/>
        <v>7.6249531298195825E-2</v>
      </c>
      <c r="AA93" s="225">
        <f t="shared" ca="1" si="52"/>
        <v>6.2275461624165307E-2</v>
      </c>
      <c r="AB93" s="23"/>
      <c r="AC93" s="23"/>
      <c r="AD93" s="23"/>
      <c r="AE93" s="23"/>
    </row>
    <row r="94" spans="1:31" ht="15">
      <c r="A94" s="146"/>
      <c r="B94" s="23"/>
      <c r="C94" s="28" t="s">
        <v>581</v>
      </c>
      <c r="D94" s="23"/>
      <c r="E94" s="23"/>
      <c r="F94" s="23"/>
      <c r="G94" s="225">
        <f t="shared" ref="G94:R94" si="53">IF(ISERROR((G53+G54)/G46),"NA",((G53+G54)/G46))</f>
        <v>0.11465662320034606</v>
      </c>
      <c r="H94" s="225">
        <f t="shared" si="53"/>
        <v>0.10224169767450055</v>
      </c>
      <c r="I94" s="225">
        <f t="shared" si="53"/>
        <v>0.12218971988442072</v>
      </c>
      <c r="J94" s="226">
        <f t="shared" si="53"/>
        <v>0.1008274019675269</v>
      </c>
      <c r="K94" s="225">
        <f t="shared" si="53"/>
        <v>0.12510775280099334</v>
      </c>
      <c r="L94" s="225">
        <f t="shared" ca="1" si="53"/>
        <v>9.9309030415826977E-2</v>
      </c>
      <c r="M94" s="225">
        <f t="shared" ca="1" si="53"/>
        <v>9.1169000980309431E-2</v>
      </c>
      <c r="N94" s="228">
        <f t="shared" ca="1" si="53"/>
        <v>8.0788577260431149E-2</v>
      </c>
      <c r="O94" s="225">
        <f t="shared" ca="1" si="53"/>
        <v>8.4168170405238177E-2</v>
      </c>
      <c r="P94" s="225">
        <f t="shared" ca="1" si="53"/>
        <v>7.8953571710013354E-2</v>
      </c>
      <c r="Q94" s="225">
        <f t="shared" ca="1" si="53"/>
        <v>7.2899045130611476E-2</v>
      </c>
      <c r="R94" s="225">
        <f t="shared" ca="1" si="53"/>
        <v>6.4250247948930903E-2</v>
      </c>
      <c r="S94" s="225"/>
      <c r="T94" s="225">
        <f t="shared" ref="T94:AA94" si="54">IF(ISERROR((T53+T54)/T46),"NA",((T53+T54)/T46))</f>
        <v>0.10096000915940333</v>
      </c>
      <c r="U94" s="225">
        <f t="shared" si="54"/>
        <v>8.9577766592053465E-2</v>
      </c>
      <c r="V94" s="226">
        <f t="shared" si="54"/>
        <v>0.1008274019675269</v>
      </c>
      <c r="W94" s="225">
        <f t="shared" ca="1" si="54"/>
        <v>8.0788577260431149E-2</v>
      </c>
      <c r="X94" s="225">
        <f t="shared" ca="1" si="54"/>
        <v>6.4250247948930903E-2</v>
      </c>
      <c r="Y94" s="225">
        <f t="shared" ca="1" si="54"/>
        <v>8.7426530759709367E-2</v>
      </c>
      <c r="Z94" s="225">
        <f t="shared" ca="1" si="54"/>
        <v>5.4512069629562461E-2</v>
      </c>
      <c r="AA94" s="225">
        <f t="shared" ca="1" si="54"/>
        <v>4.9210748033997262E-2</v>
      </c>
      <c r="AB94" s="23"/>
      <c r="AC94" s="23"/>
      <c r="AD94" s="23"/>
      <c r="AE94" s="23"/>
    </row>
    <row r="95" spans="1:31" ht="15">
      <c r="A95" s="146"/>
      <c r="B95" s="23"/>
      <c r="C95" s="23"/>
      <c r="D95" s="23"/>
      <c r="E95" s="23"/>
      <c r="F95" s="23"/>
      <c r="G95" s="23"/>
      <c r="H95" s="23"/>
      <c r="I95" s="23"/>
      <c r="J95" s="201"/>
      <c r="K95" s="23"/>
      <c r="L95" s="23"/>
      <c r="M95" s="23"/>
      <c r="N95" s="202"/>
      <c r="O95" s="23"/>
      <c r="P95" s="23"/>
      <c r="Q95" s="23"/>
      <c r="R95" s="23"/>
      <c r="S95" s="23"/>
      <c r="T95" s="23"/>
      <c r="U95" s="23"/>
      <c r="V95" s="201"/>
      <c r="W95" s="23"/>
      <c r="X95" s="23"/>
      <c r="Y95" s="23"/>
      <c r="Z95" s="23"/>
      <c r="AA95" s="23"/>
      <c r="AB95" s="23"/>
      <c r="AC95" s="23"/>
      <c r="AD95" s="23"/>
      <c r="AE95" s="23"/>
    </row>
    <row r="96" spans="1:31" ht="15">
      <c r="A96" s="146"/>
      <c r="B96" s="23"/>
      <c r="C96" s="155" t="s">
        <v>582</v>
      </c>
      <c r="D96" s="155"/>
      <c r="E96" s="155"/>
      <c r="F96" s="23"/>
      <c r="G96" s="23"/>
      <c r="H96" s="23"/>
      <c r="I96" s="23"/>
      <c r="J96" s="201"/>
      <c r="K96" s="23"/>
      <c r="L96" s="23"/>
      <c r="M96" s="23"/>
      <c r="N96" s="202"/>
      <c r="O96" s="23"/>
      <c r="P96" s="23"/>
      <c r="Q96" s="23"/>
      <c r="R96" s="23"/>
      <c r="S96" s="23"/>
      <c r="T96" s="23"/>
      <c r="U96" s="23"/>
      <c r="V96" s="201"/>
      <c r="W96" s="23"/>
      <c r="X96" s="23"/>
      <c r="Y96" s="23"/>
      <c r="Z96" s="23"/>
      <c r="AA96" s="23"/>
      <c r="AB96" s="23"/>
      <c r="AC96" s="23"/>
      <c r="AD96" s="23"/>
      <c r="AE96" s="23"/>
    </row>
    <row r="97" spans="1:31" ht="15">
      <c r="A97" s="146"/>
      <c r="B97" s="23"/>
      <c r="C97" s="28" t="s">
        <v>583</v>
      </c>
      <c r="D97" s="23"/>
      <c r="E97" s="23"/>
      <c r="F97" s="23"/>
      <c r="G97" s="225">
        <f t="shared" ref="G97:R97" si="55">G8/G46</f>
        <v>0.21369533018557893</v>
      </c>
      <c r="H97" s="225">
        <f t="shared" si="55"/>
        <v>0.22713210082557764</v>
      </c>
      <c r="I97" s="225">
        <f t="shared" si="55"/>
        <v>0.23653003473800419</v>
      </c>
      <c r="J97" s="226">
        <f t="shared" si="55"/>
        <v>0.24206877926995349</v>
      </c>
      <c r="K97" s="225">
        <f t="shared" si="55"/>
        <v>0.32461297650844068</v>
      </c>
      <c r="L97" s="225">
        <f t="shared" ca="1" si="55"/>
        <v>0.28353174528113417</v>
      </c>
      <c r="M97" s="225">
        <f t="shared" ca="1" si="55"/>
        <v>0.29036463157592846</v>
      </c>
      <c r="N97" s="227">
        <f t="shared" ca="1" si="55"/>
        <v>0.31637861951683899</v>
      </c>
      <c r="O97" s="229">
        <f t="shared" ca="1" si="55"/>
        <v>0.24490274294096268</v>
      </c>
      <c r="P97" s="229">
        <f t="shared" ca="1" si="55"/>
        <v>0.25314181866223073</v>
      </c>
      <c r="Q97" s="229">
        <f t="shared" ca="1" si="55"/>
        <v>0.25978662202332953</v>
      </c>
      <c r="R97" s="229">
        <f t="shared" ca="1" si="55"/>
        <v>0.29057762020683853</v>
      </c>
      <c r="S97" s="23"/>
      <c r="T97" s="229">
        <f t="shared" ref="T97:AA97" si="56">T8/T46</f>
        <v>0.65959207171553569</v>
      </c>
      <c r="U97" s="229">
        <f t="shared" si="56"/>
        <v>0.71786818835109301</v>
      </c>
      <c r="V97" s="230">
        <f t="shared" si="56"/>
        <v>0.72415337012375847</v>
      </c>
      <c r="W97" s="229">
        <f t="shared" ca="1" si="56"/>
        <v>1.014037601822839</v>
      </c>
      <c r="X97" s="229">
        <f t="shared" ca="1" si="56"/>
        <v>0.912562816704101</v>
      </c>
      <c r="Y97" s="229">
        <f t="shared" ca="1" si="56"/>
        <v>0.84941280696840571</v>
      </c>
      <c r="Z97" s="229">
        <f t="shared" ca="1" si="56"/>
        <v>0.78243414069555506</v>
      </c>
      <c r="AA97" s="229">
        <f t="shared" ca="1" si="56"/>
        <v>0.67081886852366501</v>
      </c>
      <c r="AB97" s="23"/>
      <c r="AC97" s="23"/>
      <c r="AD97" s="23"/>
      <c r="AE97" s="23"/>
    </row>
    <row r="98" spans="1:31" ht="15">
      <c r="A98" s="146"/>
      <c r="B98" s="23"/>
      <c r="C98" s="28" t="str">
        <f>Model!C184</f>
        <v>Days Sales Outstanding</v>
      </c>
      <c r="D98" s="23"/>
      <c r="E98" s="23"/>
      <c r="F98" s="23"/>
      <c r="G98" s="41">
        <f>Model!P184</f>
        <v>62.622107029535556</v>
      </c>
      <c r="H98" s="41">
        <f>Model!Q184</f>
        <v>55.653453892415634</v>
      </c>
      <c r="I98" s="41">
        <f>Model!R184</f>
        <v>47.493689256343721</v>
      </c>
      <c r="J98" s="504">
        <f>Model!S184</f>
        <v>41.890554405918763</v>
      </c>
      <c r="K98" s="41">
        <f>Model!U184</f>
        <v>40.301936351322311</v>
      </c>
      <c r="L98" s="41">
        <f>Model!V184</f>
        <v>46</v>
      </c>
      <c r="M98" s="41">
        <f>Model!W184</f>
        <v>48</v>
      </c>
      <c r="N98" s="505">
        <f>Model!X184</f>
        <v>48</v>
      </c>
      <c r="O98" s="38">
        <f>Model!Z184</f>
        <v>46</v>
      </c>
      <c r="P98" s="38">
        <f>Model!AA184</f>
        <v>46</v>
      </c>
      <c r="Q98" s="38">
        <f>Model!AB184</f>
        <v>48</v>
      </c>
      <c r="R98" s="38">
        <f>Model!AC184</f>
        <v>48</v>
      </c>
      <c r="S98" s="38"/>
      <c r="T98" s="38">
        <f>Model!J184</f>
        <v>59.375076248656178</v>
      </c>
      <c r="U98" s="38">
        <f>Model!O184</f>
        <v>51.918527173461413</v>
      </c>
      <c r="V98" s="231">
        <f>Model!T184</f>
        <v>50.668867478126757</v>
      </c>
      <c r="W98" s="38">
        <f>Model!Y184</f>
        <v>46.516124100355746</v>
      </c>
      <c r="X98" s="38">
        <f>Model!AD184</f>
        <v>56.73720279989319</v>
      </c>
      <c r="Y98" s="38">
        <f>Model!AE184</f>
        <v>55</v>
      </c>
      <c r="Z98" s="38">
        <f>Model!AF184</f>
        <v>55</v>
      </c>
      <c r="AA98" s="38">
        <f>Model!AG184</f>
        <v>55</v>
      </c>
      <c r="AB98" s="23"/>
      <c r="AC98" s="23"/>
      <c r="AD98" s="23"/>
      <c r="AE98" s="23"/>
    </row>
    <row r="99" spans="1:31" ht="15" outlineLevel="1">
      <c r="A99" s="146"/>
      <c r="B99" s="23"/>
      <c r="C99" s="28" t="str">
        <f>Model!C185</f>
        <v>Days Inventory Outstanding</v>
      </c>
      <c r="D99" s="23"/>
      <c r="E99" s="23"/>
      <c r="F99" s="23"/>
      <c r="G99" s="41" t="e">
        <f>Model!P185</f>
        <v>#DIV/0!</v>
      </c>
      <c r="H99" s="41" t="e">
        <f>Model!Q185</f>
        <v>#DIV/0!</v>
      </c>
      <c r="I99" s="41" t="e">
        <f>Model!R185</f>
        <v>#DIV/0!</v>
      </c>
      <c r="J99" s="504" t="e">
        <f>Model!S185</f>
        <v>#DIV/0!</v>
      </c>
      <c r="K99" s="41" t="e">
        <f>Model!U185</f>
        <v>#DIV/0!</v>
      </c>
      <c r="L99" s="41">
        <f>Model!V185</f>
        <v>0</v>
      </c>
      <c r="M99" s="41">
        <f>Model!W185</f>
        <v>0</v>
      </c>
      <c r="N99" s="505">
        <f>Model!X185</f>
        <v>0</v>
      </c>
      <c r="O99" s="38">
        <f>Model!Z185</f>
        <v>0</v>
      </c>
      <c r="P99" s="38">
        <f>Model!AA185</f>
        <v>0</v>
      </c>
      <c r="Q99" s="38">
        <f>Model!AB185</f>
        <v>0</v>
      </c>
      <c r="R99" s="38">
        <f>Model!AC185</f>
        <v>0</v>
      </c>
      <c r="S99" s="38"/>
      <c r="T99" s="38" t="e">
        <f>Model!J185</f>
        <v>#DIV/0!</v>
      </c>
      <c r="U99" s="38" t="e">
        <f>Model!O185</f>
        <v>#DIV/0!</v>
      </c>
      <c r="V99" s="231" t="e">
        <f>Model!T185</f>
        <v>#DIV/0!</v>
      </c>
      <c r="W99" s="38" t="e">
        <f>Model!Y185</f>
        <v>#DIV/0!</v>
      </c>
      <c r="X99" s="38" t="e">
        <f>Model!AD185</f>
        <v>#DIV/0!</v>
      </c>
      <c r="Y99" s="38">
        <f>Model!AE185</f>
        <v>0</v>
      </c>
      <c r="Z99" s="38">
        <f>Model!AF185</f>
        <v>0</v>
      </c>
      <c r="AA99" s="38">
        <f>Model!AG185</f>
        <v>0</v>
      </c>
      <c r="AB99" s="23"/>
      <c r="AC99" s="23"/>
      <c r="AD99" s="23"/>
      <c r="AE99" s="23"/>
    </row>
    <row r="100" spans="1:31" ht="15" outlineLevel="1">
      <c r="A100" s="146"/>
      <c r="B100" s="23"/>
      <c r="C100" s="28" t="str">
        <f>Model!C186</f>
        <v>Accounts Payable as a % of Sales</v>
      </c>
      <c r="D100" s="23"/>
      <c r="E100" s="23"/>
      <c r="F100" s="23"/>
      <c r="G100" s="41">
        <f>Model!P186</f>
        <v>4.5660222425045277E-2</v>
      </c>
      <c r="H100" s="41">
        <f>Model!Q186</f>
        <v>3.9621318791465798E-2</v>
      </c>
      <c r="I100" s="41">
        <f>Model!R186</f>
        <v>2.474583984229355E-2</v>
      </c>
      <c r="J100" s="504">
        <f>Model!S186</f>
        <v>2.091030417230777E-2</v>
      </c>
      <c r="K100" s="41">
        <f>Model!U186</f>
        <v>6.972842669134411E-3</v>
      </c>
      <c r="L100" s="41">
        <f>Model!V186</f>
        <v>0.03</v>
      </c>
      <c r="M100" s="41">
        <f>Model!W186</f>
        <v>0.03</v>
      </c>
      <c r="N100" s="505">
        <f>Model!X186</f>
        <v>0.03</v>
      </c>
      <c r="O100" s="38">
        <f>Model!Z186</f>
        <v>0.03</v>
      </c>
      <c r="P100" s="38">
        <f>Model!AA186</f>
        <v>0.03</v>
      </c>
      <c r="Q100" s="38">
        <f>Model!AB186</f>
        <v>0.03</v>
      </c>
      <c r="R100" s="38">
        <f>Model!AC186</f>
        <v>0.03</v>
      </c>
      <c r="S100" s="38"/>
      <c r="T100" s="38">
        <f>Model!J186</f>
        <v>2.940516632237072E-2</v>
      </c>
      <c r="U100" s="38">
        <f>Model!O186</f>
        <v>2.587638805871522E-2</v>
      </c>
      <c r="V100" s="231">
        <f>Model!T186</f>
        <v>2.7959446238792769E-2</v>
      </c>
      <c r="W100" s="38">
        <f>Model!Y186</f>
        <v>3.7439868377438693E-2</v>
      </c>
      <c r="X100" s="38">
        <f>Model!AD186</f>
        <v>3.821031690810938E-2</v>
      </c>
      <c r="Y100" s="38">
        <f>Model!AE186</f>
        <v>2.8000000000000001E-2</v>
      </c>
      <c r="Z100" s="38">
        <f>Model!AF186</f>
        <v>2.8000000000000001E-2</v>
      </c>
      <c r="AA100" s="38">
        <f>Model!AG186</f>
        <v>2.8000000000000001E-2</v>
      </c>
      <c r="AB100" s="23"/>
      <c r="AC100" s="23"/>
      <c r="AD100" s="23"/>
      <c r="AE100" s="23"/>
    </row>
    <row r="101" spans="1:31" ht="15" outlineLevel="1">
      <c r="A101" s="146"/>
      <c r="B101" s="23"/>
      <c r="C101" s="28" t="s">
        <v>206</v>
      </c>
      <c r="D101" s="23"/>
      <c r="E101" s="23"/>
      <c r="F101" s="23"/>
      <c r="G101" s="41" t="e">
        <f>G98+G99-G100</f>
        <v>#DIV/0!</v>
      </c>
      <c r="H101" s="41" t="e">
        <f t="shared" ref="H101:AA101" si="57">H98+H99-H100</f>
        <v>#DIV/0!</v>
      </c>
      <c r="I101" s="41" t="e">
        <f t="shared" si="57"/>
        <v>#DIV/0!</v>
      </c>
      <c r="J101" s="504" t="e">
        <f t="shared" si="57"/>
        <v>#DIV/0!</v>
      </c>
      <c r="K101" s="41" t="e">
        <f t="shared" si="57"/>
        <v>#DIV/0!</v>
      </c>
      <c r="L101" s="41">
        <f t="shared" si="57"/>
        <v>45.97</v>
      </c>
      <c r="M101" s="41">
        <f t="shared" si="57"/>
        <v>47.97</v>
      </c>
      <c r="N101" s="505">
        <f t="shared" si="57"/>
        <v>47.97</v>
      </c>
      <c r="O101" s="38">
        <f t="shared" si="57"/>
        <v>45.97</v>
      </c>
      <c r="P101" s="38">
        <f t="shared" si="57"/>
        <v>45.97</v>
      </c>
      <c r="Q101" s="38">
        <f t="shared" si="57"/>
        <v>47.97</v>
      </c>
      <c r="R101" s="38">
        <f t="shared" si="57"/>
        <v>47.97</v>
      </c>
      <c r="S101" s="38"/>
      <c r="T101" s="38" t="e">
        <f t="shared" si="57"/>
        <v>#DIV/0!</v>
      </c>
      <c r="U101" s="38" t="e">
        <f t="shared" si="57"/>
        <v>#DIV/0!</v>
      </c>
      <c r="V101" s="231" t="e">
        <f t="shared" si="57"/>
        <v>#DIV/0!</v>
      </c>
      <c r="W101" s="38" t="e">
        <f t="shared" si="57"/>
        <v>#DIV/0!</v>
      </c>
      <c r="X101" s="38" t="e">
        <f t="shared" si="57"/>
        <v>#DIV/0!</v>
      </c>
      <c r="Y101" s="38">
        <f t="shared" si="57"/>
        <v>54.972000000000001</v>
      </c>
      <c r="Z101" s="38">
        <f t="shared" si="57"/>
        <v>54.972000000000001</v>
      </c>
      <c r="AA101" s="38">
        <f t="shared" si="57"/>
        <v>54.972000000000001</v>
      </c>
      <c r="AB101" s="23"/>
      <c r="AC101" s="23"/>
      <c r="AD101" s="23"/>
      <c r="AE101" s="23"/>
    </row>
    <row r="102" spans="1:31" ht="15">
      <c r="A102" s="146"/>
      <c r="B102" s="23"/>
      <c r="C102" s="23"/>
      <c r="D102" s="23"/>
      <c r="E102" s="23"/>
      <c r="F102" s="23"/>
      <c r="G102" s="23"/>
      <c r="H102" s="23"/>
      <c r="I102" s="23"/>
      <c r="J102" s="201"/>
      <c r="K102" s="23"/>
      <c r="L102" s="23"/>
      <c r="M102" s="23"/>
      <c r="N102" s="202"/>
      <c r="O102" s="23"/>
      <c r="P102" s="23"/>
      <c r="Q102" s="23"/>
      <c r="R102" s="23"/>
      <c r="S102" s="23"/>
      <c r="T102" s="23"/>
      <c r="U102" s="23"/>
      <c r="V102" s="201"/>
      <c r="W102" s="23"/>
      <c r="X102" s="23"/>
      <c r="Y102" s="23"/>
      <c r="Z102" s="23"/>
      <c r="AA102" s="23"/>
      <c r="AB102" s="23"/>
      <c r="AC102" s="23"/>
      <c r="AD102" s="23"/>
      <c r="AE102" s="23"/>
    </row>
    <row r="103" spans="1:31" ht="15">
      <c r="A103" s="146"/>
      <c r="B103" s="23"/>
      <c r="C103" s="155" t="s">
        <v>584</v>
      </c>
      <c r="D103" s="155"/>
      <c r="E103" s="155"/>
      <c r="F103" s="23"/>
      <c r="G103" s="23"/>
      <c r="H103" s="23"/>
      <c r="I103" s="23"/>
      <c r="J103" s="201"/>
      <c r="K103" s="23"/>
      <c r="L103" s="23"/>
      <c r="M103" s="23"/>
      <c r="N103" s="202"/>
      <c r="O103" s="23"/>
      <c r="P103" s="23"/>
      <c r="Q103" s="23"/>
      <c r="R103" s="23"/>
      <c r="S103" s="23"/>
      <c r="T103" s="23"/>
      <c r="U103" s="23"/>
      <c r="V103" s="201"/>
      <c r="W103" s="23"/>
      <c r="X103" s="23"/>
      <c r="Y103" s="23"/>
      <c r="Z103" s="23"/>
      <c r="AA103" s="23"/>
      <c r="AB103" s="23"/>
      <c r="AC103" s="23"/>
      <c r="AD103" s="23"/>
      <c r="AE103" s="23"/>
    </row>
    <row r="104" spans="1:31" ht="15">
      <c r="A104" s="146"/>
      <c r="B104" s="23"/>
      <c r="C104" s="28" t="s">
        <v>585</v>
      </c>
      <c r="D104" s="23"/>
      <c r="E104" s="23"/>
      <c r="F104" s="23"/>
      <c r="G104" s="225">
        <f>IF(ISERROR(G38/G51),"NA",(G38/G51))</f>
        <v>3.7645472175100183</v>
      </c>
      <c r="H104" s="225">
        <f t="shared" ref="H104:R104" si="58">IF(ISERROR(H38/H51),"NA",(H38/H51))</f>
        <v>3.1283036853281878</v>
      </c>
      <c r="I104" s="225">
        <f t="shared" si="58"/>
        <v>2.711950012477883</v>
      </c>
      <c r="J104" s="226">
        <f>IF(ISERROR(J38/J51),"NA",(J38/J51))</f>
        <v>2.1633932761810026</v>
      </c>
      <c r="K104" s="225">
        <f>IF(ISERROR(K38/K51),"NA",(K38/K51))</f>
        <v>2.7660240133845093</v>
      </c>
      <c r="L104" s="225">
        <f ca="1">IF(ISERROR(L38/L51),"NA",(L38/L51))</f>
        <v>2.0170267660161856</v>
      </c>
      <c r="M104" s="225">
        <f ca="1">IF(ISERROR(M38/M51),"NA",(M38/M51))</f>
        <v>2.0223862636833618</v>
      </c>
      <c r="N104" s="227">
        <f ca="1">IF(ISERROR(N38/N51),"NA",(N38/N51))</f>
        <v>2.0177587215498107</v>
      </c>
      <c r="O104" s="229">
        <f t="shared" ca="1" si="58"/>
        <v>2.4048337873434575</v>
      </c>
      <c r="P104" s="229">
        <f t="shared" ca="1" si="58"/>
        <v>2.4039844678638391</v>
      </c>
      <c r="Q104" s="229">
        <f t="shared" ca="1" si="58"/>
        <v>2.3878145346942214</v>
      </c>
      <c r="R104" s="229">
        <f t="shared" ca="1" si="58"/>
        <v>2.3068695003491193</v>
      </c>
      <c r="S104" s="23"/>
      <c r="T104" s="229">
        <f t="shared" ref="T104:AA104" si="59">IF(ISERROR(T38/T51),"NA",(T38/T51))</f>
        <v>2.8626902211834619</v>
      </c>
      <c r="U104" s="229">
        <f t="shared" si="59"/>
        <v>2.5069438268238451</v>
      </c>
      <c r="V104" s="230">
        <f t="shared" si="59"/>
        <v>2.1633932761810026</v>
      </c>
      <c r="W104" s="229">
        <f t="shared" ca="1" si="59"/>
        <v>2.0177587215498107</v>
      </c>
      <c r="X104" s="229">
        <f t="shared" ca="1" si="59"/>
        <v>2.3068695003491193</v>
      </c>
      <c r="Y104" s="229">
        <f t="shared" ca="1" si="59"/>
        <v>3.6527778112144151</v>
      </c>
      <c r="Z104" s="229">
        <f t="shared" ca="1" si="59"/>
        <v>5.0473217770849681</v>
      </c>
      <c r="AA104" s="229">
        <f t="shared" ca="1" si="59"/>
        <v>8.4109502478873583</v>
      </c>
      <c r="AB104" s="23"/>
      <c r="AC104" s="23"/>
      <c r="AD104" s="23"/>
      <c r="AE104" s="23"/>
    </row>
    <row r="105" spans="1:31" ht="15">
      <c r="A105" s="146"/>
      <c r="B105" s="23"/>
      <c r="C105" s="28" t="s">
        <v>586</v>
      </c>
      <c r="D105" s="23"/>
      <c r="E105" s="23"/>
      <c r="F105" s="23"/>
      <c r="G105" s="225">
        <f>IF(ISERROR((G34+G35)/G51),"NA",((G34+G35)/G51))</f>
        <v>1.9502213407027704</v>
      </c>
      <c r="H105" s="225">
        <f t="shared" ref="H105:R105" si="60">IF(ISERROR((H34+H35)/H51),"NA",((H34+H35)/H51))</f>
        <v>1.4585431089745649</v>
      </c>
      <c r="I105" s="225">
        <f t="shared" si="60"/>
        <v>1.2208628477724173</v>
      </c>
      <c r="J105" s="226">
        <f>IF(ISERROR((J34+J35)/J51),"NA",((J34+J35)/J51))</f>
        <v>1.1468217543698318</v>
      </c>
      <c r="K105" s="225">
        <f>IF(ISERROR((K34+K35)/K51),"NA",((K34+K35)/K51))</f>
        <v>1.581749827772857</v>
      </c>
      <c r="L105" s="225">
        <f ca="1">IF(ISERROR((L34+L35)/L51),"NA",((L34+L35)/L51))</f>
        <v>0.8106775596669793</v>
      </c>
      <c r="M105" s="225">
        <f ca="1">IF(ISERROR((M34+M35)/M51),"NA",((M34+M35)/M51))</f>
        <v>0.81603705733415532</v>
      </c>
      <c r="N105" s="227">
        <f ca="1">IF(ISERROR((N34+N35)/N51),"NA",((N34+N35)/N51))</f>
        <v>0.75109205488314368</v>
      </c>
      <c r="O105" s="229">
        <f t="shared" ca="1" si="60"/>
        <v>1.2173337873434578</v>
      </c>
      <c r="P105" s="229">
        <f t="shared" ca="1" si="60"/>
        <v>1.1976352615146326</v>
      </c>
      <c r="Q105" s="229">
        <f t="shared" ca="1" si="60"/>
        <v>1.1814653283450152</v>
      </c>
      <c r="R105" s="229">
        <f t="shared" ca="1" si="60"/>
        <v>1.0402028336824527</v>
      </c>
      <c r="S105" s="23"/>
      <c r="T105" s="229">
        <f t="shared" ref="T105:AA105" si="61">IF(ISERROR((T34+T35)/T51),"NA",((T34+T35)/T51))</f>
        <v>1.092489607816636</v>
      </c>
      <c r="U105" s="229">
        <f t="shared" si="61"/>
        <v>1.1143289843520576</v>
      </c>
      <c r="V105" s="230">
        <f t="shared" si="61"/>
        <v>1.1468217543698318</v>
      </c>
      <c r="W105" s="229">
        <f t="shared" ca="1" si="61"/>
        <v>0.75109205488314368</v>
      </c>
      <c r="X105" s="229">
        <f t="shared" ca="1" si="61"/>
        <v>1.0402028336824527</v>
      </c>
      <c r="Y105" s="229">
        <f t="shared" ca="1" si="61"/>
        <v>0.80106678459844471</v>
      </c>
      <c r="Z105" s="229">
        <f t="shared" ca="1" si="61"/>
        <v>1.2011679309311212</v>
      </c>
      <c r="AA105" s="229">
        <f t="shared" ca="1" si="61"/>
        <v>2.6677070046441158</v>
      </c>
      <c r="AB105" s="23"/>
      <c r="AC105" s="23"/>
      <c r="AD105" s="23"/>
      <c r="AE105" s="23"/>
    </row>
    <row r="106" spans="1:31" ht="15">
      <c r="A106" s="146"/>
      <c r="B106" s="23"/>
      <c r="C106" s="28" t="s">
        <v>587</v>
      </c>
      <c r="D106" s="23"/>
      <c r="E106" s="23"/>
      <c r="F106" s="23"/>
      <c r="G106" s="225">
        <f>IF(ISERROR(G34/G51),"NA",(G34/G51))</f>
        <v>1.0173834327495925</v>
      </c>
      <c r="H106" s="225">
        <f t="shared" ref="H106:R106" si="62">IF(ISERROR(H34/H51),"NA",(H34/H51))</f>
        <v>0.79302322295034366</v>
      </c>
      <c r="I106" s="225">
        <f t="shared" si="62"/>
        <v>0.7356407198659124</v>
      </c>
      <c r="J106" s="226">
        <f>IF(ISERROR(J34/J51),"NA",(J34/J51))</f>
        <v>0.79959807583290765</v>
      </c>
      <c r="K106" s="225">
        <f>IF(ISERROR(K34/K51),"NA",(K34/K51))</f>
        <v>0.97036413738805238</v>
      </c>
      <c r="L106" s="225">
        <f ca="1">IF(ISERROR(L34/L51),"NA",(L34/L51))</f>
        <v>0.40949144419514955</v>
      </c>
      <c r="M106" s="225">
        <f ca="1">IF(ISERROR(M34/M51),"NA",(M34/M51))</f>
        <v>0.40195838238591519</v>
      </c>
      <c r="N106" s="227">
        <f ca="1">IF(ISERROR(N34/N51),"NA",(N34/N51))</f>
        <v>0.31630944618749146</v>
      </c>
      <c r="O106" s="229">
        <f t="shared" ca="1" si="62"/>
        <v>0.82241620492587519</v>
      </c>
      <c r="P106" s="229">
        <f t="shared" ca="1" si="62"/>
        <v>0.79644914604280281</v>
      </c>
      <c r="Q106" s="229">
        <f t="shared" ca="1" si="62"/>
        <v>0.76738665339677481</v>
      </c>
      <c r="R106" s="229">
        <f t="shared" ca="1" si="62"/>
        <v>0.60542022498680048</v>
      </c>
      <c r="S106" s="23"/>
      <c r="T106" s="229">
        <f t="shared" ref="T106:AA106" si="63">IF(ISERROR(T34/T51),"NA",(T34/T51))</f>
        <v>0.65586736684105096</v>
      </c>
      <c r="U106" s="229">
        <f t="shared" si="63"/>
        <v>0.7325124805973906</v>
      </c>
      <c r="V106" s="230">
        <f t="shared" si="63"/>
        <v>0.79959807583290765</v>
      </c>
      <c r="W106" s="229">
        <f t="shared" ca="1" si="63"/>
        <v>0.31630944618749146</v>
      </c>
      <c r="X106" s="229">
        <f t="shared" ca="1" si="63"/>
        <v>0.60542022498680048</v>
      </c>
      <c r="Y106" s="229">
        <f t="shared" ca="1" si="63"/>
        <v>0.22812027696783885</v>
      </c>
      <c r="Z106" s="229">
        <f t="shared" ca="1" si="63"/>
        <v>0.47672114484049943</v>
      </c>
      <c r="AA106" s="229">
        <f t="shared" ca="1" si="63"/>
        <v>1.6495655755437826</v>
      </c>
      <c r="AB106" s="23"/>
      <c r="AC106" s="23"/>
      <c r="AD106" s="23"/>
      <c r="AE106" s="23"/>
    </row>
    <row r="107" spans="1:31" ht="15">
      <c r="A107" s="146"/>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spans="1:31" ht="15">
      <c r="A108" s="146"/>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spans="1:31" ht="15">
      <c r="A109" s="146"/>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spans="1:31" ht="15">
      <c r="A110" s="146" t="s">
        <v>1</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spans="1:31" ht="15">
      <c r="J111" s="850"/>
    </row>
    <row r="112" spans="1:31" ht="15">
      <c r="D112" s="850"/>
    </row>
    <row r="113" spans="3:8" ht="15">
      <c r="C113"/>
      <c r="D113"/>
      <c r="E113"/>
      <c r="F113"/>
      <c r="G113"/>
      <c r="H113"/>
    </row>
    <row r="114" spans="3:8" ht="15">
      <c r="C114"/>
      <c r="D114"/>
      <c r="E114"/>
      <c r="F114"/>
      <c r="G114"/>
      <c r="H114"/>
    </row>
    <row r="115" spans="3:8" ht="15">
      <c r="C115"/>
      <c r="D115"/>
      <c r="E115"/>
      <c r="F115"/>
      <c r="G115"/>
      <c r="H115"/>
    </row>
    <row r="116" spans="3:8" ht="15">
      <c r="C116"/>
      <c r="D116"/>
      <c r="E116"/>
      <c r="F116"/>
      <c r="G116"/>
      <c r="H116"/>
    </row>
    <row r="117" spans="3:8" ht="15">
      <c r="C117"/>
      <c r="D117"/>
      <c r="E117"/>
      <c r="F117"/>
      <c r="G117"/>
      <c r="H117"/>
    </row>
    <row r="118" spans="3:8" ht="15">
      <c r="C118"/>
      <c r="D118"/>
      <c r="E118"/>
      <c r="F118"/>
      <c r="G118"/>
      <c r="H118"/>
    </row>
  </sheetData>
  <pageMargins left="0.7" right="0.7" top="0.75" bottom="0.75" header="0.3" footer="0.3"/>
  <pageSetup scale="45"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pageSetUpPr autoPageBreaks="0" fitToPage="1"/>
  </sheetPr>
  <dimension ref="B1:AD72"/>
  <sheetViews>
    <sheetView showGridLines="0" zoomScale="80" zoomScaleNormal="80" zoomScaleSheetLayoutView="100" workbookViewId="0"/>
  </sheetViews>
  <sheetFormatPr defaultColWidth="8.7109375" defaultRowHeight="14.25" outlineLevelRow="1"/>
  <cols>
    <col min="1" max="1" width="0.85546875" style="3" customWidth="1"/>
    <col min="2" max="2" width="25.42578125" style="3" customWidth="1"/>
    <col min="3" max="4" width="5.7109375" style="3" customWidth="1"/>
    <col min="5" max="8" width="12.7109375" style="3" bestFit="1" customWidth="1"/>
    <col min="9" max="9" width="23.42578125" style="3" bestFit="1" customWidth="1"/>
    <col min="10" max="11" width="12.7109375" style="3" bestFit="1" customWidth="1"/>
    <col min="12" max="12" width="1.7109375" style="3" customWidth="1"/>
    <col min="13" max="13" width="9.85546875" style="3" bestFit="1" customWidth="1"/>
    <col min="14" max="14" width="1.7109375" style="3" customWidth="1"/>
    <col min="15" max="15" width="12" style="3" customWidth="1"/>
    <col min="16" max="16" width="0.85546875" style="3" customWidth="1"/>
    <col min="17" max="17" width="8.7109375" style="3"/>
    <col min="18" max="18" width="19" style="23" bestFit="1" customWidth="1"/>
    <col min="19" max="19" width="14.140625" style="23" bestFit="1" customWidth="1"/>
    <col min="20" max="22" width="13.140625" style="23" bestFit="1" customWidth="1"/>
    <col min="23" max="23" width="8.7109375" style="23"/>
    <col min="24" max="24" width="13.85546875" style="23" bestFit="1" customWidth="1"/>
    <col min="25" max="30" width="8.7109375" style="23"/>
    <col min="31" max="16384" width="8.7109375" style="3"/>
  </cols>
  <sheetData>
    <row r="1" spans="2:27" ht="20.25">
      <c r="B1" s="897" t="str">
        <f>Company_Name&amp;" "&amp;"("&amp;Ticker&amp;")"&amp;" Valuation Overview"</f>
        <v>Evercore Inc. (EVR) Valuation Overview</v>
      </c>
      <c r="J1" s="896"/>
      <c r="K1" s="1076" t="s">
        <v>648</v>
      </c>
      <c r="L1" s="1076"/>
      <c r="M1" s="1076"/>
      <c r="N1" s="1080" t="str">
        <f>Case_Scenario&amp;" Case"</f>
        <v>Base Case</v>
      </c>
      <c r="O1" s="1080"/>
      <c r="R1" s="23" t="s">
        <v>643</v>
      </c>
      <c r="S1" s="23" t="str">
        <f>IF(N1="Base Case","","Check!")</f>
        <v/>
      </c>
      <c r="V1" s="3"/>
      <c r="Y1" s="163" t="s">
        <v>393</v>
      </c>
    </row>
    <row r="2" spans="2:27" ht="15.75" customHeight="1">
      <c r="B2" s="23" t="str">
        <f>Cover!C2</f>
        <v>$ in Thousands Except Per Share Data</v>
      </c>
      <c r="K2" s="1075" t="s">
        <v>647</v>
      </c>
      <c r="L2" s="1075"/>
      <c r="M2" s="1075"/>
      <c r="N2" s="1075"/>
      <c r="O2" s="941">
        <f>Share_Price</f>
        <v>341.19</v>
      </c>
      <c r="R2" s="3"/>
      <c r="S2" s="3"/>
      <c r="T2" s="3"/>
      <c r="U2" s="3"/>
      <c r="V2" s="3"/>
      <c r="Y2" s="163" t="s">
        <v>334</v>
      </c>
    </row>
    <row r="3" spans="2:27" ht="17.25" customHeight="1" thickBot="1">
      <c r="K3" s="1075" t="s">
        <v>548</v>
      </c>
      <c r="L3" s="1075"/>
      <c r="M3" s="1075"/>
      <c r="N3" s="1075"/>
      <c r="O3" s="1079">
        <f>Current_Date</f>
        <v>46150</v>
      </c>
      <c r="P3" s="1079"/>
      <c r="R3" s="3"/>
      <c r="S3" s="3"/>
      <c r="T3" s="3"/>
      <c r="U3" s="3"/>
    </row>
    <row r="4" spans="2:27" ht="15.75" customHeight="1" thickBot="1">
      <c r="B4" s="982" t="str">
        <f>"Multiples Analysis "&amp;"("&amp;S21&amp;")"</f>
        <v>Multiples Analysis (P/E)</v>
      </c>
      <c r="C4" s="983"/>
      <c r="D4" s="983"/>
      <c r="E4" s="983"/>
      <c r="F4" s="983"/>
      <c r="G4" s="984"/>
      <c r="I4" s="985" t="s">
        <v>642</v>
      </c>
      <c r="J4" s="986"/>
      <c r="K4" s="986"/>
      <c r="L4" s="986"/>
      <c r="M4" s="986"/>
      <c r="N4" s="986"/>
      <c r="O4" s="987"/>
      <c r="R4" s="3"/>
      <c r="S4" s="3"/>
      <c r="T4" s="3"/>
      <c r="U4" s="3"/>
    </row>
    <row r="5" spans="2:27" ht="5.0999999999999996" customHeight="1">
      <c r="I5" s="893"/>
      <c r="J5"/>
      <c r="K5"/>
      <c r="L5"/>
      <c r="M5"/>
      <c r="N5"/>
      <c r="O5" s="894"/>
      <c r="R5" s="3"/>
      <c r="S5" s="3"/>
      <c r="T5" s="3"/>
      <c r="U5" s="3"/>
    </row>
    <row r="6" spans="2:27" ht="15.75" customHeight="1">
      <c r="I6" s="988" t="s">
        <v>17</v>
      </c>
      <c r="J6" s="989"/>
      <c r="K6" s="989"/>
      <c r="L6" s="989"/>
      <c r="M6" s="989"/>
      <c r="N6" s="989"/>
      <c r="O6" s="990"/>
      <c r="R6" s="3"/>
      <c r="S6" s="3"/>
      <c r="T6" s="3"/>
      <c r="U6" s="3"/>
    </row>
    <row r="7" spans="2:27" ht="15.75" customHeight="1">
      <c r="H7" s="16"/>
      <c r="I7" s="23" t="str">
        <f>Cover!I9</f>
        <v>Implied Enterprise Value:</v>
      </c>
      <c r="J7" s="23"/>
      <c r="K7" s="23"/>
      <c r="L7" s="23"/>
      <c r="M7" s="23"/>
      <c r="N7" s="1077">
        <f ca="1">Cover!L9</f>
        <v>19330394.115388785</v>
      </c>
      <c r="O7" s="1078"/>
      <c r="P7"/>
      <c r="R7" s="3"/>
      <c r="S7" s="3"/>
      <c r="T7" s="3"/>
      <c r="U7" s="3"/>
    </row>
    <row r="8" spans="2:27" ht="15.75" customHeight="1">
      <c r="H8" s="16"/>
      <c r="I8" s="92" t="str">
        <f>Cover!I10</f>
        <v>Implied Equity Value:</v>
      </c>
      <c r="J8" s="92"/>
      <c r="K8" s="92"/>
      <c r="L8" s="92"/>
      <c r="M8" s="92"/>
      <c r="N8" s="1069">
        <f ca="1">Cover!L10</f>
        <v>19286440.513780605</v>
      </c>
      <c r="O8" s="1070"/>
      <c r="P8"/>
      <c r="R8" s="3"/>
      <c r="S8" s="3"/>
      <c r="T8" s="3"/>
      <c r="U8" s="3"/>
    </row>
    <row r="9" spans="2:27" ht="15.75" customHeight="1">
      <c r="H9" s="16"/>
      <c r="I9" s="23" t="str">
        <f>Cover!I12</f>
        <v>Implied Share Price:</v>
      </c>
      <c r="J9" s="23"/>
      <c r="K9" s="23"/>
      <c r="L9" s="23"/>
      <c r="M9" s="23"/>
      <c r="N9" s="1071">
        <f ca="1">Cover!L12</f>
        <v>457.77314836535106</v>
      </c>
      <c r="O9" s="1072"/>
      <c r="P9"/>
      <c r="R9" s="3"/>
      <c r="S9" s="3"/>
      <c r="T9" s="3"/>
      <c r="U9" s="3"/>
    </row>
    <row r="10" spans="2:27" ht="15.75" customHeight="1">
      <c r="H10" s="16"/>
      <c r="I10" s="155" t="str">
        <f>Cover!I13</f>
        <v>% Return:</v>
      </c>
      <c r="J10" s="155"/>
      <c r="K10" s="155"/>
      <c r="L10" s="155"/>
      <c r="M10" s="155"/>
      <c r="N10" s="1073">
        <f ca="1">Cover!L13</f>
        <v>0.34169567796638556</v>
      </c>
      <c r="O10" s="1074"/>
      <c r="P10"/>
      <c r="R10" s="3"/>
      <c r="S10" s="3"/>
      <c r="T10" s="3"/>
      <c r="U10" s="3"/>
    </row>
    <row r="11" spans="2:27" ht="5.0999999999999996" customHeight="1">
      <c r="I11" s="150"/>
      <c r="J11" s="23"/>
      <c r="K11" s="23"/>
      <c r="L11" s="23"/>
      <c r="M11" s="23"/>
      <c r="N11" s="23"/>
      <c r="O11" s="357"/>
      <c r="P11"/>
      <c r="R11" s="3"/>
      <c r="S11" s="3"/>
      <c r="T11" s="3"/>
      <c r="U11" s="3"/>
    </row>
    <row r="12" spans="2:27" ht="15.75" customHeight="1">
      <c r="I12" s="988" t="str">
        <f>Cover!I15</f>
        <v>Perpetuity Growth Method</v>
      </c>
      <c r="J12" s="989"/>
      <c r="K12" s="989"/>
      <c r="L12" s="989"/>
      <c r="M12" s="989"/>
      <c r="N12" s="989"/>
      <c r="O12" s="990"/>
      <c r="P12"/>
      <c r="R12" s="3"/>
      <c r="S12" s="3"/>
      <c r="T12" s="3"/>
      <c r="U12" s="3"/>
    </row>
    <row r="13" spans="2:27" ht="15.75" customHeight="1">
      <c r="I13" s="251" t="str">
        <f>Cover!I16</f>
        <v>Implied Enterprise Value:</v>
      </c>
      <c r="J13" s="204"/>
      <c r="K13" s="204"/>
      <c r="L13" s="204"/>
      <c r="M13" s="204"/>
      <c r="N13" s="1077">
        <f ca="1">Cover!L16</f>
        <v>23818872.598119419</v>
      </c>
      <c r="O13" s="1078"/>
      <c r="P13"/>
      <c r="R13" s="3"/>
      <c r="S13" s="3"/>
      <c r="T13" s="3"/>
      <c r="U13" s="3"/>
    </row>
    <row r="14" spans="2:27" ht="15.75" customHeight="1">
      <c r="I14" s="895" t="str">
        <f>Cover!I17</f>
        <v>Implied Equity Value:</v>
      </c>
      <c r="J14" s="92"/>
      <c r="K14" s="92"/>
      <c r="L14" s="92"/>
      <c r="M14" s="92"/>
      <c r="N14" s="1069">
        <f ca="1">Cover!L17</f>
        <v>23774918.99651124</v>
      </c>
      <c r="O14" s="1070"/>
      <c r="P14"/>
      <c r="R14"/>
      <c r="S14"/>
      <c r="T14"/>
      <c r="U14"/>
      <c r="V14"/>
      <c r="W14"/>
      <c r="X14"/>
      <c r="Y14"/>
      <c r="Z14"/>
      <c r="AA14"/>
    </row>
    <row r="15" spans="2:27" ht="15.75" customHeight="1">
      <c r="I15" s="150" t="str">
        <f>Cover!I19</f>
        <v>Implied Share Price:</v>
      </c>
      <c r="J15" s="23"/>
      <c r="K15" s="23"/>
      <c r="L15" s="23"/>
      <c r="M15" s="23"/>
      <c r="N15" s="1071">
        <f ca="1">Cover!L19</f>
        <v>564.3093920512506</v>
      </c>
      <c r="O15" s="1072"/>
      <c r="P15"/>
      <c r="R15"/>
      <c r="S15"/>
      <c r="T15"/>
      <c r="U15"/>
      <c r="V15"/>
      <c r="W15"/>
      <c r="X15"/>
      <c r="Y15"/>
      <c r="Z15"/>
      <c r="AA15"/>
    </row>
    <row r="16" spans="2:27" ht="15.75" customHeight="1">
      <c r="I16" s="159" t="str">
        <f>Cover!I20</f>
        <v>% Return:</v>
      </c>
      <c r="J16" s="155"/>
      <c r="K16" s="155"/>
      <c r="L16" s="155"/>
      <c r="M16" s="155"/>
      <c r="N16" s="1073">
        <f ca="1">Cover!L20</f>
        <v>0.65394469958454415</v>
      </c>
      <c r="O16" s="1074"/>
      <c r="P16"/>
      <c r="R16"/>
      <c r="S16"/>
      <c r="T16"/>
      <c r="U16"/>
      <c r="V16"/>
      <c r="W16"/>
      <c r="X16"/>
      <c r="Y16"/>
      <c r="Z16"/>
      <c r="AA16"/>
    </row>
    <row r="17" spans="2:27" ht="5.0999999999999996" customHeight="1">
      <c r="R17"/>
      <c r="S17"/>
      <c r="T17"/>
      <c r="U17"/>
      <c r="V17"/>
      <c r="W17"/>
      <c r="X17"/>
      <c r="Y17"/>
      <c r="Z17"/>
      <c r="AA17"/>
    </row>
    <row r="18" spans="2:27" ht="15.75" customHeight="1" thickBot="1">
      <c r="B18" s="886"/>
      <c r="C18" s="521"/>
      <c r="D18" s="521"/>
      <c r="E18" s="991" t="s">
        <v>508</v>
      </c>
      <c r="F18" s="991"/>
      <c r="G18" s="991"/>
      <c r="H18" s="991"/>
      <c r="I18" s="991"/>
      <c r="J18" s="991"/>
      <c r="K18" s="992"/>
      <c r="M18" s="888" t="s">
        <v>236</v>
      </c>
      <c r="N18" s="548"/>
      <c r="O18" s="888" t="s">
        <v>236</v>
      </c>
    </row>
    <row r="19" spans="2:27" ht="15.75" customHeight="1">
      <c r="B19" s="887" t="s">
        <v>635</v>
      </c>
      <c r="C19" s="572"/>
      <c r="D19" s="572"/>
      <c r="E19" s="572">
        <f>Summary!U6</f>
        <v>2024</v>
      </c>
      <c r="F19" s="572">
        <f>Summary!V6</f>
        <v>2025</v>
      </c>
      <c r="G19" s="572" t="str">
        <f>Summary!W6</f>
        <v>2026e</v>
      </c>
      <c r="H19" s="572" t="str">
        <f>Summary!X6</f>
        <v>2027e</v>
      </c>
      <c r="I19" s="572" t="str">
        <f>Summary!Y6</f>
        <v>2028e</v>
      </c>
      <c r="J19" s="572" t="str">
        <f>Summary!Z6</f>
        <v>2029e</v>
      </c>
      <c r="K19" s="573" t="str">
        <f>Summary!AA6</f>
        <v>2030e</v>
      </c>
      <c r="L19" s="548"/>
      <c r="M19" s="889" t="s">
        <v>237</v>
      </c>
      <c r="N19" s="548"/>
      <c r="O19" s="889" t="s">
        <v>238</v>
      </c>
      <c r="R19" s="3"/>
      <c r="S19" s="3"/>
      <c r="T19" s="3"/>
      <c r="U19" s="3"/>
    </row>
    <row r="20" spans="2:27" ht="5.0999999999999996" customHeight="1">
      <c r="D20" s="883"/>
      <c r="E20" s="548"/>
      <c r="F20" s="548"/>
      <c r="G20" s="548"/>
      <c r="H20" s="548"/>
      <c r="I20" s="548"/>
      <c r="J20" s="548"/>
      <c r="K20" s="548"/>
      <c r="L20" s="548"/>
    </row>
    <row r="21" spans="2:27" ht="15.75" customHeight="1">
      <c r="B21" s="23" t="str">
        <f>Summary!C8</f>
        <v>Revenue</v>
      </c>
      <c r="C21" s="23"/>
      <c r="D21" s="882">
        <f>Summary!T8</f>
        <v>2442666</v>
      </c>
      <c r="E21" s="208">
        <f>Summary!U8</f>
        <v>2996361</v>
      </c>
      <c r="F21" s="209">
        <f>Summary!V8</f>
        <v>3880084</v>
      </c>
      <c r="G21" s="208">
        <f>Summary!W8</f>
        <v>6774791.6859819032</v>
      </c>
      <c r="H21" s="208">
        <f>Summary!X8</f>
        <v>7663353.3862973023</v>
      </c>
      <c r="I21" s="208">
        <f>Summary!Y8</f>
        <v>7894057.7637738818</v>
      </c>
      <c r="J21" s="208">
        <f>Summary!Z8</f>
        <v>7727144.4667526977</v>
      </c>
      <c r="K21" s="209">
        <f>Summary!AA8</f>
        <v>7330353.4317446342</v>
      </c>
      <c r="L21" s="208"/>
      <c r="M21" s="875">
        <f>Summary!AC8</f>
        <v>0.26034232245725875</v>
      </c>
      <c r="N21" s="342"/>
      <c r="O21" s="875">
        <f>Summary!AE8</f>
        <v>0.13568203891666242</v>
      </c>
      <c r="R21" s="23" t="s">
        <v>633</v>
      </c>
      <c r="S21" s="881" t="s">
        <v>393</v>
      </c>
      <c r="T21" s="3"/>
      <c r="X21"/>
    </row>
    <row r="22" spans="2:27" ht="15.75" customHeight="1">
      <c r="B22" s="114" t="str">
        <f>Summary!C9</f>
        <v>YoY % Growth</v>
      </c>
      <c r="C22" s="23"/>
      <c r="D22" s="882"/>
      <c r="E22" s="198">
        <f>Summary!U9</f>
        <v>0.22667650837240938</v>
      </c>
      <c r="F22" s="199">
        <f>Summary!V9</f>
        <v>0.2949320859535951</v>
      </c>
      <c r="G22" s="198">
        <f>Summary!W9</f>
        <v>0.74604253051787106</v>
      </c>
      <c r="H22" s="198">
        <f>Summary!X9</f>
        <v>0.13115705124247157</v>
      </c>
      <c r="I22" s="198">
        <f>Summary!Y9</f>
        <v>3.01048856612951E-2</v>
      </c>
      <c r="J22" s="198">
        <f>Summary!Z9</f>
        <v>-2.1144169705364368E-2</v>
      </c>
      <c r="K22" s="199">
        <f>Summary!AA9</f>
        <v>-5.1350280393400394E-2</v>
      </c>
      <c r="L22" s="198"/>
      <c r="M22" s="197"/>
      <c r="N22" s="342"/>
      <c r="O22" s="197"/>
      <c r="X22"/>
    </row>
    <row r="23" spans="2:27" ht="15.75" customHeight="1">
      <c r="D23" s="882"/>
      <c r="E23" s="211"/>
      <c r="F23" s="212"/>
      <c r="G23" s="211"/>
      <c r="H23" s="211"/>
      <c r="I23" s="211"/>
      <c r="J23" s="211"/>
      <c r="K23" s="874"/>
      <c r="M23" s="197"/>
      <c r="N23" s="342"/>
      <c r="O23" s="197"/>
      <c r="R23" s="435" t="s">
        <v>631</v>
      </c>
      <c r="S23" s="435" t="s">
        <v>334</v>
      </c>
      <c r="T23" s="435" t="s">
        <v>393</v>
      </c>
      <c r="U23" s="435" t="s">
        <v>634</v>
      </c>
      <c r="V23"/>
      <c r="X23"/>
    </row>
    <row r="24" spans="2:27" ht="15.75" customHeight="1">
      <c r="B24" s="23" t="str">
        <f>Summary!C11</f>
        <v>Gross Profit</v>
      </c>
      <c r="C24" s="23"/>
      <c r="D24" s="882">
        <f>Summary!T11</f>
        <v>2442666</v>
      </c>
      <c r="E24" s="208">
        <f>Summary!U11</f>
        <v>2996361</v>
      </c>
      <c r="F24" s="209">
        <f>Summary!V11</f>
        <v>3880084</v>
      </c>
      <c r="G24" s="208">
        <f>Summary!W11</f>
        <v>6774791.6859819032</v>
      </c>
      <c r="H24" s="208">
        <f>Summary!X11</f>
        <v>7663353.3862973023</v>
      </c>
      <c r="I24" s="208">
        <f>Summary!Y11</f>
        <v>7894057.7637738818</v>
      </c>
      <c r="J24" s="208">
        <f>Summary!Z11</f>
        <v>7727144.4667526977</v>
      </c>
      <c r="K24" s="209">
        <f>Summary!AA11</f>
        <v>7330353.4317446342</v>
      </c>
      <c r="L24" s="208"/>
      <c r="M24" s="197">
        <f>Summary!AC11</f>
        <v>0.26034232245725875</v>
      </c>
      <c r="N24" s="342"/>
      <c r="O24" s="197">
        <f>Summary!AE11</f>
        <v>0.13568203891666242</v>
      </c>
      <c r="R24" s="189" t="s">
        <v>637</v>
      </c>
      <c r="S24" s="879">
        <f>Valuation!D12</f>
        <v>12.1</v>
      </c>
      <c r="T24" s="879">
        <f>Valuation!D11</f>
        <v>16.600000000000001</v>
      </c>
      <c r="U24" s="877">
        <f>IF($S$21=$S$23,S24,T24)</f>
        <v>16.600000000000001</v>
      </c>
      <c r="V24"/>
    </row>
    <row r="25" spans="2:27" ht="15.75" customHeight="1">
      <c r="B25" s="114" t="str">
        <f>Summary!C12</f>
        <v>% Margin</v>
      </c>
      <c r="C25" s="23"/>
      <c r="D25" s="882"/>
      <c r="E25" s="198">
        <f>Summary!U12</f>
        <v>1</v>
      </c>
      <c r="F25" s="199">
        <f>Summary!V12</f>
        <v>1</v>
      </c>
      <c r="G25" s="198">
        <f>Summary!W12</f>
        <v>1</v>
      </c>
      <c r="H25" s="198">
        <f>Summary!X12</f>
        <v>1</v>
      </c>
      <c r="I25" s="198">
        <f>Summary!Y12</f>
        <v>1</v>
      </c>
      <c r="J25" s="198">
        <f>Summary!Z12</f>
        <v>1</v>
      </c>
      <c r="K25" s="199">
        <f>Summary!AA12</f>
        <v>1</v>
      </c>
      <c r="L25" s="198"/>
      <c r="M25" s="197"/>
      <c r="N25" s="342"/>
      <c r="O25" s="197"/>
      <c r="R25" s="189" t="str">
        <f>Model!Y25</f>
        <v>2026e</v>
      </c>
      <c r="S25" s="878">
        <f>(Comparables!H10*S30)/(Model!Y62)</f>
        <v>1.4501507145770718E-4</v>
      </c>
      <c r="T25" s="878">
        <f ca="1">(Comparables!$G$10*S30)/Summary!W19</f>
        <v>8.4881791032658693</v>
      </c>
      <c r="U25" s="878">
        <f ca="1">IF($S$21=$S$23,S25,T25)</f>
        <v>8.4881791032658693</v>
      </c>
      <c r="V25"/>
    </row>
    <row r="26" spans="2:27" ht="15.75" customHeight="1">
      <c r="B26" s="114" t="str">
        <f>Summary!C13</f>
        <v>YoY % Growth</v>
      </c>
      <c r="C26" s="23"/>
      <c r="D26" s="882"/>
      <c r="E26" s="198">
        <f>Summary!U13</f>
        <v>0.22667650837240938</v>
      </c>
      <c r="F26" s="199">
        <f>Summary!V13</f>
        <v>0.2949320859535951</v>
      </c>
      <c r="G26" s="198">
        <f>Summary!W13</f>
        <v>0.74604253051787106</v>
      </c>
      <c r="H26" s="198">
        <f>Summary!X13</f>
        <v>0.13115705124247157</v>
      </c>
      <c r="I26" s="198">
        <f>Summary!Y13</f>
        <v>3.01048856612951E-2</v>
      </c>
      <c r="J26" s="198">
        <f>Summary!Z13</f>
        <v>-2.1144169705364368E-2</v>
      </c>
      <c r="K26" s="199">
        <f>Summary!AA13</f>
        <v>-5.1350280393400394E-2</v>
      </c>
      <c r="L26" s="198"/>
      <c r="M26" s="197"/>
      <c r="N26" s="342"/>
      <c r="O26" s="197"/>
      <c r="R26" s="189" t="str">
        <f>Summary!AA6</f>
        <v>2030e</v>
      </c>
      <c r="S26" s="878">
        <f ca="1">(Comparables!H10*S30)/(Model!AG62)</f>
        <v>1.1126291056009906E-4</v>
      </c>
      <c r="T26" s="878">
        <f ca="1">(Comparables!$G$10*S30)/Summary!AA19</f>
        <v>6.7250514843982572</v>
      </c>
      <c r="U26" s="878">
        <f ca="1">IF($S$21=$S$23,S26,T26)</f>
        <v>6.7250514843982572</v>
      </c>
      <c r="V26"/>
    </row>
    <row r="27" spans="2:27" ht="15.75" customHeight="1">
      <c r="D27" s="882"/>
      <c r="E27" s="211"/>
      <c r="F27" s="212"/>
      <c r="G27" s="211"/>
      <c r="H27" s="211"/>
      <c r="I27" s="211"/>
      <c r="J27" s="211"/>
      <c r="K27" s="874"/>
      <c r="M27" s="197"/>
      <c r="N27" s="342"/>
      <c r="O27" s="197"/>
      <c r="R27" s="189" t="s">
        <v>266</v>
      </c>
      <c r="S27" s="878">
        <f>Valuation!K60</f>
        <v>9</v>
      </c>
      <c r="T27" s="878">
        <f ca="1">Valuation!K72/Summary!AA19</f>
        <v>12.651052105579955</v>
      </c>
      <c r="U27" s="878">
        <f ca="1">IF($S$21=$S$23,S27,T27)</f>
        <v>12.651052105579955</v>
      </c>
      <c r="V27"/>
    </row>
    <row r="28" spans="2:27" ht="15.75" customHeight="1">
      <c r="B28" s="23" t="str">
        <f>Summary!C27</f>
        <v>EBITDA</v>
      </c>
      <c r="C28" s="23"/>
      <c r="D28" s="882">
        <f>Summary!T27</f>
        <v>400200</v>
      </c>
      <c r="E28" s="208">
        <f ca="1">Summary!U27</f>
        <v>568150</v>
      </c>
      <c r="F28" s="209">
        <f>Summary!V27</f>
        <v>846763</v>
      </c>
      <c r="G28" s="208">
        <f>Summary!W27</f>
        <v>1573746.76787687</v>
      </c>
      <c r="H28" s="208">
        <f ca="1">Summary!X27</f>
        <v>1743237.2066020181</v>
      </c>
      <c r="I28" s="208">
        <f ca="1">Summary!Y27</f>
        <v>1817103.5744868633</v>
      </c>
      <c r="J28" s="208">
        <f ca="1">Summary!Z27</f>
        <v>1661971.7826855932</v>
      </c>
      <c r="K28" s="209">
        <f ca="1">Summary!AA27</f>
        <v>2051150.728047221</v>
      </c>
      <c r="L28" s="208"/>
      <c r="M28" s="197">
        <f>Summary!AC27</f>
        <v>0.45459601787313919</v>
      </c>
      <c r="N28" s="342"/>
      <c r="O28" s="197">
        <f ca="1">Summary!AE27</f>
        <v>0.193567928079865</v>
      </c>
      <c r="R28" s="189" t="s">
        <v>632</v>
      </c>
      <c r="S28" s="878">
        <f ca="1">Valuation!K79</f>
        <v>12.372456211852761</v>
      </c>
      <c r="T28" s="878">
        <f ca="1">Valuation!R72/Summary!AA19</f>
        <v>15.595295503900463</v>
      </c>
      <c r="U28" s="878">
        <f ca="1">IF($S$21=$S$23,S28,T28)</f>
        <v>15.595295503900463</v>
      </c>
      <c r="V28"/>
    </row>
    <row r="29" spans="2:27" ht="15.75" customHeight="1">
      <c r="B29" s="114" t="str">
        <f>Summary!C28</f>
        <v>Margin</v>
      </c>
      <c r="C29" s="23"/>
      <c r="D29" s="882"/>
      <c r="E29" s="198">
        <f ca="1">Summary!U28</f>
        <v>0.18961333430784874</v>
      </c>
      <c r="F29" s="199">
        <f>Summary!V28</f>
        <v>0.21823316196247297</v>
      </c>
      <c r="G29" s="198">
        <f>Summary!W28</f>
        <v>0.23229448827676821</v>
      </c>
      <c r="H29" s="198">
        <f ca="1">Summary!X28</f>
        <v>0.22747707416430354</v>
      </c>
      <c r="I29" s="198">
        <f ca="1">Summary!Y28</f>
        <v>0.23018625260453726</v>
      </c>
      <c r="J29" s="198">
        <f ca="1">Summary!Z28</f>
        <v>0.2150822713146491</v>
      </c>
      <c r="K29" s="199">
        <f ca="1">Summary!AA28</f>
        <v>0.27981607532926883</v>
      </c>
      <c r="L29" s="198"/>
      <c r="M29" s="197"/>
      <c r="N29" s="342"/>
      <c r="O29" s="197"/>
      <c r="V29"/>
    </row>
    <row r="30" spans="2:27" ht="15.75" customHeight="1">
      <c r="B30" s="114" t="str">
        <f>Summary!C29</f>
        <v>YoY % Growth</v>
      </c>
      <c r="C30" s="23"/>
      <c r="D30" s="882"/>
      <c r="E30" s="198">
        <f ca="1">Summary!U17</f>
        <v>0.44653214563179122</v>
      </c>
      <c r="F30" s="199">
        <f ca="1">Summary!V17</f>
        <v>0.49757762809877826</v>
      </c>
      <c r="G30" s="198">
        <f>Summary!W29</f>
        <v>0.85854456072935403</v>
      </c>
      <c r="H30" s="198">
        <f ca="1">Summary!X29</f>
        <v>0.10769867311867865</v>
      </c>
      <c r="I30" s="198">
        <f ca="1">Summary!Y29</f>
        <v>4.2373101953708359E-2</v>
      </c>
      <c r="J30" s="198">
        <f ca="1">Summary!Z29</f>
        <v>-8.5373114653124915E-2</v>
      </c>
      <c r="K30" s="199">
        <f ca="1">Summary!AA29</f>
        <v>0.23416699935347296</v>
      </c>
      <c r="L30" s="198"/>
      <c r="M30" s="197"/>
      <c r="N30" s="342"/>
      <c r="O30" s="197"/>
      <c r="R30" s="23" t="s">
        <v>691</v>
      </c>
      <c r="S30" s="189">
        <f>IF($B$2="$ in Millions Except Per Share Data",1,IF($B$2="$ in Thousands Except Per Share Data",1000,IF($B$2="$ in Billions Except Per Share Data",0.001,0)))</f>
        <v>1000</v>
      </c>
    </row>
    <row r="31" spans="2:27" ht="15.75" customHeight="1">
      <c r="D31" s="882"/>
      <c r="E31" s="211"/>
      <c r="F31" s="212"/>
      <c r="G31" s="211"/>
      <c r="H31" s="211"/>
      <c r="I31" s="211"/>
      <c r="J31" s="211"/>
      <c r="K31" s="212"/>
      <c r="L31" s="211"/>
      <c r="M31" s="197"/>
      <c r="N31" s="342"/>
      <c r="O31" s="197"/>
    </row>
    <row r="32" spans="2:27" ht="15.75" customHeight="1">
      <c r="B32" s="23" t="str">
        <f>Summary!C19</f>
        <v>Net Income (Loss)</v>
      </c>
      <c r="C32" s="23"/>
      <c r="D32" s="882">
        <f>Summary!T19</f>
        <v>285223</v>
      </c>
      <c r="E32" s="208">
        <f ca="1">Summary!U19</f>
        <v>417737</v>
      </c>
      <c r="F32" s="209">
        <f>Summary!V19</f>
        <v>640707</v>
      </c>
      <c r="G32" s="208">
        <f ca="1">Summary!W19</f>
        <v>1207831.9578642466</v>
      </c>
      <c r="H32" s="208">
        <f ca="1">Summary!X19</f>
        <v>1340072.4383347207</v>
      </c>
      <c r="I32" s="208">
        <f ca="1">Summary!Y19</f>
        <v>1358063.9150676546</v>
      </c>
      <c r="J32" s="208">
        <f ca="1">Summary!Z19</f>
        <v>1231468.2951916298</v>
      </c>
      <c r="K32" s="209">
        <f ca="1">Summary!AA19</f>
        <v>1524493.01076501</v>
      </c>
      <c r="L32" s="208"/>
      <c r="M32" s="197">
        <f>Summary!AC19</f>
        <v>0.49877852820328972</v>
      </c>
      <c r="N32" s="342"/>
      <c r="O32" s="197">
        <f ca="1">Summary!AE19</f>
        <v>0.18930486042189409</v>
      </c>
    </row>
    <row r="33" spans="2:30" ht="15.75" customHeight="1">
      <c r="B33" s="114" t="str">
        <f>Summary!C20</f>
        <v>Margin</v>
      </c>
      <c r="C33" s="23"/>
      <c r="D33" s="882"/>
      <c r="E33" s="198">
        <f ca="1">Summary!U20</f>
        <v>0.13941477679091405</v>
      </c>
      <c r="F33" s="199">
        <f>Summary!V20</f>
        <v>0.16512709518659904</v>
      </c>
      <c r="G33" s="198">
        <f ca="1">Summary!W20</f>
        <v>0.17828326151539664</v>
      </c>
      <c r="H33" s="198">
        <f ca="1">Summary!X20</f>
        <v>0.17486762919362153</v>
      </c>
      <c r="I33" s="198">
        <f ca="1">Summary!Y20</f>
        <v>0.17203622721129042</v>
      </c>
      <c r="J33" s="198">
        <f ca="1">Summary!Z20</f>
        <v>0.15936913053589505</v>
      </c>
      <c r="K33" s="199">
        <f ca="1">Summary!AA20</f>
        <v>0.2079699191805788</v>
      </c>
      <c r="L33" s="198"/>
      <c r="M33" s="197"/>
      <c r="N33" s="342"/>
      <c r="O33" s="197"/>
      <c r="R33" s="1007"/>
      <c r="S33" s="1007"/>
      <c r="T33" s="1007"/>
      <c r="U33" s="1007"/>
      <c r="V33" s="1007"/>
      <c r="X33" s="1006"/>
      <c r="Y33" s="1006"/>
      <c r="Z33" s="1006"/>
    </row>
    <row r="34" spans="2:30" ht="15.75" customHeight="1">
      <c r="B34" s="114" t="str">
        <f>Summary!C21</f>
        <v>YoY % Growth</v>
      </c>
      <c r="C34" s="23"/>
      <c r="D34" s="882"/>
      <c r="E34" s="198">
        <f ca="1">Summary!U21</f>
        <v>0.4645978760478644</v>
      </c>
      <c r="F34" s="199">
        <f ca="1">Summary!V21</f>
        <v>0.53375688531300791</v>
      </c>
      <c r="G34" s="198">
        <f ca="1">Summary!W21</f>
        <v>0.88515492707937726</v>
      </c>
      <c r="H34" s="198">
        <f ca="1">Summary!X21</f>
        <v>0.10948582674059137</v>
      </c>
      <c r="I34" s="198">
        <f ca="1">Summary!Y21</f>
        <v>1.3425749398511266E-2</v>
      </c>
      <c r="J34" s="198">
        <f ca="1">Summary!Z21</f>
        <v>-9.3217718600319466E-2</v>
      </c>
      <c r="K34" s="199">
        <f ca="1">Summary!AA21</f>
        <v>0.23794742968009785</v>
      </c>
      <c r="L34" s="198"/>
      <c r="M34" s="197"/>
      <c r="N34" s="342"/>
      <c r="O34" s="197"/>
      <c r="R34" s="1006"/>
      <c r="S34" s="1006"/>
      <c r="T34" s="1006"/>
      <c r="U34" s="1006"/>
      <c r="V34" s="1006"/>
    </row>
    <row r="35" spans="2:30" ht="15.75" customHeight="1">
      <c r="D35" s="882"/>
      <c r="E35" s="211"/>
      <c r="F35" s="212"/>
      <c r="G35" s="211"/>
      <c r="H35" s="211"/>
      <c r="I35" s="211"/>
      <c r="J35" s="211"/>
      <c r="K35" s="212"/>
      <c r="L35" s="211"/>
      <c r="M35" s="197"/>
      <c r="N35" s="342"/>
      <c r="O35" s="197"/>
      <c r="R35" s="1006"/>
      <c r="S35" s="1006"/>
      <c r="T35" s="1006"/>
      <c r="U35" s="1006"/>
      <c r="V35" s="1006"/>
    </row>
    <row r="36" spans="2:30" ht="15.75" customHeight="1">
      <c r="B36" s="23" t="str">
        <f>Summary!C23</f>
        <v>Adj. EPS (Diluted)</v>
      </c>
      <c r="C36" s="23"/>
      <c r="D36" s="882">
        <f>Summary!T23</f>
        <v>6.371206264495374</v>
      </c>
      <c r="E36" s="208">
        <f ca="1">Summary!U23</f>
        <v>9.0832012678288425</v>
      </c>
      <c r="F36" s="209">
        <f>Summary!V23</f>
        <v>14.049559706629323</v>
      </c>
      <c r="G36" s="208">
        <f ca="1">Summary!W23</f>
        <v>25.791306843326122</v>
      </c>
      <c r="H36" s="208">
        <f ca="1">Summary!X23</f>
        <v>27.030169440180391</v>
      </c>
      <c r="I36" s="208">
        <f ca="1">Summary!Y23</f>
        <v>27.912089942800439</v>
      </c>
      <c r="J36" s="208">
        <f ca="1">Summary!Z23</f>
        <v>25.962365875459771</v>
      </c>
      <c r="K36" s="209">
        <f ca="1">Summary!AA23</f>
        <v>33.296064428197376</v>
      </c>
      <c r="L36" s="208"/>
      <c r="M36" s="197">
        <f>Summary!AC23</f>
        <v>0.48497972620087837</v>
      </c>
      <c r="N36" s="342"/>
      <c r="O36" s="197">
        <f ca="1">Summary!AE23</f>
        <v>0.18835456214479485</v>
      </c>
    </row>
    <row r="37" spans="2:30" ht="15.75" customHeight="1">
      <c r="B37" s="114" t="str">
        <f>Summary!C24</f>
        <v>YoY % Growth</v>
      </c>
      <c r="C37" s="23"/>
      <c r="D37" s="882"/>
      <c r="E37" s="198">
        <f ca="1">Summary!U24</f>
        <v>0.42566429193267852</v>
      </c>
      <c r="F37" s="199">
        <f ca="1">Summary!V24</f>
        <v>0.5467630070458176</v>
      </c>
      <c r="G37" s="198">
        <f ca="1">Summary!W24</f>
        <v>0.83573772999850138</v>
      </c>
      <c r="H37" s="198">
        <f ca="1">Summary!X24</f>
        <v>4.8034114920192383E-2</v>
      </c>
      <c r="I37" s="198">
        <f ca="1">Summary!Y24</f>
        <v>3.2627265048108534E-2</v>
      </c>
      <c r="J37" s="198">
        <f ca="1">Summary!Z24</f>
        <v>-6.9852313866005322E-2</v>
      </c>
      <c r="K37" s="199">
        <f ca="1">Summary!AA24</f>
        <v>0.2824742008458323</v>
      </c>
      <c r="L37" s="198"/>
      <c r="M37" s="880"/>
      <c r="O37" s="880"/>
    </row>
    <row r="38" spans="2:30" ht="15.75" customHeight="1">
      <c r="B38" s="114"/>
      <c r="C38" s="23"/>
      <c r="D38" s="882"/>
      <c r="E38" s="198"/>
      <c r="F38" s="199"/>
      <c r="G38" s="198"/>
      <c r="H38" s="198"/>
      <c r="I38" s="198"/>
      <c r="J38" s="198"/>
      <c r="K38" s="199"/>
      <c r="L38" s="198"/>
      <c r="M38" s="880"/>
      <c r="O38" s="880"/>
      <c r="Q38" s="23"/>
      <c r="AD38" s="3"/>
    </row>
    <row r="39" spans="2:30" ht="15.75" customHeight="1">
      <c r="B39" s="23" t="s">
        <v>636</v>
      </c>
      <c r="D39" s="882">
        <f>Model!J114</f>
        <v>-71792</v>
      </c>
      <c r="E39" s="208">
        <f ca="1">Model!O114</f>
        <v>351405</v>
      </c>
      <c r="F39" s="209">
        <f>Model!T114</f>
        <v>466034</v>
      </c>
      <c r="G39" s="208">
        <f ca="1">Model!Y114</f>
        <v>824785.43739537057</v>
      </c>
      <c r="H39" s="208">
        <f ca="1">Model!AD114</f>
        <v>1135711.0254087858</v>
      </c>
      <c r="I39" s="208">
        <f ca="1">Model!AE114</f>
        <v>1308047.5751349512</v>
      </c>
      <c r="J39" s="208">
        <f ca="1">Model!AF114</f>
        <v>1203739.2753111704</v>
      </c>
      <c r="K39" s="209">
        <f ca="1">Model!AG114</f>
        <v>1539595.6088822966</v>
      </c>
      <c r="M39" s="197" t="str">
        <f>IFERROR((F39/D39)^(1/2)-1,"N/A")</f>
        <v>N/A</v>
      </c>
      <c r="O39" s="197">
        <f ca="1">IFERROR((K39/G39)^(1/4)-1,"N/A")</f>
        <v>0.16887055874251411</v>
      </c>
    </row>
    <row r="40" spans="2:30" ht="15.75" customHeight="1">
      <c r="B40" s="114" t="s">
        <v>511</v>
      </c>
      <c r="D40" s="883"/>
      <c r="E40" s="198">
        <f t="shared" ref="E40:K40" ca="1" si="0">E39/D39-1</f>
        <v>-5.8947654334744817</v>
      </c>
      <c r="F40" s="199">
        <f t="shared" ca="1" si="0"/>
        <v>0.32620196070061613</v>
      </c>
      <c r="G40" s="198">
        <f t="shared" ca="1" si="0"/>
        <v>0.76979670452235371</v>
      </c>
      <c r="H40" s="198">
        <f t="shared" ca="1" si="0"/>
        <v>0.3769775433903173</v>
      </c>
      <c r="I40" s="198">
        <f t="shared" ca="1" si="0"/>
        <v>0.15174330958364601</v>
      </c>
      <c r="J40" s="198">
        <f t="shared" ca="1" si="0"/>
        <v>-7.9743506128222674E-2</v>
      </c>
      <c r="K40" s="199">
        <f t="shared" ca="1" si="0"/>
        <v>0.27901086261749364</v>
      </c>
      <c r="M40" s="876"/>
      <c r="O40" s="876"/>
    </row>
    <row r="41" spans="2:30" ht="5.0999999999999996" customHeight="1">
      <c r="D41" s="883"/>
    </row>
    <row r="42" spans="2:30" ht="15.75" customHeight="1" thickBot="1">
      <c r="B42" s="886"/>
      <c r="C42" s="521"/>
      <c r="D42" s="890"/>
      <c r="E42" s="991" t="s">
        <v>508</v>
      </c>
      <c r="F42" s="991"/>
      <c r="G42" s="991"/>
      <c r="H42" s="991"/>
      <c r="I42" s="991"/>
      <c r="J42" s="991"/>
      <c r="K42" s="992"/>
      <c r="M42" s="888" t="s">
        <v>352</v>
      </c>
      <c r="N42" s="548"/>
      <c r="O42" s="888" t="s">
        <v>352</v>
      </c>
    </row>
    <row r="43" spans="2:30" ht="15.75" customHeight="1">
      <c r="B43" s="887" t="s">
        <v>638</v>
      </c>
      <c r="C43" s="572"/>
      <c r="D43" s="891"/>
      <c r="E43" s="572">
        <f>E19</f>
        <v>2024</v>
      </c>
      <c r="F43" s="572">
        <f t="shared" ref="F43:K43" si="1">F19</f>
        <v>2025</v>
      </c>
      <c r="G43" s="572" t="str">
        <f t="shared" si="1"/>
        <v>2026e</v>
      </c>
      <c r="H43" s="572" t="str">
        <f t="shared" si="1"/>
        <v>2027e</v>
      </c>
      <c r="I43" s="572" t="str">
        <f t="shared" si="1"/>
        <v>2028e</v>
      </c>
      <c r="J43" s="572" t="str">
        <f t="shared" si="1"/>
        <v>2029e</v>
      </c>
      <c r="K43" s="572" t="str">
        <f t="shared" si="1"/>
        <v>2030e</v>
      </c>
      <c r="M43" s="889" t="s">
        <v>237</v>
      </c>
      <c r="N43" s="548"/>
      <c r="O43" s="889" t="s">
        <v>238</v>
      </c>
    </row>
    <row r="44" spans="2:30" s="23" customFormat="1" ht="15.75" customHeight="1">
      <c r="B44" s="155" t="str">
        <f>Summary!C91</f>
        <v>Leverage</v>
      </c>
      <c r="C44" s="155"/>
      <c r="D44" s="883"/>
      <c r="M44" s="3"/>
      <c r="N44" s="3"/>
      <c r="O44" s="3"/>
    </row>
    <row r="45" spans="2:30" ht="15.75" customHeight="1">
      <c r="B45" s="49" t="str">
        <f>Summary!C92</f>
        <v>Total Debt / EBITDA</v>
      </c>
      <c r="D45" s="882">
        <f>Summary!T92</f>
        <v>0.93424537731134438</v>
      </c>
      <c r="E45" s="225">
        <f ca="1">Summary!U92</f>
        <v>0.65809205315497665</v>
      </c>
      <c r="F45" s="226">
        <f>Summary!V92</f>
        <v>0.63800969102334415</v>
      </c>
      <c r="G45" s="225">
        <f ca="1">Summary!W92</f>
        <v>0.34297068055502433</v>
      </c>
      <c r="H45" s="225">
        <f ca="1">Summary!X92</f>
        <v>0.30950980047730203</v>
      </c>
      <c r="I45" s="225">
        <f ca="1">Summary!Y92</f>
        <v>0.44714158059935394</v>
      </c>
      <c r="J45" s="225">
        <f ca="1">Summary!Z92</f>
        <v>0.32392186534603951</v>
      </c>
      <c r="K45" s="226">
        <f ca="1">Summary!AA92</f>
        <v>0.26216942160655299</v>
      </c>
      <c r="M45" s="884">
        <f ca="1">AVERAGE(D45:F45)</f>
        <v>0.74344904049655502</v>
      </c>
      <c r="N45" s="342"/>
      <c r="O45" s="884">
        <f ca="1">AVERAGE(G45:K45)</f>
        <v>0.33714266971685458</v>
      </c>
    </row>
    <row r="46" spans="2:30">
      <c r="B46" s="49" t="str">
        <f>Summary!C93</f>
        <v>Total Debt / Equity</v>
      </c>
      <c r="D46" s="882">
        <f>Summary!T93</f>
        <v>0.20975433242262229</v>
      </c>
      <c r="E46" s="225">
        <f>Summary!U93</f>
        <v>0.19254993284608982</v>
      </c>
      <c r="F46" s="226">
        <f>Summary!V93</f>
        <v>0.23287681271245839</v>
      </c>
      <c r="G46" s="225">
        <f ca="1">Summary!W93</f>
        <v>0.18390327739559487</v>
      </c>
      <c r="H46" s="225">
        <f ca="1">Summary!X93</f>
        <v>0.12665309581715195</v>
      </c>
      <c r="I46" s="225">
        <f ca="1">Summary!Y93</f>
        <v>0.14167230039790141</v>
      </c>
      <c r="J46" s="225">
        <f ca="1">Summary!Z93</f>
        <v>7.6249531298195825E-2</v>
      </c>
      <c r="K46" s="226">
        <f ca="1">Summary!AA93</f>
        <v>6.2275461624165307E-2</v>
      </c>
      <c r="M46" s="885">
        <f>AVERAGE(D46:F46)</f>
        <v>0.21172702599372351</v>
      </c>
      <c r="N46" s="342"/>
      <c r="O46" s="885">
        <f ca="1">AVERAGE(G46:K46)</f>
        <v>0.11815073330660186</v>
      </c>
    </row>
    <row r="47" spans="2:30">
      <c r="B47" s="49" t="str">
        <f>Summary!C94</f>
        <v>Total Debt / Total Assets</v>
      </c>
      <c r="D47" s="882">
        <f>Summary!T94</f>
        <v>0.10096000915940333</v>
      </c>
      <c r="E47" s="225">
        <f>Summary!U94</f>
        <v>8.9577766592053465E-2</v>
      </c>
      <c r="F47" s="226">
        <f>Summary!V94</f>
        <v>0.1008274019675269</v>
      </c>
      <c r="G47" s="225">
        <f ca="1">Summary!W94</f>
        <v>8.0788577260431149E-2</v>
      </c>
      <c r="H47" s="225">
        <f ca="1">Summary!X94</f>
        <v>6.4250247948930903E-2</v>
      </c>
      <c r="I47" s="225">
        <f ca="1">Summary!Y94</f>
        <v>8.7426530759709367E-2</v>
      </c>
      <c r="J47" s="225">
        <f ca="1">Summary!Z94</f>
        <v>5.4512069629562461E-2</v>
      </c>
      <c r="K47" s="226">
        <f ca="1">Summary!AA94</f>
        <v>4.9210748033997262E-2</v>
      </c>
      <c r="M47" s="885">
        <f>AVERAGE(D47:F47)</f>
        <v>9.7121725906327908E-2</v>
      </c>
      <c r="N47" s="342"/>
      <c r="O47" s="885">
        <f ca="1">AVERAGE(G47:K47)</f>
        <v>6.7237634726526233E-2</v>
      </c>
    </row>
    <row r="48" spans="2:30">
      <c r="D48" s="882"/>
      <c r="F48" s="874"/>
      <c r="K48" s="874"/>
      <c r="M48" s="197"/>
      <c r="N48" s="342"/>
      <c r="O48" s="197"/>
    </row>
    <row r="49" spans="2:15">
      <c r="B49" s="155" t="str">
        <f>Summary!C103</f>
        <v>Liquidity</v>
      </c>
      <c r="C49" s="9"/>
      <c r="D49" s="882"/>
      <c r="F49" s="874"/>
      <c r="K49" s="874"/>
      <c r="M49" s="197"/>
      <c r="N49" s="342"/>
      <c r="O49" s="197"/>
    </row>
    <row r="50" spans="2:15">
      <c r="B50" s="49" t="str">
        <f>Summary!C104</f>
        <v>Current Ratio</v>
      </c>
      <c r="D50" s="882">
        <f>Summary!T104</f>
        <v>2.8626902211834619</v>
      </c>
      <c r="E50" s="225">
        <f>Summary!U104</f>
        <v>2.5069438268238451</v>
      </c>
      <c r="F50" s="226">
        <f>Summary!V104</f>
        <v>2.1633932761810026</v>
      </c>
      <c r="G50" s="225">
        <f ca="1">Summary!W104</f>
        <v>2.0177587215498107</v>
      </c>
      <c r="H50" s="225">
        <f ca="1">Summary!X104</f>
        <v>2.3068695003491193</v>
      </c>
      <c r="I50" s="225">
        <f ca="1">Summary!Y104</f>
        <v>3.6527778112144151</v>
      </c>
      <c r="J50" s="225">
        <f ca="1">Summary!Z104</f>
        <v>5.0473217770849681</v>
      </c>
      <c r="K50" s="226">
        <f ca="1">Summary!AA104</f>
        <v>8.4109502478873583</v>
      </c>
      <c r="M50" s="885">
        <f>AVERAGE(D50:F50)</f>
        <v>2.5110091080627699</v>
      </c>
      <c r="N50" s="342"/>
      <c r="O50" s="885">
        <f ca="1">AVERAGE(G50:K50)</f>
        <v>4.287135611617134</v>
      </c>
    </row>
    <row r="51" spans="2:15">
      <c r="B51" s="49" t="str">
        <f>Summary!C105</f>
        <v>Quick Ratio</v>
      </c>
      <c r="D51" s="882">
        <f>Summary!T105</f>
        <v>1.092489607816636</v>
      </c>
      <c r="E51" s="225">
        <f>Summary!U105</f>
        <v>1.1143289843520576</v>
      </c>
      <c r="F51" s="226">
        <f>Summary!V105</f>
        <v>1.1468217543698318</v>
      </c>
      <c r="G51" s="225">
        <f ca="1">Summary!W105</f>
        <v>0.75109205488314368</v>
      </c>
      <c r="H51" s="225">
        <f ca="1">Summary!X105</f>
        <v>1.0402028336824527</v>
      </c>
      <c r="I51" s="225">
        <f ca="1">Summary!Y105</f>
        <v>0.80106678459844471</v>
      </c>
      <c r="J51" s="225">
        <f ca="1">Summary!Z105</f>
        <v>1.2011679309311212</v>
      </c>
      <c r="K51" s="226">
        <f ca="1">Summary!AA105</f>
        <v>2.6677070046441158</v>
      </c>
      <c r="M51" s="885">
        <f>AVERAGE(D51:F51)</f>
        <v>1.1178801155128417</v>
      </c>
      <c r="N51" s="342"/>
      <c r="O51" s="885">
        <f ca="1">AVERAGE(G51:K51)</f>
        <v>1.2922473217478558</v>
      </c>
    </row>
    <row r="52" spans="2:15">
      <c r="B52" s="49" t="str">
        <f>Summary!C106</f>
        <v>Cash Ratio</v>
      </c>
      <c r="D52" s="882">
        <f>Summary!T106</f>
        <v>0.65586736684105096</v>
      </c>
      <c r="E52" s="225">
        <f>Summary!U106</f>
        <v>0.7325124805973906</v>
      </c>
      <c r="F52" s="226">
        <f>Summary!V106</f>
        <v>0.79959807583290765</v>
      </c>
      <c r="G52" s="225">
        <f ca="1">Summary!W106</f>
        <v>0.31630944618749146</v>
      </c>
      <c r="H52" s="225">
        <f ca="1">Summary!X106</f>
        <v>0.60542022498680048</v>
      </c>
      <c r="I52" s="225">
        <f ca="1">Summary!Y106</f>
        <v>0.22812027696783885</v>
      </c>
      <c r="J52" s="225">
        <f ca="1">Summary!Z106</f>
        <v>0.47672114484049943</v>
      </c>
      <c r="K52" s="226">
        <f ca="1">Summary!AA106</f>
        <v>1.6495655755437826</v>
      </c>
      <c r="M52" s="885">
        <f>AVERAGE(D52:F52)</f>
        <v>0.72932597442378311</v>
      </c>
      <c r="N52" s="342"/>
      <c r="O52" s="885">
        <f ca="1">AVERAGE(G52:K52)</f>
        <v>0.65522733370528263</v>
      </c>
    </row>
    <row r="53" spans="2:15">
      <c r="D53" s="882"/>
      <c r="F53" s="874"/>
      <c r="K53" s="874"/>
      <c r="M53" s="197"/>
      <c r="N53" s="342"/>
      <c r="O53" s="197"/>
    </row>
    <row r="54" spans="2:15">
      <c r="B54" s="155" t="str">
        <f>Summary!C75</f>
        <v>Profitability</v>
      </c>
      <c r="C54" s="155"/>
      <c r="D54" s="882"/>
      <c r="F54" s="874"/>
      <c r="K54" s="874"/>
      <c r="M54" s="197"/>
      <c r="N54" s="342"/>
      <c r="O54" s="197"/>
    </row>
    <row r="55" spans="2:15">
      <c r="B55" s="49" t="str">
        <f>Summary!C80</f>
        <v>Return on Assets (ROA)</v>
      </c>
      <c r="D55" s="882">
        <f>Summary!T80</f>
        <v>7.7018646622551035E-2</v>
      </c>
      <c r="E55" s="222">
        <f ca="1">Summary!U80</f>
        <v>0.10008143324426547</v>
      </c>
      <c r="F55" s="223">
        <f>Summary!V80</f>
        <v>0.11957734247812236</v>
      </c>
      <c r="G55" s="222">
        <f ca="1">Summary!W80</f>
        <v>0.18078593095222686</v>
      </c>
      <c r="H55" s="222">
        <f ca="1">Summary!X80</f>
        <v>0.15957769624729956</v>
      </c>
      <c r="I55" s="222">
        <f ca="1">Summary!Y80</f>
        <v>0.1461297746557966</v>
      </c>
      <c r="J55" s="222">
        <f ca="1">Summary!Z80</f>
        <v>0.12469584870425078</v>
      </c>
      <c r="K55" s="223">
        <f ca="1">Summary!AA80</f>
        <v>0.13951014587167393</v>
      </c>
      <c r="M55" s="197">
        <f ca="1">AVERAGE(D55:F55)</f>
        <v>9.8892474114979631E-2</v>
      </c>
      <c r="N55" s="342"/>
      <c r="O55" s="197">
        <f ca="1">AVERAGE(G55:K55)</f>
        <v>0.15013987928624953</v>
      </c>
    </row>
    <row r="56" spans="2:15">
      <c r="B56" s="49" t="str">
        <f>Summary!C81</f>
        <v>Return on Equity (ROE)</v>
      </c>
      <c r="D56" s="882">
        <f>Summary!T81</f>
        <v>0.16001380091893924</v>
      </c>
      <c r="E56" s="222">
        <f ca="1">Summary!U81</f>
        <v>0.21512786022098992</v>
      </c>
      <c r="F56" s="223">
        <f>Summary!V81</f>
        <v>0.27618276228023514</v>
      </c>
      <c r="G56" s="222">
        <f ca="1">Summary!W81</f>
        <v>0.41153250046664835</v>
      </c>
      <c r="H56" s="222">
        <f ca="1">Summary!X81</f>
        <v>0.31456702344797566</v>
      </c>
      <c r="I56" s="222">
        <f ca="1">Summary!Y81</f>
        <v>0.23679930053514661</v>
      </c>
      <c r="J56" s="222">
        <f ca="1">Summary!Z81</f>
        <v>0.1744200886728684</v>
      </c>
      <c r="K56" s="223">
        <f ca="1">Summary!AA81</f>
        <v>0.17654799169910981</v>
      </c>
      <c r="M56" s="197">
        <f ca="1">AVERAGE(D56:F56)</f>
        <v>0.21710814114005475</v>
      </c>
      <c r="N56" s="342"/>
      <c r="O56" s="197">
        <f ca="1">AVERAGE(G56:K56)</f>
        <v>0.26277338096434971</v>
      </c>
    </row>
    <row r="57" spans="2:15">
      <c r="B57" s="49" t="s">
        <v>639</v>
      </c>
      <c r="D57" s="882">
        <f>Summary!T82</f>
        <v>0.13226966552663613</v>
      </c>
      <c r="E57" s="222">
        <f ca="1">Summary!U82</f>
        <v>0.18039316786306361</v>
      </c>
      <c r="F57" s="223">
        <f>Summary!V82</f>
        <v>0.22401488894304378</v>
      </c>
      <c r="G57" s="222">
        <f ca="1">Summary!W82</f>
        <v>0.34760652185367424</v>
      </c>
      <c r="H57" s="222">
        <f ca="1">Summary!X82</f>
        <v>0.27920486316138232</v>
      </c>
      <c r="I57" s="222">
        <f ca="1">Summary!Y82</f>
        <v>0.20741442220558046</v>
      </c>
      <c r="J57" s="222">
        <f ca="1">Summary!Z82</f>
        <v>0.16206287073823769</v>
      </c>
      <c r="K57" s="223">
        <f ca="1">Summary!AA82</f>
        <v>0.16619793836636018</v>
      </c>
      <c r="M57" s="197">
        <f ca="1">AVERAGE(D57:F57)</f>
        <v>0.1788925741109145</v>
      </c>
      <c r="N57" s="342"/>
      <c r="O57" s="197">
        <f ca="1">AVERAGE(G57:K57)</f>
        <v>0.23249732326504696</v>
      </c>
    </row>
    <row r="58" spans="2:15" ht="15" customHeight="1">
      <c r="F58" s="874"/>
      <c r="K58" s="874"/>
      <c r="M58" s="197"/>
      <c r="N58" s="342"/>
      <c r="O58" s="197"/>
    </row>
    <row r="59" spans="2:15">
      <c r="B59" s="155" t="str">
        <f>Summary!C84</f>
        <v>Coverage</v>
      </c>
      <c r="C59" s="155"/>
      <c r="D59" s="882"/>
      <c r="F59" s="874"/>
      <c r="K59" s="874"/>
      <c r="M59" s="197"/>
      <c r="N59" s="342"/>
      <c r="O59" s="197"/>
    </row>
    <row r="60" spans="2:15">
      <c r="B60" s="49" t="s">
        <v>569</v>
      </c>
      <c r="D60" s="882">
        <f>Summary!T85</f>
        <v>16717</v>
      </c>
      <c r="E60" s="208">
        <f>Summary!U85</f>
        <v>16768</v>
      </c>
      <c r="F60" s="209">
        <f>Summary!V85</f>
        <v>24264</v>
      </c>
      <c r="G60" s="208">
        <f ca="1">Summary!W85</f>
        <v>36421.599000000002</v>
      </c>
      <c r="H60" s="208">
        <f ca="1">Summary!X85</f>
        <v>24283.079999999998</v>
      </c>
      <c r="I60" s="208">
        <f ca="1">Summary!Y85</f>
        <v>27396.650921907269</v>
      </c>
      <c r="J60" s="208">
        <f ca="1">Summary!Z85</f>
        <v>27372.650921907269</v>
      </c>
      <c r="K60" s="209">
        <f ca="1">Summary!AA85</f>
        <v>21521.96</v>
      </c>
      <c r="M60" s="918">
        <f>AVERAGE(D60:F60)</f>
        <v>19249.666666666668</v>
      </c>
      <c r="N60" s="208"/>
      <c r="O60" s="918">
        <f ca="1">AVERAGE(G60:K60)</f>
        <v>27399.18816876291</v>
      </c>
    </row>
    <row r="61" spans="2:15">
      <c r="B61" s="49" t="s">
        <v>86</v>
      </c>
      <c r="D61" s="882">
        <f>Summary!T86</f>
        <v>55838</v>
      </c>
      <c r="E61" s="213">
        <f>Summary!U86</f>
        <v>38792</v>
      </c>
      <c r="F61" s="214">
        <f>Summary!V86</f>
        <v>74002</v>
      </c>
      <c r="G61" s="213">
        <f>Summary!W86</f>
        <v>83717.840289728541</v>
      </c>
      <c r="H61" s="213">
        <f>Summary!X86</f>
        <v>114950.30079445953</v>
      </c>
      <c r="I61" s="213">
        <f>Summary!Y86</f>
        <v>118410.86645660823</v>
      </c>
      <c r="J61" s="213">
        <f>Summary!Z86</f>
        <v>115907.16700129047</v>
      </c>
      <c r="K61" s="214">
        <f>Summary!AA86</f>
        <v>109955.30147616951</v>
      </c>
      <c r="M61" s="919">
        <f>AVERAGE(D61:F61)</f>
        <v>56210.666666666664</v>
      </c>
      <c r="N61" s="213"/>
      <c r="O61" s="919">
        <f>AVERAGE(G61:K61)</f>
        <v>108588.29520365126</v>
      </c>
    </row>
    <row r="62" spans="2:15">
      <c r="B62" s="49" t="s">
        <v>646</v>
      </c>
      <c r="D62" s="882">
        <f>Summary!T87</f>
        <v>22.483220673565832</v>
      </c>
      <c r="E62" s="225">
        <f ca="1">Summary!U87</f>
        <v>32.423783396946568</v>
      </c>
      <c r="F62" s="226">
        <f>Summary!V87</f>
        <v>33.556132542037588</v>
      </c>
      <c r="G62" s="225">
        <f ca="1">Summary!W87</f>
        <v>42.136243663371907</v>
      </c>
      <c r="H62" s="225">
        <f ca="1">Summary!X87</f>
        <v>71.634560738933814</v>
      </c>
      <c r="I62" s="225">
        <f ca="1">Summary!Y87</f>
        <v>65.647978088904992</v>
      </c>
      <c r="J62" s="225">
        <f ca="1">Summary!Z87</f>
        <v>59.631468893318846</v>
      </c>
      <c r="K62" s="226">
        <f ca="1">Summary!AA87</f>
        <v>93.521831162508477</v>
      </c>
      <c r="M62" s="885">
        <f ca="1">AVERAGE(D62:F62)</f>
        <v>29.487712204183328</v>
      </c>
      <c r="N62" s="225"/>
      <c r="O62" s="885">
        <f ca="1">AVERAGE(G62:K62)</f>
        <v>66.514416509407596</v>
      </c>
    </row>
    <row r="63" spans="2:15">
      <c r="B63" s="49" t="s">
        <v>645</v>
      </c>
      <c r="D63" s="882">
        <f>Summary!T88</f>
        <v>23.93970209965903</v>
      </c>
      <c r="E63" s="225">
        <f ca="1">Summary!U88</f>
        <v>33.882991412213741</v>
      </c>
      <c r="F63" s="226">
        <f>Summary!V88</f>
        <v>34.897914606000661</v>
      </c>
      <c r="G63" s="225">
        <f ca="1">Summary!W88</f>
        <v>43.209161900796005</v>
      </c>
      <c r="H63" s="225">
        <f ca="1">Summary!X88</f>
        <v>71.78814246800728</v>
      </c>
      <c r="I63" s="225">
        <f ca="1">Summary!Y88</f>
        <v>66.325755643141306</v>
      </c>
      <c r="J63" s="225">
        <f ca="1">Summary!Z88</f>
        <v>60.716508146292121</v>
      </c>
      <c r="K63" s="226">
        <f ca="1">Summary!AA88</f>
        <v>95.305015344662891</v>
      </c>
      <c r="M63" s="885">
        <f ca="1">AVERAGE(D63:F63)</f>
        <v>30.906869372624481</v>
      </c>
      <c r="N63" s="225"/>
      <c r="O63" s="885">
        <f ca="1">AVERAGE(G63:K63)</f>
        <v>67.468916700579911</v>
      </c>
    </row>
    <row r="64" spans="2:15" ht="15">
      <c r="B64" s="49" t="s">
        <v>644</v>
      </c>
      <c r="C64"/>
      <c r="D64" s="882">
        <f>Summary!T89</f>
        <v>20.599509481366272</v>
      </c>
      <c r="E64" s="225">
        <f ca="1">Summary!U89</f>
        <v>31.569537213740457</v>
      </c>
      <c r="F64" s="226">
        <f>Summary!V89</f>
        <v>31.848046488625123</v>
      </c>
      <c r="G64" s="225">
        <f ca="1">Summary!W89</f>
        <v>40.91058516094094</v>
      </c>
      <c r="H64" s="225">
        <f ca="1">Summary!X89</f>
        <v>67.054381314378517</v>
      </c>
      <c r="I64" s="225">
        <f ca="1">Summary!Y89</f>
        <v>62.003662888295743</v>
      </c>
      <c r="J64" s="225">
        <f ca="1">Summary!Z89</f>
        <v>56.482093023987474</v>
      </c>
      <c r="K64" s="226">
        <f ca="1">Summary!AA89</f>
        <v>90.19603356622963</v>
      </c>
      <c r="M64" s="885">
        <f ca="1">AVERAGE(D64:F64)</f>
        <v>28.005697727910615</v>
      </c>
      <c r="N64" s="225"/>
      <c r="O64" s="885">
        <f ca="1">AVERAGE(G64:K64)</f>
        <v>63.329351190766467</v>
      </c>
    </row>
    <row r="65" spans="2:15">
      <c r="B65" s="49"/>
      <c r="C65" s="23"/>
      <c r="D65" s="882"/>
      <c r="F65" s="874"/>
      <c r="K65" s="874"/>
      <c r="M65" s="197"/>
      <c r="N65" s="342"/>
      <c r="O65" s="197"/>
    </row>
    <row r="66" spans="2:15">
      <c r="B66" s="155" t="str">
        <f>Summary!C96</f>
        <v>Efficiency</v>
      </c>
      <c r="C66" s="155"/>
      <c r="D66" s="882"/>
      <c r="F66" s="874"/>
      <c r="K66" s="874"/>
      <c r="M66" s="197"/>
      <c r="N66" s="342"/>
      <c r="O66" s="197"/>
    </row>
    <row r="67" spans="2:15">
      <c r="B67" s="49" t="str">
        <f>Summary!C97</f>
        <v>Asset Turnover</v>
      </c>
      <c r="C67" s="23"/>
      <c r="D67" s="882">
        <f>Summary!T97</f>
        <v>0.65959207171553569</v>
      </c>
      <c r="E67" s="229">
        <f>Summary!U97</f>
        <v>0.71786818835109301</v>
      </c>
      <c r="F67" s="230">
        <f>Summary!V97</f>
        <v>0.72415337012375847</v>
      </c>
      <c r="G67" s="229">
        <f ca="1">Summary!W97</f>
        <v>1.014037601822839</v>
      </c>
      <c r="H67" s="229">
        <f ca="1">Summary!X97</f>
        <v>0.912562816704101</v>
      </c>
      <c r="I67" s="229">
        <f ca="1">Summary!Y97</f>
        <v>0.84941280696840571</v>
      </c>
      <c r="J67" s="229">
        <f ca="1">Summary!Z97</f>
        <v>0.78243414069555506</v>
      </c>
      <c r="K67" s="230">
        <f ca="1">Summary!AA97</f>
        <v>0.67081886852366501</v>
      </c>
      <c r="M67" s="885">
        <f>AVERAGE(D67:F67)</f>
        <v>0.70053787673012913</v>
      </c>
      <c r="N67" s="229"/>
      <c r="O67" s="885">
        <f ca="1">AVERAGE(G67:K67)</f>
        <v>0.8458532469429132</v>
      </c>
    </row>
    <row r="68" spans="2:15">
      <c r="B68" s="49" t="str">
        <f>Summary!C98</f>
        <v>Days Sales Outstanding</v>
      </c>
      <c r="D68" s="882">
        <f>Summary!T98</f>
        <v>59.375076248656178</v>
      </c>
      <c r="E68" s="38">
        <f>Summary!U98</f>
        <v>51.918527173461413</v>
      </c>
      <c r="F68" s="231">
        <f>Summary!V98</f>
        <v>50.668867478126757</v>
      </c>
      <c r="G68" s="38">
        <f>Summary!W98</f>
        <v>46.516124100355746</v>
      </c>
      <c r="H68" s="38">
        <f>Summary!X98</f>
        <v>56.73720279989319</v>
      </c>
      <c r="I68" s="38">
        <f>Summary!Y98</f>
        <v>55</v>
      </c>
      <c r="J68" s="38">
        <f>Summary!Z98</f>
        <v>55</v>
      </c>
      <c r="K68" s="231">
        <f>Summary!AA98</f>
        <v>55</v>
      </c>
      <c r="M68" s="920">
        <f>AVERAGE(D68:F68)</f>
        <v>53.987490300081447</v>
      </c>
      <c r="N68" s="38"/>
      <c r="O68" s="920">
        <f>AVERAGE(G68:K68)</f>
        <v>53.65066538004978</v>
      </c>
    </row>
    <row r="69" spans="2:15" outlineLevel="1">
      <c r="B69" s="49" t="str">
        <f>Summary!C99</f>
        <v>Days Inventory Outstanding</v>
      </c>
      <c r="D69" s="882" t="e">
        <f>Summary!T99</f>
        <v>#DIV/0!</v>
      </c>
      <c r="E69" s="38" t="e">
        <f>Summary!U99</f>
        <v>#DIV/0!</v>
      </c>
      <c r="F69" s="231" t="e">
        <f>Summary!V99</f>
        <v>#DIV/0!</v>
      </c>
      <c r="G69" s="38" t="e">
        <f>Summary!W99</f>
        <v>#DIV/0!</v>
      </c>
      <c r="H69" s="38" t="e">
        <f>Summary!X99</f>
        <v>#DIV/0!</v>
      </c>
      <c r="I69" s="38">
        <f>Summary!Y99</f>
        <v>0</v>
      </c>
      <c r="J69" s="38">
        <f>Summary!Z99</f>
        <v>0</v>
      </c>
      <c r="K69" s="231">
        <f>Summary!AA99</f>
        <v>0</v>
      </c>
      <c r="M69" s="920" t="e">
        <f>AVERAGE(D69:F69)</f>
        <v>#DIV/0!</v>
      </c>
      <c r="N69" s="38"/>
      <c r="O69" s="920" t="e">
        <f>AVERAGE(G69:K69)</f>
        <v>#DIV/0!</v>
      </c>
    </row>
    <row r="70" spans="2:15" outlineLevel="1">
      <c r="B70" s="49" t="str">
        <f>Summary!C100</f>
        <v>Accounts Payable as a % of Sales</v>
      </c>
      <c r="D70" s="882">
        <f>Summary!T100</f>
        <v>2.940516632237072E-2</v>
      </c>
      <c r="E70" s="38">
        <f>Summary!U100</f>
        <v>2.587638805871522E-2</v>
      </c>
      <c r="F70" s="231">
        <f>Summary!V100</f>
        <v>2.7959446238792769E-2</v>
      </c>
      <c r="G70" s="38">
        <f>Summary!W100</f>
        <v>3.7439868377438693E-2</v>
      </c>
      <c r="H70" s="38">
        <f>Summary!X100</f>
        <v>3.821031690810938E-2</v>
      </c>
      <c r="I70" s="38">
        <f>Summary!Y100</f>
        <v>2.8000000000000001E-2</v>
      </c>
      <c r="J70" s="38">
        <f>Summary!Z100</f>
        <v>2.8000000000000001E-2</v>
      </c>
      <c r="K70" s="231">
        <f>Summary!AA100</f>
        <v>2.8000000000000001E-2</v>
      </c>
      <c r="M70" s="920">
        <f>AVERAGE(D70:F70)</f>
        <v>2.7747000206626238E-2</v>
      </c>
      <c r="N70" s="38"/>
      <c r="O70" s="920">
        <f>AVERAGE(G70:K70)</f>
        <v>3.193003705710961E-2</v>
      </c>
    </row>
    <row r="71" spans="2:15" outlineLevel="1">
      <c r="B71" s="49" t="str">
        <f>Summary!C101</f>
        <v>Cash Conversion Cycle</v>
      </c>
      <c r="D71" s="882" t="e">
        <f>Summary!T101</f>
        <v>#DIV/0!</v>
      </c>
      <c r="E71" s="38" t="e">
        <f>Summary!U101</f>
        <v>#DIV/0!</v>
      </c>
      <c r="F71" s="231" t="e">
        <f>Summary!V101</f>
        <v>#DIV/0!</v>
      </c>
      <c r="G71" s="38" t="e">
        <f>Summary!W101</f>
        <v>#DIV/0!</v>
      </c>
      <c r="H71" s="38" t="e">
        <f>Summary!X101</f>
        <v>#DIV/0!</v>
      </c>
      <c r="I71" s="38">
        <f>Summary!Y101</f>
        <v>54.972000000000001</v>
      </c>
      <c r="J71" s="38">
        <f>Summary!Z101</f>
        <v>54.972000000000001</v>
      </c>
      <c r="K71" s="231">
        <f>Summary!AA101</f>
        <v>54.972000000000001</v>
      </c>
      <c r="M71" s="921" t="e">
        <f>AVERAGE(D71:F71)</f>
        <v>#DIV/0!</v>
      </c>
      <c r="N71" s="38"/>
      <c r="O71" s="921" t="e">
        <f>AVERAGE(G71:K71)</f>
        <v>#DIV/0!</v>
      </c>
    </row>
    <row r="72" spans="2:15">
      <c r="B72" s="49"/>
    </row>
  </sheetData>
  <mergeCells count="13">
    <mergeCell ref="K1:M1"/>
    <mergeCell ref="K3:N3"/>
    <mergeCell ref="N13:O13"/>
    <mergeCell ref="O3:P3"/>
    <mergeCell ref="N1:O1"/>
    <mergeCell ref="N7:O7"/>
    <mergeCell ref="N8:O8"/>
    <mergeCell ref="N9:O9"/>
    <mergeCell ref="N14:O14"/>
    <mergeCell ref="N15:O15"/>
    <mergeCell ref="N16:O16"/>
    <mergeCell ref="N10:O10"/>
    <mergeCell ref="K2:N2"/>
  </mergeCells>
  <conditionalFormatting sqref="I6">
    <cfRule type="expression" dxfId="148" priority="10">
      <formula>$Q$2="Report"</formula>
    </cfRule>
    <cfRule type="expression" dxfId="147" priority="11">
      <formula>$P$2="Report"</formula>
    </cfRule>
  </conditionalFormatting>
  <conditionalFormatting sqref="I12">
    <cfRule type="expression" dxfId="146" priority="8">
      <formula>$Q$2="Report"</formula>
    </cfRule>
    <cfRule type="expression" dxfId="145" priority="9">
      <formula>$P$2="Report"</formula>
    </cfRule>
  </conditionalFormatting>
  <conditionalFormatting sqref="M21:M39">
    <cfRule type="containsText" dxfId="144" priority="2" operator="containsText" text="N/A">
      <formula>NOT(ISERROR(SEARCH("N/A",M21)))</formula>
    </cfRule>
  </conditionalFormatting>
  <conditionalFormatting sqref="M45:M59">
    <cfRule type="containsText" dxfId="143" priority="6" operator="containsText" text="N/A">
      <formula>NOT(ISERROR(SEARCH("N/A",M45)))</formula>
    </cfRule>
  </conditionalFormatting>
  <conditionalFormatting sqref="M65:M66">
    <cfRule type="containsText" dxfId="142" priority="4" operator="containsText" text="N/A">
      <formula>NOT(ISERROR(SEARCH("N/A",M65)))</formula>
    </cfRule>
  </conditionalFormatting>
  <conditionalFormatting sqref="O21:O39">
    <cfRule type="containsText" dxfId="141" priority="1" operator="containsText" text="N/A">
      <formula>NOT(ISERROR(SEARCH("N/A",O21)))</formula>
    </cfRule>
  </conditionalFormatting>
  <conditionalFormatting sqref="O45:O59">
    <cfRule type="containsText" dxfId="140" priority="5" operator="containsText" text="N/A">
      <formula>NOT(ISERROR(SEARCH("N/A",O45)))</formula>
    </cfRule>
  </conditionalFormatting>
  <conditionalFormatting sqref="O65:O66">
    <cfRule type="containsText" dxfId="139" priority="3" operator="containsText" text="N/A">
      <formula>NOT(ISERROR(SEARCH("N/A",O65)))</formula>
    </cfRule>
  </conditionalFormatting>
  <conditionalFormatting sqref="S1">
    <cfRule type="containsText" dxfId="138" priority="7" operator="containsText" text="Check!">
      <formula>NOT(ISERROR(SEARCH("Check!",S1)))</formula>
    </cfRule>
  </conditionalFormatting>
  <dataValidations disablePrompts="1" count="1">
    <dataValidation type="list" allowBlank="1" showInputMessage="1" showErrorMessage="1" sqref="S21" xr:uid="{00000000-0002-0000-0200-000000000000}">
      <formula1>$Y$1:$Y$2</formula1>
    </dataValidation>
  </dataValidations>
  <pageMargins left="1" right="1" top="1" bottom="1" header="0.5" footer="0.5"/>
  <pageSetup scale="63"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autoPageBreaks="0"/>
  </sheetPr>
  <dimension ref="A1:W31"/>
  <sheetViews>
    <sheetView showGridLines="0" zoomScale="80" zoomScaleNormal="80" zoomScaleSheetLayoutView="80" workbookViewId="0">
      <pane ySplit="2" topLeftCell="A4" activePane="bottomLeft" state="frozen"/>
      <selection pane="bottomLeft"/>
    </sheetView>
  </sheetViews>
  <sheetFormatPr defaultColWidth="8.7109375" defaultRowHeight="14.25"/>
  <cols>
    <col min="1" max="2" width="1.7109375" style="3" customWidth="1"/>
    <col min="3" max="13" width="10.42578125" style="3" customWidth="1"/>
    <col min="14" max="14" width="6.42578125" style="3" customWidth="1"/>
    <col min="15" max="22" width="11.7109375" style="3" customWidth="1"/>
    <col min="23" max="23" width="2.28515625" style="10" bestFit="1" customWidth="1"/>
    <col min="24" max="38" width="10.42578125" style="3" customWidth="1"/>
    <col min="39" max="16384" width="8.7109375" style="3"/>
  </cols>
  <sheetData>
    <row r="1" spans="1:23" s="2" customFormat="1" ht="18">
      <c r="C1" s="508" t="str">
        <f ca="1">Company_Name&amp;" - "&amp;MID(CELL("filename",A1),FIND("]",CELL("filename",A1))+1,255)&amp;": "&amp;Case_Scenario&amp;" Case"</f>
        <v>Evercore Inc. - Football Field: Base Case</v>
      </c>
      <c r="W1" s="18"/>
    </row>
    <row r="2" spans="1:23" s="23" customFormat="1">
      <c r="C2" s="4" t="str">
        <f>Cover!C2</f>
        <v>$ in Thousands Except Per Share Data</v>
      </c>
      <c r="W2" s="189"/>
    </row>
    <row r="3" spans="1:23" s="23" customFormat="1" ht="12.75">
      <c r="A3" s="588"/>
      <c r="W3" s="189"/>
    </row>
    <row r="4" spans="1:23" s="23" customFormat="1" ht="12.75">
      <c r="A4" s="232" t="s">
        <v>1</v>
      </c>
      <c r="O4" s="193" t="s">
        <v>450</v>
      </c>
      <c r="P4" s="193"/>
      <c r="Q4" s="193"/>
      <c r="R4" s="193"/>
      <c r="S4" s="193"/>
      <c r="T4" s="763" t="s">
        <v>451</v>
      </c>
      <c r="U4" s="764" t="s">
        <v>452</v>
      </c>
      <c r="V4" s="765" t="s">
        <v>453</v>
      </c>
      <c r="W4" s="233" t="s">
        <v>1</v>
      </c>
    </row>
    <row r="5" spans="1:23" s="23" customFormat="1" ht="12.75">
      <c r="O5" s="23" t="str">
        <f>TEXT(Valuation!E108,"0.0%")&amp;" - "&amp;TEXT(Valuation!E110,"0.0%")&amp;" WACC"&amp;" &amp; "&amp;TEXT(Valuation!G106,"0.0%")&amp;" - "&amp;TEXT(Valuation!I106,"0.0%")&amp;" PGR"</f>
        <v>9.5% - 10.5% WACC &amp; 1.5% - 2.5% PGR</v>
      </c>
      <c r="T5" s="234">
        <f>Valuation!G108</f>
        <v>564.09799594524611</v>
      </c>
      <c r="U5" s="235">
        <f>V5-T5</f>
        <v>30.880249415792264</v>
      </c>
      <c r="V5" s="234">
        <f>Valuation!I110</f>
        <v>594.97824536103838</v>
      </c>
      <c r="W5" s="189"/>
    </row>
    <row r="6" spans="1:23" s="23" customFormat="1" ht="12.75">
      <c r="O6" s="23" t="str">
        <f>TEXT(Valuation!E100,"0.0%")&amp;" - "&amp;TEXT(Valuation!E102,"0.0%")&amp;" WACC"&amp;" &amp; "&amp;TEXT(Valuation!G98,"0.0x")&amp;" - "&amp;TEXT(Valuation!I98,"0.0x")&amp;" Exit Multiple"</f>
        <v>9.5% - 10.5% WACC &amp; 8.0x - 10.0x Exit Multiple</v>
      </c>
      <c r="T6" s="236">
        <f>Valuation!G100</f>
        <v>443.18418947748813</v>
      </c>
      <c r="U6" s="218">
        <f t="shared" ref="U6:U11" si="0">V6-T6</f>
        <v>50.182878679855946</v>
      </c>
      <c r="V6" s="236">
        <f>Valuation!I102</f>
        <v>493.36706815734408</v>
      </c>
      <c r="W6" s="189"/>
    </row>
    <row r="7" spans="1:23" s="23" customFormat="1" ht="12.75">
      <c r="T7" s="218"/>
      <c r="U7" s="218"/>
      <c r="V7" s="218"/>
      <c r="W7" s="189"/>
    </row>
    <row r="8" spans="1:23" s="23" customFormat="1" ht="12.75">
      <c r="O8" s="23" t="str">
        <f>Valuation!F184&amp;": "&amp;TEXT(Valuation!G185,"0.0x")&amp;" - "&amp;TEXT(Valuation!I185,"0.0x")</f>
        <v>NTM EV/EBITDA Spread to Comps: 8.4x - 10.4x</v>
      </c>
      <c r="T8" s="236">
        <f>Valuation!G187</f>
        <v>150.76659069193738</v>
      </c>
      <c r="U8" s="218">
        <f t="shared" si="0"/>
        <v>78.050564583218971</v>
      </c>
      <c r="V8" s="236">
        <f>Valuation!I189</f>
        <v>228.81715527515635</v>
      </c>
      <c r="W8" s="189"/>
    </row>
    <row r="9" spans="1:23" s="23" customFormat="1" ht="12.75">
      <c r="O9" s="23" t="str">
        <f>Valuation!F176&amp;": "&amp;TEXT(Valuation!G177,"0.0x")&amp;" - "&amp;TEXT(Valuation!I177,"0.0x")</f>
        <v>NTM EV/EBITDA: 10.6x - 12.6x</v>
      </c>
      <c r="T9" s="236">
        <f>Valuation!G179</f>
        <v>191.12287689330472</v>
      </c>
      <c r="U9" s="218">
        <f t="shared" si="0"/>
        <v>87.018628183522793</v>
      </c>
      <c r="V9" s="236">
        <f>Valuation!I181</f>
        <v>278.14150507682751</v>
      </c>
      <c r="W9" s="189"/>
    </row>
    <row r="10" spans="1:23" s="23" customFormat="1" ht="12.75">
      <c r="O10" s="23" t="str">
        <f>Valuation!F168&amp;": "&amp;TEXT(Valuation!G169,"0.0x")&amp;" - "&amp;TEXT(Valuation!I169,"0.0x")</f>
        <v>NTM P/E Spread to Comps: 13.3x - 15.3x</v>
      </c>
      <c r="T10" s="236">
        <f>Valuation!G171</f>
        <v>361.0243358738129</v>
      </c>
      <c r="U10" s="218">
        <f t="shared" si="0"/>
        <v>146.50724400116798</v>
      </c>
      <c r="V10" s="236">
        <f>Valuation!I173</f>
        <v>507.53157987498088</v>
      </c>
      <c r="W10" s="189"/>
    </row>
    <row r="11" spans="1:23" s="23" customFormat="1" ht="12.75">
      <c r="O11" s="23" t="str">
        <f>Valuation!F160&amp;": "&amp;TEXT(Valuation!G161,"0.0x")&amp;" - "&amp;TEXT(Valuation!I161,"0.0x")</f>
        <v>NTM P/E: 14.6x - 16.6x</v>
      </c>
      <c r="T11" s="236">
        <f>Valuation!G163</f>
        <v>397.10342271070607</v>
      </c>
      <c r="U11" s="218">
        <f t="shared" si="0"/>
        <v>154.52481885381093</v>
      </c>
      <c r="V11" s="236">
        <f>Valuation!I165</f>
        <v>551.628241564517</v>
      </c>
      <c r="W11" s="189"/>
    </row>
    <row r="12" spans="1:23" s="23" customFormat="1" ht="12.75">
      <c r="T12" s="236"/>
      <c r="U12" s="218"/>
      <c r="V12" s="236"/>
      <c r="W12" s="189"/>
    </row>
    <row r="13" spans="1:23" s="23" customFormat="1" ht="12.75">
      <c r="O13" s="23" t="str">
        <f>Valuation!F260&amp;": "&amp;TEXT(Valuation!G261,"0.0x")&amp;" - "&amp;TEXT(Valuation!I261,"0.0x")</f>
        <v>2009-2018 Early Cycle EV/EBITDA Spread to Comps: 9.9x - 11.9x</v>
      </c>
      <c r="T13" s="236">
        <f>Valuation!G263</f>
        <v>178.19657864647215</v>
      </c>
      <c r="U13" s="218">
        <f>V13-T13</f>
        <v>36.257761743134552</v>
      </c>
      <c r="V13" s="236">
        <f>Valuation!I263</f>
        <v>214.4543403896067</v>
      </c>
      <c r="W13" s="189"/>
    </row>
    <row r="14" spans="1:23" s="23" customFormat="1" ht="12.75">
      <c r="O14" s="23" t="str">
        <f>Valuation!F252&amp;": "&amp;TEXT(Valuation!G253,"0.0x")&amp;" - "&amp;TEXT(Valuation!I253,"0.0x")</f>
        <v>2009-2018 Early Cycle EV/EBITDA: 5.9x - 7.9x</v>
      </c>
      <c r="T14" s="236">
        <f>Valuation!G255</f>
        <v>106.58654572312123</v>
      </c>
      <c r="U14" s="218">
        <f>V14-T14</f>
        <v>36.257761743134509</v>
      </c>
      <c r="V14" s="236">
        <f>Valuation!I255</f>
        <v>142.84430746625574</v>
      </c>
      <c r="W14" s="189"/>
    </row>
    <row r="15" spans="1:23" s="23" customFormat="1" ht="12.75">
      <c r="O15" s="23" t="str">
        <f>Valuation!F244&amp;": "&amp;TEXT(Valuation!G245,"0.0x")&amp;" - "&amp;TEXT(Valuation!I245,"0.0x")</f>
        <v>2009-2018 Early Cycle P/E Spread to Comps: 23.5x - 25.5x</v>
      </c>
      <c r="T15" s="236">
        <f>Valuation!G247</f>
        <v>637.05294846845493</v>
      </c>
      <c r="U15" s="218">
        <f>V15-T15</f>
        <v>54.228774932989609</v>
      </c>
      <c r="V15" s="236">
        <f>Valuation!I247</f>
        <v>691.28172340144454</v>
      </c>
      <c r="W15" s="189"/>
    </row>
    <row r="16" spans="1:23" s="23" customFormat="1" ht="12.75">
      <c r="O16" s="23" t="str">
        <f>Valuation!F236&amp;": "&amp;TEXT(Valuation!G237,"0.0x")&amp;" - "&amp;TEXT(Valuation!I237,"0.0x")</f>
        <v>2009-2018 Early Cycle P/E: 17.9x - 19.9x</v>
      </c>
      <c r="T16" s="236">
        <f>Valuation!G239</f>
        <v>485.10604813688303</v>
      </c>
      <c r="U16" s="218">
        <f>V16-T16</f>
        <v>54.228774932989609</v>
      </c>
      <c r="V16" s="236">
        <f>Valuation!I239</f>
        <v>539.33482306987264</v>
      </c>
      <c r="W16" s="189"/>
    </row>
    <row r="17" spans="1:23" s="23" customFormat="1" ht="12.75">
      <c r="T17" s="218"/>
      <c r="U17" s="218"/>
      <c r="V17" s="218"/>
      <c r="W17" s="189"/>
    </row>
    <row r="18" spans="1:23" s="23" customFormat="1" ht="12.75">
      <c r="O18" s="23" t="s">
        <v>454</v>
      </c>
      <c r="T18" s="237">
        <f>Share_Price_Low</f>
        <v>215.26</v>
      </c>
      <c r="U18" s="238">
        <f>V18-T18</f>
        <v>173.45</v>
      </c>
      <c r="V18" s="239">
        <f>Share_Price_High</f>
        <v>388.71</v>
      </c>
      <c r="W18" s="189"/>
    </row>
    <row r="19" spans="1:23" s="23" customFormat="1" ht="12.75">
      <c r="O19" s="708" t="s">
        <v>455</v>
      </c>
      <c r="P19" s="141"/>
      <c r="Q19" s="141"/>
      <c r="R19" s="141"/>
      <c r="S19" s="141"/>
      <c r="T19" s="766">
        <f>MEDIAN(T5:T18)</f>
        <v>361.0243358738129</v>
      </c>
      <c r="U19" s="766">
        <f>MEDIAN(U5:U18)</f>
        <v>54.228774932989609</v>
      </c>
      <c r="V19" s="767">
        <f>MEDIAN(V5:V18)</f>
        <v>493.36706815734408</v>
      </c>
      <c r="W19" s="189"/>
    </row>
    <row r="20" spans="1:23" s="23" customFormat="1" ht="12.75">
      <c r="A20" s="232" t="s">
        <v>1</v>
      </c>
      <c r="O20" s="114" t="s">
        <v>456</v>
      </c>
      <c r="T20" s="240">
        <f>T19/Share_Price-1</f>
        <v>5.8132817121876013E-2</v>
      </c>
      <c r="U20" s="240"/>
      <c r="V20" s="240">
        <f>V19/Share_Price-1</f>
        <v>0.44601854731189094</v>
      </c>
      <c r="W20" s="189"/>
    </row>
    <row r="21" spans="1:23" s="23" customFormat="1" ht="13.5" thickBot="1">
      <c r="W21" s="189"/>
    </row>
    <row r="22" spans="1:23" s="23" customFormat="1" ht="13.5" thickBot="1">
      <c r="T22" s="629" t="s">
        <v>495</v>
      </c>
      <c r="U22" s="241"/>
      <c r="V22" s="242"/>
      <c r="W22" s="189"/>
    </row>
    <row r="23" spans="1:23" s="23" customFormat="1" ht="12.75">
      <c r="W23" s="189"/>
    </row>
    <row r="24" spans="1:23" s="23" customFormat="1" ht="12.75">
      <c r="T24" s="189"/>
      <c r="U24" s="435" t="s">
        <v>226</v>
      </c>
      <c r="W24" s="189"/>
    </row>
    <row r="25" spans="1:23" s="23" customFormat="1" ht="12.75">
      <c r="A25" s="232" t="s">
        <v>1</v>
      </c>
      <c r="T25" s="357" t="s">
        <v>364</v>
      </c>
      <c r="U25" s="234">
        <f>MAX(V5:V18)*1.1</f>
        <v>760.40989574158903</v>
      </c>
      <c r="W25" s="233" t="s">
        <v>1</v>
      </c>
    </row>
    <row r="26" spans="1:23" s="23" customFormat="1" ht="12.75">
      <c r="A26" s="232"/>
      <c r="T26" s="357" t="s">
        <v>367</v>
      </c>
      <c r="U26" s="234">
        <f>MIN(T5:T18)*0.9</f>
        <v>95.927891150809117</v>
      </c>
      <c r="W26" s="189"/>
    </row>
    <row r="27" spans="1:23" s="23" customFormat="1" ht="12.75">
      <c r="W27" s="189"/>
    </row>
    <row r="28" spans="1:23" s="23" customFormat="1" ht="12.75">
      <c r="W28" s="189"/>
    </row>
    <row r="29" spans="1:23" s="23" customFormat="1" ht="12.75">
      <c r="W29" s="189"/>
    </row>
    <row r="30" spans="1:23" s="23" customFormat="1" ht="12.75">
      <c r="A30" s="232" t="s">
        <v>1</v>
      </c>
      <c r="W30" s="189"/>
    </row>
    <row r="31" spans="1:23" s="23" customFormat="1" ht="12.75">
      <c r="W31" s="189"/>
    </row>
  </sheetData>
  <pageMargins left="0.7" right="0.7" top="0.75" bottom="0.75" header="0.3" footer="0.3"/>
  <pageSetup scale="43"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DEF6"/>
  </sheetPr>
  <dimension ref="A1:G47"/>
  <sheetViews>
    <sheetView showGridLines="0" zoomScale="80" zoomScaleNormal="80" workbookViewId="0">
      <pane xSplit="1" ySplit="1" topLeftCell="B2" activePane="bottomRight" state="frozen"/>
      <selection pane="topRight"/>
      <selection pane="bottomLeft"/>
      <selection pane="bottomRight"/>
    </sheetView>
  </sheetViews>
  <sheetFormatPr defaultColWidth="9.140625" defaultRowHeight="14.25"/>
  <cols>
    <col min="1" max="2" width="1.7109375" style="3" customWidth="1"/>
    <col min="3" max="3" width="29.42578125" style="3" bestFit="1" customWidth="1"/>
    <col min="4" max="4" width="22.28515625" style="3" bestFit="1" customWidth="1"/>
    <col min="5" max="5" width="25.7109375" style="3" customWidth="1"/>
    <col min="6" max="6" width="32.42578125" style="3" customWidth="1"/>
    <col min="7" max="7" width="1.7109375" style="3" customWidth="1"/>
    <col min="8" max="16384" width="9.140625" style="3"/>
  </cols>
  <sheetData>
    <row r="1" spans="1:7" ht="18">
      <c r="C1" s="508" t="str">
        <f ca="1">Company_Name&amp;" - "&amp;MID(CELL("filename",A1),FIND("]",CELL("filename",A1))+1,255)</f>
        <v>Evercore Inc. - Integrity</v>
      </c>
    </row>
    <row r="3" spans="1:7">
      <c r="A3" s="588"/>
      <c r="C3" s="756" t="s">
        <v>543</v>
      </c>
      <c r="D3" s="757"/>
      <c r="E3" s="757"/>
      <c r="F3" s="756"/>
      <c r="G3" s="756"/>
    </row>
    <row r="4" spans="1:7">
      <c r="C4" s="758" t="s">
        <v>544</v>
      </c>
      <c r="D4" s="759"/>
      <c r="E4" s="759"/>
      <c r="F4" s="759"/>
      <c r="G4" s="760"/>
    </row>
    <row r="5" spans="1:7">
      <c r="C5" s="5"/>
      <c r="D5" s="498"/>
    </row>
    <row r="6" spans="1:7">
      <c r="C6" s="2" t="s">
        <v>545</v>
      </c>
      <c r="D6" s="498"/>
    </row>
    <row r="7" spans="1:7">
      <c r="C7" s="5" t="s">
        <v>555</v>
      </c>
      <c r="D7" s="498">
        <f ca="1">SUM(Model!F160:AG160)</f>
        <v>0</v>
      </c>
    </row>
    <row r="8" spans="1:7">
      <c r="C8" s="5" t="s">
        <v>546</v>
      </c>
      <c r="D8" s="498" t="str">
        <f>IF(Case_Scenario="Base","OK!","Check!")</f>
        <v>OK!</v>
      </c>
    </row>
    <row r="9" spans="1:7">
      <c r="C9" s="5" t="s">
        <v>547</v>
      </c>
      <c r="D9" s="498" t="str">
        <f>IF(Model!C8="On","OK!","CHECK - OFF")</f>
        <v>OK!</v>
      </c>
    </row>
    <row r="10" spans="1:7">
      <c r="C10" s="5" t="s">
        <v>548</v>
      </c>
      <c r="D10" s="498"/>
    </row>
    <row r="11" spans="1:7">
      <c r="C11" s="19"/>
      <c r="D11" s="498"/>
    </row>
    <row r="12" spans="1:7">
      <c r="C12" s="2" t="s">
        <v>602</v>
      </c>
      <c r="D12" s="498"/>
    </row>
    <row r="13" spans="1:7">
      <c r="C13" s="5" t="s">
        <v>549</v>
      </c>
      <c r="D13" s="498">
        <f>SUM(Valuation!F92,Valuation!K92,Valuation!P92,Valuation!F151:F155,Valuation!L151:L155,Valuation!F227:F231,Valuation!L227:L231)</f>
        <v>-7.6392489776391592</v>
      </c>
    </row>
    <row r="14" spans="1:7">
      <c r="C14" s="5" t="s">
        <v>550</v>
      </c>
      <c r="D14" s="498">
        <f ca="1">SUM(WACC!Q20,WACC!N33:N37)</f>
        <v>0</v>
      </c>
    </row>
    <row r="15" spans="1:7">
      <c r="C15" s="5"/>
    </row>
    <row r="16" spans="1:7">
      <c r="C16" s="761" t="s">
        <v>551</v>
      </c>
    </row>
    <row r="17" spans="3:7">
      <c r="C17" s="5" t="s">
        <v>552</v>
      </c>
      <c r="D17" s="10" t="str">
        <f>Cover!$Q$2</f>
        <v>Report</v>
      </c>
    </row>
    <row r="18" spans="3:7">
      <c r="C18" s="5" t="s">
        <v>553</v>
      </c>
      <c r="D18" s="10" t="str">
        <f>'Revenue Build'!$C$22</f>
        <v>Report</v>
      </c>
    </row>
    <row r="19" spans="3:7">
      <c r="C19" s="5" t="s">
        <v>545</v>
      </c>
      <c r="D19" s="10" t="str">
        <f>Model!$C$5</f>
        <v>Report</v>
      </c>
    </row>
    <row r="20" spans="3:7">
      <c r="C20" s="5" t="s">
        <v>27</v>
      </c>
      <c r="D20" s="10" t="str">
        <f>WACC!R5</f>
        <v>Report</v>
      </c>
    </row>
    <row r="21" spans="3:7">
      <c r="C21" s="5" t="s">
        <v>554</v>
      </c>
      <c r="D21" s="10" t="str">
        <f>Valuation!$R$2</f>
        <v>Report</v>
      </c>
    </row>
    <row r="23" spans="3:7">
      <c r="C23" s="756" t="s">
        <v>556</v>
      </c>
      <c r="D23" s="757"/>
      <c r="E23" s="757"/>
      <c r="F23" s="756"/>
      <c r="G23" s="756"/>
    </row>
    <row r="24" spans="3:7">
      <c r="C24" s="758" t="s">
        <v>471</v>
      </c>
      <c r="D24" s="759" t="s">
        <v>557</v>
      </c>
      <c r="E24" s="759" t="s">
        <v>558</v>
      </c>
      <c r="F24" s="762" t="s">
        <v>559</v>
      </c>
      <c r="G24" s="760"/>
    </row>
    <row r="25" spans="3:7" ht="42.75">
      <c r="C25" s="942">
        <v>44476</v>
      </c>
      <c r="D25" s="943" t="s">
        <v>689</v>
      </c>
      <c r="E25" s="942" t="s">
        <v>688</v>
      </c>
      <c r="F25" s="1003" t="s">
        <v>690</v>
      </c>
    </row>
    <row r="26" spans="3:7" ht="28.5">
      <c r="C26" s="954">
        <v>44476</v>
      </c>
      <c r="D26" s="10" t="s">
        <v>759</v>
      </c>
      <c r="E26" s="942" t="s">
        <v>760</v>
      </c>
      <c r="F26" s="1003" t="s">
        <v>761</v>
      </c>
    </row>
    <row r="27" spans="3:7" ht="42.75">
      <c r="C27" s="942">
        <v>44480</v>
      </c>
      <c r="D27" s="943" t="s">
        <v>762</v>
      </c>
      <c r="E27" s="942" t="s">
        <v>688</v>
      </c>
      <c r="F27" s="1003" t="s">
        <v>763</v>
      </c>
    </row>
    <row r="28" spans="3:7" ht="42.75">
      <c r="C28" s="942">
        <v>44488</v>
      </c>
      <c r="D28" s="943" t="s">
        <v>764</v>
      </c>
      <c r="E28" s="942" t="s">
        <v>688</v>
      </c>
      <c r="F28" s="1003" t="s">
        <v>765</v>
      </c>
    </row>
    <row r="29" spans="3:7" ht="42.75">
      <c r="C29" s="954">
        <v>44489</v>
      </c>
      <c r="D29" s="10" t="s">
        <v>766</v>
      </c>
      <c r="E29" s="495" t="s">
        <v>767</v>
      </c>
      <c r="F29" s="1003" t="s">
        <v>768</v>
      </c>
    </row>
    <row r="30" spans="3:7" ht="28.5">
      <c r="C30" s="954">
        <v>44491</v>
      </c>
      <c r="D30" s="10" t="s">
        <v>769</v>
      </c>
      <c r="E30" s="495" t="s">
        <v>767</v>
      </c>
      <c r="F30" s="1003" t="s">
        <v>770</v>
      </c>
    </row>
    <row r="31" spans="3:7" ht="99.75">
      <c r="C31" s="956">
        <v>44496</v>
      </c>
      <c r="D31" s="10" t="s">
        <v>771</v>
      </c>
      <c r="E31" s="957" t="s">
        <v>760</v>
      </c>
      <c r="F31" s="1004" t="s">
        <v>778</v>
      </c>
    </row>
    <row r="32" spans="3:7" ht="42.75">
      <c r="C32" s="956">
        <v>44503</v>
      </c>
      <c r="D32" s="10" t="s">
        <v>779</v>
      </c>
      <c r="E32" s="957" t="s">
        <v>767</v>
      </c>
      <c r="F32" s="1004" t="s">
        <v>780</v>
      </c>
    </row>
    <row r="33" spans="3:6" ht="57">
      <c r="C33" s="956">
        <v>44512</v>
      </c>
      <c r="D33" s="10" t="s">
        <v>781</v>
      </c>
      <c r="E33" s="3" t="s">
        <v>767</v>
      </c>
      <c r="F33" s="1002" t="s">
        <v>782</v>
      </c>
    </row>
    <row r="34" spans="3:6" ht="60">
      <c r="C34" s="956">
        <v>44522</v>
      </c>
      <c r="D34" s="10" t="s">
        <v>783</v>
      </c>
      <c r="E34" s="3" t="s">
        <v>767</v>
      </c>
      <c r="F34" s="1002" t="s">
        <v>784</v>
      </c>
    </row>
    <row r="35" spans="3:6" ht="45">
      <c r="C35" s="956">
        <v>44582</v>
      </c>
      <c r="D35" s="10" t="s">
        <v>793</v>
      </c>
      <c r="E35" s="3" t="s">
        <v>760</v>
      </c>
      <c r="F35" s="1002" t="s">
        <v>794</v>
      </c>
    </row>
    <row r="36" spans="3:6" ht="30">
      <c r="C36" s="956">
        <v>44584</v>
      </c>
      <c r="D36" s="10" t="s">
        <v>795</v>
      </c>
      <c r="E36" s="3" t="s">
        <v>796</v>
      </c>
      <c r="F36" s="1005" t="s">
        <v>797</v>
      </c>
    </row>
    <row r="37" spans="3:6" ht="153.75" customHeight="1">
      <c r="C37" s="956">
        <v>44587</v>
      </c>
      <c r="D37" s="10" t="s">
        <v>798</v>
      </c>
      <c r="E37" s="957" t="s">
        <v>760</v>
      </c>
      <c r="F37" s="1002" t="s">
        <v>800</v>
      </c>
    </row>
    <row r="38" spans="3:6" ht="45">
      <c r="C38" s="956">
        <v>44607</v>
      </c>
      <c r="D38" s="10" t="s">
        <v>801</v>
      </c>
      <c r="E38" s="957" t="s">
        <v>767</v>
      </c>
      <c r="F38" s="1002" t="s">
        <v>802</v>
      </c>
    </row>
    <row r="39" spans="3:6" ht="90">
      <c r="C39" s="954">
        <v>44979</v>
      </c>
      <c r="D39" s="10" t="s">
        <v>803</v>
      </c>
      <c r="E39" s="1000" t="s">
        <v>804</v>
      </c>
      <c r="F39" s="1001" t="s">
        <v>805</v>
      </c>
    </row>
    <row r="40" spans="3:6" ht="60">
      <c r="C40" s="954">
        <v>44990</v>
      </c>
      <c r="D40" s="10" t="s">
        <v>819</v>
      </c>
      <c r="E40" s="1000" t="s">
        <v>820</v>
      </c>
      <c r="F40" s="1001" t="s">
        <v>821</v>
      </c>
    </row>
    <row r="41" spans="3:6" ht="75">
      <c r="C41" s="954">
        <v>44991</v>
      </c>
      <c r="D41" s="10" t="s">
        <v>822</v>
      </c>
      <c r="E41" s="1000" t="s">
        <v>820</v>
      </c>
      <c r="F41" s="1001" t="s">
        <v>823</v>
      </c>
    </row>
    <row r="42" spans="3:6" ht="60">
      <c r="C42" s="954">
        <v>45005</v>
      </c>
      <c r="D42" s="10" t="s">
        <v>824</v>
      </c>
      <c r="E42" s="1000" t="s">
        <v>825</v>
      </c>
      <c r="F42" s="1001" t="s">
        <v>826</v>
      </c>
    </row>
    <row r="43" spans="3:6" ht="75">
      <c r="C43" s="954">
        <v>45130</v>
      </c>
      <c r="D43" s="10" t="s">
        <v>827</v>
      </c>
      <c r="E43" s="1000" t="s">
        <v>828</v>
      </c>
      <c r="F43" s="1001" t="s">
        <v>839</v>
      </c>
    </row>
    <row r="44" spans="3:6" ht="107.25" customHeight="1">
      <c r="C44" s="954">
        <v>45230</v>
      </c>
      <c r="D44" s="10" t="s">
        <v>840</v>
      </c>
      <c r="E44" s="1000" t="s">
        <v>828</v>
      </c>
      <c r="F44" s="1001" t="s">
        <v>841</v>
      </c>
    </row>
    <row r="45" spans="3:6" ht="75">
      <c r="C45" s="954">
        <v>45325</v>
      </c>
      <c r="D45" s="10" t="s">
        <v>842</v>
      </c>
      <c r="E45" s="1000" t="s">
        <v>843</v>
      </c>
      <c r="F45" s="1001" t="s">
        <v>844</v>
      </c>
    </row>
    <row r="46" spans="3:6" ht="90" customHeight="1">
      <c r="C46" s="954">
        <v>45376</v>
      </c>
      <c r="D46" s="10" t="s">
        <v>845</v>
      </c>
      <c r="E46" s="1000" t="s">
        <v>828</v>
      </c>
      <c r="F46" s="1001" t="s">
        <v>846</v>
      </c>
    </row>
    <row r="47" spans="3:6" ht="45">
      <c r="C47" s="954">
        <v>45581</v>
      </c>
      <c r="D47" s="10" t="s">
        <v>848</v>
      </c>
      <c r="E47" s="1000" t="s">
        <v>847</v>
      </c>
      <c r="F47" s="1001" t="s">
        <v>849</v>
      </c>
    </row>
  </sheetData>
  <conditionalFormatting sqref="D5:D14">
    <cfRule type="expression" dxfId="137" priority="1">
      <formula>$AM$2="Report"</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355F"/>
    <pageSetUpPr autoPageBreaks="0"/>
  </sheetPr>
  <dimension ref="A1:AJ246"/>
  <sheetViews>
    <sheetView showGridLines="0" zoomScale="80" zoomScaleNormal="80" workbookViewId="0"/>
  </sheetViews>
  <sheetFormatPr defaultColWidth="12.7109375" defaultRowHeight="12.75" outlineLevelRow="1" outlineLevelCol="1"/>
  <cols>
    <col min="1" max="2" width="1.7109375" style="23" customWidth="1"/>
    <col min="3" max="3" width="51.28515625" style="23" bestFit="1" customWidth="1"/>
    <col min="4" max="5" width="1.7109375" style="23" customWidth="1"/>
    <col min="6" max="7" width="12.85546875" style="23" hidden="1" customWidth="1" outlineLevel="1"/>
    <col min="8" max="8" width="13.140625" style="23" hidden="1" customWidth="1" outlineLevel="1"/>
    <col min="9" max="9" width="12.85546875" style="23" hidden="1" customWidth="1" outlineLevel="1"/>
    <col min="10" max="10" width="14.42578125" style="23" bestFit="1" customWidth="1" collapsed="1"/>
    <col min="11" max="11" width="12.85546875" style="23" hidden="1" customWidth="1" outlineLevel="1"/>
    <col min="12" max="12" width="13.140625" style="23" hidden="1" customWidth="1" outlineLevel="1"/>
    <col min="13" max="14" width="12.85546875" style="23" hidden="1" customWidth="1" outlineLevel="1"/>
    <col min="15" max="15" width="14.42578125" style="23" bestFit="1" customWidth="1" collapsed="1"/>
    <col min="16" max="17" width="12.85546875" style="23" hidden="1" customWidth="1" outlineLevel="1"/>
    <col min="18" max="19" width="14.5703125" style="23" hidden="1" customWidth="1" outlineLevel="1"/>
    <col min="20" max="20" width="14.42578125" style="23" bestFit="1" customWidth="1" collapsed="1"/>
    <col min="21" max="21" width="14.5703125" style="1068" hidden="1" customWidth="1" outlineLevel="1"/>
    <col min="22" max="24" width="15.85546875" style="23" hidden="1" customWidth="1" outlineLevel="1"/>
    <col min="25" max="25" width="15.85546875" style="23" bestFit="1" customWidth="1" collapsed="1"/>
    <col min="26" max="29" width="15.85546875" style="23" hidden="1" customWidth="1" outlineLevel="1"/>
    <col min="30" max="30" width="17.140625" style="23" bestFit="1" customWidth="1" collapsed="1"/>
    <col min="31" max="33" width="17.140625" style="23" bestFit="1" customWidth="1"/>
    <col min="34" max="34" width="1.7109375" style="23" customWidth="1"/>
    <col min="35" max="36" width="12.85546875" style="23" bestFit="1" customWidth="1"/>
    <col min="37" max="37" width="12.7109375" style="23"/>
    <col min="38" max="38" width="1.7109375" style="23" customWidth="1"/>
    <col min="39" max="16384" width="12.7109375" style="23"/>
  </cols>
  <sheetData>
    <row r="1" spans="1:4" s="243" customFormat="1" ht="20.25">
      <c r="C1" s="508" t="str">
        <f ca="1">Company_Name&amp;" - "&amp;MID(CELL("filename",A1),FIND("]",CELL("filename",A1))+1,255)&amp;": "&amp;Case_Scenario&amp;" Case"</f>
        <v>Evercore Inc. - Revenue Build: Base Case</v>
      </c>
    </row>
    <row r="2" spans="1:4" ht="15">
      <c r="C2" s="4" t="str">
        <f>Cover!C2</f>
        <v>$ in Thousands Except Per Share Data</v>
      </c>
    </row>
    <row r="3" spans="1:4">
      <c r="A3" s="588"/>
    </row>
    <row r="4" spans="1:4">
      <c r="A4" s="22" t="s">
        <v>1</v>
      </c>
      <c r="C4" s="577" t="s">
        <v>588</v>
      </c>
      <c r="D4" s="148"/>
    </row>
    <row r="5" spans="1:4" hidden="1" outlineLevel="1"/>
    <row r="6" spans="1:4" hidden="1" outlineLevel="1">
      <c r="C6" s="155" t="str">
        <f>C30&amp;" Methodology"</f>
        <v>Total Company Revenue Methodology</v>
      </c>
      <c r="D6" s="244"/>
    </row>
    <row r="7" spans="1:4" hidden="1" outlineLevel="1">
      <c r="C7" s="28" t="s">
        <v>223</v>
      </c>
      <c r="D7" s="163"/>
    </row>
    <row r="8" spans="1:4" hidden="1" outlineLevel="1">
      <c r="C8" s="155" t="str">
        <f>C32&amp;" Methodology"</f>
        <v>Investment Banking &amp; Equities Revenue Methodology</v>
      </c>
      <c r="D8" s="244"/>
    </row>
    <row r="9" spans="1:4" hidden="1" outlineLevel="1">
      <c r="C9" s="28" t="str">
        <f>IF(Company_Rev_Methodology="Segment","Segment",IF(Company_Rev_Methodology="Activity-Based","Activity-Based",IF(Company_Rev_Methodology="Backlog","Backlog",IF(Company_Rev_Methodology="Mixed",D9,"--"))))</f>
        <v>Segment</v>
      </c>
      <c r="D9" s="163" t="s">
        <v>230</v>
      </c>
    </row>
    <row r="10" spans="1:4" hidden="1" outlineLevel="1">
      <c r="C10" s="155" t="str">
        <f>C35&amp;" Methodology"</f>
        <v>Investment Management Revenue Methodology</v>
      </c>
      <c r="D10" s="244"/>
    </row>
    <row r="11" spans="1:4" hidden="1" outlineLevel="1">
      <c r="C11" s="28" t="str">
        <f>IF(Company_Rev_Methodology="Segment","Segment",IF(Company_Rev_Methodology="Activity-Based","Activity-Based",IF(Company_Rev_Methodology="Backlog","Backlog",IF(Company_Rev_Methodology="Mixed",D11,"--"))))</f>
        <v>Segment</v>
      </c>
      <c r="D11" s="163" t="s">
        <v>229</v>
      </c>
    </row>
    <row r="12" spans="1:4" hidden="1" outlineLevel="1">
      <c r="C12" s="155" t="str">
        <f>C38&amp;" Methodology"</f>
        <v>Segment 3 Revenue Methodology</v>
      </c>
      <c r="D12" s="244"/>
    </row>
    <row r="13" spans="1:4" hidden="1" outlineLevel="1">
      <c r="C13" s="28" t="str">
        <f>IF(Company_Rev_Methodology="Segment","Segment",IF(Company_Rev_Methodology="Activity-Based","Activity-Based",IF(Company_Rev_Methodology="Backlog","Backlog",IF(Company_Rev_Methodology="Mixed",D13,"--"))))</f>
        <v>Segment</v>
      </c>
      <c r="D13" s="163" t="s">
        <v>223</v>
      </c>
    </row>
    <row r="14" spans="1:4" hidden="1" outlineLevel="1">
      <c r="C14" s="155" t="str">
        <f>C41&amp;" Methodology"</f>
        <v>Segment 4 Revenue Methodology</v>
      </c>
      <c r="D14" s="244"/>
    </row>
    <row r="15" spans="1:4" hidden="1" outlineLevel="1">
      <c r="C15" s="28" t="str">
        <f>IF(Company_Rev_Methodology="Segment","Segment",IF(Company_Rev_Methodology="Activity-Based","Activity-Based",IF(Company_Rev_Methodology="Backlog","Backlog",IF(Company_Rev_Methodology="Mixed",D15,"--"))))</f>
        <v>Segment</v>
      </c>
      <c r="D15" s="163" t="s">
        <v>223</v>
      </c>
    </row>
    <row r="16" spans="1:4" hidden="1" outlineLevel="1">
      <c r="C16" s="155" t="str">
        <f>C44&amp;" Methodology"</f>
        <v>Segment 5 Revenue Methodology</v>
      </c>
      <c r="D16" s="244"/>
    </row>
    <row r="17" spans="1:36" hidden="1" outlineLevel="1">
      <c r="C17" s="28" t="str">
        <f>IF(Company_Rev_Methodology="Segment","Segment",IF(Company_Rev_Methodology="Activity-Based","Activity-Based",IF(Company_Rev_Methodology="Backlog","Backlog",IF(Company_Rev_Methodology="Mixed",D17,"--"))))</f>
        <v>Segment</v>
      </c>
      <c r="D17" s="163" t="s">
        <v>223</v>
      </c>
    </row>
    <row r="18" spans="1:36" hidden="1" outlineLevel="1">
      <c r="C18" s="155" t="str">
        <f>C47&amp;" Methodology"</f>
        <v>Segment 6 Revenue Methodology</v>
      </c>
      <c r="D18" s="244"/>
    </row>
    <row r="19" spans="1:36" hidden="1" outlineLevel="1">
      <c r="C19" s="28" t="str">
        <f>IF(Company_Rev_Methodology="Segment","Segment",IF(Company_Rev_Methodology="Activity-Based","Activity-Based",IF(Company_Rev_Methodology="Backlog","Backlog",IF(Company_Rev_Methodology="Mixed",D19,"--"))))</f>
        <v>Segment</v>
      </c>
      <c r="D19" s="163" t="s">
        <v>223</v>
      </c>
    </row>
    <row r="20" spans="1:36" collapsed="1">
      <c r="C20" s="28"/>
      <c r="D20" s="163"/>
    </row>
    <row r="21" spans="1:36">
      <c r="C21" s="569" t="s">
        <v>405</v>
      </c>
    </row>
    <row r="22" spans="1:36">
      <c r="C22" s="506" t="s">
        <v>1080</v>
      </c>
    </row>
    <row r="24" spans="1:36">
      <c r="C24" s="860" t="s">
        <v>799</v>
      </c>
    </row>
    <row r="25" spans="1:36">
      <c r="C25" s="506" t="s">
        <v>507</v>
      </c>
    </row>
    <row r="26" spans="1:36" hidden="1" outlineLevel="1">
      <c r="A26" s="22"/>
      <c r="J26" s="163">
        <v>1</v>
      </c>
      <c r="K26" s="163"/>
      <c r="L26" s="163"/>
      <c r="M26" s="163"/>
      <c r="N26" s="163"/>
      <c r="O26" s="163">
        <v>2</v>
      </c>
      <c r="P26" s="163"/>
      <c r="Q26" s="163"/>
      <c r="R26" s="163"/>
      <c r="S26" s="163"/>
      <c r="T26" s="163">
        <v>3</v>
      </c>
      <c r="U26" s="163"/>
      <c r="V26" s="163"/>
      <c r="W26" s="163"/>
      <c r="X26" s="163"/>
      <c r="Y26" s="163">
        <v>4</v>
      </c>
      <c r="Z26" s="163"/>
      <c r="AA26" s="163"/>
      <c r="AB26" s="163"/>
      <c r="AC26" s="163"/>
      <c r="AD26" s="163">
        <v>5</v>
      </c>
      <c r="AE26" s="163">
        <v>6</v>
      </c>
      <c r="AF26" s="163">
        <v>7</v>
      </c>
      <c r="AG26" s="163">
        <v>8</v>
      </c>
    </row>
    <row r="27" spans="1:36" collapsed="1">
      <c r="A27" s="22"/>
      <c r="B27" s="245"/>
      <c r="C27" s="246"/>
      <c r="D27" s="247"/>
      <c r="E27" s="247"/>
      <c r="F27" s="247"/>
      <c r="G27" s="247"/>
      <c r="H27" s="247"/>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8"/>
      <c r="AH27" s="245"/>
      <c r="AI27" s="735" t="s">
        <v>236</v>
      </c>
      <c r="AJ27" s="249"/>
    </row>
    <row r="28" spans="1:36">
      <c r="A28" s="22" t="s">
        <v>1</v>
      </c>
      <c r="C28" s="736" t="s">
        <v>32</v>
      </c>
      <c r="D28" s="737"/>
      <c r="E28" s="737"/>
      <c r="F28" s="738" t="str">
        <f>Model!F$25</f>
        <v>1Q23</v>
      </c>
      <c r="G28" s="572" t="str">
        <f>Model!G$25</f>
        <v>2Q23</v>
      </c>
      <c r="H28" s="572" t="str">
        <f>Model!H$25</f>
        <v>3Q23</v>
      </c>
      <c r="I28" s="572" t="str">
        <f>Model!I$25</f>
        <v>4Q23</v>
      </c>
      <c r="J28" s="572">
        <f>Model!J$25</f>
        <v>2023</v>
      </c>
      <c r="K28" s="572" t="str">
        <f>Model!K$25</f>
        <v>1Q24</v>
      </c>
      <c r="L28" s="572" t="str">
        <f>Model!L$25</f>
        <v>2Q24</v>
      </c>
      <c r="M28" s="572" t="str">
        <f>Model!M$25</f>
        <v>3Q24</v>
      </c>
      <c r="N28" s="572" t="str">
        <f>Model!N$25</f>
        <v>4Q24</v>
      </c>
      <c r="O28" s="572">
        <f>Model!O$25</f>
        <v>2024</v>
      </c>
      <c r="P28" s="572" t="str">
        <f>Model!P$25</f>
        <v>1Q25</v>
      </c>
      <c r="Q28" s="572" t="str">
        <f>Model!Q$25</f>
        <v>2Q25</v>
      </c>
      <c r="R28" s="572" t="str">
        <f>Model!R$25</f>
        <v>3Q25</v>
      </c>
      <c r="S28" s="572" t="str">
        <f>Model!S$25</f>
        <v>4Q25</v>
      </c>
      <c r="T28" s="572">
        <f>Model!T$25</f>
        <v>2025</v>
      </c>
      <c r="U28" s="572" t="str">
        <f>Model!U$25</f>
        <v>1Q26</v>
      </c>
      <c r="V28" s="572" t="str">
        <f>Model!V$25</f>
        <v>2Q26e</v>
      </c>
      <c r="W28" s="572" t="str">
        <f>Model!W$25</f>
        <v>3Q26e</v>
      </c>
      <c r="X28" s="572" t="str">
        <f>Model!X$25</f>
        <v>4Q26e</v>
      </c>
      <c r="Y28" s="572" t="str">
        <f>Model!Y$25</f>
        <v>2026e</v>
      </c>
      <c r="Z28" s="572" t="str">
        <f>Model!Z$25</f>
        <v>1Q27e</v>
      </c>
      <c r="AA28" s="572" t="str">
        <f>Model!AA$25</f>
        <v>2Q27e</v>
      </c>
      <c r="AB28" s="572" t="str">
        <f>Model!AB$25</f>
        <v>3Q27e</v>
      </c>
      <c r="AC28" s="572" t="str">
        <f>Model!AC$25</f>
        <v>4Q27e</v>
      </c>
      <c r="AD28" s="572" t="str">
        <f>Model!AD$25</f>
        <v>2027e</v>
      </c>
      <c r="AE28" s="572" t="str">
        <f>Model!AE$25</f>
        <v>2028e</v>
      </c>
      <c r="AF28" s="572" t="str">
        <f>Model!AF$25</f>
        <v>2029e</v>
      </c>
      <c r="AG28" s="573" t="str">
        <f>Model!AG$25</f>
        <v>2030e</v>
      </c>
      <c r="AH28" s="250"/>
      <c r="AI28" s="739" t="s">
        <v>237</v>
      </c>
      <c r="AJ28" s="573" t="s">
        <v>238</v>
      </c>
    </row>
    <row r="29" spans="1:36">
      <c r="F29" s="740"/>
      <c r="G29" s="740"/>
      <c r="H29" s="740"/>
      <c r="I29" s="740"/>
      <c r="J29" s="741"/>
      <c r="K29" s="740"/>
      <c r="L29" s="740"/>
      <c r="M29" s="740"/>
      <c r="N29" s="740"/>
      <c r="O29" s="741"/>
      <c r="P29" s="740"/>
      <c r="Q29" s="740"/>
      <c r="R29" s="740"/>
      <c r="S29" s="740"/>
      <c r="T29" s="741"/>
      <c r="U29" s="740"/>
      <c r="V29" s="70"/>
      <c r="W29" s="70"/>
      <c r="X29" s="70"/>
      <c r="Y29" s="71"/>
      <c r="Z29" s="70"/>
      <c r="AA29" s="70"/>
      <c r="AB29" s="70"/>
      <c r="AC29" s="70"/>
      <c r="AD29" s="71"/>
      <c r="AE29" s="71"/>
      <c r="AF29" s="71"/>
      <c r="AG29" s="71"/>
      <c r="AI29" s="251"/>
      <c r="AJ29" s="252"/>
    </row>
    <row r="30" spans="1:36">
      <c r="C30" s="23" t="s">
        <v>53</v>
      </c>
      <c r="F30" s="742">
        <f>'Segment Analysis'!F7</f>
        <v>576314</v>
      </c>
      <c r="G30" s="742">
        <f>'Segment Analysis'!G7</f>
        <v>503600</v>
      </c>
      <c r="H30" s="742">
        <f>'Segment Analysis'!H7</f>
        <v>574404</v>
      </c>
      <c r="I30" s="742">
        <f>'Segment Analysis'!I7</f>
        <v>788348</v>
      </c>
      <c r="J30" s="743">
        <f>'Segment Analysis'!J7</f>
        <v>2442666</v>
      </c>
      <c r="K30" s="742">
        <f>'Segment Analysis'!K7</f>
        <v>585003</v>
      </c>
      <c r="L30" s="742">
        <f>'Segment Analysis'!L7</f>
        <v>693413</v>
      </c>
      <c r="M30" s="742">
        <f>'Segment Analysis'!M7</f>
        <v>738420</v>
      </c>
      <c r="N30" s="742">
        <f>'Segment Analysis'!N7</f>
        <v>979525</v>
      </c>
      <c r="O30" s="743">
        <f>'Segment Analysis'!O7</f>
        <v>2996361</v>
      </c>
      <c r="P30" s="742">
        <f>'Segment Analysis'!P7</f>
        <v>699022</v>
      </c>
      <c r="Q30" s="742">
        <f>'Segment Analysis'!Q7</f>
        <v>838040</v>
      </c>
      <c r="R30" s="742">
        <f>'Segment Analysis'!R7</f>
        <v>1045994</v>
      </c>
      <c r="S30" s="742">
        <f>'Segment Analysis'!S7</f>
        <v>1297028</v>
      </c>
      <c r="T30" s="743">
        <f>'Segment Analysis'!T7</f>
        <v>3880084</v>
      </c>
      <c r="U30" s="742">
        <f>'Segment Analysis'!U7</f>
        <v>1400469</v>
      </c>
      <c r="V30" s="729">
        <f>SUM(V32,V35,V38,V41,V44,V47,)</f>
        <v>1541864.1675</v>
      </c>
      <c r="W30" s="729">
        <f>SUM(W32,W35,W38,W41,W44,W47,)</f>
        <v>1718730.9434175</v>
      </c>
      <c r="X30" s="729">
        <f>SUM(X32,X35,X38,X41,X44,X47,)</f>
        <v>2113727.5750644035</v>
      </c>
      <c r="Y30" s="728">
        <f>SUM(U30:X30)</f>
        <v>6774791.6859819032</v>
      </c>
      <c r="Z30" s="729">
        <f>SUM(Z32,Z35,Z38,Z41,Z44,Z47,)</f>
        <v>1569916.8630476727</v>
      </c>
      <c r="AA30" s="729">
        <f>SUM(AA32,AA35,AA38,AA41,AA44,AA47,)</f>
        <v>1730869.86064311</v>
      </c>
      <c r="AB30" s="729">
        <f>SUM(AB32,AB35,AB38,AB41,AB44,AB47,)</f>
        <v>1922406.9836960782</v>
      </c>
      <c r="AC30" s="729">
        <f>SUM(AC32,AC35,AC38,AC41,AC44,AC47,)</f>
        <v>2440159.6789104422</v>
      </c>
      <c r="AD30" s="728">
        <f>SUM(Z30:AC30)</f>
        <v>7663353.3862973023</v>
      </c>
      <c r="AE30" s="728">
        <f>SUM(AE32,AE35,AE38,AE41,AE44,AE47,)</f>
        <v>7894057.7637738818</v>
      </c>
      <c r="AF30" s="728">
        <f>SUM(AF32,AF35,AF38,AF41,AF44,AF47,)</f>
        <v>7727144.4667526977</v>
      </c>
      <c r="AG30" s="728">
        <f>SUM(AG32,AG35,AG38,AG41,AG44,AG47,)</f>
        <v>7330353.4317446342</v>
      </c>
      <c r="AI30" s="253">
        <f>IFERROR((T30/J30)^(1/3)-1,"--")</f>
        <v>0.16678905549578626</v>
      </c>
      <c r="AJ30" s="254">
        <f>IFERROR((AG30/T30)^(1/5)-1,"--")</f>
        <v>0.13568203891666242</v>
      </c>
    </row>
    <row r="31" spans="1:36" s="830" customFormat="1">
      <c r="A31" s="829"/>
      <c r="C31" s="978" t="str">
        <f>IF($C$25="Quarterly","% Growth QoQ","% Growth YoY")</f>
        <v>% Growth QoQ</v>
      </c>
      <c r="F31" s="831"/>
      <c r="G31" s="832">
        <f>IF($C$25="Annual",'Segment Analysis'!G172,'Segment Analysis'!G192)</f>
        <v>-0.12617080272212722</v>
      </c>
      <c r="H31" s="832">
        <f>IF($C$25="Annual",'Segment Analysis'!H172,'Segment Analysis'!H192)</f>
        <v>0.14059571088165201</v>
      </c>
      <c r="I31" s="832">
        <f>IF($C$25="Annual",'Segment Analysis'!I172,'Segment Analysis'!I192)</f>
        <v>0.37246258730788773</v>
      </c>
      <c r="J31" s="833"/>
      <c r="K31" s="832">
        <f>IF($C$25="Annual",'Segment Analysis'!K172,'Segment Analysis'!K192)</f>
        <v>-0.25793811869884875</v>
      </c>
      <c r="L31" s="832">
        <f>IF($C$25="Annual",'Segment Analysis'!L172,'Segment Analysis'!L192)</f>
        <v>0.18531528898142402</v>
      </c>
      <c r="M31" s="832">
        <f>IF($C$25="Annual",'Segment Analysis'!M172,'Segment Analysis'!M192)</f>
        <v>6.4906484303005607E-2</v>
      </c>
      <c r="N31" s="832">
        <f>IF($C$25="Annual",'Segment Analysis'!N172,'Segment Analysis'!N192)</f>
        <v>0.32651472061970144</v>
      </c>
      <c r="O31" s="835">
        <f>IFERROR(O30/J30-1,"--")</f>
        <v>0.22667650837240938</v>
      </c>
      <c r="P31" s="1067">
        <f>IFERROR(P30/N30-1,"--")</f>
        <v>-0.28636635103749264</v>
      </c>
      <c r="Q31" s="832">
        <f>IF($C$25="Annual",'Segment Analysis'!Q172,'Segment Analysis'!Q192)</f>
        <v>0.19887499964235755</v>
      </c>
      <c r="R31" s="832">
        <f>IF($C$25="Annual",'Segment Analysis'!R172,'Segment Analysis'!R192)</f>
        <v>0.24814328671662444</v>
      </c>
      <c r="S31" s="832">
        <f>IF($C$25="Annual",'Segment Analysis'!S172,'Segment Analysis'!S192)</f>
        <v>0.23999564051036626</v>
      </c>
      <c r="T31" s="835">
        <f>IFERROR(T30/O30-1,"--")</f>
        <v>0.2949320859535951</v>
      </c>
      <c r="U31" s="1067">
        <f>IFERROR(U30/S30-1,"--")</f>
        <v>7.9752326087023651E-2</v>
      </c>
      <c r="V31" s="834">
        <f>IFERROR(V30/U30-1,"--")</f>
        <v>0.10096272570117582</v>
      </c>
      <c r="W31" s="834">
        <f>IFERROR(W30/V30-1,"--")</f>
        <v>0.1147096998850905</v>
      </c>
      <c r="X31" s="834">
        <f>IFERROR(X30/W30-1,"--")</f>
        <v>0.22981877015694963</v>
      </c>
      <c r="Y31" s="835">
        <f>IFERROR(Y30/T30-1,"--")</f>
        <v>0.74604253051787106</v>
      </c>
      <c r="Z31" s="834">
        <f>IFERROR(Z30/X30-1,"--")</f>
        <v>-0.25727568605909934</v>
      </c>
      <c r="AA31" s="834">
        <f>IFERROR(AA30/Z30-1,"--")</f>
        <v>0.1025232618260945</v>
      </c>
      <c r="AB31" s="834">
        <f>IFERROR(AB30/AA30-1,"--")</f>
        <v>0.11065945938985955</v>
      </c>
      <c r="AC31" s="834">
        <f>IFERROR(AC30/AB30-1,"--")</f>
        <v>0.26932522593052433</v>
      </c>
      <c r="AD31" s="835">
        <f>IFERROR(AD30/Y30-1,"--")</f>
        <v>0.13115705124247157</v>
      </c>
      <c r="AE31" s="835">
        <f>IFERROR(AE30/AD30-1,"--")</f>
        <v>3.01048856612951E-2</v>
      </c>
      <c r="AF31" s="835">
        <f>IFERROR(AF30/AE30-1,"--")</f>
        <v>-2.1144169705364368E-2</v>
      </c>
      <c r="AG31" s="835">
        <f>IFERROR(AG30/AF30-1,"--")</f>
        <v>-5.1350280393400394E-2</v>
      </c>
      <c r="AI31" s="836"/>
      <c r="AJ31" s="837"/>
    </row>
    <row r="32" spans="1:36">
      <c r="C32" s="23" t="str">
        <f>'Segment Analysis'!C8</f>
        <v>Investment Banking &amp; Equities Revenue</v>
      </c>
      <c r="F32" s="742">
        <f>'Segment Analysis'!F8</f>
        <v>554811</v>
      </c>
      <c r="G32" s="742">
        <f>'Segment Analysis'!G8</f>
        <v>482246</v>
      </c>
      <c r="H32" s="742">
        <f>'Segment Analysis'!H8</f>
        <v>552641</v>
      </c>
      <c r="I32" s="742">
        <f>'Segment Analysis'!I8</f>
        <v>766245</v>
      </c>
      <c r="J32" s="743">
        <f>'Segment Analysis'!J8</f>
        <v>2355943</v>
      </c>
      <c r="K32" s="742">
        <f>'Segment Analysis'!K8</f>
        <v>561728</v>
      </c>
      <c r="L32" s="742">
        <f>'Segment Analysis'!L8</f>
        <v>670010</v>
      </c>
      <c r="M32" s="742">
        <f>'Segment Analysis'!M8</f>
        <v>712775</v>
      </c>
      <c r="N32" s="742">
        <f>'Segment Analysis'!N8</f>
        <v>953976</v>
      </c>
      <c r="O32" s="743">
        <f>'Segment Analysis'!O8</f>
        <v>2898489</v>
      </c>
      <c r="P32" s="742">
        <f>'Segment Analysis'!P8</f>
        <v>666714</v>
      </c>
      <c r="Q32" s="742">
        <f>'Segment Analysis'!Q8</f>
        <v>788222</v>
      </c>
      <c r="R32" s="742">
        <f>'Segment Analysis'!R8</f>
        <v>990258</v>
      </c>
      <c r="S32" s="742">
        <f>'Segment Analysis'!S8</f>
        <v>1244225</v>
      </c>
      <c r="T32" s="743">
        <f>'Segment Analysis'!T8</f>
        <v>3689419</v>
      </c>
      <c r="U32" s="742">
        <f>'Segment Analysis'!U8</f>
        <v>1362465</v>
      </c>
      <c r="V32" s="729">
        <f>IF(Segment1_Rev_Methodology="Segment",V53,IF(Segment1_Rev_Methodology="Activity-Based",V91,IF(Segment1_Rev_Methodology="Backlog",V165,"--")))</f>
        <v>1503480.1274999999</v>
      </c>
      <c r="W32" s="729">
        <f>IF(Segment1_Rev_Methodology="Segment",W53,IF(Segment1_Rev_Methodology="Activity-Based",W91,IF(Segment1_Rev_Methodology="Backlog",W165,"--")))</f>
        <v>1679387.3024174999</v>
      </c>
      <c r="X32" s="729">
        <f>IF(Segment1_Rev_Methodology="Segment",X53,IF(Segment1_Rev_Methodology="Activity-Based",X91,IF(Segment1_Rev_Methodology="Backlog",X165,"--")))</f>
        <v>2073203.6248344036</v>
      </c>
      <c r="Y32" s="728">
        <f>SUM(U32:X32)</f>
        <v>6618536.0547519028</v>
      </c>
      <c r="Z32" s="729">
        <f>IF(Segment1_Rev_Methodology="Segment",Z53,IF(Segment1_Rev_Methodology="Activity-Based",Z91,IF(Segment1_Rev_Methodology="Backlog",Z165,"--")))</f>
        <v>1528987.6733153728</v>
      </c>
      <c r="AA32" s="729">
        <f>IF(Segment1_Rev_Methodology="Segment",AA53,IF(Segment1_Rev_Methodology="Activity-Based",AA91,IF(Segment1_Rev_Methodology="Backlog",AA165,"--")))</f>
        <v>1689531.3790134869</v>
      </c>
      <c r="AB32" s="729">
        <f>IF(Segment1_Rev_Methodology="Segment",AB53,IF(Segment1_Rev_Methodology="Activity-Based",AB91,IF(Segment1_Rev_Methodology="Backlog",AB165,"--")))</f>
        <v>1880448.424842011</v>
      </c>
      <c r="AC32" s="729">
        <f>IF(Segment1_Rev_Methodology="Segment",AC53,IF(Segment1_Rev_Methodology="Activity-Based",AC91,IF(Segment1_Rev_Methodology="Backlog",AC165,"--")))</f>
        <v>2397571.7416735636</v>
      </c>
      <c r="AD32" s="728">
        <f>SUM(Z32:AC32)</f>
        <v>7496539.2188444342</v>
      </c>
      <c r="AE32" s="728">
        <f>IF(Segment1_Rev_Methodology="Segment",AE53,IF(Segment1_Rev_Methodology="Activity-Based",AE91,IF(Segment1_Rev_Methodology="Backlog",AE165,"--")))</f>
        <v>7743925.0130663002</v>
      </c>
      <c r="AF32" s="728">
        <f>IF(Segment1_Rev_Methodology="Segment",AF53,IF(Segment1_Rev_Methodology="Activity-Based",AF91,IF(Segment1_Rev_Methodology="Backlog",AF165,"--")))</f>
        <v>7573558.6627788413</v>
      </c>
      <c r="AG32" s="728">
        <f>IF(Segment1_Rev_Methodology="Segment",AG53,IF(Segment1_Rev_Methodology="Activity-Based",AG91,IF(Segment1_Rev_Methodology="Backlog",AG165,"--")))</f>
        <v>7172160.053651562</v>
      </c>
      <c r="AI32" s="253">
        <f>IFERROR((T32/J32)^(1/3)-1,"--")</f>
        <v>0.1612642786996985</v>
      </c>
      <c r="AJ32" s="254">
        <f>IFERROR((AG32/T32)^(1/5)-1,"--")</f>
        <v>0.14219011832911077</v>
      </c>
    </row>
    <row r="33" spans="1:36" s="830" customFormat="1">
      <c r="A33" s="829"/>
      <c r="C33" s="978" t="str">
        <f>IF($C$25="Quarterly","% Growth QoQ","% Growth YoY")</f>
        <v>% Growth QoQ</v>
      </c>
      <c r="F33" s="831"/>
      <c r="G33" s="832">
        <f>IF($C$25="Annual",'Segment Analysis'!G173,'Segment Analysis'!G193)</f>
        <v>-0.13079228782414187</v>
      </c>
      <c r="H33" s="832">
        <f>IF($C$25="Annual",'Segment Analysis'!H173,'Segment Analysis'!H193)</f>
        <v>0.14597321698883969</v>
      </c>
      <c r="I33" s="832">
        <f>IF($C$25="Annual",'Segment Analysis'!I173,'Segment Analysis'!I193)</f>
        <v>0.38651493465016173</v>
      </c>
      <c r="J33" s="833">
        <f>IF($C$25="Annual",'Segment Analysis'!J173,'Segment Analysis'!J193)</f>
        <v>0</v>
      </c>
      <c r="K33" s="832">
        <f>IF($C$25="Annual",'Segment Analysis'!K173,'Segment Analysis'!K193)</f>
        <v>-0.26690810380491881</v>
      </c>
      <c r="L33" s="832">
        <f>IF($C$25="Annual",'Segment Analysis'!L173,'Segment Analysis'!L193)</f>
        <v>0.19276589381337583</v>
      </c>
      <c r="M33" s="832">
        <f>IF($C$25="Annual",'Segment Analysis'!M173,'Segment Analysis'!M193)</f>
        <v>6.3827405561110995E-2</v>
      </c>
      <c r="N33" s="832">
        <f>IF($C$25="Annual",'Segment Analysis'!N173,'Segment Analysis'!N193)</f>
        <v>0.3383971098874119</v>
      </c>
      <c r="O33" s="835">
        <f>IFERROR(O32/J32-1,"--")</f>
        <v>0.23028825400274955</v>
      </c>
      <c r="P33" s="1067">
        <f>IFERROR(P32/N32-1,"--")</f>
        <v>-0.30112078291277766</v>
      </c>
      <c r="Q33" s="832">
        <f>IF($C$25="Annual",'Segment Analysis'!Q173,'Segment Analysis'!Q193)</f>
        <v>0.1822490603167175</v>
      </c>
      <c r="R33" s="832">
        <f>IF($C$25="Annual",'Segment Analysis'!R173,'Segment Analysis'!R193)</f>
        <v>0.25631865134441822</v>
      </c>
      <c r="S33" s="832">
        <f>IF($C$25="Annual",'Segment Analysis'!S173,'Segment Analysis'!S193)</f>
        <v>0.2564654867721341</v>
      </c>
      <c r="T33" s="835">
        <f>IFERROR(T32/O32-1,"--")</f>
        <v>0.27287666090849405</v>
      </c>
      <c r="U33" s="1067">
        <f>IFERROR(U32/S32-1,"--")</f>
        <v>9.5031043420603201E-2</v>
      </c>
      <c r="V33" s="834">
        <f>IFERROR(V32/U32-1,"--")</f>
        <v>0.10349999999999993</v>
      </c>
      <c r="W33" s="834">
        <f>IFERROR(W32/V32-1,"--")</f>
        <v>0.11699999999999999</v>
      </c>
      <c r="X33" s="834">
        <f>IFERROR(X32/W32-1,"--")</f>
        <v>0.23449999999999993</v>
      </c>
      <c r="Y33" s="835">
        <f>IFERROR(Y32/T32-1,"--")</f>
        <v>0.79392366514941859</v>
      </c>
      <c r="Z33" s="834">
        <f>IFERROR(Z32/X32-1,"--")</f>
        <v>-0.26249999999999996</v>
      </c>
      <c r="AA33" s="834">
        <f>IFERROR(AA32/Z32-1,"--")</f>
        <v>0.10499999999999998</v>
      </c>
      <c r="AB33" s="834">
        <f>IFERROR(AB32/AA32-1,"--")</f>
        <v>0.11299999999999999</v>
      </c>
      <c r="AC33" s="834">
        <f>IFERROR(AC32/AB32-1,"--")</f>
        <v>0.27499999999999991</v>
      </c>
      <c r="AD33" s="835">
        <f>IFERROR(AD32/Y32-1,"--")</f>
        <v>0.13265821275720824</v>
      </c>
      <c r="AE33" s="835">
        <f>IFERROR(AE32/AD32-1,"--")</f>
        <v>3.2999999999999918E-2</v>
      </c>
      <c r="AF33" s="835">
        <f>IFERROR(AF32/AE32-1,"--")</f>
        <v>-2.200000000000002E-2</v>
      </c>
      <c r="AG33" s="835">
        <f>IFERROR(AG32/AF32-1,"--")</f>
        <v>-5.3000000000000158E-2</v>
      </c>
      <c r="AI33" s="836"/>
      <c r="AJ33" s="837"/>
    </row>
    <row r="34" spans="1:36" s="830" customFormat="1">
      <c r="A34" s="829"/>
      <c r="C34" s="114" t="s">
        <v>216</v>
      </c>
      <c r="F34" s="832">
        <f>'Segment Analysis'!F16</f>
        <v>0.96268874259518245</v>
      </c>
      <c r="G34" s="832">
        <f>'Segment Analysis'!G16</f>
        <v>0.95759729944400318</v>
      </c>
      <c r="H34" s="832">
        <f>'Segment Analysis'!H16</f>
        <v>0.96211203264601219</v>
      </c>
      <c r="I34" s="832">
        <f>'Segment Analysis'!I16</f>
        <v>0.97196288948535414</v>
      </c>
      <c r="J34" s="833">
        <f>'Segment Analysis'!J16</f>
        <v>0.9644965787381492</v>
      </c>
      <c r="K34" s="832">
        <f>'Segment Analysis'!K16</f>
        <v>0.96021387924506374</v>
      </c>
      <c r="L34" s="832">
        <f>'Segment Analysis'!L16</f>
        <v>0.96624955113330724</v>
      </c>
      <c r="M34" s="832">
        <f>'Segment Analysis'!M16</f>
        <v>0.96527044229571246</v>
      </c>
      <c r="N34" s="832">
        <f>'Segment Analysis'!N16</f>
        <v>0.9739169495418698</v>
      </c>
      <c r="O34" s="833">
        <f>'Segment Analysis'!O16</f>
        <v>0.96733637902776071</v>
      </c>
      <c r="P34" s="832">
        <f>'Segment Analysis'!P16</f>
        <v>0.95378113993550995</v>
      </c>
      <c r="Q34" s="832">
        <f>'Segment Analysis'!Q16</f>
        <v>0.94055415015989685</v>
      </c>
      <c r="R34" s="832">
        <f>'Segment Analysis'!R16</f>
        <v>0.94671479951127824</v>
      </c>
      <c r="S34" s="832">
        <f>'Segment Analysis'!S16</f>
        <v>0.95928923662403587</v>
      </c>
      <c r="T34" s="833">
        <f>'Segment Analysis'!T16</f>
        <v>0.95086059992515626</v>
      </c>
      <c r="U34" s="832">
        <f>'Segment Analysis'!U16</f>
        <v>0.9728633764831639</v>
      </c>
      <c r="V34" s="834">
        <f t="shared" ref="U34:X34" si="0">V32/V$30</f>
        <v>0.97510543353359302</v>
      </c>
      <c r="W34" s="834">
        <f t="shared" si="0"/>
        <v>0.97710890052298138</v>
      </c>
      <c r="X34" s="834">
        <f t="shared" si="0"/>
        <v>0.98082820572146578</v>
      </c>
      <c r="Y34" s="835">
        <f t="shared" ref="Y34:AG34" si="1">Y32/Y$30</f>
        <v>0.97693572902716441</v>
      </c>
      <c r="Z34" s="834">
        <f t="shared" si="1"/>
        <v>0.97392907185362398</v>
      </c>
      <c r="AA34" s="834">
        <f t="shared" si="1"/>
        <v>0.97611693254958887</v>
      </c>
      <c r="AB34" s="834">
        <f t="shared" si="1"/>
        <v>0.97817394588663198</v>
      </c>
      <c r="AC34" s="834">
        <f t="shared" si="1"/>
        <v>0.9825470695196904</v>
      </c>
      <c r="AD34" s="835">
        <f>AD32/AD$30</f>
        <v>0.97823222301725699</v>
      </c>
      <c r="AE34" s="835">
        <f t="shared" si="1"/>
        <v>0.98098154900809742</v>
      </c>
      <c r="AF34" s="835">
        <f t="shared" si="1"/>
        <v>0.9801238601614497</v>
      </c>
      <c r="AG34" s="835">
        <f t="shared" si="1"/>
        <v>0.97841940643571101</v>
      </c>
      <c r="AI34" s="916"/>
      <c r="AJ34" s="917"/>
    </row>
    <row r="35" spans="1:36">
      <c r="C35" s="23" t="str">
        <f>'Segment Analysis'!C9</f>
        <v>Investment Management Revenue</v>
      </c>
      <c r="F35" s="742">
        <f>'Segment Analysis'!F9</f>
        <v>17332</v>
      </c>
      <c r="G35" s="742">
        <f>'Segment Analysis'!G9</f>
        <v>17173</v>
      </c>
      <c r="H35" s="742">
        <f>'Segment Analysis'!H9</f>
        <v>17579</v>
      </c>
      <c r="I35" s="742">
        <f>'Segment Analysis'!I9</f>
        <v>17922</v>
      </c>
      <c r="J35" s="743">
        <f>'Segment Analysis'!J9</f>
        <v>70006</v>
      </c>
      <c r="K35" s="742">
        <f>'Segment Analysis'!K9</f>
        <v>19087</v>
      </c>
      <c r="L35" s="742">
        <f>'Segment Analysis'!L9</f>
        <v>19214</v>
      </c>
      <c r="M35" s="742">
        <f>'Segment Analysis'!M9</f>
        <v>21447</v>
      </c>
      <c r="N35" s="742">
        <f>'Segment Analysis'!N9</f>
        <v>21356</v>
      </c>
      <c r="O35" s="743">
        <f>'Segment Analysis'!O9</f>
        <v>81104</v>
      </c>
      <c r="P35" s="742">
        <f>'Segment Analysis'!P9</f>
        <v>32308</v>
      </c>
      <c r="Q35" s="742">
        <f>'Segment Analysis'!Q9</f>
        <v>49818</v>
      </c>
      <c r="R35" s="742">
        <f>'Segment Analysis'!R9</f>
        <v>55736</v>
      </c>
      <c r="S35" s="742">
        <f>'Segment Analysis'!S9</f>
        <v>52803</v>
      </c>
      <c r="T35" s="743">
        <f>'Segment Analysis'!T9</f>
        <v>190665</v>
      </c>
      <c r="U35" s="742">
        <f>'Segment Analysis'!U9</f>
        <v>38004</v>
      </c>
      <c r="V35" s="729">
        <f>IF(Segment2_Rev_Methodology="Segment",V59,IF(Segment2_Rev_Methodology="Activity-Based",V103,IF(Segment2_Rev_Methodology="Backlog",V177,"--")))</f>
        <v>38384.04</v>
      </c>
      <c r="W35" s="729">
        <f>IF(Segment2_Rev_Methodology="Segment",W59,IF(Segment2_Rev_Methodology="Activity-Based",W103,IF(Segment2_Rev_Methodology="Backlog",W177,"--")))</f>
        <v>39343.640999999996</v>
      </c>
      <c r="X35" s="729">
        <f>IF(Segment2_Rev_Methodology="Segment",X59,IF(Segment2_Rev_Methodology="Activity-Based",X103,IF(Segment2_Rev_Methodology="Backlog",X177,"--")))</f>
        <v>40523.950229999995</v>
      </c>
      <c r="Y35" s="728">
        <f>SUM(U35:X35)</f>
        <v>156255.63123</v>
      </c>
      <c r="Z35" s="729">
        <f>IF(Segment2_Rev_Methodology="Segment",Z59,IF(Segment2_Rev_Methodology="Activity-Based",Z103,IF(Segment2_Rev_Methodology="Backlog",Z177,"--")))</f>
        <v>40929.189732299994</v>
      </c>
      <c r="AA35" s="729">
        <f>IF(Segment2_Rev_Methodology="Segment",AA59,IF(Segment2_Rev_Methodology="Activity-Based",AA103,IF(Segment2_Rev_Methodology="Backlog",AA177,"--")))</f>
        <v>41338.481629622991</v>
      </c>
      <c r="AB35" s="729">
        <f>IF(Segment2_Rev_Methodology="Segment",AB59,IF(Segment2_Rev_Methodology="Activity-Based",AB103,IF(Segment2_Rev_Methodology="Backlog",AB177,"--")))</f>
        <v>41958.558854067334</v>
      </c>
      <c r="AC35" s="729">
        <f>IF(Segment2_Rev_Methodology="Segment",AC59,IF(Segment2_Rev_Methodology="Activity-Based",AC103,IF(Segment2_Rev_Methodology="Backlog",AC177,"--")))</f>
        <v>42587.937236878337</v>
      </c>
      <c r="AD35" s="728">
        <f>SUM(Z35:AC35)</f>
        <v>166814.16745286866</v>
      </c>
      <c r="AE35" s="728">
        <f>IF(Segment2_Rev_Methodology="Segment",AE59,IF(Segment2_Rev_Methodology="Activity-Based",AE103,IF(Segment2_Rev_Methodology="Backlog",AE177,"--")))</f>
        <v>150132.75070758178</v>
      </c>
      <c r="AF35" s="728">
        <f>IF(Segment2_Rev_Methodology="Segment",AF59,IF(Segment2_Rev_Methodology="Activity-Based",AF103,IF(Segment2_Rev_Methodology="Backlog",AF177,"--")))</f>
        <v>153585.80397385615</v>
      </c>
      <c r="AG35" s="728">
        <f>IF(Segment2_Rev_Methodology="Segment",AG59,IF(Segment2_Rev_Methodology="Activity-Based",AG103,IF(Segment2_Rev_Methodology="Backlog",AG177,"--")))</f>
        <v>158193.37809307183</v>
      </c>
      <c r="AI35" s="253">
        <f>IFERROR((T35/J35)^(1/3)-1,"--")</f>
        <v>0.39651382055095419</v>
      </c>
      <c r="AJ35" s="254">
        <f>IFERROR((AG35/T35)^(1/5)-1,"--")</f>
        <v>-3.6651413522258869E-2</v>
      </c>
    </row>
    <row r="36" spans="1:36" s="830" customFormat="1">
      <c r="A36" s="829"/>
      <c r="C36" s="114" t="s">
        <v>215</v>
      </c>
      <c r="F36" s="831"/>
      <c r="G36" s="832">
        <f>IF($C$25="Annual",'Segment Analysis'!G174,'Segment Analysis'!G194)</f>
        <v>-9.1737825986614174E-3</v>
      </c>
      <c r="H36" s="832">
        <f>IF($C$25="Annual",'Segment Analysis'!H174,'Segment Analysis'!H194)</f>
        <v>2.3641763232981949E-2</v>
      </c>
      <c r="I36" s="832">
        <f>IF($C$25="Annual",'Segment Analysis'!I174,'Segment Analysis'!I194)</f>
        <v>1.9511917628989073E-2</v>
      </c>
      <c r="J36" s="833"/>
      <c r="K36" s="832">
        <f>IF($C$25="Annual",'Segment Analysis'!K174,'Segment Analysis'!K194)</f>
        <v>6.5003905814083218E-2</v>
      </c>
      <c r="L36" s="832">
        <f>IF($C$25="Annual",'Segment Analysis'!L174,'Segment Analysis'!L194)</f>
        <v>6.6537433855504702E-3</v>
      </c>
      <c r="M36" s="832">
        <f>IF($C$25="Annual",'Segment Analysis'!M174,'Segment Analysis'!M194)</f>
        <v>0.11621734152180707</v>
      </c>
      <c r="N36" s="832">
        <f>IF($C$25="Annual",'Segment Analysis'!N174,'Segment Analysis'!N194)</f>
        <v>-4.2430176714691736E-3</v>
      </c>
      <c r="O36" s="833">
        <f>'Segment Analysis'!O174</f>
        <v>0.15852926891980679</v>
      </c>
      <c r="P36" s="1067">
        <f>IFERROR(P35/N35-1,"--")</f>
        <v>0.5128301179996253</v>
      </c>
      <c r="Q36" s="832">
        <f>IF($C$25="Annual",'Segment Analysis'!Q174,'Segment Analysis'!Q194)</f>
        <v>0.54197102884734427</v>
      </c>
      <c r="R36" s="832">
        <f>IF($C$25="Annual",'Segment Analysis'!R174,'Segment Analysis'!R194)</f>
        <v>0.11879240435184069</v>
      </c>
      <c r="S36" s="832">
        <f>IF($C$25="Annual",'Segment Analysis'!S174,'Segment Analysis'!S194)</f>
        <v>-5.2623080235395414E-2</v>
      </c>
      <c r="T36" s="833">
        <f>'Segment Analysis'!T174</f>
        <v>1.3508704872755968</v>
      </c>
      <c r="U36" s="1067">
        <f>IFERROR(U35/S35-1,"--")</f>
        <v>-0.28026816658144427</v>
      </c>
      <c r="V36" s="834">
        <f>IFERROR(V35/U35-1,"--")</f>
        <v>1.0000000000000009E-2</v>
      </c>
      <c r="W36" s="834">
        <f>IFERROR(W35/V35-1,"--")</f>
        <v>2.4999999999999911E-2</v>
      </c>
      <c r="X36" s="834">
        <f>IFERROR(X35/W35-1,"--")</f>
        <v>3.0000000000000027E-2</v>
      </c>
      <c r="Y36" s="835">
        <f>IFERROR(Y35/T35-1,"--")</f>
        <v>-0.18047029486271737</v>
      </c>
      <c r="Z36" s="834">
        <f>IFERROR(Z35/X35-1,"--")</f>
        <v>1.0000000000000009E-2</v>
      </c>
      <c r="AA36" s="834">
        <f>IFERROR(AA35/Z35-1,"--")</f>
        <v>1.0000000000000009E-2</v>
      </c>
      <c r="AB36" s="834">
        <f>IFERROR(AB35/AA35-1,"--")</f>
        <v>1.4999999999999902E-2</v>
      </c>
      <c r="AC36" s="834">
        <f>IFERROR(AC35/AB35-1,"--")</f>
        <v>1.4999999999999902E-2</v>
      </c>
      <c r="AD36" s="835">
        <f>IFERROR(AD35/Y35-1,"--")</f>
        <v>6.7572196533045581E-2</v>
      </c>
      <c r="AE36" s="835">
        <f>IFERROR(AE35/AD35-1,"--")</f>
        <v>-0.10000000000000009</v>
      </c>
      <c r="AF36" s="835">
        <f>IFERROR(AF35/AE35-1,"--")</f>
        <v>2.2999999999999909E-2</v>
      </c>
      <c r="AG36" s="835">
        <f>IFERROR(AG35/AF35-1,"--")</f>
        <v>3.0000000000000027E-2</v>
      </c>
      <c r="AI36" s="836"/>
      <c r="AJ36" s="837"/>
    </row>
    <row r="37" spans="1:36" s="830" customFormat="1">
      <c r="A37" s="829"/>
      <c r="C37" s="114" t="s">
        <v>216</v>
      </c>
      <c r="F37" s="832">
        <f>'Segment Analysis'!F17</f>
        <v>3.0073883334432273E-2</v>
      </c>
      <c r="G37" s="832">
        <f>'Segment Analysis'!G17</f>
        <v>3.4100476568705324E-2</v>
      </c>
      <c r="H37" s="832">
        <f>'Segment Analysis'!H17</f>
        <v>3.060389551604794E-2</v>
      </c>
      <c r="I37" s="832">
        <f>'Segment Analysis'!I17</f>
        <v>2.2733615103989607E-2</v>
      </c>
      <c r="J37" s="833">
        <f>'Segment Analysis'!J17</f>
        <v>2.8659669394014573E-2</v>
      </c>
      <c r="K37" s="832">
        <f>'Segment Analysis'!K17</f>
        <v>3.2627183108462694E-2</v>
      </c>
      <c r="L37" s="832">
        <f>'Segment Analysis'!L17</f>
        <v>2.7709316093006621E-2</v>
      </c>
      <c r="M37" s="832">
        <f>'Segment Analysis'!M17</f>
        <v>2.9044446250101569E-2</v>
      </c>
      <c r="N37" s="832">
        <f>'Segment Analysis'!N17</f>
        <v>2.1802404226538372E-2</v>
      </c>
      <c r="O37" s="833">
        <f>'Segment Analysis'!O17</f>
        <v>2.706749954361307E-2</v>
      </c>
      <c r="P37" s="832">
        <f>'Segment Analysis'!P17</f>
        <v>4.6218860064490101E-2</v>
      </c>
      <c r="Q37" s="832">
        <f>'Segment Analysis'!Q17</f>
        <v>5.94458498401031E-2</v>
      </c>
      <c r="R37" s="832">
        <f>'Segment Analysis'!R17</f>
        <v>5.3285200488721735E-2</v>
      </c>
      <c r="S37" s="832">
        <f>'Segment Analysis'!S17</f>
        <v>4.0710763375964125E-2</v>
      </c>
      <c r="T37" s="833">
        <f>'Segment Analysis'!T17</f>
        <v>4.9139400074843742E-2</v>
      </c>
      <c r="U37" s="832">
        <f>'Segment Analysis'!U17</f>
        <v>2.7136623516836145E-2</v>
      </c>
      <c r="V37" s="834">
        <f t="shared" ref="U37:X37" si="2">V35/V$30</f>
        <v>2.4894566466406972E-2</v>
      </c>
      <c r="W37" s="834">
        <f t="shared" si="2"/>
        <v>2.2891099477018586E-2</v>
      </c>
      <c r="X37" s="834">
        <f t="shared" si="2"/>
        <v>1.917179427853434E-2</v>
      </c>
      <c r="Y37" s="835">
        <f t="shared" ref="Y37:AG37" si="3">Y35/Y$30</f>
        <v>2.3064270972835546E-2</v>
      </c>
      <c r="Z37" s="834">
        <f t="shared" si="3"/>
        <v>2.6070928146376068E-2</v>
      </c>
      <c r="AA37" s="834">
        <f t="shared" si="3"/>
        <v>2.388306745041106E-2</v>
      </c>
      <c r="AB37" s="834">
        <f t="shared" si="3"/>
        <v>2.1826054113368094E-2</v>
      </c>
      <c r="AC37" s="834">
        <f t="shared" si="3"/>
        <v>1.7452930480309516E-2</v>
      </c>
      <c r="AD37" s="835">
        <f>AD35/AD$30</f>
        <v>2.176777698274308E-2</v>
      </c>
      <c r="AE37" s="835">
        <f t="shared" si="3"/>
        <v>1.9018450991902597E-2</v>
      </c>
      <c r="AF37" s="835">
        <f t="shared" si="3"/>
        <v>1.9876139838550213E-2</v>
      </c>
      <c r="AG37" s="835">
        <f t="shared" si="3"/>
        <v>2.1580593564288972E-2</v>
      </c>
      <c r="AI37" s="836"/>
      <c r="AJ37" s="837"/>
    </row>
    <row r="38" spans="1:36" hidden="1" outlineLevel="1">
      <c r="C38" s="23" t="str">
        <f>'Segment Analysis'!C10</f>
        <v>Segment 3 Revenue</v>
      </c>
      <c r="F38" s="742">
        <f>'Segment Analysis'!F10</f>
        <v>0</v>
      </c>
      <c r="G38" s="742">
        <f>'Segment Analysis'!G10</f>
        <v>0</v>
      </c>
      <c r="H38" s="742">
        <f>'Segment Analysis'!H10</f>
        <v>0</v>
      </c>
      <c r="I38" s="742">
        <f>'Segment Analysis'!I10</f>
        <v>0</v>
      </c>
      <c r="J38" s="743">
        <f>'Segment Analysis'!J10</f>
        <v>0</v>
      </c>
      <c r="K38" s="742">
        <f>'Segment Analysis'!K10</f>
        <v>0</v>
      </c>
      <c r="L38" s="742">
        <f>'Segment Analysis'!L10</f>
        <v>0</v>
      </c>
      <c r="M38" s="742">
        <f>'Segment Analysis'!M10</f>
        <v>0</v>
      </c>
      <c r="N38" s="742">
        <f>'Segment Analysis'!N10</f>
        <v>0</v>
      </c>
      <c r="O38" s="743">
        <f>'Segment Analysis'!O10</f>
        <v>0</v>
      </c>
      <c r="P38" s="742">
        <f>'Segment Analysis'!P10</f>
        <v>0</v>
      </c>
      <c r="Q38" s="742">
        <f>'Segment Analysis'!Q10</f>
        <v>0</v>
      </c>
      <c r="R38" s="742">
        <f>'Segment Analysis'!R10</f>
        <v>0</v>
      </c>
      <c r="S38" s="742">
        <f>'Segment Analysis'!S10</f>
        <v>0</v>
      </c>
      <c r="T38" s="743">
        <f>'Segment Analysis'!T10</f>
        <v>0</v>
      </c>
      <c r="U38" s="742">
        <f>'Segment Analysis'!U10</f>
        <v>0</v>
      </c>
      <c r="V38" s="729">
        <f>IF(Segment3_Rev_Methodology="Segment",V65,IF(Segment3_Rev_Methodology="Activity-Based",V115,IF(Segment3_Rev_Methodology="Backlog",V189,"--")))</f>
        <v>0</v>
      </c>
      <c r="W38" s="729">
        <f>IF(Segment3_Rev_Methodology="Segment",W65,IF(Segment3_Rev_Methodology="Activity-Based",W115,IF(Segment3_Rev_Methodology="Backlog",W189,"--")))</f>
        <v>0</v>
      </c>
      <c r="X38" s="729">
        <f>IF(Segment3_Rev_Methodology="Segment",X65,IF(Segment3_Rev_Methodology="Activity-Based",X115,IF(Segment3_Rev_Methodology="Backlog",X189,"--")))</f>
        <v>0</v>
      </c>
      <c r="Y38" s="728">
        <f>SUM(U38:X38)</f>
        <v>0</v>
      </c>
      <c r="Z38" s="729">
        <f>IF(Segment3_Rev_Methodology="Segment",Z65,IF(Segment3_Rev_Methodology="Activity-Based",Z115,IF(Segment3_Rev_Methodology="Backlog",Z189,"--")))</f>
        <v>0</v>
      </c>
      <c r="AA38" s="729">
        <f>IF(Segment3_Rev_Methodology="Segment",AA65,IF(Segment3_Rev_Methodology="Activity-Based",AA115,IF(Segment3_Rev_Methodology="Backlog",AA189,"--")))</f>
        <v>0</v>
      </c>
      <c r="AB38" s="729">
        <f>IF(Segment3_Rev_Methodology="Segment",AB65,IF(Segment3_Rev_Methodology="Activity-Based",AB115,IF(Segment3_Rev_Methodology="Backlog",AB189,"--")))</f>
        <v>0</v>
      </c>
      <c r="AC38" s="729">
        <f>IF(Segment3_Rev_Methodology="Segment",AC65,IF(Segment3_Rev_Methodology="Activity-Based",AC115,IF(Segment3_Rev_Methodology="Backlog",AC189,"--")))</f>
        <v>0</v>
      </c>
      <c r="AD38" s="728">
        <f>SUM(Z38:AC38)</f>
        <v>0</v>
      </c>
      <c r="AE38" s="728">
        <f>IF(Segment3_Rev_Methodology="Segment",AE65,IF(Segment3_Rev_Methodology="Activity-Based",AE115,IF(Segment3_Rev_Methodology="Backlog",AE189,"--")))</f>
        <v>0</v>
      </c>
      <c r="AF38" s="728">
        <f>IF(Segment3_Rev_Methodology="Segment",AF65,IF(Segment3_Rev_Methodology="Activity-Based",AF115,IF(Segment3_Rev_Methodology="Backlog",AF189,"--")))</f>
        <v>0</v>
      </c>
      <c r="AG38" s="728">
        <f>IF(Segment3_Rev_Methodology="Segment",AG65,IF(Segment3_Rev_Methodology="Activity-Based",AG115,IF(Segment3_Rev_Methodology="Backlog",AG189,"--")))</f>
        <v>0</v>
      </c>
      <c r="AI38" s="253" t="str">
        <f>IFERROR((T38/J38)^(1/3)-1,"--")</f>
        <v>--</v>
      </c>
      <c r="AJ38" s="254" t="str">
        <f>IFERROR((AG38/T38)^(1/5)-1,"--")</f>
        <v>--</v>
      </c>
    </row>
    <row r="39" spans="1:36" s="830" customFormat="1" ht="12.75" hidden="1" customHeight="1" outlineLevel="1">
      <c r="A39" s="829"/>
      <c r="C39" s="114" t="s">
        <v>215</v>
      </c>
      <c r="F39" s="831"/>
      <c r="G39" s="832" t="str">
        <f>IF($C$25="Annual",'Segment Analysis'!G175,'Segment Analysis'!G195)</f>
        <v>N/A</v>
      </c>
      <c r="H39" s="832" t="str">
        <f>IF($C$25="Annual",'Segment Analysis'!H175,'Segment Analysis'!H195)</f>
        <v>N/A</v>
      </c>
      <c r="I39" s="832" t="str">
        <f>IF($C$25="Annual",'Segment Analysis'!I175,'Segment Analysis'!I195)</f>
        <v>N/A</v>
      </c>
      <c r="J39" s="833"/>
      <c r="K39" s="832" t="str">
        <f>IF($C$25="Annual",'Segment Analysis'!K175,'Segment Analysis'!K195)</f>
        <v>N/A</v>
      </c>
      <c r="L39" s="832" t="str">
        <f>IF($C$25="Annual",'Segment Analysis'!L175,'Segment Analysis'!L195)</f>
        <v>N/A</v>
      </c>
      <c r="M39" s="832" t="str">
        <f>IF($C$25="Annual",'Segment Analysis'!M175,'Segment Analysis'!M195)</f>
        <v>N/A</v>
      </c>
      <c r="N39" s="832" t="str">
        <f>IF($C$25="Annual",'Segment Analysis'!N175,'Segment Analysis'!N195)</f>
        <v>N/A</v>
      </c>
      <c r="O39" s="833">
        <f>IF($C$25="Annual",'Segment Analysis'!O175,'Segment Analysis'!O195)</f>
        <v>0</v>
      </c>
      <c r="P39" s="832" t="str">
        <f>IF($C$25="Annual",'Segment Analysis'!P175,'Segment Analysis'!P195)</f>
        <v>N/A</v>
      </c>
      <c r="Q39" s="832" t="str">
        <f>IF($C$25="Annual",'Segment Analysis'!Q175,'Segment Analysis'!Q195)</f>
        <v>N/A</v>
      </c>
      <c r="R39" s="832" t="str">
        <f>IF($C$25="Annual",'Segment Analysis'!R175,'Segment Analysis'!R195)</f>
        <v>N/A</v>
      </c>
      <c r="S39" s="832" t="str">
        <f>IF($C$25="Annual",'Segment Analysis'!S175,'Segment Analysis'!S195)</f>
        <v>N/A</v>
      </c>
      <c r="T39" s="833">
        <f>IF($C$25="Annual",'Segment Analysis'!T175,'Segment Analysis'!T195)</f>
        <v>0</v>
      </c>
      <c r="U39" s="832" t="str">
        <f>IF($C$25="Annual",'Segment Analysis'!U175,'Segment Analysis'!U195)</f>
        <v>N/A</v>
      </c>
      <c r="V39" s="834" t="str">
        <f>IFERROR(V38/U38-1,"--")</f>
        <v>--</v>
      </c>
      <c r="W39" s="834" t="str">
        <f>IFERROR(W38/V38-1,"--")</f>
        <v>--</v>
      </c>
      <c r="X39" s="834" t="str">
        <f>IFERROR(X38/W38-1,"--")</f>
        <v>--</v>
      </c>
      <c r="Y39" s="835" t="str">
        <f>IFERROR(Y38/T38-1,"--")</f>
        <v>--</v>
      </c>
      <c r="Z39" s="834" t="str">
        <f>IFERROR(Z38/X38-1,"--")</f>
        <v>--</v>
      </c>
      <c r="AA39" s="834" t="str">
        <f>IFERROR(AA38/Z38-1,"--")</f>
        <v>--</v>
      </c>
      <c r="AB39" s="834" t="str">
        <f>IFERROR(AB38/AA38-1,"--")</f>
        <v>--</v>
      </c>
      <c r="AC39" s="834" t="str">
        <f>IFERROR(AC38/AB38-1,"--")</f>
        <v>--</v>
      </c>
      <c r="AD39" s="835" t="str">
        <f>IFERROR(AD38/Y38-1,"--")</f>
        <v>--</v>
      </c>
      <c r="AE39" s="835" t="str">
        <f>IFERROR(AE38/AD38-1,"--")</f>
        <v>--</v>
      </c>
      <c r="AF39" s="835" t="str">
        <f>IFERROR(AF38/AE38-1,"--")</f>
        <v>--</v>
      </c>
      <c r="AG39" s="835" t="str">
        <f>IFERROR(AG38/AF38-1,"--")</f>
        <v>--</v>
      </c>
      <c r="AI39" s="836"/>
      <c r="AJ39" s="837"/>
    </row>
    <row r="40" spans="1:36" s="830" customFormat="1" hidden="1" outlineLevel="1">
      <c r="A40" s="829"/>
      <c r="C40" s="114" t="s">
        <v>216</v>
      </c>
      <c r="F40" s="832">
        <f>'Segment Analysis'!F18</f>
        <v>0</v>
      </c>
      <c r="G40" s="832">
        <f>'Segment Analysis'!G18</f>
        <v>0</v>
      </c>
      <c r="H40" s="832">
        <f>'Segment Analysis'!H18</f>
        <v>0</v>
      </c>
      <c r="I40" s="832">
        <f>'Segment Analysis'!I18</f>
        <v>0</v>
      </c>
      <c r="J40" s="833">
        <f>'Segment Analysis'!J18</f>
        <v>0</v>
      </c>
      <c r="K40" s="832">
        <f>'Segment Analysis'!K18</f>
        <v>0</v>
      </c>
      <c r="L40" s="832">
        <f>'Segment Analysis'!L18</f>
        <v>0</v>
      </c>
      <c r="M40" s="832">
        <f>'Segment Analysis'!M18</f>
        <v>0</v>
      </c>
      <c r="N40" s="832">
        <f>'Segment Analysis'!N18</f>
        <v>0</v>
      </c>
      <c r="O40" s="833">
        <f>'Segment Analysis'!O18</f>
        <v>0</v>
      </c>
      <c r="P40" s="832">
        <f>'Segment Analysis'!P18</f>
        <v>0</v>
      </c>
      <c r="Q40" s="832">
        <f>'Segment Analysis'!Q18</f>
        <v>0</v>
      </c>
      <c r="R40" s="832">
        <f>'Segment Analysis'!R18</f>
        <v>0</v>
      </c>
      <c r="S40" s="832">
        <f>'Segment Analysis'!S18</f>
        <v>0</v>
      </c>
      <c r="T40" s="833">
        <f>'Segment Analysis'!T18</f>
        <v>0</v>
      </c>
      <c r="U40" s="832">
        <f>'Segment Analysis'!U18</f>
        <v>0</v>
      </c>
      <c r="V40" s="834">
        <f t="shared" ref="U40:X40" si="4">V38/V$30</f>
        <v>0</v>
      </c>
      <c r="W40" s="834">
        <f t="shared" si="4"/>
        <v>0</v>
      </c>
      <c r="X40" s="834">
        <f t="shared" si="4"/>
        <v>0</v>
      </c>
      <c r="Y40" s="835">
        <f t="shared" ref="Y40:AG40" si="5">Y38/Y$30</f>
        <v>0</v>
      </c>
      <c r="Z40" s="834">
        <f t="shared" si="5"/>
        <v>0</v>
      </c>
      <c r="AA40" s="834">
        <f t="shared" si="5"/>
        <v>0</v>
      </c>
      <c r="AB40" s="834">
        <f t="shared" si="5"/>
        <v>0</v>
      </c>
      <c r="AC40" s="834">
        <f t="shared" si="5"/>
        <v>0</v>
      </c>
      <c r="AD40" s="835">
        <f>AD38/AD$30</f>
        <v>0</v>
      </c>
      <c r="AE40" s="835">
        <f t="shared" si="5"/>
        <v>0</v>
      </c>
      <c r="AF40" s="835">
        <f t="shared" si="5"/>
        <v>0</v>
      </c>
      <c r="AG40" s="835">
        <f t="shared" si="5"/>
        <v>0</v>
      </c>
      <c r="AI40" s="836"/>
      <c r="AJ40" s="837"/>
    </row>
    <row r="41" spans="1:36" hidden="1" outlineLevel="1">
      <c r="C41" s="23" t="str">
        <f>'Segment Analysis'!C11</f>
        <v>Segment 4 Revenue</v>
      </c>
      <c r="F41" s="742">
        <f>'Segment Analysis'!F11</f>
        <v>0</v>
      </c>
      <c r="G41" s="742">
        <f>'Segment Analysis'!G11</f>
        <v>0</v>
      </c>
      <c r="H41" s="742">
        <f>'Segment Analysis'!H11</f>
        <v>0</v>
      </c>
      <c r="I41" s="742">
        <f>'Segment Analysis'!I11</f>
        <v>0</v>
      </c>
      <c r="J41" s="743">
        <f>'Segment Analysis'!J11</f>
        <v>0</v>
      </c>
      <c r="K41" s="742">
        <f>'Segment Analysis'!K11</f>
        <v>0</v>
      </c>
      <c r="L41" s="742">
        <f>'Segment Analysis'!L11</f>
        <v>0</v>
      </c>
      <c r="M41" s="742">
        <f>'Segment Analysis'!M11</f>
        <v>0</v>
      </c>
      <c r="N41" s="742">
        <f>'Segment Analysis'!N11</f>
        <v>0</v>
      </c>
      <c r="O41" s="743">
        <f>'Segment Analysis'!O11</f>
        <v>0</v>
      </c>
      <c r="P41" s="742">
        <f>'Segment Analysis'!P11</f>
        <v>0</v>
      </c>
      <c r="Q41" s="742">
        <f>'Segment Analysis'!Q11</f>
        <v>0</v>
      </c>
      <c r="R41" s="742">
        <f>'Segment Analysis'!R11</f>
        <v>0</v>
      </c>
      <c r="S41" s="742">
        <f>'Segment Analysis'!S11</f>
        <v>0</v>
      </c>
      <c r="T41" s="743">
        <f>'Segment Analysis'!T11</f>
        <v>0</v>
      </c>
      <c r="U41" s="742">
        <f>'Segment Analysis'!U11</f>
        <v>0</v>
      </c>
      <c r="V41" s="729">
        <f>IF(Segment4_Rev_Methodology="Segment",V71,IF(Segment4_Rev_Methodology="Activity-Based",V127,IF(Segment4_Rev_Methodology="Backlog",V201,"--")))</f>
        <v>0</v>
      </c>
      <c r="W41" s="729">
        <f>IF(Segment4_Rev_Methodology="Segment",W71,IF(Segment4_Rev_Methodology="Activity-Based",W127,IF(Segment4_Rev_Methodology="Backlog",W201,"--")))</f>
        <v>0</v>
      </c>
      <c r="X41" s="729">
        <f>IF(Segment4_Rev_Methodology="Segment",X71,IF(Segment4_Rev_Methodology="Activity-Based",X127,IF(Segment4_Rev_Methodology="Backlog",X201,"--")))</f>
        <v>0</v>
      </c>
      <c r="Y41" s="728">
        <f>SUM(U41:X41)</f>
        <v>0</v>
      </c>
      <c r="Z41" s="729">
        <f>IF(Segment4_Rev_Methodology="Segment",Z71,IF(Segment4_Rev_Methodology="Activity-Based",Z127,IF(Segment4_Rev_Methodology="Backlog",Z201,"--")))</f>
        <v>0</v>
      </c>
      <c r="AA41" s="729">
        <f>IF(Segment4_Rev_Methodology="Segment",AA71,IF(Segment4_Rev_Methodology="Activity-Based",AA127,IF(Segment4_Rev_Methodology="Backlog",AA201,"--")))</f>
        <v>0</v>
      </c>
      <c r="AB41" s="729">
        <f>IF(Segment4_Rev_Methodology="Segment",AB71,IF(Segment4_Rev_Methodology="Activity-Based",AB127,IF(Segment4_Rev_Methodology="Backlog",AB201,"--")))</f>
        <v>0</v>
      </c>
      <c r="AC41" s="729">
        <f>IF(Segment4_Rev_Methodology="Segment",AC71,IF(Segment4_Rev_Methodology="Activity-Based",AC127,IF(Segment4_Rev_Methodology="Backlog",AC201,"--")))</f>
        <v>0</v>
      </c>
      <c r="AD41" s="728">
        <f>SUM(Z41:AC41)</f>
        <v>0</v>
      </c>
      <c r="AE41" s="728">
        <f>IF(Segment4_Rev_Methodology="Segment",AE71,IF(Segment4_Rev_Methodology="Activity-Based",AE127,IF(Segment4_Rev_Methodology="Backlog",AE201,"--")))</f>
        <v>0</v>
      </c>
      <c r="AF41" s="728">
        <f>IF(Segment4_Rev_Methodology="Segment",AF71,IF(Segment4_Rev_Methodology="Activity-Based",AF127,IF(Segment4_Rev_Methodology="Backlog",AF201,"--")))</f>
        <v>0</v>
      </c>
      <c r="AG41" s="728">
        <f>IF(Segment4_Rev_Methodology="Segment",AG71,IF(Segment4_Rev_Methodology="Activity-Based",AG127,IF(Segment4_Rev_Methodology="Backlog",AG201,"--")))</f>
        <v>0</v>
      </c>
      <c r="AI41" s="253" t="str">
        <f>IFERROR((T41/J41)^(1/3)-1,"--")</f>
        <v>--</v>
      </c>
      <c r="AJ41" s="254" t="str">
        <f>IFERROR((AG41/T41)^(1/5)-1,"--")</f>
        <v>--</v>
      </c>
    </row>
    <row r="42" spans="1:36" s="830" customFormat="1" hidden="1" outlineLevel="1">
      <c r="A42" s="829"/>
      <c r="C42" s="114" t="s">
        <v>215</v>
      </c>
      <c r="F42" s="831"/>
      <c r="G42" s="832" t="str">
        <f>IF($C$25="Annual",'Segment Analysis'!G176,'Segment Analysis'!G196)</f>
        <v>N/A</v>
      </c>
      <c r="H42" s="832" t="str">
        <f>IF($C$25="Annual",'Segment Analysis'!H176,'Segment Analysis'!H196)</f>
        <v>N/A</v>
      </c>
      <c r="I42" s="832" t="str">
        <f>IF($C$25="Annual",'Segment Analysis'!I176,'Segment Analysis'!I196)</f>
        <v>N/A</v>
      </c>
      <c r="J42" s="833"/>
      <c r="K42" s="832" t="str">
        <f>IF($C$25="Annual",'Segment Analysis'!K176,'Segment Analysis'!K196)</f>
        <v>N/A</v>
      </c>
      <c r="L42" s="832" t="str">
        <f>IF($C$25="Annual",'Segment Analysis'!L176,'Segment Analysis'!L196)</f>
        <v>N/A</v>
      </c>
      <c r="M42" s="832" t="str">
        <f>IF($C$25="Annual",'Segment Analysis'!M176,'Segment Analysis'!M196)</f>
        <v>N/A</v>
      </c>
      <c r="N42" s="832" t="str">
        <f>IF($C$25="Annual",'Segment Analysis'!N176,'Segment Analysis'!N196)</f>
        <v>N/A</v>
      </c>
      <c r="O42" s="833">
        <f>IF($C$25="Annual",'Segment Analysis'!O176,'Segment Analysis'!O196)</f>
        <v>0</v>
      </c>
      <c r="P42" s="832" t="str">
        <f>IF($C$25="Annual",'Segment Analysis'!P176,'Segment Analysis'!P196)</f>
        <v>N/A</v>
      </c>
      <c r="Q42" s="832" t="str">
        <f>IF($C$25="Annual",'Segment Analysis'!Q176,'Segment Analysis'!Q196)</f>
        <v>N/A</v>
      </c>
      <c r="R42" s="832" t="str">
        <f>IF($C$25="Annual",'Segment Analysis'!R176,'Segment Analysis'!R196)</f>
        <v>N/A</v>
      </c>
      <c r="S42" s="832" t="str">
        <f>IF($C$25="Annual",'Segment Analysis'!S176,'Segment Analysis'!S196)</f>
        <v>N/A</v>
      </c>
      <c r="T42" s="833">
        <f>IF($C$25="Annual",'Segment Analysis'!T176,'Segment Analysis'!T196)</f>
        <v>0</v>
      </c>
      <c r="U42" s="832" t="str">
        <f>IF($C$25="Annual",'Segment Analysis'!U176,'Segment Analysis'!U196)</f>
        <v>N/A</v>
      </c>
      <c r="V42" s="834" t="str">
        <f>IFERROR(V41/U41-1,"--")</f>
        <v>--</v>
      </c>
      <c r="W42" s="834" t="str">
        <f>IFERROR(W41/V41-1,"--")</f>
        <v>--</v>
      </c>
      <c r="X42" s="834" t="str">
        <f>IFERROR(X41/W41-1,"--")</f>
        <v>--</v>
      </c>
      <c r="Y42" s="835" t="str">
        <f>IFERROR(Y41/T41-1,"--")</f>
        <v>--</v>
      </c>
      <c r="Z42" s="834" t="str">
        <f>IFERROR(Z41/X41-1,"--")</f>
        <v>--</v>
      </c>
      <c r="AA42" s="834" t="str">
        <f>IFERROR(AA41/Z41-1,"--")</f>
        <v>--</v>
      </c>
      <c r="AB42" s="834" t="str">
        <f>IFERROR(AB41/AA41-1,"--")</f>
        <v>--</v>
      </c>
      <c r="AC42" s="834" t="str">
        <f>IFERROR(AC41/AB41-1,"--")</f>
        <v>--</v>
      </c>
      <c r="AD42" s="835" t="str">
        <f>IFERROR(AD41/Y41-1,"--")</f>
        <v>--</v>
      </c>
      <c r="AE42" s="835" t="str">
        <f>IFERROR(AE41/AD41-1,"--")</f>
        <v>--</v>
      </c>
      <c r="AF42" s="835" t="str">
        <f>IFERROR(AF41/AE41-1,"--")</f>
        <v>--</v>
      </c>
      <c r="AG42" s="835" t="str">
        <f>IFERROR(AG41/AF41-1,"--")</f>
        <v>--</v>
      </c>
      <c r="AI42" s="836"/>
      <c r="AJ42" s="837"/>
    </row>
    <row r="43" spans="1:36" s="830" customFormat="1" hidden="1" outlineLevel="1">
      <c r="A43" s="829"/>
      <c r="C43" s="114" t="s">
        <v>216</v>
      </c>
      <c r="F43" s="832">
        <f>'Segment Analysis'!F19</f>
        <v>0</v>
      </c>
      <c r="G43" s="832">
        <f>'Segment Analysis'!G19</f>
        <v>0</v>
      </c>
      <c r="H43" s="832">
        <f>'Segment Analysis'!H19</f>
        <v>0</v>
      </c>
      <c r="I43" s="832">
        <f>'Segment Analysis'!I19</f>
        <v>0</v>
      </c>
      <c r="J43" s="833">
        <f>'Segment Analysis'!J19</f>
        <v>0</v>
      </c>
      <c r="K43" s="832">
        <f>'Segment Analysis'!K19</f>
        <v>0</v>
      </c>
      <c r="L43" s="832">
        <f>'Segment Analysis'!L19</f>
        <v>0</v>
      </c>
      <c r="M43" s="832">
        <f>'Segment Analysis'!M19</f>
        <v>0</v>
      </c>
      <c r="N43" s="832">
        <f>'Segment Analysis'!N19</f>
        <v>0</v>
      </c>
      <c r="O43" s="833">
        <f>'Segment Analysis'!O19</f>
        <v>0</v>
      </c>
      <c r="P43" s="832">
        <f>'Segment Analysis'!P19</f>
        <v>0</v>
      </c>
      <c r="Q43" s="832">
        <f>'Segment Analysis'!Q19</f>
        <v>0</v>
      </c>
      <c r="R43" s="832">
        <f>'Segment Analysis'!R19</f>
        <v>0</v>
      </c>
      <c r="S43" s="832">
        <f>'Segment Analysis'!S19</f>
        <v>0</v>
      </c>
      <c r="T43" s="833">
        <f>'Segment Analysis'!T19</f>
        <v>0</v>
      </c>
      <c r="U43" s="832">
        <f>'Segment Analysis'!U19</f>
        <v>0</v>
      </c>
      <c r="V43" s="834">
        <f t="shared" ref="U43:X43" si="6">V41/V$30</f>
        <v>0</v>
      </c>
      <c r="W43" s="834">
        <f t="shared" si="6"/>
        <v>0</v>
      </c>
      <c r="X43" s="834">
        <f t="shared" si="6"/>
        <v>0</v>
      </c>
      <c r="Y43" s="835">
        <f t="shared" ref="Y43:AG43" si="7">Y41/Y$30</f>
        <v>0</v>
      </c>
      <c r="Z43" s="834">
        <f t="shared" si="7"/>
        <v>0</v>
      </c>
      <c r="AA43" s="834">
        <f t="shared" si="7"/>
        <v>0</v>
      </c>
      <c r="AB43" s="834">
        <f t="shared" si="7"/>
        <v>0</v>
      </c>
      <c r="AC43" s="834">
        <f t="shared" si="7"/>
        <v>0</v>
      </c>
      <c r="AD43" s="835">
        <f>AD41/AD$30</f>
        <v>0</v>
      </c>
      <c r="AE43" s="835">
        <f t="shared" si="7"/>
        <v>0</v>
      </c>
      <c r="AF43" s="835">
        <f t="shared" si="7"/>
        <v>0</v>
      </c>
      <c r="AG43" s="835">
        <f t="shared" si="7"/>
        <v>0</v>
      </c>
      <c r="AI43" s="836"/>
      <c r="AJ43" s="837"/>
    </row>
    <row r="44" spans="1:36" hidden="1" outlineLevel="1">
      <c r="C44" s="23" t="str">
        <f>'Segment Analysis'!C12</f>
        <v>Segment 5 Revenue</v>
      </c>
      <c r="F44" s="742">
        <f>'Segment Analysis'!F12</f>
        <v>0</v>
      </c>
      <c r="G44" s="742">
        <f>'Segment Analysis'!G12</f>
        <v>0</v>
      </c>
      <c r="H44" s="742">
        <f>'Segment Analysis'!H12</f>
        <v>0</v>
      </c>
      <c r="I44" s="742">
        <f>'Segment Analysis'!I12</f>
        <v>0</v>
      </c>
      <c r="J44" s="743">
        <f>'Segment Analysis'!J12</f>
        <v>0</v>
      </c>
      <c r="K44" s="742">
        <f>'Segment Analysis'!K12</f>
        <v>0</v>
      </c>
      <c r="L44" s="742">
        <f>'Segment Analysis'!L12</f>
        <v>0</v>
      </c>
      <c r="M44" s="742">
        <f>'Segment Analysis'!M12</f>
        <v>0</v>
      </c>
      <c r="N44" s="742">
        <f>'Segment Analysis'!N12</f>
        <v>0</v>
      </c>
      <c r="O44" s="743">
        <f>'Segment Analysis'!O12</f>
        <v>0</v>
      </c>
      <c r="P44" s="742">
        <f>'Segment Analysis'!P12</f>
        <v>0</v>
      </c>
      <c r="Q44" s="742">
        <f>'Segment Analysis'!Q12</f>
        <v>0</v>
      </c>
      <c r="R44" s="742">
        <f>'Segment Analysis'!R12</f>
        <v>0</v>
      </c>
      <c r="S44" s="742">
        <f>'Segment Analysis'!S12</f>
        <v>0</v>
      </c>
      <c r="T44" s="743">
        <f>'Segment Analysis'!T12</f>
        <v>0</v>
      </c>
      <c r="U44" s="742">
        <f>'Segment Analysis'!U12</f>
        <v>0</v>
      </c>
      <c r="V44" s="729">
        <f>IF(Segment5_Rev_Methodology="Segment",V77,IF(Segment5_Rev_Methodology="Activity-Based",V139,IF(Segment5_Rev_Methodology="Backlog",V213,"--")))</f>
        <v>0</v>
      </c>
      <c r="W44" s="729">
        <f>IF(Segment5_Rev_Methodology="Segment",W77,IF(Segment5_Rev_Methodology="Activity-Based",W139,IF(Segment5_Rev_Methodology="Backlog",W213,"--")))</f>
        <v>0</v>
      </c>
      <c r="X44" s="729">
        <f>IF(Segment5_Rev_Methodology="Segment",X77,IF(Segment5_Rev_Methodology="Activity-Based",X139,IF(Segment5_Rev_Methodology="Backlog",X213,"--")))</f>
        <v>0</v>
      </c>
      <c r="Y44" s="728">
        <f>SUM(U44:X44)</f>
        <v>0</v>
      </c>
      <c r="Z44" s="729">
        <f>IF(Segment5_Rev_Methodology="Segment",Z77,IF(Segment5_Rev_Methodology="Activity-Based",Z139,IF(Segment5_Rev_Methodology="Backlog",Z213,"--")))</f>
        <v>0</v>
      </c>
      <c r="AA44" s="729">
        <f>IF(Segment5_Rev_Methodology="Segment",AA77,IF(Segment5_Rev_Methodology="Activity-Based",AA139,IF(Segment5_Rev_Methodology="Backlog",AA213,"--")))</f>
        <v>0</v>
      </c>
      <c r="AB44" s="729">
        <f>IF(Segment5_Rev_Methodology="Segment",AB77,IF(Segment5_Rev_Methodology="Activity-Based",AB139,IF(Segment5_Rev_Methodology="Backlog",AB213,"--")))</f>
        <v>0</v>
      </c>
      <c r="AC44" s="729">
        <f>IF(Segment5_Rev_Methodology="Segment",AC77,IF(Segment5_Rev_Methodology="Activity-Based",AC139,IF(Segment5_Rev_Methodology="Backlog",AC213,"--")))</f>
        <v>0</v>
      </c>
      <c r="AD44" s="728">
        <f>SUM(Z44:AC44)</f>
        <v>0</v>
      </c>
      <c r="AE44" s="728">
        <f>IF(Segment5_Rev_Methodology="Segment",AE77,IF(Segment5_Rev_Methodology="Activity-Based",AE139,IF(Segment5_Rev_Methodology="Backlog",AE213,"--")))</f>
        <v>0</v>
      </c>
      <c r="AF44" s="728">
        <f>IF(Segment5_Rev_Methodology="Segment",AF77,IF(Segment5_Rev_Methodology="Activity-Based",AF139,IF(Segment5_Rev_Methodology="Backlog",AF213,"--")))</f>
        <v>0</v>
      </c>
      <c r="AG44" s="728">
        <f>IF(Segment5_Rev_Methodology="Segment",AG77,IF(Segment5_Rev_Methodology="Activity-Based",AG139,IF(Segment5_Rev_Methodology="Backlog",AG213,"--")))</f>
        <v>0</v>
      </c>
      <c r="AI44" s="253" t="str">
        <f>IFERROR((T44/J44)^(1/3)-1,"--")</f>
        <v>--</v>
      </c>
      <c r="AJ44" s="254" t="str">
        <f>IFERROR((AG44/T44)^(1/5)-1,"--")</f>
        <v>--</v>
      </c>
    </row>
    <row r="45" spans="1:36" s="830" customFormat="1" hidden="1" outlineLevel="1">
      <c r="A45" s="829"/>
      <c r="C45" s="114" t="s">
        <v>215</v>
      </c>
      <c r="F45" s="831"/>
      <c r="G45" s="832" t="str">
        <f>IF($C$25="Annual",'Segment Analysis'!G177,'Segment Analysis'!G197)</f>
        <v>N/A</v>
      </c>
      <c r="H45" s="832" t="str">
        <f>IF($C$25="Annual",'Segment Analysis'!H177,'Segment Analysis'!H197)</f>
        <v>N/A</v>
      </c>
      <c r="I45" s="832" t="str">
        <f>IF($C$25="Annual",'Segment Analysis'!I177,'Segment Analysis'!I197)</f>
        <v>N/A</v>
      </c>
      <c r="J45" s="833"/>
      <c r="K45" s="832" t="str">
        <f>IF($C$25="Annual",'Segment Analysis'!K177,'Segment Analysis'!K197)</f>
        <v>N/A</v>
      </c>
      <c r="L45" s="832" t="str">
        <f>IF($C$25="Annual",'Segment Analysis'!L177,'Segment Analysis'!L197)</f>
        <v>N/A</v>
      </c>
      <c r="M45" s="832" t="str">
        <f>IF($C$25="Annual",'Segment Analysis'!M177,'Segment Analysis'!M197)</f>
        <v>N/A</v>
      </c>
      <c r="N45" s="832" t="str">
        <f>IF($C$25="Annual",'Segment Analysis'!N177,'Segment Analysis'!N197)</f>
        <v>N/A</v>
      </c>
      <c r="O45" s="833">
        <f>IF($C$25="Annual",'Segment Analysis'!O177,'Segment Analysis'!O197)</f>
        <v>0</v>
      </c>
      <c r="P45" s="832" t="str">
        <f>IF($C$25="Annual",'Segment Analysis'!P177,'Segment Analysis'!P197)</f>
        <v>N/A</v>
      </c>
      <c r="Q45" s="832" t="str">
        <f>IF($C$25="Annual",'Segment Analysis'!Q177,'Segment Analysis'!Q197)</f>
        <v>N/A</v>
      </c>
      <c r="R45" s="832" t="str">
        <f>IF($C$25="Annual",'Segment Analysis'!R177,'Segment Analysis'!R197)</f>
        <v>N/A</v>
      </c>
      <c r="S45" s="832" t="str">
        <f>IF($C$25="Annual",'Segment Analysis'!S177,'Segment Analysis'!S197)</f>
        <v>N/A</v>
      </c>
      <c r="T45" s="833">
        <f>IF($C$25="Annual",'Segment Analysis'!T177,'Segment Analysis'!T197)</f>
        <v>0</v>
      </c>
      <c r="U45" s="832" t="str">
        <f>IF($C$25="Annual",'Segment Analysis'!U177,'Segment Analysis'!U197)</f>
        <v>N/A</v>
      </c>
      <c r="V45" s="834" t="str">
        <f>IFERROR(V44/U44-1,"--")</f>
        <v>--</v>
      </c>
      <c r="W45" s="834" t="str">
        <f>IFERROR(W44/V44-1,"--")</f>
        <v>--</v>
      </c>
      <c r="X45" s="834" t="str">
        <f>IFERROR(X44/W44-1,"--")</f>
        <v>--</v>
      </c>
      <c r="Y45" s="835" t="str">
        <f>IFERROR(Y44/T44-1,"--")</f>
        <v>--</v>
      </c>
      <c r="Z45" s="834" t="str">
        <f>IFERROR(Z44/X44-1,"--")</f>
        <v>--</v>
      </c>
      <c r="AA45" s="834" t="str">
        <f>IFERROR(AA44/Z44-1,"--")</f>
        <v>--</v>
      </c>
      <c r="AB45" s="834" t="str">
        <f>IFERROR(AB44/AA44-1,"--")</f>
        <v>--</v>
      </c>
      <c r="AC45" s="834" t="str">
        <f>IFERROR(AC44/AB44-1,"--")</f>
        <v>--</v>
      </c>
      <c r="AD45" s="835" t="str">
        <f>IFERROR(AD44/Y44-1,"--")</f>
        <v>--</v>
      </c>
      <c r="AE45" s="835" t="str">
        <f>IFERROR(AE44/AD44-1,"--")</f>
        <v>--</v>
      </c>
      <c r="AF45" s="835" t="str">
        <f>IFERROR(AF44/AE44-1,"--")</f>
        <v>--</v>
      </c>
      <c r="AG45" s="835" t="str">
        <f>IFERROR(AG44/AF44-1,"--")</f>
        <v>--</v>
      </c>
      <c r="AI45" s="836"/>
      <c r="AJ45" s="837"/>
    </row>
    <row r="46" spans="1:36" s="830" customFormat="1" hidden="1" outlineLevel="1">
      <c r="A46" s="829"/>
      <c r="C46" s="114" t="s">
        <v>216</v>
      </c>
      <c r="F46" s="832">
        <f>'Segment Analysis'!F20</f>
        <v>0</v>
      </c>
      <c r="G46" s="832">
        <f>'Segment Analysis'!G20</f>
        <v>0</v>
      </c>
      <c r="H46" s="832">
        <f>'Segment Analysis'!H20</f>
        <v>0</v>
      </c>
      <c r="I46" s="832">
        <f>'Segment Analysis'!I20</f>
        <v>0</v>
      </c>
      <c r="J46" s="833">
        <f>'Segment Analysis'!J20</f>
        <v>0</v>
      </c>
      <c r="K46" s="832">
        <f>'Segment Analysis'!K20</f>
        <v>0</v>
      </c>
      <c r="L46" s="832">
        <f>'Segment Analysis'!L20</f>
        <v>0</v>
      </c>
      <c r="M46" s="832">
        <f>'Segment Analysis'!M20</f>
        <v>0</v>
      </c>
      <c r="N46" s="832">
        <f>'Segment Analysis'!N20</f>
        <v>0</v>
      </c>
      <c r="O46" s="833">
        <f>'Segment Analysis'!O20</f>
        <v>0</v>
      </c>
      <c r="P46" s="832">
        <f>'Segment Analysis'!P20</f>
        <v>0</v>
      </c>
      <c r="Q46" s="832">
        <f>'Segment Analysis'!Q20</f>
        <v>0</v>
      </c>
      <c r="R46" s="832">
        <f>'Segment Analysis'!R20</f>
        <v>0</v>
      </c>
      <c r="S46" s="832">
        <f>'Segment Analysis'!S20</f>
        <v>0</v>
      </c>
      <c r="T46" s="833">
        <f>'Segment Analysis'!T20</f>
        <v>0</v>
      </c>
      <c r="U46" s="832">
        <f>'Segment Analysis'!U20</f>
        <v>0</v>
      </c>
      <c r="V46" s="834">
        <f t="shared" ref="U46:X46" si="8">V44/V$30</f>
        <v>0</v>
      </c>
      <c r="W46" s="834">
        <f t="shared" si="8"/>
        <v>0</v>
      </c>
      <c r="X46" s="834">
        <f t="shared" si="8"/>
        <v>0</v>
      </c>
      <c r="Y46" s="835">
        <f t="shared" ref="Y46:AG46" si="9">Y44/Y$30</f>
        <v>0</v>
      </c>
      <c r="Z46" s="834">
        <f t="shared" si="9"/>
        <v>0</v>
      </c>
      <c r="AA46" s="834">
        <f t="shared" si="9"/>
        <v>0</v>
      </c>
      <c r="AB46" s="834">
        <f t="shared" si="9"/>
        <v>0</v>
      </c>
      <c r="AC46" s="834">
        <f t="shared" si="9"/>
        <v>0</v>
      </c>
      <c r="AD46" s="835">
        <f>AD44/AD$30</f>
        <v>0</v>
      </c>
      <c r="AE46" s="835">
        <f t="shared" si="9"/>
        <v>0</v>
      </c>
      <c r="AF46" s="835">
        <f t="shared" si="9"/>
        <v>0</v>
      </c>
      <c r="AG46" s="835">
        <f t="shared" si="9"/>
        <v>0</v>
      </c>
      <c r="AI46" s="836"/>
      <c r="AJ46" s="837"/>
    </row>
    <row r="47" spans="1:36" hidden="1" outlineLevel="1">
      <c r="C47" s="23" t="str">
        <f>'Segment Analysis'!C13</f>
        <v>Segment 6 Revenue</v>
      </c>
      <c r="F47" s="742">
        <f>'Segment Analysis'!F13</f>
        <v>0</v>
      </c>
      <c r="G47" s="742">
        <f>'Segment Analysis'!G13</f>
        <v>0</v>
      </c>
      <c r="H47" s="742">
        <f>'Segment Analysis'!H13</f>
        <v>0</v>
      </c>
      <c r="I47" s="742">
        <f>'Segment Analysis'!I13</f>
        <v>0</v>
      </c>
      <c r="J47" s="743">
        <f>'Segment Analysis'!J13</f>
        <v>0</v>
      </c>
      <c r="K47" s="742">
        <f>'Segment Analysis'!K13</f>
        <v>0</v>
      </c>
      <c r="L47" s="742">
        <f>'Segment Analysis'!L13</f>
        <v>0</v>
      </c>
      <c r="M47" s="742">
        <f>'Segment Analysis'!M13</f>
        <v>0</v>
      </c>
      <c r="N47" s="742">
        <f>'Segment Analysis'!N13</f>
        <v>0</v>
      </c>
      <c r="O47" s="743">
        <f>'Segment Analysis'!O13</f>
        <v>0</v>
      </c>
      <c r="P47" s="742">
        <f>'Segment Analysis'!P13</f>
        <v>0</v>
      </c>
      <c r="Q47" s="742">
        <f>'Segment Analysis'!Q13</f>
        <v>0</v>
      </c>
      <c r="R47" s="742">
        <f>'Segment Analysis'!R13</f>
        <v>0</v>
      </c>
      <c r="S47" s="742">
        <f>'Segment Analysis'!S13</f>
        <v>0</v>
      </c>
      <c r="T47" s="743">
        <f>'Segment Analysis'!T13</f>
        <v>0</v>
      </c>
      <c r="U47" s="742">
        <f>'Segment Analysis'!U13</f>
        <v>0</v>
      </c>
      <c r="V47" s="729">
        <f>IF(Segment6_Rev_Methodology="Segment",V83,IF(Segment6_Rev_Methodology="Activity-Based",V151,IF(Segment6_Rev_Methodology="Backlog",V225,"--")))</f>
        <v>0</v>
      </c>
      <c r="W47" s="729">
        <f>IF(Segment6_Rev_Methodology="Segment",W83,IF(Segment6_Rev_Methodology="Activity-Based",W151,IF(Segment6_Rev_Methodology="Backlog",W225,"--")))</f>
        <v>0</v>
      </c>
      <c r="X47" s="729">
        <f>IF(Segment6_Rev_Methodology="Segment",X83,IF(Segment6_Rev_Methodology="Activity-Based",X151,IF(Segment6_Rev_Methodology="Backlog",X225,"--")))</f>
        <v>0</v>
      </c>
      <c r="Y47" s="728">
        <f>SUM(U47:X47)</f>
        <v>0</v>
      </c>
      <c r="Z47" s="729">
        <f>IF(Segment6_Rev_Methodology="Segment",Z83,IF(Segment6_Rev_Methodology="Activity-Based",Z151,IF(Segment6_Rev_Methodology="Backlog",Z225,"--")))</f>
        <v>0</v>
      </c>
      <c r="AA47" s="729">
        <f>IF(Segment6_Rev_Methodology="Segment",AA83,IF(Segment6_Rev_Methodology="Activity-Based",AA151,IF(Segment6_Rev_Methodology="Backlog",AA225,"--")))</f>
        <v>0</v>
      </c>
      <c r="AB47" s="729">
        <f>IF(Segment6_Rev_Methodology="Segment",AB83,IF(Segment6_Rev_Methodology="Activity-Based",AB151,IF(Segment6_Rev_Methodology="Backlog",AB225,"--")))</f>
        <v>0</v>
      </c>
      <c r="AC47" s="729">
        <f>IF(Segment6_Rev_Methodology="Segment",AC83,IF(Segment6_Rev_Methodology="Activity-Based",AC151,IF(Segment6_Rev_Methodology="Backlog",AC225,"--")))</f>
        <v>0</v>
      </c>
      <c r="AD47" s="728">
        <f>SUM(Z47:AC47)</f>
        <v>0</v>
      </c>
      <c r="AE47" s="728">
        <f>IF(Segment6_Rev_Methodology="Segment",AE83,IF(Segment6_Rev_Methodology="Activity-Based",AE151,IF(Segment6_Rev_Methodology="Backlog",AE225,"--")))</f>
        <v>0</v>
      </c>
      <c r="AF47" s="728">
        <f>IF(Segment6_Rev_Methodology="Segment",AF83,IF(Segment6_Rev_Methodology="Activity-Based",AF151,IF(Segment6_Rev_Methodology="Backlog",AF225,"--")))</f>
        <v>0</v>
      </c>
      <c r="AG47" s="728">
        <f>IF(Segment6_Rev_Methodology="Segment",AG83,IF(Segment6_Rev_Methodology="Activity-Based",AG151,IF(Segment6_Rev_Methodology="Backlog",AG225,"--")))</f>
        <v>0</v>
      </c>
      <c r="AI47" s="253" t="str">
        <f>IFERROR((T47/J47)^(1/3)-1,"--")</f>
        <v>--</v>
      </c>
      <c r="AJ47" s="254" t="str">
        <f>IFERROR((AG47/T47)^(1/5)-1,"--")</f>
        <v>--</v>
      </c>
    </row>
    <row r="48" spans="1:36" s="24" customFormat="1" hidden="1" outlineLevel="1">
      <c r="A48" s="113"/>
      <c r="C48" s="114" t="s">
        <v>215</v>
      </c>
      <c r="F48" s="255"/>
      <c r="G48" s="832" t="str">
        <f>IF($C$25="Annual",'Segment Analysis'!G198,'Segment Analysis'!G198)</f>
        <v>N/A</v>
      </c>
      <c r="H48" s="832" t="str">
        <f>IF($C$25="Annual",'Segment Analysis'!H198,'Segment Analysis'!H198)</f>
        <v>N/A</v>
      </c>
      <c r="I48" s="832" t="str">
        <f>IF($C$25="Annual",'Segment Analysis'!I198,'Segment Analysis'!I198)</f>
        <v>N/A</v>
      </c>
      <c r="J48" s="833"/>
      <c r="K48" s="832" t="str">
        <f>IF($C$25="Annual",'Segment Analysis'!K198,'Segment Analysis'!K198)</f>
        <v>N/A</v>
      </c>
      <c r="L48" s="832" t="str">
        <f>IF($C$25="Annual",'Segment Analysis'!L198,'Segment Analysis'!L198)</f>
        <v>N/A</v>
      </c>
      <c r="M48" s="832" t="str">
        <f>IF($C$25="Annual",'Segment Analysis'!M198,'Segment Analysis'!M198)</f>
        <v>N/A</v>
      </c>
      <c r="N48" s="832" t="str">
        <f>IF($C$25="Annual",'Segment Analysis'!N198,'Segment Analysis'!N198)</f>
        <v>N/A</v>
      </c>
      <c r="O48" s="833">
        <f>IF($C$25="Annual",'Segment Analysis'!O198,'Segment Analysis'!O198)</f>
        <v>0</v>
      </c>
      <c r="P48" s="832" t="str">
        <f>IF($C$25="Annual",'Segment Analysis'!P198,'Segment Analysis'!P198)</f>
        <v>N/A</v>
      </c>
      <c r="Q48" s="832" t="str">
        <f>IF($C$25="Annual",'Segment Analysis'!Q198,'Segment Analysis'!Q198)</f>
        <v>N/A</v>
      </c>
      <c r="R48" s="832" t="str">
        <f>IF($C$25="Annual",'Segment Analysis'!R198,'Segment Analysis'!R198)</f>
        <v>N/A</v>
      </c>
      <c r="S48" s="832" t="str">
        <f>IF($C$25="Annual",'Segment Analysis'!S198,'Segment Analysis'!S198)</f>
        <v>N/A</v>
      </c>
      <c r="T48" s="833">
        <f>IF($C$25="Annual",'Segment Analysis'!T198,'Segment Analysis'!T198)</f>
        <v>0</v>
      </c>
      <c r="U48" s="832" t="str">
        <f>IF($C$25="Annual",'Segment Analysis'!U198,'Segment Analysis'!U198)</f>
        <v>N/A</v>
      </c>
      <c r="V48" s="258" t="str">
        <f>IFERROR(V47/U47-1,"--")</f>
        <v>--</v>
      </c>
      <c r="W48" s="258" t="str">
        <f>IFERROR(W47/V47-1,"--")</f>
        <v>--</v>
      </c>
      <c r="X48" s="258" t="str">
        <f>IFERROR(X47/W47-1,"--")</f>
        <v>--</v>
      </c>
      <c r="Y48" s="259" t="str">
        <f>IFERROR(Y47/T47-1,"--")</f>
        <v>--</v>
      </c>
      <c r="Z48" s="258" t="str">
        <f>IFERROR(Z47/X47-1,"--")</f>
        <v>--</v>
      </c>
      <c r="AA48" s="258" t="str">
        <f>IFERROR(AA47/Z47-1,"--")</f>
        <v>--</v>
      </c>
      <c r="AB48" s="258" t="str">
        <f>IFERROR(AB47/AA47-1,"--")</f>
        <v>--</v>
      </c>
      <c r="AC48" s="258" t="str">
        <f>IFERROR(AC47/AB47-1,"--")</f>
        <v>--</v>
      </c>
      <c r="AD48" s="259" t="str">
        <f>IFERROR(AD47/Y47-1,"--")</f>
        <v>--</v>
      </c>
      <c r="AE48" s="259" t="str">
        <f>IFERROR(AE47/AD47-1,"--")</f>
        <v>--</v>
      </c>
      <c r="AF48" s="259" t="str">
        <f>IFERROR(AF47/AE47-1,"--")</f>
        <v>--</v>
      </c>
      <c r="AG48" s="259" t="str">
        <f>IFERROR(AG47/AF47-1,"--")</f>
        <v>--</v>
      </c>
      <c r="AI48" s="260"/>
      <c r="AJ48" s="261"/>
    </row>
    <row r="49" spans="1:36" s="24" customFormat="1" hidden="1" outlineLevel="1">
      <c r="A49" s="113"/>
      <c r="C49" s="114" t="s">
        <v>216</v>
      </c>
      <c r="F49" s="256">
        <f>'Segment Analysis'!F21</f>
        <v>0</v>
      </c>
      <c r="G49" s="256">
        <f>'Segment Analysis'!G21</f>
        <v>0</v>
      </c>
      <c r="H49" s="256">
        <f>'Segment Analysis'!H21</f>
        <v>0</v>
      </c>
      <c r="I49" s="256">
        <f>'Segment Analysis'!I21</f>
        <v>0</v>
      </c>
      <c r="J49" s="257">
        <f>'Segment Analysis'!J21</f>
        <v>0</v>
      </c>
      <c r="K49" s="256">
        <f>'Segment Analysis'!K21</f>
        <v>0</v>
      </c>
      <c r="L49" s="256">
        <f>'Segment Analysis'!L21</f>
        <v>0</v>
      </c>
      <c r="M49" s="256">
        <f>'Segment Analysis'!M21</f>
        <v>0</v>
      </c>
      <c r="N49" s="256">
        <f>'Segment Analysis'!N21</f>
        <v>0</v>
      </c>
      <c r="O49" s="257">
        <f>'Segment Analysis'!O21</f>
        <v>0</v>
      </c>
      <c r="P49" s="256">
        <f>'Segment Analysis'!P21</f>
        <v>0</v>
      </c>
      <c r="Q49" s="256">
        <f>'Segment Analysis'!Q21</f>
        <v>0</v>
      </c>
      <c r="R49" s="256">
        <f>'Segment Analysis'!R21</f>
        <v>0</v>
      </c>
      <c r="S49" s="256">
        <f>'Segment Analysis'!S21</f>
        <v>0</v>
      </c>
      <c r="T49" s="257">
        <f>'Segment Analysis'!T21</f>
        <v>0</v>
      </c>
      <c r="U49" s="256">
        <f>'Segment Analysis'!U21</f>
        <v>0</v>
      </c>
      <c r="V49" s="258">
        <f t="shared" ref="U49:X49" si="10">V47/V$30</f>
        <v>0</v>
      </c>
      <c r="W49" s="258">
        <f t="shared" si="10"/>
        <v>0</v>
      </c>
      <c r="X49" s="258">
        <f t="shared" si="10"/>
        <v>0</v>
      </c>
      <c r="Y49" s="259">
        <f t="shared" ref="Y49:AG49" si="11">Y47/Y$30</f>
        <v>0</v>
      </c>
      <c r="Z49" s="258">
        <f t="shared" si="11"/>
        <v>0</v>
      </c>
      <c r="AA49" s="258">
        <f t="shared" si="11"/>
        <v>0</v>
      </c>
      <c r="AB49" s="258">
        <f t="shared" si="11"/>
        <v>0</v>
      </c>
      <c r="AC49" s="258">
        <f t="shared" si="11"/>
        <v>0</v>
      </c>
      <c r="AD49" s="259">
        <f>AD47/AD$30</f>
        <v>0</v>
      </c>
      <c r="AE49" s="259">
        <f t="shared" si="11"/>
        <v>0</v>
      </c>
      <c r="AF49" s="259">
        <f t="shared" si="11"/>
        <v>0</v>
      </c>
      <c r="AG49" s="259">
        <f t="shared" si="11"/>
        <v>0</v>
      </c>
      <c r="AI49" s="262"/>
      <c r="AJ49" s="263"/>
    </row>
    <row r="50" spans="1:36" collapsed="1">
      <c r="F50" s="740"/>
      <c r="G50" s="740"/>
      <c r="H50" s="740"/>
      <c r="I50" s="740"/>
      <c r="J50" s="741"/>
      <c r="K50" s="740"/>
      <c r="L50" s="740"/>
      <c r="M50" s="740"/>
      <c r="N50" s="740"/>
      <c r="O50" s="741"/>
      <c r="P50" s="740"/>
      <c r="Q50" s="740"/>
      <c r="R50" s="740"/>
      <c r="S50" s="740"/>
      <c r="T50" s="741"/>
      <c r="U50" s="740"/>
      <c r="V50" s="70"/>
      <c r="W50" s="70"/>
      <c r="X50" s="70"/>
      <c r="Y50" s="71"/>
      <c r="Z50" s="70"/>
      <c r="AA50" s="70"/>
      <c r="AB50" s="70"/>
      <c r="AC50" s="70"/>
      <c r="AD50" s="71"/>
      <c r="AE50" s="71"/>
      <c r="AF50" s="71"/>
      <c r="AG50" s="71"/>
    </row>
    <row r="51" spans="1:36">
      <c r="A51" s="22" t="s">
        <v>1</v>
      </c>
      <c r="C51" s="577" t="s">
        <v>224</v>
      </c>
      <c r="D51" s="147"/>
      <c r="E51" s="147"/>
      <c r="F51" s="578" t="str">
        <f>F$28</f>
        <v>1Q23</v>
      </c>
      <c r="G51" s="578" t="str">
        <f t="shared" ref="G51:AG51" si="12">G$28</f>
        <v>2Q23</v>
      </c>
      <c r="H51" s="578" t="str">
        <f t="shared" si="12"/>
        <v>3Q23</v>
      </c>
      <c r="I51" s="578" t="str">
        <f t="shared" si="12"/>
        <v>4Q23</v>
      </c>
      <c r="J51" s="578">
        <f t="shared" si="12"/>
        <v>2023</v>
      </c>
      <c r="K51" s="578" t="str">
        <f t="shared" si="12"/>
        <v>1Q24</v>
      </c>
      <c r="L51" s="578" t="str">
        <f t="shared" si="12"/>
        <v>2Q24</v>
      </c>
      <c r="M51" s="578" t="str">
        <f t="shared" si="12"/>
        <v>3Q24</v>
      </c>
      <c r="N51" s="578" t="str">
        <f t="shared" si="12"/>
        <v>4Q24</v>
      </c>
      <c r="O51" s="578">
        <f t="shared" si="12"/>
        <v>2024</v>
      </c>
      <c r="P51" s="578" t="str">
        <f t="shared" si="12"/>
        <v>1Q25</v>
      </c>
      <c r="Q51" s="578" t="str">
        <f t="shared" si="12"/>
        <v>2Q25</v>
      </c>
      <c r="R51" s="578" t="str">
        <f t="shared" si="12"/>
        <v>3Q25</v>
      </c>
      <c r="S51" s="578" t="str">
        <f t="shared" si="12"/>
        <v>4Q25</v>
      </c>
      <c r="T51" s="578">
        <f t="shared" si="12"/>
        <v>2025</v>
      </c>
      <c r="U51" s="578" t="str">
        <f t="shared" si="12"/>
        <v>1Q26</v>
      </c>
      <c r="V51" s="578" t="str">
        <f t="shared" si="12"/>
        <v>2Q26e</v>
      </c>
      <c r="W51" s="578" t="str">
        <f t="shared" si="12"/>
        <v>3Q26e</v>
      </c>
      <c r="X51" s="578" t="str">
        <f t="shared" si="12"/>
        <v>4Q26e</v>
      </c>
      <c r="Y51" s="578" t="str">
        <f t="shared" si="12"/>
        <v>2026e</v>
      </c>
      <c r="Z51" s="578" t="str">
        <f t="shared" si="12"/>
        <v>1Q27e</v>
      </c>
      <c r="AA51" s="578" t="str">
        <f t="shared" si="12"/>
        <v>2Q27e</v>
      </c>
      <c r="AB51" s="578" t="str">
        <f t="shared" si="12"/>
        <v>3Q27e</v>
      </c>
      <c r="AC51" s="578" t="str">
        <f t="shared" si="12"/>
        <v>4Q27e</v>
      </c>
      <c r="AD51" s="578" t="str">
        <f t="shared" si="12"/>
        <v>2027e</v>
      </c>
      <c r="AE51" s="578" t="str">
        <f t="shared" si="12"/>
        <v>2028e</v>
      </c>
      <c r="AF51" s="578" t="str">
        <f t="shared" si="12"/>
        <v>2029e</v>
      </c>
      <c r="AG51" s="744" t="str">
        <f t="shared" si="12"/>
        <v>2030e</v>
      </c>
      <c r="AH51" s="250" t="s">
        <v>1</v>
      </c>
    </row>
    <row r="52" spans="1:36">
      <c r="F52" s="29"/>
      <c r="G52" s="29"/>
      <c r="H52" s="29"/>
      <c r="I52" s="29"/>
      <c r="K52" s="29"/>
      <c r="L52" s="29"/>
      <c r="M52" s="29"/>
      <c r="N52" s="29"/>
      <c r="P52" s="29"/>
      <c r="Q52" s="29"/>
      <c r="R52" s="29"/>
      <c r="S52" s="29"/>
      <c r="U52" s="29"/>
      <c r="V52" s="30"/>
      <c r="W52" s="30"/>
      <c r="X52" s="30"/>
      <c r="Z52" s="30"/>
      <c r="AA52" s="30"/>
      <c r="AB52" s="30"/>
      <c r="AC52" s="30"/>
    </row>
    <row r="53" spans="1:36">
      <c r="C53" s="28" t="str">
        <f>C32</f>
        <v>Investment Banking &amp; Equities Revenue</v>
      </c>
      <c r="F53" s="727">
        <f t="shared" ref="F53:T53" si="13">F32</f>
        <v>554811</v>
      </c>
      <c r="G53" s="727">
        <f t="shared" si="13"/>
        <v>482246</v>
      </c>
      <c r="H53" s="727">
        <f t="shared" si="13"/>
        <v>552641</v>
      </c>
      <c r="I53" s="727">
        <f t="shared" si="13"/>
        <v>766245</v>
      </c>
      <c r="J53" s="728">
        <f t="shared" si="13"/>
        <v>2355943</v>
      </c>
      <c r="K53" s="727">
        <f t="shared" si="13"/>
        <v>561728</v>
      </c>
      <c r="L53" s="727">
        <f t="shared" si="13"/>
        <v>670010</v>
      </c>
      <c r="M53" s="727">
        <f t="shared" si="13"/>
        <v>712775</v>
      </c>
      <c r="N53" s="727">
        <f t="shared" si="13"/>
        <v>953976</v>
      </c>
      <c r="O53" s="728">
        <f t="shared" si="13"/>
        <v>2898489</v>
      </c>
      <c r="P53" s="727">
        <f t="shared" si="13"/>
        <v>666714</v>
      </c>
      <c r="Q53" s="727">
        <f t="shared" si="13"/>
        <v>788222</v>
      </c>
      <c r="R53" s="727">
        <f t="shared" si="13"/>
        <v>990258</v>
      </c>
      <c r="S53" s="727">
        <f t="shared" si="13"/>
        <v>1244225</v>
      </c>
      <c r="T53" s="728">
        <f t="shared" si="13"/>
        <v>3689419</v>
      </c>
      <c r="U53" s="727">
        <f t="shared" ref="U53" si="14">U32</f>
        <v>1362465</v>
      </c>
      <c r="V53" s="729">
        <f>IF($C$25="Quarterly",U53*(1+V54),Q53*(1+V54))</f>
        <v>1503480.1274999999</v>
      </c>
      <c r="W53" s="729">
        <f t="shared" ref="W53" si="15">IF($C$25="Quarterly",V53*(1+W54),R53*(1+W54))</f>
        <v>1679387.3024174999</v>
      </c>
      <c r="X53" s="729">
        <f t="shared" ref="X53" si="16">IF($C$25="Quarterly",W53*(1+X54),S53*(1+X54))</f>
        <v>2073203.6248344036</v>
      </c>
      <c r="Y53" s="728">
        <f>SUM(U53:X53)</f>
        <v>6618536.0547519028</v>
      </c>
      <c r="Z53" s="729">
        <f>IF($C$25="Quarterly",X53*(1+Z54),U53*(1+Z54))</f>
        <v>1528987.6733153728</v>
      </c>
      <c r="AA53" s="729">
        <f>IF($C$25="Quarterly",Z53*(1+AA54),V53*(1+AA54))</f>
        <v>1689531.3790134869</v>
      </c>
      <c r="AB53" s="729">
        <f t="shared" ref="AB53:AC53" si="17">IF($C$25="Quarterly",AA53*(1+AB54),W53*(1+AB54))</f>
        <v>1880448.424842011</v>
      </c>
      <c r="AC53" s="729">
        <f t="shared" si="17"/>
        <v>2397571.7416735636</v>
      </c>
      <c r="AD53" s="728">
        <f>SUM(Z53:AC53)</f>
        <v>7496539.2188444342</v>
      </c>
      <c r="AE53" s="728">
        <f t="shared" ref="AE53:AG53" si="18">AD53*(1+AE54)</f>
        <v>7743925.0130663002</v>
      </c>
      <c r="AF53" s="728">
        <f t="shared" si="18"/>
        <v>7573558.6627788413</v>
      </c>
      <c r="AG53" s="728">
        <f t="shared" si="18"/>
        <v>7172160.053651562</v>
      </c>
    </row>
    <row r="54" spans="1:36" s="24" customFormat="1">
      <c r="C54" s="264" t="str">
        <f>IF($C$25="Quarterly","% Growth QoQ","% Growth YoY")</f>
        <v>% Growth QoQ</v>
      </c>
      <c r="F54" s="265"/>
      <c r="G54" s="265">
        <f t="shared" ref="G54:T54" si="19">G33</f>
        <v>-0.13079228782414187</v>
      </c>
      <c r="H54" s="265">
        <f t="shared" si="19"/>
        <v>0.14597321698883969</v>
      </c>
      <c r="I54" s="265">
        <f t="shared" si="19"/>
        <v>0.38651493465016173</v>
      </c>
      <c r="J54" s="266">
        <f t="shared" si="19"/>
        <v>0</v>
      </c>
      <c r="K54" s="265">
        <f t="shared" si="19"/>
        <v>-0.26690810380491881</v>
      </c>
      <c r="L54" s="265">
        <f t="shared" si="19"/>
        <v>0.19276589381337583</v>
      </c>
      <c r="M54" s="265">
        <f t="shared" si="19"/>
        <v>6.3827405561110995E-2</v>
      </c>
      <c r="N54" s="265">
        <f t="shared" si="19"/>
        <v>0.3383971098874119</v>
      </c>
      <c r="O54" s="266">
        <f t="shared" si="19"/>
        <v>0.23028825400274955</v>
      </c>
      <c r="P54" s="265">
        <f t="shared" si="19"/>
        <v>-0.30112078291277766</v>
      </c>
      <c r="Q54" s="265">
        <f t="shared" si="19"/>
        <v>0.1822490603167175</v>
      </c>
      <c r="R54" s="265">
        <f t="shared" si="19"/>
        <v>0.25631865134441822</v>
      </c>
      <c r="S54" s="265">
        <f t="shared" si="19"/>
        <v>0.2564654867721341</v>
      </c>
      <c r="T54" s="266">
        <f t="shared" si="19"/>
        <v>0.27287666090849405</v>
      </c>
      <c r="U54" s="265">
        <f t="shared" ref="U54" si="20">U33</f>
        <v>9.5031043420603201E-2</v>
      </c>
      <c r="V54" s="267">
        <f>IF(Case_Scenario="Bull",V55,IF(Case_Scenario="Base",V56,IF(Case_Scenario="bear",V57,"N/A")))</f>
        <v>0.10349999999999999</v>
      </c>
      <c r="W54" s="267">
        <f>IF(Case_Scenario="Bull",W55,IF(Case_Scenario="Base",W56,IF(Case_Scenario="bear",W57,"N/A")))</f>
        <v>0.11700000000000001</v>
      </c>
      <c r="X54" s="267">
        <f>IF(Case_Scenario="Bull",X55,IF(Case_Scenario="Base",X56,IF(Case_Scenario="bear",X57,"N/A")))</f>
        <v>0.23449999999999999</v>
      </c>
      <c r="Y54" s="266">
        <f t="shared" ref="Y54" si="21">Y33</f>
        <v>0.79392366514941859</v>
      </c>
      <c r="Z54" s="267">
        <f>IF(Case_Scenario="Bull",Z55,IF(Case_Scenario="Base",Z56,IF(Case_Scenario="bear",Z57,"N/A")))</f>
        <v>-0.26250000000000001</v>
      </c>
      <c r="AA54" s="267">
        <f>IF(Case_Scenario="Bull",AA55,IF(Case_Scenario="Base",AA56,IF(Case_Scenario="bear",AA57,"N/A")))</f>
        <v>0.105</v>
      </c>
      <c r="AB54" s="267">
        <f>IF(Case_Scenario="Bull",AB55,IF(Case_Scenario="Base",AB56,IF(Case_Scenario="bear",AB57,"N/A")))</f>
        <v>0.113</v>
      </c>
      <c r="AC54" s="267">
        <f>IF(Case_Scenario="Bull",AC55,IF(Case_Scenario="Base",AC56,IF(Case_Scenario="bear",AC57,"N/A")))</f>
        <v>0.27500000000000002</v>
      </c>
      <c r="AD54" s="266">
        <f t="shared" ref="AD54" si="22">AD33</f>
        <v>0.13265821275720824</v>
      </c>
      <c r="AE54" s="266">
        <f>IF(Case_Scenario="Bull",AE55,IF(Case_Scenario="Base",AE56,IF(Case_Scenario="bear",AE57,"N/A")))</f>
        <v>3.3000000000000002E-2</v>
      </c>
      <c r="AF54" s="266">
        <f>IF(Case_Scenario="Bull",AF55,IF(Case_Scenario="Base",AF56,IF(Case_Scenario="bear",AF57,"N/A")))</f>
        <v>-2.1999999999999999E-2</v>
      </c>
      <c r="AG54" s="266">
        <f>IF(Case_Scenario="Bull",AG55,IF(Case_Scenario="Base",AG56,IF(Case_Scenario="bear",AG57,"N/A")))</f>
        <v>-5.2999999999999999E-2</v>
      </c>
    </row>
    <row r="55" spans="1:36">
      <c r="C55" s="124" t="s">
        <v>217</v>
      </c>
      <c r="F55" s="268"/>
      <c r="G55" s="268"/>
      <c r="H55" s="268"/>
      <c r="I55" s="268"/>
      <c r="J55" s="269"/>
      <c r="K55" s="268"/>
      <c r="L55" s="268"/>
      <c r="M55" s="268"/>
      <c r="N55" s="268"/>
      <c r="O55" s="269"/>
      <c r="P55" s="268"/>
      <c r="Q55" s="268"/>
      <c r="R55" s="268"/>
      <c r="S55" s="268"/>
      <c r="T55" s="269"/>
      <c r="U55" s="268"/>
      <c r="V55" s="270">
        <f t="shared" ref="V55:X55" si="23">V56+0.02</f>
        <v>0.1235</v>
      </c>
      <c r="W55" s="270">
        <f t="shared" si="23"/>
        <v>0.13700000000000001</v>
      </c>
      <c r="X55" s="270">
        <f t="shared" si="23"/>
        <v>0.2545</v>
      </c>
      <c r="Y55" s="271"/>
      <c r="Z55" s="270">
        <f>Z56+0.02</f>
        <v>-0.24250000000000002</v>
      </c>
      <c r="AA55" s="270">
        <f t="shared" ref="AA55:AC55" si="24">AA56+0.02</f>
        <v>0.125</v>
      </c>
      <c r="AB55" s="270">
        <f t="shared" si="24"/>
        <v>0.13300000000000001</v>
      </c>
      <c r="AC55" s="270">
        <f t="shared" si="24"/>
        <v>0.29500000000000004</v>
      </c>
      <c r="AD55" s="271"/>
      <c r="AE55" s="271">
        <f>AE56+1%</f>
        <v>4.3000000000000003E-2</v>
      </c>
      <c r="AF55" s="271">
        <f t="shared" ref="AF55:AG55" si="25">AF56+1%</f>
        <v>-1.1999999999999999E-2</v>
      </c>
      <c r="AG55" s="271">
        <f t="shared" si="25"/>
        <v>-4.2999999999999997E-2</v>
      </c>
    </row>
    <row r="56" spans="1:36">
      <c r="C56" s="124" t="s">
        <v>218</v>
      </c>
      <c r="F56" s="268"/>
      <c r="G56" s="268"/>
      <c r="H56" s="268"/>
      <c r="I56" s="268"/>
      <c r="J56" s="269"/>
      <c r="K56" s="268"/>
      <c r="L56" s="268"/>
      <c r="M56" s="268"/>
      <c r="N56" s="268"/>
      <c r="O56" s="269"/>
      <c r="P56" s="268"/>
      <c r="Q56" s="268"/>
      <c r="R56" s="268"/>
      <c r="S56" s="268"/>
      <c r="T56" s="269"/>
      <c r="U56" s="268"/>
      <c r="V56" s="270">
        <v>0.10349999999999999</v>
      </c>
      <c r="W56" s="270">
        <v>0.11700000000000001</v>
      </c>
      <c r="X56" s="270">
        <v>0.23449999999999999</v>
      </c>
      <c r="Y56" s="271"/>
      <c r="Z56" s="270">
        <v>-0.26250000000000001</v>
      </c>
      <c r="AA56" s="270">
        <v>0.105</v>
      </c>
      <c r="AB56" s="270">
        <v>0.113</v>
      </c>
      <c r="AC56" s="270">
        <v>0.27500000000000002</v>
      </c>
      <c r="AD56" s="271"/>
      <c r="AE56" s="271">
        <v>3.3000000000000002E-2</v>
      </c>
      <c r="AF56" s="271">
        <v>-2.1999999999999999E-2</v>
      </c>
      <c r="AG56" s="271">
        <v>-5.2999999999999999E-2</v>
      </c>
    </row>
    <row r="57" spans="1:36">
      <c r="C57" s="124" t="s">
        <v>219</v>
      </c>
      <c r="F57" s="268"/>
      <c r="G57" s="268"/>
      <c r="H57" s="268"/>
      <c r="I57" s="268"/>
      <c r="J57" s="269"/>
      <c r="K57" s="268"/>
      <c r="L57" s="268"/>
      <c r="M57" s="268"/>
      <c r="N57" s="268"/>
      <c r="O57" s="269"/>
      <c r="P57" s="268"/>
      <c r="Q57" s="268"/>
      <c r="R57" s="268"/>
      <c r="S57" s="268"/>
      <c r="T57" s="269"/>
      <c r="U57" s="268"/>
      <c r="V57" s="270">
        <f t="shared" ref="V57:X57" si="26">V56-0.02</f>
        <v>8.3499999999999991E-2</v>
      </c>
      <c r="W57" s="270">
        <f t="shared" si="26"/>
        <v>9.7000000000000003E-2</v>
      </c>
      <c r="X57" s="270">
        <f t="shared" si="26"/>
        <v>0.2145</v>
      </c>
      <c r="Y57" s="271"/>
      <c r="Z57" s="270">
        <f>Z56-0.02</f>
        <v>-0.28250000000000003</v>
      </c>
      <c r="AA57" s="270">
        <f t="shared" ref="AA57:AC57" si="27">AA56-0.02</f>
        <v>8.4999999999999992E-2</v>
      </c>
      <c r="AB57" s="270">
        <f t="shared" si="27"/>
        <v>9.2999999999999999E-2</v>
      </c>
      <c r="AC57" s="270">
        <f t="shared" si="27"/>
        <v>0.255</v>
      </c>
      <c r="AD57" s="271"/>
      <c r="AE57" s="271">
        <f>AE56-3%</f>
        <v>3.0000000000000027E-3</v>
      </c>
      <c r="AF57" s="271">
        <f>AF56-3%</f>
        <v>-5.1999999999999998E-2</v>
      </c>
      <c r="AG57" s="271">
        <f t="shared" ref="AG57" si="28">AG56-3%</f>
        <v>-8.299999999999999E-2</v>
      </c>
    </row>
    <row r="58" spans="1:36">
      <c r="F58" s="268"/>
      <c r="G58" s="268"/>
      <c r="H58" s="268"/>
      <c r="I58" s="268"/>
      <c r="J58" s="269"/>
      <c r="K58" s="268"/>
      <c r="L58" s="268"/>
      <c r="M58" s="268"/>
      <c r="N58" s="268"/>
      <c r="O58" s="269"/>
      <c r="P58" s="268"/>
      <c r="Q58" s="268"/>
      <c r="R58" s="268"/>
      <c r="S58" s="268"/>
      <c r="T58" s="269"/>
      <c r="U58" s="268"/>
      <c r="V58" s="272"/>
      <c r="W58" s="272"/>
      <c r="X58" s="272"/>
      <c r="Y58" s="269"/>
      <c r="Z58" s="272"/>
      <c r="AA58" s="272"/>
      <c r="AB58" s="272"/>
      <c r="AC58" s="272"/>
      <c r="AD58" s="269"/>
      <c r="AE58" s="269"/>
      <c r="AF58" s="269"/>
      <c r="AG58" s="269"/>
    </row>
    <row r="59" spans="1:36">
      <c r="A59" s="22" t="s">
        <v>1</v>
      </c>
      <c r="C59" s="28" t="str">
        <f>C35</f>
        <v>Investment Management Revenue</v>
      </c>
      <c r="F59" s="727">
        <f t="shared" ref="F59:T59" si="29">F35</f>
        <v>17332</v>
      </c>
      <c r="G59" s="727">
        <f t="shared" si="29"/>
        <v>17173</v>
      </c>
      <c r="H59" s="727">
        <f t="shared" si="29"/>
        <v>17579</v>
      </c>
      <c r="I59" s="727">
        <f t="shared" si="29"/>
        <v>17922</v>
      </c>
      <c r="J59" s="728">
        <f t="shared" si="29"/>
        <v>70006</v>
      </c>
      <c r="K59" s="727">
        <f t="shared" si="29"/>
        <v>19087</v>
      </c>
      <c r="L59" s="727">
        <f t="shared" si="29"/>
        <v>19214</v>
      </c>
      <c r="M59" s="727">
        <f t="shared" si="29"/>
        <v>21447</v>
      </c>
      <c r="N59" s="727">
        <f t="shared" si="29"/>
        <v>21356</v>
      </c>
      <c r="O59" s="728">
        <f t="shared" si="29"/>
        <v>81104</v>
      </c>
      <c r="P59" s="727">
        <f t="shared" si="29"/>
        <v>32308</v>
      </c>
      <c r="Q59" s="727">
        <f t="shared" si="29"/>
        <v>49818</v>
      </c>
      <c r="R59" s="727">
        <f t="shared" si="29"/>
        <v>55736</v>
      </c>
      <c r="S59" s="727">
        <f t="shared" si="29"/>
        <v>52803</v>
      </c>
      <c r="T59" s="728">
        <f t="shared" si="29"/>
        <v>190665</v>
      </c>
      <c r="U59" s="727">
        <f t="shared" ref="U59" si="30">U35</f>
        <v>38004</v>
      </c>
      <c r="V59" s="729">
        <f>IF($C$25="Quarterly",U59*(1+V60),Q59*(1+V60))</f>
        <v>38384.04</v>
      </c>
      <c r="W59" s="729">
        <f t="shared" ref="W59" si="31">IF($C$25="Quarterly",V59*(1+W60),R59*(1+W60))</f>
        <v>39343.640999999996</v>
      </c>
      <c r="X59" s="729">
        <f t="shared" ref="X59" si="32">IF($C$25="Quarterly",W59*(1+X60),S59*(1+X60))</f>
        <v>40523.950229999995</v>
      </c>
      <c r="Y59" s="728">
        <f>SUM(U59:X59)</f>
        <v>156255.63123</v>
      </c>
      <c r="Z59" s="729">
        <f>IF($C$25="Quarterly",X59*(1+Z60),U59*(1+Z60))</f>
        <v>40929.189732299994</v>
      </c>
      <c r="AA59" s="729">
        <f>IF($C$25="Quarterly",Z59*(1+AA60),V59*(1+AA60))</f>
        <v>41338.481629622991</v>
      </c>
      <c r="AB59" s="729">
        <f t="shared" ref="AB59:AC59" si="33">IF($C$25="Quarterly",AA59*(1+AB60),W59*(1+AB60))</f>
        <v>41958.558854067334</v>
      </c>
      <c r="AC59" s="729">
        <f t="shared" si="33"/>
        <v>42587.937236878337</v>
      </c>
      <c r="AD59" s="728">
        <f>SUM(Z59:AC59)</f>
        <v>166814.16745286866</v>
      </c>
      <c r="AE59" s="728">
        <f>AD59*(1+AE60)</f>
        <v>150132.75070758178</v>
      </c>
      <c r="AF59" s="728">
        <f>AE59*(1+AF60)</f>
        <v>153585.80397385615</v>
      </c>
      <c r="AG59" s="728">
        <f>AF59*(1+AG60)</f>
        <v>158193.37809307183</v>
      </c>
    </row>
    <row r="60" spans="1:36">
      <c r="C60" s="264" t="str">
        <f>IF($C$25="Quarterly","% Growth QoQ","% Growth YoY")</f>
        <v>% Growth QoQ</v>
      </c>
      <c r="F60" s="268"/>
      <c r="G60" s="265">
        <f t="shared" ref="G60:T60" si="34">G36</f>
        <v>-9.1737825986614174E-3</v>
      </c>
      <c r="H60" s="265">
        <f t="shared" si="34"/>
        <v>2.3641763232981949E-2</v>
      </c>
      <c r="I60" s="265">
        <f t="shared" si="34"/>
        <v>1.9511917628989073E-2</v>
      </c>
      <c r="J60" s="266">
        <f t="shared" si="34"/>
        <v>0</v>
      </c>
      <c r="K60" s="265">
        <f t="shared" si="34"/>
        <v>6.5003905814083218E-2</v>
      </c>
      <c r="L60" s="265">
        <f t="shared" si="34"/>
        <v>6.6537433855504702E-3</v>
      </c>
      <c r="M60" s="265">
        <f t="shared" si="34"/>
        <v>0.11621734152180707</v>
      </c>
      <c r="N60" s="265">
        <f t="shared" si="34"/>
        <v>-4.2430176714691736E-3</v>
      </c>
      <c r="O60" s="266">
        <f t="shared" si="34"/>
        <v>0.15852926891980679</v>
      </c>
      <c r="P60" s="265">
        <f t="shared" si="34"/>
        <v>0.5128301179996253</v>
      </c>
      <c r="Q60" s="265">
        <f t="shared" si="34"/>
        <v>0.54197102884734427</v>
      </c>
      <c r="R60" s="265">
        <f t="shared" si="34"/>
        <v>0.11879240435184069</v>
      </c>
      <c r="S60" s="265">
        <f t="shared" si="34"/>
        <v>-5.2623080235395414E-2</v>
      </c>
      <c r="T60" s="266">
        <f t="shared" si="34"/>
        <v>1.3508704872755968</v>
      </c>
      <c r="U60" s="265">
        <f t="shared" ref="U60" si="35">U36</f>
        <v>-0.28026816658144427</v>
      </c>
      <c r="V60" s="267">
        <f>IF(Case_Scenario="Bull",V61,IF(Case_Scenario="Base",V62,IF(Case_Scenario="bear",V63,"N/A")))</f>
        <v>0.01</v>
      </c>
      <c r="W60" s="267">
        <f>IF(Case_Scenario="Bull",W61,IF(Case_Scenario="Base",W62,IF(Case_Scenario="bear",W63,"N/A")))</f>
        <v>2.5000000000000001E-2</v>
      </c>
      <c r="X60" s="267">
        <f>IF(Case_Scenario="Bull",X61,IF(Case_Scenario="Base",X62,IF(Case_Scenario="bear",X63,"N/A")))</f>
        <v>0.03</v>
      </c>
      <c r="Y60" s="266">
        <f t="shared" ref="Y60" si="36">Y36</f>
        <v>-0.18047029486271737</v>
      </c>
      <c r="Z60" s="267">
        <f>IF(Case_Scenario="Bull",Z61,IF(Case_Scenario="Base",Z62,IF(Case_Scenario="bear",Z63,"N/A")))</f>
        <v>0.01</v>
      </c>
      <c r="AA60" s="267">
        <f>IF(Case_Scenario="Bull",AA61,IF(Case_Scenario="Base",AA62,IF(Case_Scenario="bear",AA63,"N/A")))</f>
        <v>0.01</v>
      </c>
      <c r="AB60" s="267">
        <f>IF(Case_Scenario="Bull",AB61,IF(Case_Scenario="Base",AB62,IF(Case_Scenario="bear",AB63,"N/A")))</f>
        <v>1.4999999999999999E-2</v>
      </c>
      <c r="AC60" s="267">
        <f>IF(Case_Scenario="Bull",AC61,IF(Case_Scenario="Base",AC62,IF(Case_Scenario="bear",AC63,"N/A")))</f>
        <v>1.4999999999999999E-2</v>
      </c>
      <c r="AD60" s="266">
        <f t="shared" ref="AD60" si="37">AD36</f>
        <v>6.7572196533045581E-2</v>
      </c>
      <c r="AE60" s="266">
        <f>IF(Case_Scenario="Bull",AE61,IF(Case_Scenario="Base",AE62,IF(Case_Scenario="bear",AE63,"N/A")))</f>
        <v>-0.1</v>
      </c>
      <c r="AF60" s="266">
        <f>IF(Case_Scenario="Bull",AF61,IF(Case_Scenario="Base",AF62,IF(Case_Scenario="bear",AF63,"N/A")))</f>
        <v>2.3E-2</v>
      </c>
      <c r="AG60" s="266">
        <f>IF(Case_Scenario="Bull",AG61,IF(Case_Scenario="Base",AG62,IF(Case_Scenario="bear",AG63,"N/A")))</f>
        <v>0.03</v>
      </c>
    </row>
    <row r="61" spans="1:36" s="24" customFormat="1">
      <c r="C61" s="124" t="s">
        <v>217</v>
      </c>
      <c r="F61" s="273"/>
      <c r="G61" s="273"/>
      <c r="H61" s="273"/>
      <c r="I61" s="273"/>
      <c r="J61" s="274"/>
      <c r="K61" s="273"/>
      <c r="L61" s="273"/>
      <c r="M61" s="273"/>
      <c r="N61" s="273"/>
      <c r="O61" s="274"/>
      <c r="P61" s="273"/>
      <c r="Q61" s="273"/>
      <c r="R61" s="273"/>
      <c r="S61" s="273"/>
      <c r="T61" s="274"/>
      <c r="U61" s="273"/>
      <c r="V61" s="270">
        <f t="shared" ref="U61:X61" si="38">V62+2%</f>
        <v>0.03</v>
      </c>
      <c r="W61" s="270">
        <f t="shared" si="38"/>
        <v>4.4999999999999998E-2</v>
      </c>
      <c r="X61" s="270">
        <f t="shared" si="38"/>
        <v>0.05</v>
      </c>
      <c r="Y61" s="271"/>
      <c r="Z61" s="270">
        <f t="shared" ref="Z61" si="39">Z62+2%</f>
        <v>0.03</v>
      </c>
      <c r="AA61" s="270">
        <f t="shared" ref="AA61" si="40">AA62+2%</f>
        <v>0.03</v>
      </c>
      <c r="AB61" s="270">
        <f t="shared" ref="AB61" si="41">AB62+2%</f>
        <v>3.5000000000000003E-2</v>
      </c>
      <c r="AC61" s="270">
        <f t="shared" ref="AC61" si="42">AC62+2%</f>
        <v>3.5000000000000003E-2</v>
      </c>
      <c r="AD61" s="271"/>
      <c r="AE61" s="271">
        <f t="shared" ref="AE61" si="43">AE62+2%</f>
        <v>-0.08</v>
      </c>
      <c r="AF61" s="271">
        <f t="shared" ref="AF61" si="44">AF62+2%</f>
        <v>4.2999999999999997E-2</v>
      </c>
      <c r="AG61" s="271">
        <f t="shared" ref="AG61" si="45">AG62+2%</f>
        <v>0.05</v>
      </c>
    </row>
    <row r="62" spans="1:36" s="24" customFormat="1">
      <c r="C62" s="124" t="s">
        <v>218</v>
      </c>
      <c r="F62" s="273"/>
      <c r="G62" s="273"/>
      <c r="H62" s="273"/>
      <c r="I62" s="273"/>
      <c r="J62" s="274"/>
      <c r="K62" s="273"/>
      <c r="L62" s="273"/>
      <c r="M62" s="273"/>
      <c r="N62" s="273"/>
      <c r="O62" s="274"/>
      <c r="P62" s="273"/>
      <c r="Q62" s="273"/>
      <c r="R62" s="273"/>
      <c r="S62" s="273"/>
      <c r="T62" s="274"/>
      <c r="U62" s="273"/>
      <c r="V62" s="270">
        <v>0.01</v>
      </c>
      <c r="W62" s="270">
        <v>2.5000000000000001E-2</v>
      </c>
      <c r="X62" s="270">
        <v>0.03</v>
      </c>
      <c r="Y62" s="271"/>
      <c r="Z62" s="270">
        <v>0.01</v>
      </c>
      <c r="AA62" s="270">
        <v>0.01</v>
      </c>
      <c r="AB62" s="270">
        <v>1.4999999999999999E-2</v>
      </c>
      <c r="AC62" s="270">
        <v>1.4999999999999999E-2</v>
      </c>
      <c r="AD62" s="271"/>
      <c r="AE62" s="271">
        <v>-0.1</v>
      </c>
      <c r="AF62" s="271">
        <v>2.3E-2</v>
      </c>
      <c r="AG62" s="271">
        <v>0.03</v>
      </c>
    </row>
    <row r="63" spans="1:36" s="24" customFormat="1">
      <c r="C63" s="124" t="s">
        <v>219</v>
      </c>
      <c r="F63" s="273"/>
      <c r="G63" s="273"/>
      <c r="H63" s="273"/>
      <c r="I63" s="273"/>
      <c r="J63" s="274"/>
      <c r="K63" s="273"/>
      <c r="L63" s="273"/>
      <c r="M63" s="273"/>
      <c r="N63" s="273"/>
      <c r="O63" s="274"/>
      <c r="P63" s="273"/>
      <c r="Q63" s="273"/>
      <c r="R63" s="273"/>
      <c r="S63" s="273"/>
      <c r="T63" s="274"/>
      <c r="U63" s="273"/>
      <c r="V63" s="270">
        <f t="shared" ref="U63:X63" si="46">V62-6%</f>
        <v>-4.9999999999999996E-2</v>
      </c>
      <c r="W63" s="270">
        <f t="shared" si="46"/>
        <v>-3.4999999999999996E-2</v>
      </c>
      <c r="X63" s="270">
        <f t="shared" si="46"/>
        <v>-0.03</v>
      </c>
      <c r="Y63" s="271"/>
      <c r="Z63" s="270">
        <f t="shared" ref="Z63" si="47">Z62-6%</f>
        <v>-4.9999999999999996E-2</v>
      </c>
      <c r="AA63" s="270">
        <f t="shared" ref="AA63" si="48">AA62-6%</f>
        <v>-4.9999999999999996E-2</v>
      </c>
      <c r="AB63" s="270">
        <f t="shared" ref="AB63" si="49">AB62-6%</f>
        <v>-4.4999999999999998E-2</v>
      </c>
      <c r="AC63" s="270">
        <f t="shared" ref="AC63" si="50">AC62-6%</f>
        <v>-4.4999999999999998E-2</v>
      </c>
      <c r="AD63" s="271"/>
      <c r="AE63" s="271">
        <f t="shared" ref="AE63" si="51">AE62-6%</f>
        <v>-0.16</v>
      </c>
      <c r="AF63" s="271">
        <f t="shared" ref="AF63" si="52">AF62-6%</f>
        <v>-3.6999999999999998E-2</v>
      </c>
      <c r="AG63" s="271">
        <f t="shared" ref="AG63" si="53">AG62-6%</f>
        <v>-0.03</v>
      </c>
    </row>
    <row r="64" spans="1:36" hidden="1" outlineLevel="1">
      <c r="F64" s="268"/>
      <c r="G64" s="268"/>
      <c r="H64" s="268"/>
      <c r="I64" s="268"/>
      <c r="J64" s="269"/>
      <c r="K64" s="268"/>
      <c r="L64" s="268"/>
      <c r="M64" s="268"/>
      <c r="N64" s="268"/>
      <c r="O64" s="269"/>
      <c r="P64" s="268"/>
      <c r="Q64" s="268"/>
      <c r="R64" s="268"/>
      <c r="S64" s="268"/>
      <c r="T64" s="269"/>
      <c r="U64" s="268"/>
      <c r="V64" s="272"/>
      <c r="W64" s="272"/>
      <c r="X64" s="272"/>
      <c r="Y64" s="269"/>
      <c r="Z64" s="272"/>
      <c r="AA64" s="272"/>
      <c r="AB64" s="272"/>
      <c r="AC64" s="272"/>
      <c r="AD64" s="269"/>
      <c r="AE64" s="269"/>
      <c r="AF64" s="269"/>
      <c r="AG64" s="269"/>
    </row>
    <row r="65" spans="1:33" hidden="1" outlineLevel="1">
      <c r="A65" s="22" t="s">
        <v>1</v>
      </c>
      <c r="C65" s="28" t="str">
        <f>C38</f>
        <v>Segment 3 Revenue</v>
      </c>
      <c r="F65" s="727">
        <f t="shared" ref="F65:T65" si="54">F38</f>
        <v>0</v>
      </c>
      <c r="G65" s="727">
        <f t="shared" si="54"/>
        <v>0</v>
      </c>
      <c r="H65" s="727">
        <f t="shared" si="54"/>
        <v>0</v>
      </c>
      <c r="I65" s="727">
        <f t="shared" si="54"/>
        <v>0</v>
      </c>
      <c r="J65" s="728">
        <f t="shared" si="54"/>
        <v>0</v>
      </c>
      <c r="K65" s="727">
        <f t="shared" si="54"/>
        <v>0</v>
      </c>
      <c r="L65" s="727">
        <f t="shared" si="54"/>
        <v>0</v>
      </c>
      <c r="M65" s="727">
        <f t="shared" si="54"/>
        <v>0</v>
      </c>
      <c r="N65" s="727">
        <f t="shared" si="54"/>
        <v>0</v>
      </c>
      <c r="O65" s="728">
        <f t="shared" si="54"/>
        <v>0</v>
      </c>
      <c r="P65" s="727">
        <f t="shared" si="54"/>
        <v>0</v>
      </c>
      <c r="Q65" s="727">
        <f t="shared" si="54"/>
        <v>0</v>
      </c>
      <c r="R65" s="727">
        <f t="shared" si="54"/>
        <v>0</v>
      </c>
      <c r="S65" s="727">
        <f t="shared" si="54"/>
        <v>0</v>
      </c>
      <c r="T65" s="728">
        <f t="shared" si="54"/>
        <v>0</v>
      </c>
      <c r="U65" s="727">
        <f t="shared" ref="U65" si="55">U38</f>
        <v>0</v>
      </c>
      <c r="V65" s="729">
        <f t="shared" ref="V65" si="56">IF($C$25="Quarterly",U65*(1+V66),Q65*(1+V66))</f>
        <v>0</v>
      </c>
      <c r="W65" s="729">
        <f t="shared" ref="W65" si="57">IF($C$25="Quarterly",V65*(1+W66),R65*(1+W66))</f>
        <v>0</v>
      </c>
      <c r="X65" s="729">
        <f t="shared" ref="X65" si="58">IF($C$25="Quarterly",W65*(1+X66),S65*(1+X66))</f>
        <v>0</v>
      </c>
      <c r="Y65" s="728">
        <f>SUM(U65:X65)</f>
        <v>0</v>
      </c>
      <c r="Z65" s="729">
        <f>IF($C$25="Quarterly",X65*(1+Z66),U65*(1+Z66))</f>
        <v>0</v>
      </c>
      <c r="AA65" s="729">
        <f t="shared" ref="AA65:AC65" si="59">IF($C$25="Quarterly",Z65*(1+AA66),V65*(1+AA66))</f>
        <v>0</v>
      </c>
      <c r="AB65" s="729">
        <f t="shared" si="59"/>
        <v>0</v>
      </c>
      <c r="AC65" s="729">
        <f t="shared" si="59"/>
        <v>0</v>
      </c>
      <c r="AD65" s="728">
        <f>SUM(Z65:AC65)</f>
        <v>0</v>
      </c>
      <c r="AE65" s="728">
        <f>AD65*(1+AE66)</f>
        <v>0</v>
      </c>
      <c r="AF65" s="728">
        <f>AE65*(1+AF66)</f>
        <v>0</v>
      </c>
      <c r="AG65" s="728">
        <f>AF65*(1+AG66)</f>
        <v>0</v>
      </c>
    </row>
    <row r="66" spans="1:33" hidden="1" outlineLevel="1">
      <c r="C66" s="264" t="str">
        <f>IF($C$25="Quarterly","% Growth QoQ","% Growth YoY")</f>
        <v>% Growth QoQ</v>
      </c>
      <c r="F66" s="268"/>
      <c r="G66" s="265" t="str">
        <f t="shared" ref="G66:T66" si="60">G39</f>
        <v>N/A</v>
      </c>
      <c r="H66" s="265" t="str">
        <f t="shared" si="60"/>
        <v>N/A</v>
      </c>
      <c r="I66" s="265" t="str">
        <f t="shared" si="60"/>
        <v>N/A</v>
      </c>
      <c r="J66" s="266">
        <f t="shared" si="60"/>
        <v>0</v>
      </c>
      <c r="K66" s="265" t="str">
        <f t="shared" si="60"/>
        <v>N/A</v>
      </c>
      <c r="L66" s="265" t="str">
        <f t="shared" si="60"/>
        <v>N/A</v>
      </c>
      <c r="M66" s="265" t="str">
        <f t="shared" si="60"/>
        <v>N/A</v>
      </c>
      <c r="N66" s="265" t="str">
        <f t="shared" si="60"/>
        <v>N/A</v>
      </c>
      <c r="O66" s="266">
        <f t="shared" si="60"/>
        <v>0</v>
      </c>
      <c r="P66" s="265" t="str">
        <f t="shared" si="60"/>
        <v>N/A</v>
      </c>
      <c r="Q66" s="265" t="str">
        <f t="shared" si="60"/>
        <v>N/A</v>
      </c>
      <c r="R66" s="265" t="str">
        <f t="shared" si="60"/>
        <v>N/A</v>
      </c>
      <c r="S66" s="265" t="str">
        <f t="shared" si="60"/>
        <v>N/A</v>
      </c>
      <c r="T66" s="266">
        <f t="shared" si="60"/>
        <v>0</v>
      </c>
      <c r="U66" s="265" t="str">
        <f t="shared" ref="U66" si="61">U39</f>
        <v>N/A</v>
      </c>
      <c r="V66" s="267">
        <f>IF(Case_Scenario="Bull",V67,IF(Case_Scenario="Base",V68,IF(Case_Scenario="bear",V69,"N/A")))</f>
        <v>0.05</v>
      </c>
      <c r="W66" s="267">
        <f>IF(Case_Scenario="Bull",W67,IF(Case_Scenario="Base",W68,IF(Case_Scenario="bear",W69,"N/A")))</f>
        <v>0.05</v>
      </c>
      <c r="X66" s="267">
        <f>IF(Case_Scenario="Bull",X67,IF(Case_Scenario="Base",X68,IF(Case_Scenario="bear",X69,"N/A")))</f>
        <v>0.05</v>
      </c>
      <c r="Y66" s="266"/>
      <c r="Z66" s="267">
        <f>IF(Case_Scenario="Bull",Z67,IF(Case_Scenario="Base",Z68,IF(Case_Scenario="bear",Z69,"N/A")))</f>
        <v>0.05</v>
      </c>
      <c r="AA66" s="267">
        <f>IF(Case_Scenario="Bull",AA67,IF(Case_Scenario="Base",AA68,IF(Case_Scenario="bear",AA69,"N/A")))</f>
        <v>0.05</v>
      </c>
      <c r="AB66" s="267">
        <f>IF(Case_Scenario="Bull",AB67,IF(Case_Scenario="Base",AB68,IF(Case_Scenario="bear",AB69,"N/A")))</f>
        <v>0.05</v>
      </c>
      <c r="AC66" s="267">
        <f>IF(Case_Scenario="Bull",AC67,IF(Case_Scenario="Base",AC68,IF(Case_Scenario="bear",AC69,"N/A")))</f>
        <v>0.05</v>
      </c>
      <c r="AD66" s="266"/>
      <c r="AE66" s="266">
        <f>IF(Case_Scenario="Bull",AE67,IF(Case_Scenario="Base",AE68,IF(Case_Scenario="bear",AE69,"N/A")))</f>
        <v>0.05</v>
      </c>
      <c r="AF66" s="266">
        <f>IF(Case_Scenario="Bull",AF67,IF(Case_Scenario="Base",AF68,IF(Case_Scenario="bear",AF69,"N/A")))</f>
        <v>0.05</v>
      </c>
      <c r="AG66" s="266">
        <f>IF(Case_Scenario="Bull",AG67,IF(Case_Scenario="Base",AG68,IF(Case_Scenario="bear",AG69,"N/A")))</f>
        <v>0.05</v>
      </c>
    </row>
    <row r="67" spans="1:33" hidden="1" outlineLevel="1">
      <c r="C67" s="124" t="s">
        <v>217</v>
      </c>
      <c r="F67" s="268"/>
      <c r="G67" s="268"/>
      <c r="H67" s="268"/>
      <c r="I67" s="268"/>
      <c r="J67" s="269"/>
      <c r="K67" s="268"/>
      <c r="L67" s="268"/>
      <c r="M67" s="268"/>
      <c r="N67" s="268"/>
      <c r="O67" s="269"/>
      <c r="P67" s="268"/>
      <c r="Q67" s="268"/>
      <c r="R67" s="268"/>
      <c r="S67" s="268"/>
      <c r="T67" s="269"/>
      <c r="U67" s="268"/>
      <c r="V67" s="270">
        <v>0.1</v>
      </c>
      <c r="W67" s="270">
        <v>0.1</v>
      </c>
      <c r="X67" s="270">
        <v>0.1</v>
      </c>
      <c r="Y67" s="271"/>
      <c r="Z67" s="270">
        <v>0.1</v>
      </c>
      <c r="AA67" s="270">
        <v>0.1</v>
      </c>
      <c r="AB67" s="270">
        <v>0.1</v>
      </c>
      <c r="AC67" s="270">
        <v>0.1</v>
      </c>
      <c r="AD67" s="271"/>
      <c r="AE67" s="271">
        <v>0.1</v>
      </c>
      <c r="AF67" s="271">
        <v>0.1</v>
      </c>
      <c r="AG67" s="271">
        <v>0.1</v>
      </c>
    </row>
    <row r="68" spans="1:33" hidden="1" outlineLevel="1">
      <c r="C68" s="124" t="s">
        <v>218</v>
      </c>
      <c r="F68" s="268"/>
      <c r="G68" s="268"/>
      <c r="H68" s="268"/>
      <c r="I68" s="268"/>
      <c r="J68" s="269"/>
      <c r="K68" s="268"/>
      <c r="L68" s="268"/>
      <c r="M68" s="268"/>
      <c r="N68" s="268"/>
      <c r="O68" s="269"/>
      <c r="P68" s="268"/>
      <c r="Q68" s="268"/>
      <c r="R68" s="268"/>
      <c r="S68" s="268"/>
      <c r="T68" s="269"/>
      <c r="U68" s="268"/>
      <c r="V68" s="270">
        <v>0.05</v>
      </c>
      <c r="W68" s="270">
        <v>0.05</v>
      </c>
      <c r="X68" s="270">
        <v>0.05</v>
      </c>
      <c r="Y68" s="271"/>
      <c r="Z68" s="270">
        <v>0.05</v>
      </c>
      <c r="AA68" s="270">
        <v>0.05</v>
      </c>
      <c r="AB68" s="270">
        <v>0.05</v>
      </c>
      <c r="AC68" s="270">
        <v>0.05</v>
      </c>
      <c r="AD68" s="271"/>
      <c r="AE68" s="271">
        <v>0.05</v>
      </c>
      <c r="AF68" s="271">
        <v>0.05</v>
      </c>
      <c r="AG68" s="271">
        <v>0.05</v>
      </c>
    </row>
    <row r="69" spans="1:33" hidden="1" outlineLevel="1">
      <c r="C69" s="124" t="s">
        <v>219</v>
      </c>
      <c r="F69" s="268"/>
      <c r="G69" s="268"/>
      <c r="H69" s="268"/>
      <c r="I69" s="268"/>
      <c r="J69" s="269"/>
      <c r="K69" s="268"/>
      <c r="L69" s="268"/>
      <c r="M69" s="268"/>
      <c r="N69" s="268"/>
      <c r="O69" s="269"/>
      <c r="P69" s="268"/>
      <c r="Q69" s="268"/>
      <c r="R69" s="268"/>
      <c r="S69" s="268"/>
      <c r="T69" s="269"/>
      <c r="U69" s="268"/>
      <c r="V69" s="270">
        <v>0</v>
      </c>
      <c r="W69" s="270">
        <v>0</v>
      </c>
      <c r="X69" s="270">
        <v>0</v>
      </c>
      <c r="Y69" s="271"/>
      <c r="Z69" s="270">
        <v>0</v>
      </c>
      <c r="AA69" s="270">
        <v>0</v>
      </c>
      <c r="AB69" s="270">
        <v>0</v>
      </c>
      <c r="AC69" s="270">
        <v>0</v>
      </c>
      <c r="AD69" s="271"/>
      <c r="AE69" s="271">
        <v>0</v>
      </c>
      <c r="AF69" s="271">
        <v>0</v>
      </c>
      <c r="AG69" s="271">
        <v>0</v>
      </c>
    </row>
    <row r="70" spans="1:33" hidden="1" outlineLevel="1">
      <c r="F70" s="268"/>
      <c r="G70" s="268"/>
      <c r="H70" s="268"/>
      <c r="I70" s="268"/>
      <c r="J70" s="269"/>
      <c r="K70" s="268"/>
      <c r="L70" s="268"/>
      <c r="M70" s="268"/>
      <c r="N70" s="268"/>
      <c r="O70" s="269"/>
      <c r="P70" s="268"/>
      <c r="Q70" s="268"/>
      <c r="R70" s="268"/>
      <c r="S70" s="268"/>
      <c r="T70" s="269"/>
      <c r="U70" s="268"/>
      <c r="V70" s="272"/>
      <c r="W70" s="272"/>
      <c r="X70" s="272"/>
      <c r="Y70" s="269"/>
      <c r="Z70" s="272"/>
      <c r="AA70" s="272"/>
      <c r="AB70" s="272"/>
      <c r="AC70" s="272"/>
      <c r="AD70" s="269"/>
      <c r="AE70" s="269"/>
      <c r="AF70" s="269"/>
      <c r="AG70" s="269"/>
    </row>
    <row r="71" spans="1:33" hidden="1" outlineLevel="1">
      <c r="A71" s="22" t="s">
        <v>1</v>
      </c>
      <c r="C71" s="28" t="str">
        <f>C41</f>
        <v>Segment 4 Revenue</v>
      </c>
      <c r="F71" s="727">
        <f t="shared" ref="F71:T71" si="62">F41</f>
        <v>0</v>
      </c>
      <c r="G71" s="727">
        <f t="shared" si="62"/>
        <v>0</v>
      </c>
      <c r="H71" s="727">
        <f t="shared" si="62"/>
        <v>0</v>
      </c>
      <c r="I71" s="727">
        <f t="shared" si="62"/>
        <v>0</v>
      </c>
      <c r="J71" s="728">
        <f t="shared" si="62"/>
        <v>0</v>
      </c>
      <c r="K71" s="727">
        <f t="shared" si="62"/>
        <v>0</v>
      </c>
      <c r="L71" s="727">
        <f t="shared" si="62"/>
        <v>0</v>
      </c>
      <c r="M71" s="727">
        <f t="shared" si="62"/>
        <v>0</v>
      </c>
      <c r="N71" s="727">
        <f t="shared" si="62"/>
        <v>0</v>
      </c>
      <c r="O71" s="728">
        <f t="shared" si="62"/>
        <v>0</v>
      </c>
      <c r="P71" s="727">
        <f t="shared" si="62"/>
        <v>0</v>
      </c>
      <c r="Q71" s="727">
        <f t="shared" si="62"/>
        <v>0</v>
      </c>
      <c r="R71" s="727">
        <f t="shared" si="62"/>
        <v>0</v>
      </c>
      <c r="S71" s="727">
        <f t="shared" si="62"/>
        <v>0</v>
      </c>
      <c r="T71" s="728">
        <f t="shared" si="62"/>
        <v>0</v>
      </c>
      <c r="U71" s="727">
        <f t="shared" ref="U71" si="63">U41</f>
        <v>0</v>
      </c>
      <c r="V71" s="729">
        <f t="shared" ref="V71" si="64">IF($C$25="Quarterly",U71*(1+V72),Q71*(1+V72))</f>
        <v>0</v>
      </c>
      <c r="W71" s="729">
        <f t="shared" ref="W71" si="65">IF($C$25="Quarterly",V71*(1+W72),R71*(1+W72))</f>
        <v>0</v>
      </c>
      <c r="X71" s="729">
        <f t="shared" ref="X71" si="66">IF($C$25="Quarterly",W71*(1+X72),S71*(1+X72))</f>
        <v>0</v>
      </c>
      <c r="Y71" s="728">
        <f>SUM(U71:X71)</f>
        <v>0</v>
      </c>
      <c r="Z71" s="729">
        <f>IF($C$25="Quarterly",X71*(1+Z72),U71*(1+Z72))</f>
        <v>0</v>
      </c>
      <c r="AA71" s="729">
        <f t="shared" ref="AA71:AC71" si="67">IF($C$25="Quarterly",Z71*(1+AA72),V71*(1+AA72))</f>
        <v>0</v>
      </c>
      <c r="AB71" s="729">
        <f t="shared" si="67"/>
        <v>0</v>
      </c>
      <c r="AC71" s="729">
        <f t="shared" si="67"/>
        <v>0</v>
      </c>
      <c r="AD71" s="728">
        <f>SUM(Z71:AC71)</f>
        <v>0</v>
      </c>
      <c r="AE71" s="728">
        <f>AD71*(1+AE72)</f>
        <v>0</v>
      </c>
      <c r="AF71" s="728">
        <f>AE71*(1+AF72)</f>
        <v>0</v>
      </c>
      <c r="AG71" s="728">
        <f>AF71*(1+AG72)</f>
        <v>0</v>
      </c>
    </row>
    <row r="72" spans="1:33" hidden="1" outlineLevel="1">
      <c r="C72" s="264" t="str">
        <f>IF($C$25="Quarterly","% Growth QoQ","% Growth YoY")</f>
        <v>% Growth QoQ</v>
      </c>
      <c r="F72" s="268"/>
      <c r="G72" s="265" t="str">
        <f t="shared" ref="G72:T72" si="68">G42</f>
        <v>N/A</v>
      </c>
      <c r="H72" s="265" t="str">
        <f t="shared" si="68"/>
        <v>N/A</v>
      </c>
      <c r="I72" s="265" t="str">
        <f t="shared" si="68"/>
        <v>N/A</v>
      </c>
      <c r="J72" s="266">
        <f t="shared" si="68"/>
        <v>0</v>
      </c>
      <c r="K72" s="265" t="str">
        <f t="shared" si="68"/>
        <v>N/A</v>
      </c>
      <c r="L72" s="265" t="str">
        <f t="shared" si="68"/>
        <v>N/A</v>
      </c>
      <c r="M72" s="265" t="str">
        <f t="shared" si="68"/>
        <v>N/A</v>
      </c>
      <c r="N72" s="265" t="str">
        <f t="shared" si="68"/>
        <v>N/A</v>
      </c>
      <c r="O72" s="266">
        <f t="shared" si="68"/>
        <v>0</v>
      </c>
      <c r="P72" s="265" t="str">
        <f t="shared" si="68"/>
        <v>N/A</v>
      </c>
      <c r="Q72" s="265" t="str">
        <f t="shared" si="68"/>
        <v>N/A</v>
      </c>
      <c r="R72" s="265" t="str">
        <f t="shared" si="68"/>
        <v>N/A</v>
      </c>
      <c r="S72" s="265" t="str">
        <f t="shared" si="68"/>
        <v>N/A</v>
      </c>
      <c r="T72" s="266">
        <f t="shared" si="68"/>
        <v>0</v>
      </c>
      <c r="U72" s="265" t="str">
        <f t="shared" ref="U72" si="69">U42</f>
        <v>N/A</v>
      </c>
      <c r="V72" s="267">
        <f>IF(Case_Scenario="Bull",V73,IF(Case_Scenario="Base",V74,IF(Case_Scenario="bear",V75,"N/A")))</f>
        <v>0.05</v>
      </c>
      <c r="W72" s="267">
        <f>IF(Case_Scenario="Bull",W73,IF(Case_Scenario="Base",W74,IF(Case_Scenario="bear",W75,"N/A")))</f>
        <v>0.05</v>
      </c>
      <c r="X72" s="267">
        <f>IF(Case_Scenario="Bull",X73,IF(Case_Scenario="Base",X74,IF(Case_Scenario="bear",X75,"N/A")))</f>
        <v>0.05</v>
      </c>
      <c r="Y72" s="266"/>
      <c r="Z72" s="267">
        <f>IF(Case_Scenario="Bull",Z73,IF(Case_Scenario="Base",Z74,IF(Case_Scenario="bear",Z75,"N/A")))</f>
        <v>0.05</v>
      </c>
      <c r="AA72" s="267">
        <f>IF(Case_Scenario="Bull",AA73,IF(Case_Scenario="Base",AA74,IF(Case_Scenario="bear",AA75,"N/A")))</f>
        <v>0.05</v>
      </c>
      <c r="AB72" s="267">
        <f>IF(Case_Scenario="Bull",AB73,IF(Case_Scenario="Base",AB74,IF(Case_Scenario="bear",AB75,"N/A")))</f>
        <v>0.05</v>
      </c>
      <c r="AC72" s="267">
        <f>IF(Case_Scenario="Bull",AC73,IF(Case_Scenario="Base",AC74,IF(Case_Scenario="bear",AC75,"N/A")))</f>
        <v>0.05</v>
      </c>
      <c r="AD72" s="266"/>
      <c r="AE72" s="266">
        <f>IF(Case_Scenario="Bull",AE73,IF(Case_Scenario="Base",AE74,IF(Case_Scenario="bear",AE75,"N/A")))</f>
        <v>0.05</v>
      </c>
      <c r="AF72" s="266">
        <f>IF(Case_Scenario="Bull",AF73,IF(Case_Scenario="Base",AF74,IF(Case_Scenario="bear",AF75,"N/A")))</f>
        <v>0.05</v>
      </c>
      <c r="AG72" s="266">
        <f>IF(Case_Scenario="Bull",AG73,IF(Case_Scenario="Base",AG74,IF(Case_Scenario="bear",AG75,"N/A")))</f>
        <v>0.05</v>
      </c>
    </row>
    <row r="73" spans="1:33" hidden="1" outlineLevel="1">
      <c r="C73" s="124" t="s">
        <v>217</v>
      </c>
      <c r="F73" s="268"/>
      <c r="G73" s="268"/>
      <c r="H73" s="268"/>
      <c r="I73" s="268"/>
      <c r="J73" s="269"/>
      <c r="K73" s="268"/>
      <c r="L73" s="268"/>
      <c r="M73" s="268"/>
      <c r="N73" s="268"/>
      <c r="O73" s="269"/>
      <c r="P73" s="268"/>
      <c r="Q73" s="268"/>
      <c r="R73" s="268"/>
      <c r="S73" s="268"/>
      <c r="T73" s="269"/>
      <c r="U73" s="268"/>
      <c r="V73" s="270">
        <v>0.1</v>
      </c>
      <c r="W73" s="270">
        <v>0.1</v>
      </c>
      <c r="X73" s="270">
        <v>0.1</v>
      </c>
      <c r="Y73" s="271"/>
      <c r="Z73" s="270">
        <v>0.1</v>
      </c>
      <c r="AA73" s="270">
        <v>0.1</v>
      </c>
      <c r="AB73" s="270">
        <v>0.1</v>
      </c>
      <c r="AC73" s="270">
        <v>0.1</v>
      </c>
      <c r="AD73" s="271"/>
      <c r="AE73" s="271">
        <v>0.1</v>
      </c>
      <c r="AF73" s="271">
        <v>0.1</v>
      </c>
      <c r="AG73" s="271">
        <v>0.1</v>
      </c>
    </row>
    <row r="74" spans="1:33" hidden="1" outlineLevel="1">
      <c r="C74" s="124" t="s">
        <v>218</v>
      </c>
      <c r="F74" s="268"/>
      <c r="G74" s="268"/>
      <c r="H74" s="268"/>
      <c r="I74" s="268"/>
      <c r="J74" s="269"/>
      <c r="K74" s="268"/>
      <c r="L74" s="268"/>
      <c r="M74" s="268"/>
      <c r="N74" s="268"/>
      <c r="O74" s="269"/>
      <c r="P74" s="268"/>
      <c r="Q74" s="268"/>
      <c r="R74" s="268"/>
      <c r="S74" s="268"/>
      <c r="T74" s="269"/>
      <c r="U74" s="268"/>
      <c r="V74" s="270">
        <v>0.05</v>
      </c>
      <c r="W74" s="270">
        <v>0.05</v>
      </c>
      <c r="X74" s="270">
        <v>0.05</v>
      </c>
      <c r="Y74" s="271"/>
      <c r="Z74" s="270">
        <v>0.05</v>
      </c>
      <c r="AA74" s="270">
        <v>0.05</v>
      </c>
      <c r="AB74" s="270">
        <v>0.05</v>
      </c>
      <c r="AC74" s="270">
        <v>0.05</v>
      </c>
      <c r="AD74" s="271"/>
      <c r="AE74" s="271">
        <v>0.05</v>
      </c>
      <c r="AF74" s="271">
        <v>0.05</v>
      </c>
      <c r="AG74" s="271">
        <v>0.05</v>
      </c>
    </row>
    <row r="75" spans="1:33" hidden="1" outlineLevel="1">
      <c r="C75" s="124" t="s">
        <v>219</v>
      </c>
      <c r="F75" s="268"/>
      <c r="G75" s="268"/>
      <c r="H75" s="268"/>
      <c r="I75" s="268"/>
      <c r="J75" s="269"/>
      <c r="K75" s="268"/>
      <c r="L75" s="268"/>
      <c r="M75" s="268"/>
      <c r="N75" s="268"/>
      <c r="O75" s="269"/>
      <c r="P75" s="268"/>
      <c r="Q75" s="268"/>
      <c r="R75" s="268"/>
      <c r="S75" s="268"/>
      <c r="T75" s="269"/>
      <c r="U75" s="268"/>
      <c r="V75" s="270">
        <v>0</v>
      </c>
      <c r="W75" s="270">
        <v>0</v>
      </c>
      <c r="X75" s="270">
        <v>0</v>
      </c>
      <c r="Y75" s="271"/>
      <c r="Z75" s="270">
        <v>0</v>
      </c>
      <c r="AA75" s="270">
        <v>0</v>
      </c>
      <c r="AB75" s="270">
        <v>0</v>
      </c>
      <c r="AC75" s="270">
        <v>0</v>
      </c>
      <c r="AD75" s="271"/>
      <c r="AE75" s="271">
        <v>0</v>
      </c>
      <c r="AF75" s="271">
        <v>0</v>
      </c>
      <c r="AG75" s="271">
        <v>0</v>
      </c>
    </row>
    <row r="76" spans="1:33" hidden="1" outlineLevel="1">
      <c r="F76" s="268"/>
      <c r="G76" s="268"/>
      <c r="H76" s="268"/>
      <c r="I76" s="268"/>
      <c r="J76" s="269"/>
      <c r="K76" s="268"/>
      <c r="L76" s="268"/>
      <c r="M76" s="268"/>
      <c r="N76" s="268"/>
      <c r="O76" s="269"/>
      <c r="P76" s="268"/>
      <c r="Q76" s="268"/>
      <c r="R76" s="268"/>
      <c r="S76" s="268"/>
      <c r="T76" s="269"/>
      <c r="U76" s="268"/>
      <c r="V76" s="272"/>
      <c r="W76" s="272"/>
      <c r="X76" s="272"/>
      <c r="Y76" s="269"/>
      <c r="Z76" s="272"/>
      <c r="AA76" s="272"/>
      <c r="AB76" s="272"/>
      <c r="AC76" s="272"/>
      <c r="AD76" s="269"/>
      <c r="AE76" s="269"/>
      <c r="AF76" s="269"/>
      <c r="AG76" s="269"/>
    </row>
    <row r="77" spans="1:33" hidden="1" outlineLevel="1">
      <c r="A77" s="22" t="s">
        <v>1</v>
      </c>
      <c r="C77" s="28" t="str">
        <f>C44</f>
        <v>Segment 5 Revenue</v>
      </c>
      <c r="F77" s="727">
        <f t="shared" ref="F77:T77" si="70">F44</f>
        <v>0</v>
      </c>
      <c r="G77" s="727">
        <f t="shared" si="70"/>
        <v>0</v>
      </c>
      <c r="H77" s="727">
        <f t="shared" si="70"/>
        <v>0</v>
      </c>
      <c r="I77" s="727">
        <f t="shared" si="70"/>
        <v>0</v>
      </c>
      <c r="J77" s="728">
        <f t="shared" si="70"/>
        <v>0</v>
      </c>
      <c r="K77" s="727">
        <f t="shared" si="70"/>
        <v>0</v>
      </c>
      <c r="L77" s="727">
        <f t="shared" si="70"/>
        <v>0</v>
      </c>
      <c r="M77" s="727">
        <f t="shared" si="70"/>
        <v>0</v>
      </c>
      <c r="N77" s="727">
        <f t="shared" si="70"/>
        <v>0</v>
      </c>
      <c r="O77" s="728">
        <f t="shared" si="70"/>
        <v>0</v>
      </c>
      <c r="P77" s="727">
        <f t="shared" si="70"/>
        <v>0</v>
      </c>
      <c r="Q77" s="727">
        <f t="shared" si="70"/>
        <v>0</v>
      </c>
      <c r="R77" s="727">
        <f t="shared" si="70"/>
        <v>0</v>
      </c>
      <c r="S77" s="727">
        <f t="shared" si="70"/>
        <v>0</v>
      </c>
      <c r="T77" s="728">
        <f t="shared" si="70"/>
        <v>0</v>
      </c>
      <c r="U77" s="727">
        <f t="shared" ref="U77" si="71">U44</f>
        <v>0</v>
      </c>
      <c r="V77" s="729">
        <f t="shared" ref="V77" si="72">IF($C$25="Quarterly",U77*(1+V78),Q77*(1+V78))</f>
        <v>0</v>
      </c>
      <c r="W77" s="729">
        <f t="shared" ref="W77" si="73">IF($C$25="Quarterly",V77*(1+W78),R77*(1+W78))</f>
        <v>0</v>
      </c>
      <c r="X77" s="729">
        <f t="shared" ref="X77" si="74">IF($C$25="Quarterly",W77*(1+X78),S77*(1+X78))</f>
        <v>0</v>
      </c>
      <c r="Y77" s="728">
        <f>SUM(U77:X77)</f>
        <v>0</v>
      </c>
      <c r="Z77" s="729">
        <f>IF($C$25="Quarterly",X77*(1+Z78),U77*(1+Z78))</f>
        <v>0</v>
      </c>
      <c r="AA77" s="729">
        <f t="shared" ref="AA77:AC77" si="75">IF($C$25="Quarterly",Z77*(1+AA78),V77*(1+AA78))</f>
        <v>0</v>
      </c>
      <c r="AB77" s="729">
        <f t="shared" si="75"/>
        <v>0</v>
      </c>
      <c r="AC77" s="729">
        <f t="shared" si="75"/>
        <v>0</v>
      </c>
      <c r="AD77" s="728">
        <f>SUM(Z77:AC77)</f>
        <v>0</v>
      </c>
      <c r="AE77" s="728">
        <f>AD77*(1+AE78)</f>
        <v>0</v>
      </c>
      <c r="AF77" s="728">
        <f>AE77*(1+AF78)</f>
        <v>0</v>
      </c>
      <c r="AG77" s="728">
        <f>AF77*(1+AG78)</f>
        <v>0</v>
      </c>
    </row>
    <row r="78" spans="1:33" hidden="1" outlineLevel="1">
      <c r="C78" s="264" t="str">
        <f>IF($C$25="Quarterly","% Growth QoQ","% Growth YoY")</f>
        <v>% Growth QoQ</v>
      </c>
      <c r="F78" s="268"/>
      <c r="G78" s="265" t="str">
        <f t="shared" ref="G78:T78" si="76">G45</f>
        <v>N/A</v>
      </c>
      <c r="H78" s="265" t="str">
        <f t="shared" si="76"/>
        <v>N/A</v>
      </c>
      <c r="I78" s="265" t="str">
        <f t="shared" si="76"/>
        <v>N/A</v>
      </c>
      <c r="J78" s="266">
        <f t="shared" si="76"/>
        <v>0</v>
      </c>
      <c r="K78" s="265" t="str">
        <f t="shared" si="76"/>
        <v>N/A</v>
      </c>
      <c r="L78" s="265" t="str">
        <f t="shared" si="76"/>
        <v>N/A</v>
      </c>
      <c r="M78" s="265" t="str">
        <f t="shared" si="76"/>
        <v>N/A</v>
      </c>
      <c r="N78" s="265" t="str">
        <f t="shared" si="76"/>
        <v>N/A</v>
      </c>
      <c r="O78" s="266">
        <f t="shared" si="76"/>
        <v>0</v>
      </c>
      <c r="P78" s="265" t="str">
        <f t="shared" si="76"/>
        <v>N/A</v>
      </c>
      <c r="Q78" s="265" t="str">
        <f t="shared" si="76"/>
        <v>N/A</v>
      </c>
      <c r="R78" s="265" t="str">
        <f t="shared" si="76"/>
        <v>N/A</v>
      </c>
      <c r="S78" s="265" t="str">
        <f t="shared" si="76"/>
        <v>N/A</v>
      </c>
      <c r="T78" s="266">
        <f t="shared" si="76"/>
        <v>0</v>
      </c>
      <c r="U78" s="265" t="str">
        <f t="shared" ref="U78" si="77">U45</f>
        <v>N/A</v>
      </c>
      <c r="V78" s="267">
        <f>IF(Case_Scenario="Bull",V79,IF(Case_Scenario="Base",V80,IF(Case_Scenario="bear",V81,"N/A")))</f>
        <v>0.05</v>
      </c>
      <c r="W78" s="267">
        <f>IF(Case_Scenario="Bull",W79,IF(Case_Scenario="Base",W80,IF(Case_Scenario="bear",W81,"N/A")))</f>
        <v>0.05</v>
      </c>
      <c r="X78" s="267">
        <f>IF(Case_Scenario="Bull",X79,IF(Case_Scenario="Base",X80,IF(Case_Scenario="bear",X81,"N/A")))</f>
        <v>0.05</v>
      </c>
      <c r="Y78" s="266"/>
      <c r="Z78" s="267">
        <f>IF(Case_Scenario="Bull",Z79,IF(Case_Scenario="Base",Z80,IF(Case_Scenario="bear",Z81,"N/A")))</f>
        <v>0.05</v>
      </c>
      <c r="AA78" s="267">
        <f>IF(Case_Scenario="Bull",AA79,IF(Case_Scenario="Base",AA80,IF(Case_Scenario="bear",AA81,"N/A")))</f>
        <v>0.05</v>
      </c>
      <c r="AB78" s="267">
        <f>IF(Case_Scenario="Bull",AB79,IF(Case_Scenario="Base",AB80,IF(Case_Scenario="bear",AB81,"N/A")))</f>
        <v>0.05</v>
      </c>
      <c r="AC78" s="267">
        <f>IF(Case_Scenario="Bull",AC79,IF(Case_Scenario="Base",AC80,IF(Case_Scenario="bear",AC81,"N/A")))</f>
        <v>0.05</v>
      </c>
      <c r="AD78" s="266"/>
      <c r="AE78" s="266">
        <f>IF(Case_Scenario="Bull",AE79,IF(Case_Scenario="Base",AE80,IF(Case_Scenario="bear",AE81,"N/A")))</f>
        <v>0.05</v>
      </c>
      <c r="AF78" s="266">
        <f>IF(Case_Scenario="Bull",AF79,IF(Case_Scenario="Base",AF80,IF(Case_Scenario="bear",AF81,"N/A")))</f>
        <v>0.05</v>
      </c>
      <c r="AG78" s="266">
        <f>IF(Case_Scenario="Bull",AG79,IF(Case_Scenario="Base",AG80,IF(Case_Scenario="bear",AG81,"N/A")))</f>
        <v>0.05</v>
      </c>
    </row>
    <row r="79" spans="1:33" hidden="1" outlineLevel="1">
      <c r="C79" s="124" t="s">
        <v>217</v>
      </c>
      <c r="F79" s="268"/>
      <c r="G79" s="268"/>
      <c r="H79" s="268"/>
      <c r="I79" s="268"/>
      <c r="J79" s="269"/>
      <c r="K79" s="268"/>
      <c r="L79" s="268"/>
      <c r="M79" s="268"/>
      <c r="N79" s="268"/>
      <c r="O79" s="269"/>
      <c r="P79" s="268"/>
      <c r="Q79" s="268"/>
      <c r="R79" s="268"/>
      <c r="S79" s="268"/>
      <c r="T79" s="269"/>
      <c r="U79" s="268"/>
      <c r="V79" s="270">
        <v>0.1</v>
      </c>
      <c r="W79" s="270">
        <v>0.1</v>
      </c>
      <c r="X79" s="270">
        <v>0.1</v>
      </c>
      <c r="Y79" s="271"/>
      <c r="Z79" s="270">
        <v>0.1</v>
      </c>
      <c r="AA79" s="270">
        <v>0.1</v>
      </c>
      <c r="AB79" s="270">
        <v>0.1</v>
      </c>
      <c r="AC79" s="270">
        <v>0.1</v>
      </c>
      <c r="AD79" s="271"/>
      <c r="AE79" s="271">
        <v>0.1</v>
      </c>
      <c r="AF79" s="271">
        <v>0.1</v>
      </c>
      <c r="AG79" s="271">
        <v>0.1</v>
      </c>
    </row>
    <row r="80" spans="1:33" hidden="1" outlineLevel="1">
      <c r="C80" s="124" t="s">
        <v>218</v>
      </c>
      <c r="F80" s="268"/>
      <c r="G80" s="268"/>
      <c r="H80" s="268"/>
      <c r="I80" s="268"/>
      <c r="J80" s="269"/>
      <c r="K80" s="268"/>
      <c r="L80" s="268"/>
      <c r="M80" s="268"/>
      <c r="N80" s="268"/>
      <c r="O80" s="269"/>
      <c r="P80" s="268"/>
      <c r="Q80" s="268"/>
      <c r="R80" s="268"/>
      <c r="S80" s="268"/>
      <c r="T80" s="269"/>
      <c r="U80" s="268"/>
      <c r="V80" s="270">
        <v>0.05</v>
      </c>
      <c r="W80" s="270">
        <v>0.05</v>
      </c>
      <c r="X80" s="270">
        <v>0.05</v>
      </c>
      <c r="Y80" s="271"/>
      <c r="Z80" s="270">
        <v>0.05</v>
      </c>
      <c r="AA80" s="270">
        <v>0.05</v>
      </c>
      <c r="AB80" s="270">
        <v>0.05</v>
      </c>
      <c r="AC80" s="270">
        <v>0.05</v>
      </c>
      <c r="AD80" s="271"/>
      <c r="AE80" s="271">
        <v>0.05</v>
      </c>
      <c r="AF80" s="271">
        <v>0.05</v>
      </c>
      <c r="AG80" s="271">
        <v>0.05</v>
      </c>
    </row>
    <row r="81" spans="1:34" hidden="1" outlineLevel="1">
      <c r="C81" s="124" t="s">
        <v>219</v>
      </c>
      <c r="F81" s="268"/>
      <c r="G81" s="268"/>
      <c r="H81" s="268"/>
      <c r="I81" s="268"/>
      <c r="J81" s="269"/>
      <c r="K81" s="268"/>
      <c r="L81" s="268"/>
      <c r="M81" s="268"/>
      <c r="N81" s="268"/>
      <c r="O81" s="269"/>
      <c r="P81" s="268"/>
      <c r="Q81" s="268"/>
      <c r="R81" s="268"/>
      <c r="S81" s="268"/>
      <c r="T81" s="269"/>
      <c r="U81" s="268"/>
      <c r="V81" s="270">
        <v>0</v>
      </c>
      <c r="W81" s="270">
        <v>0</v>
      </c>
      <c r="X81" s="270">
        <v>0</v>
      </c>
      <c r="Y81" s="271"/>
      <c r="Z81" s="270">
        <v>0</v>
      </c>
      <c r="AA81" s="270">
        <v>0</v>
      </c>
      <c r="AB81" s="270">
        <v>0</v>
      </c>
      <c r="AC81" s="270">
        <v>0</v>
      </c>
      <c r="AD81" s="271"/>
      <c r="AE81" s="271">
        <v>0</v>
      </c>
      <c r="AF81" s="271">
        <v>0</v>
      </c>
      <c r="AG81" s="271">
        <v>0</v>
      </c>
    </row>
    <row r="82" spans="1:34" hidden="1" outlineLevel="1">
      <c r="F82" s="268"/>
      <c r="G82" s="268"/>
      <c r="H82" s="268"/>
      <c r="I82" s="268"/>
      <c r="J82" s="269"/>
      <c r="K82" s="268"/>
      <c r="L82" s="268"/>
      <c r="M82" s="268"/>
      <c r="N82" s="268"/>
      <c r="O82" s="269"/>
      <c r="P82" s="268"/>
      <c r="Q82" s="268"/>
      <c r="R82" s="268"/>
      <c r="S82" s="268"/>
      <c r="T82" s="269"/>
      <c r="U82" s="268"/>
      <c r="V82" s="272"/>
      <c r="W82" s="272"/>
      <c r="X82" s="272"/>
      <c r="Y82" s="269"/>
      <c r="Z82" s="272"/>
      <c r="AA82" s="272"/>
      <c r="AB82" s="272"/>
      <c r="AC82" s="272"/>
      <c r="AD82" s="269"/>
      <c r="AE82" s="269"/>
      <c r="AF82" s="269"/>
      <c r="AG82" s="269"/>
    </row>
    <row r="83" spans="1:34" hidden="1" outlineLevel="1">
      <c r="A83" s="22" t="s">
        <v>1</v>
      </c>
      <c r="C83" s="28" t="str">
        <f>C47</f>
        <v>Segment 6 Revenue</v>
      </c>
      <c r="F83" s="727">
        <f t="shared" ref="F83:T83" si="78">F47</f>
        <v>0</v>
      </c>
      <c r="G83" s="727">
        <f t="shared" si="78"/>
        <v>0</v>
      </c>
      <c r="H83" s="727">
        <f t="shared" si="78"/>
        <v>0</v>
      </c>
      <c r="I83" s="727">
        <f t="shared" si="78"/>
        <v>0</v>
      </c>
      <c r="J83" s="728">
        <f t="shared" si="78"/>
        <v>0</v>
      </c>
      <c r="K83" s="727">
        <f t="shared" si="78"/>
        <v>0</v>
      </c>
      <c r="L83" s="727">
        <f t="shared" si="78"/>
        <v>0</v>
      </c>
      <c r="M83" s="727">
        <f t="shared" si="78"/>
        <v>0</v>
      </c>
      <c r="N83" s="727">
        <f t="shared" si="78"/>
        <v>0</v>
      </c>
      <c r="O83" s="728">
        <f t="shared" si="78"/>
        <v>0</v>
      </c>
      <c r="P83" s="727">
        <f t="shared" si="78"/>
        <v>0</v>
      </c>
      <c r="Q83" s="727">
        <f t="shared" si="78"/>
        <v>0</v>
      </c>
      <c r="R83" s="727">
        <f t="shared" si="78"/>
        <v>0</v>
      </c>
      <c r="S83" s="727">
        <f t="shared" si="78"/>
        <v>0</v>
      </c>
      <c r="T83" s="728">
        <f t="shared" si="78"/>
        <v>0</v>
      </c>
      <c r="U83" s="727">
        <f t="shared" ref="U83" si="79">U47</f>
        <v>0</v>
      </c>
      <c r="V83" s="729">
        <f t="shared" ref="V83" si="80">IF($C$25="Quarterly",U83*(1+V84),Q83*(1+V84))</f>
        <v>0</v>
      </c>
      <c r="W83" s="729">
        <f t="shared" ref="W83" si="81">IF($C$25="Quarterly",V83*(1+W84),R83*(1+W84))</f>
        <v>0</v>
      </c>
      <c r="X83" s="729">
        <f t="shared" ref="X83" si="82">IF($C$25="Quarterly",W83*(1+X84),S83*(1+X84))</f>
        <v>0</v>
      </c>
      <c r="Y83" s="728">
        <f>SUM(U83:X83)</f>
        <v>0</v>
      </c>
      <c r="Z83" s="729">
        <f>IF($C$25="Quarterly",X83*(1+Z84),U83*(1+Z84))</f>
        <v>0</v>
      </c>
      <c r="AA83" s="729">
        <f t="shared" ref="AA83:AC83" si="83">IF($C$25="Quarterly",Z83*(1+AA84),V83*(1+AA84))</f>
        <v>0</v>
      </c>
      <c r="AB83" s="729">
        <f t="shared" si="83"/>
        <v>0</v>
      </c>
      <c r="AC83" s="729">
        <f t="shared" si="83"/>
        <v>0</v>
      </c>
      <c r="AD83" s="728">
        <f>SUM(Z83:AC83)</f>
        <v>0</v>
      </c>
      <c r="AE83" s="728">
        <f>AD83*(1+AE84)</f>
        <v>0</v>
      </c>
      <c r="AF83" s="728">
        <f>AE83*(1+AF84)</f>
        <v>0</v>
      </c>
      <c r="AG83" s="728">
        <f>AF83*(1+AG84)</f>
        <v>0</v>
      </c>
    </row>
    <row r="84" spans="1:34" hidden="1" outlineLevel="1">
      <c r="C84" s="264" t="str">
        <f>IF($C$25="Quarterly","% Growth QoQ","% Growth YoY")</f>
        <v>% Growth QoQ</v>
      </c>
      <c r="F84" s="268"/>
      <c r="G84" s="265" t="str">
        <f t="shared" ref="G84:T84" si="84">G48</f>
        <v>N/A</v>
      </c>
      <c r="H84" s="265" t="str">
        <f t="shared" si="84"/>
        <v>N/A</v>
      </c>
      <c r="I84" s="265" t="str">
        <f t="shared" si="84"/>
        <v>N/A</v>
      </c>
      <c r="J84" s="266">
        <f t="shared" si="84"/>
        <v>0</v>
      </c>
      <c r="K84" s="265" t="str">
        <f t="shared" si="84"/>
        <v>N/A</v>
      </c>
      <c r="L84" s="265" t="str">
        <f t="shared" si="84"/>
        <v>N/A</v>
      </c>
      <c r="M84" s="265" t="str">
        <f t="shared" si="84"/>
        <v>N/A</v>
      </c>
      <c r="N84" s="265" t="str">
        <f t="shared" si="84"/>
        <v>N/A</v>
      </c>
      <c r="O84" s="266">
        <f t="shared" si="84"/>
        <v>0</v>
      </c>
      <c r="P84" s="265" t="str">
        <f t="shared" si="84"/>
        <v>N/A</v>
      </c>
      <c r="Q84" s="265" t="str">
        <f t="shared" si="84"/>
        <v>N/A</v>
      </c>
      <c r="R84" s="265" t="str">
        <f t="shared" si="84"/>
        <v>N/A</v>
      </c>
      <c r="S84" s="265" t="str">
        <f t="shared" si="84"/>
        <v>N/A</v>
      </c>
      <c r="T84" s="266">
        <f t="shared" si="84"/>
        <v>0</v>
      </c>
      <c r="U84" s="265" t="str">
        <f t="shared" ref="U84" si="85">U48</f>
        <v>N/A</v>
      </c>
      <c r="V84" s="267">
        <f>IF(Case_Scenario="Bull",V85,IF(Case_Scenario="Base",V86,IF(Case_Scenario="bear",V87,"N/A")))</f>
        <v>0</v>
      </c>
      <c r="W84" s="267">
        <f>IF(Case_Scenario="Bull",W85,IF(Case_Scenario="Base",W86,IF(Case_Scenario="bear",W87,"N/A")))</f>
        <v>0</v>
      </c>
      <c r="X84" s="267">
        <f>IF(Case_Scenario="Bull",X85,IF(Case_Scenario="Base",X86,IF(Case_Scenario="bear",X87,"N/A")))</f>
        <v>0</v>
      </c>
      <c r="Y84" s="266"/>
      <c r="Z84" s="267">
        <f>IF(Case_Scenario="Bull",Z85,IF(Case_Scenario="Base",Z86,IF(Case_Scenario="bear",Z87,"N/A")))</f>
        <v>0</v>
      </c>
      <c r="AA84" s="267">
        <f>IF(Case_Scenario="Bull",AA85,IF(Case_Scenario="Base",AA86,IF(Case_Scenario="bear",AA87,"N/A")))</f>
        <v>0</v>
      </c>
      <c r="AB84" s="267">
        <f>IF(Case_Scenario="Bull",AB85,IF(Case_Scenario="Base",AB86,IF(Case_Scenario="bear",AB87,"N/A")))</f>
        <v>0</v>
      </c>
      <c r="AC84" s="267">
        <f>IF(Case_Scenario="Bull",AC85,IF(Case_Scenario="Base",AC86,IF(Case_Scenario="bear",AC87,"N/A")))</f>
        <v>0</v>
      </c>
      <c r="AD84" s="266"/>
      <c r="AE84" s="266">
        <f>IF(Case_Scenario="Bull",AE85,IF(Case_Scenario="Base",AE86,IF(Case_Scenario="bear",AE87,"N/A")))</f>
        <v>0</v>
      </c>
      <c r="AF84" s="266">
        <f>IF(Case_Scenario="Bull",AF85,IF(Case_Scenario="Base",AF86,IF(Case_Scenario="bear",AF87,"N/A")))</f>
        <v>0</v>
      </c>
      <c r="AG84" s="266">
        <f>IF(Case_Scenario="Bull",AG85,IF(Case_Scenario="Base",AG86,IF(Case_Scenario="bear",AG87,"N/A")))</f>
        <v>0</v>
      </c>
    </row>
    <row r="85" spans="1:34" hidden="1" outlineLevel="1">
      <c r="C85" s="124" t="s">
        <v>217</v>
      </c>
      <c r="F85" s="268"/>
      <c r="G85" s="268"/>
      <c r="H85" s="268"/>
      <c r="I85" s="268"/>
      <c r="J85" s="269"/>
      <c r="K85" s="268"/>
      <c r="L85" s="268"/>
      <c r="M85" s="268"/>
      <c r="N85" s="268"/>
      <c r="O85" s="269"/>
      <c r="P85" s="268"/>
      <c r="Q85" s="268"/>
      <c r="R85" s="268"/>
      <c r="S85" s="268"/>
      <c r="T85" s="269"/>
      <c r="U85" s="268"/>
      <c r="V85" s="270">
        <f>U85</f>
        <v>0</v>
      </c>
      <c r="W85" s="270">
        <f>V85</f>
        <v>0</v>
      </c>
      <c r="X85" s="270">
        <f>W85</f>
        <v>0</v>
      </c>
      <c r="Y85" s="271"/>
      <c r="Z85" s="270">
        <f>X85</f>
        <v>0</v>
      </c>
      <c r="AA85" s="270">
        <f>Z85</f>
        <v>0</v>
      </c>
      <c r="AB85" s="270">
        <f>AA85</f>
        <v>0</v>
      </c>
      <c r="AC85" s="270">
        <f>AB85</f>
        <v>0</v>
      </c>
      <c r="AD85" s="271"/>
      <c r="AE85" s="271">
        <f>AC85</f>
        <v>0</v>
      </c>
      <c r="AF85" s="271">
        <f t="shared" ref="AF85:AG87" si="86">AE85</f>
        <v>0</v>
      </c>
      <c r="AG85" s="271">
        <f t="shared" si="86"/>
        <v>0</v>
      </c>
    </row>
    <row r="86" spans="1:34" hidden="1" outlineLevel="1">
      <c r="C86" s="124" t="s">
        <v>218</v>
      </c>
      <c r="F86" s="268"/>
      <c r="G86" s="268"/>
      <c r="H86" s="268"/>
      <c r="I86" s="268"/>
      <c r="J86" s="269"/>
      <c r="K86" s="268"/>
      <c r="L86" s="268"/>
      <c r="M86" s="268"/>
      <c r="N86" s="268"/>
      <c r="O86" s="269"/>
      <c r="P86" s="268"/>
      <c r="Q86" s="268"/>
      <c r="R86" s="268"/>
      <c r="S86" s="268"/>
      <c r="T86" s="269"/>
      <c r="U86" s="268"/>
      <c r="V86" s="270">
        <f t="shared" ref="V86:V87" si="87">U86</f>
        <v>0</v>
      </c>
      <c r="W86" s="270">
        <f t="shared" ref="W86:W87" si="88">V86</f>
        <v>0</v>
      </c>
      <c r="X86" s="270">
        <f t="shared" ref="X86:X87" si="89">W86</f>
        <v>0</v>
      </c>
      <c r="Y86" s="271"/>
      <c r="Z86" s="270">
        <f>X86</f>
        <v>0</v>
      </c>
      <c r="AA86" s="270">
        <f t="shared" ref="AA86:AC87" si="90">Z86</f>
        <v>0</v>
      </c>
      <c r="AB86" s="270">
        <f t="shared" si="90"/>
        <v>0</v>
      </c>
      <c r="AC86" s="270">
        <f t="shared" si="90"/>
        <v>0</v>
      </c>
      <c r="AD86" s="271"/>
      <c r="AE86" s="271">
        <f>AC86</f>
        <v>0</v>
      </c>
      <c r="AF86" s="271">
        <f t="shared" si="86"/>
        <v>0</v>
      </c>
      <c r="AG86" s="271">
        <f t="shared" si="86"/>
        <v>0</v>
      </c>
    </row>
    <row r="87" spans="1:34" hidden="1" outlineLevel="1">
      <c r="C87" s="124" t="s">
        <v>219</v>
      </c>
      <c r="F87" s="268"/>
      <c r="G87" s="268"/>
      <c r="H87" s="268"/>
      <c r="I87" s="268"/>
      <c r="J87" s="269"/>
      <c r="K87" s="268"/>
      <c r="L87" s="268"/>
      <c r="M87" s="268"/>
      <c r="N87" s="268"/>
      <c r="O87" s="269"/>
      <c r="P87" s="268"/>
      <c r="Q87" s="268"/>
      <c r="R87" s="268"/>
      <c r="S87" s="268"/>
      <c r="T87" s="269"/>
      <c r="U87" s="268"/>
      <c r="V87" s="270">
        <f t="shared" si="87"/>
        <v>0</v>
      </c>
      <c r="W87" s="270">
        <f t="shared" si="88"/>
        <v>0</v>
      </c>
      <c r="X87" s="270">
        <f t="shared" si="89"/>
        <v>0</v>
      </c>
      <c r="Y87" s="271"/>
      <c r="Z87" s="270">
        <f>X87</f>
        <v>0</v>
      </c>
      <c r="AA87" s="270">
        <f t="shared" si="90"/>
        <v>0</v>
      </c>
      <c r="AB87" s="270">
        <f t="shared" si="90"/>
        <v>0</v>
      </c>
      <c r="AC87" s="270">
        <f t="shared" si="90"/>
        <v>0</v>
      </c>
      <c r="AD87" s="271"/>
      <c r="AE87" s="271">
        <f>AC87</f>
        <v>0</v>
      </c>
      <c r="AF87" s="271">
        <f t="shared" si="86"/>
        <v>0</v>
      </c>
      <c r="AG87" s="271">
        <f t="shared" si="86"/>
        <v>0</v>
      </c>
    </row>
    <row r="88" spans="1:34" collapsed="1">
      <c r="F88" s="268"/>
      <c r="G88" s="268"/>
      <c r="H88" s="268"/>
      <c r="I88" s="268"/>
      <c r="J88" s="269"/>
      <c r="K88" s="268"/>
      <c r="L88" s="268"/>
      <c r="M88" s="268"/>
      <c r="N88" s="268"/>
      <c r="O88" s="269"/>
      <c r="P88" s="268"/>
      <c r="Q88" s="268"/>
      <c r="R88" s="268"/>
      <c r="S88" s="268"/>
      <c r="T88" s="269"/>
      <c r="U88" s="268"/>
      <c r="V88" s="272"/>
      <c r="W88" s="272"/>
      <c r="X88" s="272"/>
      <c r="Y88" s="269"/>
      <c r="Z88" s="272"/>
      <c r="AA88" s="272"/>
      <c r="AB88" s="272"/>
      <c r="AC88" s="272"/>
      <c r="AD88" s="269"/>
      <c r="AE88" s="269"/>
      <c r="AF88" s="269"/>
      <c r="AG88" s="269"/>
    </row>
    <row r="89" spans="1:34">
      <c r="A89" s="22" t="s">
        <v>1</v>
      </c>
      <c r="C89" s="577" t="s">
        <v>222</v>
      </c>
      <c r="D89" s="147"/>
      <c r="E89" s="147"/>
      <c r="F89" s="578" t="str">
        <f>F$28</f>
        <v>1Q23</v>
      </c>
      <c r="G89" s="578" t="str">
        <f t="shared" ref="G89:AG89" si="91">G$28</f>
        <v>2Q23</v>
      </c>
      <c r="H89" s="578" t="str">
        <f t="shared" si="91"/>
        <v>3Q23</v>
      </c>
      <c r="I89" s="578" t="str">
        <f t="shared" si="91"/>
        <v>4Q23</v>
      </c>
      <c r="J89" s="578">
        <f t="shared" si="91"/>
        <v>2023</v>
      </c>
      <c r="K89" s="578" t="str">
        <f t="shared" si="91"/>
        <v>1Q24</v>
      </c>
      <c r="L89" s="578" t="str">
        <f t="shared" si="91"/>
        <v>2Q24</v>
      </c>
      <c r="M89" s="578" t="str">
        <f t="shared" si="91"/>
        <v>3Q24</v>
      </c>
      <c r="N89" s="578" t="str">
        <f t="shared" si="91"/>
        <v>4Q24</v>
      </c>
      <c r="O89" s="578">
        <f t="shared" si="91"/>
        <v>2024</v>
      </c>
      <c r="P89" s="578" t="str">
        <f t="shared" si="91"/>
        <v>1Q25</v>
      </c>
      <c r="Q89" s="578" t="str">
        <f t="shared" si="91"/>
        <v>2Q25</v>
      </c>
      <c r="R89" s="578" t="str">
        <f t="shared" si="91"/>
        <v>3Q25</v>
      </c>
      <c r="S89" s="578" t="str">
        <f t="shared" si="91"/>
        <v>4Q25</v>
      </c>
      <c r="T89" s="578">
        <f t="shared" si="91"/>
        <v>2025</v>
      </c>
      <c r="U89" s="578" t="str">
        <f t="shared" si="91"/>
        <v>1Q26</v>
      </c>
      <c r="V89" s="578" t="str">
        <f t="shared" si="91"/>
        <v>2Q26e</v>
      </c>
      <c r="W89" s="578" t="str">
        <f t="shared" si="91"/>
        <v>3Q26e</v>
      </c>
      <c r="X89" s="578" t="str">
        <f t="shared" si="91"/>
        <v>4Q26e</v>
      </c>
      <c r="Y89" s="578" t="str">
        <f t="shared" si="91"/>
        <v>2026e</v>
      </c>
      <c r="Z89" s="578" t="str">
        <f t="shared" si="91"/>
        <v>1Q27e</v>
      </c>
      <c r="AA89" s="578" t="str">
        <f t="shared" si="91"/>
        <v>2Q27e</v>
      </c>
      <c r="AB89" s="578" t="str">
        <f t="shared" si="91"/>
        <v>3Q27e</v>
      </c>
      <c r="AC89" s="578" t="str">
        <f t="shared" si="91"/>
        <v>4Q27e</v>
      </c>
      <c r="AD89" s="578" t="str">
        <f t="shared" si="91"/>
        <v>2027e</v>
      </c>
      <c r="AE89" s="578" t="str">
        <f t="shared" si="91"/>
        <v>2028e</v>
      </c>
      <c r="AF89" s="578" t="str">
        <f t="shared" si="91"/>
        <v>2029e</v>
      </c>
      <c r="AG89" s="744" t="str">
        <f t="shared" si="91"/>
        <v>2030e</v>
      </c>
      <c r="AH89" s="250" t="s">
        <v>1</v>
      </c>
    </row>
    <row r="90" spans="1:34">
      <c r="F90" s="29"/>
      <c r="G90" s="29"/>
      <c r="H90" s="29"/>
      <c r="I90" s="29"/>
      <c r="K90" s="29"/>
      <c r="L90" s="29"/>
      <c r="M90" s="29"/>
      <c r="N90" s="29"/>
      <c r="P90" s="29"/>
      <c r="Q90" s="29"/>
      <c r="R90" s="29"/>
      <c r="S90" s="29"/>
      <c r="U90" s="29"/>
      <c r="V90" s="30"/>
      <c r="W90" s="30"/>
      <c r="X90" s="30"/>
      <c r="Z90" s="30"/>
      <c r="AA90" s="30"/>
      <c r="AB90" s="30"/>
      <c r="AC90" s="30"/>
    </row>
    <row r="91" spans="1:34" hidden="1" outlineLevel="1">
      <c r="A91" s="22"/>
      <c r="C91" s="28" t="str">
        <f>C32</f>
        <v>Investment Banking &amp; Equities Revenue</v>
      </c>
      <c r="E91" s="269"/>
      <c r="F91" s="727">
        <f t="shared" ref="F91:T91" si="92">F32</f>
        <v>554811</v>
      </c>
      <c r="G91" s="727">
        <f t="shared" si="92"/>
        <v>482246</v>
      </c>
      <c r="H91" s="727">
        <f t="shared" si="92"/>
        <v>552641</v>
      </c>
      <c r="I91" s="727">
        <f t="shared" si="92"/>
        <v>766245</v>
      </c>
      <c r="J91" s="728">
        <f t="shared" si="92"/>
        <v>2355943</v>
      </c>
      <c r="K91" s="727">
        <f t="shared" si="92"/>
        <v>561728</v>
      </c>
      <c r="L91" s="727">
        <f t="shared" si="92"/>
        <v>670010</v>
      </c>
      <c r="M91" s="727">
        <f t="shared" si="92"/>
        <v>712775</v>
      </c>
      <c r="N91" s="727">
        <f t="shared" si="92"/>
        <v>953976</v>
      </c>
      <c r="O91" s="728">
        <f t="shared" si="92"/>
        <v>2898489</v>
      </c>
      <c r="P91" s="727">
        <f t="shared" si="92"/>
        <v>666714</v>
      </c>
      <c r="Q91" s="727">
        <f t="shared" si="92"/>
        <v>788222</v>
      </c>
      <c r="R91" s="727">
        <f t="shared" si="92"/>
        <v>990258</v>
      </c>
      <c r="S91" s="727">
        <f t="shared" si="92"/>
        <v>1244225</v>
      </c>
      <c r="T91" s="728">
        <f t="shared" si="92"/>
        <v>3689419</v>
      </c>
      <c r="U91" s="727">
        <f t="shared" ref="U91" si="93">U32</f>
        <v>1362465</v>
      </c>
      <c r="V91" s="729">
        <f>V92*V97</f>
        <v>1502117.6624999999</v>
      </c>
      <c r="W91" s="729">
        <f>W92*W97</f>
        <v>1656084.72290625</v>
      </c>
      <c r="X91" s="729">
        <f>X92*X97</f>
        <v>1825833.4070041408</v>
      </c>
      <c r="Y91" s="728">
        <f>SUM(U91:X91)</f>
        <v>6346500.7924103905</v>
      </c>
      <c r="Z91" s="729">
        <f>Z92*Z97</f>
        <v>2012981.3312220655</v>
      </c>
      <c r="AA91" s="729">
        <f>AA92*AA97</f>
        <v>2219311.9176723273</v>
      </c>
      <c r="AB91" s="729">
        <f>AB92*AB97</f>
        <v>2446791.3892337414</v>
      </c>
      <c r="AC91" s="729">
        <f>AC92*AC97</f>
        <v>2697587.5066302004</v>
      </c>
      <c r="AD91" s="728">
        <f>SUM(Z91:AC91)</f>
        <v>9376672.1447583344</v>
      </c>
      <c r="AE91" s="728">
        <f>AE92*AE97</f>
        <v>10337781.039596066</v>
      </c>
      <c r="AF91" s="728">
        <f>AF92*AF97</f>
        <v>11397403.596154664</v>
      </c>
      <c r="AG91" s="728">
        <f>AG92*AG97</f>
        <v>12565637.464760518</v>
      </c>
    </row>
    <row r="92" spans="1:34" hidden="1" outlineLevel="1">
      <c r="C92" s="124" t="s">
        <v>225</v>
      </c>
      <c r="E92" s="269"/>
      <c r="F92" s="718">
        <v>220</v>
      </c>
      <c r="G92" s="718">
        <v>220</v>
      </c>
      <c r="H92" s="718">
        <v>220</v>
      </c>
      <c r="I92" s="718">
        <v>220</v>
      </c>
      <c r="J92" s="745">
        <f>SUM(F92:I92)</f>
        <v>880</v>
      </c>
      <c r="K92" s="718">
        <v>220</v>
      </c>
      <c r="L92" s="718">
        <v>220</v>
      </c>
      <c r="M92" s="718">
        <v>220</v>
      </c>
      <c r="N92" s="718">
        <v>220</v>
      </c>
      <c r="O92" s="745">
        <f>SUM(K92:N92)</f>
        <v>880</v>
      </c>
      <c r="P92" s="718">
        <v>220</v>
      </c>
      <c r="Q92" s="718">
        <v>220</v>
      </c>
      <c r="R92" s="718">
        <v>220</v>
      </c>
      <c r="S92" s="718">
        <v>220</v>
      </c>
      <c r="T92" s="745">
        <f>SUM(P92:S92)</f>
        <v>880</v>
      </c>
      <c r="U92" s="718">
        <v>220</v>
      </c>
      <c r="V92" s="746">
        <f>U92*(1+V93)</f>
        <v>231</v>
      </c>
      <c r="W92" s="746">
        <f>V92*(1+W93)</f>
        <v>242.55</v>
      </c>
      <c r="X92" s="746">
        <f>W92*(1+X93)</f>
        <v>254.67750000000001</v>
      </c>
      <c r="Y92" s="747">
        <f>SUM(U92:X92)</f>
        <v>948.22749999999996</v>
      </c>
      <c r="Z92" s="746">
        <f>X92*(1+Z93)</f>
        <v>267.41137500000002</v>
      </c>
      <c r="AA92" s="746">
        <f>Z92*(1+AA93)</f>
        <v>280.78194375000004</v>
      </c>
      <c r="AB92" s="746">
        <f>AA92*(1+AB93)</f>
        <v>294.82104093750007</v>
      </c>
      <c r="AC92" s="746">
        <f>AB92*(1+AC93)</f>
        <v>309.56209298437511</v>
      </c>
      <c r="AD92" s="747">
        <f>SUM(Z92:AC92)</f>
        <v>1152.5764526718754</v>
      </c>
      <c r="AE92" s="747">
        <f>AD92*(1+AE93)</f>
        <v>1210.2052753054693</v>
      </c>
      <c r="AF92" s="747">
        <f>AE92*(1+AF93)</f>
        <v>1270.7155390707428</v>
      </c>
      <c r="AG92" s="747">
        <f>AF92*(1+AG93)</f>
        <v>1334.25131602428</v>
      </c>
    </row>
    <row r="93" spans="1:34" hidden="1" outlineLevel="1">
      <c r="C93" s="275" t="s">
        <v>228</v>
      </c>
      <c r="E93" s="269"/>
      <c r="F93" s="268"/>
      <c r="G93" s="265">
        <f>IFERROR(G92/F92-1,"--")</f>
        <v>0</v>
      </c>
      <c r="H93" s="265">
        <f>IFERROR(H92/G92-1,"--")</f>
        <v>0</v>
      </c>
      <c r="I93" s="265">
        <f>IFERROR(I92/H92-1,"--")</f>
        <v>0</v>
      </c>
      <c r="J93" s="269"/>
      <c r="K93" s="265">
        <f>IFERROR(K92/I92-1,"--")</f>
        <v>0</v>
      </c>
      <c r="L93" s="265">
        <f>IFERROR(L92/K92-1,"--")</f>
        <v>0</v>
      </c>
      <c r="M93" s="265">
        <f>IFERROR(M92/L92-1,"--")</f>
        <v>0</v>
      </c>
      <c r="N93" s="265">
        <f>IFERROR(N92/M92-1,"--")</f>
        <v>0</v>
      </c>
      <c r="O93" s="266">
        <f>IFERROR(O92/J92-1,"--")</f>
        <v>0</v>
      </c>
      <c r="P93" s="265">
        <f>IFERROR(P92/N92-1,"--")</f>
        <v>0</v>
      </c>
      <c r="Q93" s="265">
        <f>IFERROR(Q92/P92-1,"--")</f>
        <v>0</v>
      </c>
      <c r="R93" s="265">
        <f>IFERROR(R92/Q92-1,"--")</f>
        <v>0</v>
      </c>
      <c r="S93" s="265">
        <f>IFERROR(S92/R92-1,"--")</f>
        <v>0</v>
      </c>
      <c r="T93" s="266">
        <f>IFERROR(T92/O92-1,"--")</f>
        <v>0</v>
      </c>
      <c r="U93" s="265">
        <f>IFERROR(U92/S92-1,"--")</f>
        <v>0</v>
      </c>
      <c r="V93" s="267">
        <f>IF(Case_Scenario="Bull",V94,IF(Case_Scenario="Base",V95,IF(Case_Scenario="bear",V96,"N/A")))</f>
        <v>0.05</v>
      </c>
      <c r="W93" s="267">
        <f>IF(Case_Scenario="Bull",W94,IF(Case_Scenario="Base",W95,IF(Case_Scenario="bear",W96,"N/A")))</f>
        <v>0.05</v>
      </c>
      <c r="X93" s="267">
        <f>IF(Case_Scenario="Bull",X94,IF(Case_Scenario="Base",X95,IF(Case_Scenario="bear",X96,"N/A")))</f>
        <v>0.05</v>
      </c>
      <c r="Y93" s="266"/>
      <c r="Z93" s="267">
        <f>IF(Case_Scenario="Bull",Z94,IF(Case_Scenario="Base",Z95,IF(Case_Scenario="bear",Z96,"N/A")))</f>
        <v>0.05</v>
      </c>
      <c r="AA93" s="267">
        <f>IF(Case_Scenario="Bull",AA94,IF(Case_Scenario="Base",AA95,IF(Case_Scenario="bear",AA96,"N/A")))</f>
        <v>0.05</v>
      </c>
      <c r="AB93" s="267">
        <f>IF(Case_Scenario="Bull",AB94,IF(Case_Scenario="Base",AB95,IF(Case_Scenario="bear",AB96,"N/A")))</f>
        <v>0.05</v>
      </c>
      <c r="AC93" s="267">
        <f>IF(Case_Scenario="Bull",AC94,IF(Case_Scenario="Base",AC95,IF(Case_Scenario="bear",AC96,"N/A")))</f>
        <v>0.05</v>
      </c>
      <c r="AD93" s="266"/>
      <c r="AE93" s="266">
        <f>IF(Case_Scenario="Bull",AE94,IF(Case_Scenario="Base",AE95,IF(Case_Scenario="bear",AE96,"N/A")))</f>
        <v>0.05</v>
      </c>
      <c r="AF93" s="266">
        <f>IF(Case_Scenario="Bull",AF94,IF(Case_Scenario="Base",AF95,IF(Case_Scenario="bear",AF96,"N/A")))</f>
        <v>0.05</v>
      </c>
      <c r="AG93" s="266">
        <f>IF(Case_Scenario="Bull",AG94,IF(Case_Scenario="Base",AG95,IF(Case_Scenario="bear",AG96,"N/A")))</f>
        <v>0.05</v>
      </c>
    </row>
    <row r="94" spans="1:34" hidden="1" outlineLevel="1">
      <c r="C94" s="276" t="s">
        <v>217</v>
      </c>
      <c r="E94" s="269"/>
      <c r="F94" s="268"/>
      <c r="G94" s="268"/>
      <c r="H94" s="268"/>
      <c r="I94" s="268"/>
      <c r="J94" s="269"/>
      <c r="K94" s="268"/>
      <c r="L94" s="268"/>
      <c r="M94" s="268"/>
      <c r="N94" s="268"/>
      <c r="O94" s="269"/>
      <c r="P94" s="268"/>
      <c r="Q94" s="268"/>
      <c r="R94" s="268"/>
      <c r="S94" s="268"/>
      <c r="T94" s="269"/>
      <c r="U94" s="268"/>
      <c r="V94" s="270">
        <v>0.1</v>
      </c>
      <c r="W94" s="270">
        <v>0.1</v>
      </c>
      <c r="X94" s="270">
        <v>0.1</v>
      </c>
      <c r="Y94" s="271"/>
      <c r="Z94" s="270">
        <v>0.1</v>
      </c>
      <c r="AA94" s="270">
        <v>0.1</v>
      </c>
      <c r="AB94" s="270">
        <v>0.1</v>
      </c>
      <c r="AC94" s="270">
        <v>0.1</v>
      </c>
      <c r="AD94" s="271"/>
      <c r="AE94" s="271">
        <v>0.1</v>
      </c>
      <c r="AF94" s="271">
        <v>0.1</v>
      </c>
      <c r="AG94" s="271">
        <v>0.1</v>
      </c>
    </row>
    <row r="95" spans="1:34" hidden="1" outlineLevel="1">
      <c r="C95" s="276" t="s">
        <v>218</v>
      </c>
      <c r="E95" s="269"/>
      <c r="F95" s="268"/>
      <c r="G95" s="268"/>
      <c r="H95" s="268"/>
      <c r="I95" s="268"/>
      <c r="J95" s="269"/>
      <c r="K95" s="268"/>
      <c r="L95" s="268"/>
      <c r="M95" s="268"/>
      <c r="N95" s="268"/>
      <c r="O95" s="269"/>
      <c r="P95" s="268"/>
      <c r="Q95" s="268"/>
      <c r="R95" s="268"/>
      <c r="S95" s="268"/>
      <c r="T95" s="269"/>
      <c r="U95" s="268"/>
      <c r="V95" s="270">
        <v>0.05</v>
      </c>
      <c r="W95" s="270">
        <v>0.05</v>
      </c>
      <c r="X95" s="270">
        <v>0.05</v>
      </c>
      <c r="Y95" s="271"/>
      <c r="Z95" s="270">
        <v>0.05</v>
      </c>
      <c r="AA95" s="270">
        <v>0.05</v>
      </c>
      <c r="AB95" s="270">
        <v>0.05</v>
      </c>
      <c r="AC95" s="270">
        <v>0.05</v>
      </c>
      <c r="AD95" s="271"/>
      <c r="AE95" s="271">
        <v>0.05</v>
      </c>
      <c r="AF95" s="271">
        <v>0.05</v>
      </c>
      <c r="AG95" s="271">
        <v>0.05</v>
      </c>
    </row>
    <row r="96" spans="1:34" hidden="1" outlineLevel="1">
      <c r="C96" s="276" t="s">
        <v>219</v>
      </c>
      <c r="E96" s="269"/>
      <c r="F96" s="268"/>
      <c r="G96" s="268"/>
      <c r="H96" s="268"/>
      <c r="I96" s="268"/>
      <c r="J96" s="269"/>
      <c r="K96" s="268"/>
      <c r="L96" s="268"/>
      <c r="M96" s="268"/>
      <c r="N96" s="268"/>
      <c r="O96" s="269"/>
      <c r="P96" s="268"/>
      <c r="Q96" s="268"/>
      <c r="R96" s="268"/>
      <c r="S96" s="268"/>
      <c r="T96" s="269"/>
      <c r="U96" s="268"/>
      <c r="V96" s="270">
        <v>0</v>
      </c>
      <c r="W96" s="270">
        <v>0</v>
      </c>
      <c r="X96" s="270">
        <v>0</v>
      </c>
      <c r="Y96" s="271"/>
      <c r="Z96" s="270">
        <v>0</v>
      </c>
      <c r="AA96" s="270">
        <v>0</v>
      </c>
      <c r="AB96" s="270">
        <v>0</v>
      </c>
      <c r="AC96" s="270">
        <v>0</v>
      </c>
      <c r="AD96" s="271"/>
      <c r="AE96" s="271">
        <v>0</v>
      </c>
      <c r="AF96" s="271">
        <v>0</v>
      </c>
      <c r="AG96" s="271">
        <v>0</v>
      </c>
    </row>
    <row r="97" spans="1:33" hidden="1" outlineLevel="1">
      <c r="C97" s="124" t="s">
        <v>226</v>
      </c>
      <c r="E97" s="269"/>
      <c r="F97" s="727">
        <f>IFERROR(F91/F92,"--")</f>
        <v>2521.8681818181817</v>
      </c>
      <c r="G97" s="727">
        <f t="shared" ref="G97:T97" si="94">IFERROR(G91/G92,"--")</f>
        <v>2192.0272727272727</v>
      </c>
      <c r="H97" s="727">
        <f t="shared" si="94"/>
        <v>2512.0045454545457</v>
      </c>
      <c r="I97" s="727">
        <f t="shared" si="94"/>
        <v>3482.931818181818</v>
      </c>
      <c r="J97" s="728">
        <f t="shared" si="94"/>
        <v>2677.2079545454544</v>
      </c>
      <c r="K97" s="727">
        <f t="shared" si="94"/>
        <v>2553.3090909090911</v>
      </c>
      <c r="L97" s="727">
        <f t="shared" si="94"/>
        <v>3045.5</v>
      </c>
      <c r="M97" s="727">
        <f t="shared" si="94"/>
        <v>3239.8863636363635</v>
      </c>
      <c r="N97" s="727">
        <f t="shared" si="94"/>
        <v>4336.2545454545452</v>
      </c>
      <c r="O97" s="728">
        <f t="shared" si="94"/>
        <v>3293.7375000000002</v>
      </c>
      <c r="P97" s="727">
        <f t="shared" si="94"/>
        <v>3030.5181818181818</v>
      </c>
      <c r="Q97" s="727">
        <f t="shared" si="94"/>
        <v>3582.8272727272729</v>
      </c>
      <c r="R97" s="727">
        <f t="shared" si="94"/>
        <v>4501.1727272727276</v>
      </c>
      <c r="S97" s="727">
        <f t="shared" si="94"/>
        <v>5655.568181818182</v>
      </c>
      <c r="T97" s="728">
        <f t="shared" si="94"/>
        <v>4192.5215909090912</v>
      </c>
      <c r="U97" s="727">
        <f t="shared" ref="U97" si="95">IFERROR(U91/U92,"--")</f>
        <v>6193.022727272727</v>
      </c>
      <c r="V97" s="729">
        <f>U97*(1+V98)</f>
        <v>6502.6738636363634</v>
      </c>
      <c r="W97" s="729">
        <f>V97*(1+W98)</f>
        <v>6827.8075568181821</v>
      </c>
      <c r="X97" s="729">
        <f>W97*(1+X98)</f>
        <v>7169.1979346590915</v>
      </c>
      <c r="Y97" s="728">
        <f>Y91/Y92</f>
        <v>6693.0149066657432</v>
      </c>
      <c r="Z97" s="729">
        <f>X97*(1+Z98)</f>
        <v>7527.6578313920463</v>
      </c>
      <c r="AA97" s="729">
        <f>Z97*(1+AA98)</f>
        <v>7904.0407229616494</v>
      </c>
      <c r="AB97" s="729">
        <f>AA97*(1+AB98)</f>
        <v>8299.242759109733</v>
      </c>
      <c r="AC97" s="729">
        <f>AB97*(1+AC98)</f>
        <v>8714.2048970652195</v>
      </c>
      <c r="AD97" s="728">
        <f>AD91/AD92</f>
        <v>8135.4014503953777</v>
      </c>
      <c r="AE97" s="728">
        <f>AD97*(1+AE98)</f>
        <v>8542.1715229151469</v>
      </c>
      <c r="AF97" s="728">
        <f>AE97*(1+AF98)</f>
        <v>8969.2800990609048</v>
      </c>
      <c r="AG97" s="728">
        <f>AF97*(1+AG98)</f>
        <v>9417.7441040139511</v>
      </c>
    </row>
    <row r="98" spans="1:33" hidden="1" outlineLevel="1">
      <c r="C98" s="275" t="s">
        <v>227</v>
      </c>
      <c r="E98" s="269"/>
      <c r="F98" s="268"/>
      <c r="G98" s="265">
        <f>IFERROR(G97/F97-1,"--")</f>
        <v>-0.13079228782414187</v>
      </c>
      <c r="H98" s="265">
        <f>IFERROR(H97/G97-1,"--")</f>
        <v>0.14597321698883992</v>
      </c>
      <c r="I98" s="265">
        <f>IFERROR(I97/H97-1,"--")</f>
        <v>0.38651493465016151</v>
      </c>
      <c r="J98" s="269"/>
      <c r="K98" s="265">
        <f>IFERROR(K97/I97-1,"--")</f>
        <v>-0.26690810380491869</v>
      </c>
      <c r="L98" s="265">
        <f>IFERROR(L97/K97-1,"--")</f>
        <v>0.19276589381337583</v>
      </c>
      <c r="M98" s="265">
        <f>IFERROR(M97/L97-1,"--")</f>
        <v>6.3827405561110995E-2</v>
      </c>
      <c r="N98" s="265">
        <f>IFERROR(N97/M97-1,"--")</f>
        <v>0.3383971098874119</v>
      </c>
      <c r="O98" s="266">
        <f>IFERROR(O97/J97-1,"--")</f>
        <v>0.23028825400274977</v>
      </c>
      <c r="P98" s="265">
        <f>IFERROR(P97/N97-1,"--")</f>
        <v>-0.30112078291277766</v>
      </c>
      <c r="Q98" s="265">
        <f>IFERROR(Q97/P97-1,"--")</f>
        <v>0.1822490603167175</v>
      </c>
      <c r="R98" s="265">
        <f>IFERROR(R97/Q97-1,"--")</f>
        <v>0.25631865134441822</v>
      </c>
      <c r="S98" s="265">
        <f>IFERROR(S97/R97-1,"--")</f>
        <v>0.2564654867721341</v>
      </c>
      <c r="T98" s="266">
        <f>IFERROR(T97/O97-1,"--")</f>
        <v>0.27287666090849405</v>
      </c>
      <c r="U98" s="265">
        <f>IFERROR(U97/S97-1,"--")</f>
        <v>9.5031043420603201E-2</v>
      </c>
      <c r="V98" s="267">
        <f>IF(Case_Scenario="Bull",V99,IF(Case_Scenario="Base",V100,IF(Case_Scenario="bear",V101,"N/A")))</f>
        <v>0.05</v>
      </c>
      <c r="W98" s="267">
        <f>IF(Case_Scenario="Bull",W99,IF(Case_Scenario="Base",W100,IF(Case_Scenario="bear",W101,"N/A")))</f>
        <v>0.05</v>
      </c>
      <c r="X98" s="267">
        <f>IF(Case_Scenario="Bull",X99,IF(Case_Scenario="Base",X100,IF(Case_Scenario="bear",X101,"N/A")))</f>
        <v>0.05</v>
      </c>
      <c r="Y98" s="266"/>
      <c r="Z98" s="267">
        <f>IF(Case_Scenario="Bull",Z99,IF(Case_Scenario="Base",Z100,IF(Case_Scenario="bear",Z101,"N/A")))</f>
        <v>0.05</v>
      </c>
      <c r="AA98" s="267">
        <f>IF(Case_Scenario="Bull",AA99,IF(Case_Scenario="Base",AA100,IF(Case_Scenario="bear",AA101,"N/A")))</f>
        <v>0.05</v>
      </c>
      <c r="AB98" s="267">
        <f>IF(Case_Scenario="Bull",AB99,IF(Case_Scenario="Base",AB100,IF(Case_Scenario="bear",AB101,"N/A")))</f>
        <v>0.05</v>
      </c>
      <c r="AC98" s="267">
        <f>IF(Case_Scenario="Bull",AC99,IF(Case_Scenario="Base",AC100,IF(Case_Scenario="bear",AC101,"N/A")))</f>
        <v>0.05</v>
      </c>
      <c r="AD98" s="266"/>
      <c r="AE98" s="266">
        <f>IF(Case_Scenario="Bull",AE99,IF(Case_Scenario="Base",AE100,IF(Case_Scenario="bear",AE101,"N/A")))</f>
        <v>0.05</v>
      </c>
      <c r="AF98" s="266">
        <f>IF(Case_Scenario="Bull",AF99,IF(Case_Scenario="Base",AF100,IF(Case_Scenario="bear",AF101,"N/A")))</f>
        <v>0.05</v>
      </c>
      <c r="AG98" s="266">
        <f>IF(Case_Scenario="Bull",AG99,IF(Case_Scenario="Base",AG100,IF(Case_Scenario="bear",AG101,"N/A")))</f>
        <v>0.05</v>
      </c>
    </row>
    <row r="99" spans="1:33" hidden="1" outlineLevel="1">
      <c r="C99" s="276" t="s">
        <v>217</v>
      </c>
      <c r="E99" s="269"/>
      <c r="F99" s="268"/>
      <c r="G99" s="268"/>
      <c r="H99" s="268"/>
      <c r="I99" s="268"/>
      <c r="J99" s="269"/>
      <c r="K99" s="268"/>
      <c r="L99" s="268"/>
      <c r="M99" s="268"/>
      <c r="N99" s="268"/>
      <c r="O99" s="269"/>
      <c r="P99" s="268"/>
      <c r="Q99" s="268"/>
      <c r="R99" s="268"/>
      <c r="S99" s="268"/>
      <c r="T99" s="269"/>
      <c r="U99" s="268"/>
      <c r="V99" s="270">
        <v>0.1</v>
      </c>
      <c r="W99" s="270">
        <v>0.1</v>
      </c>
      <c r="X99" s="270">
        <v>0.1</v>
      </c>
      <c r="Y99" s="271"/>
      <c r="Z99" s="270">
        <v>0.1</v>
      </c>
      <c r="AA99" s="270">
        <v>0.1</v>
      </c>
      <c r="AB99" s="270">
        <v>0.1</v>
      </c>
      <c r="AC99" s="270">
        <v>0.1</v>
      </c>
      <c r="AD99" s="271"/>
      <c r="AE99" s="271">
        <v>0.1</v>
      </c>
      <c r="AF99" s="271">
        <v>0.1</v>
      </c>
      <c r="AG99" s="271">
        <v>0.1</v>
      </c>
    </row>
    <row r="100" spans="1:33" hidden="1" outlineLevel="1">
      <c r="C100" s="276" t="s">
        <v>218</v>
      </c>
      <c r="E100" s="269"/>
      <c r="F100" s="268"/>
      <c r="G100" s="268"/>
      <c r="H100" s="268"/>
      <c r="I100" s="268"/>
      <c r="J100" s="269"/>
      <c r="K100" s="268"/>
      <c r="L100" s="268"/>
      <c r="M100" s="268"/>
      <c r="N100" s="268"/>
      <c r="O100" s="269"/>
      <c r="P100" s="268"/>
      <c r="Q100" s="268"/>
      <c r="R100" s="268"/>
      <c r="S100" s="268"/>
      <c r="T100" s="269"/>
      <c r="U100" s="268"/>
      <c r="V100" s="270">
        <v>0.05</v>
      </c>
      <c r="W100" s="270">
        <v>0.05</v>
      </c>
      <c r="X100" s="270">
        <v>0.05</v>
      </c>
      <c r="Y100" s="271"/>
      <c r="Z100" s="270">
        <v>0.05</v>
      </c>
      <c r="AA100" s="270">
        <v>0.05</v>
      </c>
      <c r="AB100" s="270">
        <v>0.05</v>
      </c>
      <c r="AC100" s="270">
        <v>0.05</v>
      </c>
      <c r="AD100" s="271"/>
      <c r="AE100" s="271">
        <v>0.05</v>
      </c>
      <c r="AF100" s="271">
        <v>0.05</v>
      </c>
      <c r="AG100" s="271">
        <v>0.05</v>
      </c>
    </row>
    <row r="101" spans="1:33" hidden="1" outlineLevel="1">
      <c r="C101" s="276" t="s">
        <v>219</v>
      </c>
      <c r="E101" s="269"/>
      <c r="F101" s="268"/>
      <c r="G101" s="268"/>
      <c r="H101" s="268"/>
      <c r="I101" s="268"/>
      <c r="J101" s="269"/>
      <c r="K101" s="268"/>
      <c r="L101" s="268"/>
      <c r="M101" s="268"/>
      <c r="N101" s="268"/>
      <c r="O101" s="269"/>
      <c r="P101" s="268"/>
      <c r="Q101" s="268"/>
      <c r="R101" s="268"/>
      <c r="S101" s="268"/>
      <c r="T101" s="269"/>
      <c r="U101" s="268"/>
      <c r="V101" s="270">
        <v>0</v>
      </c>
      <c r="W101" s="270">
        <v>0</v>
      </c>
      <c r="X101" s="270">
        <v>0</v>
      </c>
      <c r="Y101" s="271"/>
      <c r="Z101" s="270">
        <v>0</v>
      </c>
      <c r="AA101" s="270">
        <v>0</v>
      </c>
      <c r="AB101" s="270">
        <v>0</v>
      </c>
      <c r="AC101" s="270">
        <v>0</v>
      </c>
      <c r="AD101" s="271"/>
      <c r="AE101" s="271">
        <v>0</v>
      </c>
      <c r="AF101" s="271">
        <v>0</v>
      </c>
      <c r="AG101" s="271">
        <v>0</v>
      </c>
    </row>
    <row r="102" spans="1:33" hidden="1" outlineLevel="1">
      <c r="E102" s="269"/>
      <c r="F102" s="268"/>
      <c r="G102" s="268"/>
      <c r="H102" s="268"/>
      <c r="I102" s="268"/>
      <c r="J102" s="269"/>
      <c r="K102" s="268"/>
      <c r="L102" s="268"/>
      <c r="M102" s="268"/>
      <c r="N102" s="268"/>
      <c r="O102" s="269"/>
      <c r="P102" s="268"/>
      <c r="Q102" s="268"/>
      <c r="R102" s="268"/>
      <c r="S102" s="268"/>
      <c r="T102" s="269"/>
      <c r="U102" s="268"/>
      <c r="V102" s="272"/>
      <c r="W102" s="272"/>
      <c r="X102" s="272"/>
      <c r="Y102" s="269"/>
      <c r="Z102" s="272"/>
      <c r="AA102" s="272"/>
      <c r="AB102" s="272"/>
      <c r="AC102" s="272"/>
      <c r="AD102" s="269"/>
      <c r="AE102" s="269"/>
      <c r="AF102" s="269"/>
      <c r="AG102" s="269"/>
    </row>
    <row r="103" spans="1:33" hidden="1" outlineLevel="1">
      <c r="A103" s="22" t="s">
        <v>1</v>
      </c>
      <c r="C103" s="28" t="str">
        <f>C35</f>
        <v>Investment Management Revenue</v>
      </c>
      <c r="E103" s="269"/>
      <c r="F103" s="727">
        <f t="shared" ref="F103:T103" si="96">F35</f>
        <v>17332</v>
      </c>
      <c r="G103" s="727">
        <f t="shared" si="96"/>
        <v>17173</v>
      </c>
      <c r="H103" s="727">
        <f t="shared" si="96"/>
        <v>17579</v>
      </c>
      <c r="I103" s="727">
        <f t="shared" si="96"/>
        <v>17922</v>
      </c>
      <c r="J103" s="728">
        <f t="shared" si="96"/>
        <v>70006</v>
      </c>
      <c r="K103" s="727">
        <f t="shared" si="96"/>
        <v>19087</v>
      </c>
      <c r="L103" s="727">
        <f t="shared" si="96"/>
        <v>19214</v>
      </c>
      <c r="M103" s="727">
        <f t="shared" si="96"/>
        <v>21447</v>
      </c>
      <c r="N103" s="727">
        <f t="shared" si="96"/>
        <v>21356</v>
      </c>
      <c r="O103" s="728">
        <f t="shared" si="96"/>
        <v>81104</v>
      </c>
      <c r="P103" s="727">
        <f t="shared" si="96"/>
        <v>32308</v>
      </c>
      <c r="Q103" s="727">
        <f t="shared" si="96"/>
        <v>49818</v>
      </c>
      <c r="R103" s="727">
        <f t="shared" si="96"/>
        <v>55736</v>
      </c>
      <c r="S103" s="727">
        <f t="shared" si="96"/>
        <v>52803</v>
      </c>
      <c r="T103" s="728">
        <f t="shared" si="96"/>
        <v>190665</v>
      </c>
      <c r="U103" s="727">
        <f t="shared" ref="U103" si="97">U35</f>
        <v>38004</v>
      </c>
      <c r="V103" s="729">
        <f t="shared" ref="U103:X103" si="98">V104*V109</f>
        <v>41899.410000000003</v>
      </c>
      <c r="W103" s="729">
        <f t="shared" si="98"/>
        <v>46194.099525000012</v>
      </c>
      <c r="X103" s="729">
        <f t="shared" si="98"/>
        <v>50928.994726312514</v>
      </c>
      <c r="Y103" s="728">
        <f>SUM(U103:X103)</f>
        <v>177026.50425131252</v>
      </c>
      <c r="Z103" s="729">
        <f t="shared" ref="Z103:AG103" si="99">Z104*Z109</f>
        <v>56149.216685759551</v>
      </c>
      <c r="AA103" s="729">
        <f t="shared" si="99"/>
        <v>61904.511396049915</v>
      </c>
      <c r="AB103" s="729">
        <f t="shared" si="99"/>
        <v>68249.723814145036</v>
      </c>
      <c r="AC103" s="729">
        <f t="shared" si="99"/>
        <v>75245.320505094918</v>
      </c>
      <c r="AD103" s="728">
        <f>SUM(Z103:AC103)</f>
        <v>261548.77240104941</v>
      </c>
      <c r="AE103" s="728">
        <f t="shared" si="99"/>
        <v>288357.52157215704</v>
      </c>
      <c r="AF103" s="728">
        <f t="shared" si="99"/>
        <v>317914.1675333032</v>
      </c>
      <c r="AG103" s="728">
        <f t="shared" si="99"/>
        <v>350500.36970546679</v>
      </c>
    </row>
    <row r="104" spans="1:33" hidden="1" outlineLevel="1">
      <c r="C104" s="124" t="s">
        <v>225</v>
      </c>
      <c r="E104" s="269"/>
      <c r="F104" s="718">
        <v>220</v>
      </c>
      <c r="G104" s="718">
        <v>220</v>
      </c>
      <c r="H104" s="718">
        <v>220</v>
      </c>
      <c r="I104" s="718">
        <v>220</v>
      </c>
      <c r="J104" s="745">
        <f>SUM(F104:I104)</f>
        <v>880</v>
      </c>
      <c r="K104" s="718">
        <v>220</v>
      </c>
      <c r="L104" s="718">
        <v>220</v>
      </c>
      <c r="M104" s="718">
        <v>220</v>
      </c>
      <c r="N104" s="718">
        <v>220</v>
      </c>
      <c r="O104" s="745">
        <f>SUM(K104:N104)</f>
        <v>880</v>
      </c>
      <c r="P104" s="718">
        <v>220</v>
      </c>
      <c r="Q104" s="718">
        <v>220</v>
      </c>
      <c r="R104" s="718">
        <v>220</v>
      </c>
      <c r="S104" s="718">
        <v>220</v>
      </c>
      <c r="T104" s="745">
        <f>SUM(P104:S104)</f>
        <v>880</v>
      </c>
      <c r="U104" s="718">
        <v>220</v>
      </c>
      <c r="V104" s="746">
        <f>U104*(1+V105)</f>
        <v>231</v>
      </c>
      <c r="W104" s="746">
        <f>V104*(1+W105)</f>
        <v>242.55</v>
      </c>
      <c r="X104" s="746">
        <f>W104*(1+X105)</f>
        <v>254.67750000000001</v>
      </c>
      <c r="Y104" s="747">
        <f>SUM(U104:X104)</f>
        <v>948.22749999999996</v>
      </c>
      <c r="Z104" s="746">
        <f>X104*(1+Z105)</f>
        <v>267.41137500000002</v>
      </c>
      <c r="AA104" s="746">
        <f>Z104*(1+AA105)</f>
        <v>280.78194375000004</v>
      </c>
      <c r="AB104" s="746">
        <f>AA104*(1+AB105)</f>
        <v>294.82104093750007</v>
      </c>
      <c r="AC104" s="746">
        <f>AB104*(1+AC105)</f>
        <v>309.56209298437511</v>
      </c>
      <c r="AD104" s="747">
        <f>SUM(Z104:AC104)</f>
        <v>1152.5764526718754</v>
      </c>
      <c r="AE104" s="747">
        <f>AD104*(1+AE105)</f>
        <v>1210.2052753054693</v>
      </c>
      <c r="AF104" s="747">
        <f>AE104*(1+AF105)</f>
        <v>1270.7155390707428</v>
      </c>
      <c r="AG104" s="747">
        <f>AF104*(1+AG105)</f>
        <v>1334.25131602428</v>
      </c>
    </row>
    <row r="105" spans="1:33" hidden="1" outlineLevel="1">
      <c r="C105" s="275" t="s">
        <v>228</v>
      </c>
      <c r="E105" s="269"/>
      <c r="F105" s="268"/>
      <c r="G105" s="265">
        <f>IFERROR(G104/F104-1,"--")</f>
        <v>0</v>
      </c>
      <c r="H105" s="265">
        <f>IFERROR(H104/G104-1,"--")</f>
        <v>0</v>
      </c>
      <c r="I105" s="265">
        <f>IFERROR(I104/H104-1,"--")</f>
        <v>0</v>
      </c>
      <c r="J105" s="269"/>
      <c r="K105" s="265">
        <f>IFERROR(K104/I104-1,"--")</f>
        <v>0</v>
      </c>
      <c r="L105" s="265">
        <f>IFERROR(L104/K104-1,"--")</f>
        <v>0</v>
      </c>
      <c r="M105" s="265">
        <f>IFERROR(M104/L104-1,"--")</f>
        <v>0</v>
      </c>
      <c r="N105" s="265">
        <f>IFERROR(N104/M104-1,"--")</f>
        <v>0</v>
      </c>
      <c r="O105" s="266">
        <f>IFERROR(O104/J104-1,"--")</f>
        <v>0</v>
      </c>
      <c r="P105" s="265">
        <f>IFERROR(P104/N104-1,"--")</f>
        <v>0</v>
      </c>
      <c r="Q105" s="265">
        <f>IFERROR(Q104/P104-1,"--")</f>
        <v>0</v>
      </c>
      <c r="R105" s="265">
        <f>IFERROR(R104/Q104-1,"--")</f>
        <v>0</v>
      </c>
      <c r="S105" s="265">
        <f>IFERROR(S104/R104-1,"--")</f>
        <v>0</v>
      </c>
      <c r="T105" s="266">
        <f>IFERROR(T104/O104-1,"--")</f>
        <v>0</v>
      </c>
      <c r="U105" s="265">
        <f>IFERROR(U104/S104-1,"--")</f>
        <v>0</v>
      </c>
      <c r="V105" s="267">
        <f>IF(Case_Scenario="Bull",V106,IF(Case_Scenario="Base",V107,IF(Case_Scenario="bear",V108,"N/A")))</f>
        <v>0.05</v>
      </c>
      <c r="W105" s="267">
        <f>IF(Case_Scenario="Bull",W106,IF(Case_Scenario="Base",W107,IF(Case_Scenario="bear",W108,"N/A")))</f>
        <v>0.05</v>
      </c>
      <c r="X105" s="267">
        <f>IF(Case_Scenario="Bull",X106,IF(Case_Scenario="Base",X107,IF(Case_Scenario="bear",X108,"N/A")))</f>
        <v>0.05</v>
      </c>
      <c r="Y105" s="266"/>
      <c r="Z105" s="267">
        <f>IF(Case_Scenario="Bull",Z106,IF(Case_Scenario="Base",Z107,IF(Case_Scenario="bear",Z108,"N/A")))</f>
        <v>0.05</v>
      </c>
      <c r="AA105" s="267">
        <f>IF(Case_Scenario="Bull",AA106,IF(Case_Scenario="Base",AA107,IF(Case_Scenario="bear",AA108,"N/A")))</f>
        <v>0.05</v>
      </c>
      <c r="AB105" s="267">
        <f>IF(Case_Scenario="Bull",AB106,IF(Case_Scenario="Base",AB107,IF(Case_Scenario="bear",AB108,"N/A")))</f>
        <v>0.05</v>
      </c>
      <c r="AC105" s="267">
        <f>IF(Case_Scenario="Bull",AC106,IF(Case_Scenario="Base",AC107,IF(Case_Scenario="bear",AC108,"N/A")))</f>
        <v>0.05</v>
      </c>
      <c r="AD105" s="266"/>
      <c r="AE105" s="266">
        <f>IF(Case_Scenario="Bull",AE106,IF(Case_Scenario="Base",AE107,IF(Case_Scenario="bear",AE108,"N/A")))</f>
        <v>0.05</v>
      </c>
      <c r="AF105" s="266">
        <f>IF(Case_Scenario="Bull",AF106,IF(Case_Scenario="Base",AF107,IF(Case_Scenario="bear",AF108,"N/A")))</f>
        <v>0.05</v>
      </c>
      <c r="AG105" s="266">
        <f>IF(Case_Scenario="Bull",AG106,IF(Case_Scenario="Base",AG107,IF(Case_Scenario="bear",AG108,"N/A")))</f>
        <v>0.05</v>
      </c>
    </row>
    <row r="106" spans="1:33" hidden="1" outlineLevel="1">
      <c r="C106" s="276" t="s">
        <v>217</v>
      </c>
      <c r="E106" s="269"/>
      <c r="F106" s="268"/>
      <c r="G106" s="268"/>
      <c r="H106" s="268"/>
      <c r="I106" s="268"/>
      <c r="J106" s="269"/>
      <c r="K106" s="268"/>
      <c r="L106" s="268"/>
      <c r="M106" s="268"/>
      <c r="N106" s="268"/>
      <c r="O106" s="269"/>
      <c r="P106" s="268"/>
      <c r="Q106" s="268"/>
      <c r="R106" s="268"/>
      <c r="S106" s="268"/>
      <c r="T106" s="269"/>
      <c r="U106" s="268"/>
      <c r="V106" s="270">
        <v>0.1</v>
      </c>
      <c r="W106" s="270">
        <v>0.1</v>
      </c>
      <c r="X106" s="270">
        <v>0.1</v>
      </c>
      <c r="Y106" s="271"/>
      <c r="Z106" s="270">
        <v>0.1</v>
      </c>
      <c r="AA106" s="270">
        <v>0.1</v>
      </c>
      <c r="AB106" s="270">
        <v>0.1</v>
      </c>
      <c r="AC106" s="270">
        <v>0.1</v>
      </c>
      <c r="AD106" s="271"/>
      <c r="AE106" s="271">
        <v>0.1</v>
      </c>
      <c r="AF106" s="271">
        <v>0.1</v>
      </c>
      <c r="AG106" s="271">
        <v>0.1</v>
      </c>
    </row>
    <row r="107" spans="1:33" hidden="1" outlineLevel="1">
      <c r="C107" s="276" t="s">
        <v>218</v>
      </c>
      <c r="E107" s="269"/>
      <c r="F107" s="268"/>
      <c r="G107" s="268"/>
      <c r="H107" s="268"/>
      <c r="I107" s="268"/>
      <c r="J107" s="269"/>
      <c r="K107" s="268"/>
      <c r="L107" s="268"/>
      <c r="M107" s="268"/>
      <c r="N107" s="268"/>
      <c r="O107" s="269"/>
      <c r="P107" s="268"/>
      <c r="Q107" s="268"/>
      <c r="R107" s="268"/>
      <c r="S107" s="268"/>
      <c r="T107" s="269"/>
      <c r="U107" s="268"/>
      <c r="V107" s="270">
        <v>0.05</v>
      </c>
      <c r="W107" s="270">
        <v>0.05</v>
      </c>
      <c r="X107" s="270">
        <v>0.05</v>
      </c>
      <c r="Y107" s="271"/>
      <c r="Z107" s="270">
        <v>0.05</v>
      </c>
      <c r="AA107" s="270">
        <v>0.05</v>
      </c>
      <c r="AB107" s="270">
        <v>0.05</v>
      </c>
      <c r="AC107" s="270">
        <v>0.05</v>
      </c>
      <c r="AD107" s="271"/>
      <c r="AE107" s="271">
        <v>0.05</v>
      </c>
      <c r="AF107" s="271">
        <v>0.05</v>
      </c>
      <c r="AG107" s="271">
        <v>0.05</v>
      </c>
    </row>
    <row r="108" spans="1:33" hidden="1" outlineLevel="1">
      <c r="C108" s="276" t="s">
        <v>219</v>
      </c>
      <c r="E108" s="269"/>
      <c r="F108" s="268"/>
      <c r="G108" s="268"/>
      <c r="H108" s="268"/>
      <c r="I108" s="268"/>
      <c r="J108" s="269"/>
      <c r="K108" s="268"/>
      <c r="L108" s="268"/>
      <c r="M108" s="268"/>
      <c r="N108" s="268"/>
      <c r="O108" s="269"/>
      <c r="P108" s="268"/>
      <c r="Q108" s="268"/>
      <c r="R108" s="268"/>
      <c r="S108" s="268"/>
      <c r="T108" s="269"/>
      <c r="U108" s="268"/>
      <c r="V108" s="270">
        <v>0</v>
      </c>
      <c r="W108" s="270">
        <v>0</v>
      </c>
      <c r="X108" s="270">
        <v>0</v>
      </c>
      <c r="Y108" s="271"/>
      <c r="Z108" s="270">
        <v>0</v>
      </c>
      <c r="AA108" s="270">
        <v>0</v>
      </c>
      <c r="AB108" s="270">
        <v>0</v>
      </c>
      <c r="AC108" s="270">
        <v>0</v>
      </c>
      <c r="AD108" s="271"/>
      <c r="AE108" s="271">
        <v>0</v>
      </c>
      <c r="AF108" s="271">
        <v>0</v>
      </c>
      <c r="AG108" s="271">
        <v>0</v>
      </c>
    </row>
    <row r="109" spans="1:33" hidden="1" outlineLevel="1">
      <c r="C109" s="124" t="s">
        <v>226</v>
      </c>
      <c r="E109" s="269"/>
      <c r="F109" s="727">
        <f>IFERROR(F103/F104,"--")</f>
        <v>78.781818181818181</v>
      </c>
      <c r="G109" s="727">
        <f t="shared" ref="G109:T109" si="100">IFERROR(G103/G104,"--")</f>
        <v>78.059090909090912</v>
      </c>
      <c r="H109" s="727">
        <f t="shared" si="100"/>
        <v>79.904545454545456</v>
      </c>
      <c r="I109" s="727">
        <f t="shared" si="100"/>
        <v>81.463636363636368</v>
      </c>
      <c r="J109" s="728">
        <f t="shared" si="100"/>
        <v>79.552272727272722</v>
      </c>
      <c r="K109" s="727">
        <f t="shared" si="100"/>
        <v>86.759090909090915</v>
      </c>
      <c r="L109" s="727">
        <f t="shared" si="100"/>
        <v>87.336363636363643</v>
      </c>
      <c r="M109" s="727">
        <f t="shared" si="100"/>
        <v>97.486363636363635</v>
      </c>
      <c r="N109" s="727">
        <f t="shared" si="100"/>
        <v>97.072727272727278</v>
      </c>
      <c r="O109" s="728">
        <f t="shared" si="100"/>
        <v>92.163636363636357</v>
      </c>
      <c r="P109" s="727">
        <f t="shared" si="100"/>
        <v>146.85454545454544</v>
      </c>
      <c r="Q109" s="727">
        <f t="shared" si="100"/>
        <v>226.44545454545454</v>
      </c>
      <c r="R109" s="727">
        <f t="shared" si="100"/>
        <v>253.34545454545454</v>
      </c>
      <c r="S109" s="727">
        <f t="shared" si="100"/>
        <v>240.01363636363635</v>
      </c>
      <c r="T109" s="728">
        <f t="shared" si="100"/>
        <v>216.66477272727272</v>
      </c>
      <c r="U109" s="727">
        <f t="shared" ref="U109" si="101">IFERROR(U103/U104,"--")</f>
        <v>172.74545454545455</v>
      </c>
      <c r="V109" s="729">
        <f>U109*(1+V110)</f>
        <v>181.38272727272729</v>
      </c>
      <c r="W109" s="729">
        <f>V109*(1+W110)</f>
        <v>190.45186363636367</v>
      </c>
      <c r="X109" s="729">
        <f>W109*(1+X110)</f>
        <v>199.97445681818186</v>
      </c>
      <c r="Y109" s="728">
        <f>Y103/Y104</f>
        <v>186.69201668514415</v>
      </c>
      <c r="Z109" s="729">
        <f>X109*(1+Z110)</f>
        <v>209.97317965909096</v>
      </c>
      <c r="AA109" s="729">
        <f>Z109*(1+AA110)</f>
        <v>220.47183864204553</v>
      </c>
      <c r="AB109" s="729">
        <f>AA109*(1+AB110)</f>
        <v>231.4954305741478</v>
      </c>
      <c r="AC109" s="729">
        <f>AB109*(1+AC110)</f>
        <v>243.07020210285521</v>
      </c>
      <c r="AD109" s="728">
        <f>AD103/AD104</f>
        <v>226.92531310589703</v>
      </c>
      <c r="AE109" s="728">
        <f>AD109*(1+AE110)</f>
        <v>238.2715787611919</v>
      </c>
      <c r="AF109" s="728">
        <f>AE109*(1+AF110)</f>
        <v>250.1851576992515</v>
      </c>
      <c r="AG109" s="728">
        <f>AF109*(1+AG110)</f>
        <v>262.69441558421408</v>
      </c>
    </row>
    <row r="110" spans="1:33" hidden="1" outlineLevel="1">
      <c r="C110" s="275" t="s">
        <v>227</v>
      </c>
      <c r="E110" s="269"/>
      <c r="F110" s="268"/>
      <c r="G110" s="265">
        <f>IFERROR(G109/F109-1,"--")</f>
        <v>-9.1737825986614174E-3</v>
      </c>
      <c r="H110" s="265">
        <f>IFERROR(H109/G109-1,"--")</f>
        <v>2.3641763232981949E-2</v>
      </c>
      <c r="I110" s="265">
        <f>IFERROR(I109/H109-1,"--")</f>
        <v>1.9511917628989073E-2</v>
      </c>
      <c r="J110" s="269"/>
      <c r="K110" s="265">
        <f>IFERROR(K109/I109-1,"--")</f>
        <v>6.5003905814083218E-2</v>
      </c>
      <c r="L110" s="265">
        <f>IFERROR(L109/K109-1,"--")</f>
        <v>6.6537433855504702E-3</v>
      </c>
      <c r="M110" s="265">
        <f>IFERROR(M109/L109-1,"--")</f>
        <v>0.11621734152180685</v>
      </c>
      <c r="N110" s="265">
        <f>IFERROR(N109/M109-1,"--")</f>
        <v>-4.2430176714691736E-3</v>
      </c>
      <c r="O110" s="266">
        <f>IFERROR(O109/J109-1,"--")</f>
        <v>0.15852926891980679</v>
      </c>
      <c r="P110" s="265">
        <f>IFERROR(P109/N109-1,"--")</f>
        <v>0.5128301179996253</v>
      </c>
      <c r="Q110" s="265">
        <f>IFERROR(Q109/P109-1,"--")</f>
        <v>0.54197102884734427</v>
      </c>
      <c r="R110" s="265">
        <f>IFERROR(R109/Q109-1,"--")</f>
        <v>0.11879240435184069</v>
      </c>
      <c r="S110" s="265">
        <f>IFERROR(S109/R109-1,"--")</f>
        <v>-5.2623080235395525E-2</v>
      </c>
      <c r="T110" s="266">
        <f>IFERROR(T109/O109-1,"--")</f>
        <v>1.3508704872755968</v>
      </c>
      <c r="U110" s="265">
        <f>IFERROR(U109/S109-1,"--")</f>
        <v>-0.28026816658144416</v>
      </c>
      <c r="V110" s="267">
        <f>IF(Case_Scenario="Bull",V111,IF(Case_Scenario="Base",V112,IF(Case_Scenario="bear",V113,"N/A")))</f>
        <v>0.05</v>
      </c>
      <c r="W110" s="267">
        <f>IF(Case_Scenario="Bull",W111,IF(Case_Scenario="Base",W112,IF(Case_Scenario="bear",W113,"N/A")))</f>
        <v>0.05</v>
      </c>
      <c r="X110" s="267">
        <f>IF(Case_Scenario="Bull",X111,IF(Case_Scenario="Base",X112,IF(Case_Scenario="bear",X113,"N/A")))</f>
        <v>0.05</v>
      </c>
      <c r="Y110" s="266"/>
      <c r="Z110" s="267">
        <f>IF(Case_Scenario="Bull",Z111,IF(Case_Scenario="Base",Z112,IF(Case_Scenario="bear",Z113,"N/A")))</f>
        <v>0.05</v>
      </c>
      <c r="AA110" s="267">
        <f>IF(Case_Scenario="Bull",AA111,IF(Case_Scenario="Base",AA112,IF(Case_Scenario="bear",AA113,"N/A")))</f>
        <v>0.05</v>
      </c>
      <c r="AB110" s="267">
        <f>IF(Case_Scenario="Bull",AB111,IF(Case_Scenario="Base",AB112,IF(Case_Scenario="bear",AB113,"N/A")))</f>
        <v>0.05</v>
      </c>
      <c r="AC110" s="267">
        <f>IF(Case_Scenario="Bull",AC111,IF(Case_Scenario="Base",AC112,IF(Case_Scenario="bear",AC113,"N/A")))</f>
        <v>0.05</v>
      </c>
      <c r="AD110" s="266"/>
      <c r="AE110" s="266">
        <f>IF(Case_Scenario="Bull",AE111,IF(Case_Scenario="Base",AE112,IF(Case_Scenario="bear",AE113,"N/A")))</f>
        <v>0.05</v>
      </c>
      <c r="AF110" s="266">
        <f>IF(Case_Scenario="Bull",AF111,IF(Case_Scenario="Base",AF112,IF(Case_Scenario="bear",AF113,"N/A")))</f>
        <v>0.05</v>
      </c>
      <c r="AG110" s="266">
        <f>IF(Case_Scenario="Bull",AG111,IF(Case_Scenario="Base",AG112,IF(Case_Scenario="bear",AG113,"N/A")))</f>
        <v>0.05</v>
      </c>
    </row>
    <row r="111" spans="1:33" hidden="1" outlineLevel="1">
      <c r="C111" s="276" t="s">
        <v>217</v>
      </c>
      <c r="E111" s="269"/>
      <c r="F111" s="268"/>
      <c r="G111" s="268"/>
      <c r="H111" s="268"/>
      <c r="I111" s="268"/>
      <c r="J111" s="269"/>
      <c r="K111" s="268"/>
      <c r="L111" s="268"/>
      <c r="M111" s="268"/>
      <c r="N111" s="268"/>
      <c r="O111" s="269"/>
      <c r="P111" s="268"/>
      <c r="Q111" s="268"/>
      <c r="R111" s="268"/>
      <c r="S111" s="268"/>
      <c r="T111" s="269"/>
      <c r="U111" s="268"/>
      <c r="V111" s="270">
        <v>0.1</v>
      </c>
      <c r="W111" s="270">
        <v>0.1</v>
      </c>
      <c r="X111" s="270">
        <v>0.1</v>
      </c>
      <c r="Y111" s="271"/>
      <c r="Z111" s="270">
        <v>0.1</v>
      </c>
      <c r="AA111" s="270">
        <v>0.1</v>
      </c>
      <c r="AB111" s="270">
        <v>0.1</v>
      </c>
      <c r="AC111" s="270">
        <v>0.1</v>
      </c>
      <c r="AD111" s="271"/>
      <c r="AE111" s="271">
        <v>0.1</v>
      </c>
      <c r="AF111" s="271">
        <v>0.1</v>
      </c>
      <c r="AG111" s="271">
        <v>0.1</v>
      </c>
    </row>
    <row r="112" spans="1:33" hidden="1" outlineLevel="1">
      <c r="C112" s="276" t="s">
        <v>218</v>
      </c>
      <c r="E112" s="269"/>
      <c r="F112" s="268"/>
      <c r="G112" s="268"/>
      <c r="H112" s="268"/>
      <c r="I112" s="268"/>
      <c r="J112" s="269"/>
      <c r="K112" s="268"/>
      <c r="L112" s="268"/>
      <c r="M112" s="268"/>
      <c r="N112" s="268"/>
      <c r="O112" s="269"/>
      <c r="P112" s="268"/>
      <c r="Q112" s="268"/>
      <c r="R112" s="268"/>
      <c r="S112" s="268"/>
      <c r="T112" s="269"/>
      <c r="U112" s="268"/>
      <c r="V112" s="270">
        <v>0.05</v>
      </c>
      <c r="W112" s="270">
        <v>0.05</v>
      </c>
      <c r="X112" s="270">
        <v>0.05</v>
      </c>
      <c r="Y112" s="271"/>
      <c r="Z112" s="270">
        <v>0.05</v>
      </c>
      <c r="AA112" s="270">
        <v>0.05</v>
      </c>
      <c r="AB112" s="270">
        <v>0.05</v>
      </c>
      <c r="AC112" s="270">
        <v>0.05</v>
      </c>
      <c r="AD112" s="271"/>
      <c r="AE112" s="271">
        <v>0.05</v>
      </c>
      <c r="AF112" s="271">
        <v>0.05</v>
      </c>
      <c r="AG112" s="271">
        <v>0.05</v>
      </c>
    </row>
    <row r="113" spans="1:33" hidden="1" outlineLevel="1">
      <c r="C113" s="276" t="s">
        <v>219</v>
      </c>
      <c r="E113" s="269"/>
      <c r="F113" s="268"/>
      <c r="G113" s="268"/>
      <c r="H113" s="268"/>
      <c r="I113" s="268"/>
      <c r="J113" s="269"/>
      <c r="K113" s="268"/>
      <c r="L113" s="268"/>
      <c r="M113" s="268"/>
      <c r="N113" s="268"/>
      <c r="O113" s="269"/>
      <c r="P113" s="268"/>
      <c r="Q113" s="268"/>
      <c r="R113" s="268"/>
      <c r="S113" s="268"/>
      <c r="T113" s="269"/>
      <c r="U113" s="268"/>
      <c r="V113" s="270">
        <v>0</v>
      </c>
      <c r="W113" s="270">
        <v>0</v>
      </c>
      <c r="X113" s="270">
        <v>0</v>
      </c>
      <c r="Y113" s="271"/>
      <c r="Z113" s="270">
        <v>0</v>
      </c>
      <c r="AA113" s="270">
        <v>0</v>
      </c>
      <c r="AB113" s="270">
        <v>0</v>
      </c>
      <c r="AC113" s="270">
        <v>0</v>
      </c>
      <c r="AD113" s="271"/>
      <c r="AE113" s="271">
        <v>0</v>
      </c>
      <c r="AF113" s="271">
        <v>0</v>
      </c>
      <c r="AG113" s="271">
        <v>0</v>
      </c>
    </row>
    <row r="114" spans="1:33" hidden="1" outlineLevel="1">
      <c r="E114" s="269"/>
      <c r="F114" s="268"/>
      <c r="G114" s="268"/>
      <c r="H114" s="268"/>
      <c r="I114" s="268"/>
      <c r="J114" s="269"/>
      <c r="K114" s="268"/>
      <c r="L114" s="268"/>
      <c r="M114" s="268"/>
      <c r="N114" s="268"/>
      <c r="O114" s="269"/>
      <c r="P114" s="268"/>
      <c r="Q114" s="268"/>
      <c r="R114" s="268"/>
      <c r="S114" s="268"/>
      <c r="T114" s="269"/>
      <c r="U114" s="268"/>
      <c r="V114" s="272"/>
      <c r="W114" s="272"/>
      <c r="X114" s="272"/>
      <c r="Y114" s="269"/>
      <c r="Z114" s="272"/>
      <c r="AA114" s="272"/>
      <c r="AB114" s="272"/>
      <c r="AC114" s="272"/>
      <c r="AD114" s="269"/>
      <c r="AE114" s="269"/>
      <c r="AF114" s="269"/>
      <c r="AG114" s="269"/>
    </row>
    <row r="115" spans="1:33" hidden="1" outlineLevel="1">
      <c r="A115" s="22" t="s">
        <v>1</v>
      </c>
      <c r="C115" s="28" t="str">
        <f>C38</f>
        <v>Segment 3 Revenue</v>
      </c>
      <c r="E115" s="269"/>
      <c r="F115" s="727">
        <f t="shared" ref="F115:T115" si="102">F38</f>
        <v>0</v>
      </c>
      <c r="G115" s="727">
        <f t="shared" si="102"/>
        <v>0</v>
      </c>
      <c r="H115" s="727">
        <f t="shared" si="102"/>
        <v>0</v>
      </c>
      <c r="I115" s="727">
        <f t="shared" si="102"/>
        <v>0</v>
      </c>
      <c r="J115" s="728">
        <f t="shared" si="102"/>
        <v>0</v>
      </c>
      <c r="K115" s="727">
        <f t="shared" si="102"/>
        <v>0</v>
      </c>
      <c r="L115" s="727">
        <f t="shared" si="102"/>
        <v>0</v>
      </c>
      <c r="M115" s="727">
        <f t="shared" si="102"/>
        <v>0</v>
      </c>
      <c r="N115" s="727">
        <f t="shared" si="102"/>
        <v>0</v>
      </c>
      <c r="O115" s="728">
        <f t="shared" si="102"/>
        <v>0</v>
      </c>
      <c r="P115" s="727">
        <f t="shared" si="102"/>
        <v>0</v>
      </c>
      <c r="Q115" s="727">
        <f t="shared" si="102"/>
        <v>0</v>
      </c>
      <c r="R115" s="727">
        <f t="shared" si="102"/>
        <v>0</v>
      </c>
      <c r="S115" s="727">
        <f t="shared" si="102"/>
        <v>0</v>
      </c>
      <c r="T115" s="728">
        <f t="shared" si="102"/>
        <v>0</v>
      </c>
      <c r="U115" s="727">
        <f t="shared" ref="U115" si="103">U38</f>
        <v>0</v>
      </c>
      <c r="V115" s="729">
        <f>V116*V121</f>
        <v>0</v>
      </c>
      <c r="W115" s="729">
        <f>W116*W121</f>
        <v>0</v>
      </c>
      <c r="X115" s="729">
        <f>X116*X121</f>
        <v>0</v>
      </c>
      <c r="Y115" s="728">
        <f>SUM(U115:X115)</f>
        <v>0</v>
      </c>
      <c r="Z115" s="729">
        <f>Z116*Z121</f>
        <v>0</v>
      </c>
      <c r="AA115" s="729">
        <f>AA116*AA121</f>
        <v>0</v>
      </c>
      <c r="AB115" s="729">
        <f>AB116*AB121</f>
        <v>0</v>
      </c>
      <c r="AC115" s="729">
        <f>AC116*AC121</f>
        <v>0</v>
      </c>
      <c r="AD115" s="728">
        <f>SUM(Z115:AC115)</f>
        <v>0</v>
      </c>
      <c r="AE115" s="728">
        <f>AE116*AE121</f>
        <v>0</v>
      </c>
      <c r="AF115" s="728">
        <f>AF116*AF121</f>
        <v>0</v>
      </c>
      <c r="AG115" s="728">
        <f>AG116*AG121</f>
        <v>0</v>
      </c>
    </row>
    <row r="116" spans="1:33" hidden="1" outlineLevel="1">
      <c r="C116" s="124" t="s">
        <v>225</v>
      </c>
      <c r="E116" s="269"/>
      <c r="F116" s="718">
        <v>220</v>
      </c>
      <c r="G116" s="718">
        <v>220</v>
      </c>
      <c r="H116" s="718">
        <v>220</v>
      </c>
      <c r="I116" s="718">
        <v>220</v>
      </c>
      <c r="J116" s="745">
        <f>SUM(F116:I116)</f>
        <v>880</v>
      </c>
      <c r="K116" s="718">
        <v>220</v>
      </c>
      <c r="L116" s="718">
        <v>220</v>
      </c>
      <c r="M116" s="718">
        <v>220</v>
      </c>
      <c r="N116" s="718">
        <v>220</v>
      </c>
      <c r="O116" s="745">
        <f>SUM(K116:N116)</f>
        <v>880</v>
      </c>
      <c r="P116" s="718">
        <v>220</v>
      </c>
      <c r="Q116" s="718">
        <v>220</v>
      </c>
      <c r="R116" s="718">
        <v>220</v>
      </c>
      <c r="S116" s="718">
        <v>220</v>
      </c>
      <c r="T116" s="745">
        <f>SUM(P116:S116)</f>
        <v>880</v>
      </c>
      <c r="U116" s="718">
        <v>220</v>
      </c>
      <c r="V116" s="746">
        <f>U116*(1+V117)</f>
        <v>231</v>
      </c>
      <c r="W116" s="746">
        <f>V116*(1+W117)</f>
        <v>242.55</v>
      </c>
      <c r="X116" s="746">
        <f>W116*(1+X117)</f>
        <v>254.67750000000001</v>
      </c>
      <c r="Y116" s="747">
        <f>SUM(U116:X116)</f>
        <v>948.22749999999996</v>
      </c>
      <c r="Z116" s="746">
        <f>X116*(1+Z117)</f>
        <v>267.41137500000002</v>
      </c>
      <c r="AA116" s="746">
        <f>Z116*(1+AA117)</f>
        <v>280.78194375000004</v>
      </c>
      <c r="AB116" s="746">
        <f>AA116*(1+AB117)</f>
        <v>294.82104093750007</v>
      </c>
      <c r="AC116" s="746">
        <f>AB116*(1+AC117)</f>
        <v>309.56209298437511</v>
      </c>
      <c r="AD116" s="747">
        <f>SUM(Z116:AC116)</f>
        <v>1152.5764526718754</v>
      </c>
      <c r="AE116" s="747">
        <f>AD116*(1+AE117)</f>
        <v>1210.2052753054693</v>
      </c>
      <c r="AF116" s="747">
        <f>AE116*(1+AF117)</f>
        <v>1270.7155390707428</v>
      </c>
      <c r="AG116" s="747">
        <f>AF116*(1+AG117)</f>
        <v>1334.25131602428</v>
      </c>
    </row>
    <row r="117" spans="1:33" hidden="1" outlineLevel="1">
      <c r="C117" s="275" t="s">
        <v>228</v>
      </c>
      <c r="E117" s="269"/>
      <c r="F117" s="268"/>
      <c r="G117" s="265">
        <f>IFERROR(G116/F116-1,"--")</f>
        <v>0</v>
      </c>
      <c r="H117" s="265">
        <f>IFERROR(H116/G116-1,"--")</f>
        <v>0</v>
      </c>
      <c r="I117" s="265">
        <f>IFERROR(I116/H116-1,"--")</f>
        <v>0</v>
      </c>
      <c r="J117" s="269"/>
      <c r="K117" s="265">
        <f>IFERROR(K116/I116-1,"--")</f>
        <v>0</v>
      </c>
      <c r="L117" s="265">
        <f>IFERROR(L116/K116-1,"--")</f>
        <v>0</v>
      </c>
      <c r="M117" s="265">
        <f>IFERROR(M116/L116-1,"--")</f>
        <v>0</v>
      </c>
      <c r="N117" s="265">
        <f>IFERROR(N116/M116-1,"--")</f>
        <v>0</v>
      </c>
      <c r="O117" s="266">
        <f>IFERROR(O116/J116-1,"--")</f>
        <v>0</v>
      </c>
      <c r="P117" s="265">
        <f>IFERROR(P116/N116-1,"--")</f>
        <v>0</v>
      </c>
      <c r="Q117" s="265">
        <f>IFERROR(Q116/P116-1,"--")</f>
        <v>0</v>
      </c>
      <c r="R117" s="265">
        <f>IFERROR(R116/Q116-1,"--")</f>
        <v>0</v>
      </c>
      <c r="S117" s="265">
        <f>IFERROR(S116/R116-1,"--")</f>
        <v>0</v>
      </c>
      <c r="T117" s="266">
        <f>IFERROR(T116/O116-1,"--")</f>
        <v>0</v>
      </c>
      <c r="U117" s="265">
        <f>IFERROR(U116/S116-1,"--")</f>
        <v>0</v>
      </c>
      <c r="V117" s="267">
        <f>IF(Case_Scenario="Bull",V118,IF(Case_Scenario="Base",V119,IF(Case_Scenario="bear",V120,"N/A")))</f>
        <v>0.05</v>
      </c>
      <c r="W117" s="267">
        <f>IF(Case_Scenario="Bull",W118,IF(Case_Scenario="Base",W119,IF(Case_Scenario="bear",W120,"N/A")))</f>
        <v>0.05</v>
      </c>
      <c r="X117" s="267">
        <f>IF(Case_Scenario="Bull",X118,IF(Case_Scenario="Base",X119,IF(Case_Scenario="bear",X120,"N/A")))</f>
        <v>0.05</v>
      </c>
      <c r="Y117" s="266"/>
      <c r="Z117" s="267">
        <f>IF(Case_Scenario="Bull",Z118,IF(Case_Scenario="Base",Z119,IF(Case_Scenario="bear",Z120,"N/A")))</f>
        <v>0.05</v>
      </c>
      <c r="AA117" s="267">
        <f>IF(Case_Scenario="Bull",AA118,IF(Case_Scenario="Base",AA119,IF(Case_Scenario="bear",AA120,"N/A")))</f>
        <v>0.05</v>
      </c>
      <c r="AB117" s="267">
        <f>IF(Case_Scenario="Bull",AB118,IF(Case_Scenario="Base",AB119,IF(Case_Scenario="bear",AB120,"N/A")))</f>
        <v>0.05</v>
      </c>
      <c r="AC117" s="267">
        <f>IF(Case_Scenario="Bull",AC118,IF(Case_Scenario="Base",AC119,IF(Case_Scenario="bear",AC120,"N/A")))</f>
        <v>0.05</v>
      </c>
      <c r="AD117" s="266"/>
      <c r="AE117" s="266">
        <f>IF(Case_Scenario="Bull",AE118,IF(Case_Scenario="Base",AE119,IF(Case_Scenario="bear",AE120,"N/A")))</f>
        <v>0.05</v>
      </c>
      <c r="AF117" s="266">
        <f>IF(Case_Scenario="Bull",AF118,IF(Case_Scenario="Base",AF119,IF(Case_Scenario="bear",AF120,"N/A")))</f>
        <v>0.05</v>
      </c>
      <c r="AG117" s="266">
        <f>IF(Case_Scenario="Bull",AG118,IF(Case_Scenario="Base",AG119,IF(Case_Scenario="bear",AG120,"N/A")))</f>
        <v>0.05</v>
      </c>
    </row>
    <row r="118" spans="1:33" hidden="1" outlineLevel="1">
      <c r="C118" s="276" t="s">
        <v>217</v>
      </c>
      <c r="E118" s="269"/>
      <c r="F118" s="268"/>
      <c r="G118" s="268"/>
      <c r="H118" s="268"/>
      <c r="I118" s="268"/>
      <c r="J118" s="269"/>
      <c r="K118" s="268"/>
      <c r="L118" s="268"/>
      <c r="M118" s="268"/>
      <c r="N118" s="268"/>
      <c r="O118" s="269"/>
      <c r="P118" s="268"/>
      <c r="Q118" s="268"/>
      <c r="R118" s="268"/>
      <c r="S118" s="268"/>
      <c r="T118" s="269"/>
      <c r="U118" s="268"/>
      <c r="V118" s="270">
        <v>0.1</v>
      </c>
      <c r="W118" s="270">
        <v>0.1</v>
      </c>
      <c r="X118" s="270">
        <v>0.1</v>
      </c>
      <c r="Y118" s="271"/>
      <c r="Z118" s="270">
        <v>0.1</v>
      </c>
      <c r="AA118" s="270">
        <v>0.1</v>
      </c>
      <c r="AB118" s="270">
        <v>0.1</v>
      </c>
      <c r="AC118" s="270">
        <v>0.1</v>
      </c>
      <c r="AD118" s="271"/>
      <c r="AE118" s="271">
        <v>0.1</v>
      </c>
      <c r="AF118" s="271">
        <v>0.1</v>
      </c>
      <c r="AG118" s="271">
        <v>0.1</v>
      </c>
    </row>
    <row r="119" spans="1:33" hidden="1" outlineLevel="1">
      <c r="C119" s="276" t="s">
        <v>218</v>
      </c>
      <c r="E119" s="269"/>
      <c r="F119" s="268"/>
      <c r="G119" s="268"/>
      <c r="H119" s="268"/>
      <c r="I119" s="268"/>
      <c r="J119" s="269"/>
      <c r="K119" s="268"/>
      <c r="L119" s="268"/>
      <c r="M119" s="268"/>
      <c r="N119" s="268"/>
      <c r="O119" s="269"/>
      <c r="P119" s="268"/>
      <c r="Q119" s="268"/>
      <c r="R119" s="268"/>
      <c r="S119" s="268"/>
      <c r="T119" s="269"/>
      <c r="U119" s="268"/>
      <c r="V119" s="270">
        <v>0.05</v>
      </c>
      <c r="W119" s="270">
        <v>0.05</v>
      </c>
      <c r="X119" s="270">
        <v>0.05</v>
      </c>
      <c r="Y119" s="271"/>
      <c r="Z119" s="270">
        <v>0.05</v>
      </c>
      <c r="AA119" s="270">
        <v>0.05</v>
      </c>
      <c r="AB119" s="270">
        <v>0.05</v>
      </c>
      <c r="AC119" s="270">
        <v>0.05</v>
      </c>
      <c r="AD119" s="271"/>
      <c r="AE119" s="271">
        <v>0.05</v>
      </c>
      <c r="AF119" s="271">
        <v>0.05</v>
      </c>
      <c r="AG119" s="271">
        <v>0.05</v>
      </c>
    </row>
    <row r="120" spans="1:33" hidden="1" outlineLevel="1">
      <c r="C120" s="276" t="s">
        <v>219</v>
      </c>
      <c r="E120" s="269"/>
      <c r="F120" s="268"/>
      <c r="G120" s="268"/>
      <c r="H120" s="268"/>
      <c r="I120" s="268"/>
      <c r="J120" s="269"/>
      <c r="K120" s="268"/>
      <c r="L120" s="268"/>
      <c r="M120" s="268"/>
      <c r="N120" s="268"/>
      <c r="O120" s="269"/>
      <c r="P120" s="268"/>
      <c r="Q120" s="268"/>
      <c r="R120" s="268"/>
      <c r="S120" s="268"/>
      <c r="T120" s="269"/>
      <c r="U120" s="268"/>
      <c r="V120" s="270">
        <v>0</v>
      </c>
      <c r="W120" s="270">
        <v>0</v>
      </c>
      <c r="X120" s="270">
        <v>0</v>
      </c>
      <c r="Y120" s="271"/>
      <c r="Z120" s="270">
        <v>0</v>
      </c>
      <c r="AA120" s="270">
        <v>0</v>
      </c>
      <c r="AB120" s="270">
        <v>0</v>
      </c>
      <c r="AC120" s="270">
        <v>0</v>
      </c>
      <c r="AD120" s="271"/>
      <c r="AE120" s="271">
        <v>0</v>
      </c>
      <c r="AF120" s="271">
        <v>0</v>
      </c>
      <c r="AG120" s="271">
        <v>0</v>
      </c>
    </row>
    <row r="121" spans="1:33" hidden="1" outlineLevel="1">
      <c r="C121" s="124" t="s">
        <v>226</v>
      </c>
      <c r="E121" s="269"/>
      <c r="F121" s="727">
        <f>IFERROR(F115/F116,"--")</f>
        <v>0</v>
      </c>
      <c r="G121" s="727">
        <f t="shared" ref="G121:T121" si="104">IFERROR(G115/G116,"--")</f>
        <v>0</v>
      </c>
      <c r="H121" s="727">
        <f t="shared" si="104"/>
        <v>0</v>
      </c>
      <c r="I121" s="727">
        <f t="shared" si="104"/>
        <v>0</v>
      </c>
      <c r="J121" s="728">
        <f t="shared" si="104"/>
        <v>0</v>
      </c>
      <c r="K121" s="727">
        <f t="shared" si="104"/>
        <v>0</v>
      </c>
      <c r="L121" s="727">
        <f t="shared" si="104"/>
        <v>0</v>
      </c>
      <c r="M121" s="727">
        <f t="shared" si="104"/>
        <v>0</v>
      </c>
      <c r="N121" s="727">
        <f t="shared" si="104"/>
        <v>0</v>
      </c>
      <c r="O121" s="728">
        <f t="shared" si="104"/>
        <v>0</v>
      </c>
      <c r="P121" s="727">
        <f t="shared" si="104"/>
        <v>0</v>
      </c>
      <c r="Q121" s="727">
        <f t="shared" si="104"/>
        <v>0</v>
      </c>
      <c r="R121" s="727">
        <f t="shared" si="104"/>
        <v>0</v>
      </c>
      <c r="S121" s="727">
        <f t="shared" si="104"/>
        <v>0</v>
      </c>
      <c r="T121" s="728">
        <f t="shared" si="104"/>
        <v>0</v>
      </c>
      <c r="U121" s="727">
        <f t="shared" ref="U121" si="105">IFERROR(U115/U116,"--")</f>
        <v>0</v>
      </c>
      <c r="V121" s="729">
        <f>U121*(1+V122)</f>
        <v>0</v>
      </c>
      <c r="W121" s="729">
        <f>V121*(1+W122)</f>
        <v>0</v>
      </c>
      <c r="X121" s="729">
        <f>W121*(1+X122)</f>
        <v>0</v>
      </c>
      <c r="Y121" s="728">
        <f>Y115/Y116</f>
        <v>0</v>
      </c>
      <c r="Z121" s="729">
        <f>X121*(1+Z122)</f>
        <v>0</v>
      </c>
      <c r="AA121" s="729">
        <f>Z121*(1+AA122)</f>
        <v>0</v>
      </c>
      <c r="AB121" s="729">
        <f>AA121*(1+AB122)</f>
        <v>0</v>
      </c>
      <c r="AC121" s="729">
        <f>AB121*(1+AC122)</f>
        <v>0</v>
      </c>
      <c r="AD121" s="728">
        <f>AD115/AD116</f>
        <v>0</v>
      </c>
      <c r="AE121" s="728">
        <f>AD121*(1+AE122)</f>
        <v>0</v>
      </c>
      <c r="AF121" s="728">
        <f>AE121*(1+AF122)</f>
        <v>0</v>
      </c>
      <c r="AG121" s="728">
        <f>AF121*(1+AG122)</f>
        <v>0</v>
      </c>
    </row>
    <row r="122" spans="1:33" hidden="1" outlineLevel="1">
      <c r="C122" s="275" t="s">
        <v>227</v>
      </c>
      <c r="E122" s="269"/>
      <c r="F122" s="268"/>
      <c r="G122" s="265" t="str">
        <f>IFERROR(G121/F121-1,"--")</f>
        <v>--</v>
      </c>
      <c r="H122" s="265" t="str">
        <f>IFERROR(H121/G121-1,"--")</f>
        <v>--</v>
      </c>
      <c r="I122" s="265" t="str">
        <f>IFERROR(I121/H121-1,"--")</f>
        <v>--</v>
      </c>
      <c r="J122" s="269"/>
      <c r="K122" s="265" t="str">
        <f>IFERROR(K121/I121-1,"--")</f>
        <v>--</v>
      </c>
      <c r="L122" s="265" t="str">
        <f>IFERROR(L121/K121-1,"--")</f>
        <v>--</v>
      </c>
      <c r="M122" s="265" t="str">
        <f>IFERROR(M121/L121-1,"--")</f>
        <v>--</v>
      </c>
      <c r="N122" s="265" t="str">
        <f>IFERROR(N121/M121-1,"--")</f>
        <v>--</v>
      </c>
      <c r="O122" s="266" t="str">
        <f>IFERROR(O121/J121-1,"--")</f>
        <v>--</v>
      </c>
      <c r="P122" s="265" t="str">
        <f>IFERROR(P121/N121-1,"--")</f>
        <v>--</v>
      </c>
      <c r="Q122" s="265" t="str">
        <f>IFERROR(Q121/P121-1,"--")</f>
        <v>--</v>
      </c>
      <c r="R122" s="265" t="str">
        <f>IFERROR(R121/Q121-1,"--")</f>
        <v>--</v>
      </c>
      <c r="S122" s="265" t="str">
        <f>IFERROR(S121/R121-1,"--")</f>
        <v>--</v>
      </c>
      <c r="T122" s="266" t="str">
        <f>IFERROR(T121/O121-1,"--")</f>
        <v>--</v>
      </c>
      <c r="U122" s="265" t="str">
        <f>IFERROR(U121/S121-1,"--")</f>
        <v>--</v>
      </c>
      <c r="V122" s="267">
        <f>IF(Case_Scenario="Bull",V123,IF(Case_Scenario="Base",V124,IF(Case_Scenario="bear",V125,"N/A")))</f>
        <v>0.05</v>
      </c>
      <c r="W122" s="267">
        <f>IF(Case_Scenario="Bull",W123,IF(Case_Scenario="Base",W124,IF(Case_Scenario="bear",W125,"N/A")))</f>
        <v>0.05</v>
      </c>
      <c r="X122" s="267">
        <f>IF(Case_Scenario="Bull",X123,IF(Case_Scenario="Base",X124,IF(Case_Scenario="bear",X125,"N/A")))</f>
        <v>0.05</v>
      </c>
      <c r="Y122" s="266"/>
      <c r="Z122" s="267">
        <f>IF(Case_Scenario="Bull",Z123,IF(Case_Scenario="Base",Z124,IF(Case_Scenario="bear",Z125,"N/A")))</f>
        <v>0.05</v>
      </c>
      <c r="AA122" s="267">
        <f>IF(Case_Scenario="Bull",AA123,IF(Case_Scenario="Base",AA124,IF(Case_Scenario="bear",AA125,"N/A")))</f>
        <v>0.05</v>
      </c>
      <c r="AB122" s="267">
        <f>IF(Case_Scenario="Bull",AB123,IF(Case_Scenario="Base",AB124,IF(Case_Scenario="bear",AB125,"N/A")))</f>
        <v>0.05</v>
      </c>
      <c r="AC122" s="267">
        <f>IF(Case_Scenario="Bull",AC123,IF(Case_Scenario="Base",AC124,IF(Case_Scenario="bear",AC125,"N/A")))</f>
        <v>0.05</v>
      </c>
      <c r="AD122" s="266"/>
      <c r="AE122" s="266">
        <f>IF(Case_Scenario="Bull",AE123,IF(Case_Scenario="Base",AE124,IF(Case_Scenario="bear",AE125,"N/A")))</f>
        <v>0.05</v>
      </c>
      <c r="AF122" s="266">
        <f>IF(Case_Scenario="Bull",AF123,IF(Case_Scenario="Base",AF124,IF(Case_Scenario="bear",AF125,"N/A")))</f>
        <v>0.05</v>
      </c>
      <c r="AG122" s="266">
        <f>IF(Case_Scenario="Bull",AG123,IF(Case_Scenario="Base",AG124,IF(Case_Scenario="bear",AG125,"N/A")))</f>
        <v>0.05</v>
      </c>
    </row>
    <row r="123" spans="1:33" hidden="1" outlineLevel="1">
      <c r="C123" s="276" t="s">
        <v>217</v>
      </c>
      <c r="E123" s="269"/>
      <c r="F123" s="268"/>
      <c r="G123" s="268"/>
      <c r="H123" s="268"/>
      <c r="I123" s="268"/>
      <c r="J123" s="269"/>
      <c r="K123" s="268"/>
      <c r="L123" s="268"/>
      <c r="M123" s="268"/>
      <c r="N123" s="268"/>
      <c r="O123" s="269"/>
      <c r="P123" s="268"/>
      <c r="Q123" s="268"/>
      <c r="R123" s="268"/>
      <c r="S123" s="268"/>
      <c r="T123" s="269"/>
      <c r="U123" s="268"/>
      <c r="V123" s="270">
        <v>0.1</v>
      </c>
      <c r="W123" s="270">
        <v>0.1</v>
      </c>
      <c r="X123" s="270">
        <v>0.1</v>
      </c>
      <c r="Y123" s="271"/>
      <c r="Z123" s="270">
        <v>0.1</v>
      </c>
      <c r="AA123" s="270">
        <v>0.1</v>
      </c>
      <c r="AB123" s="270">
        <v>0.1</v>
      </c>
      <c r="AC123" s="270">
        <v>0.1</v>
      </c>
      <c r="AD123" s="271"/>
      <c r="AE123" s="271">
        <v>0.1</v>
      </c>
      <c r="AF123" s="271">
        <v>0.1</v>
      </c>
      <c r="AG123" s="271">
        <v>0.1</v>
      </c>
    </row>
    <row r="124" spans="1:33" hidden="1" outlineLevel="1">
      <c r="C124" s="276" t="s">
        <v>218</v>
      </c>
      <c r="E124" s="269"/>
      <c r="F124" s="268"/>
      <c r="G124" s="268"/>
      <c r="H124" s="268"/>
      <c r="I124" s="268"/>
      <c r="J124" s="269"/>
      <c r="K124" s="268"/>
      <c r="L124" s="268"/>
      <c r="M124" s="268"/>
      <c r="N124" s="268"/>
      <c r="O124" s="269"/>
      <c r="P124" s="268"/>
      <c r="Q124" s="268"/>
      <c r="R124" s="268"/>
      <c r="S124" s="268"/>
      <c r="T124" s="269"/>
      <c r="U124" s="268"/>
      <c r="V124" s="270">
        <v>0.05</v>
      </c>
      <c r="W124" s="270">
        <v>0.05</v>
      </c>
      <c r="X124" s="270">
        <v>0.05</v>
      </c>
      <c r="Y124" s="271"/>
      <c r="Z124" s="270">
        <v>0.05</v>
      </c>
      <c r="AA124" s="270">
        <v>0.05</v>
      </c>
      <c r="AB124" s="270">
        <v>0.05</v>
      </c>
      <c r="AC124" s="270">
        <v>0.05</v>
      </c>
      <c r="AD124" s="271"/>
      <c r="AE124" s="271">
        <v>0.05</v>
      </c>
      <c r="AF124" s="271">
        <v>0.05</v>
      </c>
      <c r="AG124" s="271">
        <v>0.05</v>
      </c>
    </row>
    <row r="125" spans="1:33" hidden="1" outlineLevel="1">
      <c r="C125" s="276" t="s">
        <v>219</v>
      </c>
      <c r="E125" s="269"/>
      <c r="F125" s="268"/>
      <c r="G125" s="268"/>
      <c r="H125" s="268"/>
      <c r="I125" s="268"/>
      <c r="J125" s="269"/>
      <c r="K125" s="268"/>
      <c r="L125" s="268"/>
      <c r="M125" s="268"/>
      <c r="N125" s="268"/>
      <c r="O125" s="269"/>
      <c r="P125" s="268"/>
      <c r="Q125" s="268"/>
      <c r="R125" s="268"/>
      <c r="S125" s="268"/>
      <c r="T125" s="269"/>
      <c r="U125" s="268"/>
      <c r="V125" s="270">
        <v>0</v>
      </c>
      <c r="W125" s="270">
        <v>0</v>
      </c>
      <c r="X125" s="270">
        <v>0</v>
      </c>
      <c r="Y125" s="271"/>
      <c r="Z125" s="270">
        <v>0</v>
      </c>
      <c r="AA125" s="270">
        <v>0</v>
      </c>
      <c r="AB125" s="270">
        <v>0</v>
      </c>
      <c r="AC125" s="270">
        <v>0</v>
      </c>
      <c r="AD125" s="271"/>
      <c r="AE125" s="271">
        <v>0</v>
      </c>
      <c r="AF125" s="271">
        <v>0</v>
      </c>
      <c r="AG125" s="271">
        <v>0</v>
      </c>
    </row>
    <row r="126" spans="1:33" hidden="1" outlineLevel="1">
      <c r="C126" s="28"/>
      <c r="E126" s="269"/>
      <c r="F126" s="268"/>
      <c r="G126" s="268"/>
      <c r="H126" s="268"/>
      <c r="I126" s="268"/>
      <c r="J126" s="269"/>
      <c r="K126" s="268"/>
      <c r="L126" s="268"/>
      <c r="M126" s="268"/>
      <c r="N126" s="268"/>
      <c r="O126" s="269"/>
      <c r="P126" s="268"/>
      <c r="Q126" s="268"/>
      <c r="R126" s="268"/>
      <c r="S126" s="268"/>
      <c r="T126" s="269"/>
      <c r="U126" s="268"/>
      <c r="V126" s="272"/>
      <c r="W126" s="272"/>
      <c r="X126" s="272"/>
      <c r="Y126" s="269"/>
      <c r="Z126" s="272"/>
      <c r="AA126" s="272"/>
      <c r="AB126" s="272"/>
      <c r="AC126" s="272"/>
      <c r="AD126" s="269"/>
      <c r="AE126" s="269"/>
      <c r="AF126" s="269"/>
      <c r="AG126" s="269"/>
    </row>
    <row r="127" spans="1:33" hidden="1" outlineLevel="1">
      <c r="A127" s="22" t="s">
        <v>1</v>
      </c>
      <c r="C127" s="28" t="str">
        <f>C41</f>
        <v>Segment 4 Revenue</v>
      </c>
      <c r="E127" s="269"/>
      <c r="F127" s="727">
        <f t="shared" ref="F127:T127" si="106">F41</f>
        <v>0</v>
      </c>
      <c r="G127" s="727">
        <f t="shared" si="106"/>
        <v>0</v>
      </c>
      <c r="H127" s="727">
        <f t="shared" si="106"/>
        <v>0</v>
      </c>
      <c r="I127" s="727">
        <f t="shared" si="106"/>
        <v>0</v>
      </c>
      <c r="J127" s="728">
        <f t="shared" si="106"/>
        <v>0</v>
      </c>
      <c r="K127" s="727">
        <f t="shared" si="106"/>
        <v>0</v>
      </c>
      <c r="L127" s="727">
        <f t="shared" si="106"/>
        <v>0</v>
      </c>
      <c r="M127" s="727">
        <f t="shared" si="106"/>
        <v>0</v>
      </c>
      <c r="N127" s="727">
        <f t="shared" si="106"/>
        <v>0</v>
      </c>
      <c r="O127" s="728">
        <f t="shared" si="106"/>
        <v>0</v>
      </c>
      <c r="P127" s="727">
        <f t="shared" si="106"/>
        <v>0</v>
      </c>
      <c r="Q127" s="727">
        <f t="shared" si="106"/>
        <v>0</v>
      </c>
      <c r="R127" s="727">
        <f t="shared" si="106"/>
        <v>0</v>
      </c>
      <c r="S127" s="727">
        <f t="shared" si="106"/>
        <v>0</v>
      </c>
      <c r="T127" s="728">
        <f t="shared" si="106"/>
        <v>0</v>
      </c>
      <c r="U127" s="727">
        <f t="shared" ref="U127" si="107">U41</f>
        <v>0</v>
      </c>
      <c r="V127" s="729">
        <f>V128*V133</f>
        <v>0</v>
      </c>
      <c r="W127" s="729">
        <f>W128*W133</f>
        <v>0</v>
      </c>
      <c r="X127" s="729">
        <f>X128*X133</f>
        <v>0</v>
      </c>
      <c r="Y127" s="728">
        <f>SUM(U127:X127)</f>
        <v>0</v>
      </c>
      <c r="Z127" s="729">
        <f>Z128*Z133</f>
        <v>0</v>
      </c>
      <c r="AA127" s="729">
        <f>AA128*AA133</f>
        <v>0</v>
      </c>
      <c r="AB127" s="729">
        <f>AB128*AB133</f>
        <v>0</v>
      </c>
      <c r="AC127" s="729">
        <f>AC128*AC133</f>
        <v>0</v>
      </c>
      <c r="AD127" s="728">
        <f>SUM(Z127:AC127)</f>
        <v>0</v>
      </c>
      <c r="AE127" s="728">
        <f>AE128*AE133</f>
        <v>0</v>
      </c>
      <c r="AF127" s="728">
        <f>AF128*AF133</f>
        <v>0</v>
      </c>
      <c r="AG127" s="728">
        <f>AG128*AG133</f>
        <v>0</v>
      </c>
    </row>
    <row r="128" spans="1:33" hidden="1" outlineLevel="1">
      <c r="C128" s="124" t="s">
        <v>225</v>
      </c>
      <c r="E128" s="269"/>
      <c r="F128" s="718">
        <v>220</v>
      </c>
      <c r="G128" s="718">
        <v>220</v>
      </c>
      <c r="H128" s="718">
        <v>220</v>
      </c>
      <c r="I128" s="718">
        <v>220</v>
      </c>
      <c r="J128" s="745">
        <f>SUM(F128:I128)</f>
        <v>880</v>
      </c>
      <c r="K128" s="718">
        <v>220</v>
      </c>
      <c r="L128" s="718">
        <v>220</v>
      </c>
      <c r="M128" s="718">
        <v>220</v>
      </c>
      <c r="N128" s="718">
        <v>220</v>
      </c>
      <c r="O128" s="745">
        <f>SUM(K128:N128)</f>
        <v>880</v>
      </c>
      <c r="P128" s="718">
        <v>220</v>
      </c>
      <c r="Q128" s="718">
        <v>220</v>
      </c>
      <c r="R128" s="718">
        <v>220</v>
      </c>
      <c r="S128" s="718">
        <v>220</v>
      </c>
      <c r="T128" s="745">
        <f>SUM(P128:S128)</f>
        <v>880</v>
      </c>
      <c r="U128" s="718">
        <v>220</v>
      </c>
      <c r="V128" s="746">
        <f>U128*(1+V129)</f>
        <v>231</v>
      </c>
      <c r="W128" s="746">
        <f>V128*(1+W129)</f>
        <v>242.55</v>
      </c>
      <c r="X128" s="746">
        <f>W128*(1+X129)</f>
        <v>254.67750000000001</v>
      </c>
      <c r="Y128" s="747">
        <f>SUM(U128:X128)</f>
        <v>948.22749999999996</v>
      </c>
      <c r="Z128" s="746">
        <f>X128*(1+Z129)</f>
        <v>267.41137500000002</v>
      </c>
      <c r="AA128" s="746">
        <f>Z128*(1+AA129)</f>
        <v>280.78194375000004</v>
      </c>
      <c r="AB128" s="746">
        <f>AA128*(1+AB129)</f>
        <v>294.82104093750007</v>
      </c>
      <c r="AC128" s="746">
        <f>AB128*(1+AC129)</f>
        <v>309.56209298437511</v>
      </c>
      <c r="AD128" s="747">
        <f>SUM(Z128:AC128)</f>
        <v>1152.5764526718754</v>
      </c>
      <c r="AE128" s="747">
        <f>AD128*(1+AE129)</f>
        <v>1210.2052753054693</v>
      </c>
      <c r="AF128" s="747">
        <f>AE128*(1+AF129)</f>
        <v>1270.7155390707428</v>
      </c>
      <c r="AG128" s="747">
        <f>AF128*(1+AG129)</f>
        <v>1334.25131602428</v>
      </c>
    </row>
    <row r="129" spans="1:33" hidden="1" outlineLevel="1">
      <c r="C129" s="275" t="s">
        <v>228</v>
      </c>
      <c r="E129" s="269"/>
      <c r="F129" s="268"/>
      <c r="G129" s="265">
        <f>IFERROR(G128/F128-1,"--")</f>
        <v>0</v>
      </c>
      <c r="H129" s="265">
        <f>IFERROR(H128/G128-1,"--")</f>
        <v>0</v>
      </c>
      <c r="I129" s="265">
        <f>IFERROR(I128/H128-1,"--")</f>
        <v>0</v>
      </c>
      <c r="J129" s="269"/>
      <c r="K129" s="265">
        <f>IFERROR(K128/I128-1,"--")</f>
        <v>0</v>
      </c>
      <c r="L129" s="265">
        <f>IFERROR(L128/K128-1,"--")</f>
        <v>0</v>
      </c>
      <c r="M129" s="265">
        <f>IFERROR(M128/L128-1,"--")</f>
        <v>0</v>
      </c>
      <c r="N129" s="265">
        <f>IFERROR(N128/M128-1,"--")</f>
        <v>0</v>
      </c>
      <c r="O129" s="266">
        <f>IFERROR(O128/J128-1,"--")</f>
        <v>0</v>
      </c>
      <c r="P129" s="265">
        <f>IFERROR(P128/N128-1,"--")</f>
        <v>0</v>
      </c>
      <c r="Q129" s="265">
        <f>IFERROR(Q128/P128-1,"--")</f>
        <v>0</v>
      </c>
      <c r="R129" s="265">
        <f>IFERROR(R128/Q128-1,"--")</f>
        <v>0</v>
      </c>
      <c r="S129" s="265">
        <f>IFERROR(S128/R128-1,"--")</f>
        <v>0</v>
      </c>
      <c r="T129" s="266">
        <f>IFERROR(T128/O128-1,"--")</f>
        <v>0</v>
      </c>
      <c r="U129" s="265">
        <f>IFERROR(U128/S128-1,"--")</f>
        <v>0</v>
      </c>
      <c r="V129" s="267">
        <f>IF(Case_Scenario="Bull",V130,IF(Case_Scenario="Base",V131,IF(Case_Scenario="bear",V132,"N/A")))</f>
        <v>0.05</v>
      </c>
      <c r="W129" s="267">
        <f>IF(Case_Scenario="Bull",W130,IF(Case_Scenario="Base",W131,IF(Case_Scenario="bear",W132,"N/A")))</f>
        <v>0.05</v>
      </c>
      <c r="X129" s="267">
        <f>IF(Case_Scenario="Bull",X130,IF(Case_Scenario="Base",X131,IF(Case_Scenario="bear",X132,"N/A")))</f>
        <v>0.05</v>
      </c>
      <c r="Y129" s="266"/>
      <c r="Z129" s="267">
        <f>IF(Case_Scenario="Bull",Z130,IF(Case_Scenario="Base",Z131,IF(Case_Scenario="bear",Z132,"N/A")))</f>
        <v>0.05</v>
      </c>
      <c r="AA129" s="267">
        <f>IF(Case_Scenario="Bull",AA130,IF(Case_Scenario="Base",AA131,IF(Case_Scenario="bear",AA132,"N/A")))</f>
        <v>0.05</v>
      </c>
      <c r="AB129" s="267">
        <f>IF(Case_Scenario="Bull",AB130,IF(Case_Scenario="Base",AB131,IF(Case_Scenario="bear",AB132,"N/A")))</f>
        <v>0.05</v>
      </c>
      <c r="AC129" s="267">
        <f>IF(Case_Scenario="Bull",AC130,IF(Case_Scenario="Base",AC131,IF(Case_Scenario="bear",AC132,"N/A")))</f>
        <v>0.05</v>
      </c>
      <c r="AD129" s="266"/>
      <c r="AE129" s="266">
        <f>IF(Case_Scenario="Bull",AE130,IF(Case_Scenario="Base",AE131,IF(Case_Scenario="bear",AE132,"N/A")))</f>
        <v>0.05</v>
      </c>
      <c r="AF129" s="266">
        <f>IF(Case_Scenario="Bull",AF130,IF(Case_Scenario="Base",AF131,IF(Case_Scenario="bear",AF132,"N/A")))</f>
        <v>0.05</v>
      </c>
      <c r="AG129" s="266">
        <f>IF(Case_Scenario="Bull",AG130,IF(Case_Scenario="Base",AG131,IF(Case_Scenario="bear",AG132,"N/A")))</f>
        <v>0.05</v>
      </c>
    </row>
    <row r="130" spans="1:33" hidden="1" outlineLevel="1">
      <c r="C130" s="276" t="s">
        <v>217</v>
      </c>
      <c r="E130" s="269"/>
      <c r="F130" s="268"/>
      <c r="G130" s="268"/>
      <c r="H130" s="268"/>
      <c r="I130" s="268"/>
      <c r="J130" s="269"/>
      <c r="K130" s="268"/>
      <c r="L130" s="268"/>
      <c r="M130" s="268"/>
      <c r="N130" s="268"/>
      <c r="O130" s="269"/>
      <c r="P130" s="268"/>
      <c r="Q130" s="268"/>
      <c r="R130" s="268"/>
      <c r="S130" s="268"/>
      <c r="T130" s="269"/>
      <c r="U130" s="268"/>
      <c r="V130" s="270">
        <v>0.1</v>
      </c>
      <c r="W130" s="270">
        <v>0.1</v>
      </c>
      <c r="X130" s="270">
        <v>0.1</v>
      </c>
      <c r="Y130" s="271"/>
      <c r="Z130" s="270">
        <v>0.1</v>
      </c>
      <c r="AA130" s="270">
        <v>0.1</v>
      </c>
      <c r="AB130" s="270">
        <v>0.1</v>
      </c>
      <c r="AC130" s="270">
        <v>0.1</v>
      </c>
      <c r="AD130" s="271"/>
      <c r="AE130" s="271">
        <v>0.1</v>
      </c>
      <c r="AF130" s="271">
        <v>0.1</v>
      </c>
      <c r="AG130" s="271">
        <v>0.1</v>
      </c>
    </row>
    <row r="131" spans="1:33" hidden="1" outlineLevel="1">
      <c r="C131" s="276" t="s">
        <v>218</v>
      </c>
      <c r="E131" s="269"/>
      <c r="F131" s="268"/>
      <c r="G131" s="268"/>
      <c r="H131" s="268"/>
      <c r="I131" s="268"/>
      <c r="J131" s="269"/>
      <c r="K131" s="268"/>
      <c r="L131" s="268"/>
      <c r="M131" s="268"/>
      <c r="N131" s="268"/>
      <c r="O131" s="269"/>
      <c r="P131" s="268"/>
      <c r="Q131" s="268"/>
      <c r="R131" s="268"/>
      <c r="S131" s="268"/>
      <c r="T131" s="269"/>
      <c r="U131" s="268"/>
      <c r="V131" s="270">
        <v>0.05</v>
      </c>
      <c r="W131" s="270">
        <v>0.05</v>
      </c>
      <c r="X131" s="270">
        <v>0.05</v>
      </c>
      <c r="Y131" s="271"/>
      <c r="Z131" s="270">
        <v>0.05</v>
      </c>
      <c r="AA131" s="270">
        <v>0.05</v>
      </c>
      <c r="AB131" s="270">
        <v>0.05</v>
      </c>
      <c r="AC131" s="270">
        <v>0.05</v>
      </c>
      <c r="AD131" s="271"/>
      <c r="AE131" s="271">
        <v>0.05</v>
      </c>
      <c r="AF131" s="271">
        <v>0.05</v>
      </c>
      <c r="AG131" s="271">
        <v>0.05</v>
      </c>
    </row>
    <row r="132" spans="1:33" hidden="1" outlineLevel="1">
      <c r="C132" s="276" t="s">
        <v>219</v>
      </c>
      <c r="E132" s="269"/>
      <c r="F132" s="268"/>
      <c r="G132" s="268"/>
      <c r="H132" s="268"/>
      <c r="I132" s="268"/>
      <c r="J132" s="269"/>
      <c r="K132" s="268"/>
      <c r="L132" s="268"/>
      <c r="M132" s="268"/>
      <c r="N132" s="268"/>
      <c r="O132" s="269"/>
      <c r="P132" s="268"/>
      <c r="Q132" s="268"/>
      <c r="R132" s="268"/>
      <c r="S132" s="268"/>
      <c r="T132" s="269"/>
      <c r="U132" s="268"/>
      <c r="V132" s="270">
        <v>0</v>
      </c>
      <c r="W132" s="270">
        <v>0</v>
      </c>
      <c r="X132" s="270">
        <v>0</v>
      </c>
      <c r="Y132" s="271"/>
      <c r="Z132" s="270">
        <v>0</v>
      </c>
      <c r="AA132" s="270">
        <v>0</v>
      </c>
      <c r="AB132" s="270">
        <v>0</v>
      </c>
      <c r="AC132" s="270">
        <v>0</v>
      </c>
      <c r="AD132" s="271"/>
      <c r="AE132" s="271">
        <v>0</v>
      </c>
      <c r="AF132" s="271">
        <v>0</v>
      </c>
      <c r="AG132" s="271">
        <v>0</v>
      </c>
    </row>
    <row r="133" spans="1:33" hidden="1" outlineLevel="1">
      <c r="C133" s="124" t="s">
        <v>226</v>
      </c>
      <c r="E133" s="269"/>
      <c r="F133" s="727">
        <f>IFERROR(F127/F128,"--")</f>
        <v>0</v>
      </c>
      <c r="G133" s="727">
        <f t="shared" ref="G133:T133" si="108">IFERROR(G127/G128,"--")</f>
        <v>0</v>
      </c>
      <c r="H133" s="727">
        <f t="shared" si="108"/>
        <v>0</v>
      </c>
      <c r="I133" s="727">
        <f t="shared" si="108"/>
        <v>0</v>
      </c>
      <c r="J133" s="728">
        <f t="shared" si="108"/>
        <v>0</v>
      </c>
      <c r="K133" s="727">
        <f t="shared" si="108"/>
        <v>0</v>
      </c>
      <c r="L133" s="727">
        <f t="shared" si="108"/>
        <v>0</v>
      </c>
      <c r="M133" s="727">
        <f t="shared" si="108"/>
        <v>0</v>
      </c>
      <c r="N133" s="727">
        <f t="shared" si="108"/>
        <v>0</v>
      </c>
      <c r="O133" s="728">
        <f t="shared" si="108"/>
        <v>0</v>
      </c>
      <c r="P133" s="727">
        <f t="shared" si="108"/>
        <v>0</v>
      </c>
      <c r="Q133" s="727">
        <f t="shared" si="108"/>
        <v>0</v>
      </c>
      <c r="R133" s="727">
        <f t="shared" si="108"/>
        <v>0</v>
      </c>
      <c r="S133" s="727">
        <f t="shared" si="108"/>
        <v>0</v>
      </c>
      <c r="T133" s="728">
        <f t="shared" si="108"/>
        <v>0</v>
      </c>
      <c r="U133" s="727">
        <f t="shared" ref="U133" si="109">IFERROR(U127/U128,"--")</f>
        <v>0</v>
      </c>
      <c r="V133" s="729">
        <f>U133*(1+V134)</f>
        <v>0</v>
      </c>
      <c r="W133" s="729">
        <f>V133*(1+W134)</f>
        <v>0</v>
      </c>
      <c r="X133" s="729">
        <f>W133*(1+X134)</f>
        <v>0</v>
      </c>
      <c r="Y133" s="728">
        <f>Y127/Y128</f>
        <v>0</v>
      </c>
      <c r="Z133" s="729">
        <f>X133*(1+Z134)</f>
        <v>0</v>
      </c>
      <c r="AA133" s="729">
        <f>Z133*(1+AA134)</f>
        <v>0</v>
      </c>
      <c r="AB133" s="729">
        <f>AA133*(1+AB134)</f>
        <v>0</v>
      </c>
      <c r="AC133" s="729">
        <f>AB133*(1+AC134)</f>
        <v>0</v>
      </c>
      <c r="AD133" s="728">
        <f>AD127/AD128</f>
        <v>0</v>
      </c>
      <c r="AE133" s="728">
        <f>AD133*(1+AE134)</f>
        <v>0</v>
      </c>
      <c r="AF133" s="728">
        <f>AE133*(1+AF134)</f>
        <v>0</v>
      </c>
      <c r="AG133" s="728">
        <f>AF133*(1+AG134)</f>
        <v>0</v>
      </c>
    </row>
    <row r="134" spans="1:33" hidden="1" outlineLevel="1">
      <c r="C134" s="275" t="s">
        <v>227</v>
      </c>
      <c r="E134" s="269"/>
      <c r="F134" s="268"/>
      <c r="G134" s="265" t="str">
        <f>IFERROR(G133/F133-1,"--")</f>
        <v>--</v>
      </c>
      <c r="H134" s="265" t="str">
        <f>IFERROR(H133/G133-1,"--")</f>
        <v>--</v>
      </c>
      <c r="I134" s="265" t="str">
        <f>IFERROR(I133/H133-1,"--")</f>
        <v>--</v>
      </c>
      <c r="J134" s="269"/>
      <c r="K134" s="265" t="str">
        <f>IFERROR(K133/I133-1,"--")</f>
        <v>--</v>
      </c>
      <c r="L134" s="265" t="str">
        <f>IFERROR(L133/K133-1,"--")</f>
        <v>--</v>
      </c>
      <c r="M134" s="265" t="str">
        <f>IFERROR(M133/L133-1,"--")</f>
        <v>--</v>
      </c>
      <c r="N134" s="265" t="str">
        <f>IFERROR(N133/M133-1,"--")</f>
        <v>--</v>
      </c>
      <c r="O134" s="266" t="str">
        <f>IFERROR(O133/J133-1,"--")</f>
        <v>--</v>
      </c>
      <c r="P134" s="265" t="str">
        <f>IFERROR(P133/N133-1,"--")</f>
        <v>--</v>
      </c>
      <c r="Q134" s="265" t="str">
        <f>IFERROR(Q133/P133-1,"--")</f>
        <v>--</v>
      </c>
      <c r="R134" s="265" t="str">
        <f>IFERROR(R133/Q133-1,"--")</f>
        <v>--</v>
      </c>
      <c r="S134" s="265" t="str">
        <f>IFERROR(S133/R133-1,"--")</f>
        <v>--</v>
      </c>
      <c r="T134" s="266" t="str">
        <f>IFERROR(T133/O133-1,"--")</f>
        <v>--</v>
      </c>
      <c r="U134" s="265" t="str">
        <f>IFERROR(U133/S133-1,"--")</f>
        <v>--</v>
      </c>
      <c r="V134" s="267">
        <f>IF(Case_Scenario="Bull",V135,IF(Case_Scenario="Base",V136,IF(Case_Scenario="bear",V137,"N/A")))</f>
        <v>0.05</v>
      </c>
      <c r="W134" s="267">
        <f>IF(Case_Scenario="Bull",W135,IF(Case_Scenario="Base",W136,IF(Case_Scenario="bear",W137,"N/A")))</f>
        <v>0.05</v>
      </c>
      <c r="X134" s="267">
        <f>IF(Case_Scenario="Bull",X135,IF(Case_Scenario="Base",X136,IF(Case_Scenario="bear",X137,"N/A")))</f>
        <v>0.05</v>
      </c>
      <c r="Y134" s="266"/>
      <c r="Z134" s="267">
        <f>IF(Case_Scenario="Bull",Z135,IF(Case_Scenario="Base",Z136,IF(Case_Scenario="bear",Z137,"N/A")))</f>
        <v>0.05</v>
      </c>
      <c r="AA134" s="267">
        <f>IF(Case_Scenario="Bull",AA135,IF(Case_Scenario="Base",AA136,IF(Case_Scenario="bear",AA137,"N/A")))</f>
        <v>0.05</v>
      </c>
      <c r="AB134" s="267">
        <f>IF(Case_Scenario="Bull",AB135,IF(Case_Scenario="Base",AB136,IF(Case_Scenario="bear",AB137,"N/A")))</f>
        <v>0.05</v>
      </c>
      <c r="AC134" s="267">
        <f>IF(Case_Scenario="Bull",AC135,IF(Case_Scenario="Base",AC136,IF(Case_Scenario="bear",AC137,"N/A")))</f>
        <v>0.05</v>
      </c>
      <c r="AD134" s="266"/>
      <c r="AE134" s="266">
        <f>IF(Case_Scenario="Bull",AE135,IF(Case_Scenario="Base",AE136,IF(Case_Scenario="bear",AE137,"N/A")))</f>
        <v>0.05</v>
      </c>
      <c r="AF134" s="266">
        <f>IF(Case_Scenario="Bull",AF135,IF(Case_Scenario="Base",AF136,IF(Case_Scenario="bear",AF137,"N/A")))</f>
        <v>0.05</v>
      </c>
      <c r="AG134" s="266">
        <f>IF(Case_Scenario="Bull",AG135,IF(Case_Scenario="Base",AG136,IF(Case_Scenario="bear",AG137,"N/A")))</f>
        <v>0.05</v>
      </c>
    </row>
    <row r="135" spans="1:33" hidden="1" outlineLevel="1">
      <c r="C135" s="276" t="s">
        <v>217</v>
      </c>
      <c r="E135" s="269"/>
      <c r="F135" s="268"/>
      <c r="G135" s="268"/>
      <c r="H135" s="268"/>
      <c r="I135" s="268"/>
      <c r="J135" s="269"/>
      <c r="K135" s="268"/>
      <c r="L135" s="268"/>
      <c r="M135" s="268"/>
      <c r="N135" s="268"/>
      <c r="O135" s="269"/>
      <c r="P135" s="268"/>
      <c r="Q135" s="268"/>
      <c r="R135" s="268"/>
      <c r="S135" s="268"/>
      <c r="T135" s="269"/>
      <c r="U135" s="268"/>
      <c r="V135" s="270">
        <v>0.1</v>
      </c>
      <c r="W135" s="270">
        <v>0.1</v>
      </c>
      <c r="X135" s="270">
        <v>0.1</v>
      </c>
      <c r="Y135" s="271"/>
      <c r="Z135" s="270">
        <v>0.1</v>
      </c>
      <c r="AA135" s="270">
        <v>0.1</v>
      </c>
      <c r="AB135" s="270">
        <v>0.1</v>
      </c>
      <c r="AC135" s="270">
        <v>0.1</v>
      </c>
      <c r="AD135" s="271"/>
      <c r="AE135" s="271">
        <v>0.1</v>
      </c>
      <c r="AF135" s="271">
        <v>0.1</v>
      </c>
      <c r="AG135" s="271">
        <v>0.1</v>
      </c>
    </row>
    <row r="136" spans="1:33" hidden="1" outlineLevel="1">
      <c r="C136" s="276" t="s">
        <v>218</v>
      </c>
      <c r="E136" s="269"/>
      <c r="F136" s="268"/>
      <c r="G136" s="268"/>
      <c r="H136" s="268"/>
      <c r="I136" s="268"/>
      <c r="J136" s="269"/>
      <c r="K136" s="268"/>
      <c r="L136" s="268"/>
      <c r="M136" s="268"/>
      <c r="N136" s="268"/>
      <c r="O136" s="269"/>
      <c r="P136" s="268"/>
      <c r="Q136" s="268"/>
      <c r="R136" s="268"/>
      <c r="S136" s="268"/>
      <c r="T136" s="269"/>
      <c r="U136" s="268"/>
      <c r="V136" s="270">
        <v>0.05</v>
      </c>
      <c r="W136" s="270">
        <v>0.05</v>
      </c>
      <c r="X136" s="270">
        <v>0.05</v>
      </c>
      <c r="Y136" s="271"/>
      <c r="Z136" s="270">
        <v>0.05</v>
      </c>
      <c r="AA136" s="270">
        <v>0.05</v>
      </c>
      <c r="AB136" s="270">
        <v>0.05</v>
      </c>
      <c r="AC136" s="270">
        <v>0.05</v>
      </c>
      <c r="AD136" s="271"/>
      <c r="AE136" s="271">
        <v>0.05</v>
      </c>
      <c r="AF136" s="271">
        <v>0.05</v>
      </c>
      <c r="AG136" s="271">
        <v>0.05</v>
      </c>
    </row>
    <row r="137" spans="1:33" hidden="1" outlineLevel="1">
      <c r="C137" s="276" t="s">
        <v>219</v>
      </c>
      <c r="E137" s="269"/>
      <c r="F137" s="268"/>
      <c r="G137" s="268"/>
      <c r="H137" s="268"/>
      <c r="I137" s="268"/>
      <c r="J137" s="269"/>
      <c r="K137" s="268"/>
      <c r="L137" s="268"/>
      <c r="M137" s="268"/>
      <c r="N137" s="268"/>
      <c r="O137" s="269"/>
      <c r="P137" s="268"/>
      <c r="Q137" s="268"/>
      <c r="R137" s="268"/>
      <c r="S137" s="268"/>
      <c r="T137" s="269"/>
      <c r="U137" s="268"/>
      <c r="V137" s="270">
        <v>0</v>
      </c>
      <c r="W137" s="270">
        <v>0</v>
      </c>
      <c r="X137" s="270">
        <v>0</v>
      </c>
      <c r="Y137" s="271"/>
      <c r="Z137" s="270">
        <v>0</v>
      </c>
      <c r="AA137" s="270">
        <v>0</v>
      </c>
      <c r="AB137" s="270">
        <v>0</v>
      </c>
      <c r="AC137" s="270">
        <v>0</v>
      </c>
      <c r="AD137" s="271"/>
      <c r="AE137" s="271">
        <v>0</v>
      </c>
      <c r="AF137" s="271">
        <v>0</v>
      </c>
      <c r="AG137" s="271">
        <v>0</v>
      </c>
    </row>
    <row r="138" spans="1:33" hidden="1" outlineLevel="1">
      <c r="E138" s="269"/>
      <c r="F138" s="268"/>
      <c r="G138" s="268"/>
      <c r="H138" s="268"/>
      <c r="I138" s="268"/>
      <c r="J138" s="269"/>
      <c r="K138" s="268"/>
      <c r="L138" s="268"/>
      <c r="M138" s="268"/>
      <c r="N138" s="268"/>
      <c r="O138" s="269"/>
      <c r="P138" s="268"/>
      <c r="Q138" s="268"/>
      <c r="R138" s="268"/>
      <c r="S138" s="268"/>
      <c r="T138" s="269"/>
      <c r="U138" s="268"/>
      <c r="V138" s="272"/>
      <c r="W138" s="272"/>
      <c r="X138" s="272"/>
      <c r="Y138" s="269"/>
      <c r="Z138" s="272"/>
      <c r="AA138" s="272"/>
      <c r="AB138" s="272"/>
      <c r="AC138" s="272"/>
      <c r="AD138" s="269"/>
      <c r="AE138" s="269"/>
      <c r="AF138" s="269"/>
      <c r="AG138" s="269"/>
    </row>
    <row r="139" spans="1:33" hidden="1" outlineLevel="1">
      <c r="A139" s="22" t="s">
        <v>1</v>
      </c>
      <c r="C139" s="28" t="str">
        <f>C44</f>
        <v>Segment 5 Revenue</v>
      </c>
      <c r="E139" s="269"/>
      <c r="F139" s="727">
        <f t="shared" ref="F139:T139" si="110">F44</f>
        <v>0</v>
      </c>
      <c r="G139" s="727">
        <f t="shared" si="110"/>
        <v>0</v>
      </c>
      <c r="H139" s="727">
        <f t="shared" si="110"/>
        <v>0</v>
      </c>
      <c r="I139" s="727">
        <f t="shared" si="110"/>
        <v>0</v>
      </c>
      <c r="J139" s="728">
        <f t="shared" si="110"/>
        <v>0</v>
      </c>
      <c r="K139" s="727">
        <f t="shared" si="110"/>
        <v>0</v>
      </c>
      <c r="L139" s="727">
        <f t="shared" si="110"/>
        <v>0</v>
      </c>
      <c r="M139" s="727">
        <f t="shared" si="110"/>
        <v>0</v>
      </c>
      <c r="N139" s="727">
        <f t="shared" si="110"/>
        <v>0</v>
      </c>
      <c r="O139" s="728">
        <f t="shared" si="110"/>
        <v>0</v>
      </c>
      <c r="P139" s="727">
        <f t="shared" si="110"/>
        <v>0</v>
      </c>
      <c r="Q139" s="727">
        <f t="shared" si="110"/>
        <v>0</v>
      </c>
      <c r="R139" s="727">
        <f t="shared" si="110"/>
        <v>0</v>
      </c>
      <c r="S139" s="727">
        <f t="shared" si="110"/>
        <v>0</v>
      </c>
      <c r="T139" s="728">
        <f t="shared" si="110"/>
        <v>0</v>
      </c>
      <c r="U139" s="727">
        <f t="shared" ref="U139" si="111">U44</f>
        <v>0</v>
      </c>
      <c r="V139" s="729">
        <f>V140*V145</f>
        <v>0</v>
      </c>
      <c r="W139" s="729">
        <f>W140*W145</f>
        <v>0</v>
      </c>
      <c r="X139" s="729">
        <f>X140*X145</f>
        <v>0</v>
      </c>
      <c r="Y139" s="728">
        <f>SUM(U139:X139)</f>
        <v>0</v>
      </c>
      <c r="Z139" s="729">
        <f>Z140*Z145</f>
        <v>0</v>
      </c>
      <c r="AA139" s="729">
        <f>AA140*AA145</f>
        <v>0</v>
      </c>
      <c r="AB139" s="729">
        <f>AB140*AB145</f>
        <v>0</v>
      </c>
      <c r="AC139" s="729">
        <f>AC140*AC145</f>
        <v>0</v>
      </c>
      <c r="AD139" s="728">
        <f>SUM(Z139:AC139)</f>
        <v>0</v>
      </c>
      <c r="AE139" s="728">
        <f>AE140*AE145</f>
        <v>0</v>
      </c>
      <c r="AF139" s="728">
        <f>AF140*AF145</f>
        <v>0</v>
      </c>
      <c r="AG139" s="728">
        <f>AG140*AG145</f>
        <v>0</v>
      </c>
    </row>
    <row r="140" spans="1:33" hidden="1" outlineLevel="1">
      <c r="C140" s="124" t="s">
        <v>225</v>
      </c>
      <c r="E140" s="269"/>
      <c r="F140" s="718">
        <v>220</v>
      </c>
      <c r="G140" s="718">
        <v>220</v>
      </c>
      <c r="H140" s="718">
        <v>220</v>
      </c>
      <c r="I140" s="718">
        <v>220</v>
      </c>
      <c r="J140" s="745">
        <f>SUM(F140:I140)</f>
        <v>880</v>
      </c>
      <c r="K140" s="718">
        <v>220</v>
      </c>
      <c r="L140" s="718">
        <v>220</v>
      </c>
      <c r="M140" s="718">
        <v>220</v>
      </c>
      <c r="N140" s="718">
        <v>220</v>
      </c>
      <c r="O140" s="745">
        <f>SUM(K140:N140)</f>
        <v>880</v>
      </c>
      <c r="P140" s="718">
        <v>220</v>
      </c>
      <c r="Q140" s="718">
        <v>220</v>
      </c>
      <c r="R140" s="718">
        <v>220</v>
      </c>
      <c r="S140" s="718">
        <v>220</v>
      </c>
      <c r="T140" s="745">
        <f>SUM(P140:S140)</f>
        <v>880</v>
      </c>
      <c r="U140" s="718">
        <v>220</v>
      </c>
      <c r="V140" s="746">
        <f>U140*(1+V141)</f>
        <v>231</v>
      </c>
      <c r="W140" s="746">
        <f>V140*(1+W141)</f>
        <v>242.55</v>
      </c>
      <c r="X140" s="746">
        <f>W140*(1+X141)</f>
        <v>254.67750000000001</v>
      </c>
      <c r="Y140" s="747">
        <f>SUM(U140:X140)</f>
        <v>948.22749999999996</v>
      </c>
      <c r="Z140" s="746">
        <f>X140*(1+Z141)</f>
        <v>267.41137500000002</v>
      </c>
      <c r="AA140" s="746">
        <f>Z140*(1+AA141)</f>
        <v>280.78194375000004</v>
      </c>
      <c r="AB140" s="746">
        <f>AA140*(1+AB141)</f>
        <v>294.82104093750007</v>
      </c>
      <c r="AC140" s="746">
        <f>AB140*(1+AC141)</f>
        <v>309.56209298437511</v>
      </c>
      <c r="AD140" s="747">
        <f>SUM(Z140:AC140)</f>
        <v>1152.5764526718754</v>
      </c>
      <c r="AE140" s="747">
        <f>AD140*(1+AE141)</f>
        <v>1210.2052753054693</v>
      </c>
      <c r="AF140" s="747">
        <f>AE140*(1+AF141)</f>
        <v>1270.7155390707428</v>
      </c>
      <c r="AG140" s="747">
        <f>AF140*(1+AG141)</f>
        <v>1334.25131602428</v>
      </c>
    </row>
    <row r="141" spans="1:33" hidden="1" outlineLevel="1">
      <c r="C141" s="275" t="s">
        <v>228</v>
      </c>
      <c r="E141" s="269"/>
      <c r="F141" s="268"/>
      <c r="G141" s="265">
        <f>IFERROR(G140/F140-1,"--")</f>
        <v>0</v>
      </c>
      <c r="H141" s="265">
        <f>IFERROR(H140/G140-1,"--")</f>
        <v>0</v>
      </c>
      <c r="I141" s="265">
        <f>IFERROR(I140/H140-1,"--")</f>
        <v>0</v>
      </c>
      <c r="J141" s="269"/>
      <c r="K141" s="265">
        <f>IFERROR(K140/I140-1,"--")</f>
        <v>0</v>
      </c>
      <c r="L141" s="265">
        <f>IFERROR(L140/K140-1,"--")</f>
        <v>0</v>
      </c>
      <c r="M141" s="265">
        <f>IFERROR(M140/L140-1,"--")</f>
        <v>0</v>
      </c>
      <c r="N141" s="265">
        <f>IFERROR(N140/M140-1,"--")</f>
        <v>0</v>
      </c>
      <c r="O141" s="266">
        <f>IFERROR(O140/J140-1,"--")</f>
        <v>0</v>
      </c>
      <c r="P141" s="265">
        <f>IFERROR(P140/N140-1,"--")</f>
        <v>0</v>
      </c>
      <c r="Q141" s="265">
        <f>IFERROR(Q140/P140-1,"--")</f>
        <v>0</v>
      </c>
      <c r="R141" s="265">
        <f>IFERROR(R140/Q140-1,"--")</f>
        <v>0</v>
      </c>
      <c r="S141" s="265">
        <f>IFERROR(S140/R140-1,"--")</f>
        <v>0</v>
      </c>
      <c r="T141" s="266">
        <f>IFERROR(T140/O140-1,"--")</f>
        <v>0</v>
      </c>
      <c r="U141" s="265">
        <f>IFERROR(U140/S140-1,"--")</f>
        <v>0</v>
      </c>
      <c r="V141" s="267">
        <f>IF(Case_Scenario="Bull",V142,IF(Case_Scenario="Base",V143,IF(Case_Scenario="bear",V144,"N/A")))</f>
        <v>0.05</v>
      </c>
      <c r="W141" s="267">
        <f>IF(Case_Scenario="Bull",W142,IF(Case_Scenario="Base",W143,IF(Case_Scenario="bear",W144,"N/A")))</f>
        <v>0.05</v>
      </c>
      <c r="X141" s="267">
        <f>IF(Case_Scenario="Bull",X142,IF(Case_Scenario="Base",X143,IF(Case_Scenario="bear",X144,"N/A")))</f>
        <v>0.05</v>
      </c>
      <c r="Y141" s="266"/>
      <c r="Z141" s="267">
        <f>IF(Case_Scenario="Bull",Z142,IF(Case_Scenario="Base",Z143,IF(Case_Scenario="bear",Z144,"N/A")))</f>
        <v>0.05</v>
      </c>
      <c r="AA141" s="267">
        <f>IF(Case_Scenario="Bull",AA142,IF(Case_Scenario="Base",AA143,IF(Case_Scenario="bear",AA144,"N/A")))</f>
        <v>0.05</v>
      </c>
      <c r="AB141" s="267">
        <f>IF(Case_Scenario="Bull",AB142,IF(Case_Scenario="Base",AB143,IF(Case_Scenario="bear",AB144,"N/A")))</f>
        <v>0.05</v>
      </c>
      <c r="AC141" s="267">
        <f>IF(Case_Scenario="Bull",AC142,IF(Case_Scenario="Base",AC143,IF(Case_Scenario="bear",AC144,"N/A")))</f>
        <v>0.05</v>
      </c>
      <c r="AD141" s="266"/>
      <c r="AE141" s="266">
        <f>IF(Case_Scenario="Bull",AE142,IF(Case_Scenario="Base",AE143,IF(Case_Scenario="bear",AE144,"N/A")))</f>
        <v>0.05</v>
      </c>
      <c r="AF141" s="266">
        <f>IF(Case_Scenario="Bull",AF142,IF(Case_Scenario="Base",AF143,IF(Case_Scenario="bear",AF144,"N/A")))</f>
        <v>0.05</v>
      </c>
      <c r="AG141" s="266">
        <f>IF(Case_Scenario="Bull",AG142,IF(Case_Scenario="Base",AG143,IF(Case_Scenario="bear",AG144,"N/A")))</f>
        <v>0.05</v>
      </c>
    </row>
    <row r="142" spans="1:33" hidden="1" outlineLevel="1">
      <c r="C142" s="276" t="s">
        <v>217</v>
      </c>
      <c r="E142" s="269"/>
      <c r="F142" s="268"/>
      <c r="G142" s="268"/>
      <c r="H142" s="268"/>
      <c r="I142" s="268"/>
      <c r="J142" s="269"/>
      <c r="K142" s="268"/>
      <c r="L142" s="268"/>
      <c r="M142" s="268"/>
      <c r="N142" s="268"/>
      <c r="O142" s="269"/>
      <c r="P142" s="268"/>
      <c r="Q142" s="268"/>
      <c r="R142" s="268"/>
      <c r="S142" s="268"/>
      <c r="T142" s="269"/>
      <c r="U142" s="268"/>
      <c r="V142" s="270">
        <v>0.1</v>
      </c>
      <c r="W142" s="270">
        <v>0.1</v>
      </c>
      <c r="X142" s="270">
        <v>0.1</v>
      </c>
      <c r="Y142" s="271"/>
      <c r="Z142" s="270">
        <v>0.1</v>
      </c>
      <c r="AA142" s="270">
        <v>0.1</v>
      </c>
      <c r="AB142" s="270">
        <v>0.1</v>
      </c>
      <c r="AC142" s="270">
        <v>0.1</v>
      </c>
      <c r="AD142" s="271"/>
      <c r="AE142" s="271">
        <v>0.1</v>
      </c>
      <c r="AF142" s="271">
        <v>0.1</v>
      </c>
      <c r="AG142" s="271">
        <v>0.1</v>
      </c>
    </row>
    <row r="143" spans="1:33" hidden="1" outlineLevel="1">
      <c r="C143" s="276" t="s">
        <v>218</v>
      </c>
      <c r="E143" s="269"/>
      <c r="F143" s="268"/>
      <c r="G143" s="268"/>
      <c r="H143" s="268"/>
      <c r="I143" s="268"/>
      <c r="J143" s="269"/>
      <c r="K143" s="268"/>
      <c r="L143" s="268"/>
      <c r="M143" s="268"/>
      <c r="N143" s="268"/>
      <c r="O143" s="269"/>
      <c r="P143" s="268"/>
      <c r="Q143" s="268"/>
      <c r="R143" s="268"/>
      <c r="S143" s="268"/>
      <c r="T143" s="269"/>
      <c r="U143" s="268"/>
      <c r="V143" s="270">
        <v>0.05</v>
      </c>
      <c r="W143" s="270">
        <v>0.05</v>
      </c>
      <c r="X143" s="270">
        <v>0.05</v>
      </c>
      <c r="Y143" s="271"/>
      <c r="Z143" s="270">
        <v>0.05</v>
      </c>
      <c r="AA143" s="270">
        <v>0.05</v>
      </c>
      <c r="AB143" s="270">
        <v>0.05</v>
      </c>
      <c r="AC143" s="270">
        <v>0.05</v>
      </c>
      <c r="AD143" s="271"/>
      <c r="AE143" s="271">
        <v>0.05</v>
      </c>
      <c r="AF143" s="271">
        <v>0.05</v>
      </c>
      <c r="AG143" s="271">
        <v>0.05</v>
      </c>
    </row>
    <row r="144" spans="1:33" hidden="1" outlineLevel="1">
      <c r="C144" s="276" t="s">
        <v>219</v>
      </c>
      <c r="E144" s="269"/>
      <c r="F144" s="268"/>
      <c r="G144" s="268"/>
      <c r="H144" s="268"/>
      <c r="I144" s="268"/>
      <c r="J144" s="269"/>
      <c r="K144" s="268"/>
      <c r="L144" s="268"/>
      <c r="M144" s="268"/>
      <c r="N144" s="268"/>
      <c r="O144" s="269"/>
      <c r="P144" s="268"/>
      <c r="Q144" s="268"/>
      <c r="R144" s="268"/>
      <c r="S144" s="268"/>
      <c r="T144" s="269"/>
      <c r="U144" s="268"/>
      <c r="V144" s="270">
        <v>0</v>
      </c>
      <c r="W144" s="270">
        <v>0</v>
      </c>
      <c r="X144" s="270">
        <v>0</v>
      </c>
      <c r="Y144" s="271"/>
      <c r="Z144" s="270">
        <v>0</v>
      </c>
      <c r="AA144" s="270">
        <v>0</v>
      </c>
      <c r="AB144" s="270">
        <v>0</v>
      </c>
      <c r="AC144" s="270">
        <v>0</v>
      </c>
      <c r="AD144" s="271"/>
      <c r="AE144" s="271">
        <v>0</v>
      </c>
      <c r="AF144" s="271">
        <v>0</v>
      </c>
      <c r="AG144" s="271">
        <v>0</v>
      </c>
    </row>
    <row r="145" spans="1:33" hidden="1" outlineLevel="1">
      <c r="C145" s="124" t="s">
        <v>226</v>
      </c>
      <c r="E145" s="269"/>
      <c r="F145" s="727">
        <f>IFERROR(F139/F140,"--")</f>
        <v>0</v>
      </c>
      <c r="G145" s="727">
        <f t="shared" ref="G145:T145" si="112">IFERROR(G139/G140,"--")</f>
        <v>0</v>
      </c>
      <c r="H145" s="727">
        <f t="shared" si="112"/>
        <v>0</v>
      </c>
      <c r="I145" s="727">
        <f t="shared" si="112"/>
        <v>0</v>
      </c>
      <c r="J145" s="728">
        <f t="shared" si="112"/>
        <v>0</v>
      </c>
      <c r="K145" s="727">
        <f t="shared" si="112"/>
        <v>0</v>
      </c>
      <c r="L145" s="727">
        <f t="shared" si="112"/>
        <v>0</v>
      </c>
      <c r="M145" s="727">
        <f t="shared" si="112"/>
        <v>0</v>
      </c>
      <c r="N145" s="727">
        <f t="shared" si="112"/>
        <v>0</v>
      </c>
      <c r="O145" s="728">
        <f t="shared" si="112"/>
        <v>0</v>
      </c>
      <c r="P145" s="727">
        <f t="shared" si="112"/>
        <v>0</v>
      </c>
      <c r="Q145" s="727">
        <f t="shared" si="112"/>
        <v>0</v>
      </c>
      <c r="R145" s="727">
        <f t="shared" si="112"/>
        <v>0</v>
      </c>
      <c r="S145" s="727">
        <f t="shared" si="112"/>
        <v>0</v>
      </c>
      <c r="T145" s="728">
        <f t="shared" si="112"/>
        <v>0</v>
      </c>
      <c r="U145" s="727">
        <f t="shared" ref="U145" si="113">IFERROR(U139/U140,"--")</f>
        <v>0</v>
      </c>
      <c r="V145" s="729">
        <f>U145*(1+V146)</f>
        <v>0</v>
      </c>
      <c r="W145" s="729">
        <f>V145*(1+W146)</f>
        <v>0</v>
      </c>
      <c r="X145" s="729">
        <f>W145*(1+X146)</f>
        <v>0</v>
      </c>
      <c r="Y145" s="728">
        <f>Y139/Y140</f>
        <v>0</v>
      </c>
      <c r="Z145" s="729">
        <f>X145*(1+Z146)</f>
        <v>0</v>
      </c>
      <c r="AA145" s="729">
        <f>Z145*(1+AA146)</f>
        <v>0</v>
      </c>
      <c r="AB145" s="729">
        <f>AA145*(1+AB146)</f>
        <v>0</v>
      </c>
      <c r="AC145" s="729">
        <f>AB145*(1+AC146)</f>
        <v>0</v>
      </c>
      <c r="AD145" s="728">
        <f>AD139/AD140</f>
        <v>0</v>
      </c>
      <c r="AE145" s="728">
        <f>AD145*(1+AE146)</f>
        <v>0</v>
      </c>
      <c r="AF145" s="728">
        <f>AE145*(1+AF146)</f>
        <v>0</v>
      </c>
      <c r="AG145" s="728">
        <f>AF145*(1+AG146)</f>
        <v>0</v>
      </c>
    </row>
    <row r="146" spans="1:33" hidden="1" outlineLevel="1">
      <c r="C146" s="275" t="s">
        <v>227</v>
      </c>
      <c r="E146" s="269"/>
      <c r="F146" s="268"/>
      <c r="G146" s="265" t="str">
        <f>IFERROR(G145/F145-1,"--")</f>
        <v>--</v>
      </c>
      <c r="H146" s="265" t="str">
        <f>IFERROR(H145/G145-1,"--")</f>
        <v>--</v>
      </c>
      <c r="I146" s="265" t="str">
        <f>IFERROR(I145/H145-1,"--")</f>
        <v>--</v>
      </c>
      <c r="J146" s="269"/>
      <c r="K146" s="265" t="str">
        <f>IFERROR(K145/I145-1,"--")</f>
        <v>--</v>
      </c>
      <c r="L146" s="265" t="str">
        <f>IFERROR(L145/K145-1,"--")</f>
        <v>--</v>
      </c>
      <c r="M146" s="265" t="str">
        <f>IFERROR(M145/L145-1,"--")</f>
        <v>--</v>
      </c>
      <c r="N146" s="265" t="str">
        <f>IFERROR(N145/M145-1,"--")</f>
        <v>--</v>
      </c>
      <c r="O146" s="266" t="str">
        <f>IFERROR(O145/J145-1,"--")</f>
        <v>--</v>
      </c>
      <c r="P146" s="265" t="str">
        <f>IFERROR(P145/N145-1,"--")</f>
        <v>--</v>
      </c>
      <c r="Q146" s="265" t="str">
        <f>IFERROR(Q145/P145-1,"--")</f>
        <v>--</v>
      </c>
      <c r="R146" s="265" t="str">
        <f>IFERROR(R145/Q145-1,"--")</f>
        <v>--</v>
      </c>
      <c r="S146" s="265" t="str">
        <f>IFERROR(S145/R145-1,"--")</f>
        <v>--</v>
      </c>
      <c r="T146" s="266" t="str">
        <f>IFERROR(T145/O145-1,"--")</f>
        <v>--</v>
      </c>
      <c r="U146" s="265" t="str">
        <f>IFERROR(U145/S145-1,"--")</f>
        <v>--</v>
      </c>
      <c r="V146" s="267">
        <f>IF(Case_Scenario="Bull",V147,IF(Case_Scenario="Base",V148,IF(Case_Scenario="bear",V149,"N/A")))</f>
        <v>0.05</v>
      </c>
      <c r="W146" s="267">
        <f>IF(Case_Scenario="Bull",W147,IF(Case_Scenario="Base",W148,IF(Case_Scenario="bear",W149,"N/A")))</f>
        <v>0.05</v>
      </c>
      <c r="X146" s="267">
        <f>IF(Case_Scenario="Bull",X147,IF(Case_Scenario="Base",X148,IF(Case_Scenario="bear",X149,"N/A")))</f>
        <v>0.05</v>
      </c>
      <c r="Y146" s="266"/>
      <c r="Z146" s="267">
        <f>IF(Case_Scenario="Bull",Z147,IF(Case_Scenario="Base",Z148,IF(Case_Scenario="bear",Z149,"N/A")))</f>
        <v>0.05</v>
      </c>
      <c r="AA146" s="267">
        <f>IF(Case_Scenario="Bull",AA147,IF(Case_Scenario="Base",AA148,IF(Case_Scenario="bear",AA149,"N/A")))</f>
        <v>0.05</v>
      </c>
      <c r="AB146" s="267">
        <f>IF(Case_Scenario="Bull",AB147,IF(Case_Scenario="Base",AB148,IF(Case_Scenario="bear",AB149,"N/A")))</f>
        <v>0.05</v>
      </c>
      <c r="AC146" s="267">
        <f>IF(Case_Scenario="Bull",AC147,IF(Case_Scenario="Base",AC148,IF(Case_Scenario="bear",AC149,"N/A")))</f>
        <v>0.05</v>
      </c>
      <c r="AD146" s="266"/>
      <c r="AE146" s="266">
        <f>IF(Case_Scenario="Bull",AE147,IF(Case_Scenario="Base",AE148,IF(Case_Scenario="bear",AE149,"N/A")))</f>
        <v>0.05</v>
      </c>
      <c r="AF146" s="266">
        <f>IF(Case_Scenario="Bull",AF147,IF(Case_Scenario="Base",AF148,IF(Case_Scenario="bear",AF149,"N/A")))</f>
        <v>0.05</v>
      </c>
      <c r="AG146" s="266">
        <f>IF(Case_Scenario="Bull",AG147,IF(Case_Scenario="Base",AG148,IF(Case_Scenario="bear",AG149,"N/A")))</f>
        <v>0.05</v>
      </c>
    </row>
    <row r="147" spans="1:33" hidden="1" outlineLevel="1">
      <c r="C147" s="276" t="s">
        <v>217</v>
      </c>
      <c r="E147" s="269"/>
      <c r="F147" s="268"/>
      <c r="G147" s="268"/>
      <c r="H147" s="268"/>
      <c r="I147" s="268"/>
      <c r="J147" s="269"/>
      <c r="K147" s="268"/>
      <c r="L147" s="268"/>
      <c r="M147" s="268"/>
      <c r="N147" s="268"/>
      <c r="O147" s="269"/>
      <c r="P147" s="268"/>
      <c r="Q147" s="268"/>
      <c r="R147" s="268"/>
      <c r="S147" s="268"/>
      <c r="T147" s="269"/>
      <c r="U147" s="268"/>
      <c r="V147" s="270">
        <v>0.1</v>
      </c>
      <c r="W147" s="270">
        <v>0.1</v>
      </c>
      <c r="X147" s="270">
        <v>0.1</v>
      </c>
      <c r="Y147" s="271"/>
      <c r="Z147" s="270">
        <v>0.1</v>
      </c>
      <c r="AA147" s="270">
        <v>0.1</v>
      </c>
      <c r="AB147" s="270">
        <v>0.1</v>
      </c>
      <c r="AC147" s="270">
        <v>0.1</v>
      </c>
      <c r="AD147" s="271"/>
      <c r="AE147" s="271">
        <v>0.1</v>
      </c>
      <c r="AF147" s="271">
        <v>0.1</v>
      </c>
      <c r="AG147" s="271">
        <v>0.1</v>
      </c>
    </row>
    <row r="148" spans="1:33" hidden="1" outlineLevel="1">
      <c r="C148" s="276" t="s">
        <v>218</v>
      </c>
      <c r="E148" s="269"/>
      <c r="F148" s="268"/>
      <c r="G148" s="268"/>
      <c r="H148" s="268"/>
      <c r="I148" s="268"/>
      <c r="J148" s="269"/>
      <c r="K148" s="268"/>
      <c r="L148" s="268"/>
      <c r="M148" s="268"/>
      <c r="N148" s="268"/>
      <c r="O148" s="269"/>
      <c r="P148" s="268"/>
      <c r="Q148" s="268"/>
      <c r="R148" s="268"/>
      <c r="S148" s="268"/>
      <c r="T148" s="269"/>
      <c r="U148" s="268"/>
      <c r="V148" s="270">
        <v>0.05</v>
      </c>
      <c r="W148" s="270">
        <v>0.05</v>
      </c>
      <c r="X148" s="270">
        <v>0.05</v>
      </c>
      <c r="Y148" s="271"/>
      <c r="Z148" s="270">
        <v>0.05</v>
      </c>
      <c r="AA148" s="270">
        <v>0.05</v>
      </c>
      <c r="AB148" s="270">
        <v>0.05</v>
      </c>
      <c r="AC148" s="270">
        <v>0.05</v>
      </c>
      <c r="AD148" s="271"/>
      <c r="AE148" s="271">
        <v>0.05</v>
      </c>
      <c r="AF148" s="271">
        <v>0.05</v>
      </c>
      <c r="AG148" s="271">
        <v>0.05</v>
      </c>
    </row>
    <row r="149" spans="1:33" hidden="1" outlineLevel="1">
      <c r="C149" s="276" t="s">
        <v>219</v>
      </c>
      <c r="E149" s="269"/>
      <c r="F149" s="268"/>
      <c r="G149" s="268"/>
      <c r="H149" s="268"/>
      <c r="I149" s="268"/>
      <c r="J149" s="269"/>
      <c r="K149" s="268"/>
      <c r="L149" s="268"/>
      <c r="M149" s="268"/>
      <c r="N149" s="268"/>
      <c r="O149" s="269"/>
      <c r="P149" s="268"/>
      <c r="Q149" s="268"/>
      <c r="R149" s="268"/>
      <c r="S149" s="268"/>
      <c r="T149" s="269"/>
      <c r="U149" s="268"/>
      <c r="V149" s="270">
        <v>0</v>
      </c>
      <c r="W149" s="270">
        <v>0</v>
      </c>
      <c r="X149" s="270">
        <v>0</v>
      </c>
      <c r="Y149" s="271"/>
      <c r="Z149" s="270">
        <v>0</v>
      </c>
      <c r="AA149" s="270">
        <v>0</v>
      </c>
      <c r="AB149" s="270">
        <v>0</v>
      </c>
      <c r="AC149" s="270">
        <v>0</v>
      </c>
      <c r="AD149" s="271"/>
      <c r="AE149" s="271">
        <v>0</v>
      </c>
      <c r="AF149" s="271">
        <v>0</v>
      </c>
      <c r="AG149" s="271">
        <v>0</v>
      </c>
    </row>
    <row r="150" spans="1:33" hidden="1" outlineLevel="1">
      <c r="E150" s="269"/>
      <c r="F150" s="268"/>
      <c r="G150" s="268"/>
      <c r="H150" s="268"/>
      <c r="I150" s="268"/>
      <c r="J150" s="269"/>
      <c r="K150" s="268"/>
      <c r="L150" s="268"/>
      <c r="M150" s="268"/>
      <c r="N150" s="268"/>
      <c r="O150" s="269"/>
      <c r="P150" s="268"/>
      <c r="Q150" s="268"/>
      <c r="R150" s="268"/>
      <c r="S150" s="268"/>
      <c r="T150" s="269"/>
      <c r="U150" s="268"/>
      <c r="V150" s="272"/>
      <c r="W150" s="272"/>
      <c r="X150" s="272"/>
      <c r="Y150" s="269"/>
      <c r="Z150" s="272"/>
      <c r="AA150" s="272"/>
      <c r="AB150" s="272"/>
      <c r="AC150" s="272"/>
      <c r="AD150" s="269"/>
      <c r="AE150" s="269"/>
      <c r="AF150" s="269"/>
      <c r="AG150" s="269"/>
    </row>
    <row r="151" spans="1:33" hidden="1" outlineLevel="1">
      <c r="A151" s="22" t="s">
        <v>1</v>
      </c>
      <c r="C151" s="28" t="str">
        <f>C47</f>
        <v>Segment 6 Revenue</v>
      </c>
      <c r="E151" s="269"/>
      <c r="F151" s="727">
        <f t="shared" ref="F151:T151" si="114">F47</f>
        <v>0</v>
      </c>
      <c r="G151" s="727">
        <f t="shared" si="114"/>
        <v>0</v>
      </c>
      <c r="H151" s="727">
        <f t="shared" si="114"/>
        <v>0</v>
      </c>
      <c r="I151" s="727">
        <f t="shared" si="114"/>
        <v>0</v>
      </c>
      <c r="J151" s="728">
        <f t="shared" si="114"/>
        <v>0</v>
      </c>
      <c r="K151" s="727">
        <f t="shared" si="114"/>
        <v>0</v>
      </c>
      <c r="L151" s="727">
        <f t="shared" si="114"/>
        <v>0</v>
      </c>
      <c r="M151" s="727">
        <f t="shared" si="114"/>
        <v>0</v>
      </c>
      <c r="N151" s="727">
        <f t="shared" si="114"/>
        <v>0</v>
      </c>
      <c r="O151" s="728">
        <f t="shared" si="114"/>
        <v>0</v>
      </c>
      <c r="P151" s="727">
        <f t="shared" si="114"/>
        <v>0</v>
      </c>
      <c r="Q151" s="727">
        <f t="shared" si="114"/>
        <v>0</v>
      </c>
      <c r="R151" s="727">
        <f t="shared" si="114"/>
        <v>0</v>
      </c>
      <c r="S151" s="727">
        <f t="shared" si="114"/>
        <v>0</v>
      </c>
      <c r="T151" s="728">
        <f t="shared" si="114"/>
        <v>0</v>
      </c>
      <c r="U151" s="727">
        <f t="shared" ref="U151" si="115">U47</f>
        <v>0</v>
      </c>
      <c r="V151" s="729">
        <f>V152*V157</f>
        <v>0</v>
      </c>
      <c r="W151" s="729">
        <f>W152*W157</f>
        <v>0</v>
      </c>
      <c r="X151" s="729">
        <f>X152*X157</f>
        <v>0</v>
      </c>
      <c r="Y151" s="728">
        <f>SUM(U151:X151)</f>
        <v>0</v>
      </c>
      <c r="Z151" s="729">
        <f>Z152*Z157</f>
        <v>0</v>
      </c>
      <c r="AA151" s="729">
        <f>AA152*AA157</f>
        <v>0</v>
      </c>
      <c r="AB151" s="729">
        <f>AB152*AB157</f>
        <v>0</v>
      </c>
      <c r="AC151" s="729">
        <f>AC152*AC157</f>
        <v>0</v>
      </c>
      <c r="AD151" s="728">
        <f>SUM(Z151:AC151)</f>
        <v>0</v>
      </c>
      <c r="AE151" s="728">
        <f>AE152*AE157</f>
        <v>0</v>
      </c>
      <c r="AF151" s="728">
        <f>AF152*AF157</f>
        <v>0</v>
      </c>
      <c r="AG151" s="728">
        <f>AG152*AG157</f>
        <v>0</v>
      </c>
    </row>
    <row r="152" spans="1:33" hidden="1" outlineLevel="1">
      <c r="C152" s="124" t="s">
        <v>225</v>
      </c>
      <c r="E152" s="269"/>
      <c r="F152" s="718">
        <v>0</v>
      </c>
      <c r="G152" s="718">
        <v>0</v>
      </c>
      <c r="H152" s="718">
        <v>0</v>
      </c>
      <c r="I152" s="718">
        <v>0</v>
      </c>
      <c r="J152" s="745">
        <v>0</v>
      </c>
      <c r="K152" s="718">
        <v>0</v>
      </c>
      <c r="L152" s="718">
        <v>0</v>
      </c>
      <c r="M152" s="718">
        <v>0</v>
      </c>
      <c r="N152" s="718">
        <v>0</v>
      </c>
      <c r="O152" s="745">
        <v>0</v>
      </c>
      <c r="P152" s="718">
        <v>0</v>
      </c>
      <c r="Q152" s="718">
        <v>0</v>
      </c>
      <c r="R152" s="718">
        <v>0</v>
      </c>
      <c r="S152" s="718">
        <v>0</v>
      </c>
      <c r="T152" s="745">
        <v>0</v>
      </c>
      <c r="U152" s="718">
        <v>0</v>
      </c>
      <c r="V152" s="746">
        <f>U152*(1+V153)</f>
        <v>0</v>
      </c>
      <c r="W152" s="746">
        <f>V152*(1+W153)</f>
        <v>0</v>
      </c>
      <c r="X152" s="746">
        <f>W152*(1+X153)</f>
        <v>0</v>
      </c>
      <c r="Y152" s="747">
        <f>SUM(U152:X152)</f>
        <v>0</v>
      </c>
      <c r="Z152" s="746">
        <f>X152*(1+Z153)</f>
        <v>0</v>
      </c>
      <c r="AA152" s="746">
        <f>Z152*(1+AA153)</f>
        <v>0</v>
      </c>
      <c r="AB152" s="746">
        <f>AA152*(1+AB153)</f>
        <v>0</v>
      </c>
      <c r="AC152" s="746">
        <f>AB152*(1+AC153)</f>
        <v>0</v>
      </c>
      <c r="AD152" s="747">
        <f>SUM(Z152:AC152)</f>
        <v>0</v>
      </c>
      <c r="AE152" s="747">
        <f>AD152*(1+AE153)</f>
        <v>0</v>
      </c>
      <c r="AF152" s="747">
        <f>AE152*(1+AF153)</f>
        <v>0</v>
      </c>
      <c r="AG152" s="747">
        <f>AF152*(1+AG153)</f>
        <v>0</v>
      </c>
    </row>
    <row r="153" spans="1:33" hidden="1" outlineLevel="1">
      <c r="C153" s="275" t="s">
        <v>228</v>
      </c>
      <c r="E153" s="269"/>
      <c r="F153" s="268"/>
      <c r="G153" s="265" t="str">
        <f>IFERROR(G152/F152-1,"--")</f>
        <v>--</v>
      </c>
      <c r="H153" s="265" t="str">
        <f>IFERROR(H152/G152-1,"--")</f>
        <v>--</v>
      </c>
      <c r="I153" s="265" t="str">
        <f>IFERROR(I152/H152-1,"--")</f>
        <v>--</v>
      </c>
      <c r="J153" s="269"/>
      <c r="K153" s="265" t="str">
        <f>IFERROR(K152/I152-1,"--")</f>
        <v>--</v>
      </c>
      <c r="L153" s="265" t="str">
        <f>IFERROR(L152/K152-1,"--")</f>
        <v>--</v>
      </c>
      <c r="M153" s="265" t="str">
        <f>IFERROR(M152/L152-1,"--")</f>
        <v>--</v>
      </c>
      <c r="N153" s="265" t="str">
        <f>IFERROR(N152/M152-1,"--")</f>
        <v>--</v>
      </c>
      <c r="O153" s="266" t="str">
        <f>IFERROR(O152/J152-1,"--")</f>
        <v>--</v>
      </c>
      <c r="P153" s="265" t="str">
        <f>IFERROR(P152/N152-1,"--")</f>
        <v>--</v>
      </c>
      <c r="Q153" s="265" t="str">
        <f>IFERROR(Q152/P152-1,"--")</f>
        <v>--</v>
      </c>
      <c r="R153" s="265" t="str">
        <f>IFERROR(R152/Q152-1,"--")</f>
        <v>--</v>
      </c>
      <c r="S153" s="265" t="str">
        <f>IFERROR(S152/R152-1,"--")</f>
        <v>--</v>
      </c>
      <c r="T153" s="266" t="str">
        <f>IFERROR(T152/O152-1,"--")</f>
        <v>--</v>
      </c>
      <c r="U153" s="265" t="str">
        <f>IFERROR(U152/S152-1,"--")</f>
        <v>--</v>
      </c>
      <c r="V153" s="267">
        <f>IF(Case_Scenario="Bull",V154,IF(Case_Scenario="Base",V155,IF(Case_Scenario="bear",V156,"N/A")))</f>
        <v>0.05</v>
      </c>
      <c r="W153" s="267">
        <f>IF(Case_Scenario="Bull",W154,IF(Case_Scenario="Base",W155,IF(Case_Scenario="bear",W156,"N/A")))</f>
        <v>0.05</v>
      </c>
      <c r="X153" s="267">
        <f>IF(Case_Scenario="Bull",X154,IF(Case_Scenario="Base",X155,IF(Case_Scenario="bear",X156,"N/A")))</f>
        <v>0.05</v>
      </c>
      <c r="Y153" s="266"/>
      <c r="Z153" s="267">
        <f>IF(Case_Scenario="Bull",Z154,IF(Case_Scenario="Base",Z155,IF(Case_Scenario="bear",Z156,"N/A")))</f>
        <v>0.05</v>
      </c>
      <c r="AA153" s="267">
        <f>IF(Case_Scenario="Bull",AA154,IF(Case_Scenario="Base",AA155,IF(Case_Scenario="bear",AA156,"N/A")))</f>
        <v>0.05</v>
      </c>
      <c r="AB153" s="267">
        <f>IF(Case_Scenario="Bull",AB154,IF(Case_Scenario="Base",AB155,IF(Case_Scenario="bear",AB156,"N/A")))</f>
        <v>0.05</v>
      </c>
      <c r="AC153" s="267">
        <f>IF(Case_Scenario="Bull",AC154,IF(Case_Scenario="Base",AC155,IF(Case_Scenario="bear",AC156,"N/A")))</f>
        <v>0.05</v>
      </c>
      <c r="AD153" s="266"/>
      <c r="AE153" s="266">
        <f>IF(Case_Scenario="Bull",AE154,IF(Case_Scenario="Base",AE155,IF(Case_Scenario="bear",AE156,"N/A")))</f>
        <v>0.05</v>
      </c>
      <c r="AF153" s="266">
        <f>IF(Case_Scenario="Bull",AF154,IF(Case_Scenario="Base",AF155,IF(Case_Scenario="bear",AF156,"N/A")))</f>
        <v>0.05</v>
      </c>
      <c r="AG153" s="266">
        <f>IF(Case_Scenario="Bull",AG154,IF(Case_Scenario="Base",AG155,IF(Case_Scenario="bear",AG156,"N/A")))</f>
        <v>0.05</v>
      </c>
    </row>
    <row r="154" spans="1:33" hidden="1" outlineLevel="1">
      <c r="C154" s="276" t="s">
        <v>217</v>
      </c>
      <c r="E154" s="269"/>
      <c r="F154" s="268"/>
      <c r="G154" s="268"/>
      <c r="H154" s="268"/>
      <c r="I154" s="268"/>
      <c r="J154" s="269"/>
      <c r="K154" s="268"/>
      <c r="L154" s="268"/>
      <c r="M154" s="268"/>
      <c r="N154" s="268"/>
      <c r="O154" s="269"/>
      <c r="P154" s="268"/>
      <c r="Q154" s="268"/>
      <c r="R154" s="268"/>
      <c r="S154" s="268"/>
      <c r="T154" s="269"/>
      <c r="U154" s="268"/>
      <c r="V154" s="270">
        <v>0.1</v>
      </c>
      <c r="W154" s="270">
        <v>0.1</v>
      </c>
      <c r="X154" s="270">
        <v>0.1</v>
      </c>
      <c r="Y154" s="271"/>
      <c r="Z154" s="270">
        <v>0.1</v>
      </c>
      <c r="AA154" s="270">
        <v>0.1</v>
      </c>
      <c r="AB154" s="270">
        <v>0.1</v>
      </c>
      <c r="AC154" s="270">
        <v>0.1</v>
      </c>
      <c r="AD154" s="271"/>
      <c r="AE154" s="271">
        <v>0.1</v>
      </c>
      <c r="AF154" s="271">
        <v>0.1</v>
      </c>
      <c r="AG154" s="271">
        <v>0.1</v>
      </c>
    </row>
    <row r="155" spans="1:33" hidden="1" outlineLevel="1">
      <c r="C155" s="276" t="s">
        <v>218</v>
      </c>
      <c r="E155" s="269"/>
      <c r="F155" s="268"/>
      <c r="G155" s="268"/>
      <c r="H155" s="268"/>
      <c r="I155" s="268"/>
      <c r="J155" s="269"/>
      <c r="K155" s="268"/>
      <c r="L155" s="268"/>
      <c r="M155" s="268"/>
      <c r="N155" s="268"/>
      <c r="O155" s="269"/>
      <c r="P155" s="268"/>
      <c r="Q155" s="268"/>
      <c r="R155" s="268"/>
      <c r="S155" s="268"/>
      <c r="T155" s="269"/>
      <c r="U155" s="268"/>
      <c r="V155" s="270">
        <v>0.05</v>
      </c>
      <c r="W155" s="270">
        <v>0.05</v>
      </c>
      <c r="X155" s="270">
        <v>0.05</v>
      </c>
      <c r="Y155" s="271"/>
      <c r="Z155" s="270">
        <v>0.05</v>
      </c>
      <c r="AA155" s="270">
        <v>0.05</v>
      </c>
      <c r="AB155" s="270">
        <v>0.05</v>
      </c>
      <c r="AC155" s="270">
        <v>0.05</v>
      </c>
      <c r="AD155" s="271"/>
      <c r="AE155" s="271">
        <v>0.05</v>
      </c>
      <c r="AF155" s="271">
        <v>0.05</v>
      </c>
      <c r="AG155" s="271">
        <v>0.05</v>
      </c>
    </row>
    <row r="156" spans="1:33" hidden="1" outlineLevel="1">
      <c r="C156" s="276" t="s">
        <v>219</v>
      </c>
      <c r="E156" s="269"/>
      <c r="F156" s="268"/>
      <c r="G156" s="268"/>
      <c r="H156" s="268"/>
      <c r="I156" s="268"/>
      <c r="J156" s="269"/>
      <c r="K156" s="268"/>
      <c r="L156" s="268"/>
      <c r="M156" s="268"/>
      <c r="N156" s="268"/>
      <c r="O156" s="269"/>
      <c r="P156" s="268"/>
      <c r="Q156" s="268"/>
      <c r="R156" s="268"/>
      <c r="S156" s="268"/>
      <c r="T156" s="269"/>
      <c r="U156" s="268"/>
      <c r="V156" s="270">
        <v>0</v>
      </c>
      <c r="W156" s="270">
        <v>0</v>
      </c>
      <c r="X156" s="270">
        <v>0</v>
      </c>
      <c r="Y156" s="271"/>
      <c r="Z156" s="270">
        <v>0</v>
      </c>
      <c r="AA156" s="270">
        <v>0</v>
      </c>
      <c r="AB156" s="270">
        <v>0</v>
      </c>
      <c r="AC156" s="270">
        <v>0</v>
      </c>
      <c r="AD156" s="271"/>
      <c r="AE156" s="271">
        <v>0</v>
      </c>
      <c r="AF156" s="271">
        <v>0</v>
      </c>
      <c r="AG156" s="271">
        <v>0</v>
      </c>
    </row>
    <row r="157" spans="1:33" hidden="1" outlineLevel="1">
      <c r="C157" s="124" t="s">
        <v>226</v>
      </c>
      <c r="E157" s="269"/>
      <c r="F157" s="727">
        <v>0</v>
      </c>
      <c r="G157" s="727">
        <v>0</v>
      </c>
      <c r="H157" s="727">
        <v>0</v>
      </c>
      <c r="I157" s="727">
        <v>0</v>
      </c>
      <c r="J157" s="728">
        <v>0</v>
      </c>
      <c r="K157" s="727">
        <v>0</v>
      </c>
      <c r="L157" s="727">
        <v>0</v>
      </c>
      <c r="M157" s="727">
        <v>0</v>
      </c>
      <c r="N157" s="727">
        <v>0</v>
      </c>
      <c r="O157" s="728">
        <v>0</v>
      </c>
      <c r="P157" s="727">
        <v>0</v>
      </c>
      <c r="Q157" s="727">
        <v>0</v>
      </c>
      <c r="R157" s="727">
        <v>0</v>
      </c>
      <c r="S157" s="727">
        <v>0</v>
      </c>
      <c r="T157" s="728">
        <v>0</v>
      </c>
      <c r="U157" s="727">
        <v>0</v>
      </c>
      <c r="V157" s="729">
        <f>U157*(1+V158)</f>
        <v>0</v>
      </c>
      <c r="W157" s="729">
        <f>V157*(1+W158)</f>
        <v>0</v>
      </c>
      <c r="X157" s="729">
        <f>W157*(1+X158)</f>
        <v>0</v>
      </c>
      <c r="Y157" s="728">
        <v>0</v>
      </c>
      <c r="Z157" s="729">
        <f>X157*(1+Z158)</f>
        <v>0</v>
      </c>
      <c r="AA157" s="729">
        <f>Z157*(1+AA158)</f>
        <v>0</v>
      </c>
      <c r="AB157" s="729">
        <f>AA157*(1+AB158)</f>
        <v>0</v>
      </c>
      <c r="AC157" s="729">
        <f>AB157*(1+AC158)</f>
        <v>0</v>
      </c>
      <c r="AD157" s="728">
        <v>0</v>
      </c>
      <c r="AE157" s="728">
        <f>AD157*(1+AE158)</f>
        <v>0</v>
      </c>
      <c r="AF157" s="728">
        <f>AE157*(1+AF158)</f>
        <v>0</v>
      </c>
      <c r="AG157" s="728">
        <f>AF157*(1+AG158)</f>
        <v>0</v>
      </c>
    </row>
    <row r="158" spans="1:33" hidden="1" outlineLevel="1">
      <c r="C158" s="275" t="s">
        <v>227</v>
      </c>
      <c r="E158" s="269"/>
      <c r="F158" s="268"/>
      <c r="G158" s="265" t="str">
        <f>IFERROR(G157/F157-1,"--")</f>
        <v>--</v>
      </c>
      <c r="H158" s="265" t="str">
        <f>IFERROR(H157/G157-1,"--")</f>
        <v>--</v>
      </c>
      <c r="I158" s="265" t="str">
        <f>IFERROR(I157/H157-1,"--")</f>
        <v>--</v>
      </c>
      <c r="J158" s="269"/>
      <c r="K158" s="265" t="str">
        <f>IFERROR(K157/I157-1,"--")</f>
        <v>--</v>
      </c>
      <c r="L158" s="265" t="str">
        <f>IFERROR(L157/K157-1,"--")</f>
        <v>--</v>
      </c>
      <c r="M158" s="265" t="str">
        <f>IFERROR(M157/L157-1,"--")</f>
        <v>--</v>
      </c>
      <c r="N158" s="265" t="str">
        <f>IFERROR(N157/M157-1,"--")</f>
        <v>--</v>
      </c>
      <c r="O158" s="266" t="str">
        <f>IFERROR(O157/J157-1,"--")</f>
        <v>--</v>
      </c>
      <c r="P158" s="265" t="str">
        <f>IFERROR(P157/N157-1,"--")</f>
        <v>--</v>
      </c>
      <c r="Q158" s="265" t="str">
        <f>IFERROR(Q157/P157-1,"--")</f>
        <v>--</v>
      </c>
      <c r="R158" s="265" t="str">
        <f>IFERROR(R157/Q157-1,"--")</f>
        <v>--</v>
      </c>
      <c r="S158" s="265" t="str">
        <f>IFERROR(S157/R157-1,"--")</f>
        <v>--</v>
      </c>
      <c r="T158" s="266" t="str">
        <f>IFERROR(T157/O157-1,"--")</f>
        <v>--</v>
      </c>
      <c r="U158" s="265" t="str">
        <f>IFERROR(U157/S157-1,"--")</f>
        <v>--</v>
      </c>
      <c r="V158" s="267">
        <f>IF(Case_Scenario="Bull",V159,IF(Case_Scenario="Base",V160,IF(Case_Scenario="bear",V161,"N/A")))</f>
        <v>0</v>
      </c>
      <c r="W158" s="267">
        <f>IF(Case_Scenario="Bull",W159,IF(Case_Scenario="Base",W160,IF(Case_Scenario="bear",W161,"N/A")))</f>
        <v>0</v>
      </c>
      <c r="X158" s="267">
        <f>IF(Case_Scenario="Bull",X159,IF(Case_Scenario="Base",X160,IF(Case_Scenario="bear",X161,"N/A")))</f>
        <v>0</v>
      </c>
      <c r="Y158" s="747"/>
      <c r="Z158" s="267">
        <f>IF(Case_Scenario="Bull",Z159,IF(Case_Scenario="Base",Z160,IF(Case_Scenario="bear",Z161,"N/A")))</f>
        <v>0</v>
      </c>
      <c r="AA158" s="267">
        <f>IF(Case_Scenario="Bull",AA159,IF(Case_Scenario="Base",AA160,IF(Case_Scenario="bear",AA161,"N/A")))</f>
        <v>0</v>
      </c>
      <c r="AB158" s="267">
        <f>IF(Case_Scenario="Bull",AB159,IF(Case_Scenario="Base",AB160,IF(Case_Scenario="bear",AB161,"N/A")))</f>
        <v>0</v>
      </c>
      <c r="AC158" s="267">
        <f>IF(Case_Scenario="Bull",AC159,IF(Case_Scenario="Base",AC160,IF(Case_Scenario="bear",AC161,"N/A")))</f>
        <v>0</v>
      </c>
      <c r="AD158" s="266"/>
      <c r="AE158" s="266">
        <f>IF(Case_Scenario="Bull",AE159,IF(Case_Scenario="Base",AE160,IF(Case_Scenario="bear",AE161,"N/A")))</f>
        <v>0</v>
      </c>
      <c r="AF158" s="266">
        <f>IF(Case_Scenario="Bull",AF159,IF(Case_Scenario="Base",AF160,IF(Case_Scenario="bear",AF161,"N/A")))</f>
        <v>0</v>
      </c>
      <c r="AG158" s="266">
        <f>IF(Case_Scenario="Bull",AG159,IF(Case_Scenario="Base",AG160,IF(Case_Scenario="bear",AG161,"N/A")))</f>
        <v>0</v>
      </c>
    </row>
    <row r="159" spans="1:33" hidden="1" outlineLevel="1">
      <c r="C159" s="276" t="s">
        <v>217</v>
      </c>
      <c r="E159" s="269"/>
      <c r="F159" s="268"/>
      <c r="G159" s="268"/>
      <c r="H159" s="268"/>
      <c r="I159" s="268"/>
      <c r="J159" s="269"/>
      <c r="K159" s="268"/>
      <c r="L159" s="268"/>
      <c r="M159" s="268"/>
      <c r="N159" s="268"/>
      <c r="O159" s="269"/>
      <c r="P159" s="268"/>
      <c r="Q159" s="268"/>
      <c r="R159" s="268"/>
      <c r="S159" s="268"/>
      <c r="T159" s="269"/>
      <c r="U159" s="268"/>
      <c r="V159" s="270">
        <v>0</v>
      </c>
      <c r="W159" s="270">
        <v>0</v>
      </c>
      <c r="X159" s="270">
        <v>0</v>
      </c>
      <c r="Y159" s="271"/>
      <c r="Z159" s="270">
        <v>0</v>
      </c>
      <c r="AA159" s="270">
        <v>0</v>
      </c>
      <c r="AB159" s="270">
        <v>0</v>
      </c>
      <c r="AC159" s="270">
        <v>0</v>
      </c>
      <c r="AD159" s="271"/>
      <c r="AE159" s="271">
        <v>0</v>
      </c>
      <c r="AF159" s="271">
        <v>0</v>
      </c>
      <c r="AG159" s="271">
        <v>0</v>
      </c>
    </row>
    <row r="160" spans="1:33" hidden="1" outlineLevel="1">
      <c r="C160" s="276" t="s">
        <v>218</v>
      </c>
      <c r="E160" s="269"/>
      <c r="F160" s="268"/>
      <c r="G160" s="268"/>
      <c r="H160" s="268"/>
      <c r="I160" s="268"/>
      <c r="J160" s="269"/>
      <c r="K160" s="268"/>
      <c r="L160" s="268"/>
      <c r="M160" s="268"/>
      <c r="N160" s="268"/>
      <c r="O160" s="269"/>
      <c r="P160" s="268"/>
      <c r="Q160" s="268"/>
      <c r="R160" s="268"/>
      <c r="S160" s="268"/>
      <c r="T160" s="269"/>
      <c r="U160" s="268"/>
      <c r="V160" s="270">
        <v>0</v>
      </c>
      <c r="W160" s="270">
        <v>0</v>
      </c>
      <c r="X160" s="270">
        <v>0</v>
      </c>
      <c r="Y160" s="271"/>
      <c r="Z160" s="270">
        <v>0</v>
      </c>
      <c r="AA160" s="270">
        <v>0</v>
      </c>
      <c r="AB160" s="270">
        <v>0</v>
      </c>
      <c r="AC160" s="270">
        <v>0</v>
      </c>
      <c r="AD160" s="271"/>
      <c r="AE160" s="271">
        <v>0</v>
      </c>
      <c r="AF160" s="271">
        <v>0</v>
      </c>
      <c r="AG160" s="271">
        <v>0</v>
      </c>
    </row>
    <row r="161" spans="1:34" hidden="1" outlineLevel="1">
      <c r="C161" s="276" t="s">
        <v>219</v>
      </c>
      <c r="E161" s="269"/>
      <c r="F161" s="268"/>
      <c r="G161" s="268"/>
      <c r="H161" s="268"/>
      <c r="I161" s="268"/>
      <c r="J161" s="269"/>
      <c r="K161" s="268"/>
      <c r="L161" s="268"/>
      <c r="M161" s="268"/>
      <c r="N161" s="268"/>
      <c r="O161" s="269"/>
      <c r="P161" s="268"/>
      <c r="Q161" s="268"/>
      <c r="R161" s="268"/>
      <c r="S161" s="268"/>
      <c r="T161" s="269"/>
      <c r="U161" s="268"/>
      <c r="V161" s="270">
        <v>0</v>
      </c>
      <c r="W161" s="270">
        <v>0</v>
      </c>
      <c r="X161" s="270">
        <v>0</v>
      </c>
      <c r="Y161" s="271"/>
      <c r="Z161" s="270">
        <v>0</v>
      </c>
      <c r="AA161" s="270">
        <v>0</v>
      </c>
      <c r="AB161" s="270">
        <v>0</v>
      </c>
      <c r="AC161" s="270">
        <v>0</v>
      </c>
      <c r="AD161" s="271"/>
      <c r="AE161" s="271">
        <v>0</v>
      </c>
      <c r="AF161" s="271">
        <v>0</v>
      </c>
      <c r="AG161" s="271">
        <v>0</v>
      </c>
    </row>
    <row r="162" spans="1:34" collapsed="1">
      <c r="F162" s="29"/>
      <c r="G162" s="29"/>
      <c r="H162" s="29"/>
      <c r="I162" s="29"/>
      <c r="K162" s="29"/>
      <c r="L162" s="29"/>
      <c r="M162" s="29"/>
      <c r="N162" s="29"/>
      <c r="P162" s="29"/>
      <c r="Q162" s="29"/>
      <c r="R162" s="29"/>
      <c r="S162" s="29"/>
      <c r="U162" s="29"/>
      <c r="V162" s="30"/>
      <c r="W162" s="30"/>
      <c r="X162" s="30"/>
      <c r="Z162" s="30"/>
      <c r="AA162" s="30"/>
      <c r="AB162" s="30"/>
      <c r="AC162" s="30"/>
    </row>
    <row r="163" spans="1:34">
      <c r="A163" s="22" t="s">
        <v>1</v>
      </c>
      <c r="C163" s="577" t="s">
        <v>231</v>
      </c>
      <c r="D163" s="147"/>
      <c r="E163" s="147"/>
      <c r="F163" s="578" t="str">
        <f>F$28</f>
        <v>1Q23</v>
      </c>
      <c r="G163" s="578" t="str">
        <f t="shared" ref="G163:AG163" si="116">G$28</f>
        <v>2Q23</v>
      </c>
      <c r="H163" s="578" t="str">
        <f t="shared" si="116"/>
        <v>3Q23</v>
      </c>
      <c r="I163" s="578" t="str">
        <f t="shared" si="116"/>
        <v>4Q23</v>
      </c>
      <c r="J163" s="578">
        <f t="shared" si="116"/>
        <v>2023</v>
      </c>
      <c r="K163" s="578" t="str">
        <f t="shared" si="116"/>
        <v>1Q24</v>
      </c>
      <c r="L163" s="578" t="str">
        <f t="shared" si="116"/>
        <v>2Q24</v>
      </c>
      <c r="M163" s="578" t="str">
        <f t="shared" si="116"/>
        <v>3Q24</v>
      </c>
      <c r="N163" s="578" t="str">
        <f t="shared" si="116"/>
        <v>4Q24</v>
      </c>
      <c r="O163" s="578">
        <f t="shared" si="116"/>
        <v>2024</v>
      </c>
      <c r="P163" s="578" t="str">
        <f t="shared" si="116"/>
        <v>1Q25</v>
      </c>
      <c r="Q163" s="578" t="str">
        <f t="shared" si="116"/>
        <v>2Q25</v>
      </c>
      <c r="R163" s="578" t="str">
        <f t="shared" si="116"/>
        <v>3Q25</v>
      </c>
      <c r="S163" s="578" t="str">
        <f t="shared" si="116"/>
        <v>4Q25</v>
      </c>
      <c r="T163" s="578">
        <f t="shared" si="116"/>
        <v>2025</v>
      </c>
      <c r="U163" s="578" t="str">
        <f t="shared" si="116"/>
        <v>1Q26</v>
      </c>
      <c r="V163" s="578" t="str">
        <f t="shared" si="116"/>
        <v>2Q26e</v>
      </c>
      <c r="W163" s="578" t="str">
        <f t="shared" si="116"/>
        <v>3Q26e</v>
      </c>
      <c r="X163" s="578" t="str">
        <f t="shared" si="116"/>
        <v>4Q26e</v>
      </c>
      <c r="Y163" s="578" t="str">
        <f t="shared" si="116"/>
        <v>2026e</v>
      </c>
      <c r="Z163" s="578" t="str">
        <f t="shared" si="116"/>
        <v>1Q27e</v>
      </c>
      <c r="AA163" s="578" t="str">
        <f t="shared" si="116"/>
        <v>2Q27e</v>
      </c>
      <c r="AB163" s="578" t="str">
        <f t="shared" si="116"/>
        <v>3Q27e</v>
      </c>
      <c r="AC163" s="578" t="str">
        <f t="shared" si="116"/>
        <v>4Q27e</v>
      </c>
      <c r="AD163" s="578" t="str">
        <f t="shared" si="116"/>
        <v>2027e</v>
      </c>
      <c r="AE163" s="578" t="str">
        <f t="shared" si="116"/>
        <v>2028e</v>
      </c>
      <c r="AF163" s="578" t="str">
        <f t="shared" si="116"/>
        <v>2029e</v>
      </c>
      <c r="AG163" s="744" t="str">
        <f t="shared" si="116"/>
        <v>2030e</v>
      </c>
      <c r="AH163" s="250" t="s">
        <v>1</v>
      </c>
    </row>
    <row r="164" spans="1:34">
      <c r="F164" s="748"/>
      <c r="G164" s="748"/>
      <c r="H164" s="748"/>
      <c r="I164" s="748"/>
      <c r="J164" s="749"/>
      <c r="K164" s="748"/>
      <c r="L164" s="748"/>
      <c r="M164" s="748"/>
      <c r="N164" s="748"/>
      <c r="O164" s="749"/>
      <c r="P164" s="748"/>
      <c r="Q164" s="748"/>
      <c r="R164" s="748"/>
      <c r="S164" s="748"/>
      <c r="T164" s="749"/>
      <c r="U164" s="748"/>
      <c r="V164" s="100"/>
      <c r="W164" s="100"/>
      <c r="X164" s="100"/>
      <c r="Y164" s="103"/>
      <c r="Z164" s="100"/>
      <c r="AA164" s="100"/>
      <c r="AB164" s="100"/>
      <c r="AC164" s="100"/>
      <c r="AD164" s="103"/>
      <c r="AE164" s="103"/>
      <c r="AF164" s="103"/>
      <c r="AG164" s="103"/>
    </row>
    <row r="165" spans="1:34" hidden="1" outlineLevel="1">
      <c r="C165" s="28" t="str">
        <f>C32</f>
        <v>Investment Banking &amp; Equities Revenue</v>
      </c>
      <c r="F165" s="727">
        <f t="shared" ref="F165:T165" si="117">F32</f>
        <v>554811</v>
      </c>
      <c r="G165" s="727">
        <f t="shared" si="117"/>
        <v>482246</v>
      </c>
      <c r="H165" s="727">
        <f t="shared" si="117"/>
        <v>552641</v>
      </c>
      <c r="I165" s="727">
        <f t="shared" si="117"/>
        <v>766245</v>
      </c>
      <c r="J165" s="728">
        <f t="shared" si="117"/>
        <v>2355943</v>
      </c>
      <c r="K165" s="727">
        <f t="shared" si="117"/>
        <v>561728</v>
      </c>
      <c r="L165" s="727">
        <f t="shared" si="117"/>
        <v>670010</v>
      </c>
      <c r="M165" s="727">
        <f t="shared" si="117"/>
        <v>712775</v>
      </c>
      <c r="N165" s="727">
        <f t="shared" si="117"/>
        <v>953976</v>
      </c>
      <c r="O165" s="728">
        <f t="shared" si="117"/>
        <v>2898489</v>
      </c>
      <c r="P165" s="727">
        <f t="shared" si="117"/>
        <v>666714</v>
      </c>
      <c r="Q165" s="727">
        <f t="shared" si="117"/>
        <v>788222</v>
      </c>
      <c r="R165" s="727">
        <f t="shared" si="117"/>
        <v>990258</v>
      </c>
      <c r="S165" s="727">
        <f t="shared" si="117"/>
        <v>1244225</v>
      </c>
      <c r="T165" s="728">
        <f t="shared" si="117"/>
        <v>3689419</v>
      </c>
      <c r="U165" s="727">
        <f t="shared" ref="U165" si="118">U32</f>
        <v>1362465</v>
      </c>
      <c r="V165" s="729">
        <f>V167/V172</f>
        <v>1897984.2000000002</v>
      </c>
      <c r="W165" s="729">
        <f>W167/W172</f>
        <v>1992883.4100000001</v>
      </c>
      <c r="X165" s="729">
        <f>X167/X172</f>
        <v>2092527.5805000002</v>
      </c>
      <c r="Y165" s="728">
        <f>SUM(U165:X165)</f>
        <v>7345860.1905000005</v>
      </c>
      <c r="Z165" s="729">
        <f>Z167/Z172</f>
        <v>2197153.9595250003</v>
      </c>
      <c r="AA165" s="729">
        <f>AA167/AA172</f>
        <v>2307011.6575012505</v>
      </c>
      <c r="AB165" s="729">
        <f>AB167/AB172</f>
        <v>2422362.2403763132</v>
      </c>
      <c r="AC165" s="729">
        <f>AC167/AC172</f>
        <v>2543480.3523951289</v>
      </c>
      <c r="AD165" s="728">
        <f>SUM(Z165:AC165)</f>
        <v>9470008.2097976934</v>
      </c>
      <c r="AE165" s="728">
        <f>AE167/AE172</f>
        <v>9943508.6202875767</v>
      </c>
      <c r="AF165" s="728">
        <f>AF167/AF172</f>
        <v>10440684.051301956</v>
      </c>
      <c r="AG165" s="728">
        <f>AG167/AG172</f>
        <v>10962718.253867054</v>
      </c>
    </row>
    <row r="166" spans="1:34" hidden="1" outlineLevel="1">
      <c r="C166" s="124" t="s">
        <v>230</v>
      </c>
      <c r="F166" s="923">
        <f>47179+9134</f>
        <v>56313</v>
      </c>
      <c r="G166" s="923">
        <f>46414+8942</f>
        <v>55356</v>
      </c>
      <c r="H166" s="923">
        <f>40127+12896</f>
        <v>53023</v>
      </c>
      <c r="I166" s="923">
        <f>42079+15055</f>
        <v>57134</v>
      </c>
      <c r="J166" s="745">
        <f>I166</f>
        <v>57134</v>
      </c>
      <c r="K166" s="923">
        <f>46463+16145</f>
        <v>62608</v>
      </c>
      <c r="L166" s="923">
        <f>44155+14185</f>
        <v>58340</v>
      </c>
      <c r="M166" s="923">
        <v>45852</v>
      </c>
      <c r="N166" s="923">
        <v>49577</v>
      </c>
      <c r="O166" s="745">
        <f>J166+O167-O165</f>
        <v>49577</v>
      </c>
      <c r="P166" s="923">
        <v>50404</v>
      </c>
      <c r="Q166" s="923">
        <v>51925</v>
      </c>
      <c r="R166" s="923">
        <v>57875</v>
      </c>
      <c r="S166" s="923">
        <v>57166</v>
      </c>
      <c r="T166" s="745">
        <f>O166+T167-T165</f>
        <v>57166</v>
      </c>
      <c r="U166" s="923">
        <v>50404</v>
      </c>
      <c r="V166" s="746">
        <f>U166+V167-V165</f>
        <v>-424092.05000000005</v>
      </c>
      <c r="W166" s="746">
        <f>V166+W167-W165</f>
        <v>-922312.90250000008</v>
      </c>
      <c r="X166" s="746">
        <f>W166+X167-X165</f>
        <v>-1445444.7976250001</v>
      </c>
      <c r="Y166" s="745">
        <f>T166+Y167-Y165</f>
        <v>-1445444.7976249997</v>
      </c>
      <c r="Z166" s="746">
        <f>X166+Z167-Z165</f>
        <v>-1994733.2875062502</v>
      </c>
      <c r="AA166" s="746">
        <f>Z166+AA167-AA165</f>
        <v>-2571486.2018815628</v>
      </c>
      <c r="AB166" s="746">
        <f>AA166+AB167-AB165</f>
        <v>-3177076.7619756414</v>
      </c>
      <c r="AC166" s="746">
        <f>AB166+AC167-AC165</f>
        <v>-3812946.8500744235</v>
      </c>
      <c r="AD166" s="745">
        <f>Y166+AD167-AD165</f>
        <v>-3812946.8500744235</v>
      </c>
      <c r="AE166" s="719">
        <f>AD166+AE167-AE165</f>
        <v>-6298824.0051463172</v>
      </c>
      <c r="AF166" s="719">
        <f>AE166+AF167-AF165</f>
        <v>-8908995.0179718062</v>
      </c>
      <c r="AG166" s="719">
        <f>AF166+AG167-AG165</f>
        <v>-11649674.581438569</v>
      </c>
    </row>
    <row r="167" spans="1:34" hidden="1" outlineLevel="1">
      <c r="C167" s="124" t="s">
        <v>232</v>
      </c>
      <c r="F167" s="923">
        <f>F166+F165-(45187+12488)</f>
        <v>553449</v>
      </c>
      <c r="G167" s="923">
        <f>G166+G165-F166</f>
        <v>481289</v>
      </c>
      <c r="H167" s="923">
        <f t="shared" ref="H167:U167" si="119">H166+H165-G166</f>
        <v>550308</v>
      </c>
      <c r="I167" s="923">
        <f t="shared" si="119"/>
        <v>770356</v>
      </c>
      <c r="J167" s="745">
        <f>SUM(F167:I167)</f>
        <v>2355402</v>
      </c>
      <c r="K167" s="923">
        <f t="shared" si="119"/>
        <v>567202</v>
      </c>
      <c r="L167" s="923">
        <f t="shared" si="119"/>
        <v>665742</v>
      </c>
      <c r="M167" s="923">
        <f t="shared" si="119"/>
        <v>700287</v>
      </c>
      <c r="N167" s="923">
        <f t="shared" si="119"/>
        <v>957701</v>
      </c>
      <c r="O167" s="745">
        <f>SUM(K167:N167)</f>
        <v>2890932</v>
      </c>
      <c r="P167" s="923">
        <f t="shared" si="119"/>
        <v>667541</v>
      </c>
      <c r="Q167" s="923">
        <f t="shared" si="119"/>
        <v>789743</v>
      </c>
      <c r="R167" s="923">
        <f t="shared" si="119"/>
        <v>996208</v>
      </c>
      <c r="S167" s="923">
        <f t="shared" si="119"/>
        <v>1243516</v>
      </c>
      <c r="T167" s="745">
        <f>SUM(P167:S167)</f>
        <v>3697008</v>
      </c>
      <c r="U167" s="923">
        <f t="shared" si="119"/>
        <v>1355703</v>
      </c>
      <c r="V167" s="746">
        <f>U167*(1+V168)</f>
        <v>1423488.1500000001</v>
      </c>
      <c r="W167" s="746">
        <f>V167*(1+W168)</f>
        <v>1494662.5575000001</v>
      </c>
      <c r="X167" s="746">
        <f>W167*(1+X168)</f>
        <v>1569395.6853750001</v>
      </c>
      <c r="Y167" s="747">
        <f>SUM(U167:X167)</f>
        <v>5843249.3928750008</v>
      </c>
      <c r="Z167" s="746">
        <f>X167*(1+Z168)</f>
        <v>1647865.4696437502</v>
      </c>
      <c r="AA167" s="746">
        <f>Z167*(1+AA168)</f>
        <v>1730258.7431259379</v>
      </c>
      <c r="AB167" s="746">
        <f>AA167*(1+AB168)</f>
        <v>1816771.6802822349</v>
      </c>
      <c r="AC167" s="746">
        <f>AB167*(1+AC168)</f>
        <v>1907610.2642963468</v>
      </c>
      <c r="AD167" s="747">
        <f>SUM(Z167:AC167)</f>
        <v>7102506.1573482696</v>
      </c>
      <c r="AE167" s="719">
        <f>AD167*(1+AE168)</f>
        <v>7457631.465215683</v>
      </c>
      <c r="AF167" s="719">
        <f>AE167*(1+AF168)</f>
        <v>7830513.0384764671</v>
      </c>
      <c r="AG167" s="719">
        <f>AF167*(1+AG168)</f>
        <v>8222038.6904002912</v>
      </c>
    </row>
    <row r="168" spans="1:34" hidden="1" outlineLevel="1">
      <c r="C168" s="275" t="s">
        <v>233</v>
      </c>
      <c r="F168" s="268"/>
      <c r="G168" s="265">
        <f>IFERROR(G167/F167-1,"--")</f>
        <v>-0.13038238392336055</v>
      </c>
      <c r="H168" s="265">
        <f>IFERROR(H167/G167-1,"--")</f>
        <v>0.14340448254583005</v>
      </c>
      <c r="I168" s="265">
        <f>IFERROR(I167/H167-1,"--")</f>
        <v>0.39986334925169187</v>
      </c>
      <c r="J168" s="269"/>
      <c r="K168" s="265">
        <f>IFERROR(K167/I167-1,"--")</f>
        <v>-0.26371443851933396</v>
      </c>
      <c r="L168" s="265">
        <f>IFERROR(L167/K167-1,"--")</f>
        <v>0.17372999389988042</v>
      </c>
      <c r="M168" s="265">
        <f>IFERROR(M167/L167-1,"--")</f>
        <v>5.1889470695855255E-2</v>
      </c>
      <c r="N168" s="265">
        <f>IFERROR(N167/M167-1,"--")</f>
        <v>0.36758357644794204</v>
      </c>
      <c r="O168" s="266">
        <f>IFERROR(O167/J167-1,"--")</f>
        <v>0.22736246296810481</v>
      </c>
      <c r="P168" s="265">
        <f>IFERROR(P167/N167-1,"--")</f>
        <v>-0.30297556335432463</v>
      </c>
      <c r="Q168" s="265">
        <f>IFERROR(Q167/P167-1,"--")</f>
        <v>0.18306291298961419</v>
      </c>
      <c r="R168" s="265">
        <f>IFERROR(R167/Q167-1,"--")</f>
        <v>0.26143314977150789</v>
      </c>
      <c r="S168" s="265">
        <f>IFERROR(S167/R167-1,"--")</f>
        <v>0.24824936157910793</v>
      </c>
      <c r="T168" s="266">
        <f>IFERROR(T167/O167-1,"--")</f>
        <v>0.2788291111655341</v>
      </c>
      <c r="U168" s="265">
        <f>IFERROR(U167/S167-1,"--")</f>
        <v>9.0217576613409012E-2</v>
      </c>
      <c r="V168" s="267">
        <f>IF(Case_Scenario="Bull",V169,IF(Case_Scenario="Base",V170,IF(Case_Scenario="bear",V171,"N/A")))</f>
        <v>0.05</v>
      </c>
      <c r="W168" s="267">
        <f>IF(Case_Scenario="Bull",W169,IF(Case_Scenario="Base",W170,IF(Case_Scenario="bear",W171,"N/A")))</f>
        <v>0.05</v>
      </c>
      <c r="X168" s="267">
        <f>IF(Case_Scenario="Bull",X169,IF(Case_Scenario="Base",X170,IF(Case_Scenario="bear",X171,"N/A")))</f>
        <v>0.05</v>
      </c>
      <c r="Y168" s="266"/>
      <c r="Z168" s="267">
        <f>IF(Case_Scenario="Bull",Z169,IF(Case_Scenario="Base",Z170,IF(Case_Scenario="bear",Z171,"N/A")))</f>
        <v>0.05</v>
      </c>
      <c r="AA168" s="267">
        <f>IF(Case_Scenario="Bull",AA169,IF(Case_Scenario="Base",AA170,IF(Case_Scenario="bear",AA171,"N/A")))</f>
        <v>0.05</v>
      </c>
      <c r="AB168" s="267">
        <f>IF(Case_Scenario="Bull",AB169,IF(Case_Scenario="Base",AB170,IF(Case_Scenario="bear",AB171,"N/A")))</f>
        <v>0.05</v>
      </c>
      <c r="AC168" s="267">
        <f>IF(Case_Scenario="Bull",AC169,IF(Case_Scenario="Base",AC170,IF(Case_Scenario="bear",AC171,"N/A")))</f>
        <v>0.05</v>
      </c>
      <c r="AD168" s="266"/>
      <c r="AE168" s="266">
        <f>IF(Case_Scenario="Bull",AE169,IF(Case_Scenario="Base",AE170,IF(Case_Scenario="bear",AE171,"N/A")))</f>
        <v>0.05</v>
      </c>
      <c r="AF168" s="266">
        <f>IF(Case_Scenario="Bull",AF169,IF(Case_Scenario="Base",AF170,IF(Case_Scenario="bear",AF171,"N/A")))</f>
        <v>0.05</v>
      </c>
      <c r="AG168" s="266">
        <f>IF(Case_Scenario="Bull",AG169,IF(Case_Scenario="Base",AG170,IF(Case_Scenario="bear",AG171,"N/A")))</f>
        <v>0.05</v>
      </c>
    </row>
    <row r="169" spans="1:34" hidden="1" outlineLevel="1">
      <c r="C169" s="276" t="s">
        <v>217</v>
      </c>
      <c r="F169" s="268"/>
      <c r="G169" s="268"/>
      <c r="H169" s="268"/>
      <c r="I169" s="268"/>
      <c r="J169" s="269"/>
      <c r="K169" s="268"/>
      <c r="L169" s="268"/>
      <c r="M169" s="268"/>
      <c r="N169" s="268"/>
      <c r="O169" s="269"/>
      <c r="P169" s="268"/>
      <c r="Q169" s="268"/>
      <c r="R169" s="268"/>
      <c r="S169" s="268"/>
      <c r="T169" s="269"/>
      <c r="U169" s="268"/>
      <c r="V169" s="270">
        <v>0.1</v>
      </c>
      <c r="W169" s="270">
        <v>0.1</v>
      </c>
      <c r="X169" s="270">
        <v>0.1</v>
      </c>
      <c r="Y169" s="271"/>
      <c r="Z169" s="270">
        <v>0.1</v>
      </c>
      <c r="AA169" s="270">
        <v>0.1</v>
      </c>
      <c r="AB169" s="270">
        <v>0.1</v>
      </c>
      <c r="AC169" s="270">
        <v>0.1</v>
      </c>
      <c r="AD169" s="271"/>
      <c r="AE169" s="271">
        <v>0.1</v>
      </c>
      <c r="AF169" s="271">
        <v>0.1</v>
      </c>
      <c r="AG169" s="271">
        <v>0.1</v>
      </c>
    </row>
    <row r="170" spans="1:34" hidden="1" outlineLevel="1">
      <c r="C170" s="276" t="s">
        <v>218</v>
      </c>
      <c r="F170" s="268"/>
      <c r="G170" s="268"/>
      <c r="H170" s="268"/>
      <c r="I170" s="268"/>
      <c r="J170" s="269"/>
      <c r="K170" s="268"/>
      <c r="L170" s="268"/>
      <c r="M170" s="268"/>
      <c r="N170" s="268"/>
      <c r="O170" s="269"/>
      <c r="P170" s="268"/>
      <c r="Q170" s="268"/>
      <c r="R170" s="268"/>
      <c r="S170" s="268"/>
      <c r="T170" s="269"/>
      <c r="U170" s="268"/>
      <c r="V170" s="270">
        <v>0.05</v>
      </c>
      <c r="W170" s="270">
        <v>0.05</v>
      </c>
      <c r="X170" s="270">
        <v>0.05</v>
      </c>
      <c r="Y170" s="271"/>
      <c r="Z170" s="270">
        <v>0.05</v>
      </c>
      <c r="AA170" s="270">
        <v>0.05</v>
      </c>
      <c r="AB170" s="270">
        <v>0.05</v>
      </c>
      <c r="AC170" s="270">
        <v>0.05</v>
      </c>
      <c r="AD170" s="271"/>
      <c r="AE170" s="271">
        <v>0.05</v>
      </c>
      <c r="AF170" s="271">
        <v>0.05</v>
      </c>
      <c r="AG170" s="271">
        <v>0.05</v>
      </c>
    </row>
    <row r="171" spans="1:34" hidden="1" outlineLevel="1">
      <c r="C171" s="276" t="s">
        <v>219</v>
      </c>
      <c r="F171" s="268"/>
      <c r="G171" s="268"/>
      <c r="H171" s="268"/>
      <c r="I171" s="268"/>
      <c r="J171" s="269"/>
      <c r="K171" s="268"/>
      <c r="L171" s="268"/>
      <c r="M171" s="268"/>
      <c r="N171" s="268"/>
      <c r="O171" s="269"/>
      <c r="P171" s="268"/>
      <c r="Q171" s="268"/>
      <c r="R171" s="268"/>
      <c r="S171" s="268"/>
      <c r="T171" s="269"/>
      <c r="U171" s="268"/>
      <c r="V171" s="270">
        <v>0</v>
      </c>
      <c r="W171" s="270">
        <v>0</v>
      </c>
      <c r="X171" s="270">
        <v>0</v>
      </c>
      <c r="Y171" s="271"/>
      <c r="Z171" s="270">
        <v>0</v>
      </c>
      <c r="AA171" s="270">
        <v>0</v>
      </c>
      <c r="AB171" s="270">
        <v>0</v>
      </c>
      <c r="AC171" s="270">
        <v>0</v>
      </c>
      <c r="AD171" s="271"/>
      <c r="AE171" s="271">
        <v>0</v>
      </c>
      <c r="AF171" s="271">
        <v>0</v>
      </c>
      <c r="AG171" s="271">
        <v>0</v>
      </c>
    </row>
    <row r="172" spans="1:34" hidden="1" outlineLevel="1">
      <c r="C172" s="124" t="s">
        <v>234</v>
      </c>
      <c r="F172" s="750">
        <f>F167/F165</f>
        <v>0.99754510995636347</v>
      </c>
      <c r="G172" s="750">
        <f t="shared" ref="G172:T172" si="120">G167/G165</f>
        <v>0.99801553563948686</v>
      </c>
      <c r="H172" s="750">
        <f t="shared" si="120"/>
        <v>0.99577845291970735</v>
      </c>
      <c r="I172" s="750">
        <f t="shared" si="120"/>
        <v>1.005365124731646</v>
      </c>
      <c r="J172" s="751">
        <f t="shared" si="120"/>
        <v>0.99977036795881735</v>
      </c>
      <c r="K172" s="750">
        <f t="shared" si="120"/>
        <v>1.0097449299305001</v>
      </c>
      <c r="L172" s="750">
        <f t="shared" si="120"/>
        <v>0.99362994582170416</v>
      </c>
      <c r="M172" s="750">
        <f t="shared" si="120"/>
        <v>0.9824797446599558</v>
      </c>
      <c r="N172" s="750">
        <f t="shared" si="120"/>
        <v>1.003904710391037</v>
      </c>
      <c r="O172" s="751">
        <f t="shared" si="120"/>
        <v>0.99739277947923899</v>
      </c>
      <c r="P172" s="750">
        <f t="shared" si="120"/>
        <v>1.001240411930753</v>
      </c>
      <c r="Q172" s="750">
        <f t="shared" si="120"/>
        <v>1.0019296594106737</v>
      </c>
      <c r="R172" s="750">
        <f t="shared" si="120"/>
        <v>1.0060085351494257</v>
      </c>
      <c r="S172" s="750">
        <f t="shared" si="120"/>
        <v>0.99943016737326451</v>
      </c>
      <c r="T172" s="751">
        <f t="shared" si="120"/>
        <v>1.0020569634405851</v>
      </c>
      <c r="U172" s="750">
        <f t="shared" ref="U172" si="121">U167/U165</f>
        <v>0.9950369367286499</v>
      </c>
      <c r="V172" s="752">
        <f>IF(Case_Scenario="Bull",V173,IF(Case_Scenario="Base",V174,IF(Case_Scenario="bear",V175,"N/A")))</f>
        <v>0.75</v>
      </c>
      <c r="W172" s="752">
        <f>IF(Case_Scenario="Bull",W173,IF(Case_Scenario="Base",W174,IF(Case_Scenario="bear",W175,"N/A")))</f>
        <v>0.75</v>
      </c>
      <c r="X172" s="752">
        <f>IF(Case_Scenario="Bull",X173,IF(Case_Scenario="Base",X174,IF(Case_Scenario="bear",X175,"N/A")))</f>
        <v>0.75</v>
      </c>
      <c r="Y172" s="753">
        <f>AVERAGE(U172:X172)</f>
        <v>0.8112592341821625</v>
      </c>
      <c r="Z172" s="752">
        <f>IF(Case_Scenario="Bull",Z173,IF(Case_Scenario="Base",Z174,IF(Case_Scenario="bear",Z175,"N/A")))</f>
        <v>0.75</v>
      </c>
      <c r="AA172" s="752">
        <f>IF(Case_Scenario="Bull",AA173,IF(Case_Scenario="Base",AA174,IF(Case_Scenario="bear",AA175,"N/A")))</f>
        <v>0.75</v>
      </c>
      <c r="AB172" s="752">
        <f>IF(Case_Scenario="Bull",AB173,IF(Case_Scenario="Base",AB174,IF(Case_Scenario="bear",AB175,"N/A")))</f>
        <v>0.75</v>
      </c>
      <c r="AC172" s="752">
        <f>IF(Case_Scenario="Bull",AC173,IF(Case_Scenario="Base",AC174,IF(Case_Scenario="bear",AC175,"N/A")))</f>
        <v>0.75</v>
      </c>
      <c r="AD172" s="753">
        <f>AVERAGE(Z172:AC172)</f>
        <v>0.75</v>
      </c>
      <c r="AE172" s="751">
        <f>IF(Case_Scenario="Bull",AE173,IF(Case_Scenario="Base",AE174,IF(Case_Scenario="bear",AE175,"N/A")))</f>
        <v>0.75</v>
      </c>
      <c r="AF172" s="751">
        <f>IF(Case_Scenario="Bull",AF173,IF(Case_Scenario="Base",AF174,IF(Case_Scenario="bear",AF175,"N/A")))</f>
        <v>0.75</v>
      </c>
      <c r="AG172" s="751">
        <f>IF(Case_Scenario="Bull",AG173,IF(Case_Scenario="Base",AG174,IF(Case_Scenario="bear",AG175,"N/A")))</f>
        <v>0.75</v>
      </c>
    </row>
    <row r="173" spans="1:34" hidden="1" outlineLevel="1">
      <c r="C173" s="276" t="s">
        <v>217</v>
      </c>
      <c r="F173" s="277"/>
      <c r="G173" s="278"/>
      <c r="H173" s="278"/>
      <c r="I173" s="278"/>
      <c r="J173" s="279"/>
      <c r="K173" s="278"/>
      <c r="L173" s="278"/>
      <c r="M173" s="278"/>
      <c r="N173" s="278"/>
      <c r="O173" s="280"/>
      <c r="P173" s="278"/>
      <c r="Q173" s="278"/>
      <c r="R173" s="278"/>
      <c r="S173" s="278"/>
      <c r="T173" s="280"/>
      <c r="U173" s="278"/>
      <c r="V173" s="281">
        <v>0.5</v>
      </c>
      <c r="W173" s="281">
        <v>0.5</v>
      </c>
      <c r="X173" s="281">
        <v>0.5</v>
      </c>
      <c r="Y173" s="282"/>
      <c r="Z173" s="281">
        <v>0.5</v>
      </c>
      <c r="AA173" s="281">
        <v>0.5</v>
      </c>
      <c r="AB173" s="281">
        <v>0.5</v>
      </c>
      <c r="AC173" s="281">
        <v>0.5</v>
      </c>
      <c r="AD173" s="282"/>
      <c r="AE173" s="283">
        <v>0.5</v>
      </c>
      <c r="AF173" s="283">
        <v>0.5</v>
      </c>
      <c r="AG173" s="283">
        <v>0.5</v>
      </c>
    </row>
    <row r="174" spans="1:34" hidden="1" outlineLevel="1">
      <c r="C174" s="276" t="s">
        <v>218</v>
      </c>
      <c r="F174" s="277"/>
      <c r="G174" s="277"/>
      <c r="H174" s="277"/>
      <c r="I174" s="277"/>
      <c r="J174" s="279"/>
      <c r="K174" s="277"/>
      <c r="L174" s="277"/>
      <c r="M174" s="277"/>
      <c r="N174" s="277"/>
      <c r="O174" s="279"/>
      <c r="P174" s="277"/>
      <c r="Q174" s="277"/>
      <c r="R174" s="277"/>
      <c r="S174" s="277"/>
      <c r="T174" s="279"/>
      <c r="U174" s="277"/>
      <c r="V174" s="281">
        <v>0.75</v>
      </c>
      <c r="W174" s="281">
        <v>0.75</v>
      </c>
      <c r="X174" s="281">
        <v>0.75</v>
      </c>
      <c r="Y174" s="282"/>
      <c r="Z174" s="281">
        <v>0.75</v>
      </c>
      <c r="AA174" s="281">
        <v>0.75</v>
      </c>
      <c r="AB174" s="281">
        <v>0.75</v>
      </c>
      <c r="AC174" s="281">
        <v>0.75</v>
      </c>
      <c r="AD174" s="282"/>
      <c r="AE174" s="283">
        <v>0.75</v>
      </c>
      <c r="AF174" s="283">
        <v>0.75</v>
      </c>
      <c r="AG174" s="283">
        <v>0.75</v>
      </c>
    </row>
    <row r="175" spans="1:34" hidden="1" outlineLevel="1">
      <c r="C175" s="276" t="s">
        <v>219</v>
      </c>
      <c r="F175" s="277"/>
      <c r="G175" s="277"/>
      <c r="H175" s="277"/>
      <c r="I175" s="277"/>
      <c r="J175" s="279"/>
      <c r="K175" s="277"/>
      <c r="L175" s="277"/>
      <c r="M175" s="277"/>
      <c r="N175" s="277"/>
      <c r="O175" s="279"/>
      <c r="P175" s="277"/>
      <c r="Q175" s="277"/>
      <c r="R175" s="277"/>
      <c r="S175" s="277"/>
      <c r="T175" s="279"/>
      <c r="U175" s="277"/>
      <c r="V175" s="281">
        <v>1</v>
      </c>
      <c r="W175" s="281">
        <v>1</v>
      </c>
      <c r="X175" s="281">
        <v>1</v>
      </c>
      <c r="Y175" s="282"/>
      <c r="Z175" s="281">
        <v>1</v>
      </c>
      <c r="AA175" s="281">
        <v>1</v>
      </c>
      <c r="AB175" s="281">
        <v>1</v>
      </c>
      <c r="AC175" s="281">
        <v>1</v>
      </c>
      <c r="AD175" s="282"/>
      <c r="AE175" s="283">
        <v>1</v>
      </c>
      <c r="AF175" s="283">
        <v>1</v>
      </c>
      <c r="AG175" s="283">
        <v>1</v>
      </c>
    </row>
    <row r="176" spans="1:34" hidden="1" outlineLevel="1">
      <c r="F176" s="268"/>
      <c r="G176" s="268"/>
      <c r="H176" s="268"/>
      <c r="I176" s="268"/>
      <c r="J176" s="269"/>
      <c r="K176" s="268"/>
      <c r="L176" s="268"/>
      <c r="M176" s="268"/>
      <c r="N176" s="268"/>
      <c r="O176" s="269"/>
      <c r="P176" s="268"/>
      <c r="Q176" s="268"/>
      <c r="R176" s="268"/>
      <c r="S176" s="268"/>
      <c r="T176" s="269"/>
      <c r="U176" s="268"/>
      <c r="V176" s="270"/>
      <c r="W176" s="270"/>
      <c r="X176" s="270"/>
      <c r="Y176" s="271"/>
      <c r="Z176" s="270"/>
      <c r="AA176" s="270"/>
      <c r="AB176" s="270"/>
      <c r="AC176" s="270"/>
      <c r="AD176" s="271"/>
      <c r="AE176" s="271"/>
      <c r="AF176" s="271"/>
      <c r="AG176" s="271"/>
    </row>
    <row r="177" spans="1:33" hidden="1" outlineLevel="1">
      <c r="A177" s="22" t="s">
        <v>1</v>
      </c>
      <c r="C177" s="28" t="str">
        <f>C35</f>
        <v>Investment Management Revenue</v>
      </c>
      <c r="F177" s="727">
        <f t="shared" ref="F177:T177" si="122">F35</f>
        <v>17332</v>
      </c>
      <c r="G177" s="727">
        <f t="shared" si="122"/>
        <v>17173</v>
      </c>
      <c r="H177" s="727">
        <f t="shared" si="122"/>
        <v>17579</v>
      </c>
      <c r="I177" s="727">
        <f t="shared" si="122"/>
        <v>17922</v>
      </c>
      <c r="J177" s="728">
        <f t="shared" si="122"/>
        <v>70006</v>
      </c>
      <c r="K177" s="727">
        <f t="shared" si="122"/>
        <v>19087</v>
      </c>
      <c r="L177" s="727">
        <f t="shared" si="122"/>
        <v>19214</v>
      </c>
      <c r="M177" s="727">
        <f t="shared" si="122"/>
        <v>21447</v>
      </c>
      <c r="N177" s="727">
        <f t="shared" si="122"/>
        <v>21356</v>
      </c>
      <c r="O177" s="728">
        <f t="shared" si="122"/>
        <v>81104</v>
      </c>
      <c r="P177" s="727">
        <f t="shared" si="122"/>
        <v>32308</v>
      </c>
      <c r="Q177" s="727">
        <f t="shared" si="122"/>
        <v>49818</v>
      </c>
      <c r="R177" s="727">
        <f t="shared" si="122"/>
        <v>55736</v>
      </c>
      <c r="S177" s="727">
        <f t="shared" si="122"/>
        <v>52803</v>
      </c>
      <c r="T177" s="728">
        <f t="shared" si="122"/>
        <v>190665</v>
      </c>
      <c r="U177" s="727">
        <f t="shared" ref="U177" si="123">U35</f>
        <v>38004</v>
      </c>
      <c r="V177" s="729">
        <f>V179/V184</f>
        <v>34502.160000000003</v>
      </c>
      <c r="W177" s="729">
        <f>W179/W184</f>
        <v>36227.268000000004</v>
      </c>
      <c r="X177" s="729">
        <f>X179/X184</f>
        <v>38038.631400000006</v>
      </c>
      <c r="Y177" s="728">
        <f>SUM(U177:X177)</f>
        <v>146772.05940000003</v>
      </c>
      <c r="Z177" s="729">
        <f>Z179/Z184</f>
        <v>39940.562970000014</v>
      </c>
      <c r="AA177" s="729">
        <f>AA179/AA184</f>
        <v>41937.591118500015</v>
      </c>
      <c r="AB177" s="729">
        <f>AB179/AB184</f>
        <v>44034.470674425022</v>
      </c>
      <c r="AC177" s="729">
        <f>AC179/AC184</f>
        <v>46236.194208146269</v>
      </c>
      <c r="AD177" s="728">
        <f>SUM(Z177:AC177)</f>
        <v>172148.81897107133</v>
      </c>
      <c r="AE177" s="728">
        <f>AE179/AE184</f>
        <v>180756.25991962486</v>
      </c>
      <c r="AF177" s="728">
        <f>AF179/AF184</f>
        <v>189794.07291560614</v>
      </c>
      <c r="AG177" s="728">
        <f>AG179/AG184</f>
        <v>199283.77656138645</v>
      </c>
    </row>
    <row r="178" spans="1:33" hidden="1" outlineLevel="1">
      <c r="C178" s="124" t="s">
        <v>230</v>
      </c>
      <c r="F178" s="718">
        <f>422982+632</f>
        <v>423614</v>
      </c>
      <c r="G178" s="718">
        <f>416576+282</f>
        <v>416858</v>
      </c>
      <c r="H178" s="718">
        <f>408756+219</f>
        <v>408975</v>
      </c>
      <c r="I178" s="718">
        <f>416198+160</f>
        <v>416358</v>
      </c>
      <c r="J178" s="745">
        <f>431408+216+J179-J177</f>
        <v>416358</v>
      </c>
      <c r="K178" s="718">
        <f>415086+1810</f>
        <v>416896</v>
      </c>
      <c r="L178" s="718">
        <f>423446+376</f>
        <v>423822</v>
      </c>
      <c r="M178" s="718">
        <v>412185</v>
      </c>
      <c r="N178" s="718">
        <v>421345</v>
      </c>
      <c r="O178" s="745">
        <f>J178+O179-O177</f>
        <v>421345</v>
      </c>
      <c r="P178" s="718">
        <v>415377</v>
      </c>
      <c r="Q178" s="718">
        <v>415723</v>
      </c>
      <c r="R178" s="718">
        <v>413064</v>
      </c>
      <c r="S178" s="718">
        <v>412307</v>
      </c>
      <c r="T178" s="745">
        <f>O178+T179-T177</f>
        <v>412307</v>
      </c>
      <c r="U178" s="718">
        <v>415377</v>
      </c>
      <c r="V178" s="746">
        <f>U178+V179-V177</f>
        <v>424002.54000000004</v>
      </c>
      <c r="W178" s="746">
        <f>V178+W179-W177</f>
        <v>433059.35700000008</v>
      </c>
      <c r="X178" s="746">
        <f>W178+X179-X177</f>
        <v>442569.01485000009</v>
      </c>
      <c r="Y178" s="745">
        <f>T178+Y179-Y177</f>
        <v>442569.01485000004</v>
      </c>
      <c r="Z178" s="746">
        <f>X178+Z179-Z177</f>
        <v>452554.15559250006</v>
      </c>
      <c r="AA178" s="746">
        <f>Z178+AA179-AA177</f>
        <v>463038.55337212502</v>
      </c>
      <c r="AB178" s="746">
        <f>AA178+AB179-AB177</f>
        <v>474047.17104073131</v>
      </c>
      <c r="AC178" s="746">
        <f>AB178+AC179-AC177</f>
        <v>485606.21959276794</v>
      </c>
      <c r="AD178" s="745">
        <f>Y178+AD179-AD177</f>
        <v>485606.21959276783</v>
      </c>
      <c r="AE178" s="719">
        <f>AD178+AE179-AE177</f>
        <v>530795.28457267408</v>
      </c>
      <c r="AF178" s="719">
        <f>AE178+AF179-AF177</f>
        <v>578243.80280157551</v>
      </c>
      <c r="AG178" s="719">
        <f>AF178+AG179-AG177</f>
        <v>628064.74694192212</v>
      </c>
    </row>
    <row r="179" spans="1:33" hidden="1" outlineLevel="1">
      <c r="C179" s="124" t="s">
        <v>232</v>
      </c>
      <c r="F179" s="718">
        <f>F178+F177-(431408+216)</f>
        <v>9322</v>
      </c>
      <c r="G179" s="718">
        <f>G178+G177-F178</f>
        <v>10417</v>
      </c>
      <c r="H179" s="718">
        <f t="shared" ref="H179:U179" si="124">H178+H177-G178</f>
        <v>9696</v>
      </c>
      <c r="I179" s="718">
        <f t="shared" si="124"/>
        <v>25305</v>
      </c>
      <c r="J179" s="745">
        <f>SUM(F179:I179)</f>
        <v>54740</v>
      </c>
      <c r="K179" s="718">
        <f t="shared" si="124"/>
        <v>19625</v>
      </c>
      <c r="L179" s="718">
        <f t="shared" si="124"/>
        <v>26140</v>
      </c>
      <c r="M179" s="718">
        <f t="shared" si="124"/>
        <v>9810</v>
      </c>
      <c r="N179" s="718">
        <f t="shared" si="124"/>
        <v>30516</v>
      </c>
      <c r="O179" s="745">
        <f>SUM(K179:N179)</f>
        <v>86091</v>
      </c>
      <c r="P179" s="718">
        <f t="shared" si="124"/>
        <v>26340</v>
      </c>
      <c r="Q179" s="718">
        <f t="shared" si="124"/>
        <v>50164</v>
      </c>
      <c r="R179" s="718">
        <f t="shared" si="124"/>
        <v>53077</v>
      </c>
      <c r="S179" s="718">
        <f t="shared" si="124"/>
        <v>52046</v>
      </c>
      <c r="T179" s="745">
        <f>SUM(P179:S179)</f>
        <v>181627</v>
      </c>
      <c r="U179" s="718">
        <f t="shared" si="124"/>
        <v>41074</v>
      </c>
      <c r="V179" s="746">
        <f>U179*(1+V180)</f>
        <v>43127.700000000004</v>
      </c>
      <c r="W179" s="746">
        <f>V179*(1+W180)</f>
        <v>45284.085000000006</v>
      </c>
      <c r="X179" s="746">
        <f>W179*(1+X180)</f>
        <v>47548.289250000009</v>
      </c>
      <c r="Y179" s="747">
        <f>SUM(U179:X179)</f>
        <v>177034.07425000003</v>
      </c>
      <c r="Z179" s="746">
        <f>X179*(1+Z180)</f>
        <v>49925.703712500013</v>
      </c>
      <c r="AA179" s="746">
        <f>Z179*(1+AA180)</f>
        <v>52421.988898125019</v>
      </c>
      <c r="AB179" s="746">
        <f>AA179*(1+AB180)</f>
        <v>55043.088343031275</v>
      </c>
      <c r="AC179" s="746">
        <f>AB179*(1+AC180)</f>
        <v>57795.242760182839</v>
      </c>
      <c r="AD179" s="747">
        <f>SUM(Z179:AC179)</f>
        <v>215186.02371383912</v>
      </c>
      <c r="AE179" s="719">
        <f>AD179*(1+AE180)</f>
        <v>225945.32489953109</v>
      </c>
      <c r="AF179" s="719">
        <f>AE179*(1+AF180)</f>
        <v>237242.59114450766</v>
      </c>
      <c r="AG179" s="719">
        <f>AF179*(1+AG180)</f>
        <v>249104.72070173305</v>
      </c>
    </row>
    <row r="180" spans="1:33" hidden="1" outlineLevel="1">
      <c r="C180" s="275" t="s">
        <v>233</v>
      </c>
      <c r="F180" s="268"/>
      <c r="G180" s="265">
        <f>IFERROR(G179/F179-1,"--")</f>
        <v>0.11746406350568539</v>
      </c>
      <c r="H180" s="265">
        <f>IFERROR(H179/G179-1,"--")</f>
        <v>-6.9213785158874885E-2</v>
      </c>
      <c r="I180" s="265">
        <f>IFERROR(I179/H179-1,"--")</f>
        <v>1.609839108910891</v>
      </c>
      <c r="J180" s="269"/>
      <c r="K180" s="265">
        <f>IFERROR(K179/I179-1,"--")</f>
        <v>-0.22446156885990909</v>
      </c>
      <c r="L180" s="265">
        <f>IFERROR(L179/K179-1,"--")</f>
        <v>0.33197452229299373</v>
      </c>
      <c r="M180" s="265">
        <f>IFERROR(M179/L179-1,"--")</f>
        <v>-0.62471308339709264</v>
      </c>
      <c r="N180" s="265">
        <f>IFERROR(N179/M179-1,"--")</f>
        <v>2.1107033639143733</v>
      </c>
      <c r="O180" s="266">
        <f>IFERROR(O179/J179-1,"--")</f>
        <v>0.57272561198392391</v>
      </c>
      <c r="P180" s="265">
        <f>IFERROR(P179/N179-1,"--")</f>
        <v>-0.13684624459300043</v>
      </c>
      <c r="Q180" s="265">
        <f>IFERROR(Q179/P179-1,"--")</f>
        <v>0.90447987851176914</v>
      </c>
      <c r="R180" s="265">
        <f>IFERROR(R179/Q179-1,"--")</f>
        <v>5.8069531935252439E-2</v>
      </c>
      <c r="S180" s="265">
        <f>IFERROR(S179/R179-1,"--")</f>
        <v>-1.9424609529551384E-2</v>
      </c>
      <c r="T180" s="266">
        <f>IFERROR(T179/O179-1,"--")</f>
        <v>1.1097094934429848</v>
      </c>
      <c r="U180" s="265">
        <f>IFERROR(U179/S179-1,"--")</f>
        <v>-0.2108135111247742</v>
      </c>
      <c r="V180" s="267">
        <f>IF(Case_Scenario="Bull",V181,IF(Case_Scenario="Base",V182,IF(Case_Scenario="bear",V183,"N/A")))</f>
        <v>0.05</v>
      </c>
      <c r="W180" s="267">
        <f>IF(Case_Scenario="Bull",W181,IF(Case_Scenario="Base",W182,IF(Case_Scenario="bear",W183,"N/A")))</f>
        <v>0.05</v>
      </c>
      <c r="X180" s="267">
        <f>IF(Case_Scenario="Bull",X181,IF(Case_Scenario="Base",X182,IF(Case_Scenario="bear",X183,"N/A")))</f>
        <v>0.05</v>
      </c>
      <c r="Y180" s="266"/>
      <c r="Z180" s="267">
        <f>IF(Case_Scenario="Bull",Z181,IF(Case_Scenario="Base",Z182,IF(Case_Scenario="bear",Z183,"N/A")))</f>
        <v>0.05</v>
      </c>
      <c r="AA180" s="267">
        <f>IF(Case_Scenario="Bull",AA181,IF(Case_Scenario="Base",AA182,IF(Case_Scenario="bear",AA183,"N/A")))</f>
        <v>0.05</v>
      </c>
      <c r="AB180" s="267">
        <f>IF(Case_Scenario="Bull",AB181,IF(Case_Scenario="Base",AB182,IF(Case_Scenario="bear",AB183,"N/A")))</f>
        <v>0.05</v>
      </c>
      <c r="AC180" s="267">
        <f>IF(Case_Scenario="Bull",AC181,IF(Case_Scenario="Base",AC182,IF(Case_Scenario="bear",AC183,"N/A")))</f>
        <v>0.05</v>
      </c>
      <c r="AD180" s="266"/>
      <c r="AE180" s="266">
        <f>IF(Case_Scenario="Bull",AE181,IF(Case_Scenario="Base",AE182,IF(Case_Scenario="bear",AE183,"N/A")))</f>
        <v>0.05</v>
      </c>
      <c r="AF180" s="266">
        <f>IF(Case_Scenario="Bull",AF181,IF(Case_Scenario="Base",AF182,IF(Case_Scenario="bear",AF183,"N/A")))</f>
        <v>0.05</v>
      </c>
      <c r="AG180" s="266">
        <f>IF(Case_Scenario="Bull",AG181,IF(Case_Scenario="Base",AG182,IF(Case_Scenario="bear",AG183,"N/A")))</f>
        <v>0.05</v>
      </c>
    </row>
    <row r="181" spans="1:33" hidden="1" outlineLevel="1">
      <c r="C181" s="276" t="s">
        <v>217</v>
      </c>
      <c r="F181" s="268"/>
      <c r="G181" s="268"/>
      <c r="H181" s="268"/>
      <c r="I181" s="268"/>
      <c r="J181" s="269"/>
      <c r="K181" s="268"/>
      <c r="L181" s="268"/>
      <c r="M181" s="268"/>
      <c r="N181" s="268"/>
      <c r="O181" s="269"/>
      <c r="P181" s="268"/>
      <c r="Q181" s="268"/>
      <c r="R181" s="268"/>
      <c r="S181" s="268"/>
      <c r="T181" s="269"/>
      <c r="U181" s="268"/>
      <c r="V181" s="270">
        <v>0.1</v>
      </c>
      <c r="W181" s="270">
        <v>0.1</v>
      </c>
      <c r="X181" s="270">
        <v>0.1</v>
      </c>
      <c r="Y181" s="271"/>
      <c r="Z181" s="270">
        <v>0.1</v>
      </c>
      <c r="AA181" s="270">
        <v>0.1</v>
      </c>
      <c r="AB181" s="270">
        <v>0.1</v>
      </c>
      <c r="AC181" s="270">
        <v>0.1</v>
      </c>
      <c r="AD181" s="271"/>
      <c r="AE181" s="271">
        <v>0.1</v>
      </c>
      <c r="AF181" s="271">
        <v>0.1</v>
      </c>
      <c r="AG181" s="271">
        <v>0.1</v>
      </c>
    </row>
    <row r="182" spans="1:33" hidden="1" outlineLevel="1">
      <c r="C182" s="276" t="s">
        <v>218</v>
      </c>
      <c r="F182" s="268"/>
      <c r="G182" s="268"/>
      <c r="H182" s="268"/>
      <c r="I182" s="268"/>
      <c r="J182" s="269"/>
      <c r="K182" s="268"/>
      <c r="L182" s="268"/>
      <c r="M182" s="268"/>
      <c r="N182" s="268"/>
      <c r="O182" s="269"/>
      <c r="P182" s="268"/>
      <c r="Q182" s="268"/>
      <c r="R182" s="268"/>
      <c r="S182" s="268"/>
      <c r="T182" s="269"/>
      <c r="U182" s="268"/>
      <c r="V182" s="270">
        <v>0.05</v>
      </c>
      <c r="W182" s="270">
        <v>0.05</v>
      </c>
      <c r="X182" s="270">
        <v>0.05</v>
      </c>
      <c r="Y182" s="271"/>
      <c r="Z182" s="270">
        <v>0.05</v>
      </c>
      <c r="AA182" s="270">
        <v>0.05</v>
      </c>
      <c r="AB182" s="270">
        <v>0.05</v>
      </c>
      <c r="AC182" s="270">
        <v>0.05</v>
      </c>
      <c r="AD182" s="271"/>
      <c r="AE182" s="271">
        <v>0.05</v>
      </c>
      <c r="AF182" s="271">
        <v>0.05</v>
      </c>
      <c r="AG182" s="271">
        <v>0.05</v>
      </c>
    </row>
    <row r="183" spans="1:33" hidden="1" outlineLevel="1">
      <c r="C183" s="276" t="s">
        <v>219</v>
      </c>
      <c r="F183" s="268"/>
      <c r="G183" s="268"/>
      <c r="H183" s="268"/>
      <c r="I183" s="268"/>
      <c r="J183" s="269"/>
      <c r="K183" s="268"/>
      <c r="L183" s="268"/>
      <c r="M183" s="268"/>
      <c r="N183" s="268"/>
      <c r="O183" s="269"/>
      <c r="P183" s="268"/>
      <c r="Q183" s="268"/>
      <c r="R183" s="268"/>
      <c r="S183" s="268"/>
      <c r="T183" s="269"/>
      <c r="U183" s="268"/>
      <c r="V183" s="270">
        <v>0</v>
      </c>
      <c r="W183" s="270">
        <v>0</v>
      </c>
      <c r="X183" s="270">
        <v>0</v>
      </c>
      <c r="Y183" s="271"/>
      <c r="Z183" s="270">
        <v>0</v>
      </c>
      <c r="AA183" s="270">
        <v>0</v>
      </c>
      <c r="AB183" s="270">
        <v>0</v>
      </c>
      <c r="AC183" s="270">
        <v>0</v>
      </c>
      <c r="AD183" s="271"/>
      <c r="AE183" s="271">
        <v>0</v>
      </c>
      <c r="AF183" s="271">
        <v>0</v>
      </c>
      <c r="AG183" s="271">
        <v>0</v>
      </c>
    </row>
    <row r="184" spans="1:33" hidden="1" outlineLevel="1">
      <c r="C184" s="124" t="s">
        <v>234</v>
      </c>
      <c r="F184" s="754">
        <f>F179/F177</f>
        <v>0.53784906531271637</v>
      </c>
      <c r="G184" s="754">
        <f t="shared" ref="G184:T184" si="125">G179/G177</f>
        <v>0.60659174285215167</v>
      </c>
      <c r="H184" s="754">
        <f t="shared" si="125"/>
        <v>0.55156721087661409</v>
      </c>
      <c r="I184" s="754">
        <f t="shared" si="125"/>
        <v>1.4119517910947439</v>
      </c>
      <c r="J184" s="755">
        <f t="shared" si="125"/>
        <v>0.78193297717338517</v>
      </c>
      <c r="K184" s="754">
        <f t="shared" si="125"/>
        <v>1.028186723948237</v>
      </c>
      <c r="L184" s="754">
        <f t="shared" si="125"/>
        <v>1.3604663266368273</v>
      </c>
      <c r="M184" s="754">
        <f t="shared" si="125"/>
        <v>0.45740663029794376</v>
      </c>
      <c r="N184" s="754">
        <f t="shared" si="125"/>
        <v>1.4289192732721483</v>
      </c>
      <c r="O184" s="755">
        <f t="shared" si="125"/>
        <v>1.0614889524561057</v>
      </c>
      <c r="P184" s="754">
        <f t="shared" si="125"/>
        <v>0.81527794973381207</v>
      </c>
      <c r="Q184" s="754">
        <f t="shared" si="125"/>
        <v>1.0069452808221928</v>
      </c>
      <c r="R184" s="754">
        <f t="shared" si="125"/>
        <v>0.95229295249031143</v>
      </c>
      <c r="S184" s="754">
        <f t="shared" si="125"/>
        <v>0.98566369335075654</v>
      </c>
      <c r="T184" s="755">
        <f t="shared" si="125"/>
        <v>0.95259748774027742</v>
      </c>
      <c r="U184" s="754">
        <f t="shared" ref="U184" si="126">U179/U177</f>
        <v>1.080780970424166</v>
      </c>
      <c r="V184" s="752">
        <f>IF(Case_Scenario="Bull",V185,IF(Case_Scenario="Base",V186,IF(Case_Scenario="bear",V187,"N/A")))</f>
        <v>1.25</v>
      </c>
      <c r="W184" s="752">
        <f>IF(Case_Scenario="Bull",W185,IF(Case_Scenario="Base",W186,IF(Case_Scenario="bear",W187,"N/A")))</f>
        <v>1.25</v>
      </c>
      <c r="X184" s="752">
        <f>IF(Case_Scenario="Bull",X185,IF(Case_Scenario="Base",X186,IF(Case_Scenario="bear",X187,"N/A")))</f>
        <v>1.25</v>
      </c>
      <c r="Y184" s="753">
        <f>AVERAGE(U184:X184)</f>
        <v>1.2076952426060414</v>
      </c>
      <c r="Z184" s="752">
        <f>IF(Case_Scenario="Bull",Z185,IF(Case_Scenario="Base",Z186,IF(Case_Scenario="bear",Z187,"N/A")))</f>
        <v>1.25</v>
      </c>
      <c r="AA184" s="752">
        <f>IF(Case_Scenario="Bull",AA185,IF(Case_Scenario="Base",AA186,IF(Case_Scenario="bear",AA187,"N/A")))</f>
        <v>1.25</v>
      </c>
      <c r="AB184" s="752">
        <f>IF(Case_Scenario="Bull",AB185,IF(Case_Scenario="Base",AB186,IF(Case_Scenario="bear",AB187,"N/A")))</f>
        <v>1.25</v>
      </c>
      <c r="AC184" s="752">
        <f>IF(Case_Scenario="Bull",AC185,IF(Case_Scenario="Base",AC186,IF(Case_Scenario="bear",AC187,"N/A")))</f>
        <v>1.25</v>
      </c>
      <c r="AD184" s="753">
        <f>AVERAGE(Z184:AC184)</f>
        <v>1.25</v>
      </c>
      <c r="AE184" s="751">
        <f>IF(Case_Scenario="Bull",AE185,IF(Case_Scenario="Base",AE186,IF(Case_Scenario="bear",AE187,"N/A")))</f>
        <v>1.25</v>
      </c>
      <c r="AF184" s="751">
        <f>IF(Case_Scenario="Bull",AF185,IF(Case_Scenario="Base",AF186,IF(Case_Scenario="bear",AF187,"N/A")))</f>
        <v>1.25</v>
      </c>
      <c r="AG184" s="751">
        <f>IF(Case_Scenario="Bull",AG185,IF(Case_Scenario="Base",AG186,IF(Case_Scenario="bear",AG187,"N/A")))</f>
        <v>1.25</v>
      </c>
    </row>
    <row r="185" spans="1:33" hidden="1" outlineLevel="1">
      <c r="C185" s="276" t="s">
        <v>217</v>
      </c>
      <c r="F185" s="268"/>
      <c r="G185" s="265"/>
      <c r="H185" s="265"/>
      <c r="I185" s="265"/>
      <c r="J185" s="269"/>
      <c r="K185" s="265"/>
      <c r="L185" s="265"/>
      <c r="M185" s="265"/>
      <c r="N185" s="265"/>
      <c r="O185" s="266"/>
      <c r="P185" s="265"/>
      <c r="Q185" s="265"/>
      <c r="R185" s="265"/>
      <c r="S185" s="265"/>
      <c r="T185" s="266"/>
      <c r="U185" s="265"/>
      <c r="V185" s="281">
        <v>1</v>
      </c>
      <c r="W185" s="281">
        <v>1</v>
      </c>
      <c r="X185" s="281">
        <v>1</v>
      </c>
      <c r="Y185" s="282"/>
      <c r="Z185" s="281">
        <v>1</v>
      </c>
      <c r="AA185" s="281">
        <v>1</v>
      </c>
      <c r="AB185" s="281">
        <v>1</v>
      </c>
      <c r="AC185" s="281">
        <v>1</v>
      </c>
      <c r="AD185" s="282"/>
      <c r="AE185" s="283">
        <v>1</v>
      </c>
      <c r="AF185" s="283">
        <v>1</v>
      </c>
      <c r="AG185" s="283">
        <v>1</v>
      </c>
    </row>
    <row r="186" spans="1:33" hidden="1" outlineLevel="1">
      <c r="C186" s="276" t="s">
        <v>218</v>
      </c>
      <c r="F186" s="268"/>
      <c r="G186" s="268"/>
      <c r="H186" s="268"/>
      <c r="I186" s="268"/>
      <c r="J186" s="269"/>
      <c r="K186" s="268"/>
      <c r="L186" s="268"/>
      <c r="M186" s="268"/>
      <c r="N186" s="268"/>
      <c r="O186" s="269"/>
      <c r="P186" s="268"/>
      <c r="Q186" s="268"/>
      <c r="R186" s="268"/>
      <c r="S186" s="268"/>
      <c r="T186" s="269"/>
      <c r="U186" s="268"/>
      <c r="V186" s="281">
        <v>1.25</v>
      </c>
      <c r="W186" s="281">
        <v>1.25</v>
      </c>
      <c r="X186" s="281">
        <v>1.25</v>
      </c>
      <c r="Y186" s="282"/>
      <c r="Z186" s="281">
        <v>1.25</v>
      </c>
      <c r="AA186" s="281">
        <v>1.25</v>
      </c>
      <c r="AB186" s="281">
        <v>1.25</v>
      </c>
      <c r="AC186" s="281">
        <v>1.25</v>
      </c>
      <c r="AD186" s="282"/>
      <c r="AE186" s="283">
        <v>1.25</v>
      </c>
      <c r="AF186" s="283">
        <v>1.25</v>
      </c>
      <c r="AG186" s="283">
        <v>1.25</v>
      </c>
    </row>
    <row r="187" spans="1:33" hidden="1" outlineLevel="1">
      <c r="C187" s="276" t="s">
        <v>219</v>
      </c>
      <c r="F187" s="268"/>
      <c r="G187" s="268"/>
      <c r="H187" s="268"/>
      <c r="I187" s="268"/>
      <c r="J187" s="269"/>
      <c r="K187" s="268"/>
      <c r="L187" s="268"/>
      <c r="M187" s="268"/>
      <c r="N187" s="268"/>
      <c r="O187" s="269"/>
      <c r="P187" s="268"/>
      <c r="Q187" s="268"/>
      <c r="R187" s="268"/>
      <c r="S187" s="268"/>
      <c r="T187" s="269"/>
      <c r="U187" s="268"/>
      <c r="V187" s="281">
        <v>1.5</v>
      </c>
      <c r="W187" s="281">
        <v>1.5</v>
      </c>
      <c r="X187" s="281">
        <v>1.5</v>
      </c>
      <c r="Y187" s="282"/>
      <c r="Z187" s="281">
        <v>1.5</v>
      </c>
      <c r="AA187" s="281">
        <v>1.5</v>
      </c>
      <c r="AB187" s="281">
        <v>1.5</v>
      </c>
      <c r="AC187" s="281">
        <v>1.5</v>
      </c>
      <c r="AD187" s="282"/>
      <c r="AE187" s="283">
        <v>1.5</v>
      </c>
      <c r="AF187" s="283">
        <v>1.5</v>
      </c>
      <c r="AG187" s="283">
        <v>1.5</v>
      </c>
    </row>
    <row r="188" spans="1:33" hidden="1" outlineLevel="1">
      <c r="F188" s="268"/>
      <c r="G188" s="268"/>
      <c r="H188" s="268"/>
      <c r="I188" s="268"/>
      <c r="J188" s="269"/>
      <c r="K188" s="268"/>
      <c r="L188" s="268"/>
      <c r="M188" s="268"/>
      <c r="N188" s="268"/>
      <c r="O188" s="269"/>
      <c r="P188" s="268"/>
      <c r="Q188" s="268"/>
      <c r="R188" s="268"/>
      <c r="S188" s="268"/>
      <c r="T188" s="269"/>
      <c r="U188" s="268"/>
      <c r="V188" s="270"/>
      <c r="W188" s="270"/>
      <c r="X188" s="270"/>
      <c r="Y188" s="271"/>
      <c r="Z188" s="270"/>
      <c r="AA188" s="270"/>
      <c r="AB188" s="270"/>
      <c r="AC188" s="270"/>
      <c r="AD188" s="271"/>
      <c r="AE188" s="271"/>
      <c r="AF188" s="271"/>
      <c r="AG188" s="271"/>
    </row>
    <row r="189" spans="1:33" hidden="1" outlineLevel="1">
      <c r="A189" s="22" t="s">
        <v>1</v>
      </c>
      <c r="C189" s="28" t="str">
        <f>C38</f>
        <v>Segment 3 Revenue</v>
      </c>
      <c r="F189" s="727">
        <f t="shared" ref="F189:T189" si="127">F55</f>
        <v>0</v>
      </c>
      <c r="G189" s="727">
        <f t="shared" si="127"/>
        <v>0</v>
      </c>
      <c r="H189" s="727">
        <f t="shared" si="127"/>
        <v>0</v>
      </c>
      <c r="I189" s="727">
        <f t="shared" si="127"/>
        <v>0</v>
      </c>
      <c r="J189" s="728">
        <f t="shared" si="127"/>
        <v>0</v>
      </c>
      <c r="K189" s="727">
        <f t="shared" si="127"/>
        <v>0</v>
      </c>
      <c r="L189" s="727">
        <f t="shared" si="127"/>
        <v>0</v>
      </c>
      <c r="M189" s="727">
        <f t="shared" si="127"/>
        <v>0</v>
      </c>
      <c r="N189" s="727">
        <f t="shared" si="127"/>
        <v>0</v>
      </c>
      <c r="O189" s="728">
        <f t="shared" si="127"/>
        <v>0</v>
      </c>
      <c r="P189" s="727">
        <f t="shared" si="127"/>
        <v>0</v>
      </c>
      <c r="Q189" s="727">
        <f t="shared" si="127"/>
        <v>0</v>
      </c>
      <c r="R189" s="727">
        <f t="shared" si="127"/>
        <v>0</v>
      </c>
      <c r="S189" s="727">
        <f t="shared" si="127"/>
        <v>0</v>
      </c>
      <c r="T189" s="728">
        <f t="shared" si="127"/>
        <v>0</v>
      </c>
      <c r="U189" s="727">
        <f t="shared" ref="U189" si="128">U55</f>
        <v>0</v>
      </c>
      <c r="V189" s="729">
        <f>V191/V196</f>
        <v>0</v>
      </c>
      <c r="W189" s="729">
        <f>W191/W196</f>
        <v>0</v>
      </c>
      <c r="X189" s="729">
        <f>X191/X196</f>
        <v>0</v>
      </c>
      <c r="Y189" s="728">
        <f>SUM(U189:X189)</f>
        <v>0</v>
      </c>
      <c r="Z189" s="729">
        <f>Z191/Z196</f>
        <v>0</v>
      </c>
      <c r="AA189" s="729">
        <f>AA191/AA196</f>
        <v>0</v>
      </c>
      <c r="AB189" s="729">
        <f>AB191/AB196</f>
        <v>0</v>
      </c>
      <c r="AC189" s="729">
        <f>AC191/AC196</f>
        <v>0</v>
      </c>
      <c r="AD189" s="728">
        <f>SUM(Z189:AC189)</f>
        <v>0</v>
      </c>
      <c r="AE189" s="728">
        <f>AE191/AE196</f>
        <v>0</v>
      </c>
      <c r="AF189" s="728">
        <f>AF191/AF196</f>
        <v>0</v>
      </c>
      <c r="AG189" s="728">
        <f>AG191/AG196</f>
        <v>0</v>
      </c>
    </row>
    <row r="190" spans="1:33" hidden="1" outlineLevel="1">
      <c r="C190" s="124" t="s">
        <v>230</v>
      </c>
      <c r="F190" s="718">
        <v>0</v>
      </c>
      <c r="G190" s="718">
        <v>0</v>
      </c>
      <c r="H190" s="718">
        <v>0</v>
      </c>
      <c r="I190" s="718">
        <v>0</v>
      </c>
      <c r="J190" s="745">
        <v>0</v>
      </c>
      <c r="K190" s="718">
        <v>0</v>
      </c>
      <c r="L190" s="718">
        <v>0</v>
      </c>
      <c r="M190" s="718">
        <v>0</v>
      </c>
      <c r="N190" s="718">
        <v>0</v>
      </c>
      <c r="O190" s="745">
        <v>0</v>
      </c>
      <c r="P190" s="718">
        <v>0</v>
      </c>
      <c r="Q190" s="718">
        <v>0</v>
      </c>
      <c r="R190" s="718">
        <v>0</v>
      </c>
      <c r="S190" s="718">
        <v>0</v>
      </c>
      <c r="T190" s="745">
        <v>0</v>
      </c>
      <c r="U190" s="718">
        <v>0</v>
      </c>
      <c r="V190" s="746">
        <f>U190+V191-V189</f>
        <v>0</v>
      </c>
      <c r="W190" s="746">
        <f>V190+W191-W189</f>
        <v>0</v>
      </c>
      <c r="X190" s="746">
        <f>W190+X191-X189</f>
        <v>0</v>
      </c>
      <c r="Y190" s="745">
        <f>T190+Y191-Y189</f>
        <v>0</v>
      </c>
      <c r="Z190" s="746">
        <f>X190+Z191-Z189</f>
        <v>0</v>
      </c>
      <c r="AA190" s="746">
        <f>Z190+AA191-AA189</f>
        <v>0</v>
      </c>
      <c r="AB190" s="746">
        <f>AA190+AB191-AB189</f>
        <v>0</v>
      </c>
      <c r="AC190" s="746">
        <f>AB190+AC191-AC189</f>
        <v>0</v>
      </c>
      <c r="AD190" s="745">
        <f>Y190+AD191-AD189</f>
        <v>0</v>
      </c>
      <c r="AE190" s="719">
        <f>AD190+AE191-AE189</f>
        <v>0</v>
      </c>
      <c r="AF190" s="719">
        <f>AE190+AF191-AF189</f>
        <v>0</v>
      </c>
      <c r="AG190" s="719">
        <f>AF190+AG191-AG189</f>
        <v>0</v>
      </c>
    </row>
    <row r="191" spans="1:33" hidden="1" outlineLevel="1">
      <c r="C191" s="124" t="s">
        <v>232</v>
      </c>
      <c r="F191" s="718">
        <f>F190+F189-(0)</f>
        <v>0</v>
      </c>
      <c r="G191" s="718">
        <f>G190+G189-F190</f>
        <v>0</v>
      </c>
      <c r="H191" s="718">
        <f>H190+H189-G190</f>
        <v>0</v>
      </c>
      <c r="I191" s="718">
        <f>I190+I189-H190</f>
        <v>0</v>
      </c>
      <c r="J191" s="745">
        <f>SUM(F191:I191)</f>
        <v>0</v>
      </c>
      <c r="K191" s="718">
        <f>K190+K189-J190</f>
        <v>0</v>
      </c>
      <c r="L191" s="718">
        <f>L190+L189-K190</f>
        <v>0</v>
      </c>
      <c r="M191" s="718">
        <f>M190+M189-L190</f>
        <v>0</v>
      </c>
      <c r="N191" s="718">
        <f>N190+N189-M190</f>
        <v>0</v>
      </c>
      <c r="O191" s="745">
        <f>SUM(K191:N191)</f>
        <v>0</v>
      </c>
      <c r="P191" s="718">
        <f>P190+P189-O190</f>
        <v>0</v>
      </c>
      <c r="Q191" s="718">
        <f>Q190+Q189-P190</f>
        <v>0</v>
      </c>
      <c r="R191" s="718">
        <f>R190+R189-Q190</f>
        <v>0</v>
      </c>
      <c r="S191" s="718">
        <f>S190+S189-R190</f>
        <v>0</v>
      </c>
      <c r="T191" s="745">
        <f>SUM(P191:S191)</f>
        <v>0</v>
      </c>
      <c r="U191" s="718">
        <f>U190+U189-T190</f>
        <v>0</v>
      </c>
      <c r="V191" s="746">
        <f>U191*(1+V192)</f>
        <v>0</v>
      </c>
      <c r="W191" s="746">
        <f>V191*(1+W192)</f>
        <v>0</v>
      </c>
      <c r="X191" s="746">
        <f>W191*(1+X192)</f>
        <v>0</v>
      </c>
      <c r="Y191" s="747">
        <f>SUM(U191:X191)</f>
        <v>0</v>
      </c>
      <c r="Z191" s="746">
        <f>X191*(1+Z192)</f>
        <v>0</v>
      </c>
      <c r="AA191" s="746">
        <f>Z191*(1+AA192)</f>
        <v>0</v>
      </c>
      <c r="AB191" s="746">
        <f>AA191*(1+AB192)</f>
        <v>0</v>
      </c>
      <c r="AC191" s="746">
        <f>AB191*(1+AC192)</f>
        <v>0</v>
      </c>
      <c r="AD191" s="747">
        <f>SUM(Z191:AC191)</f>
        <v>0</v>
      </c>
      <c r="AE191" s="719">
        <f>AD191*(1+AE192)</f>
        <v>0</v>
      </c>
      <c r="AF191" s="719">
        <f>AE191*(1+AF192)</f>
        <v>0</v>
      </c>
      <c r="AG191" s="719">
        <f>AF191*(1+AG192)</f>
        <v>0</v>
      </c>
    </row>
    <row r="192" spans="1:33" hidden="1" outlineLevel="1">
      <c r="C192" s="275" t="s">
        <v>233</v>
      </c>
      <c r="F192" s="268"/>
      <c r="G192" s="265" t="str">
        <f>IFERROR(G191/F191-1,"--")</f>
        <v>--</v>
      </c>
      <c r="H192" s="265" t="str">
        <f>IFERROR(H191/G191-1,"--")</f>
        <v>--</v>
      </c>
      <c r="I192" s="265" t="str">
        <f>IFERROR(I191/H191-1,"--")</f>
        <v>--</v>
      </c>
      <c r="J192" s="269"/>
      <c r="K192" s="265" t="str">
        <f>IFERROR(K191/I191-1,"--")</f>
        <v>--</v>
      </c>
      <c r="L192" s="265" t="str">
        <f>IFERROR(L191/K191-1,"--")</f>
        <v>--</v>
      </c>
      <c r="M192" s="265" t="str">
        <f>IFERROR(M191/L191-1,"--")</f>
        <v>--</v>
      </c>
      <c r="N192" s="265" t="str">
        <f>IFERROR(N191/M191-1,"--")</f>
        <v>--</v>
      </c>
      <c r="O192" s="266" t="str">
        <f>IFERROR(O191/J191-1,"--")</f>
        <v>--</v>
      </c>
      <c r="P192" s="265" t="str">
        <f>IFERROR(P191/N191-1,"--")</f>
        <v>--</v>
      </c>
      <c r="Q192" s="265" t="str">
        <f>IFERROR(Q191/P191-1,"--")</f>
        <v>--</v>
      </c>
      <c r="R192" s="265" t="str">
        <f>IFERROR(R191/Q191-1,"--")</f>
        <v>--</v>
      </c>
      <c r="S192" s="265" t="str">
        <f>IFERROR(S191/R191-1,"--")</f>
        <v>--</v>
      </c>
      <c r="T192" s="266" t="str">
        <f>IFERROR(T191/O191-1,"--")</f>
        <v>--</v>
      </c>
      <c r="U192" s="265" t="str">
        <f>IFERROR(U191/S191-1,"--")</f>
        <v>--</v>
      </c>
      <c r="V192" s="267">
        <f>IF(Case_Scenario="Bull",V193,IF(Case_Scenario="Base",V194,IF(Case_Scenario="bear",V195,"N/A")))</f>
        <v>0.05</v>
      </c>
      <c r="W192" s="267">
        <f>IF(Case_Scenario="Bull",W193,IF(Case_Scenario="Base",W194,IF(Case_Scenario="bear",W195,"N/A")))</f>
        <v>0.05</v>
      </c>
      <c r="X192" s="267">
        <f>IF(Case_Scenario="Bull",X193,IF(Case_Scenario="Base",X194,IF(Case_Scenario="bear",X195,"N/A")))</f>
        <v>0.05</v>
      </c>
      <c r="Y192" s="266"/>
      <c r="Z192" s="267">
        <f>IF(Case_Scenario="Bull",Z193,IF(Case_Scenario="Base",Z194,IF(Case_Scenario="bear",Z195,"N/A")))</f>
        <v>0.05</v>
      </c>
      <c r="AA192" s="267">
        <f>IF(Case_Scenario="Bull",AA193,IF(Case_Scenario="Base",AA194,IF(Case_Scenario="bear",AA195,"N/A")))</f>
        <v>0.05</v>
      </c>
      <c r="AB192" s="267">
        <f>IF(Case_Scenario="Bull",AB193,IF(Case_Scenario="Base",AB194,IF(Case_Scenario="bear",AB195,"N/A")))</f>
        <v>0.05</v>
      </c>
      <c r="AC192" s="267">
        <f>IF(Case_Scenario="Bull",AC193,IF(Case_Scenario="Base",AC194,IF(Case_Scenario="bear",AC195,"N/A")))</f>
        <v>0.05</v>
      </c>
      <c r="AD192" s="266"/>
      <c r="AE192" s="266">
        <f>IF(Case_Scenario="Bull",AE193,IF(Case_Scenario="Base",AE194,IF(Case_Scenario="bear",AE195,"N/A")))</f>
        <v>0.05</v>
      </c>
      <c r="AF192" s="266">
        <f>IF(Case_Scenario="Bull",AF193,IF(Case_Scenario="Base",AF194,IF(Case_Scenario="bear",AF195,"N/A")))</f>
        <v>0.05</v>
      </c>
      <c r="AG192" s="266">
        <f>IF(Case_Scenario="Bull",AG193,IF(Case_Scenario="Base",AG194,IF(Case_Scenario="bear",AG195,"N/A")))</f>
        <v>0.05</v>
      </c>
    </row>
    <row r="193" spans="1:33" hidden="1" outlineLevel="1">
      <c r="C193" s="276" t="s">
        <v>217</v>
      </c>
      <c r="F193" s="268"/>
      <c r="G193" s="268"/>
      <c r="H193" s="268"/>
      <c r="I193" s="268"/>
      <c r="J193" s="269"/>
      <c r="K193" s="268"/>
      <c r="L193" s="268"/>
      <c r="M193" s="268"/>
      <c r="N193" s="268"/>
      <c r="O193" s="269"/>
      <c r="P193" s="268"/>
      <c r="Q193" s="268"/>
      <c r="R193" s="268"/>
      <c r="S193" s="268"/>
      <c r="T193" s="269"/>
      <c r="U193" s="268"/>
      <c r="V193" s="270">
        <v>0.1</v>
      </c>
      <c r="W193" s="270">
        <v>0.1</v>
      </c>
      <c r="X193" s="270">
        <v>0.1</v>
      </c>
      <c r="Y193" s="271"/>
      <c r="Z193" s="270">
        <v>0.1</v>
      </c>
      <c r="AA193" s="270">
        <v>0.1</v>
      </c>
      <c r="AB193" s="270">
        <v>0.1</v>
      </c>
      <c r="AC193" s="270">
        <v>0.1</v>
      </c>
      <c r="AD193" s="271"/>
      <c r="AE193" s="271">
        <v>0.1</v>
      </c>
      <c r="AF193" s="271">
        <v>0.1</v>
      </c>
      <c r="AG193" s="271">
        <v>0.1</v>
      </c>
    </row>
    <row r="194" spans="1:33" hidden="1" outlineLevel="1">
      <c r="C194" s="276" t="s">
        <v>218</v>
      </c>
      <c r="F194" s="268"/>
      <c r="G194" s="268"/>
      <c r="H194" s="268"/>
      <c r="I194" s="268"/>
      <c r="J194" s="269"/>
      <c r="K194" s="268"/>
      <c r="L194" s="268"/>
      <c r="M194" s="268"/>
      <c r="N194" s="268"/>
      <c r="O194" s="269"/>
      <c r="P194" s="268"/>
      <c r="Q194" s="268"/>
      <c r="R194" s="268"/>
      <c r="S194" s="268"/>
      <c r="T194" s="269"/>
      <c r="U194" s="268"/>
      <c r="V194" s="270">
        <v>0.05</v>
      </c>
      <c r="W194" s="270">
        <v>0.05</v>
      </c>
      <c r="X194" s="270">
        <v>0.05</v>
      </c>
      <c r="Y194" s="271"/>
      <c r="Z194" s="270">
        <v>0.05</v>
      </c>
      <c r="AA194" s="270">
        <v>0.05</v>
      </c>
      <c r="AB194" s="270">
        <v>0.05</v>
      </c>
      <c r="AC194" s="270">
        <v>0.05</v>
      </c>
      <c r="AD194" s="271"/>
      <c r="AE194" s="271">
        <v>0.05</v>
      </c>
      <c r="AF194" s="271">
        <v>0.05</v>
      </c>
      <c r="AG194" s="271">
        <v>0.05</v>
      </c>
    </row>
    <row r="195" spans="1:33" hidden="1" outlineLevel="1">
      <c r="C195" s="276" t="s">
        <v>219</v>
      </c>
      <c r="F195" s="268"/>
      <c r="G195" s="268"/>
      <c r="H195" s="268"/>
      <c r="I195" s="268"/>
      <c r="J195" s="269"/>
      <c r="K195" s="268"/>
      <c r="L195" s="268"/>
      <c r="M195" s="268"/>
      <c r="N195" s="268"/>
      <c r="O195" s="269"/>
      <c r="P195" s="268"/>
      <c r="Q195" s="268"/>
      <c r="R195" s="268"/>
      <c r="S195" s="268"/>
      <c r="T195" s="269"/>
      <c r="U195" s="268"/>
      <c r="V195" s="270">
        <v>0</v>
      </c>
      <c r="W195" s="270">
        <v>0</v>
      </c>
      <c r="X195" s="270">
        <v>0</v>
      </c>
      <c r="Y195" s="271"/>
      <c r="Z195" s="270">
        <v>0</v>
      </c>
      <c r="AA195" s="270">
        <v>0</v>
      </c>
      <c r="AB195" s="270">
        <v>0</v>
      </c>
      <c r="AC195" s="270">
        <v>0</v>
      </c>
      <c r="AD195" s="271"/>
      <c r="AE195" s="271">
        <v>0</v>
      </c>
      <c r="AF195" s="271">
        <v>0</v>
      </c>
      <c r="AG195" s="271">
        <v>0</v>
      </c>
    </row>
    <row r="196" spans="1:33" hidden="1" outlineLevel="1">
      <c r="C196" s="124" t="s">
        <v>234</v>
      </c>
      <c r="F196" s="754" t="e">
        <f>F191/F189</f>
        <v>#DIV/0!</v>
      </c>
      <c r="G196" s="754" t="e">
        <f t="shared" ref="G196:T196" si="129">G191/G189</f>
        <v>#DIV/0!</v>
      </c>
      <c r="H196" s="754" t="e">
        <f t="shared" si="129"/>
        <v>#DIV/0!</v>
      </c>
      <c r="I196" s="754" t="e">
        <f t="shared" si="129"/>
        <v>#DIV/0!</v>
      </c>
      <c r="J196" s="755" t="e">
        <f t="shared" si="129"/>
        <v>#DIV/0!</v>
      </c>
      <c r="K196" s="754" t="e">
        <f t="shared" si="129"/>
        <v>#DIV/0!</v>
      </c>
      <c r="L196" s="754" t="e">
        <f t="shared" si="129"/>
        <v>#DIV/0!</v>
      </c>
      <c r="M196" s="754" t="e">
        <f t="shared" si="129"/>
        <v>#DIV/0!</v>
      </c>
      <c r="N196" s="754" t="e">
        <f t="shared" si="129"/>
        <v>#DIV/0!</v>
      </c>
      <c r="O196" s="755" t="e">
        <f t="shared" si="129"/>
        <v>#DIV/0!</v>
      </c>
      <c r="P196" s="754" t="e">
        <f t="shared" si="129"/>
        <v>#DIV/0!</v>
      </c>
      <c r="Q196" s="754" t="e">
        <f t="shared" si="129"/>
        <v>#DIV/0!</v>
      </c>
      <c r="R196" s="754" t="e">
        <f t="shared" si="129"/>
        <v>#DIV/0!</v>
      </c>
      <c r="S196" s="754" t="e">
        <f t="shared" si="129"/>
        <v>#DIV/0!</v>
      </c>
      <c r="T196" s="755" t="e">
        <f t="shared" si="129"/>
        <v>#DIV/0!</v>
      </c>
      <c r="U196" s="754" t="e">
        <f t="shared" ref="U196" si="130">U191/U189</f>
        <v>#DIV/0!</v>
      </c>
      <c r="V196" s="752">
        <f>IF(Case_Scenario="Bull",V197,IF(Case_Scenario="Base",V198,IF(Case_Scenario="bear",V199,"N/A")))</f>
        <v>1.25</v>
      </c>
      <c r="W196" s="752">
        <f>IF(Case_Scenario="Bull",W197,IF(Case_Scenario="Base",W198,IF(Case_Scenario="bear",W199,"N/A")))</f>
        <v>1.25</v>
      </c>
      <c r="X196" s="752">
        <f>IF(Case_Scenario="Bull",X197,IF(Case_Scenario="Base",X198,IF(Case_Scenario="bear",X199,"N/A")))</f>
        <v>1.25</v>
      </c>
      <c r="Y196" s="753" t="e">
        <f>AVERAGE(U196:X196)</f>
        <v>#DIV/0!</v>
      </c>
      <c r="Z196" s="752">
        <f>IF(Case_Scenario="Bull",Z197,IF(Case_Scenario="Base",Z198,IF(Case_Scenario="bear",Z199,"N/A")))</f>
        <v>1.25</v>
      </c>
      <c r="AA196" s="752">
        <f>IF(Case_Scenario="Bull",AA197,IF(Case_Scenario="Base",AA198,IF(Case_Scenario="bear",AA199,"N/A")))</f>
        <v>1.25</v>
      </c>
      <c r="AB196" s="752">
        <f>IF(Case_Scenario="Bull",AB197,IF(Case_Scenario="Base",AB198,IF(Case_Scenario="bear",AB199,"N/A")))</f>
        <v>1.25</v>
      </c>
      <c r="AC196" s="752">
        <f>IF(Case_Scenario="Bull",AC197,IF(Case_Scenario="Base",AC198,IF(Case_Scenario="bear",AC199,"N/A")))</f>
        <v>1.25</v>
      </c>
      <c r="AD196" s="753">
        <f>AVERAGE(Z196:AC196)</f>
        <v>1.25</v>
      </c>
      <c r="AE196" s="751">
        <f>IF(Case_Scenario="Bull",AE197,IF(Case_Scenario="Base",AE198,IF(Case_Scenario="bear",AE199,"N/A")))</f>
        <v>1.25</v>
      </c>
      <c r="AF196" s="751">
        <f>IF(Case_Scenario="Bull",AF197,IF(Case_Scenario="Base",AF198,IF(Case_Scenario="bear",AF199,"N/A")))</f>
        <v>1.25</v>
      </c>
      <c r="AG196" s="751">
        <f>IF(Case_Scenario="Bull",AG197,IF(Case_Scenario="Base",AG198,IF(Case_Scenario="bear",AG199,"N/A")))</f>
        <v>1.25</v>
      </c>
    </row>
    <row r="197" spans="1:33" hidden="1" outlineLevel="1">
      <c r="C197" s="276" t="s">
        <v>217</v>
      </c>
      <c r="F197" s="268"/>
      <c r="G197" s="265"/>
      <c r="H197" s="265"/>
      <c r="I197" s="265"/>
      <c r="J197" s="269"/>
      <c r="K197" s="265"/>
      <c r="L197" s="265"/>
      <c r="M197" s="265"/>
      <c r="N197" s="265"/>
      <c r="O197" s="266"/>
      <c r="P197" s="265"/>
      <c r="Q197" s="265"/>
      <c r="R197" s="265"/>
      <c r="S197" s="265"/>
      <c r="T197" s="266"/>
      <c r="U197" s="265"/>
      <c r="V197" s="281">
        <v>1</v>
      </c>
      <c r="W197" s="281">
        <v>1</v>
      </c>
      <c r="X197" s="281">
        <v>1</v>
      </c>
      <c r="Y197" s="282"/>
      <c r="Z197" s="281">
        <v>1</v>
      </c>
      <c r="AA197" s="281">
        <v>1</v>
      </c>
      <c r="AB197" s="281">
        <v>1</v>
      </c>
      <c r="AC197" s="281">
        <v>1</v>
      </c>
      <c r="AD197" s="282"/>
      <c r="AE197" s="283">
        <v>1</v>
      </c>
      <c r="AF197" s="283">
        <v>1</v>
      </c>
      <c r="AG197" s="283">
        <v>1</v>
      </c>
    </row>
    <row r="198" spans="1:33" hidden="1" outlineLevel="1">
      <c r="C198" s="276" t="s">
        <v>218</v>
      </c>
      <c r="F198" s="268"/>
      <c r="G198" s="268"/>
      <c r="H198" s="268"/>
      <c r="I198" s="268"/>
      <c r="J198" s="269"/>
      <c r="K198" s="268"/>
      <c r="L198" s="268"/>
      <c r="M198" s="268"/>
      <c r="N198" s="268"/>
      <c r="O198" s="269"/>
      <c r="P198" s="268"/>
      <c r="Q198" s="268"/>
      <c r="R198" s="268"/>
      <c r="S198" s="268"/>
      <c r="T198" s="269"/>
      <c r="U198" s="268"/>
      <c r="V198" s="281">
        <v>1.25</v>
      </c>
      <c r="W198" s="281">
        <v>1.25</v>
      </c>
      <c r="X198" s="281">
        <v>1.25</v>
      </c>
      <c r="Y198" s="282"/>
      <c r="Z198" s="281">
        <v>1.25</v>
      </c>
      <c r="AA198" s="281">
        <v>1.25</v>
      </c>
      <c r="AB198" s="281">
        <v>1.25</v>
      </c>
      <c r="AC198" s="281">
        <v>1.25</v>
      </c>
      <c r="AD198" s="282"/>
      <c r="AE198" s="283">
        <v>1.25</v>
      </c>
      <c r="AF198" s="283">
        <v>1.25</v>
      </c>
      <c r="AG198" s="283">
        <v>1.25</v>
      </c>
    </row>
    <row r="199" spans="1:33" hidden="1" outlineLevel="1">
      <c r="C199" s="276" t="s">
        <v>219</v>
      </c>
      <c r="F199" s="268"/>
      <c r="G199" s="268"/>
      <c r="H199" s="268"/>
      <c r="I199" s="268"/>
      <c r="J199" s="269"/>
      <c r="K199" s="268"/>
      <c r="L199" s="268"/>
      <c r="M199" s="268"/>
      <c r="N199" s="268"/>
      <c r="O199" s="269"/>
      <c r="P199" s="268"/>
      <c r="Q199" s="268"/>
      <c r="R199" s="268"/>
      <c r="S199" s="268"/>
      <c r="T199" s="269"/>
      <c r="U199" s="268"/>
      <c r="V199" s="281">
        <v>1.5</v>
      </c>
      <c r="W199" s="281">
        <v>1.5</v>
      </c>
      <c r="X199" s="281">
        <v>1.5</v>
      </c>
      <c r="Y199" s="282"/>
      <c r="Z199" s="281">
        <v>1.5</v>
      </c>
      <c r="AA199" s="281">
        <v>1.5</v>
      </c>
      <c r="AB199" s="281">
        <v>1.5</v>
      </c>
      <c r="AC199" s="281">
        <v>1.5</v>
      </c>
      <c r="AD199" s="282"/>
      <c r="AE199" s="283">
        <v>1.5</v>
      </c>
      <c r="AF199" s="283">
        <v>1.5</v>
      </c>
      <c r="AG199" s="283">
        <v>1.5</v>
      </c>
    </row>
    <row r="200" spans="1:33" hidden="1" outlineLevel="1">
      <c r="F200" s="268"/>
      <c r="G200" s="268"/>
      <c r="H200" s="268"/>
      <c r="I200" s="268"/>
      <c r="J200" s="269"/>
      <c r="K200" s="268"/>
      <c r="L200" s="268"/>
      <c r="M200" s="268"/>
      <c r="N200" s="268"/>
      <c r="O200" s="269"/>
      <c r="P200" s="268"/>
      <c r="Q200" s="268"/>
      <c r="R200" s="268"/>
      <c r="S200" s="268"/>
      <c r="T200" s="269"/>
      <c r="U200" s="268"/>
      <c r="V200" s="270"/>
      <c r="W200" s="270"/>
      <c r="X200" s="270"/>
      <c r="Y200" s="271"/>
      <c r="Z200" s="270"/>
      <c r="AA200" s="270"/>
      <c r="AB200" s="270"/>
      <c r="AC200" s="270"/>
      <c r="AD200" s="271"/>
      <c r="AE200" s="271"/>
      <c r="AF200" s="271"/>
      <c r="AG200" s="271"/>
    </row>
    <row r="201" spans="1:33" hidden="1" outlineLevel="1">
      <c r="A201" s="22" t="s">
        <v>1</v>
      </c>
      <c r="C201" s="28" t="str">
        <f>C41</f>
        <v>Segment 4 Revenue</v>
      </c>
      <c r="F201" s="727">
        <f t="shared" ref="F201:T201" si="131">F67</f>
        <v>0</v>
      </c>
      <c r="G201" s="727">
        <f t="shared" si="131"/>
        <v>0</v>
      </c>
      <c r="H201" s="727">
        <f t="shared" si="131"/>
        <v>0</v>
      </c>
      <c r="I201" s="727">
        <f t="shared" si="131"/>
        <v>0</v>
      </c>
      <c r="J201" s="728">
        <f t="shared" si="131"/>
        <v>0</v>
      </c>
      <c r="K201" s="727">
        <f t="shared" si="131"/>
        <v>0</v>
      </c>
      <c r="L201" s="727">
        <f t="shared" si="131"/>
        <v>0</v>
      </c>
      <c r="M201" s="727">
        <f t="shared" si="131"/>
        <v>0</v>
      </c>
      <c r="N201" s="727">
        <f t="shared" si="131"/>
        <v>0</v>
      </c>
      <c r="O201" s="728">
        <f t="shared" si="131"/>
        <v>0</v>
      </c>
      <c r="P201" s="727">
        <f t="shared" si="131"/>
        <v>0</v>
      </c>
      <c r="Q201" s="727">
        <f t="shared" si="131"/>
        <v>0</v>
      </c>
      <c r="R201" s="727">
        <f t="shared" si="131"/>
        <v>0</v>
      </c>
      <c r="S201" s="727">
        <f t="shared" si="131"/>
        <v>0</v>
      </c>
      <c r="T201" s="728">
        <f t="shared" si="131"/>
        <v>0</v>
      </c>
      <c r="U201" s="727">
        <f t="shared" ref="U201" si="132">U67</f>
        <v>0</v>
      </c>
      <c r="V201" s="729">
        <f>V203/V208</f>
        <v>0</v>
      </c>
      <c r="W201" s="729">
        <f>W203/W208</f>
        <v>0</v>
      </c>
      <c r="X201" s="729">
        <f>X203/X208</f>
        <v>0</v>
      </c>
      <c r="Y201" s="728">
        <f>SUM(U201:X201)</f>
        <v>0</v>
      </c>
      <c r="Z201" s="729">
        <f>Z203/Z208</f>
        <v>0</v>
      </c>
      <c r="AA201" s="729">
        <f>AA203/AA208</f>
        <v>0</v>
      </c>
      <c r="AB201" s="729">
        <f>AB203/AB208</f>
        <v>0</v>
      </c>
      <c r="AC201" s="729">
        <f>AC203/AC208</f>
        <v>0</v>
      </c>
      <c r="AD201" s="728">
        <f>SUM(Z201:AC201)</f>
        <v>0</v>
      </c>
      <c r="AE201" s="728">
        <f>AE203/AE208</f>
        <v>0</v>
      </c>
      <c r="AF201" s="728">
        <f>AF203/AF208</f>
        <v>0</v>
      </c>
      <c r="AG201" s="728">
        <f>AG203/AG208</f>
        <v>0</v>
      </c>
    </row>
    <row r="202" spans="1:33" hidden="1" outlineLevel="1">
      <c r="C202" s="124" t="s">
        <v>230</v>
      </c>
      <c r="F202" s="718">
        <v>0</v>
      </c>
      <c r="G202" s="718">
        <v>0</v>
      </c>
      <c r="H202" s="718">
        <v>0</v>
      </c>
      <c r="I202" s="718">
        <v>0</v>
      </c>
      <c r="J202" s="745">
        <v>0</v>
      </c>
      <c r="K202" s="718">
        <v>0</v>
      </c>
      <c r="L202" s="718">
        <v>0</v>
      </c>
      <c r="M202" s="718">
        <v>0</v>
      </c>
      <c r="N202" s="718">
        <v>0</v>
      </c>
      <c r="O202" s="745">
        <v>0</v>
      </c>
      <c r="P202" s="718">
        <v>0</v>
      </c>
      <c r="Q202" s="718">
        <v>0</v>
      </c>
      <c r="R202" s="718">
        <v>0</v>
      </c>
      <c r="S202" s="718">
        <v>0</v>
      </c>
      <c r="T202" s="745">
        <v>0</v>
      </c>
      <c r="U202" s="718">
        <v>0</v>
      </c>
      <c r="V202" s="746">
        <f>U202+V203-V201</f>
        <v>0</v>
      </c>
      <c r="W202" s="746">
        <f>V202+W203-W201</f>
        <v>0</v>
      </c>
      <c r="X202" s="746">
        <f>W202+X203-X201</f>
        <v>0</v>
      </c>
      <c r="Y202" s="745">
        <f>T202+Y203-Y201</f>
        <v>0</v>
      </c>
      <c r="Z202" s="746">
        <f>X202+Z203-Z201</f>
        <v>0</v>
      </c>
      <c r="AA202" s="746">
        <f>Z202+AA203-AA201</f>
        <v>0</v>
      </c>
      <c r="AB202" s="746">
        <f>AA202+AB203-AB201</f>
        <v>0</v>
      </c>
      <c r="AC202" s="746">
        <f>AB202+AC203-AC201</f>
        <v>0</v>
      </c>
      <c r="AD202" s="745">
        <f>Y202+AD203-AD201</f>
        <v>0</v>
      </c>
      <c r="AE202" s="719">
        <f>AD202+AE203-AE201</f>
        <v>0</v>
      </c>
      <c r="AF202" s="719">
        <f>AE202+AF203-AF201</f>
        <v>0</v>
      </c>
      <c r="AG202" s="719">
        <f>AF202+AG203-AG201</f>
        <v>0</v>
      </c>
    </row>
    <row r="203" spans="1:33" hidden="1" outlineLevel="1">
      <c r="C203" s="124" t="s">
        <v>232</v>
      </c>
      <c r="F203" s="718">
        <f>F202+F201-(0)</f>
        <v>0</v>
      </c>
      <c r="G203" s="718">
        <f>G202+G201-F202</f>
        <v>0</v>
      </c>
      <c r="H203" s="718">
        <f>H202+H201-G202</f>
        <v>0</v>
      </c>
      <c r="I203" s="718">
        <f>I202+I201-H202</f>
        <v>0</v>
      </c>
      <c r="J203" s="745">
        <f>SUM(F203:I203)</f>
        <v>0</v>
      </c>
      <c r="K203" s="718">
        <f>K202+K201-J202</f>
        <v>0</v>
      </c>
      <c r="L203" s="718">
        <f>L202+L201-K202</f>
        <v>0</v>
      </c>
      <c r="M203" s="718">
        <f>M202+M201-L202</f>
        <v>0</v>
      </c>
      <c r="N203" s="718">
        <f>N202+N201-M202</f>
        <v>0</v>
      </c>
      <c r="O203" s="745">
        <f>SUM(K203:N203)</f>
        <v>0</v>
      </c>
      <c r="P203" s="718">
        <f>P202+P201-O202</f>
        <v>0</v>
      </c>
      <c r="Q203" s="718">
        <f>Q202+Q201-P202</f>
        <v>0</v>
      </c>
      <c r="R203" s="718">
        <f>R202+R201-Q202</f>
        <v>0</v>
      </c>
      <c r="S203" s="718">
        <f>S202+S201-R202</f>
        <v>0</v>
      </c>
      <c r="T203" s="745">
        <f>SUM(P203:S203)</f>
        <v>0</v>
      </c>
      <c r="U203" s="718">
        <f>U202+U201-T202</f>
        <v>0</v>
      </c>
      <c r="V203" s="746">
        <f>U203*(1+V204)</f>
        <v>0</v>
      </c>
      <c r="W203" s="746">
        <f>V203*(1+W204)</f>
        <v>0</v>
      </c>
      <c r="X203" s="746">
        <f>W203*(1+X204)</f>
        <v>0</v>
      </c>
      <c r="Y203" s="747">
        <f>SUM(U203:X203)</f>
        <v>0</v>
      </c>
      <c r="Z203" s="746">
        <f>X203*(1+Z204)</f>
        <v>0</v>
      </c>
      <c r="AA203" s="746">
        <f>Z203*(1+AA204)</f>
        <v>0</v>
      </c>
      <c r="AB203" s="746">
        <f>AA203*(1+AB204)</f>
        <v>0</v>
      </c>
      <c r="AC203" s="746">
        <f>AB203*(1+AC204)</f>
        <v>0</v>
      </c>
      <c r="AD203" s="747">
        <f>SUM(Z203:AC203)</f>
        <v>0</v>
      </c>
      <c r="AE203" s="719">
        <f>AD203*(1+AE204)</f>
        <v>0</v>
      </c>
      <c r="AF203" s="719">
        <f>AE203*(1+AF204)</f>
        <v>0</v>
      </c>
      <c r="AG203" s="719">
        <f>AF203*(1+AG204)</f>
        <v>0</v>
      </c>
    </row>
    <row r="204" spans="1:33" hidden="1" outlineLevel="1">
      <c r="C204" s="275" t="s">
        <v>233</v>
      </c>
      <c r="F204" s="268"/>
      <c r="G204" s="265" t="str">
        <f>IFERROR(G203/F203-1,"--")</f>
        <v>--</v>
      </c>
      <c r="H204" s="265" t="str">
        <f>IFERROR(H203/G203-1,"--")</f>
        <v>--</v>
      </c>
      <c r="I204" s="265" t="str">
        <f>IFERROR(I203/H203-1,"--")</f>
        <v>--</v>
      </c>
      <c r="J204" s="269"/>
      <c r="K204" s="265" t="str">
        <f>IFERROR(K203/I203-1,"--")</f>
        <v>--</v>
      </c>
      <c r="L204" s="265" t="str">
        <f>IFERROR(L203/K203-1,"--")</f>
        <v>--</v>
      </c>
      <c r="M204" s="265" t="str">
        <f>IFERROR(M203/L203-1,"--")</f>
        <v>--</v>
      </c>
      <c r="N204" s="265" t="str">
        <f>IFERROR(N203/M203-1,"--")</f>
        <v>--</v>
      </c>
      <c r="O204" s="266" t="str">
        <f>IFERROR(O203/J203-1,"--")</f>
        <v>--</v>
      </c>
      <c r="P204" s="265" t="str">
        <f>IFERROR(P203/N203-1,"--")</f>
        <v>--</v>
      </c>
      <c r="Q204" s="265" t="str">
        <f>IFERROR(Q203/P203-1,"--")</f>
        <v>--</v>
      </c>
      <c r="R204" s="265" t="str">
        <f>IFERROR(R203/Q203-1,"--")</f>
        <v>--</v>
      </c>
      <c r="S204" s="265" t="str">
        <f>IFERROR(S203/R203-1,"--")</f>
        <v>--</v>
      </c>
      <c r="T204" s="266" t="str">
        <f>IFERROR(T203/O203-1,"--")</f>
        <v>--</v>
      </c>
      <c r="U204" s="265" t="str">
        <f>IFERROR(U203/S203-1,"--")</f>
        <v>--</v>
      </c>
      <c r="V204" s="267">
        <f>IF(Case_Scenario="Bull",V205,IF(Case_Scenario="Base",V206,IF(Case_Scenario="bear",V207,"N/A")))</f>
        <v>0.05</v>
      </c>
      <c r="W204" s="267">
        <f>IF(Case_Scenario="Bull",W205,IF(Case_Scenario="Base",W206,IF(Case_Scenario="bear",W207,"N/A")))</f>
        <v>0.05</v>
      </c>
      <c r="X204" s="267">
        <f>IF(Case_Scenario="Bull",X205,IF(Case_Scenario="Base",X206,IF(Case_Scenario="bear",X207,"N/A")))</f>
        <v>0.05</v>
      </c>
      <c r="Y204" s="266"/>
      <c r="Z204" s="267">
        <f>IF(Case_Scenario="Bull",Z205,IF(Case_Scenario="Base",Z206,IF(Case_Scenario="bear",Z207,"N/A")))</f>
        <v>0.05</v>
      </c>
      <c r="AA204" s="267">
        <f>IF(Case_Scenario="Bull",AA205,IF(Case_Scenario="Base",AA206,IF(Case_Scenario="bear",AA207,"N/A")))</f>
        <v>0.05</v>
      </c>
      <c r="AB204" s="267">
        <f>IF(Case_Scenario="Bull",AB205,IF(Case_Scenario="Base",AB206,IF(Case_Scenario="bear",AB207,"N/A")))</f>
        <v>0.05</v>
      </c>
      <c r="AC204" s="267">
        <f>IF(Case_Scenario="Bull",AC205,IF(Case_Scenario="Base",AC206,IF(Case_Scenario="bear",AC207,"N/A")))</f>
        <v>0.05</v>
      </c>
      <c r="AD204" s="266"/>
      <c r="AE204" s="266">
        <f>IF(Case_Scenario="Bull",AE205,IF(Case_Scenario="Base",AE206,IF(Case_Scenario="bear",AE207,"N/A")))</f>
        <v>0.05</v>
      </c>
      <c r="AF204" s="266">
        <f>IF(Case_Scenario="Bull",AF205,IF(Case_Scenario="Base",AF206,IF(Case_Scenario="bear",AF207,"N/A")))</f>
        <v>0.05</v>
      </c>
      <c r="AG204" s="266">
        <f>IF(Case_Scenario="Bull",AG205,IF(Case_Scenario="Base",AG206,IF(Case_Scenario="bear",AG207,"N/A")))</f>
        <v>0.05</v>
      </c>
    </row>
    <row r="205" spans="1:33" hidden="1" outlineLevel="1">
      <c r="C205" s="276" t="s">
        <v>217</v>
      </c>
      <c r="F205" s="268"/>
      <c r="G205" s="268"/>
      <c r="H205" s="268"/>
      <c r="I205" s="268"/>
      <c r="J205" s="269"/>
      <c r="K205" s="268"/>
      <c r="L205" s="268"/>
      <c r="M205" s="268"/>
      <c r="N205" s="268"/>
      <c r="O205" s="269"/>
      <c r="P205" s="268"/>
      <c r="Q205" s="268"/>
      <c r="R205" s="268"/>
      <c r="S205" s="268"/>
      <c r="T205" s="269"/>
      <c r="U205" s="268"/>
      <c r="V205" s="270">
        <v>0.1</v>
      </c>
      <c r="W205" s="270">
        <v>0.1</v>
      </c>
      <c r="X205" s="270">
        <v>0.1</v>
      </c>
      <c r="Y205" s="271"/>
      <c r="Z205" s="270">
        <v>0.1</v>
      </c>
      <c r="AA205" s="270">
        <v>0.1</v>
      </c>
      <c r="AB205" s="270">
        <v>0.1</v>
      </c>
      <c r="AC205" s="270">
        <v>0.1</v>
      </c>
      <c r="AD205" s="271"/>
      <c r="AE205" s="271">
        <v>0.1</v>
      </c>
      <c r="AF205" s="271">
        <v>0.1</v>
      </c>
      <c r="AG205" s="271">
        <v>0.1</v>
      </c>
    </row>
    <row r="206" spans="1:33" hidden="1" outlineLevel="1">
      <c r="C206" s="276" t="s">
        <v>218</v>
      </c>
      <c r="F206" s="268"/>
      <c r="G206" s="268"/>
      <c r="H206" s="268"/>
      <c r="I206" s="268"/>
      <c r="J206" s="269"/>
      <c r="K206" s="268"/>
      <c r="L206" s="268"/>
      <c r="M206" s="268"/>
      <c r="N206" s="268"/>
      <c r="O206" s="269"/>
      <c r="P206" s="268"/>
      <c r="Q206" s="268"/>
      <c r="R206" s="268"/>
      <c r="S206" s="268"/>
      <c r="T206" s="269"/>
      <c r="U206" s="268"/>
      <c r="V206" s="270">
        <v>0.05</v>
      </c>
      <c r="W206" s="270">
        <v>0.05</v>
      </c>
      <c r="X206" s="270">
        <v>0.05</v>
      </c>
      <c r="Y206" s="271"/>
      <c r="Z206" s="270">
        <v>0.05</v>
      </c>
      <c r="AA206" s="270">
        <v>0.05</v>
      </c>
      <c r="AB206" s="270">
        <v>0.05</v>
      </c>
      <c r="AC206" s="270">
        <v>0.05</v>
      </c>
      <c r="AD206" s="271"/>
      <c r="AE206" s="271">
        <v>0.05</v>
      </c>
      <c r="AF206" s="271">
        <v>0.05</v>
      </c>
      <c r="AG206" s="271">
        <v>0.05</v>
      </c>
    </row>
    <row r="207" spans="1:33" hidden="1" outlineLevel="1">
      <c r="C207" s="276" t="s">
        <v>219</v>
      </c>
      <c r="F207" s="268"/>
      <c r="G207" s="268"/>
      <c r="H207" s="268"/>
      <c r="I207" s="268"/>
      <c r="J207" s="269"/>
      <c r="K207" s="268"/>
      <c r="L207" s="268"/>
      <c r="M207" s="268"/>
      <c r="N207" s="268"/>
      <c r="O207" s="269"/>
      <c r="P207" s="268"/>
      <c r="Q207" s="268"/>
      <c r="R207" s="268"/>
      <c r="S207" s="268"/>
      <c r="T207" s="269"/>
      <c r="U207" s="268"/>
      <c r="V207" s="270">
        <v>0</v>
      </c>
      <c r="W207" s="270">
        <v>0</v>
      </c>
      <c r="X207" s="270">
        <v>0</v>
      </c>
      <c r="Y207" s="271"/>
      <c r="Z207" s="270">
        <v>0</v>
      </c>
      <c r="AA207" s="270">
        <v>0</v>
      </c>
      <c r="AB207" s="270">
        <v>0</v>
      </c>
      <c r="AC207" s="270">
        <v>0</v>
      </c>
      <c r="AD207" s="271"/>
      <c r="AE207" s="271">
        <v>0</v>
      </c>
      <c r="AF207" s="271">
        <v>0</v>
      </c>
      <c r="AG207" s="271">
        <v>0</v>
      </c>
    </row>
    <row r="208" spans="1:33" hidden="1" outlineLevel="1">
      <c r="C208" s="124" t="s">
        <v>234</v>
      </c>
      <c r="F208" s="754" t="e">
        <f>F203/F201</f>
        <v>#DIV/0!</v>
      </c>
      <c r="G208" s="754" t="e">
        <f t="shared" ref="G208:T208" si="133">G203/G201</f>
        <v>#DIV/0!</v>
      </c>
      <c r="H208" s="754" t="e">
        <f t="shared" si="133"/>
        <v>#DIV/0!</v>
      </c>
      <c r="I208" s="754" t="e">
        <f t="shared" si="133"/>
        <v>#DIV/0!</v>
      </c>
      <c r="J208" s="755" t="e">
        <f t="shared" si="133"/>
        <v>#DIV/0!</v>
      </c>
      <c r="K208" s="754" t="e">
        <f t="shared" si="133"/>
        <v>#DIV/0!</v>
      </c>
      <c r="L208" s="754" t="e">
        <f t="shared" si="133"/>
        <v>#DIV/0!</v>
      </c>
      <c r="M208" s="754" t="e">
        <f t="shared" si="133"/>
        <v>#DIV/0!</v>
      </c>
      <c r="N208" s="754" t="e">
        <f t="shared" si="133"/>
        <v>#DIV/0!</v>
      </c>
      <c r="O208" s="755" t="e">
        <f t="shared" si="133"/>
        <v>#DIV/0!</v>
      </c>
      <c r="P208" s="754" t="e">
        <f t="shared" si="133"/>
        <v>#DIV/0!</v>
      </c>
      <c r="Q208" s="754" t="e">
        <f t="shared" si="133"/>
        <v>#DIV/0!</v>
      </c>
      <c r="R208" s="754" t="e">
        <f t="shared" si="133"/>
        <v>#DIV/0!</v>
      </c>
      <c r="S208" s="754" t="e">
        <f t="shared" si="133"/>
        <v>#DIV/0!</v>
      </c>
      <c r="T208" s="755" t="e">
        <f t="shared" si="133"/>
        <v>#DIV/0!</v>
      </c>
      <c r="U208" s="754" t="e">
        <f t="shared" ref="U208" si="134">U203/U201</f>
        <v>#DIV/0!</v>
      </c>
      <c r="V208" s="752">
        <f>IF(Case_Scenario="Bull",V209,IF(Case_Scenario="Base",V210,IF(Case_Scenario="bear",V211,"N/A")))</f>
        <v>1.25</v>
      </c>
      <c r="W208" s="752">
        <f>IF(Case_Scenario="Bull",W209,IF(Case_Scenario="Base",W210,IF(Case_Scenario="bear",W211,"N/A")))</f>
        <v>1.25</v>
      </c>
      <c r="X208" s="752">
        <f>IF(Case_Scenario="Bull",X209,IF(Case_Scenario="Base",X210,IF(Case_Scenario="bear",X211,"N/A")))</f>
        <v>1.25</v>
      </c>
      <c r="Y208" s="753" t="e">
        <f>AVERAGE(U208:X208)</f>
        <v>#DIV/0!</v>
      </c>
      <c r="Z208" s="752">
        <f>IF(Case_Scenario="Bull",Z209,IF(Case_Scenario="Base",Z210,IF(Case_Scenario="bear",Z211,"N/A")))</f>
        <v>1.25</v>
      </c>
      <c r="AA208" s="752">
        <f>IF(Case_Scenario="Bull",AA209,IF(Case_Scenario="Base",AA210,IF(Case_Scenario="bear",AA211,"N/A")))</f>
        <v>1.25</v>
      </c>
      <c r="AB208" s="752">
        <f>IF(Case_Scenario="Bull",AB209,IF(Case_Scenario="Base",AB210,IF(Case_Scenario="bear",AB211,"N/A")))</f>
        <v>1.25</v>
      </c>
      <c r="AC208" s="752">
        <f>IF(Case_Scenario="Bull",AC209,IF(Case_Scenario="Base",AC210,IF(Case_Scenario="bear",AC211,"N/A")))</f>
        <v>1.25</v>
      </c>
      <c r="AD208" s="753">
        <f>AVERAGE(Z208:AC208)</f>
        <v>1.25</v>
      </c>
      <c r="AE208" s="751">
        <f>IF(Case_Scenario="Bull",AE209,IF(Case_Scenario="Base",AE210,IF(Case_Scenario="bear",AE211,"N/A")))</f>
        <v>1.25</v>
      </c>
      <c r="AF208" s="751">
        <f>IF(Case_Scenario="Bull",AF209,IF(Case_Scenario="Base",AF210,IF(Case_Scenario="bear",AF211,"N/A")))</f>
        <v>1.25</v>
      </c>
      <c r="AG208" s="751">
        <f>IF(Case_Scenario="Bull",AG209,IF(Case_Scenario="Base",AG210,IF(Case_Scenario="bear",AG211,"N/A")))</f>
        <v>1.25</v>
      </c>
    </row>
    <row r="209" spans="1:33" hidden="1" outlineLevel="1">
      <c r="C209" s="276" t="s">
        <v>217</v>
      </c>
      <c r="F209" s="268"/>
      <c r="G209" s="265"/>
      <c r="H209" s="265"/>
      <c r="I209" s="265"/>
      <c r="J209" s="269"/>
      <c r="K209" s="265"/>
      <c r="L209" s="265"/>
      <c r="M209" s="265"/>
      <c r="N209" s="265"/>
      <c r="O209" s="266"/>
      <c r="P209" s="265"/>
      <c r="Q209" s="265"/>
      <c r="R209" s="265"/>
      <c r="S209" s="265"/>
      <c r="T209" s="266"/>
      <c r="U209" s="265"/>
      <c r="V209" s="281">
        <v>1</v>
      </c>
      <c r="W209" s="281">
        <v>1</v>
      </c>
      <c r="X209" s="281">
        <v>1</v>
      </c>
      <c r="Y209" s="282"/>
      <c r="Z209" s="281">
        <v>1</v>
      </c>
      <c r="AA209" s="281">
        <v>1</v>
      </c>
      <c r="AB209" s="281">
        <v>1</v>
      </c>
      <c r="AC209" s="281">
        <v>1</v>
      </c>
      <c r="AD209" s="282"/>
      <c r="AE209" s="283">
        <v>1</v>
      </c>
      <c r="AF209" s="283">
        <v>1</v>
      </c>
      <c r="AG209" s="283">
        <v>1</v>
      </c>
    </row>
    <row r="210" spans="1:33" hidden="1" outlineLevel="1">
      <c r="C210" s="276" t="s">
        <v>218</v>
      </c>
      <c r="F210" s="268"/>
      <c r="G210" s="268"/>
      <c r="H210" s="268"/>
      <c r="I210" s="268"/>
      <c r="J210" s="269"/>
      <c r="K210" s="268"/>
      <c r="L210" s="268"/>
      <c r="M210" s="268"/>
      <c r="N210" s="268"/>
      <c r="O210" s="269"/>
      <c r="P210" s="268"/>
      <c r="Q210" s="268"/>
      <c r="R210" s="268"/>
      <c r="S210" s="268"/>
      <c r="T210" s="269"/>
      <c r="U210" s="268"/>
      <c r="V210" s="281">
        <v>1.25</v>
      </c>
      <c r="W210" s="281">
        <v>1.25</v>
      </c>
      <c r="X210" s="281">
        <v>1.25</v>
      </c>
      <c r="Y210" s="282"/>
      <c r="Z210" s="281">
        <v>1.25</v>
      </c>
      <c r="AA210" s="281">
        <v>1.25</v>
      </c>
      <c r="AB210" s="281">
        <v>1.25</v>
      </c>
      <c r="AC210" s="281">
        <v>1.25</v>
      </c>
      <c r="AD210" s="282"/>
      <c r="AE210" s="283">
        <v>1.25</v>
      </c>
      <c r="AF210" s="283">
        <v>1.25</v>
      </c>
      <c r="AG210" s="283">
        <v>1.25</v>
      </c>
    </row>
    <row r="211" spans="1:33" hidden="1" outlineLevel="1">
      <c r="C211" s="276" t="s">
        <v>219</v>
      </c>
      <c r="F211" s="268"/>
      <c r="G211" s="268"/>
      <c r="H211" s="268"/>
      <c r="I211" s="268"/>
      <c r="J211" s="269"/>
      <c r="K211" s="268"/>
      <c r="L211" s="268"/>
      <c r="M211" s="268"/>
      <c r="N211" s="268"/>
      <c r="O211" s="269"/>
      <c r="P211" s="268"/>
      <c r="Q211" s="268"/>
      <c r="R211" s="268"/>
      <c r="S211" s="268"/>
      <c r="T211" s="269"/>
      <c r="U211" s="268"/>
      <c r="V211" s="281">
        <v>1.5</v>
      </c>
      <c r="W211" s="281">
        <v>1.5</v>
      </c>
      <c r="X211" s="281">
        <v>1.5</v>
      </c>
      <c r="Y211" s="282"/>
      <c r="Z211" s="281">
        <v>1.5</v>
      </c>
      <c r="AA211" s="281">
        <v>1.5</v>
      </c>
      <c r="AB211" s="281">
        <v>1.5</v>
      </c>
      <c r="AC211" s="281">
        <v>1.5</v>
      </c>
      <c r="AD211" s="282"/>
      <c r="AE211" s="283">
        <v>1.5</v>
      </c>
      <c r="AF211" s="283">
        <v>1.5</v>
      </c>
      <c r="AG211" s="283">
        <v>1.5</v>
      </c>
    </row>
    <row r="212" spans="1:33" hidden="1" outlineLevel="1">
      <c r="F212" s="268"/>
      <c r="G212" s="268"/>
      <c r="H212" s="268"/>
      <c r="I212" s="268"/>
      <c r="J212" s="269"/>
      <c r="K212" s="268"/>
      <c r="L212" s="268"/>
      <c r="M212" s="268"/>
      <c r="N212" s="268"/>
      <c r="O212" s="269"/>
      <c r="P212" s="268"/>
      <c r="Q212" s="268"/>
      <c r="R212" s="268"/>
      <c r="S212" s="268"/>
      <c r="T212" s="269"/>
      <c r="U212" s="268"/>
      <c r="V212" s="270"/>
      <c r="W212" s="270"/>
      <c r="X212" s="270"/>
      <c r="Y212" s="271"/>
      <c r="Z212" s="270"/>
      <c r="AA212" s="270"/>
      <c r="AB212" s="270"/>
      <c r="AC212" s="270"/>
      <c r="AD212" s="271"/>
      <c r="AE212" s="271"/>
      <c r="AF212" s="271"/>
      <c r="AG212" s="271"/>
    </row>
    <row r="213" spans="1:33" hidden="1" outlineLevel="1">
      <c r="A213" s="22" t="s">
        <v>1</v>
      </c>
      <c r="C213" s="28" t="str">
        <f>C44</f>
        <v>Segment 5 Revenue</v>
      </c>
      <c r="F213" s="727">
        <f t="shared" ref="F213:T213" si="135">F44</f>
        <v>0</v>
      </c>
      <c r="G213" s="727">
        <f t="shared" si="135"/>
        <v>0</v>
      </c>
      <c r="H213" s="727">
        <f t="shared" si="135"/>
        <v>0</v>
      </c>
      <c r="I213" s="727">
        <f t="shared" si="135"/>
        <v>0</v>
      </c>
      <c r="J213" s="728">
        <f t="shared" si="135"/>
        <v>0</v>
      </c>
      <c r="K213" s="727">
        <f t="shared" si="135"/>
        <v>0</v>
      </c>
      <c r="L213" s="727">
        <f t="shared" si="135"/>
        <v>0</v>
      </c>
      <c r="M213" s="727">
        <f t="shared" si="135"/>
        <v>0</v>
      </c>
      <c r="N213" s="727">
        <f t="shared" si="135"/>
        <v>0</v>
      </c>
      <c r="O213" s="728">
        <f t="shared" si="135"/>
        <v>0</v>
      </c>
      <c r="P213" s="727">
        <f t="shared" si="135"/>
        <v>0</v>
      </c>
      <c r="Q213" s="727">
        <f t="shared" si="135"/>
        <v>0</v>
      </c>
      <c r="R213" s="727">
        <f t="shared" si="135"/>
        <v>0</v>
      </c>
      <c r="S213" s="727">
        <f t="shared" si="135"/>
        <v>0</v>
      </c>
      <c r="T213" s="728">
        <f t="shared" si="135"/>
        <v>0</v>
      </c>
      <c r="U213" s="727">
        <f t="shared" ref="U213" si="136">U44</f>
        <v>0</v>
      </c>
      <c r="V213" s="729">
        <f>V215/V220</f>
        <v>-456.96000000000004</v>
      </c>
      <c r="W213" s="729">
        <f>W215/W220</f>
        <v>-479.80800000000011</v>
      </c>
      <c r="X213" s="729">
        <f>X215/X220</f>
        <v>-503.79840000000013</v>
      </c>
      <c r="Y213" s="728">
        <f>SUM(U213:X213)</f>
        <v>-1440.5664000000002</v>
      </c>
      <c r="Z213" s="729">
        <f>Z215/Z220</f>
        <v>-528.98832000000016</v>
      </c>
      <c r="AA213" s="729">
        <f>AA215/AA220</f>
        <v>-555.43773600000009</v>
      </c>
      <c r="AB213" s="729">
        <f>AB215/AB220</f>
        <v>-583.20962280000015</v>
      </c>
      <c r="AC213" s="729">
        <f>AC215/AC220</f>
        <v>-612.37010394000015</v>
      </c>
      <c r="AD213" s="728">
        <f>SUM(Z213:AC213)</f>
        <v>-2280.0057827400005</v>
      </c>
      <c r="AE213" s="728">
        <f>AE215/AE220</f>
        <v>-2394.006071877001</v>
      </c>
      <c r="AF213" s="728">
        <f>AF215/AF220</f>
        <v>-2513.7063754708511</v>
      </c>
      <c r="AG213" s="728">
        <f>AG215/AG220</f>
        <v>-2639.3916942443934</v>
      </c>
    </row>
    <row r="214" spans="1:33" hidden="1" outlineLevel="1">
      <c r="C214" s="124" t="s">
        <v>230</v>
      </c>
      <c r="F214" s="718">
        <v>0</v>
      </c>
      <c r="G214" s="718">
        <v>0</v>
      </c>
      <c r="H214" s="718">
        <v>0</v>
      </c>
      <c r="I214" s="718">
        <v>0</v>
      </c>
      <c r="J214" s="745">
        <f>0+J215-J213</f>
        <v>0</v>
      </c>
      <c r="K214" s="718">
        <v>0</v>
      </c>
      <c r="L214" s="718">
        <v>0</v>
      </c>
      <c r="M214" s="718">
        <v>16251</v>
      </c>
      <c r="N214" s="718">
        <v>17223</v>
      </c>
      <c r="O214" s="745">
        <f>15631+O215-O213</f>
        <v>17223</v>
      </c>
      <c r="P214" s="718">
        <v>20464</v>
      </c>
      <c r="Q214" s="718">
        <v>20388</v>
      </c>
      <c r="R214" s="718">
        <v>20240</v>
      </c>
      <c r="S214" s="718">
        <v>21008</v>
      </c>
      <c r="T214" s="745">
        <f>O214+T215-T213</f>
        <v>21008</v>
      </c>
      <c r="U214" s="718">
        <v>20464</v>
      </c>
      <c r="V214" s="746">
        <f>U214+V215-V213</f>
        <v>20349.759999999998</v>
      </c>
      <c r="W214" s="746">
        <f>V214+W215-W213</f>
        <v>20229.808000000001</v>
      </c>
      <c r="X214" s="746">
        <f>W214+X215-X213</f>
        <v>20103.858400000001</v>
      </c>
      <c r="Y214" s="745">
        <f>T214+Y215-Y213</f>
        <v>20103.858400000001</v>
      </c>
      <c r="Z214" s="746">
        <f>X214+Z215-Z213</f>
        <v>19971.61132</v>
      </c>
      <c r="AA214" s="746">
        <f>Z214+AA215-AA213</f>
        <v>19832.751885999998</v>
      </c>
      <c r="AB214" s="746">
        <f>AA214+AB215-AB213</f>
        <v>19686.949480299998</v>
      </c>
      <c r="AC214" s="746">
        <f>AB214+AC215-AC213</f>
        <v>19533.856954314997</v>
      </c>
      <c r="AD214" s="745">
        <f>Y214+AD215-AD213</f>
        <v>19533.856954315001</v>
      </c>
      <c r="AE214" s="719">
        <f>AD214+AE215-AE213</f>
        <v>18935.355436345748</v>
      </c>
      <c r="AF214" s="719">
        <f>AE214+AF215-AF213</f>
        <v>18306.928842478035</v>
      </c>
      <c r="AG214" s="719">
        <f>AF214+AG215-AG213</f>
        <v>17647.080918916938</v>
      </c>
    </row>
    <row r="215" spans="1:33" hidden="1" outlineLevel="1">
      <c r="C215" s="124" t="s">
        <v>232</v>
      </c>
      <c r="F215" s="718">
        <f>F214+F213-0</f>
        <v>0</v>
      </c>
      <c r="G215" s="718">
        <f>G214+G213-F214</f>
        <v>0</v>
      </c>
      <c r="H215" s="718">
        <f>H214+H213-G214</f>
        <v>0</v>
      </c>
      <c r="I215" s="718">
        <f>I214+I213-H214</f>
        <v>0</v>
      </c>
      <c r="J215" s="745">
        <f>SUM(F215:I215)</f>
        <v>0</v>
      </c>
      <c r="K215" s="718">
        <f>K214+K213-J214</f>
        <v>0</v>
      </c>
      <c r="L215" s="718">
        <f>L214+L213-K214</f>
        <v>0</v>
      </c>
      <c r="M215" s="718">
        <f>M214+M213-15631</f>
        <v>620</v>
      </c>
      <c r="N215" s="718">
        <f>N214+N213-M214</f>
        <v>972</v>
      </c>
      <c r="O215" s="745">
        <f>SUM(M215:N215)</f>
        <v>1592</v>
      </c>
      <c r="P215" s="718">
        <f>P214+P213-O214</f>
        <v>3241</v>
      </c>
      <c r="Q215" s="718">
        <f>Q214+Q213-P214</f>
        <v>-76</v>
      </c>
      <c r="R215" s="718">
        <f>R214+R213-Q214</f>
        <v>-148</v>
      </c>
      <c r="S215" s="718">
        <f>S214+S213-R214</f>
        <v>768</v>
      </c>
      <c r="T215" s="745">
        <f>SUM(P215:S215)</f>
        <v>3785</v>
      </c>
      <c r="U215" s="718">
        <f>U214+U213-T214</f>
        <v>-544</v>
      </c>
      <c r="V215" s="746">
        <f>U215*(1+V216)</f>
        <v>-571.20000000000005</v>
      </c>
      <c r="W215" s="746">
        <f>V215*(1+W216)</f>
        <v>-599.7600000000001</v>
      </c>
      <c r="X215" s="746">
        <f>W215*(1+X216)</f>
        <v>-629.74800000000016</v>
      </c>
      <c r="Y215" s="747">
        <f>SUM(U215:X215)</f>
        <v>-2344.7080000000001</v>
      </c>
      <c r="Z215" s="746">
        <f>X215*(1+Z216)</f>
        <v>-661.23540000000014</v>
      </c>
      <c r="AA215" s="746">
        <f>Z215*(1+AA216)</f>
        <v>-694.29717000000016</v>
      </c>
      <c r="AB215" s="746">
        <f>AA215*(1+AB216)</f>
        <v>-729.01202850000016</v>
      </c>
      <c r="AC215" s="746">
        <f>AB215*(1+AC216)</f>
        <v>-765.46262992500021</v>
      </c>
      <c r="AD215" s="747">
        <f>SUM(Z215:AC215)</f>
        <v>-2850.0072284250009</v>
      </c>
      <c r="AE215" s="719">
        <f>AD215*(1+AE216)</f>
        <v>-2992.507589846251</v>
      </c>
      <c r="AF215" s="719">
        <f>AE215*(1+AF216)</f>
        <v>-3142.1329693385637</v>
      </c>
      <c r="AG215" s="719">
        <f>AF215*(1+AG216)</f>
        <v>-3299.2396178054919</v>
      </c>
    </row>
    <row r="216" spans="1:33" hidden="1" outlineLevel="1">
      <c r="C216" s="275" t="s">
        <v>233</v>
      </c>
      <c r="F216" s="268"/>
      <c r="G216" s="265" t="str">
        <f>IFERROR(G215/F215-1,"--")</f>
        <v>--</v>
      </c>
      <c r="H216" s="265" t="str">
        <f>IFERROR(H215/G215-1,"--")</f>
        <v>--</v>
      </c>
      <c r="I216" s="265" t="str">
        <f>IFERROR(I215/H215-1,"--")</f>
        <v>--</v>
      </c>
      <c r="J216" s="269"/>
      <c r="K216" s="265" t="str">
        <f>IFERROR(K215/I215-1,"--")</f>
        <v>--</v>
      </c>
      <c r="L216" s="265" t="str">
        <f>IFERROR(L215/K215-1,"--")</f>
        <v>--</v>
      </c>
      <c r="M216" s="265" t="str">
        <f>IFERROR(M215/L215-1,"--")</f>
        <v>--</v>
      </c>
      <c r="N216" s="265">
        <f>IFERROR(N215/M215-1,"--")</f>
        <v>0.56774193548387086</v>
      </c>
      <c r="O216" s="266" t="str">
        <f>IFERROR(O215/J215-1,"--")</f>
        <v>--</v>
      </c>
      <c r="P216" s="265">
        <f>IFERROR(P215/N215-1,"--")</f>
        <v>2.3343621399176953</v>
      </c>
      <c r="Q216" s="265">
        <f>IFERROR(Q215/P215-1,"--")</f>
        <v>-1.02344955260722</v>
      </c>
      <c r="R216" s="265">
        <f>IFERROR(R215/Q215-1,"--")</f>
        <v>0.94736842105263164</v>
      </c>
      <c r="S216" s="265">
        <f>IFERROR(S215/R215-1,"--")</f>
        <v>-6.1891891891891895</v>
      </c>
      <c r="T216" s="266">
        <f>IFERROR(T215/O215-1,"--")</f>
        <v>1.3775125628140703</v>
      </c>
      <c r="U216" s="265">
        <f>IFERROR(U215/S215-1,"--")</f>
        <v>-1.7083333333333335</v>
      </c>
      <c r="V216" s="267">
        <f>IF(Case_Scenario="Bull",V217,IF(Case_Scenario="Base",V218,IF(Case_Scenario="bear",V219,"N/A")))</f>
        <v>0.05</v>
      </c>
      <c r="W216" s="267">
        <f>IF(Case_Scenario="Bull",W217,IF(Case_Scenario="Base",W218,IF(Case_Scenario="bear",W219,"N/A")))</f>
        <v>0.05</v>
      </c>
      <c r="X216" s="267">
        <f>IF(Case_Scenario="Bull",X217,IF(Case_Scenario="Base",X218,IF(Case_Scenario="bear",X219,"N/A")))</f>
        <v>0.05</v>
      </c>
      <c r="Y216" s="266"/>
      <c r="Z216" s="267">
        <f>IF(Case_Scenario="Bull",Z217,IF(Case_Scenario="Base",Z218,IF(Case_Scenario="bear",Z219,"N/A")))</f>
        <v>0.05</v>
      </c>
      <c r="AA216" s="267">
        <f>IF(Case_Scenario="Bull",AA217,IF(Case_Scenario="Base",AA218,IF(Case_Scenario="bear",AA219,"N/A")))</f>
        <v>0.05</v>
      </c>
      <c r="AB216" s="267">
        <f>IF(Case_Scenario="Bull",AB217,IF(Case_Scenario="Base",AB218,IF(Case_Scenario="bear",AB219,"N/A")))</f>
        <v>0.05</v>
      </c>
      <c r="AC216" s="267">
        <f>IF(Case_Scenario="Bull",AC217,IF(Case_Scenario="Base",AC218,IF(Case_Scenario="bear",AC219,"N/A")))</f>
        <v>0.05</v>
      </c>
      <c r="AD216" s="266"/>
      <c r="AE216" s="266">
        <f>IF(Case_Scenario="Bull",AE217,IF(Case_Scenario="Base",AE218,IF(Case_Scenario="bear",AE219,"N/A")))</f>
        <v>0.05</v>
      </c>
      <c r="AF216" s="266">
        <f>IF(Case_Scenario="Bull",AF217,IF(Case_Scenario="Base",AF218,IF(Case_Scenario="bear",AF219,"N/A")))</f>
        <v>0.05</v>
      </c>
      <c r="AG216" s="266">
        <f>IF(Case_Scenario="Bull",AG217,IF(Case_Scenario="Base",AG218,IF(Case_Scenario="bear",AG219,"N/A")))</f>
        <v>0.05</v>
      </c>
    </row>
    <row r="217" spans="1:33" hidden="1" outlineLevel="1">
      <c r="C217" s="276" t="s">
        <v>217</v>
      </c>
      <c r="F217" s="268"/>
      <c r="G217" s="268"/>
      <c r="H217" s="268"/>
      <c r="I217" s="268"/>
      <c r="J217" s="269"/>
      <c r="K217" s="268"/>
      <c r="L217" s="268"/>
      <c r="M217" s="268"/>
      <c r="N217" s="268"/>
      <c r="O217" s="269"/>
      <c r="P217" s="268"/>
      <c r="Q217" s="268"/>
      <c r="R217" s="268"/>
      <c r="S217" s="268"/>
      <c r="T217" s="269"/>
      <c r="U217" s="268"/>
      <c r="V217" s="270">
        <v>0.1</v>
      </c>
      <c r="W217" s="270">
        <v>0.1</v>
      </c>
      <c r="X217" s="270">
        <v>0.1</v>
      </c>
      <c r="Y217" s="271"/>
      <c r="Z217" s="270">
        <v>0.1</v>
      </c>
      <c r="AA217" s="270">
        <v>0.1</v>
      </c>
      <c r="AB217" s="270">
        <v>0.1</v>
      </c>
      <c r="AC217" s="270">
        <v>0.1</v>
      </c>
      <c r="AD217" s="271"/>
      <c r="AE217" s="271">
        <v>0.1</v>
      </c>
      <c r="AF217" s="271">
        <v>0.1</v>
      </c>
      <c r="AG217" s="271">
        <v>0.1</v>
      </c>
    </row>
    <row r="218" spans="1:33" hidden="1" outlineLevel="1">
      <c r="C218" s="276" t="s">
        <v>218</v>
      </c>
      <c r="F218" s="268"/>
      <c r="G218" s="268"/>
      <c r="H218" s="268"/>
      <c r="I218" s="268"/>
      <c r="J218" s="269"/>
      <c r="K218" s="268"/>
      <c r="L218" s="268"/>
      <c r="M218" s="268"/>
      <c r="N218" s="268"/>
      <c r="O218" s="269"/>
      <c r="P218" s="268"/>
      <c r="Q218" s="268"/>
      <c r="R218" s="268"/>
      <c r="S218" s="268"/>
      <c r="T218" s="269"/>
      <c r="U218" s="268"/>
      <c r="V218" s="270">
        <v>0.05</v>
      </c>
      <c r="W218" s="270">
        <v>0.05</v>
      </c>
      <c r="X218" s="270">
        <v>0.05</v>
      </c>
      <c r="Y218" s="271"/>
      <c r="Z218" s="270">
        <v>0.05</v>
      </c>
      <c r="AA218" s="270">
        <v>0.05</v>
      </c>
      <c r="AB218" s="270">
        <v>0.05</v>
      </c>
      <c r="AC218" s="270">
        <v>0.05</v>
      </c>
      <c r="AD218" s="271"/>
      <c r="AE218" s="271">
        <v>0.05</v>
      </c>
      <c r="AF218" s="271">
        <v>0.05</v>
      </c>
      <c r="AG218" s="271">
        <v>0.05</v>
      </c>
    </row>
    <row r="219" spans="1:33" hidden="1" outlineLevel="1">
      <c r="C219" s="276" t="s">
        <v>219</v>
      </c>
      <c r="F219" s="268"/>
      <c r="G219" s="268"/>
      <c r="H219" s="268"/>
      <c r="I219" s="268"/>
      <c r="J219" s="269"/>
      <c r="K219" s="268"/>
      <c r="L219" s="268"/>
      <c r="M219" s="268"/>
      <c r="N219" s="268"/>
      <c r="O219" s="269"/>
      <c r="P219" s="268"/>
      <c r="Q219" s="268"/>
      <c r="R219" s="268"/>
      <c r="S219" s="268"/>
      <c r="T219" s="269"/>
      <c r="U219" s="268"/>
      <c r="V219" s="270">
        <v>0</v>
      </c>
      <c r="W219" s="270">
        <v>0</v>
      </c>
      <c r="X219" s="270">
        <v>0</v>
      </c>
      <c r="Y219" s="271"/>
      <c r="Z219" s="270">
        <v>0</v>
      </c>
      <c r="AA219" s="270">
        <v>0</v>
      </c>
      <c r="AB219" s="270">
        <v>0</v>
      </c>
      <c r="AC219" s="270">
        <v>0</v>
      </c>
      <c r="AD219" s="271"/>
      <c r="AE219" s="271">
        <v>0</v>
      </c>
      <c r="AF219" s="271">
        <v>0</v>
      </c>
      <c r="AG219" s="271">
        <v>0</v>
      </c>
    </row>
    <row r="220" spans="1:33" hidden="1" outlineLevel="1">
      <c r="C220" s="124" t="s">
        <v>234</v>
      </c>
      <c r="F220" s="754" t="e">
        <f>F215/F213</f>
        <v>#DIV/0!</v>
      </c>
      <c r="G220" s="754" t="e">
        <f t="shared" ref="G220:T220" si="137">G215/G213</f>
        <v>#DIV/0!</v>
      </c>
      <c r="H220" s="754" t="e">
        <f t="shared" si="137"/>
        <v>#DIV/0!</v>
      </c>
      <c r="I220" s="754" t="e">
        <f t="shared" si="137"/>
        <v>#DIV/0!</v>
      </c>
      <c r="J220" s="755" t="e">
        <f t="shared" si="137"/>
        <v>#DIV/0!</v>
      </c>
      <c r="K220" s="754" t="e">
        <f t="shared" si="137"/>
        <v>#DIV/0!</v>
      </c>
      <c r="L220" s="754" t="e">
        <f t="shared" si="137"/>
        <v>#DIV/0!</v>
      </c>
      <c r="M220" s="754" t="e">
        <f t="shared" si="137"/>
        <v>#DIV/0!</v>
      </c>
      <c r="N220" s="754" t="e">
        <f t="shared" si="137"/>
        <v>#DIV/0!</v>
      </c>
      <c r="O220" s="755" t="e">
        <f t="shared" si="137"/>
        <v>#DIV/0!</v>
      </c>
      <c r="P220" s="754" t="e">
        <f t="shared" si="137"/>
        <v>#DIV/0!</v>
      </c>
      <c r="Q220" s="754" t="e">
        <f t="shared" si="137"/>
        <v>#DIV/0!</v>
      </c>
      <c r="R220" s="754" t="e">
        <f t="shared" si="137"/>
        <v>#DIV/0!</v>
      </c>
      <c r="S220" s="754" t="e">
        <f t="shared" si="137"/>
        <v>#DIV/0!</v>
      </c>
      <c r="T220" s="755" t="e">
        <f t="shared" si="137"/>
        <v>#DIV/0!</v>
      </c>
      <c r="U220" s="754" t="e">
        <f t="shared" ref="U220" si="138">U215/U213</f>
        <v>#DIV/0!</v>
      </c>
      <c r="V220" s="752">
        <f>IF(Case_Scenario="Bull",V221,IF(Case_Scenario="Base",V222,IF(Case_Scenario="bear",V223,"N/A")))</f>
        <v>1.25</v>
      </c>
      <c r="W220" s="752">
        <f>IF(Case_Scenario="Bull",W221,IF(Case_Scenario="Base",W222,IF(Case_Scenario="bear",W223,"N/A")))</f>
        <v>1.25</v>
      </c>
      <c r="X220" s="752">
        <f>IF(Case_Scenario="Bull",X221,IF(Case_Scenario="Base",X222,IF(Case_Scenario="bear",X223,"N/A")))</f>
        <v>1.25</v>
      </c>
      <c r="Y220" s="753" t="e">
        <f>AVERAGE(U220:X220)</f>
        <v>#DIV/0!</v>
      </c>
      <c r="Z220" s="752">
        <f>IF(Case_Scenario="Bull",Z221,IF(Case_Scenario="Base",Z222,IF(Case_Scenario="bear",Z223,"N/A")))</f>
        <v>1.25</v>
      </c>
      <c r="AA220" s="752">
        <f>IF(Case_Scenario="Bull",AA221,IF(Case_Scenario="Base",AA222,IF(Case_Scenario="bear",AA223,"N/A")))</f>
        <v>1.25</v>
      </c>
      <c r="AB220" s="752">
        <f>IF(Case_Scenario="Bull",AB221,IF(Case_Scenario="Base",AB222,IF(Case_Scenario="bear",AB223,"N/A")))</f>
        <v>1.25</v>
      </c>
      <c r="AC220" s="752">
        <f>IF(Case_Scenario="Bull",AC221,IF(Case_Scenario="Base",AC222,IF(Case_Scenario="bear",AC223,"N/A")))</f>
        <v>1.25</v>
      </c>
      <c r="AD220" s="753">
        <f>AVERAGE(Z220:AC220)</f>
        <v>1.25</v>
      </c>
      <c r="AE220" s="751">
        <f>IF(Case_Scenario="Bull",AE221,IF(Case_Scenario="Base",AE222,IF(Case_Scenario="bear",AE223,"N/A")))</f>
        <v>1.25</v>
      </c>
      <c r="AF220" s="751">
        <f>IF(Case_Scenario="Bull",AF221,IF(Case_Scenario="Base",AF222,IF(Case_Scenario="bear",AF223,"N/A")))</f>
        <v>1.25</v>
      </c>
      <c r="AG220" s="751">
        <f>IF(Case_Scenario="Bull",AG221,IF(Case_Scenario="Base",AG222,IF(Case_Scenario="bear",AG223,"N/A")))</f>
        <v>1.25</v>
      </c>
    </row>
    <row r="221" spans="1:33" hidden="1" outlineLevel="1">
      <c r="C221" s="276" t="s">
        <v>217</v>
      </c>
      <c r="F221" s="268"/>
      <c r="G221" s="265"/>
      <c r="H221" s="265"/>
      <c r="I221" s="265"/>
      <c r="J221" s="269"/>
      <c r="K221" s="265"/>
      <c r="L221" s="265"/>
      <c r="M221" s="265"/>
      <c r="N221" s="265"/>
      <c r="O221" s="266"/>
      <c r="P221" s="265"/>
      <c r="Q221" s="265"/>
      <c r="R221" s="265"/>
      <c r="S221" s="265"/>
      <c r="T221" s="266"/>
      <c r="U221" s="265"/>
      <c r="V221" s="281">
        <v>1</v>
      </c>
      <c r="W221" s="281">
        <v>1</v>
      </c>
      <c r="X221" s="281">
        <v>1</v>
      </c>
      <c r="Y221" s="282"/>
      <c r="Z221" s="281">
        <v>1</v>
      </c>
      <c r="AA221" s="281">
        <v>1</v>
      </c>
      <c r="AB221" s="281">
        <v>1</v>
      </c>
      <c r="AC221" s="281">
        <v>1</v>
      </c>
      <c r="AD221" s="282"/>
      <c r="AE221" s="283">
        <v>1</v>
      </c>
      <c r="AF221" s="283">
        <v>1</v>
      </c>
      <c r="AG221" s="283">
        <v>1</v>
      </c>
    </row>
    <row r="222" spans="1:33" hidden="1" outlineLevel="1">
      <c r="C222" s="276" t="s">
        <v>218</v>
      </c>
      <c r="F222" s="268"/>
      <c r="G222" s="268"/>
      <c r="H222" s="268"/>
      <c r="I222" s="268"/>
      <c r="J222" s="269"/>
      <c r="K222" s="268"/>
      <c r="L222" s="268"/>
      <c r="M222" s="268"/>
      <c r="N222" s="268"/>
      <c r="O222" s="269"/>
      <c r="P222" s="268"/>
      <c r="Q222" s="268"/>
      <c r="R222" s="268"/>
      <c r="S222" s="268"/>
      <c r="T222" s="269"/>
      <c r="U222" s="268"/>
      <c r="V222" s="281">
        <v>1.25</v>
      </c>
      <c r="W222" s="281">
        <v>1.25</v>
      </c>
      <c r="X222" s="281">
        <v>1.25</v>
      </c>
      <c r="Y222" s="282"/>
      <c r="Z222" s="281">
        <v>1.25</v>
      </c>
      <c r="AA222" s="281">
        <v>1.25</v>
      </c>
      <c r="AB222" s="281">
        <v>1.25</v>
      </c>
      <c r="AC222" s="281">
        <v>1.25</v>
      </c>
      <c r="AD222" s="282"/>
      <c r="AE222" s="283">
        <v>1.25</v>
      </c>
      <c r="AF222" s="283">
        <v>1.25</v>
      </c>
      <c r="AG222" s="283">
        <v>1.25</v>
      </c>
    </row>
    <row r="223" spans="1:33" hidden="1" outlineLevel="1">
      <c r="C223" s="276" t="s">
        <v>219</v>
      </c>
      <c r="F223" s="268"/>
      <c r="G223" s="268"/>
      <c r="H223" s="268"/>
      <c r="I223" s="268"/>
      <c r="J223" s="269"/>
      <c r="K223" s="268"/>
      <c r="L223" s="268"/>
      <c r="M223" s="268"/>
      <c r="N223" s="268"/>
      <c r="O223" s="269"/>
      <c r="P223" s="268"/>
      <c r="Q223" s="268"/>
      <c r="R223" s="268"/>
      <c r="S223" s="268"/>
      <c r="T223" s="269"/>
      <c r="U223" s="268"/>
      <c r="V223" s="281">
        <v>1.5</v>
      </c>
      <c r="W223" s="281">
        <v>1.5</v>
      </c>
      <c r="X223" s="281">
        <v>1.5</v>
      </c>
      <c r="Y223" s="282"/>
      <c r="Z223" s="281">
        <v>1.5</v>
      </c>
      <c r="AA223" s="281">
        <v>1.5</v>
      </c>
      <c r="AB223" s="281">
        <v>1.5</v>
      </c>
      <c r="AC223" s="281">
        <v>1.5</v>
      </c>
      <c r="AD223" s="282"/>
      <c r="AE223" s="283">
        <v>1.5</v>
      </c>
      <c r="AF223" s="283">
        <v>1.5</v>
      </c>
      <c r="AG223" s="283">
        <v>1.5</v>
      </c>
    </row>
    <row r="224" spans="1:33" hidden="1" outlineLevel="1">
      <c r="F224" s="268"/>
      <c r="G224" s="268"/>
      <c r="H224" s="268"/>
      <c r="I224" s="268"/>
      <c r="J224" s="269"/>
      <c r="K224" s="268"/>
      <c r="L224" s="268"/>
      <c r="M224" s="268"/>
      <c r="N224" s="268"/>
      <c r="O224" s="269"/>
      <c r="P224" s="268"/>
      <c r="Q224" s="268"/>
      <c r="R224" s="268"/>
      <c r="S224" s="268"/>
      <c r="T224" s="269"/>
      <c r="U224" s="268"/>
      <c r="V224" s="270"/>
      <c r="W224" s="270"/>
      <c r="X224" s="270"/>
      <c r="Y224" s="271"/>
      <c r="Z224" s="270"/>
      <c r="AA224" s="270"/>
      <c r="AB224" s="270"/>
      <c r="AC224" s="270"/>
      <c r="AD224" s="271"/>
      <c r="AE224" s="271"/>
      <c r="AF224" s="271"/>
      <c r="AG224" s="271"/>
    </row>
    <row r="225" spans="1:34" hidden="1" outlineLevel="1">
      <c r="A225" s="22" t="s">
        <v>1</v>
      </c>
      <c r="C225" s="28" t="str">
        <f>C47</f>
        <v>Segment 6 Revenue</v>
      </c>
      <c r="F225" s="727">
        <f t="shared" ref="F225:T225" si="139">F47</f>
        <v>0</v>
      </c>
      <c r="G225" s="727">
        <f t="shared" si="139"/>
        <v>0</v>
      </c>
      <c r="H225" s="727">
        <f t="shared" si="139"/>
        <v>0</v>
      </c>
      <c r="I225" s="727">
        <f t="shared" si="139"/>
        <v>0</v>
      </c>
      <c r="J225" s="728">
        <f t="shared" si="139"/>
        <v>0</v>
      </c>
      <c r="K225" s="727">
        <f t="shared" si="139"/>
        <v>0</v>
      </c>
      <c r="L225" s="727">
        <f t="shared" si="139"/>
        <v>0</v>
      </c>
      <c r="M225" s="727">
        <f t="shared" si="139"/>
        <v>0</v>
      </c>
      <c r="N225" s="727">
        <f t="shared" si="139"/>
        <v>0</v>
      </c>
      <c r="O225" s="728">
        <f t="shared" si="139"/>
        <v>0</v>
      </c>
      <c r="P225" s="727">
        <f t="shared" si="139"/>
        <v>0</v>
      </c>
      <c r="Q225" s="727">
        <f t="shared" si="139"/>
        <v>0</v>
      </c>
      <c r="R225" s="727">
        <f t="shared" si="139"/>
        <v>0</v>
      </c>
      <c r="S225" s="727">
        <f t="shared" si="139"/>
        <v>0</v>
      </c>
      <c r="T225" s="728">
        <f t="shared" si="139"/>
        <v>0</v>
      </c>
      <c r="U225" s="727">
        <f t="shared" ref="U225" si="140">U47</f>
        <v>0</v>
      </c>
      <c r="V225" s="729">
        <f>V227/V232</f>
        <v>0</v>
      </c>
      <c r="W225" s="729">
        <f>W227/W232</f>
        <v>0</v>
      </c>
      <c r="X225" s="729">
        <f>X227/X232</f>
        <v>0</v>
      </c>
      <c r="Y225" s="728">
        <f>SUM(U225:X225)</f>
        <v>0</v>
      </c>
      <c r="Z225" s="729">
        <f>Z227/Z232</f>
        <v>0</v>
      </c>
      <c r="AA225" s="729">
        <f>AA227/AA232</f>
        <v>0</v>
      </c>
      <c r="AB225" s="729">
        <f>AB227/AB232</f>
        <v>0</v>
      </c>
      <c r="AC225" s="729">
        <f>AC227/AC232</f>
        <v>0</v>
      </c>
      <c r="AD225" s="728">
        <f>SUM(Z225:AC225)</f>
        <v>0</v>
      </c>
      <c r="AE225" s="728">
        <f>AE227/AE232</f>
        <v>0</v>
      </c>
      <c r="AF225" s="728">
        <f>AF227/AF232</f>
        <v>0</v>
      </c>
      <c r="AG225" s="728">
        <f>AG227/AG232</f>
        <v>0</v>
      </c>
    </row>
    <row r="226" spans="1:34" hidden="1" outlineLevel="1">
      <c r="C226" s="124" t="s">
        <v>230</v>
      </c>
      <c r="F226" s="718">
        <v>0</v>
      </c>
      <c r="G226" s="718">
        <v>0</v>
      </c>
      <c r="H226" s="718">
        <v>0</v>
      </c>
      <c r="I226" s="718">
        <v>0</v>
      </c>
      <c r="J226" s="745">
        <v>0</v>
      </c>
      <c r="K226" s="718">
        <v>0</v>
      </c>
      <c r="L226" s="718">
        <v>0</v>
      </c>
      <c r="M226" s="718">
        <v>0</v>
      </c>
      <c r="N226" s="718">
        <v>0</v>
      </c>
      <c r="O226" s="745">
        <v>0</v>
      </c>
      <c r="P226" s="718">
        <v>0</v>
      </c>
      <c r="Q226" s="718">
        <v>0</v>
      </c>
      <c r="R226" s="718">
        <v>0</v>
      </c>
      <c r="S226" s="718">
        <v>0</v>
      </c>
      <c r="T226" s="745">
        <v>0</v>
      </c>
      <c r="U226" s="718">
        <v>0</v>
      </c>
      <c r="V226" s="746">
        <f>U226+V227-V225</f>
        <v>0</v>
      </c>
      <c r="W226" s="746">
        <f>V226+W227-W225</f>
        <v>0</v>
      </c>
      <c r="X226" s="746">
        <f>W226+X227-X225</f>
        <v>0</v>
      </c>
      <c r="Y226" s="745">
        <f>T226+Y227-Y225</f>
        <v>0</v>
      </c>
      <c r="Z226" s="746">
        <f>X226+Z227-Z225</f>
        <v>0</v>
      </c>
      <c r="AA226" s="746">
        <f>Z226+AA227-AA225</f>
        <v>0</v>
      </c>
      <c r="AB226" s="746">
        <f>AA226+AB227-AB225</f>
        <v>0</v>
      </c>
      <c r="AC226" s="746">
        <f>AB226+AC227-AC225</f>
        <v>0</v>
      </c>
      <c r="AD226" s="745">
        <f>Y226+AD227-AD225</f>
        <v>0</v>
      </c>
      <c r="AE226" s="719">
        <f>AD226+AE227-AE225</f>
        <v>0</v>
      </c>
      <c r="AF226" s="719">
        <f>AE226+AF227-AF225</f>
        <v>0</v>
      </c>
      <c r="AG226" s="719">
        <f>AF226+AG227-AG225</f>
        <v>0</v>
      </c>
    </row>
    <row r="227" spans="1:34" hidden="1" outlineLevel="1">
      <c r="C227" s="124" t="s">
        <v>232</v>
      </c>
      <c r="F227" s="718">
        <f>F226+F225-(0)</f>
        <v>0</v>
      </c>
      <c r="G227" s="718">
        <f>G226+G225-F226</f>
        <v>0</v>
      </c>
      <c r="H227" s="718">
        <f>H226+H225-G226</f>
        <v>0</v>
      </c>
      <c r="I227" s="718">
        <f>I226+I225-H226</f>
        <v>0</v>
      </c>
      <c r="J227" s="745">
        <f>SUM(F227:I227)</f>
        <v>0</v>
      </c>
      <c r="K227" s="718">
        <f>K226+K225-J226</f>
        <v>0</v>
      </c>
      <c r="L227" s="718">
        <f>L226+L225-K226</f>
        <v>0</v>
      </c>
      <c r="M227" s="718">
        <f>M226+M225-L226</f>
        <v>0</v>
      </c>
      <c r="N227" s="718">
        <f>N226+N225-M226</f>
        <v>0</v>
      </c>
      <c r="O227" s="745">
        <f>SUM(K227:N227)</f>
        <v>0</v>
      </c>
      <c r="P227" s="718">
        <f>P226+P225-O226</f>
        <v>0</v>
      </c>
      <c r="Q227" s="718">
        <f>Q226+Q225-P226</f>
        <v>0</v>
      </c>
      <c r="R227" s="718">
        <f>R226+R225-Q226</f>
        <v>0</v>
      </c>
      <c r="S227" s="718">
        <f>S226+S225-R226</f>
        <v>0</v>
      </c>
      <c r="T227" s="745">
        <f>SUM(P227:S227)</f>
        <v>0</v>
      </c>
      <c r="U227" s="718">
        <f>U226+U225-T226</f>
        <v>0</v>
      </c>
      <c r="V227" s="746">
        <f>U227*(1+V228)</f>
        <v>0</v>
      </c>
      <c r="W227" s="746">
        <f>V227*(1+W228)</f>
        <v>0</v>
      </c>
      <c r="X227" s="746">
        <f>W227*(1+X228)</f>
        <v>0</v>
      </c>
      <c r="Y227" s="747">
        <f>SUM(U227:X227)</f>
        <v>0</v>
      </c>
      <c r="Z227" s="746">
        <f>X227*(1+Z228)</f>
        <v>0</v>
      </c>
      <c r="AA227" s="746">
        <f>Z227*(1+AA228)</f>
        <v>0</v>
      </c>
      <c r="AB227" s="746">
        <f>AA227*(1+AB228)</f>
        <v>0</v>
      </c>
      <c r="AC227" s="746">
        <f>AB227*(1+AC228)</f>
        <v>0</v>
      </c>
      <c r="AD227" s="747">
        <f>SUM(Z227:AC227)</f>
        <v>0</v>
      </c>
      <c r="AE227" s="719">
        <f>AD227*(1+AE228)</f>
        <v>0</v>
      </c>
      <c r="AF227" s="719">
        <f>AE227*(1+AF228)</f>
        <v>0</v>
      </c>
      <c r="AG227" s="719">
        <f>AF227*(1+AG228)</f>
        <v>0</v>
      </c>
    </row>
    <row r="228" spans="1:34" hidden="1" outlineLevel="1">
      <c r="C228" s="275" t="s">
        <v>233</v>
      </c>
      <c r="F228" s="268"/>
      <c r="G228" s="265" t="str">
        <f>IFERROR(G227/F227-1,"--")</f>
        <v>--</v>
      </c>
      <c r="H228" s="265" t="str">
        <f>IFERROR(H227/G227-1,"--")</f>
        <v>--</v>
      </c>
      <c r="I228" s="265" t="str">
        <f>IFERROR(I227/H227-1,"--")</f>
        <v>--</v>
      </c>
      <c r="J228" s="269"/>
      <c r="K228" s="265" t="str">
        <f>IFERROR(K227/I227-1,"--")</f>
        <v>--</v>
      </c>
      <c r="L228" s="265" t="str">
        <f>IFERROR(L227/K227-1,"--")</f>
        <v>--</v>
      </c>
      <c r="M228" s="265" t="str">
        <f>IFERROR(M227/L227-1,"--")</f>
        <v>--</v>
      </c>
      <c r="N228" s="265" t="str">
        <f>IFERROR(N227/M227-1,"--")</f>
        <v>--</v>
      </c>
      <c r="O228" s="266" t="str">
        <f>IFERROR(O227/J227-1,"--")</f>
        <v>--</v>
      </c>
      <c r="P228" s="265" t="str">
        <f>IFERROR(P227/N227-1,"--")</f>
        <v>--</v>
      </c>
      <c r="Q228" s="265" t="str">
        <f>IFERROR(Q227/P227-1,"--")</f>
        <v>--</v>
      </c>
      <c r="R228" s="265" t="str">
        <f>IFERROR(R227/Q227-1,"--")</f>
        <v>--</v>
      </c>
      <c r="S228" s="265" t="str">
        <f>IFERROR(S227/R227-1,"--")</f>
        <v>--</v>
      </c>
      <c r="T228" s="266" t="str">
        <f>IFERROR(T227/O227-1,"--")</f>
        <v>--</v>
      </c>
      <c r="U228" s="265" t="str">
        <f>IFERROR(U227/S227-1,"--")</f>
        <v>--</v>
      </c>
      <c r="V228" s="267">
        <f>IF(Case_Scenario="Bull",V229,IF(Case_Scenario="Base",V230,IF(Case_Scenario="bear",V231,"N/A")))</f>
        <v>0.05</v>
      </c>
      <c r="W228" s="267">
        <f>IF(Case_Scenario="Bull",W229,IF(Case_Scenario="Base",W230,IF(Case_Scenario="bear",W231,"N/A")))</f>
        <v>0.05</v>
      </c>
      <c r="X228" s="267">
        <f>IF(Case_Scenario="Bull",X229,IF(Case_Scenario="Base",X230,IF(Case_Scenario="bear",X231,"N/A")))</f>
        <v>0.05</v>
      </c>
      <c r="Y228" s="266"/>
      <c r="Z228" s="267">
        <f>IF(Case_Scenario="Bull",Z229,IF(Case_Scenario="Base",Z230,IF(Case_Scenario="bear",Z231,"N/A")))</f>
        <v>0.05</v>
      </c>
      <c r="AA228" s="267">
        <f>IF(Case_Scenario="Bull",AA229,IF(Case_Scenario="Base",AA230,IF(Case_Scenario="bear",AA231,"N/A")))</f>
        <v>0.05</v>
      </c>
      <c r="AB228" s="267">
        <f>IF(Case_Scenario="Bull",AB229,IF(Case_Scenario="Base",AB230,IF(Case_Scenario="bear",AB231,"N/A")))</f>
        <v>0.05</v>
      </c>
      <c r="AC228" s="267">
        <f>IF(Case_Scenario="Bull",AC229,IF(Case_Scenario="Base",AC230,IF(Case_Scenario="bear",AC231,"N/A")))</f>
        <v>0.05</v>
      </c>
      <c r="AD228" s="266"/>
      <c r="AE228" s="266">
        <f>IF(Case_Scenario="Bull",AE229,IF(Case_Scenario="Base",AE230,IF(Case_Scenario="bear",AE231,"N/A")))</f>
        <v>0.05</v>
      </c>
      <c r="AF228" s="266">
        <f>IF(Case_Scenario="Bull",AF229,IF(Case_Scenario="Base",AF230,IF(Case_Scenario="bear",AF231,"N/A")))</f>
        <v>0.05</v>
      </c>
      <c r="AG228" s="266">
        <f>IF(Case_Scenario="Bull",AG229,IF(Case_Scenario="Base",AG230,IF(Case_Scenario="bear",AG231,"N/A")))</f>
        <v>0.05</v>
      </c>
    </row>
    <row r="229" spans="1:34" hidden="1" outlineLevel="1">
      <c r="C229" s="276" t="s">
        <v>217</v>
      </c>
      <c r="F229" s="268"/>
      <c r="G229" s="268"/>
      <c r="H229" s="268"/>
      <c r="I229" s="268"/>
      <c r="J229" s="269"/>
      <c r="K229" s="268"/>
      <c r="L229" s="268"/>
      <c r="M229" s="268"/>
      <c r="N229" s="268"/>
      <c r="O229" s="269"/>
      <c r="P229" s="268"/>
      <c r="Q229" s="268"/>
      <c r="R229" s="268"/>
      <c r="S229" s="268"/>
      <c r="T229" s="269"/>
      <c r="U229" s="268"/>
      <c r="V229" s="270">
        <v>0.1</v>
      </c>
      <c r="W229" s="270">
        <v>0.1</v>
      </c>
      <c r="X229" s="270">
        <v>0.1</v>
      </c>
      <c r="Y229" s="271"/>
      <c r="Z229" s="270">
        <v>0.1</v>
      </c>
      <c r="AA229" s="270">
        <v>0.1</v>
      </c>
      <c r="AB229" s="270">
        <v>0.1</v>
      </c>
      <c r="AC229" s="270">
        <v>0.1</v>
      </c>
      <c r="AD229" s="271"/>
      <c r="AE229" s="271">
        <v>0.1</v>
      </c>
      <c r="AF229" s="271">
        <v>0.1</v>
      </c>
      <c r="AG229" s="271">
        <v>0.1</v>
      </c>
    </row>
    <row r="230" spans="1:34" hidden="1" outlineLevel="1">
      <c r="C230" s="276" t="s">
        <v>218</v>
      </c>
      <c r="F230" s="268"/>
      <c r="G230" s="268"/>
      <c r="H230" s="268"/>
      <c r="I230" s="268"/>
      <c r="J230" s="269"/>
      <c r="K230" s="268"/>
      <c r="L230" s="268"/>
      <c r="M230" s="268"/>
      <c r="N230" s="268"/>
      <c r="O230" s="269"/>
      <c r="P230" s="268"/>
      <c r="Q230" s="268"/>
      <c r="R230" s="268"/>
      <c r="S230" s="268"/>
      <c r="T230" s="269"/>
      <c r="U230" s="268"/>
      <c r="V230" s="270">
        <v>0.05</v>
      </c>
      <c r="W230" s="270">
        <v>0.05</v>
      </c>
      <c r="X230" s="270">
        <v>0.05</v>
      </c>
      <c r="Y230" s="271"/>
      <c r="Z230" s="270">
        <v>0.05</v>
      </c>
      <c r="AA230" s="270">
        <v>0.05</v>
      </c>
      <c r="AB230" s="270">
        <v>0.05</v>
      </c>
      <c r="AC230" s="270">
        <v>0.05</v>
      </c>
      <c r="AD230" s="271"/>
      <c r="AE230" s="271">
        <v>0.05</v>
      </c>
      <c r="AF230" s="271">
        <v>0.05</v>
      </c>
      <c r="AG230" s="271">
        <v>0.05</v>
      </c>
    </row>
    <row r="231" spans="1:34" hidden="1" outlineLevel="1">
      <c r="C231" s="276" t="s">
        <v>219</v>
      </c>
      <c r="F231" s="268"/>
      <c r="G231" s="268"/>
      <c r="H231" s="268"/>
      <c r="I231" s="268"/>
      <c r="J231" s="269"/>
      <c r="K231" s="268"/>
      <c r="L231" s="268"/>
      <c r="M231" s="268"/>
      <c r="N231" s="268"/>
      <c r="O231" s="269"/>
      <c r="P231" s="268"/>
      <c r="Q231" s="268"/>
      <c r="R231" s="268"/>
      <c r="S231" s="268"/>
      <c r="T231" s="269"/>
      <c r="U231" s="268"/>
      <c r="V231" s="270">
        <v>0</v>
      </c>
      <c r="W231" s="270">
        <v>0</v>
      </c>
      <c r="X231" s="270">
        <v>0</v>
      </c>
      <c r="Y231" s="271"/>
      <c r="Z231" s="270">
        <v>0</v>
      </c>
      <c r="AA231" s="270">
        <v>0</v>
      </c>
      <c r="AB231" s="270">
        <v>0</v>
      </c>
      <c r="AC231" s="270">
        <v>0</v>
      </c>
      <c r="AD231" s="271"/>
      <c r="AE231" s="271">
        <v>0</v>
      </c>
      <c r="AF231" s="271">
        <v>0</v>
      </c>
      <c r="AG231" s="271">
        <v>0</v>
      </c>
    </row>
    <row r="232" spans="1:34" hidden="1" outlineLevel="1">
      <c r="C232" s="124" t="s">
        <v>234</v>
      </c>
      <c r="F232" s="754" t="e">
        <f>F227/F225</f>
        <v>#DIV/0!</v>
      </c>
      <c r="G232" s="754" t="e">
        <f t="shared" ref="G232:T232" si="141">G227/G225</f>
        <v>#DIV/0!</v>
      </c>
      <c r="H232" s="754" t="e">
        <f t="shared" si="141"/>
        <v>#DIV/0!</v>
      </c>
      <c r="I232" s="754" t="e">
        <f t="shared" si="141"/>
        <v>#DIV/0!</v>
      </c>
      <c r="J232" s="755" t="e">
        <f t="shared" si="141"/>
        <v>#DIV/0!</v>
      </c>
      <c r="K232" s="754" t="e">
        <f t="shared" si="141"/>
        <v>#DIV/0!</v>
      </c>
      <c r="L232" s="754" t="e">
        <f t="shared" si="141"/>
        <v>#DIV/0!</v>
      </c>
      <c r="M232" s="754" t="e">
        <f t="shared" si="141"/>
        <v>#DIV/0!</v>
      </c>
      <c r="N232" s="754" t="e">
        <f t="shared" si="141"/>
        <v>#DIV/0!</v>
      </c>
      <c r="O232" s="755" t="e">
        <f t="shared" si="141"/>
        <v>#DIV/0!</v>
      </c>
      <c r="P232" s="754" t="e">
        <f t="shared" si="141"/>
        <v>#DIV/0!</v>
      </c>
      <c r="Q232" s="754" t="e">
        <f t="shared" si="141"/>
        <v>#DIV/0!</v>
      </c>
      <c r="R232" s="754" t="e">
        <f t="shared" si="141"/>
        <v>#DIV/0!</v>
      </c>
      <c r="S232" s="754" t="e">
        <f t="shared" si="141"/>
        <v>#DIV/0!</v>
      </c>
      <c r="T232" s="755" t="e">
        <f t="shared" si="141"/>
        <v>#DIV/0!</v>
      </c>
      <c r="U232" s="754" t="e">
        <f t="shared" ref="U232" si="142">U227/U225</f>
        <v>#DIV/0!</v>
      </c>
      <c r="V232" s="752">
        <f>IF(Case_Scenario="Bull",V233,IF(Case_Scenario="Base",V234,IF(Case_Scenario="bear",V235,"N/A")))</f>
        <v>1.25</v>
      </c>
      <c r="W232" s="752">
        <f>IF(Case_Scenario="Bull",W233,IF(Case_Scenario="Base",W234,IF(Case_Scenario="bear",W235,"N/A")))</f>
        <v>1.25</v>
      </c>
      <c r="X232" s="752">
        <f>IF(Case_Scenario="Bull",X233,IF(Case_Scenario="Base",X234,IF(Case_Scenario="bear",X235,"N/A")))</f>
        <v>1.25</v>
      </c>
      <c r="Y232" s="753" t="e">
        <f>AVERAGE(U232:X232)</f>
        <v>#DIV/0!</v>
      </c>
      <c r="Z232" s="752">
        <f>IF(Case_Scenario="Bull",Z233,IF(Case_Scenario="Base",Z234,IF(Case_Scenario="bear",Z235,"N/A")))</f>
        <v>1.25</v>
      </c>
      <c r="AA232" s="752">
        <f>IF(Case_Scenario="Bull",AA233,IF(Case_Scenario="Base",AA234,IF(Case_Scenario="bear",AA235,"N/A")))</f>
        <v>1.25</v>
      </c>
      <c r="AB232" s="752">
        <f>IF(Case_Scenario="Bull",AB233,IF(Case_Scenario="Base",AB234,IF(Case_Scenario="bear",AB235,"N/A")))</f>
        <v>1.25</v>
      </c>
      <c r="AC232" s="752">
        <f>IF(Case_Scenario="Bull",AC233,IF(Case_Scenario="Base",AC234,IF(Case_Scenario="bear",AC235,"N/A")))</f>
        <v>1.25</v>
      </c>
      <c r="AD232" s="753">
        <f>AVERAGE(Z232:AC232)</f>
        <v>1.25</v>
      </c>
      <c r="AE232" s="751">
        <f>IF(Case_Scenario="Bull",AE233,IF(Case_Scenario="Base",AE234,IF(Case_Scenario="bear",AE235,"N/A")))</f>
        <v>1.25</v>
      </c>
      <c r="AF232" s="751">
        <f>IF(Case_Scenario="Bull",AF233,IF(Case_Scenario="Base",AF234,IF(Case_Scenario="bear",AF235,"N/A")))</f>
        <v>1.25</v>
      </c>
      <c r="AG232" s="751">
        <f>IF(Case_Scenario="Bull",AG233,IF(Case_Scenario="Base",AG234,IF(Case_Scenario="bear",AG235,"N/A")))</f>
        <v>1.25</v>
      </c>
    </row>
    <row r="233" spans="1:34" hidden="1" outlineLevel="1">
      <c r="C233" s="276" t="s">
        <v>217</v>
      </c>
      <c r="F233" s="268"/>
      <c r="G233" s="265"/>
      <c r="H233" s="265"/>
      <c r="I233" s="265"/>
      <c r="J233" s="269"/>
      <c r="K233" s="265"/>
      <c r="L233" s="265"/>
      <c r="M233" s="265"/>
      <c r="N233" s="265"/>
      <c r="O233" s="266"/>
      <c r="P233" s="265"/>
      <c r="Q233" s="265"/>
      <c r="R233" s="265"/>
      <c r="S233" s="265"/>
      <c r="T233" s="266"/>
      <c r="U233" s="265"/>
      <c r="V233" s="281">
        <v>1</v>
      </c>
      <c r="W233" s="281">
        <v>1</v>
      </c>
      <c r="X233" s="281">
        <v>1</v>
      </c>
      <c r="Y233" s="282"/>
      <c r="Z233" s="281">
        <v>1</v>
      </c>
      <c r="AA233" s="281">
        <v>1</v>
      </c>
      <c r="AB233" s="281">
        <v>1</v>
      </c>
      <c r="AC233" s="281">
        <v>1</v>
      </c>
      <c r="AD233" s="282"/>
      <c r="AE233" s="283">
        <v>1</v>
      </c>
      <c r="AF233" s="283">
        <v>1</v>
      </c>
      <c r="AG233" s="283">
        <v>1</v>
      </c>
    </row>
    <row r="234" spans="1:34" hidden="1" outlineLevel="1">
      <c r="C234" s="276" t="s">
        <v>218</v>
      </c>
      <c r="F234" s="268"/>
      <c r="G234" s="268"/>
      <c r="H234" s="268"/>
      <c r="I234" s="268"/>
      <c r="J234" s="269"/>
      <c r="K234" s="268"/>
      <c r="L234" s="268"/>
      <c r="M234" s="268"/>
      <c r="N234" s="268"/>
      <c r="O234" s="269"/>
      <c r="P234" s="268"/>
      <c r="Q234" s="268"/>
      <c r="R234" s="268"/>
      <c r="S234" s="268"/>
      <c r="T234" s="269"/>
      <c r="U234" s="268"/>
      <c r="V234" s="281">
        <v>1.25</v>
      </c>
      <c r="W234" s="281">
        <v>1.25</v>
      </c>
      <c r="X234" s="281">
        <v>1.25</v>
      </c>
      <c r="Y234" s="282"/>
      <c r="Z234" s="281">
        <v>1.25</v>
      </c>
      <c r="AA234" s="281">
        <v>1.25</v>
      </c>
      <c r="AB234" s="281">
        <v>1.25</v>
      </c>
      <c r="AC234" s="281">
        <v>1.25</v>
      </c>
      <c r="AD234" s="282"/>
      <c r="AE234" s="283">
        <v>1.25</v>
      </c>
      <c r="AF234" s="283">
        <v>1.25</v>
      </c>
      <c r="AG234" s="283">
        <v>1.25</v>
      </c>
    </row>
    <row r="235" spans="1:34" hidden="1" outlineLevel="1">
      <c r="C235" s="276" t="s">
        <v>219</v>
      </c>
      <c r="F235" s="268"/>
      <c r="G235" s="268"/>
      <c r="H235" s="268"/>
      <c r="I235" s="268"/>
      <c r="J235" s="269"/>
      <c r="K235" s="268"/>
      <c r="L235" s="268"/>
      <c r="M235" s="268"/>
      <c r="N235" s="268"/>
      <c r="O235" s="269"/>
      <c r="P235" s="268"/>
      <c r="Q235" s="268"/>
      <c r="R235" s="268"/>
      <c r="S235" s="268"/>
      <c r="T235" s="269"/>
      <c r="U235" s="268"/>
      <c r="V235" s="281">
        <v>1.5</v>
      </c>
      <c r="W235" s="281">
        <v>1.5</v>
      </c>
      <c r="X235" s="281">
        <v>1.5</v>
      </c>
      <c r="Y235" s="282"/>
      <c r="Z235" s="281">
        <v>1.5</v>
      </c>
      <c r="AA235" s="281">
        <v>1.5</v>
      </c>
      <c r="AB235" s="281">
        <v>1.5</v>
      </c>
      <c r="AC235" s="281">
        <v>1.5</v>
      </c>
      <c r="AD235" s="282"/>
      <c r="AE235" s="283">
        <v>1.5</v>
      </c>
      <c r="AF235" s="283">
        <v>1.5</v>
      </c>
      <c r="AG235" s="283">
        <v>1.5</v>
      </c>
    </row>
    <row r="236" spans="1:34" collapsed="1">
      <c r="F236" s="29"/>
      <c r="G236" s="29"/>
      <c r="H236" s="29"/>
      <c r="I236" s="29"/>
      <c r="K236" s="29"/>
      <c r="L236" s="29"/>
      <c r="M236" s="29"/>
      <c r="N236" s="29"/>
      <c r="P236" s="29"/>
      <c r="Q236" s="29"/>
      <c r="R236" s="29"/>
      <c r="S236" s="29"/>
      <c r="U236" s="29"/>
      <c r="V236" s="284"/>
      <c r="W236" s="284"/>
      <c r="X236" s="284"/>
      <c r="Y236" s="285"/>
      <c r="Z236" s="284"/>
      <c r="AA236" s="284"/>
      <c r="AB236" s="284"/>
      <c r="AC236" s="284"/>
      <c r="AD236" s="285"/>
      <c r="AE236" s="285"/>
      <c r="AF236" s="285"/>
      <c r="AG236" s="285"/>
    </row>
    <row r="237" spans="1:34">
      <c r="A237" s="22" t="s">
        <v>1</v>
      </c>
      <c r="B237" s="22" t="s">
        <v>1</v>
      </c>
      <c r="C237" s="577" t="s">
        <v>235</v>
      </c>
      <c r="D237" s="147"/>
      <c r="E237" s="147"/>
      <c r="F237" s="578"/>
      <c r="G237" s="578"/>
      <c r="H237" s="578"/>
      <c r="I237" s="578"/>
      <c r="J237" s="578"/>
      <c r="K237" s="578"/>
      <c r="L237" s="578"/>
      <c r="M237" s="578"/>
      <c r="N237" s="578"/>
      <c r="O237" s="578"/>
      <c r="P237" s="578"/>
      <c r="Q237" s="578"/>
      <c r="R237" s="578"/>
      <c r="S237" s="578"/>
      <c r="T237" s="578"/>
      <c r="U237" s="578"/>
      <c r="V237" s="578"/>
      <c r="W237" s="578"/>
      <c r="X237" s="578"/>
      <c r="Y237" s="578"/>
      <c r="Z237" s="578"/>
      <c r="AA237" s="578"/>
      <c r="AB237" s="578"/>
      <c r="AC237" s="578"/>
      <c r="AD237" s="578"/>
      <c r="AE237" s="578"/>
      <c r="AF237" s="578"/>
      <c r="AG237" s="744"/>
      <c r="AH237" s="250" t="s">
        <v>1</v>
      </c>
    </row>
    <row r="238" spans="1:34">
      <c r="C238" s="124"/>
    </row>
    <row r="239" spans="1:34">
      <c r="C239" s="275"/>
    </row>
    <row r="240" spans="1:34">
      <c r="A240" s="22" t="s">
        <v>1</v>
      </c>
      <c r="B240" s="22" t="s">
        <v>1</v>
      </c>
      <c r="C240" s="276"/>
    </row>
    <row r="241" spans="3:3">
      <c r="C241" s="276"/>
    </row>
    <row r="242" spans="3:3">
      <c r="C242" s="276"/>
    </row>
    <row r="243" spans="3:3">
      <c r="C243" s="124"/>
    </row>
    <row r="244" spans="3:3">
      <c r="C244" s="276"/>
    </row>
    <row r="245" spans="3:3">
      <c r="C245" s="276"/>
    </row>
    <row r="246" spans="3:3">
      <c r="C246" s="276"/>
    </row>
  </sheetData>
  <conditionalFormatting sqref="F30:AG49">
    <cfRule type="expression" dxfId="136" priority="1">
      <formula>$C$22="Report"</formula>
    </cfRule>
  </conditionalFormatting>
  <dataValidations count="4">
    <dataValidation type="list" allowBlank="1" showInputMessage="1" showErrorMessage="1" sqref="D9 D11 D15 D13 D17 D19:D20" xr:uid="{00000000-0002-0000-0500-000000000000}">
      <formula1>"Segment, Activity-Based, Backlog"</formula1>
    </dataValidation>
    <dataValidation type="list" allowBlank="1" showInputMessage="1" showErrorMessage="1" sqref="C7" xr:uid="{00000000-0002-0000-0500-000001000000}">
      <formula1>"Segment, Activity-Based, Backlog, Mixed"</formula1>
    </dataValidation>
    <dataValidation type="list" allowBlank="1" showInputMessage="1" showErrorMessage="1" sqref="C22" xr:uid="{00000000-0002-0000-0500-000002000000}">
      <formula1>"Working,Report"</formula1>
    </dataValidation>
    <dataValidation type="list" allowBlank="1" showInputMessage="1" showErrorMessage="1" sqref="C25" xr:uid="{00000000-0002-0000-0500-000003000000}">
      <formula1>"Quarterly,Annual"</formula1>
    </dataValidation>
  </dataValidations>
  <pageMargins left="0.7" right="0.7" top="0.75" bottom="0.75" header="0.3" footer="0.3"/>
  <pageSetup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DP1"/>
  <sheetViews>
    <sheetView workbookViewId="0"/>
  </sheetViews>
  <sheetFormatPr defaultColWidth="8.85546875" defaultRowHeight="15"/>
  <sheetData>
    <row r="1" spans="1:120">
      <c r="A1">
        <v>120</v>
      </c>
      <c r="B1" t="s">
        <v>861</v>
      </c>
      <c r="C1" t="s">
        <v>862</v>
      </c>
      <c r="D1" t="s">
        <v>863</v>
      </c>
      <c r="E1" t="s">
        <v>864</v>
      </c>
      <c r="F1" t="s">
        <v>865</v>
      </c>
      <c r="G1" t="s">
        <v>866</v>
      </c>
      <c r="H1" t="s">
        <v>867</v>
      </c>
      <c r="I1" t="s">
        <v>868</v>
      </c>
      <c r="J1" t="s">
        <v>869</v>
      </c>
      <c r="K1" t="s">
        <v>870</v>
      </c>
      <c r="L1" t="s">
        <v>871</v>
      </c>
      <c r="M1" t="s">
        <v>872</v>
      </c>
      <c r="N1" t="s">
        <v>873</v>
      </c>
      <c r="O1" t="s">
        <v>874</v>
      </c>
      <c r="P1" t="s">
        <v>875</v>
      </c>
      <c r="Q1" t="s">
        <v>876</v>
      </c>
      <c r="R1" t="s">
        <v>877</v>
      </c>
      <c r="S1" t="s">
        <v>878</v>
      </c>
      <c r="T1" t="s">
        <v>879</v>
      </c>
      <c r="U1" t="s">
        <v>880</v>
      </c>
      <c r="V1" t="s">
        <v>881</v>
      </c>
      <c r="W1" t="s">
        <v>882</v>
      </c>
      <c r="X1" t="s">
        <v>883</v>
      </c>
      <c r="Y1" t="s">
        <v>884</v>
      </c>
      <c r="Z1" t="s">
        <v>885</v>
      </c>
      <c r="AA1" t="s">
        <v>886</v>
      </c>
      <c r="AB1" t="s">
        <v>887</v>
      </c>
      <c r="AC1" t="s">
        <v>888</v>
      </c>
      <c r="AD1" t="s">
        <v>889</v>
      </c>
      <c r="AE1" t="s">
        <v>890</v>
      </c>
      <c r="AF1" t="s">
        <v>891</v>
      </c>
      <c r="AG1" t="s">
        <v>892</v>
      </c>
      <c r="AH1" t="s">
        <v>893</v>
      </c>
      <c r="AI1" t="s">
        <v>894</v>
      </c>
      <c r="AJ1" t="s">
        <v>895</v>
      </c>
      <c r="AK1" t="s">
        <v>896</v>
      </c>
      <c r="AL1" t="s">
        <v>897</v>
      </c>
      <c r="AM1" t="s">
        <v>898</v>
      </c>
      <c r="AN1" t="s">
        <v>899</v>
      </c>
      <c r="AO1" t="s">
        <v>900</v>
      </c>
      <c r="AP1" t="s">
        <v>901</v>
      </c>
      <c r="AQ1" t="s">
        <v>902</v>
      </c>
      <c r="AR1" t="s">
        <v>903</v>
      </c>
      <c r="AS1" t="s">
        <v>904</v>
      </c>
      <c r="AT1" t="s">
        <v>905</v>
      </c>
      <c r="AU1" t="s">
        <v>906</v>
      </c>
      <c r="AV1" t="s">
        <v>907</v>
      </c>
      <c r="AW1" t="s">
        <v>908</v>
      </c>
      <c r="AX1" t="s">
        <v>909</v>
      </c>
      <c r="AY1" t="s">
        <v>910</v>
      </c>
      <c r="AZ1" t="s">
        <v>911</v>
      </c>
      <c r="BA1" t="s">
        <v>912</v>
      </c>
      <c r="BB1" t="s">
        <v>913</v>
      </c>
      <c r="BC1" t="s">
        <v>914</v>
      </c>
      <c r="BD1" t="s">
        <v>915</v>
      </c>
      <c r="BE1" t="s">
        <v>916</v>
      </c>
      <c r="BF1" t="s">
        <v>917</v>
      </c>
      <c r="BG1" t="s">
        <v>918</v>
      </c>
      <c r="BH1" t="s">
        <v>919</v>
      </c>
      <c r="BI1" t="s">
        <v>920</v>
      </c>
      <c r="BJ1" t="s">
        <v>921</v>
      </c>
      <c r="BK1" t="s">
        <v>922</v>
      </c>
      <c r="BL1" t="s">
        <v>923</v>
      </c>
      <c r="BM1" t="s">
        <v>924</v>
      </c>
      <c r="BN1" t="s">
        <v>925</v>
      </c>
      <c r="BO1" t="s">
        <v>926</v>
      </c>
      <c r="BP1" t="s">
        <v>927</v>
      </c>
      <c r="BQ1" t="s">
        <v>928</v>
      </c>
      <c r="BR1" t="s">
        <v>929</v>
      </c>
      <c r="BS1" t="s">
        <v>930</v>
      </c>
      <c r="BT1" t="s">
        <v>931</v>
      </c>
      <c r="BU1" t="s">
        <v>932</v>
      </c>
      <c r="BV1" t="s">
        <v>933</v>
      </c>
      <c r="BW1" t="s">
        <v>934</v>
      </c>
      <c r="BX1" t="s">
        <v>935</v>
      </c>
      <c r="BY1" t="s">
        <v>936</v>
      </c>
      <c r="BZ1" t="s">
        <v>937</v>
      </c>
      <c r="CA1" t="s">
        <v>938</v>
      </c>
      <c r="CB1" t="s">
        <v>939</v>
      </c>
      <c r="CC1" t="s">
        <v>940</v>
      </c>
      <c r="CD1" t="s">
        <v>941</v>
      </c>
      <c r="CE1" t="s">
        <v>942</v>
      </c>
      <c r="CF1" t="s">
        <v>943</v>
      </c>
      <c r="CG1" t="s">
        <v>944</v>
      </c>
      <c r="CH1" t="s">
        <v>945</v>
      </c>
      <c r="CI1" t="s">
        <v>946</v>
      </c>
      <c r="CJ1" t="s">
        <v>947</v>
      </c>
      <c r="CK1" t="s">
        <v>948</v>
      </c>
      <c r="CL1" t="s">
        <v>949</v>
      </c>
      <c r="CM1" t="s">
        <v>950</v>
      </c>
      <c r="CN1" t="s">
        <v>951</v>
      </c>
      <c r="CO1" t="s">
        <v>952</v>
      </c>
      <c r="CP1" t="s">
        <v>953</v>
      </c>
      <c r="CQ1" t="s">
        <v>954</v>
      </c>
      <c r="CR1" t="s">
        <v>955</v>
      </c>
      <c r="CS1" t="s">
        <v>956</v>
      </c>
      <c r="CT1" t="s">
        <v>957</v>
      </c>
      <c r="CU1" t="s">
        <v>958</v>
      </c>
      <c r="CV1" t="s">
        <v>959</v>
      </c>
      <c r="CW1" t="s">
        <v>960</v>
      </c>
      <c r="CX1" t="s">
        <v>961</v>
      </c>
      <c r="CY1" t="s">
        <v>962</v>
      </c>
      <c r="CZ1" t="s">
        <v>963</v>
      </c>
      <c r="DA1" t="s">
        <v>964</v>
      </c>
      <c r="DB1" t="s">
        <v>965</v>
      </c>
      <c r="DC1" t="s">
        <v>966</v>
      </c>
      <c r="DD1" t="s">
        <v>967</v>
      </c>
      <c r="DE1" t="s">
        <v>968</v>
      </c>
      <c r="DF1" t="s">
        <v>969</v>
      </c>
      <c r="DG1" t="s">
        <v>970</v>
      </c>
      <c r="DH1" t="s">
        <v>971</v>
      </c>
      <c r="DI1" t="s">
        <v>972</v>
      </c>
      <c r="DJ1" t="s">
        <v>973</v>
      </c>
      <c r="DK1" t="s">
        <v>974</v>
      </c>
      <c r="DL1" t="s">
        <v>975</v>
      </c>
      <c r="DM1" t="s">
        <v>976</v>
      </c>
      <c r="DN1" t="s">
        <v>977</v>
      </c>
      <c r="DO1" t="s">
        <v>978</v>
      </c>
      <c r="DP1" t="s">
        <v>979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pageSetUpPr autoPageBreaks="0"/>
  </sheetPr>
  <dimension ref="A1:AK337"/>
  <sheetViews>
    <sheetView showGridLines="0" zoomScale="80" zoomScaleNormal="80" workbookViewId="0">
      <pane xSplit="3" topLeftCell="D1" activePane="topRight" state="frozen"/>
      <selection activeCell="A232" sqref="A232"/>
      <selection pane="topRight"/>
    </sheetView>
  </sheetViews>
  <sheetFormatPr defaultColWidth="12.7109375" defaultRowHeight="14.25" outlineLevelRow="1" outlineLevelCol="1"/>
  <cols>
    <col min="1" max="1" width="1.7109375" style="15" customWidth="1"/>
    <col min="2" max="2" width="1.7109375" style="3" customWidth="1"/>
    <col min="3" max="3" width="51.28515625" style="3" customWidth="1"/>
    <col min="4" max="5" width="1.7109375" style="3" customWidth="1"/>
    <col min="6" max="9" width="14.42578125" style="3" hidden="1" customWidth="1" outlineLevel="1"/>
    <col min="10" max="10" width="14.42578125" style="3" bestFit="1" customWidth="1" collapsed="1"/>
    <col min="11" max="14" width="14.42578125" style="3" hidden="1" customWidth="1" outlineLevel="1"/>
    <col min="15" max="15" width="14.42578125" style="3" bestFit="1" customWidth="1" collapsed="1"/>
    <col min="16" max="18" width="14.42578125" style="3" hidden="1" customWidth="1" outlineLevel="1"/>
    <col min="19" max="19" width="17.140625" style="3" hidden="1" customWidth="1" outlineLevel="1"/>
    <col min="20" max="20" width="14.42578125" style="3" bestFit="1" customWidth="1" collapsed="1"/>
    <col min="21" max="21" width="14.42578125" style="3" hidden="1" customWidth="1" outlineLevel="1"/>
    <col min="22" max="24" width="15.28515625" style="3" hidden="1" customWidth="1" outlineLevel="1"/>
    <col min="25" max="25" width="14.85546875" style="3" bestFit="1" customWidth="1" collapsed="1"/>
    <col min="26" max="29" width="15.28515625" style="3" hidden="1" customWidth="1" outlineLevel="1"/>
    <col min="30" max="30" width="15.42578125" style="3" bestFit="1" customWidth="1" collapsed="1"/>
    <col min="31" max="33" width="15.42578125" style="3" bestFit="1" customWidth="1"/>
    <col min="34" max="34" width="1.7109375" style="3" customWidth="1"/>
    <col min="35" max="16384" width="12.7109375" style="3"/>
  </cols>
  <sheetData>
    <row r="1" spans="1:21" s="2" customFormat="1" ht="20.25">
      <c r="A1" s="14"/>
      <c r="C1" s="508" t="str">
        <f ca="1">Company_Name&amp;" - "&amp;MID(CELL("filename",A1),FIND("]",CELL("filename",A1))+1,255)&amp;": "&amp;Case_Scenario&amp;" Case"</f>
        <v>Evercore Inc. - Model: Base Case</v>
      </c>
    </row>
    <row r="2" spans="1:21" ht="15">
      <c r="C2" s="4" t="str">
        <f>Cover!C2</f>
        <v>$ in Thousands Except Per Share Data</v>
      </c>
    </row>
    <row r="3" spans="1:21" ht="15">
      <c r="A3" s="589"/>
      <c r="C3" s="24"/>
    </row>
    <row r="4" spans="1:21" ht="15">
      <c r="C4" s="569" t="s">
        <v>405</v>
      </c>
    </row>
    <row r="5" spans="1:21" ht="15">
      <c r="C5" s="506" t="s">
        <v>1080</v>
      </c>
    </row>
    <row r="6" spans="1:21" ht="15">
      <c r="C6" s="23"/>
    </row>
    <row r="7" spans="1:21" ht="15">
      <c r="C7" s="569" t="s">
        <v>492</v>
      </c>
    </row>
    <row r="8" spans="1:21" s="23" customFormat="1" ht="12.75">
      <c r="A8" s="22"/>
      <c r="C8" s="506" t="s">
        <v>493</v>
      </c>
      <c r="U8" s="1068"/>
    </row>
    <row r="9" spans="1:21" s="23" customFormat="1" ht="12.75">
      <c r="A9" s="22"/>
      <c r="C9" s="496"/>
      <c r="U9" s="1068"/>
    </row>
    <row r="10" spans="1:21" s="23" customFormat="1" ht="12.75">
      <c r="A10" s="22" t="s">
        <v>1</v>
      </c>
      <c r="B10" s="163"/>
      <c r="C10" s="521" t="s">
        <v>596</v>
      </c>
      <c r="U10" s="1068"/>
    </row>
    <row r="11" spans="1:21" s="23" customFormat="1" ht="12.75" hidden="1" outlineLevel="1">
      <c r="A11" s="22"/>
      <c r="C11" s="570" t="str">
        <f>$C$25</f>
        <v>Income Statement</v>
      </c>
      <c r="U11" s="1068"/>
    </row>
    <row r="12" spans="1:21" s="23" customFormat="1" ht="12.75" hidden="1" outlineLevel="1">
      <c r="A12" s="22"/>
      <c r="C12" s="25" t="str">
        <f>$C$75</f>
        <v>Cash Flow Statement</v>
      </c>
      <c r="U12" s="1068"/>
    </row>
    <row r="13" spans="1:21" s="23" customFormat="1" ht="12.75" hidden="1" outlineLevel="1">
      <c r="A13" s="22"/>
      <c r="C13" s="25" t="str">
        <f>$C$120</f>
        <v>Balance Sheet</v>
      </c>
      <c r="U13" s="1068"/>
    </row>
    <row r="14" spans="1:21" s="23" customFormat="1" ht="12.75" hidden="1" outlineLevel="1">
      <c r="A14" s="22"/>
      <c r="C14" s="25" t="str">
        <f>$C$162</f>
        <v>Working Capital Schedule</v>
      </c>
      <c r="U14" s="1068"/>
    </row>
    <row r="15" spans="1:21" s="23" customFormat="1" ht="12.75" hidden="1" outlineLevel="1">
      <c r="A15" s="22"/>
      <c r="C15" s="25" t="str">
        <f>$C$192</f>
        <v>PP&amp;E / Depreciation Schedule</v>
      </c>
      <c r="U15" s="1068"/>
    </row>
    <row r="16" spans="1:21" s="23" customFormat="1" ht="12.75" hidden="1" outlineLevel="1">
      <c r="A16" s="22"/>
      <c r="C16" s="25" t="str">
        <f>$C$206</f>
        <v>Amortization Schedule</v>
      </c>
      <c r="U16" s="1068"/>
    </row>
    <row r="17" spans="1:34" s="23" customFormat="1" ht="12.75" hidden="1" outlineLevel="1">
      <c r="A17" s="22"/>
      <c r="C17" s="25" t="str">
        <f>$C$218</f>
        <v>Other Long-Term Items Schedule</v>
      </c>
      <c r="U17" s="1068"/>
    </row>
    <row r="18" spans="1:34" s="23" customFormat="1" ht="12.75" hidden="1" outlineLevel="1">
      <c r="A18" s="22"/>
      <c r="C18" s="25" t="str">
        <f>$C$236</f>
        <v>Shareholder's Equity Schedule</v>
      </c>
      <c r="U18" s="1068"/>
    </row>
    <row r="19" spans="1:34" s="23" customFormat="1" ht="12.75" hidden="1" outlineLevel="1">
      <c r="A19" s="22"/>
      <c r="C19" s="25" t="str">
        <f>$C$277</f>
        <v>Shares Outstanding Schedule</v>
      </c>
      <c r="U19" s="1068"/>
    </row>
    <row r="20" spans="1:34" s="23" customFormat="1" ht="12.75" hidden="1" outlineLevel="1">
      <c r="A20" s="22"/>
      <c r="C20" s="27" t="str">
        <f>$C$288</f>
        <v>Debt and Interest Schedule</v>
      </c>
      <c r="U20" s="1068"/>
    </row>
    <row r="21" spans="1:34" s="23" customFormat="1" ht="12.75" collapsed="1">
      <c r="A21" s="22"/>
      <c r="C21" s="124"/>
      <c r="U21" s="1068"/>
    </row>
    <row r="22" spans="1:34" s="23" customFormat="1" ht="12.75">
      <c r="A22" s="22"/>
      <c r="U22" s="1068"/>
    </row>
    <row r="23" spans="1:34" s="23" customFormat="1" ht="12.75" hidden="1" outlineLevel="1">
      <c r="A23" s="22"/>
      <c r="U23" s="1068"/>
    </row>
    <row r="24" spans="1:34" s="23" customFormat="1" ht="12.75" hidden="1" outlineLevel="1">
      <c r="A24" s="22"/>
      <c r="F24" s="163">
        <f>G24</f>
        <v>2023</v>
      </c>
      <c r="G24" s="163">
        <f>H24</f>
        <v>2023</v>
      </c>
      <c r="H24" s="163">
        <f>I24</f>
        <v>2023</v>
      </c>
      <c r="I24" s="163">
        <f>J24</f>
        <v>2023</v>
      </c>
      <c r="J24" s="163">
        <f>O24-1</f>
        <v>2023</v>
      </c>
      <c r="K24" s="163">
        <f>L24</f>
        <v>2024</v>
      </c>
      <c r="L24" s="163">
        <f>M24</f>
        <v>2024</v>
      </c>
      <c r="M24" s="163">
        <f>N24</f>
        <v>2024</v>
      </c>
      <c r="N24" s="163">
        <f>O24</f>
        <v>2024</v>
      </c>
      <c r="O24" s="163">
        <v>2024</v>
      </c>
      <c r="P24" s="163">
        <f>Q24</f>
        <v>2025</v>
      </c>
      <c r="Q24" s="163">
        <f>R24</f>
        <v>2025</v>
      </c>
      <c r="R24" s="163">
        <f>S24</f>
        <v>2025</v>
      </c>
      <c r="S24" s="163">
        <f>T24</f>
        <v>2025</v>
      </c>
      <c r="T24" s="163">
        <f>O24+1</f>
        <v>2025</v>
      </c>
      <c r="U24" s="163">
        <f>V24</f>
        <v>2026</v>
      </c>
      <c r="V24" s="163">
        <f>W24</f>
        <v>2026</v>
      </c>
      <c r="W24" s="163">
        <f>X24</f>
        <v>2026</v>
      </c>
      <c r="X24" s="163">
        <f>Y24</f>
        <v>2026</v>
      </c>
      <c r="Y24" s="163">
        <f>T24+1</f>
        <v>2026</v>
      </c>
      <c r="Z24" s="163">
        <f>AA24</f>
        <v>2027</v>
      </c>
      <c r="AA24" s="163">
        <f>AB24</f>
        <v>2027</v>
      </c>
      <c r="AB24" s="163">
        <f>AC24</f>
        <v>2027</v>
      </c>
      <c r="AC24" s="163">
        <f>AD24</f>
        <v>2027</v>
      </c>
      <c r="AD24" s="163">
        <f>Y24+1</f>
        <v>2027</v>
      </c>
      <c r="AE24" s="163">
        <f>AD24+1</f>
        <v>2028</v>
      </c>
      <c r="AF24" s="163">
        <f>AE24+1</f>
        <v>2029</v>
      </c>
      <c r="AG24" s="163">
        <f>AF24+1</f>
        <v>2030</v>
      </c>
    </row>
    <row r="25" spans="1:34" s="23" customFormat="1" ht="12.75" collapsed="1">
      <c r="A25" s="22" t="s">
        <v>1</v>
      </c>
      <c r="C25" s="519" t="s">
        <v>34</v>
      </c>
      <c r="D25" s="521"/>
      <c r="E25" s="521"/>
      <c r="F25" s="521" t="str">
        <f>"1Q"&amp;RIGHT(F24,2)</f>
        <v>1Q23</v>
      </c>
      <c r="G25" s="521" t="str">
        <f>"2Q"&amp;RIGHT(G24,2)</f>
        <v>2Q23</v>
      </c>
      <c r="H25" s="521" t="str">
        <f>"3Q"&amp;RIGHT(H24,2)</f>
        <v>3Q23</v>
      </c>
      <c r="I25" s="521" t="str">
        <f>"4Q"&amp;RIGHT(I24,2)</f>
        <v>4Q23</v>
      </c>
      <c r="J25" s="521">
        <f>J24</f>
        <v>2023</v>
      </c>
      <c r="K25" s="521" t="str">
        <f>"1Q"&amp;RIGHT(K24,2)</f>
        <v>1Q24</v>
      </c>
      <c r="L25" s="521" t="str">
        <f>"2Q"&amp;RIGHT(L24,2)</f>
        <v>2Q24</v>
      </c>
      <c r="M25" s="521" t="str">
        <f>"3Q"&amp;RIGHT(M24,2)</f>
        <v>3Q24</v>
      </c>
      <c r="N25" s="521" t="str">
        <f>"4Q"&amp;RIGHT(N24,2)</f>
        <v>4Q24</v>
      </c>
      <c r="O25" s="521">
        <f>O24</f>
        <v>2024</v>
      </c>
      <c r="P25" s="521" t="str">
        <f>"1Q"&amp;RIGHT(P24,2)</f>
        <v>1Q25</v>
      </c>
      <c r="Q25" s="521" t="str">
        <f>"2Q"&amp;RIGHT(Q24,2)</f>
        <v>2Q25</v>
      </c>
      <c r="R25" s="521" t="str">
        <f>"3Q"&amp;RIGHT(R24,2)</f>
        <v>3Q25</v>
      </c>
      <c r="S25" s="521" t="str">
        <f>"4Q"&amp;RIGHT(S24,2)</f>
        <v>4Q25</v>
      </c>
      <c r="T25" s="521">
        <f>T24</f>
        <v>2025</v>
      </c>
      <c r="U25" s="521" t="str">
        <f>"1Q"&amp;RIGHT(U24,2)</f>
        <v>1Q26</v>
      </c>
      <c r="V25" s="521" t="str">
        <f>"2Q"&amp;RIGHT(V24,2)&amp;"e"</f>
        <v>2Q26e</v>
      </c>
      <c r="W25" s="521" t="str">
        <f>"3Q"&amp;RIGHT(W24,2)&amp;"e"</f>
        <v>3Q26e</v>
      </c>
      <c r="X25" s="521" t="str">
        <f>"4Q"&amp;RIGHT(X24,2)&amp;"e"</f>
        <v>4Q26e</v>
      </c>
      <c r="Y25" s="521" t="str">
        <f>Y24&amp;"e"</f>
        <v>2026e</v>
      </c>
      <c r="Z25" s="521" t="str">
        <f>"1Q"&amp;RIGHT(Z24,2)&amp;"e"</f>
        <v>1Q27e</v>
      </c>
      <c r="AA25" s="521" t="str">
        <f>"2Q"&amp;RIGHT(AA24,2)&amp;"e"</f>
        <v>2Q27e</v>
      </c>
      <c r="AB25" s="521" t="str">
        <f>"3Q"&amp;RIGHT(AB24,2)&amp;"e"</f>
        <v>3Q27e</v>
      </c>
      <c r="AC25" s="521" t="str">
        <f>"4Q"&amp;RIGHT(AC24,2)&amp;"e"</f>
        <v>4Q27e</v>
      </c>
      <c r="AD25" s="521" t="str">
        <f>AD24&amp;"e"</f>
        <v>2027e</v>
      </c>
      <c r="AE25" s="521" t="str">
        <f>AE24&amp;"e"</f>
        <v>2028e</v>
      </c>
      <c r="AF25" s="521" t="str">
        <f>AF24&amp;"e"</f>
        <v>2029e</v>
      </c>
      <c r="AG25" s="524" t="str">
        <f>AG24&amp;"e"</f>
        <v>2030e</v>
      </c>
      <c r="AH25" s="22" t="s">
        <v>1</v>
      </c>
    </row>
    <row r="26" spans="1:34" s="23" customFormat="1" ht="12.75">
      <c r="A26" s="22"/>
      <c r="C26" s="571" t="s">
        <v>509</v>
      </c>
      <c r="D26" s="572"/>
      <c r="E26" s="572"/>
      <c r="F26" s="572">
        <v>90</v>
      </c>
      <c r="G26" s="572">
        <v>91</v>
      </c>
      <c r="H26" s="572">
        <v>92</v>
      </c>
      <c r="I26" s="572">
        <v>92</v>
      </c>
      <c r="J26" s="572">
        <f>SUM(F26:I26)</f>
        <v>365</v>
      </c>
      <c r="K26" s="572">
        <v>90</v>
      </c>
      <c r="L26" s="572">
        <v>91</v>
      </c>
      <c r="M26" s="572">
        <v>92</v>
      </c>
      <c r="N26" s="572">
        <v>92</v>
      </c>
      <c r="O26" s="572">
        <f>SUM(K26:N26)</f>
        <v>365</v>
      </c>
      <c r="P26" s="572">
        <v>91</v>
      </c>
      <c r="Q26" s="572">
        <v>91</v>
      </c>
      <c r="R26" s="572">
        <v>92</v>
      </c>
      <c r="S26" s="572">
        <v>92</v>
      </c>
      <c r="T26" s="572">
        <f>SUM(P26:S26)</f>
        <v>366</v>
      </c>
      <c r="U26" s="572">
        <v>91</v>
      </c>
      <c r="V26" s="572">
        <v>91</v>
      </c>
      <c r="W26" s="572">
        <v>92</v>
      </c>
      <c r="X26" s="572">
        <v>92</v>
      </c>
      <c r="Y26" s="572">
        <f>SUM(U26:X26)</f>
        <v>366</v>
      </c>
      <c r="Z26" s="572">
        <v>91</v>
      </c>
      <c r="AA26" s="572">
        <v>91</v>
      </c>
      <c r="AB26" s="572">
        <v>92</v>
      </c>
      <c r="AC26" s="572">
        <v>92</v>
      </c>
      <c r="AD26" s="572">
        <f>SUM(Z26:AC26)</f>
        <v>366</v>
      </c>
      <c r="AE26" s="572">
        <v>365</v>
      </c>
      <c r="AF26" s="572">
        <v>365</v>
      </c>
      <c r="AG26" s="573">
        <v>365</v>
      </c>
    </row>
    <row r="27" spans="1:34" s="23" customFormat="1" ht="12.75">
      <c r="A27" s="22"/>
      <c r="C27" s="28"/>
      <c r="F27" s="29"/>
      <c r="G27" s="29"/>
      <c r="H27" s="29"/>
      <c r="I27" s="29"/>
      <c r="K27" s="29"/>
      <c r="L27" s="29"/>
      <c r="M27" s="29"/>
      <c r="N27" s="29"/>
      <c r="P27" s="29"/>
      <c r="Q27" s="29"/>
      <c r="R27" s="29"/>
      <c r="S27" s="29"/>
      <c r="U27" s="29"/>
      <c r="V27" s="30"/>
      <c r="W27" s="30"/>
      <c r="X27" s="30"/>
      <c r="Z27" s="30"/>
      <c r="AA27" s="30"/>
      <c r="AB27" s="30"/>
      <c r="AC27" s="30"/>
    </row>
    <row r="28" spans="1:34" s="23" customFormat="1" ht="12.75">
      <c r="A28" s="22"/>
      <c r="C28" s="49" t="s">
        <v>35</v>
      </c>
      <c r="F28" s="69">
        <f>'Segment Analysis'!F7</f>
        <v>576314</v>
      </c>
      <c r="G28" s="69">
        <f>'Segment Analysis'!G7</f>
        <v>503600</v>
      </c>
      <c r="H28" s="69">
        <f>'Segment Analysis'!H7</f>
        <v>574404</v>
      </c>
      <c r="I28" s="69">
        <f>'Segment Analysis'!I7</f>
        <v>788348</v>
      </c>
      <c r="J28" s="71">
        <f>SUM(F28:I28)</f>
        <v>2442666</v>
      </c>
      <c r="K28" s="69">
        <f>'Segment Analysis'!K7</f>
        <v>585003</v>
      </c>
      <c r="L28" s="69">
        <f>'Segment Analysis'!L7</f>
        <v>693413</v>
      </c>
      <c r="M28" s="69">
        <f>'Segment Analysis'!M7</f>
        <v>738420</v>
      </c>
      <c r="N28" s="69">
        <f>'Segment Analysis'!N7</f>
        <v>979525</v>
      </c>
      <c r="O28" s="71">
        <f>SUM(K28:N28)</f>
        <v>2996361</v>
      </c>
      <c r="P28" s="69">
        <f>'Segment Analysis'!P7</f>
        <v>699022</v>
      </c>
      <c r="Q28" s="69">
        <f>'Segment Analysis'!Q7</f>
        <v>838040</v>
      </c>
      <c r="R28" s="69">
        <f>'Segment Analysis'!R7</f>
        <v>1045994</v>
      </c>
      <c r="S28" s="69">
        <f>'Segment Analysis'!S7</f>
        <v>1297028</v>
      </c>
      <c r="T28" s="71">
        <f>SUM(P28:S28)</f>
        <v>3880084</v>
      </c>
      <c r="U28" s="69">
        <f>'Segment Analysis'!U7</f>
        <v>1400469</v>
      </c>
      <c r="V28" s="70">
        <f>'Segment Analysis'!V7</f>
        <v>1541864.1675</v>
      </c>
      <c r="W28" s="70">
        <f>'Segment Analysis'!W7</f>
        <v>1718730.9434175</v>
      </c>
      <c r="X28" s="70">
        <f>'Segment Analysis'!X7</f>
        <v>2113727.5750644035</v>
      </c>
      <c r="Y28" s="71">
        <f>SUM(U28:X28)</f>
        <v>6774791.6859819032</v>
      </c>
      <c r="Z28" s="70">
        <f>'Segment Analysis'!Z7</f>
        <v>1569916.8630476727</v>
      </c>
      <c r="AA28" s="70">
        <f>'Segment Analysis'!AA7</f>
        <v>1730869.86064311</v>
      </c>
      <c r="AB28" s="70">
        <f>'Segment Analysis'!AB7</f>
        <v>1922406.9836960782</v>
      </c>
      <c r="AC28" s="70">
        <f>'Segment Analysis'!AC7</f>
        <v>2440159.6789104422</v>
      </c>
      <c r="AD28" s="71">
        <f>SUM(Z28:AC28)</f>
        <v>7663353.3862973023</v>
      </c>
      <c r="AE28" s="71">
        <f>'Segment Analysis'!AE7</f>
        <v>7894057.7637738818</v>
      </c>
      <c r="AF28" s="71">
        <f>'Segment Analysis'!AF7</f>
        <v>7727144.4667526977</v>
      </c>
      <c r="AG28" s="71">
        <f>'Segment Analysis'!AG7</f>
        <v>7330353.4317446342</v>
      </c>
    </row>
    <row r="29" spans="1:34" s="23" customFormat="1" ht="12.75">
      <c r="A29" s="22"/>
      <c r="C29" s="28" t="s">
        <v>859</v>
      </c>
      <c r="F29" s="31">
        <v>0</v>
      </c>
      <c r="G29" s="31">
        <v>0</v>
      </c>
      <c r="H29" s="31">
        <v>0</v>
      </c>
      <c r="I29" s="31">
        <v>0</v>
      </c>
      <c r="J29" s="32">
        <f>SUM(F29:I29)</f>
        <v>0</v>
      </c>
      <c r="K29" s="31">
        <v>0</v>
      </c>
      <c r="L29" s="31">
        <v>0</v>
      </c>
      <c r="M29" s="31">
        <v>0</v>
      </c>
      <c r="N29" s="31">
        <v>0</v>
      </c>
      <c r="O29" s="32">
        <f>SUM(K29:N29)</f>
        <v>0</v>
      </c>
      <c r="P29" s="31">
        <v>0</v>
      </c>
      <c r="Q29" s="31">
        <v>0</v>
      </c>
      <c r="R29" s="31">
        <v>0</v>
      </c>
      <c r="S29" s="31">
        <v>0</v>
      </c>
      <c r="T29" s="32">
        <f>SUM(P29:S29)</f>
        <v>0</v>
      </c>
      <c r="U29" s="31">
        <v>0</v>
      </c>
      <c r="V29" s="34">
        <f>IF(Cover!$F$37="Bottom Up",(V30-V28),(-V28*(1-V67)))</f>
        <v>0</v>
      </c>
      <c r="W29" s="34">
        <f>IF(Cover!$F$37="Bottom Up",(W30-W28),(-W28*(1-W67)))</f>
        <v>0</v>
      </c>
      <c r="X29" s="34">
        <f>IF(Cover!$F$37="Bottom Up",(X30-X28),(-X28*(1-X67)))</f>
        <v>0</v>
      </c>
      <c r="Y29" s="32">
        <f>SUM(U29:X29)</f>
        <v>0</v>
      </c>
      <c r="Z29" s="34">
        <f>IF(Cover!$F$37="Bottom Up",(Z30-Z28),(-Z28*(1-Z67)))</f>
        <v>0</v>
      </c>
      <c r="AA29" s="34">
        <f>IF(Cover!$F$37="Bottom Up",(AA30-AA28),(-AA28*(1-AA67)))</f>
        <v>0</v>
      </c>
      <c r="AB29" s="34">
        <f>IF(Cover!$F$37="Bottom Up",(AB30-AB28),(-AB28*(1-AB67)))</f>
        <v>0</v>
      </c>
      <c r="AC29" s="34">
        <f>IF(Cover!$F$37="Bottom Up",(AC30-AC28),(-AC28*(1-AC67)))</f>
        <v>0</v>
      </c>
      <c r="AD29" s="32">
        <f>SUM(Z29:AC29)</f>
        <v>0</v>
      </c>
      <c r="AE29" s="35">
        <f>IF(Cover!$F$37="Bottom Up",(AE30-AE28),(-AE28*(1-AE67)))</f>
        <v>0</v>
      </c>
      <c r="AF29" s="35">
        <f>IF(Cover!$F$37="Bottom Up",(AF30-AF28),(-AF28*(1-AF67)))</f>
        <v>0</v>
      </c>
      <c r="AG29" s="35">
        <f>IF(Cover!$F$37="Bottom Up",(AG30-AG28),(-AG28*(1-AG67)))</f>
        <v>0</v>
      </c>
    </row>
    <row r="30" spans="1:34" s="23" customFormat="1" ht="12.75">
      <c r="A30" s="22"/>
      <c r="C30" s="49" t="s">
        <v>36</v>
      </c>
      <c r="F30" s="69">
        <f>SUM(F28:F29)</f>
        <v>576314</v>
      </c>
      <c r="G30" s="69">
        <f>SUM(G28:G29)</f>
        <v>503600</v>
      </c>
      <c r="H30" s="69">
        <f>SUM(H28:H29)</f>
        <v>574404</v>
      </c>
      <c r="I30" s="69">
        <f>SUM(I28:I29)</f>
        <v>788348</v>
      </c>
      <c r="J30" s="71">
        <f>SUM(F30:I30)</f>
        <v>2442666</v>
      </c>
      <c r="K30" s="69">
        <f>SUM(K28:K29)</f>
        <v>585003</v>
      </c>
      <c r="L30" s="69">
        <f>SUM(L28:L29)</f>
        <v>693413</v>
      </c>
      <c r="M30" s="69">
        <f>SUM(M28:M29)</f>
        <v>738420</v>
      </c>
      <c r="N30" s="69">
        <f>SUM(N28:N29)</f>
        <v>979525</v>
      </c>
      <c r="O30" s="71">
        <f>SUM(K30:N30)</f>
        <v>2996361</v>
      </c>
      <c r="P30" s="69">
        <f>SUM(P28:P29)</f>
        <v>699022</v>
      </c>
      <c r="Q30" s="69">
        <f>SUM(Q28:Q29)</f>
        <v>838040</v>
      </c>
      <c r="R30" s="69">
        <f>SUM(R28:R29)</f>
        <v>1045994</v>
      </c>
      <c r="S30" s="69">
        <f>SUM(S28:S29)</f>
        <v>1297028</v>
      </c>
      <c r="T30" s="71">
        <f>SUM(P30:S30)</f>
        <v>3880084</v>
      </c>
      <c r="U30" s="69">
        <f>SUM(U28:U29)</f>
        <v>1400469</v>
      </c>
      <c r="V30" s="70">
        <f>IF(Cover!$F$37="Bottom Up",(V37-SUM(V32:V34,V36)),V28+V29)</f>
        <v>1541864.1675</v>
      </c>
      <c r="W30" s="70">
        <f>IF(Cover!$F$37="Bottom Up",(W37-SUM(W32:W34,W36)),W28+W29)</f>
        <v>1718730.9434175</v>
      </c>
      <c r="X30" s="70">
        <f>IF(Cover!$F$37="Bottom Up",(X37-SUM(X32:X34,X36)),X28+X29)</f>
        <v>2113727.5750644035</v>
      </c>
      <c r="Y30" s="71">
        <f>SUM(U30:X30)</f>
        <v>6774791.6859819032</v>
      </c>
      <c r="Z30" s="70">
        <f>IF(Cover!$F$37="Bottom Up",(Z37-SUM(Z32:Z34,Z36)),Z28+Z29)</f>
        <v>1569916.8630476727</v>
      </c>
      <c r="AA30" s="70">
        <f>IF(Cover!$F$37="Bottom Up",(AA37-SUM(AA32:AA34,AA36)),AA28+AA29)</f>
        <v>1730869.86064311</v>
      </c>
      <c r="AB30" s="70">
        <f>IF(Cover!$F$37="Bottom Up",(AB37-SUM(AB32:AB34,AB36)),AB28+AB29)</f>
        <v>1922406.9836960782</v>
      </c>
      <c r="AC30" s="70">
        <f>IF(Cover!$F$37="Bottom Up",(AC37-SUM(AC32:AC34,AC36)),AC28+AC29)</f>
        <v>2440159.6789104422</v>
      </c>
      <c r="AD30" s="71">
        <f>SUM(Z30:AC30)</f>
        <v>7663353.3862973023</v>
      </c>
      <c r="AE30" s="71">
        <f>IF(Cover!$F$37="Bottom Up",(AE37-SUM(AE32:AE34,AE36)),AE28+AE29)</f>
        <v>7894057.7637738818</v>
      </c>
      <c r="AF30" s="71">
        <f>IF(Cover!$F$37="Bottom Up",(AF37-SUM(AF32:AF34,AF36)),AF28+AF29)</f>
        <v>7727144.4667526977</v>
      </c>
      <c r="AG30" s="71">
        <f>IF(Cover!$F$37="Bottom Up",(AG37-SUM(AG32:AG34,AG36)),AG28+AG29)</f>
        <v>7330353.4317446342</v>
      </c>
    </row>
    <row r="31" spans="1:34" s="23" customFormat="1" ht="12.75">
      <c r="A31" s="22"/>
      <c r="C31" s="28"/>
      <c r="F31" s="36"/>
      <c r="G31" s="29"/>
      <c r="H31" s="29"/>
      <c r="I31" s="29"/>
      <c r="K31" s="36"/>
      <c r="L31" s="29"/>
      <c r="M31" s="29"/>
      <c r="N31" s="29"/>
      <c r="P31" s="29"/>
      <c r="Q31" s="29"/>
      <c r="R31" s="29"/>
      <c r="S31" s="29"/>
      <c r="U31" s="29"/>
      <c r="V31" s="30"/>
      <c r="W31" s="30"/>
      <c r="X31" s="70"/>
      <c r="Z31" s="30"/>
      <c r="AA31" s="30"/>
      <c r="AB31" s="30"/>
      <c r="AC31" s="30"/>
    </row>
    <row r="32" spans="1:34" s="23" customFormat="1" ht="12.75">
      <c r="A32" s="22"/>
      <c r="C32" s="28" t="s">
        <v>860</v>
      </c>
      <c r="F32" s="37">
        <f>-(366872+20379+24137+15203+15735+2765)-F33</f>
        <v>-78219</v>
      </c>
      <c r="G32" s="37">
        <f>-425583-G33</f>
        <v>-87209</v>
      </c>
      <c r="H32" s="37">
        <f>-477229-H33</f>
        <v>-85499</v>
      </c>
      <c r="I32" s="37">
        <f>-650507-I33</f>
        <v>-90608</v>
      </c>
      <c r="J32" s="38">
        <f t="shared" ref="J32:J37" si="0">SUM(F32:I32)</f>
        <v>-341535</v>
      </c>
      <c r="K32" s="37">
        <f>-387705-21944-31219-19222-19167-3341-K33</f>
        <v>-94893</v>
      </c>
      <c r="L32" s="37">
        <f>-559045-L33</f>
        <v>-100110</v>
      </c>
      <c r="M32" s="37">
        <f>-586276-M33</f>
        <v>-98266</v>
      </c>
      <c r="N32" s="37">
        <f>-746927-N33</f>
        <v>-107541</v>
      </c>
      <c r="O32" s="38">
        <f t="shared" ref="O32:O37" si="1">SUM(K32:N32)</f>
        <v>-400810</v>
      </c>
      <c r="P32" s="37">
        <f>-(25731+32613+22018+23144+3346)</f>
        <v>-106852</v>
      </c>
      <c r="Q32" s="37">
        <f>-(26914+23133+23984+36587+3180+1637)</f>
        <v>-115435</v>
      </c>
      <c r="R32" s="37">
        <f>-27530-25672-23246-36954-2962</f>
        <v>-116364</v>
      </c>
      <c r="S32" s="37">
        <f>-28609-31849-26364-39314-3011</f>
        <v>-129147</v>
      </c>
      <c r="T32" s="38">
        <f>SUM(P32:S32)</f>
        <v>-467798</v>
      </c>
      <c r="U32" s="37">
        <f>-(27065+28355+27871+40418+3187+1800)</f>
        <v>-128696</v>
      </c>
      <c r="V32" s="40">
        <f t="shared" ref="U32:X32" si="2">V68*V$28</f>
        <v>-200442.34177500001</v>
      </c>
      <c r="W32" s="40">
        <f t="shared" si="2"/>
        <v>-214841.3679271875</v>
      </c>
      <c r="X32" s="40">
        <f t="shared" si="2"/>
        <v>-221941.39538176236</v>
      </c>
      <c r="Y32" s="38">
        <f>SUM(U32:X32)</f>
        <v>-765921.10508394986</v>
      </c>
      <c r="Z32" s="40">
        <f t="shared" ref="Z32:AC32" si="3">Z68*Z$28</f>
        <v>-235487.5294571509</v>
      </c>
      <c r="AA32" s="40">
        <f t="shared" si="3"/>
        <v>-250976.12979325093</v>
      </c>
      <c r="AB32" s="40">
        <f t="shared" si="3"/>
        <v>-259524.94279897056</v>
      </c>
      <c r="AC32" s="40">
        <f t="shared" si="3"/>
        <v>-286718.76227197691</v>
      </c>
      <c r="AD32" s="38">
        <f>SUM(Z32:AC32)</f>
        <v>-1032707.3643213493</v>
      </c>
      <c r="AE32" s="41">
        <f>AE68*AE$28</f>
        <v>-1184108.6645660822</v>
      </c>
      <c r="AF32" s="41">
        <f>AF68*AF$28</f>
        <v>-1274978.8370141953</v>
      </c>
      <c r="AG32" s="41">
        <f>AG68*AG$28</f>
        <v>-879642.41180935607</v>
      </c>
    </row>
    <row r="33" spans="1:37" s="23" customFormat="1" ht="12.75">
      <c r="A33" s="22"/>
      <c r="C33" s="28" t="s">
        <v>1077</v>
      </c>
      <c r="F33" s="37">
        <v>-366872</v>
      </c>
      <c r="G33" s="37">
        <v>-338374</v>
      </c>
      <c r="H33" s="37">
        <v>-391730</v>
      </c>
      <c r="I33" s="37">
        <f>-1656875-SUM(F33:H33)</f>
        <v>-559899</v>
      </c>
      <c r="J33" s="38">
        <f t="shared" si="0"/>
        <v>-1656875</v>
      </c>
      <c r="K33" s="37">
        <v>-387705</v>
      </c>
      <c r="L33" s="37">
        <v>-458935</v>
      </c>
      <c r="M33" s="37">
        <v>-488010</v>
      </c>
      <c r="N33" s="37">
        <f>-1974036-SUM(K33:M33)</f>
        <v>-639386</v>
      </c>
      <c r="O33" s="38">
        <f t="shared" si="1"/>
        <v>-1974036</v>
      </c>
      <c r="P33" s="37">
        <v>-459825</v>
      </c>
      <c r="Q33" s="37">
        <v>-548611</v>
      </c>
      <c r="R33" s="37">
        <v>-680652</v>
      </c>
      <c r="S33" s="37">
        <v>-811746</v>
      </c>
      <c r="T33" s="38">
        <f t="shared" ref="T33:T37" si="4">SUM(P33:S33)</f>
        <v>-2500834</v>
      </c>
      <c r="U33" s="37">
        <f>+-904070</f>
        <v>-904070</v>
      </c>
      <c r="V33" s="40">
        <f t="shared" ref="U33:X33" si="5">-V28*V69</f>
        <v>-986793.06720000005</v>
      </c>
      <c r="W33" s="40">
        <f t="shared" si="5"/>
        <v>-1095690.9764286561</v>
      </c>
      <c r="X33" s="40">
        <f t="shared" si="5"/>
        <v>-1336932.6912282351</v>
      </c>
      <c r="Y33" s="38">
        <f t="shared" ref="Y33:Y37" si="6">SUM(U33:X33)</f>
        <v>-4323486.7348568914</v>
      </c>
      <c r="Z33" s="40">
        <f t="shared" ref="Z33:AG33" si="7">-Z28*Z69</f>
        <v>-981198.03940479539</v>
      </c>
      <c r="AA33" s="40">
        <f t="shared" si="7"/>
        <v>-1073139.3135987283</v>
      </c>
      <c r="AB33" s="40">
        <f t="shared" si="7"/>
        <v>-1187086.3124323285</v>
      </c>
      <c r="AC33" s="40">
        <f t="shared" si="7"/>
        <v>-1500698.2025299219</v>
      </c>
      <c r="AD33" s="38">
        <f t="shared" ref="AD33" si="8">SUM(Z33:AC33)</f>
        <v>-4742121.8679657746</v>
      </c>
      <c r="AE33" s="41">
        <f t="shared" si="7"/>
        <v>-4736434.6582643287</v>
      </c>
      <c r="AF33" s="41">
        <f t="shared" si="7"/>
        <v>-4636286.6800516183</v>
      </c>
      <c r="AG33" s="41">
        <f t="shared" si="7"/>
        <v>-4251604.9904118879</v>
      </c>
    </row>
    <row r="34" spans="1:37" s="23" customFormat="1" ht="12.75">
      <c r="A34" s="22"/>
      <c r="C34" s="28" t="s">
        <v>37</v>
      </c>
      <c r="F34" s="37">
        <v>0</v>
      </c>
      <c r="G34" s="37">
        <v>0</v>
      </c>
      <c r="H34" s="37">
        <v>0</v>
      </c>
      <c r="I34" s="37">
        <v>0</v>
      </c>
      <c r="J34" s="38">
        <f t="shared" si="0"/>
        <v>0</v>
      </c>
      <c r="K34" s="37">
        <v>0</v>
      </c>
      <c r="L34" s="37">
        <v>0</v>
      </c>
      <c r="M34" s="37">
        <f ca="1">M70*M$28</f>
        <v>0</v>
      </c>
      <c r="N34" s="37">
        <v>0</v>
      </c>
      <c r="O34" s="38">
        <f t="shared" ca="1" si="1"/>
        <v>0</v>
      </c>
      <c r="P34" s="37">
        <v>0</v>
      </c>
      <c r="Q34" s="37">
        <v>0</v>
      </c>
      <c r="R34" s="37">
        <v>0</v>
      </c>
      <c r="S34" s="37">
        <v>0</v>
      </c>
      <c r="T34" s="38">
        <f t="shared" si="4"/>
        <v>0</v>
      </c>
      <c r="U34" s="37">
        <v>0</v>
      </c>
      <c r="V34" s="40">
        <f t="shared" ref="U34:X34" si="9">V70*V$28</f>
        <v>0</v>
      </c>
      <c r="W34" s="40">
        <f t="shared" si="9"/>
        <v>0</v>
      </c>
      <c r="X34" s="40">
        <f t="shared" si="9"/>
        <v>0</v>
      </c>
      <c r="Y34" s="38">
        <f t="shared" si="6"/>
        <v>0</v>
      </c>
      <c r="Z34" s="40">
        <f t="shared" ref="Z34:AC34" si="10">Z70*Z$28</f>
        <v>0</v>
      </c>
      <c r="AA34" s="40">
        <f t="shared" si="10"/>
        <v>0</v>
      </c>
      <c r="AB34" s="40">
        <f t="shared" si="10"/>
        <v>0</v>
      </c>
      <c r="AC34" s="40">
        <f t="shared" si="10"/>
        <v>0</v>
      </c>
      <c r="AD34" s="38">
        <f>SUM(Z34:AC34)</f>
        <v>0</v>
      </c>
      <c r="AE34" s="41">
        <f t="shared" ref="AE34:AG34" si="11">AE70*AE$28</f>
        <v>0</v>
      </c>
      <c r="AF34" s="41">
        <f t="shared" si="11"/>
        <v>0</v>
      </c>
      <c r="AG34" s="41">
        <f t="shared" si="11"/>
        <v>0</v>
      </c>
    </row>
    <row r="35" spans="1:37" s="23" customFormat="1" ht="12.75">
      <c r="A35" s="22"/>
      <c r="C35" s="28" t="s">
        <v>181</v>
      </c>
      <c r="F35" s="37">
        <v>-6573</v>
      </c>
      <c r="G35" s="37">
        <v>-5952</v>
      </c>
      <c r="H35" s="37">
        <v>-5848</v>
      </c>
      <c r="I35" s="37">
        <v>-5975</v>
      </c>
      <c r="J35" s="38">
        <f t="shared" si="0"/>
        <v>-24348</v>
      </c>
      <c r="K35" s="37">
        <v>-6293</v>
      </c>
      <c r="L35" s="37">
        <v>-6439</v>
      </c>
      <c r="M35" s="37">
        <v>-5896</v>
      </c>
      <c r="N35" s="37">
        <v>-5840</v>
      </c>
      <c r="O35" s="38">
        <f t="shared" si="1"/>
        <v>-24468</v>
      </c>
      <c r="P35" s="1060">
        <v>-5976</v>
      </c>
      <c r="Q35" s="1060">
        <v>-6450</v>
      </c>
      <c r="R35" s="37">
        <v>-7856</v>
      </c>
      <c r="S35" s="37">
        <v>-12275</v>
      </c>
      <c r="T35" s="38">
        <f t="shared" si="4"/>
        <v>-32557</v>
      </c>
      <c r="U35" s="1060">
        <v>-12438</v>
      </c>
      <c r="V35" s="40">
        <f>-V78</f>
        <v>-8418.375</v>
      </c>
      <c r="W35" s="40">
        <f>-W78</f>
        <v>-8928.9679974281244</v>
      </c>
      <c r="X35" s="40">
        <f>-X78</f>
        <v>-9292.0548058192126</v>
      </c>
      <c r="Y35" s="38">
        <f t="shared" si="6"/>
        <v>-39077.397803247339</v>
      </c>
      <c r="Z35" s="40">
        <f>-Z78</f>
        <v>-9762.5429207024899</v>
      </c>
      <c r="AA35" s="40">
        <f>-AA78</f>
        <v>-10193.466100459753</v>
      </c>
      <c r="AB35" s="40">
        <f>-AB78</f>
        <v>-10655.120476376804</v>
      </c>
      <c r="AC35" s="40">
        <f>-AC78</f>
        <v>-11118.307916090187</v>
      </c>
      <c r="AD35" s="38">
        <f>SUM(Z35:AC35)</f>
        <v>-41729.437413629232</v>
      </c>
      <c r="AE35" s="41">
        <f>-AE78</f>
        <v>-56568.835056116077</v>
      </c>
      <c r="AF35" s="41">
        <f>-AF78</f>
        <v>-67700.400708204674</v>
      </c>
      <c r="AG35" s="41">
        <f>-AG78</f>
        <v>-76377.618640960121</v>
      </c>
    </row>
    <row r="36" spans="1:37" s="23" customFormat="1" ht="12.75">
      <c r="A36" s="22"/>
      <c r="C36" s="28" t="s">
        <v>38</v>
      </c>
      <c r="F36" s="31">
        <f>-10654-2921</f>
        <v>-13575</v>
      </c>
      <c r="G36" s="31">
        <v>-10168</v>
      </c>
      <c r="H36" s="31">
        <v>-10317</v>
      </c>
      <c r="I36" s="31">
        <v>-9996</v>
      </c>
      <c r="J36" s="32">
        <f t="shared" si="0"/>
        <v>-44056</v>
      </c>
      <c r="K36" s="31">
        <v>-7804</v>
      </c>
      <c r="L36" s="31">
        <v>-15497</v>
      </c>
      <c r="M36" s="31">
        <v>-20057</v>
      </c>
      <c r="N36" s="31">
        <v>-10007</v>
      </c>
      <c r="O36" s="32">
        <f t="shared" si="1"/>
        <v>-53365</v>
      </c>
      <c r="P36" s="31">
        <v>-10992</v>
      </c>
      <c r="Q36" s="31">
        <v>-12945</v>
      </c>
      <c r="R36" s="31">
        <f>-3516-14290</f>
        <v>-17806</v>
      </c>
      <c r="S36" s="31">
        <f>-18241-4705</f>
        <v>-22946</v>
      </c>
      <c r="T36" s="32">
        <f t="shared" si="4"/>
        <v>-64689</v>
      </c>
      <c r="U36" s="31">
        <f>+-15648</f>
        <v>-15648</v>
      </c>
      <c r="V36" s="34">
        <f>V71*V$28</f>
        <v>-30837.283350000002</v>
      </c>
      <c r="W36" s="34">
        <f>W71*W$28</f>
        <v>-29218.426038097503</v>
      </c>
      <c r="X36" s="34">
        <f>X71*X$28</f>
        <v>-35933.36877609486</v>
      </c>
      <c r="Y36" s="32">
        <f t="shared" si="6"/>
        <v>-111637.07816419235</v>
      </c>
      <c r="Z36" s="34">
        <f>Z71*Z$28</f>
        <v>-21978.836082667418</v>
      </c>
      <c r="AA36" s="34">
        <f>AA71*AA$28</f>
        <v>-24232.178049003542</v>
      </c>
      <c r="AB36" s="34">
        <f>AB71*AB$28</f>
        <v>-26913.697771745094</v>
      </c>
      <c r="AC36" s="34">
        <f>AC71*AC$28</f>
        <v>-34162.23550474619</v>
      </c>
      <c r="AD36" s="32">
        <f>SUM(Z36:AC36)</f>
        <v>-107286.94740816225</v>
      </c>
      <c r="AE36" s="35">
        <f>AE71*AE$28</f>
        <v>-118410.86645660823</v>
      </c>
      <c r="AF36" s="35">
        <f>AF71*AF$28</f>
        <v>-115907.16700129047</v>
      </c>
      <c r="AG36" s="35">
        <f>AG71*AG$28</f>
        <v>-109955.30147616951</v>
      </c>
    </row>
    <row r="37" spans="1:37" s="23" customFormat="1" ht="12.75">
      <c r="A37" s="22"/>
      <c r="C37" s="49" t="s">
        <v>255</v>
      </c>
      <c r="F37" s="69">
        <f>IF($C$35="Depreciation &amp; Amortization (incl. in SG&amp;A)",F30+SUM(F32:F34,F36),F30+SUM(F32:F36))</f>
        <v>111075</v>
      </c>
      <c r="G37" s="69">
        <f>IF($C$35="Depreciation &amp; Amortization (incl. in SG&amp;A)",G30+SUM(G32:G34,G36),G30+SUM(G32:G36))</f>
        <v>61897</v>
      </c>
      <c r="H37" s="69">
        <f>IF($C$35="Depreciation &amp; Amortization (incl. in SG&amp;A)",H30+SUM(H32:H34,H36),H30+SUM(H32:H36))</f>
        <v>81010</v>
      </c>
      <c r="I37" s="69">
        <f>IF($C$35="Depreciation &amp; Amortization (incl. in SG&amp;A)",I30+SUM(I32:I34,I36),I30+SUM(I32:I36))</f>
        <v>121870</v>
      </c>
      <c r="J37" s="71">
        <f t="shared" si="0"/>
        <v>375852</v>
      </c>
      <c r="K37" s="69">
        <f>IF($C$35="Depreciation &amp; Amortization (incl. in SG&amp;A)",K30+SUM(K32:K34,K36),K30+SUM(K32:K36))</f>
        <v>88308</v>
      </c>
      <c r="L37" s="69">
        <f>IF($C$35="Depreciation &amp; Amortization (incl. in SG&amp;A)",L30+SUM(L32:L34,L36),L30+SUM(L32:L36))</f>
        <v>112432</v>
      </c>
      <c r="M37" s="69">
        <f ca="1">IF($C$35="Depreciation &amp; Amortization (incl. in SG&amp;A)",M30+SUM(M32:M34,M36),M30+SUM(M32:M36))</f>
        <v>126191</v>
      </c>
      <c r="N37" s="69">
        <f>IF($C$35="Depreciation &amp; Amortization (incl. in SG&amp;A)",N30+SUM(N32:N34,N36),N30+SUM(N32:N36))</f>
        <v>216751</v>
      </c>
      <c r="O37" s="71">
        <f t="shared" ca="1" si="1"/>
        <v>543682</v>
      </c>
      <c r="P37" s="69">
        <f>IF($C$35="Depreciation &amp; Amortization (incl. in SG&amp;A)",P30+SUM(P32:P34,P36),P30+SUM(P32:P36))</f>
        <v>115377</v>
      </c>
      <c r="Q37" s="69">
        <f>IF($C$35="Depreciation &amp; Amortization (incl. in SG&amp;A)",Q30+SUM(Q32:Q34,Q36),Q30+SUM(Q32:Q36))</f>
        <v>154599</v>
      </c>
      <c r="R37" s="69">
        <f>IF($C$35="Depreciation &amp; Amortization (incl. in SG&amp;A)",R30+SUM(R32:R34,R36),R30+SUM(R32:R36))</f>
        <v>223316</v>
      </c>
      <c r="S37" s="69">
        <f>IF($C$35="Depreciation &amp; Amortization (incl. in SG&amp;A)",S30+SUM(S32:S34,S36),S30+SUM(S32:S36))</f>
        <v>320914</v>
      </c>
      <c r="T37" s="71">
        <f t="shared" si="4"/>
        <v>814206</v>
      </c>
      <c r="U37" s="69">
        <f>IF($C$35="Depreciation &amp; Amortization (incl. in SG&amp;A)",U30+SUM(U32:U34,U36),U30+SUM(U32:U36))</f>
        <v>339617</v>
      </c>
      <c r="V37" s="70">
        <f>IF(Cover!$F$37="Bottom Up",'Segment Analysis'!V33,IF($C$35="Depreciation &amp; Amortization (incl. in SG&amp;A)",V30+SUM(V32:V34,V36),V30+SUM(V32:V36)))</f>
        <v>315373.10017500003</v>
      </c>
      <c r="W37" s="70">
        <f>IF(Cover!$F$37="Bottom Up",'Segment Analysis'!W33,IF($C$35="Depreciation &amp; Amortization (incl. in SG&amp;A)",W30+SUM(W32:W34,W36),W30+SUM(W32:W36)))</f>
        <v>370051.20502613066</v>
      </c>
      <c r="X37" s="70">
        <f>IF(Cover!$F$37="Bottom Up",'Segment Analysis'!X33,IF($C$35="Depreciation &amp; Amortization (incl. in SG&amp;A)",X30+SUM(X32:X34,X36),X30+SUM(X32:X36)))</f>
        <v>509628.06487249187</v>
      </c>
      <c r="Y37" s="71">
        <f t="shared" si="6"/>
        <v>1534669.3700736226</v>
      </c>
      <c r="Z37" s="70">
        <f>IF(Cover!$F$37="Bottom Up",'Segment Analysis'!Z33,IF($C$35="Depreciation &amp; Amortization (incl. in SG&amp;A)",Z30+SUM(Z32:Z34,Z36),Z30+SUM(Z32:Z36)))</f>
        <v>321489.91518235649</v>
      </c>
      <c r="AA37" s="70">
        <f>IF(Cover!$F$37="Bottom Up",'Segment Analysis'!AA33,IF($C$35="Depreciation &amp; Amortization (incl. in SG&amp;A)",AA30+SUM(AA32:AA34,AA36),AA30+SUM(AA32:AA36)))</f>
        <v>372328.77310166764</v>
      </c>
      <c r="AB37" s="70">
        <f>IF(Cover!$F$37="Bottom Up",'Segment Analysis'!AB33,IF($C$35="Depreciation &amp; Amortization (incl. in SG&amp;A)",AB30+SUM(AB32:AB34,AB36),AB30+SUM(AB32:AB36)))</f>
        <v>438226.91021665744</v>
      </c>
      <c r="AC37" s="70">
        <f>IF(Cover!$F$37="Bottom Up",'Segment Analysis'!AC33,IF($C$35="Depreciation &amp; Amortization (incl. in SG&amp;A)",AC30+SUM(AC32:AC34,AC36),AC30+SUM(AC32:AC36)))</f>
        <v>607462.17068770714</v>
      </c>
      <c r="AD37" s="71">
        <f>SUM(Z37:AC37)</f>
        <v>1739507.7691883887</v>
      </c>
      <c r="AE37" s="71">
        <f>IF(Cover!$F$37="Bottom Up",'Segment Analysis'!AE33,IF($C$35="Depreciation &amp; Amortization (incl. in SG&amp;A)",AE30+SUM(AE32:AE34,AE36),AE30+SUM(AE32:AE36)))</f>
        <v>1798534.739430747</v>
      </c>
      <c r="AF37" s="71">
        <f>IF(Cover!$F$37="Bottom Up",'Segment Analysis'!AF33,IF($C$35="Depreciation &amp; Amortization (incl. in SG&amp;A)",AF30+SUM(AF32:AF34,AF36),AF30+SUM(AF32:AF36)))</f>
        <v>1632271.3819773886</v>
      </c>
      <c r="AG37" s="71">
        <f>IF(Cover!$F$37="Bottom Up",'Segment Analysis'!AG33,IF($C$35="Depreciation &amp; Amortization (incl. in SG&amp;A)",AG30+SUM(AG32:AG34,AG36),AG30+SUM(AG32:AG36)))</f>
        <v>2012773.1094062608</v>
      </c>
      <c r="AK37" s="433"/>
    </row>
    <row r="38" spans="1:37" s="23" customFormat="1" ht="12.75">
      <c r="A38" s="22"/>
      <c r="C38" s="28"/>
      <c r="F38" s="36"/>
      <c r="G38" s="36"/>
      <c r="H38" s="36"/>
      <c r="I38" s="36"/>
      <c r="K38" s="36"/>
      <c r="L38" s="36"/>
      <c r="M38" s="36"/>
      <c r="N38" s="36"/>
      <c r="P38" s="36"/>
      <c r="Q38" s="36"/>
      <c r="R38" s="36"/>
      <c r="S38" s="36"/>
      <c r="U38" s="36"/>
      <c r="V38" s="42"/>
      <c r="W38" s="42"/>
      <c r="X38" s="42"/>
      <c r="Z38" s="42"/>
      <c r="AA38" s="42"/>
      <c r="AB38" s="42"/>
      <c r="AC38" s="42"/>
    </row>
    <row r="39" spans="1:37" s="23" customFormat="1" ht="12.75">
      <c r="A39" s="22"/>
      <c r="C39" s="28" t="s">
        <v>39</v>
      </c>
      <c r="F39" s="37">
        <v>0</v>
      </c>
      <c r="G39" s="37">
        <v>0</v>
      </c>
      <c r="H39" s="37">
        <v>0</v>
      </c>
      <c r="I39" s="37">
        <v>0</v>
      </c>
      <c r="J39" s="38">
        <f>SUM(F39:I39)</f>
        <v>0</v>
      </c>
      <c r="K39" s="37">
        <v>0</v>
      </c>
      <c r="L39" s="37">
        <v>0</v>
      </c>
      <c r="M39" s="37">
        <v>0</v>
      </c>
      <c r="N39" s="37">
        <v>0</v>
      </c>
      <c r="O39" s="38">
        <f>SUM(K39:N39)</f>
        <v>0</v>
      </c>
      <c r="P39" s="37">
        <v>0</v>
      </c>
      <c r="Q39" s="37">
        <v>0</v>
      </c>
      <c r="R39" s="37">
        <v>0</v>
      </c>
      <c r="S39" s="37">
        <v>0</v>
      </c>
      <c r="T39" s="38">
        <f>SUM(P39:S39)</f>
        <v>0</v>
      </c>
      <c r="U39" s="37">
        <v>0</v>
      </c>
      <c r="V39" s="40">
        <f>V331</f>
        <v>0</v>
      </c>
      <c r="W39" s="40">
        <f ca="1">W331</f>
        <v>0</v>
      </c>
      <c r="X39" s="40">
        <f ca="1">X331</f>
        <v>0</v>
      </c>
      <c r="Y39" s="38">
        <f ca="1">SUM(U39:X39)</f>
        <v>0</v>
      </c>
      <c r="Z39" s="40">
        <f ca="1">Z331</f>
        <v>0</v>
      </c>
      <c r="AA39" s="40">
        <f ca="1">AA331</f>
        <v>0</v>
      </c>
      <c r="AB39" s="40">
        <f ca="1">AB331</f>
        <v>0</v>
      </c>
      <c r="AC39" s="40">
        <f ca="1">AC331</f>
        <v>0</v>
      </c>
      <c r="AD39" s="38">
        <f ca="1">SUM(Z39:AC39)</f>
        <v>0</v>
      </c>
      <c r="AE39" s="41">
        <f ca="1">AE331</f>
        <v>0</v>
      </c>
      <c r="AF39" s="41">
        <f ca="1">AF331</f>
        <v>0</v>
      </c>
      <c r="AG39" s="41">
        <f ca="1">AG331</f>
        <v>0</v>
      </c>
    </row>
    <row r="40" spans="1:37" s="23" customFormat="1" ht="12.75">
      <c r="A40" s="22"/>
      <c r="C40" s="28" t="s">
        <v>40</v>
      </c>
      <c r="F40" s="37">
        <v>-4171</v>
      </c>
      <c r="G40" s="37">
        <v>-4181</v>
      </c>
      <c r="H40" s="37">
        <v>-4184</v>
      </c>
      <c r="I40" s="37">
        <v>-4181</v>
      </c>
      <c r="J40" s="38">
        <f>SUM(F40:I40)</f>
        <v>-16717</v>
      </c>
      <c r="K40" s="37">
        <v>-4188</v>
      </c>
      <c r="L40" s="37">
        <v>-4189</v>
      </c>
      <c r="M40" s="37">
        <v>-4198</v>
      </c>
      <c r="N40" s="37">
        <v>-4193</v>
      </c>
      <c r="O40" s="38">
        <f>SUM(K40:N40)</f>
        <v>-16768</v>
      </c>
      <c r="P40" s="37">
        <v>-4193</v>
      </c>
      <c r="Q40" s="37">
        <v>-4210</v>
      </c>
      <c r="R40" s="37">
        <v>-7110</v>
      </c>
      <c r="S40" s="37">
        <v>-8751</v>
      </c>
      <c r="T40" s="38">
        <f>SUM(P40:S40)</f>
        <v>-24264</v>
      </c>
      <c r="U40" s="37">
        <f>+-8891</f>
        <v>-8891</v>
      </c>
      <c r="V40" s="40">
        <f ca="1">V324</f>
        <v>-9178.2830000000013</v>
      </c>
      <c r="W40" s="40">
        <f ca="1">W324</f>
        <v>-9177.4330000000009</v>
      </c>
      <c r="X40" s="40">
        <f ca="1">X324</f>
        <v>-9174.8829999999998</v>
      </c>
      <c r="Y40" s="38">
        <f ca="1">SUM(U40:X40)</f>
        <v>-36421.599000000002</v>
      </c>
      <c r="Z40" s="40">
        <f ca="1">Z324</f>
        <v>-6071.0512499999995</v>
      </c>
      <c r="AA40" s="40">
        <f ca="1">AA324</f>
        <v>-6071.6137499999995</v>
      </c>
      <c r="AB40" s="40">
        <f ca="1">AB324</f>
        <v>-6071.0512499999995</v>
      </c>
      <c r="AC40" s="40">
        <f ca="1">AC324</f>
        <v>-6069.3637499999995</v>
      </c>
      <c r="AD40" s="38">
        <f ca="1">SUM(Z40:AC40)</f>
        <v>-24283.079999999998</v>
      </c>
      <c r="AE40" s="41">
        <f ca="1">AE324</f>
        <v>-27396.650921907269</v>
      </c>
      <c r="AF40" s="41">
        <f ca="1">AF324</f>
        <v>-27372.650921907269</v>
      </c>
      <c r="AG40" s="41">
        <f ca="1">AG324</f>
        <v>-21521.96</v>
      </c>
    </row>
    <row r="41" spans="1:37" s="23" customFormat="1" ht="12.75">
      <c r="A41" s="22"/>
      <c r="C41" s="28" t="s">
        <v>597</v>
      </c>
      <c r="F41" s="37">
        <v>0</v>
      </c>
      <c r="G41" s="37">
        <v>0</v>
      </c>
      <c r="H41" s="37">
        <v>0</v>
      </c>
      <c r="I41" s="37">
        <v>0</v>
      </c>
      <c r="J41" s="38">
        <f>SUM(F41:I41)</f>
        <v>0</v>
      </c>
      <c r="K41" s="37">
        <v>0</v>
      </c>
      <c r="L41" s="37">
        <v>0</v>
      </c>
      <c r="M41" s="37">
        <v>0</v>
      </c>
      <c r="N41" s="37">
        <v>0</v>
      </c>
      <c r="O41" s="38">
        <f>SUM(K41:N41)</f>
        <v>0</v>
      </c>
      <c r="P41" s="37">
        <v>0</v>
      </c>
      <c r="Q41" s="37">
        <v>0</v>
      </c>
      <c r="R41" s="37">
        <v>0</v>
      </c>
      <c r="S41" s="37">
        <v>0</v>
      </c>
      <c r="T41" s="38">
        <f>SUM(P41:S41)</f>
        <v>0</v>
      </c>
      <c r="U41" s="37">
        <v>0</v>
      </c>
      <c r="V41" s="43">
        <f>Drivers!V67</f>
        <v>0</v>
      </c>
      <c r="W41" s="43">
        <f>Drivers!W67</f>
        <v>0</v>
      </c>
      <c r="X41" s="43">
        <f>Drivers!X67</f>
        <v>0</v>
      </c>
      <c r="Y41" s="38">
        <f>SUM(U41:X41)</f>
        <v>0</v>
      </c>
      <c r="Z41" s="43">
        <f>Drivers!Z67</f>
        <v>0</v>
      </c>
      <c r="AA41" s="43">
        <f>Drivers!AA67</f>
        <v>0</v>
      </c>
      <c r="AB41" s="43">
        <f>Drivers!AB67</f>
        <v>0</v>
      </c>
      <c r="AC41" s="43">
        <f>Drivers!AC67</f>
        <v>0</v>
      </c>
      <c r="AD41" s="38">
        <f>SUM(Z41:AC41)</f>
        <v>0</v>
      </c>
      <c r="AE41" s="44">
        <f>Drivers!AE67</f>
        <v>0</v>
      </c>
      <c r="AF41" s="44">
        <f>Drivers!AF67</f>
        <v>0</v>
      </c>
      <c r="AG41" s="44">
        <f>Drivers!AG67</f>
        <v>0</v>
      </c>
    </row>
    <row r="42" spans="1:37" s="23" customFormat="1" ht="12.75">
      <c r="A42" s="22"/>
      <c r="C42" s="28" t="s">
        <v>41</v>
      </c>
      <c r="F42" s="31">
        <v>1468</v>
      </c>
      <c r="G42" s="31">
        <v>1542</v>
      </c>
      <c r="H42" s="31">
        <v>1664</v>
      </c>
      <c r="I42" s="31">
        <v>1981</v>
      </c>
      <c r="J42" s="32">
        <f>SUM(F42:I42)</f>
        <v>6655</v>
      </c>
      <c r="K42" s="31">
        <v>2325</v>
      </c>
      <c r="L42" s="31">
        <v>1857</v>
      </c>
      <c r="M42" s="31">
        <v>1072</v>
      </c>
      <c r="N42" s="31">
        <v>977</v>
      </c>
      <c r="O42" s="32">
        <f>SUM(K42:N42)</f>
        <v>6231</v>
      </c>
      <c r="P42" s="31">
        <v>879</v>
      </c>
      <c r="Q42" s="31">
        <v>815</v>
      </c>
      <c r="R42" s="31">
        <v>1082</v>
      </c>
      <c r="S42" s="31">
        <v>1096</v>
      </c>
      <c r="T42" s="32">
        <f>SUM(P42:S42)</f>
        <v>3872</v>
      </c>
      <c r="U42" s="31">
        <v>1051</v>
      </c>
      <c r="V42" s="34">
        <f>V72*V28</f>
        <v>1541.8641675000001</v>
      </c>
      <c r="W42" s="34">
        <f>W72*W28</f>
        <v>1718.7309434174999</v>
      </c>
      <c r="X42" s="34">
        <f>X72*X28</f>
        <v>2113.7275750644035</v>
      </c>
      <c r="Y42" s="32">
        <f>SUM(U42:X42)</f>
        <v>6425.3226859819042</v>
      </c>
      <c r="Z42" s="34">
        <f>Z72*Z28</f>
        <v>1569.9168630476727</v>
      </c>
      <c r="AA42" s="34">
        <f>AA72*AA28</f>
        <v>1730.8698606431101</v>
      </c>
      <c r="AB42" s="34">
        <f>AB72*AB28</f>
        <v>1922.4069836960782</v>
      </c>
      <c r="AC42" s="34">
        <f>AC72*AC28</f>
        <v>2440.1596789104424</v>
      </c>
      <c r="AD42" s="32">
        <f>SUM(Z42:AC42)</f>
        <v>7663.3533862973036</v>
      </c>
      <c r="AE42" s="35">
        <f>AE72*AE28</f>
        <v>15788.115527547763</v>
      </c>
      <c r="AF42" s="35">
        <f>AF72*AF28</f>
        <v>15454.288933505395</v>
      </c>
      <c r="AG42" s="35">
        <f>AG72*AG28</f>
        <v>14660.706863489269</v>
      </c>
    </row>
    <row r="43" spans="1:37" s="23" customFormat="1" ht="12.75">
      <c r="A43" s="22"/>
      <c r="C43" s="49" t="s">
        <v>50</v>
      </c>
      <c r="F43" s="69">
        <f>F37+SUM(F39:F42)</f>
        <v>108372</v>
      </c>
      <c r="G43" s="69">
        <f>G37+SUM(G39:G42)</f>
        <v>59258</v>
      </c>
      <c r="H43" s="69">
        <f>H37+SUM(H39:H42)</f>
        <v>78490</v>
      </c>
      <c r="I43" s="69">
        <f>I37+SUM(I39:I42)</f>
        <v>119670</v>
      </c>
      <c r="J43" s="71">
        <f>SUM(F43:I43)</f>
        <v>365790</v>
      </c>
      <c r="K43" s="69">
        <f>K37+SUM(K39:K42)</f>
        <v>86445</v>
      </c>
      <c r="L43" s="69">
        <f>L37+SUM(L39:L42)</f>
        <v>110100</v>
      </c>
      <c r="M43" s="69">
        <f ca="1">IF($C$8="On",M37+SUM(M39:M42),IF($C$8="off",M37+SUM(M41:M42),"N/A"))</f>
        <v>123065</v>
      </c>
      <c r="N43" s="69">
        <f>IF($C$8="On",N37+SUM(N39:N42),IF($C$8="off",N37+SUM(N41:N42),"N/A"))</f>
        <v>213535</v>
      </c>
      <c r="O43" s="71">
        <f ca="1">SUM(K43:N43)</f>
        <v>533145</v>
      </c>
      <c r="P43" s="69">
        <f>IF($C$8="On",P37+SUM(P39:P42),IF($C$8="off",P37+SUM(P41:P42),"N/A"))</f>
        <v>112063</v>
      </c>
      <c r="Q43" s="69">
        <f>IF($C$8="On",Q37+SUM(Q39:Q42),IF($C$8="off",Q37+SUM(Q41:Q42),"N/A"))</f>
        <v>151204</v>
      </c>
      <c r="R43" s="69">
        <f>IF($C$8="On",R37+SUM(R39:R42),IF($C$8="off",R37+SUM(R41:R42),"N/A"))</f>
        <v>217288</v>
      </c>
      <c r="S43" s="69">
        <f>IF($C$8="On",S37+SUM(S39:S42),IF($C$8="off",S37+SUM(S41:S42),"N/A"))</f>
        <v>313259</v>
      </c>
      <c r="T43" s="71">
        <f>SUM(P43:S43)</f>
        <v>793814</v>
      </c>
      <c r="U43" s="69">
        <f>IF($C$8="On",U37+SUM(U39:U42),IF($C$8="off",U37+SUM(U41:U42),"N/A"))</f>
        <v>331777</v>
      </c>
      <c r="V43" s="70">
        <f ca="1">IF($C$8="On",V37+SUM(V39:V42),IF($C$8="off",V37+SUM(V41:V42),"N/A"))</f>
        <v>307736.68134250003</v>
      </c>
      <c r="W43" s="70">
        <f ca="1">IF($C$8="On",W37+SUM(W39:W42),IF($C$8="off",W37+SUM(W41:W42),"N/A"))</f>
        <v>362592.50296954816</v>
      </c>
      <c r="X43" s="70">
        <f ca="1">IF($C$8="On",X37+SUM(X39:X42),IF($C$8="off",X37+SUM(X41:X42),"N/A"))</f>
        <v>502566.9094475563</v>
      </c>
      <c r="Y43" s="71">
        <f ca="1">SUM(U43:X43)</f>
        <v>1504673.0937596045</v>
      </c>
      <c r="Z43" s="70">
        <f ca="1">IF($C$8="On",Z37+SUM(Z39:Z42),IF($C$8="off",Z37+SUM(Z41:Z42),"N/A"))</f>
        <v>316988.78079540416</v>
      </c>
      <c r="AA43" s="70">
        <f ca="1">IF($C$8="On",AA37+SUM(AA39:AA42),IF($C$8="off",AA37+SUM(AA41:AA42),"N/A"))</f>
        <v>367988.02921231074</v>
      </c>
      <c r="AB43" s="70">
        <f ca="1">IF($C$8="On",AB37+SUM(AB39:AB42),IF($C$8="off",AB37+SUM(AB41:AB42),"N/A"))</f>
        <v>434078.26595035353</v>
      </c>
      <c r="AC43" s="70">
        <f ca="1">IF($C$8="On",AC37+SUM(AC39:AC42),IF($C$8="off",AC37+SUM(AC41:AC42),"N/A"))</f>
        <v>603832.96661661763</v>
      </c>
      <c r="AD43" s="71">
        <f ca="1">SUM(Z43:AC43)</f>
        <v>1722888.042574686</v>
      </c>
      <c r="AE43" s="71">
        <f ca="1">IF($C$8="On",AE37+SUM(AE39:AE42),IF($C$8="off",AE37+SUM(AE41:AE42),"N/A"))</f>
        <v>1786926.2040363874</v>
      </c>
      <c r="AF43" s="71">
        <f ca="1">IF($C$8="On",AF37+SUM(AF39:AF42),IF($C$8="off",AF37+SUM(AF41:AF42),"N/A"))</f>
        <v>1620353.0199889867</v>
      </c>
      <c r="AG43" s="71">
        <f ca="1">IF($C$8="On",AG37+SUM(AG39:AG42),IF($C$8="off",AG37+SUM(AG41:AG42),"N/A"))</f>
        <v>2005911.85626975</v>
      </c>
    </row>
    <row r="44" spans="1:37" s="23" customFormat="1" ht="12.75">
      <c r="A44" s="22"/>
      <c r="C44" s="28"/>
      <c r="D44" s="28"/>
      <c r="E44" s="28"/>
      <c r="F44" s="36"/>
      <c r="G44" s="36"/>
      <c r="H44" s="36"/>
      <c r="I44" s="36"/>
      <c r="K44" s="36"/>
      <c r="L44" s="36"/>
      <c r="M44" s="36"/>
      <c r="N44" s="36"/>
      <c r="P44" s="36"/>
      <c r="Q44" s="36"/>
      <c r="R44" s="36"/>
      <c r="S44" s="36"/>
      <c r="U44" s="36"/>
      <c r="V44" s="42"/>
      <c r="W44" s="42"/>
      <c r="X44" s="42"/>
      <c r="Z44" s="42"/>
      <c r="AA44" s="42"/>
      <c r="AB44" s="42"/>
      <c r="AC44" s="42"/>
    </row>
    <row r="45" spans="1:37" s="23" customFormat="1" ht="12.75">
      <c r="A45" s="22"/>
      <c r="C45" s="28" t="s">
        <v>43</v>
      </c>
      <c r="F45" s="31">
        <v>-16131</v>
      </c>
      <c r="G45" s="31">
        <v>-17097</v>
      </c>
      <c r="H45" s="31">
        <v>-19717</v>
      </c>
      <c r="I45" s="31">
        <v>-27622</v>
      </c>
      <c r="J45" s="32">
        <f>SUM(F45:I45)</f>
        <v>-80567</v>
      </c>
      <c r="K45" s="31">
        <v>6679</v>
      </c>
      <c r="L45" s="31">
        <v>-28367</v>
      </c>
      <c r="M45" s="31">
        <v>-34971</v>
      </c>
      <c r="N45" s="31">
        <v>-58749</v>
      </c>
      <c r="O45" s="32">
        <f>SUM(K45:N45)</f>
        <v>-115408</v>
      </c>
      <c r="P45" s="31">
        <v>41727</v>
      </c>
      <c r="Q45" s="31">
        <v>-44265</v>
      </c>
      <c r="R45" s="31">
        <v>-59794</v>
      </c>
      <c r="S45" s="31">
        <v>-90775</v>
      </c>
      <c r="T45" s="32">
        <f>SUM(P45:S45)</f>
        <v>-153107</v>
      </c>
      <c r="U45" s="31">
        <f>+-9056</f>
        <v>-9056</v>
      </c>
      <c r="V45" s="34">
        <f ca="1">-V73*V43</f>
        <v>-76934.170335625007</v>
      </c>
      <c r="W45" s="34">
        <f ca="1">-W73*W43</f>
        <v>-85209.238197843821</v>
      </c>
      <c r="X45" s="34">
        <f ca="1">-X73*X43</f>
        <v>-125641.72736188908</v>
      </c>
      <c r="Y45" s="32">
        <f ca="1">SUM(U45:X45)</f>
        <v>-296841.13589535793</v>
      </c>
      <c r="Z45" s="34">
        <f ca="1">-Z73*Z43</f>
        <v>-28528.990271586375</v>
      </c>
      <c r="AA45" s="34">
        <f ca="1">-AA73*AA43</f>
        <v>-92732.983361502309</v>
      </c>
      <c r="AB45" s="34">
        <f ca="1">-AB73*AB43</f>
        <v>-109387.72301948909</v>
      </c>
      <c r="AC45" s="34">
        <f ca="1">-AC73*AC43</f>
        <v>-152165.90758738766</v>
      </c>
      <c r="AD45" s="32">
        <f ca="1">SUM(Z45:AC45)</f>
        <v>-382815.60423996544</v>
      </c>
      <c r="AE45" s="32">
        <f ca="1">-AE73*AE43</f>
        <v>-428862.28896873293</v>
      </c>
      <c r="AF45" s="32">
        <f ca="1">-AF73*AF43</f>
        <v>-388884.72479735676</v>
      </c>
      <c r="AG45" s="32">
        <f ca="1">-AG73*AG43</f>
        <v>-481418.84550474002</v>
      </c>
    </row>
    <row r="46" spans="1:37" s="23" customFormat="1" ht="12.75">
      <c r="A46" s="22"/>
      <c r="C46" s="49" t="s">
        <v>48</v>
      </c>
      <c r="F46" s="69">
        <f>F43+F45</f>
        <v>92241</v>
      </c>
      <c r="G46" s="69">
        <f>G43+G45</f>
        <v>42161</v>
      </c>
      <c r="H46" s="69">
        <f>H43+H45</f>
        <v>58773</v>
      </c>
      <c r="I46" s="69">
        <f>I43+I45</f>
        <v>92048</v>
      </c>
      <c r="J46" s="71">
        <f>SUM(F46:I46)</f>
        <v>285223</v>
      </c>
      <c r="K46" s="69">
        <f>K43+K45</f>
        <v>93124</v>
      </c>
      <c r="L46" s="69">
        <f>L43+L45</f>
        <v>81733</v>
      </c>
      <c r="M46" s="69">
        <f ca="1">M43+M45</f>
        <v>88094</v>
      </c>
      <c r="N46" s="69">
        <f>N43+N45</f>
        <v>154786</v>
      </c>
      <c r="O46" s="71">
        <f ca="1">SUM(K46:N46)</f>
        <v>417737</v>
      </c>
      <c r="P46" s="69">
        <f>P43+P45</f>
        <v>153790</v>
      </c>
      <c r="Q46" s="69">
        <f>Q43+Q45</f>
        <v>106939</v>
      </c>
      <c r="R46" s="69">
        <f>R43+R45</f>
        <v>157494</v>
      </c>
      <c r="S46" s="69">
        <f>S43+S45</f>
        <v>222484</v>
      </c>
      <c r="T46" s="71">
        <f>SUM(P46:S46)</f>
        <v>640707</v>
      </c>
      <c r="U46" s="69">
        <f>U43+U45</f>
        <v>322721</v>
      </c>
      <c r="V46" s="70">
        <f ca="1">V43+V45</f>
        <v>230802.51100687502</v>
      </c>
      <c r="W46" s="70">
        <f ca="1">W43+W45</f>
        <v>277383.26477170433</v>
      </c>
      <c r="X46" s="70">
        <f ca="1">X43+X45</f>
        <v>376925.18208566721</v>
      </c>
      <c r="Y46" s="71">
        <f ca="1">SUM(U46:X46)</f>
        <v>1207831.9578642466</v>
      </c>
      <c r="Z46" s="70">
        <f ca="1">Z43+Z45</f>
        <v>288459.79052381776</v>
      </c>
      <c r="AA46" s="70">
        <f ca="1">AA43+AA45</f>
        <v>275255.04585080844</v>
      </c>
      <c r="AB46" s="70">
        <f ca="1">AB43+AB45</f>
        <v>324690.54293086444</v>
      </c>
      <c r="AC46" s="70">
        <f ca="1">AC43+AC45</f>
        <v>451667.05902922997</v>
      </c>
      <c r="AD46" s="71">
        <f ca="1">SUM(Z46:AC46)</f>
        <v>1340072.4383347207</v>
      </c>
      <c r="AE46" s="71">
        <f ca="1">AE43+AE45</f>
        <v>1358063.9150676546</v>
      </c>
      <c r="AF46" s="71">
        <f ca="1">AF43+AF45</f>
        <v>1231468.2951916298</v>
      </c>
      <c r="AG46" s="71">
        <f ca="1">AG43+AG45</f>
        <v>1524493.01076501</v>
      </c>
    </row>
    <row r="47" spans="1:37" s="23" customFormat="1" ht="12.75">
      <c r="A47" s="22"/>
      <c r="C47" s="28"/>
      <c r="F47" s="45"/>
      <c r="G47" s="45"/>
      <c r="H47" s="45"/>
      <c r="I47" s="45"/>
      <c r="K47" s="45"/>
      <c r="L47" s="45"/>
      <c r="M47" s="45"/>
      <c r="N47" s="45"/>
      <c r="P47" s="45"/>
      <c r="Q47" s="45"/>
      <c r="R47" s="45"/>
      <c r="S47" s="45"/>
      <c r="U47" s="45"/>
      <c r="V47" s="46"/>
      <c r="W47" s="46"/>
      <c r="X47" s="46"/>
      <c r="Z47" s="46"/>
      <c r="AA47" s="46"/>
      <c r="AB47" s="46"/>
      <c r="AC47" s="46"/>
    </row>
    <row r="48" spans="1:37" s="23" customFormat="1" ht="12.75">
      <c r="A48" s="22"/>
      <c r="C48" s="28" t="s">
        <v>44</v>
      </c>
      <c r="F48" s="37">
        <v>0</v>
      </c>
      <c r="G48" s="37">
        <v>0</v>
      </c>
      <c r="H48" s="37">
        <v>0</v>
      </c>
      <c r="I48" s="37">
        <v>0</v>
      </c>
      <c r="J48" s="38">
        <f>SUM(F48:I48)</f>
        <v>0</v>
      </c>
      <c r="K48" s="37">
        <v>0</v>
      </c>
      <c r="L48" s="37">
        <v>0</v>
      </c>
      <c r="M48" s="37">
        <v>0</v>
      </c>
      <c r="N48" s="37">
        <v>0</v>
      </c>
      <c r="O48" s="38">
        <f>SUM(K48:N48)</f>
        <v>0</v>
      </c>
      <c r="P48" s="37">
        <v>0</v>
      </c>
      <c r="Q48" s="37">
        <v>0</v>
      </c>
      <c r="R48" s="37">
        <v>0</v>
      </c>
      <c r="S48" s="37">
        <v>0</v>
      </c>
      <c r="T48" s="38">
        <f>SUM(P48:S48)</f>
        <v>0</v>
      </c>
      <c r="U48" s="37">
        <v>0</v>
      </c>
      <c r="V48" s="39">
        <v>0</v>
      </c>
      <c r="W48" s="39">
        <v>0</v>
      </c>
      <c r="X48" s="39">
        <v>0</v>
      </c>
      <c r="Y48" s="38">
        <f>SUM(U48:X48)</f>
        <v>0</v>
      </c>
      <c r="Z48" s="39">
        <v>0</v>
      </c>
      <c r="AA48" s="39">
        <v>0</v>
      </c>
      <c r="AB48" s="39">
        <v>0</v>
      </c>
      <c r="AC48" s="39">
        <v>0</v>
      </c>
      <c r="AD48" s="38">
        <f>SUM(Z48:AC48)</f>
        <v>0</v>
      </c>
      <c r="AE48" s="47">
        <v>0</v>
      </c>
      <c r="AF48" s="47">
        <v>0</v>
      </c>
      <c r="AG48" s="47">
        <v>0</v>
      </c>
    </row>
    <row r="49" spans="1:34" s="23" customFormat="1" ht="12.75">
      <c r="A49" s="22"/>
      <c r="C49" s="28" t="s">
        <v>45</v>
      </c>
      <c r="F49" s="37">
        <v>0</v>
      </c>
      <c r="G49" s="37">
        <v>0</v>
      </c>
      <c r="H49" s="37">
        <v>0</v>
      </c>
      <c r="I49" s="37">
        <v>0</v>
      </c>
      <c r="J49" s="38">
        <f>SUM(F49:I49)</f>
        <v>0</v>
      </c>
      <c r="K49" s="37">
        <v>0</v>
      </c>
      <c r="L49" s="37">
        <v>0</v>
      </c>
      <c r="M49" s="37">
        <v>0</v>
      </c>
      <c r="N49" s="37">
        <v>0</v>
      </c>
      <c r="O49" s="38">
        <f>SUM(K49:N49)</f>
        <v>0</v>
      </c>
      <c r="P49" s="37">
        <v>0</v>
      </c>
      <c r="Q49" s="37">
        <v>0</v>
      </c>
      <c r="R49" s="37">
        <v>0</v>
      </c>
      <c r="S49" s="37">
        <v>0</v>
      </c>
      <c r="T49" s="38">
        <f>SUM(P49:S49)</f>
        <v>0</v>
      </c>
      <c r="U49" s="37">
        <v>0</v>
      </c>
      <c r="V49" s="39">
        <v>0</v>
      </c>
      <c r="W49" s="39">
        <v>0</v>
      </c>
      <c r="X49" s="39">
        <v>0</v>
      </c>
      <c r="Y49" s="38">
        <f>SUM(U49:X49)</f>
        <v>0</v>
      </c>
      <c r="Z49" s="39">
        <v>0</v>
      </c>
      <c r="AA49" s="39">
        <v>0</v>
      </c>
      <c r="AB49" s="39">
        <v>0</v>
      </c>
      <c r="AC49" s="39">
        <v>0</v>
      </c>
      <c r="AD49" s="38">
        <f>SUM(Z49:AC49)</f>
        <v>0</v>
      </c>
      <c r="AE49" s="47">
        <v>0</v>
      </c>
      <c r="AF49" s="47">
        <v>0</v>
      </c>
      <c r="AG49" s="47">
        <v>0</v>
      </c>
    </row>
    <row r="50" spans="1:34" s="23" customFormat="1" ht="12.75">
      <c r="A50" s="22"/>
      <c r="C50" s="28" t="s">
        <v>46</v>
      </c>
      <c r="F50" s="37">
        <v>0</v>
      </c>
      <c r="G50" s="37">
        <v>0</v>
      </c>
      <c r="H50" s="37">
        <v>0</v>
      </c>
      <c r="I50" s="37">
        <v>0</v>
      </c>
      <c r="J50" s="38">
        <f>SUM(F50:I50)</f>
        <v>0</v>
      </c>
      <c r="K50" s="37">
        <v>0</v>
      </c>
      <c r="L50" s="37">
        <v>0</v>
      </c>
      <c r="M50" s="37">
        <v>0</v>
      </c>
      <c r="N50" s="37">
        <v>0</v>
      </c>
      <c r="O50" s="38">
        <f>SUM(K50:N50)</f>
        <v>0</v>
      </c>
      <c r="P50" s="37">
        <v>0</v>
      </c>
      <c r="Q50" s="37">
        <v>0</v>
      </c>
      <c r="R50" s="37">
        <v>0</v>
      </c>
      <c r="S50" s="37">
        <v>0</v>
      </c>
      <c r="T50" s="38">
        <f>SUM(P50:S50)</f>
        <v>0</v>
      </c>
      <c r="U50" s="37">
        <v>0</v>
      </c>
      <c r="V50" s="39">
        <v>0</v>
      </c>
      <c r="W50" s="39">
        <v>0</v>
      </c>
      <c r="X50" s="39">
        <v>0</v>
      </c>
      <c r="Y50" s="38">
        <f>SUM(U50:X50)</f>
        <v>0</v>
      </c>
      <c r="Z50" s="39">
        <v>0</v>
      </c>
      <c r="AA50" s="39">
        <v>0</v>
      </c>
      <c r="AB50" s="39">
        <v>0</v>
      </c>
      <c r="AC50" s="39">
        <v>0</v>
      </c>
      <c r="AD50" s="38">
        <f>SUM(Z50:AC50)</f>
        <v>0</v>
      </c>
      <c r="AE50" s="47">
        <v>0</v>
      </c>
      <c r="AF50" s="47">
        <v>0</v>
      </c>
      <c r="AG50" s="47">
        <v>0</v>
      </c>
    </row>
    <row r="51" spans="1:34" s="23" customFormat="1" ht="12.75">
      <c r="A51" s="22"/>
      <c r="C51" s="28" t="s">
        <v>205</v>
      </c>
      <c r="F51" s="31">
        <v>-8863</v>
      </c>
      <c r="G51" s="31">
        <v>-4956</v>
      </c>
      <c r="H51" s="31">
        <v>-6625</v>
      </c>
      <c r="I51" s="31">
        <v>-9300</v>
      </c>
      <c r="J51" s="32">
        <f>SUM(F51:I51)</f>
        <v>-29744</v>
      </c>
      <c r="K51" s="31">
        <v>-7431</v>
      </c>
      <c r="L51" s="31">
        <v>-7975</v>
      </c>
      <c r="M51" s="31">
        <v>-9701</v>
      </c>
      <c r="N51" s="31">
        <v>-14351</v>
      </c>
      <c r="O51" s="32">
        <f>SUM(K51:N51)</f>
        <v>-39458</v>
      </c>
      <c r="P51" s="31">
        <v>-7606</v>
      </c>
      <c r="Q51" s="31">
        <v>-9738</v>
      </c>
      <c r="R51" s="31">
        <v>-12911</v>
      </c>
      <c r="S51" s="31">
        <v>-18530</v>
      </c>
      <c r="T51" s="32">
        <f>SUM(P51:S51)</f>
        <v>-48785</v>
      </c>
      <c r="U51" s="31">
        <v>-21486</v>
      </c>
      <c r="V51" s="33">
        <v>-9500</v>
      </c>
      <c r="W51" s="33">
        <v>-9500</v>
      </c>
      <c r="X51" s="33">
        <v>-9500</v>
      </c>
      <c r="Y51" s="32">
        <f>SUM(U51:X51)</f>
        <v>-49986</v>
      </c>
      <c r="Z51" s="33">
        <v>-9500</v>
      </c>
      <c r="AA51" s="33">
        <v>-9500</v>
      </c>
      <c r="AB51" s="33">
        <v>-9500</v>
      </c>
      <c r="AC51" s="33">
        <v>-9500</v>
      </c>
      <c r="AD51" s="32">
        <f>SUM(Z51:AC51)</f>
        <v>-38000</v>
      </c>
      <c r="AE51" s="48">
        <v>-38000</v>
      </c>
      <c r="AF51" s="48">
        <v>-38000</v>
      </c>
      <c r="AG51" s="48">
        <v>-38000</v>
      </c>
    </row>
    <row r="52" spans="1:34" s="23" customFormat="1" ht="12.75">
      <c r="A52" s="22"/>
      <c r="C52" s="49" t="s">
        <v>49</v>
      </c>
      <c r="F52" s="69">
        <f>SUM(F46:F51)</f>
        <v>83378</v>
      </c>
      <c r="G52" s="69">
        <f>SUM(G46:G51)</f>
        <v>37205</v>
      </c>
      <c r="H52" s="69">
        <f>SUM(H46:H51)</f>
        <v>52148</v>
      </c>
      <c r="I52" s="69">
        <f>SUM(I46:I51)</f>
        <v>82748</v>
      </c>
      <c r="J52" s="71">
        <f>SUM(F52:I52)</f>
        <v>255479</v>
      </c>
      <c r="K52" s="69">
        <f>SUM(K46:K51)</f>
        <v>85693</v>
      </c>
      <c r="L52" s="69">
        <f>SUM(L46:L51)</f>
        <v>73758</v>
      </c>
      <c r="M52" s="69">
        <f ca="1">SUM(M46:M51)</f>
        <v>78393</v>
      </c>
      <c r="N52" s="69">
        <f>SUM(N46:N51)</f>
        <v>140435</v>
      </c>
      <c r="O52" s="71">
        <f ca="1">SUM(K52:N52)</f>
        <v>378279</v>
      </c>
      <c r="P52" s="69">
        <f>SUM(P46:P51)</f>
        <v>146184</v>
      </c>
      <c r="Q52" s="69">
        <f>SUM(Q46:Q51)</f>
        <v>97201</v>
      </c>
      <c r="R52" s="69">
        <f>SUM(R46:R51)</f>
        <v>144583</v>
      </c>
      <c r="S52" s="69">
        <f>SUM(S46:S51)</f>
        <v>203954</v>
      </c>
      <c r="T52" s="71">
        <f>SUM(P52:S52)</f>
        <v>591922</v>
      </c>
      <c r="U52" s="69">
        <f>SUM(U46:U51)</f>
        <v>301235</v>
      </c>
      <c r="V52" s="70">
        <f ca="1">SUM(V46:V51)</f>
        <v>221302.51100687502</v>
      </c>
      <c r="W52" s="70">
        <f ca="1">SUM(W46:W51)</f>
        <v>267883.26477170433</v>
      </c>
      <c r="X52" s="70">
        <f ca="1">SUM(X46:X51)</f>
        <v>367425.18208566721</v>
      </c>
      <c r="Y52" s="71">
        <f ca="1">SUM(U52:X52)</f>
        <v>1157845.9578642466</v>
      </c>
      <c r="Z52" s="70">
        <f ca="1">SUM(Z46:Z51)</f>
        <v>278959.79052381776</v>
      </c>
      <c r="AA52" s="70">
        <f ca="1">SUM(AA46:AA51)</f>
        <v>265755.04585080844</v>
      </c>
      <c r="AB52" s="70">
        <f ca="1">SUM(AB46:AB51)</f>
        <v>315190.54293086444</v>
      </c>
      <c r="AC52" s="70">
        <f ca="1">SUM(AC46:AC51)</f>
        <v>442167.05902922997</v>
      </c>
      <c r="AD52" s="71">
        <f ca="1">SUM(Z52:AC52)</f>
        <v>1302072.4383347207</v>
      </c>
      <c r="AE52" s="71">
        <f ca="1">SUM(AE46:AE51)</f>
        <v>1320063.9150676546</v>
      </c>
      <c r="AF52" s="71">
        <f ca="1">SUM(AF46:AF51)</f>
        <v>1193468.2951916298</v>
      </c>
      <c r="AG52" s="71">
        <f ca="1">SUM(AG46:AG51)</f>
        <v>1486493.01076501</v>
      </c>
    </row>
    <row r="53" spans="1:34" s="23" customFormat="1" ht="12.75">
      <c r="A53" s="22"/>
      <c r="C53" s="49"/>
      <c r="F53" s="50"/>
      <c r="G53" s="29"/>
      <c r="H53" s="29"/>
      <c r="I53" s="29"/>
      <c r="K53" s="29"/>
      <c r="L53" s="29"/>
      <c r="M53" s="29"/>
      <c r="N53" s="29"/>
      <c r="P53" s="29"/>
      <c r="Q53" s="29"/>
      <c r="R53" s="29"/>
      <c r="S53" s="29"/>
      <c r="U53" s="29"/>
      <c r="V53" s="30"/>
      <c r="W53" s="30"/>
      <c r="X53" s="30"/>
      <c r="Z53" s="30"/>
      <c r="AA53" s="30"/>
      <c r="AB53" s="30"/>
      <c r="AC53" s="30"/>
    </row>
    <row r="54" spans="1:34" s="23" customFormat="1" ht="12.75">
      <c r="A54" s="22"/>
      <c r="C54" s="49" t="s">
        <v>182</v>
      </c>
      <c r="F54" s="50">
        <f>(F46)/F284</f>
        <v>2.3952479875357051</v>
      </c>
      <c r="G54" s="50">
        <f>(G46)/G284</f>
        <v>1.1033733741592735</v>
      </c>
      <c r="H54" s="50">
        <f>(H46)/H284</f>
        <v>1.5538957777013986</v>
      </c>
      <c r="I54" s="50">
        <f>(I46)/I284</f>
        <v>2.4158945959423637</v>
      </c>
      <c r="J54" s="51">
        <f>J46/J284</f>
        <v>7.4859714968111071</v>
      </c>
      <c r="K54" s="50">
        <f>(K46)/K284</f>
        <v>2.4227066964982571</v>
      </c>
      <c r="L54" s="50">
        <f>(L46)/L284</f>
        <v>2.1228247883226845</v>
      </c>
      <c r="M54" s="50">
        <f ca="1">(M46)/M284</f>
        <v>2.3004648247767276</v>
      </c>
      <c r="N54" s="50">
        <f>(N46)/N284</f>
        <v>4.0345627525087968</v>
      </c>
      <c r="O54" s="51">
        <f t="shared" ref="O54" ca="1" si="12">O46/O284</f>
        <v>10.888492115209175</v>
      </c>
      <c r="P54" s="50">
        <f>(P46)/P284</f>
        <v>3.9720543416498786</v>
      </c>
      <c r="Q54" s="50">
        <f>(Q46)/Q284</f>
        <v>2.7622110293168021</v>
      </c>
      <c r="R54" s="1064">
        <f>(R46)/R284</f>
        <v>4.067405283954443</v>
      </c>
      <c r="S54" s="50">
        <f>(S46)/S284</f>
        <v>5.7471585038231039</v>
      </c>
      <c r="T54" s="51">
        <f t="shared" ref="T54:X54" si="13">T46/T284</f>
        <v>16.548680795009879</v>
      </c>
      <c r="U54" s="50">
        <f>(U46)/U284</f>
        <v>8.281480150889168</v>
      </c>
      <c r="V54" s="52">
        <f t="shared" ca="1" si="13"/>
        <v>5.9556135883668881</v>
      </c>
      <c r="W54" s="52">
        <f t="shared" ca="1" si="13"/>
        <v>7.2379747169675577</v>
      </c>
      <c r="X54" s="52">
        <f t="shared" ca="1" si="13"/>
        <v>9.9471250267214568</v>
      </c>
      <c r="Y54" s="51">
        <f t="shared" ref="Y54:AG54" ca="1" si="14">Y46/Y284</f>
        <v>31.384694719613201</v>
      </c>
      <c r="Z54" s="52">
        <f t="shared" ca="1" si="14"/>
        <v>7.6999759699278405</v>
      </c>
      <c r="AA54" s="52">
        <f t="shared" ca="1" si="14"/>
        <v>7.4329015182724971</v>
      </c>
      <c r="AB54" s="52">
        <f t="shared" ca="1" si="14"/>
        <v>8.8709557837691975</v>
      </c>
      <c r="AC54" s="52">
        <f t="shared" ca="1" si="14"/>
        <v>12.486966562917759</v>
      </c>
      <c r="AD54" s="51">
        <f t="shared" ca="1" si="14"/>
        <v>36.398441337227119</v>
      </c>
      <c r="AE54" s="51">
        <f t="shared" ca="1" si="14"/>
        <v>38.479014682959537</v>
      </c>
      <c r="AF54" s="51">
        <f t="shared" ca="1" si="14"/>
        <v>36.252532995241786</v>
      </c>
      <c r="AG54" s="51">
        <f t="shared" ca="1" si="14"/>
        <v>46.699547730060253</v>
      </c>
    </row>
    <row r="55" spans="1:34" s="23" customFormat="1" ht="12.75">
      <c r="A55" s="22"/>
      <c r="C55" s="49" t="s">
        <v>183</v>
      </c>
      <c r="F55" s="50">
        <f>(F46)/F286</f>
        <v>2.2809911224313164</v>
      </c>
      <c r="G55" s="50">
        <f>(G46)/G286</f>
        <v>1.0731266544491957</v>
      </c>
      <c r="H55" s="50">
        <f>(H46)/H286</f>
        <v>1.469325</v>
      </c>
      <c r="I55" s="50">
        <f>(I46)/I286</f>
        <v>2.2955185914860721</v>
      </c>
      <c r="J55" s="51">
        <f>J46/J286</f>
        <v>7.112970398264296</v>
      </c>
      <c r="K55" s="50">
        <f>(K46)/K286</f>
        <v>2.2668938656280426</v>
      </c>
      <c r="L55" s="50">
        <f>(L46)/L286</f>
        <v>2.000465036591037</v>
      </c>
      <c r="M55" s="50">
        <f ca="1">(M46)/M286</f>
        <v>2.0955801893524906</v>
      </c>
      <c r="N55" s="50">
        <f>(N46)/N286</f>
        <v>3.7167074869135091</v>
      </c>
      <c r="O55" s="51">
        <f t="shared" ref="O55" ca="1" si="15">O46/O286</f>
        <v>10.030663208951641</v>
      </c>
      <c r="P55" s="50">
        <f>(P46)/P286</f>
        <v>3.65661705264159</v>
      </c>
      <c r="Q55" s="50">
        <f>(Q46)/Q286</f>
        <v>2.5947880523135902</v>
      </c>
      <c r="R55" s="50">
        <f>(R46)/R286</f>
        <v>3.7128173695749545</v>
      </c>
      <c r="S55" s="50">
        <f>(S46)/S286</f>
        <v>5.2807671310911202</v>
      </c>
      <c r="T55" s="51">
        <f t="shared" ref="T55:X55" si="16">T46/T286</f>
        <v>15.207495668272768</v>
      </c>
      <c r="U55" s="50">
        <f>(U46)/U286</f>
        <v>7.711373954599761</v>
      </c>
      <c r="V55" s="52">
        <f t="shared" ca="1" si="16"/>
        <v>5.5435032164828355</v>
      </c>
      <c r="W55" s="52">
        <f t="shared" ca="1" si="16"/>
        <v>6.258178022865053</v>
      </c>
      <c r="X55" s="52">
        <f t="shared" ca="1" si="16"/>
        <v>8.3961022294192027</v>
      </c>
      <c r="Y55" s="51">
        <f t="shared" ref="Y55:AG55" ca="1" si="17">Y46/Y286</f>
        <v>26.90475743242569</v>
      </c>
      <c r="Z55" s="52">
        <f t="shared" ca="1" si="17"/>
        <v>6.0776451291748046</v>
      </c>
      <c r="AA55" s="52">
        <f t="shared" ca="1" si="17"/>
        <v>5.8525083843006946</v>
      </c>
      <c r="AB55" s="52">
        <f t="shared" ca="1" si="17"/>
        <v>6.8210108295471095</v>
      </c>
      <c r="AC55" s="52">
        <f t="shared" ca="1" si="17"/>
        <v>9.3763117754970864</v>
      </c>
      <c r="AD55" s="51">
        <f t="shared" ca="1" si="17"/>
        <v>27.819024505756097</v>
      </c>
      <c r="AE55" s="51">
        <f t="shared" ca="1" si="17"/>
        <v>28.715580899351625</v>
      </c>
      <c r="AF55" s="51">
        <f t="shared" ca="1" si="17"/>
        <v>26.789006941035005</v>
      </c>
      <c r="AG55" s="51">
        <f t="shared" ca="1" si="17"/>
        <v>34.147229175766789</v>
      </c>
    </row>
    <row r="56" spans="1:34" s="23" customFormat="1" ht="12.75">
      <c r="A56" s="22"/>
      <c r="C56" s="49"/>
      <c r="F56" s="50"/>
      <c r="G56" s="50"/>
      <c r="H56" s="50"/>
      <c r="I56" s="50"/>
      <c r="J56" s="51"/>
      <c r="K56" s="50"/>
      <c r="L56" s="50"/>
      <c r="M56" s="50"/>
      <c r="N56" s="50"/>
      <c r="O56" s="51"/>
      <c r="P56" s="50"/>
      <c r="Q56" s="50"/>
      <c r="R56" s="50"/>
      <c r="S56" s="50"/>
      <c r="T56" s="51"/>
      <c r="U56" s="50"/>
      <c r="V56" s="52"/>
      <c r="W56" s="52"/>
      <c r="X56" s="52"/>
      <c r="Y56" s="51"/>
      <c r="Z56" s="52"/>
      <c r="AA56" s="52"/>
      <c r="AB56" s="52"/>
      <c r="AC56" s="52"/>
      <c r="AD56" s="51"/>
      <c r="AE56" s="51"/>
      <c r="AF56" s="51"/>
      <c r="AG56" s="51"/>
    </row>
    <row r="57" spans="1:34" s="23" customFormat="1" ht="12.75">
      <c r="A57" s="22"/>
      <c r="C57" s="49" t="s">
        <v>184</v>
      </c>
      <c r="F57" s="50">
        <f t="shared" ref="F57:L57" si="18">F52/F284</f>
        <v>2.1650999740327186</v>
      </c>
      <c r="G57" s="50">
        <f t="shared" si="18"/>
        <v>0.97367250268247363</v>
      </c>
      <c r="H57" s="50">
        <f t="shared" si="18"/>
        <v>1.3787378050392618</v>
      </c>
      <c r="I57" s="50">
        <f t="shared" si="18"/>
        <v>2.1718065142647176</v>
      </c>
      <c r="J57" s="51">
        <f t="shared" si="18"/>
        <v>6.7053095719272457</v>
      </c>
      <c r="K57" s="50">
        <f t="shared" si="18"/>
        <v>2.2293823820177949</v>
      </c>
      <c r="L57" s="50">
        <f t="shared" si="18"/>
        <v>1.9156926912887642</v>
      </c>
      <c r="M57" s="50">
        <f ca="1">M52/M286</f>
        <v>1.8648127884295163</v>
      </c>
      <c r="N57" s="50">
        <f t="shared" ref="N57:Q57" si="19">N52/N284</f>
        <v>3.6604978496025025</v>
      </c>
      <c r="O57" s="51">
        <f t="shared" ca="1" si="19"/>
        <v>9.8600026065424213</v>
      </c>
      <c r="P57" s="50">
        <f t="shared" si="19"/>
        <v>3.7756082442274912</v>
      </c>
      <c r="Q57" s="50">
        <f t="shared" si="19"/>
        <v>2.5106806147488054</v>
      </c>
      <c r="R57" s="50">
        <f>R52/R286</f>
        <v>3.4084490440604447</v>
      </c>
      <c r="S57" s="50">
        <f t="shared" ref="S57:X57" si="20">S52/S284</f>
        <v>5.2684955569332503</v>
      </c>
      <c r="T57" s="51">
        <f t="shared" si="20"/>
        <v>15.288623713403846</v>
      </c>
      <c r="U57" s="50">
        <f t="shared" si="20"/>
        <v>7.7301188123893354</v>
      </c>
      <c r="V57" s="52">
        <f t="shared" ca="1" si="20"/>
        <v>5.7104761813141547</v>
      </c>
      <c r="W57" s="52">
        <f t="shared" ca="1" si="20"/>
        <v>6.9900839155243482</v>
      </c>
      <c r="X57" s="52">
        <f t="shared" ca="1" si="20"/>
        <v>9.6964182757663657</v>
      </c>
      <c r="Y57" s="51">
        <f t="shared" ref="Y57:AG57" ca="1" si="21">Y52/Y284</f>
        <v>30.085842391654754</v>
      </c>
      <c r="Z57" s="52">
        <f t="shared" ca="1" si="21"/>
        <v>7.446388558034208</v>
      </c>
      <c r="AA57" s="52">
        <f t="shared" ca="1" si="21"/>
        <v>7.1763664774512597</v>
      </c>
      <c r="AB57" s="52">
        <f t="shared" ca="1" si="21"/>
        <v>8.6114037833164101</v>
      </c>
      <c r="AC57" s="52">
        <f t="shared" ca="1" si="21"/>
        <v>12.224325796945845</v>
      </c>
      <c r="AD57" s="51">
        <f t="shared" ca="1" si="21"/>
        <v>35.366302527974817</v>
      </c>
      <c r="AE57" s="51">
        <f t="shared" ca="1" si="21"/>
        <v>37.402332987989666</v>
      </c>
      <c r="AF57" s="51">
        <f t="shared" ca="1" si="21"/>
        <v>35.133871427422193</v>
      </c>
      <c r="AG57" s="51">
        <f t="shared" ca="1" si="21"/>
        <v>45.535499878603204</v>
      </c>
    </row>
    <row r="58" spans="1:34" s="23" customFormat="1" ht="12.75">
      <c r="A58" s="22"/>
      <c r="C58" s="49" t="s">
        <v>185</v>
      </c>
      <c r="F58" s="50">
        <f t="shared" ref="F58:S58" si="22">F52/F286</f>
        <v>2.0618215089393903</v>
      </c>
      <c r="G58" s="50">
        <f t="shared" si="22"/>
        <v>0.946981266544492</v>
      </c>
      <c r="H58" s="50">
        <f t="shared" si="22"/>
        <v>1.3037000000000001</v>
      </c>
      <c r="I58" s="50">
        <f t="shared" si="22"/>
        <v>2.0635926082944711</v>
      </c>
      <c r="J58" s="51">
        <f t="shared" si="22"/>
        <v>6.371206264495374</v>
      </c>
      <c r="K58" s="50">
        <f t="shared" si="22"/>
        <v>2.0860029211295035</v>
      </c>
      <c r="L58" s="50">
        <f t="shared" si="22"/>
        <v>1.8052720464057566</v>
      </c>
      <c r="M58" s="50">
        <f t="shared" ca="1" si="22"/>
        <v>1.8648127884295163</v>
      </c>
      <c r="N58" s="50">
        <f t="shared" si="22"/>
        <v>3.3721125678336454</v>
      </c>
      <c r="O58" s="51">
        <f t="shared" ca="1" si="22"/>
        <v>9.0832012678288425</v>
      </c>
      <c r="P58" s="50">
        <f t="shared" si="22"/>
        <v>3.4757715535688809</v>
      </c>
      <c r="Q58" s="50">
        <f t="shared" si="22"/>
        <v>2.3585033848542936</v>
      </c>
      <c r="R58" s="50">
        <f t="shared" si="22"/>
        <v>3.4084490440604447</v>
      </c>
      <c r="S58" s="50">
        <f t="shared" si="22"/>
        <v>4.8409484702475609</v>
      </c>
      <c r="T58" s="51">
        <f>T52/T286</f>
        <v>14.049559706629323</v>
      </c>
      <c r="U58" s="50">
        <f t="shared" ref="U58" si="23">U52/U286</f>
        <v>7.1979689366786141</v>
      </c>
      <c r="V58" s="52">
        <f t="shared" ref="U58:X58" ca="1" si="24">V52/V286</f>
        <v>5.3153285734651163</v>
      </c>
      <c r="W58" s="52">
        <f t="shared" ca="1" si="24"/>
        <v>6.0438439271648328</v>
      </c>
      <c r="X58" s="52">
        <f t="shared" ca="1" si="24"/>
        <v>8.1844873653283408</v>
      </c>
      <c r="Y58" s="51">
        <f ca="1">Y52/Y286</f>
        <v>25.791306843326122</v>
      </c>
      <c r="Z58" s="52">
        <f t="shared" ref="Z58:AG58" ca="1" si="25">Z52/Z286</f>
        <v>5.8774868033911174</v>
      </c>
      <c r="AA58" s="52">
        <f t="shared" ca="1" si="25"/>
        <v>5.6505181556420272</v>
      </c>
      <c r="AB58" s="52">
        <f t="shared" ca="1" si="25"/>
        <v>6.6214374071253319</v>
      </c>
      <c r="AC58" s="52">
        <f t="shared" ca="1" si="25"/>
        <v>9.1790980091031606</v>
      </c>
      <c r="AD58" s="51">
        <f t="shared" ca="1" si="25"/>
        <v>27.030169440180391</v>
      </c>
      <c r="AE58" s="51">
        <f t="shared" ca="1" si="25"/>
        <v>27.912089942800439</v>
      </c>
      <c r="AF58" s="51">
        <f t="shared" ca="1" si="25"/>
        <v>25.962365875459771</v>
      </c>
      <c r="AG58" s="51">
        <f t="shared" ca="1" si="25"/>
        <v>33.296064428197376</v>
      </c>
    </row>
    <row r="59" spans="1:34" s="23" customFormat="1" ht="12.75">
      <c r="A59" s="22"/>
      <c r="C59" s="28"/>
      <c r="F59" s="29"/>
      <c r="G59" s="29"/>
      <c r="H59" s="29"/>
      <c r="I59" s="29"/>
      <c r="K59" s="29"/>
      <c r="L59" s="29"/>
      <c r="M59" s="29"/>
      <c r="N59" s="29"/>
      <c r="P59" s="29"/>
      <c r="Q59" s="29"/>
      <c r="R59" s="29"/>
      <c r="S59" s="29"/>
      <c r="T59" s="51"/>
      <c r="U59" s="29"/>
      <c r="V59" s="30"/>
      <c r="W59" s="30"/>
      <c r="X59" s="30"/>
      <c r="Y59" s="51"/>
      <c r="Z59" s="30"/>
      <c r="AA59" s="30"/>
      <c r="AB59" s="30"/>
      <c r="AC59" s="30"/>
    </row>
    <row r="60" spans="1:34" s="23" customFormat="1" ht="12.75">
      <c r="A60" s="22"/>
      <c r="C60" s="49" t="s">
        <v>255</v>
      </c>
      <c r="F60" s="69">
        <f>F37</f>
        <v>111075</v>
      </c>
      <c r="G60" s="69">
        <f t="shared" ref="G60:I60" si="26">G37</f>
        <v>61897</v>
      </c>
      <c r="H60" s="69">
        <f t="shared" si="26"/>
        <v>81010</v>
      </c>
      <c r="I60" s="69">
        <f t="shared" si="26"/>
        <v>121870</v>
      </c>
      <c r="J60" s="71">
        <f t="shared" ref="J60" si="27">J52-J45-J42-J41-J40-J39-J51</f>
        <v>375852</v>
      </c>
      <c r="K60" s="69">
        <f>K37</f>
        <v>88308</v>
      </c>
      <c r="L60" s="69">
        <f t="shared" ref="L60:N60" si="28">L37</f>
        <v>112432</v>
      </c>
      <c r="M60" s="69">
        <f t="shared" ca="1" si="28"/>
        <v>126191</v>
      </c>
      <c r="N60" s="69">
        <f t="shared" si="28"/>
        <v>216751</v>
      </c>
      <c r="O60" s="71">
        <f ca="1">SUM(K60:N60)</f>
        <v>543682</v>
      </c>
      <c r="P60" s="69">
        <f>P37</f>
        <v>115377</v>
      </c>
      <c r="Q60" s="69">
        <f t="shared" ref="Q60:S60" si="29">Q37</f>
        <v>154599</v>
      </c>
      <c r="R60" s="69">
        <f t="shared" si="29"/>
        <v>223316</v>
      </c>
      <c r="S60" s="69">
        <f t="shared" si="29"/>
        <v>320914</v>
      </c>
      <c r="T60" s="71">
        <f t="shared" ref="T60" si="30">T52-T45-T42-T41-T40-T39-T51</f>
        <v>814206</v>
      </c>
      <c r="U60" s="69">
        <f>U37</f>
        <v>339617</v>
      </c>
      <c r="V60" s="70">
        <f t="shared" ref="V60:X60" si="31">V37</f>
        <v>315373.10017500003</v>
      </c>
      <c r="W60" s="70">
        <f t="shared" si="31"/>
        <v>370051.20502613066</v>
      </c>
      <c r="X60" s="70">
        <f t="shared" si="31"/>
        <v>509628.06487249187</v>
      </c>
      <c r="Y60" s="71">
        <f t="shared" ref="Y60" ca="1" si="32">Y52-Y45-Y42-Y41-Y40-Y39-Y51</f>
        <v>1534669.3700736226</v>
      </c>
      <c r="Z60" s="70">
        <f t="shared" ref="Z60:AG60" ca="1" si="33">Z52-Z45-Z42-Z41-Z40-Z39</f>
        <v>311989.91518235649</v>
      </c>
      <c r="AA60" s="70">
        <f t="shared" ca="1" si="33"/>
        <v>362828.77310166764</v>
      </c>
      <c r="AB60" s="70">
        <f t="shared" ca="1" si="33"/>
        <v>428726.91021665744</v>
      </c>
      <c r="AC60" s="70">
        <f t="shared" ca="1" si="33"/>
        <v>597962.17068770726</v>
      </c>
      <c r="AD60" s="71">
        <f t="shared" ca="1" si="33"/>
        <v>1701507.7691883887</v>
      </c>
      <c r="AE60" s="71">
        <f t="shared" ca="1" si="33"/>
        <v>1760534.7394307472</v>
      </c>
      <c r="AF60" s="71">
        <f t="shared" ca="1" si="33"/>
        <v>1594271.3819773886</v>
      </c>
      <c r="AG60" s="71">
        <f t="shared" ca="1" si="33"/>
        <v>1974773.1094062608</v>
      </c>
    </row>
    <row r="61" spans="1:34" s="23" customFormat="1" ht="12.75">
      <c r="A61" s="22"/>
      <c r="C61" s="28" t="s">
        <v>181</v>
      </c>
      <c r="F61" s="53">
        <f>-F35</f>
        <v>6573</v>
      </c>
      <c r="G61" s="53">
        <f>-G35</f>
        <v>5952</v>
      </c>
      <c r="H61" s="53">
        <f>-H35</f>
        <v>5848</v>
      </c>
      <c r="I61" s="53">
        <f>-I35</f>
        <v>5975</v>
      </c>
      <c r="J61" s="32">
        <f>SUM(F61:I61)</f>
        <v>24348</v>
      </c>
      <c r="K61" s="53">
        <f>-K35</f>
        <v>6293</v>
      </c>
      <c r="L61" s="53">
        <f>-L35</f>
        <v>6439</v>
      </c>
      <c r="M61" s="53">
        <f>-M35</f>
        <v>5896</v>
      </c>
      <c r="N61" s="53">
        <f>-N35</f>
        <v>5840</v>
      </c>
      <c r="O61" s="32">
        <f>SUM(K61:N61)</f>
        <v>24468</v>
      </c>
      <c r="P61" s="53">
        <f>-P35</f>
        <v>5976</v>
      </c>
      <c r="Q61" s="53">
        <f>-Q35</f>
        <v>6450</v>
      </c>
      <c r="R61" s="53">
        <f>-R35</f>
        <v>7856</v>
      </c>
      <c r="S61" s="53">
        <f>-S35</f>
        <v>12275</v>
      </c>
      <c r="T61" s="32">
        <f>SUM(P61:S61)</f>
        <v>32557</v>
      </c>
      <c r="U61" s="53">
        <f>-U35</f>
        <v>12438</v>
      </c>
      <c r="V61" s="54">
        <f>-V35</f>
        <v>8418.375</v>
      </c>
      <c r="W61" s="54">
        <f>-W35</f>
        <v>8928.9679974281244</v>
      </c>
      <c r="X61" s="54">
        <f>-X35</f>
        <v>9292.0548058192126</v>
      </c>
      <c r="Y61" s="32">
        <f>SUM(U61:X61)</f>
        <v>39077.397803247339</v>
      </c>
      <c r="Z61" s="54">
        <f>-Z35</f>
        <v>9762.5429207024899</v>
      </c>
      <c r="AA61" s="54">
        <f>-AA35</f>
        <v>10193.466100459753</v>
      </c>
      <c r="AB61" s="54">
        <f>-AB35</f>
        <v>10655.120476376804</v>
      </c>
      <c r="AC61" s="54">
        <f>-AC35</f>
        <v>11118.307916090187</v>
      </c>
      <c r="AD61" s="32">
        <f>SUM(Z61:AC61)</f>
        <v>41729.437413629232</v>
      </c>
      <c r="AE61" s="32">
        <f>-AE35</f>
        <v>56568.835056116077</v>
      </c>
      <c r="AF61" s="32">
        <f>-AF35</f>
        <v>67700.400708204674</v>
      </c>
      <c r="AG61" s="32">
        <f>-AG35</f>
        <v>76377.618640960121</v>
      </c>
    </row>
    <row r="62" spans="1:34" s="23" customFormat="1" ht="12.75">
      <c r="A62" s="22"/>
      <c r="C62" s="49" t="s">
        <v>47</v>
      </c>
      <c r="F62" s="69">
        <f>SUM(F60:F61)</f>
        <v>117648</v>
      </c>
      <c r="G62" s="69">
        <f>SUM(G60:G61)</f>
        <v>67849</v>
      </c>
      <c r="H62" s="69">
        <f>SUM(H60:H61)</f>
        <v>86858</v>
      </c>
      <c r="I62" s="69">
        <f>SUM(I60:I61)</f>
        <v>127845</v>
      </c>
      <c r="J62" s="71">
        <f>SUM(F62:I62)</f>
        <v>400200</v>
      </c>
      <c r="K62" s="69">
        <f>SUM(K60:K61)</f>
        <v>94601</v>
      </c>
      <c r="L62" s="69">
        <f>SUM(L60:L61)</f>
        <v>118871</v>
      </c>
      <c r="M62" s="69">
        <f ca="1">SUM(M60:M61)</f>
        <v>132087</v>
      </c>
      <c r="N62" s="69">
        <f>SUM(N60:N61)</f>
        <v>222591</v>
      </c>
      <c r="O62" s="71">
        <f ca="1">SUM(K62:N62)</f>
        <v>568150</v>
      </c>
      <c r="P62" s="69">
        <f>SUM(P60:P61)</f>
        <v>121353</v>
      </c>
      <c r="Q62" s="69">
        <f>SUM(Q60:Q61)</f>
        <v>161049</v>
      </c>
      <c r="R62" s="69">
        <f>SUM(R60:R61)</f>
        <v>231172</v>
      </c>
      <c r="S62" s="69">
        <f>SUM(S60:S61)</f>
        <v>333189</v>
      </c>
      <c r="T62" s="71">
        <f>SUM(P62:S62)</f>
        <v>846763</v>
      </c>
      <c r="U62" s="69">
        <f>SUM(U60:U61)</f>
        <v>352055</v>
      </c>
      <c r="V62" s="70">
        <f>SUM(V60:V61)</f>
        <v>323791.47517500003</v>
      </c>
      <c r="W62" s="70">
        <f>SUM(W60:W61)</f>
        <v>378980.1730235588</v>
      </c>
      <c r="X62" s="70">
        <f>SUM(X60:X61)</f>
        <v>518920.11967831111</v>
      </c>
      <c r="Y62" s="71">
        <f>SUM(U62:X62)</f>
        <v>1573746.76787687</v>
      </c>
      <c r="Z62" s="70">
        <f ca="1">SUM(Z60:Z61)</f>
        <v>321752.45810305898</v>
      </c>
      <c r="AA62" s="70">
        <f ca="1">SUM(AA60:AA61)</f>
        <v>373022.23920212738</v>
      </c>
      <c r="AB62" s="70">
        <f ca="1">SUM(AB60:AB61)</f>
        <v>439382.03069303423</v>
      </c>
      <c r="AC62" s="70">
        <f ca="1">SUM(AC60:AC61)</f>
        <v>609080.4786037975</v>
      </c>
      <c r="AD62" s="71">
        <f ca="1">SUM(Z62:AC62)</f>
        <v>1743237.2066020181</v>
      </c>
      <c r="AE62" s="71">
        <f ca="1">SUM(AE60:AE61)</f>
        <v>1817103.5744868633</v>
      </c>
      <c r="AF62" s="71">
        <f ca="1">SUM(AF60:AF61)</f>
        <v>1661971.7826855932</v>
      </c>
      <c r="AG62" s="71">
        <f ca="1">SUM(AG60:AG61)</f>
        <v>2051150.728047221</v>
      </c>
    </row>
    <row r="63" spans="1:34" s="23" customFormat="1" ht="12.75">
      <c r="A63" s="22"/>
      <c r="F63" s="29"/>
      <c r="G63" s="29"/>
      <c r="H63" s="29"/>
      <c r="I63" s="29"/>
      <c r="K63" s="29"/>
      <c r="L63" s="29"/>
      <c r="M63" s="29"/>
      <c r="N63" s="29"/>
      <c r="P63" s="29"/>
      <c r="Q63" s="29"/>
      <c r="R63" s="29"/>
      <c r="S63" s="29"/>
      <c r="U63" s="29"/>
      <c r="V63" s="30"/>
      <c r="W63" s="30"/>
      <c r="X63" s="30"/>
      <c r="Z63" s="30"/>
      <c r="AA63" s="30"/>
      <c r="AB63" s="30"/>
      <c r="AC63" s="30"/>
    </row>
    <row r="64" spans="1:34" s="23" customFormat="1" ht="12.75">
      <c r="A64" s="22"/>
      <c r="B64" s="163"/>
      <c r="C64" s="519" t="s">
        <v>51</v>
      </c>
      <c r="D64" s="520"/>
      <c r="E64" s="520"/>
      <c r="F64" s="521" t="str">
        <f t="shared" ref="F64:AG64" si="34">F$25</f>
        <v>1Q23</v>
      </c>
      <c r="G64" s="521" t="str">
        <f t="shared" si="34"/>
        <v>2Q23</v>
      </c>
      <c r="H64" s="521" t="str">
        <f t="shared" si="34"/>
        <v>3Q23</v>
      </c>
      <c r="I64" s="521" t="str">
        <f t="shared" si="34"/>
        <v>4Q23</v>
      </c>
      <c r="J64" s="521">
        <f t="shared" si="34"/>
        <v>2023</v>
      </c>
      <c r="K64" s="521" t="str">
        <f t="shared" si="34"/>
        <v>1Q24</v>
      </c>
      <c r="L64" s="521" t="str">
        <f t="shared" si="34"/>
        <v>2Q24</v>
      </c>
      <c r="M64" s="521" t="str">
        <f t="shared" si="34"/>
        <v>3Q24</v>
      </c>
      <c r="N64" s="521" t="str">
        <f t="shared" si="34"/>
        <v>4Q24</v>
      </c>
      <c r="O64" s="521">
        <f t="shared" si="34"/>
        <v>2024</v>
      </c>
      <c r="P64" s="521" t="str">
        <f t="shared" si="34"/>
        <v>1Q25</v>
      </c>
      <c r="Q64" s="521" t="str">
        <f t="shared" si="34"/>
        <v>2Q25</v>
      </c>
      <c r="R64" s="521" t="str">
        <f t="shared" si="34"/>
        <v>3Q25</v>
      </c>
      <c r="S64" s="521" t="str">
        <f t="shared" si="34"/>
        <v>4Q25</v>
      </c>
      <c r="T64" s="521">
        <f t="shared" si="34"/>
        <v>2025</v>
      </c>
      <c r="U64" s="521" t="str">
        <f t="shared" si="34"/>
        <v>1Q26</v>
      </c>
      <c r="V64" s="521" t="str">
        <f t="shared" si="34"/>
        <v>2Q26e</v>
      </c>
      <c r="W64" s="521" t="str">
        <f t="shared" si="34"/>
        <v>3Q26e</v>
      </c>
      <c r="X64" s="521" t="str">
        <f t="shared" si="34"/>
        <v>4Q26e</v>
      </c>
      <c r="Y64" s="521" t="str">
        <f t="shared" si="34"/>
        <v>2026e</v>
      </c>
      <c r="Z64" s="521" t="str">
        <f t="shared" si="34"/>
        <v>1Q27e</v>
      </c>
      <c r="AA64" s="521" t="str">
        <f t="shared" si="34"/>
        <v>2Q27e</v>
      </c>
      <c r="AB64" s="521" t="str">
        <f t="shared" si="34"/>
        <v>3Q27e</v>
      </c>
      <c r="AC64" s="521" t="str">
        <f t="shared" si="34"/>
        <v>4Q27e</v>
      </c>
      <c r="AD64" s="521" t="str">
        <f t="shared" si="34"/>
        <v>2027e</v>
      </c>
      <c r="AE64" s="521" t="str">
        <f t="shared" si="34"/>
        <v>2028e</v>
      </c>
      <c r="AF64" s="521" t="str">
        <f t="shared" si="34"/>
        <v>2029e</v>
      </c>
      <c r="AG64" s="524" t="str">
        <f t="shared" si="34"/>
        <v>2030e</v>
      </c>
      <c r="AH64" s="22" t="s">
        <v>1</v>
      </c>
    </row>
    <row r="65" spans="1:34" s="23" customFormat="1" ht="12.75">
      <c r="A65" s="22" t="s">
        <v>1</v>
      </c>
      <c r="C65" s="344" t="s">
        <v>25</v>
      </c>
      <c r="D65" s="575"/>
      <c r="E65" s="575"/>
      <c r="F65" s="575"/>
      <c r="G65" s="575"/>
      <c r="H65" s="575"/>
      <c r="I65" s="575"/>
      <c r="J65" s="575"/>
      <c r="K65" s="575"/>
      <c r="L65" s="575"/>
      <c r="M65" s="575"/>
      <c r="N65" s="575"/>
      <c r="O65" s="575"/>
      <c r="P65" s="575"/>
      <c r="Q65" s="575"/>
      <c r="R65" s="575"/>
      <c r="S65" s="575"/>
      <c r="T65" s="575"/>
      <c r="U65" s="575"/>
      <c r="V65" s="575"/>
      <c r="W65" s="575"/>
      <c r="X65" s="575"/>
      <c r="Y65" s="575"/>
      <c r="Z65" s="575"/>
      <c r="AA65" s="575"/>
      <c r="AB65" s="575"/>
      <c r="AC65" s="575"/>
      <c r="AD65" s="575"/>
      <c r="AE65" s="575"/>
      <c r="AF65" s="575"/>
      <c r="AG65" s="576"/>
    </row>
    <row r="66" spans="1:34" s="23" customFormat="1" ht="12.75">
      <c r="A66" s="22"/>
      <c r="B66" s="163"/>
      <c r="D66" s="163"/>
      <c r="E66" s="163"/>
      <c r="F66" s="55"/>
      <c r="G66" s="55"/>
      <c r="H66" s="55"/>
      <c r="I66" s="55"/>
      <c r="J66" s="56"/>
      <c r="K66" s="55"/>
      <c r="L66" s="55"/>
      <c r="M66" s="55"/>
      <c r="N66" s="55"/>
      <c r="O66" s="56"/>
      <c r="P66" s="55"/>
      <c r="Q66" s="55"/>
      <c r="R66" s="55"/>
      <c r="S66" s="55"/>
      <c r="T66" s="56"/>
      <c r="U66" s="55"/>
      <c r="V66" s="57"/>
      <c r="W66" s="57"/>
      <c r="X66" s="57"/>
      <c r="Y66" s="56"/>
      <c r="Z66" s="57"/>
      <c r="AA66" s="57"/>
      <c r="AB66" s="57"/>
      <c r="AC66" s="57"/>
      <c r="AD66" s="56"/>
      <c r="AE66" s="56"/>
      <c r="AF66" s="56"/>
      <c r="AG66" s="56"/>
      <c r="AH66" s="56"/>
    </row>
    <row r="67" spans="1:34" s="23" customFormat="1" ht="12.75">
      <c r="A67" s="22"/>
      <c r="B67" s="163"/>
      <c r="C67" s="56" t="s">
        <v>58</v>
      </c>
      <c r="D67" s="163"/>
      <c r="E67" s="163"/>
      <c r="F67" s="58">
        <f t="shared" ref="F67:S67" si="35">F30/F28</f>
        <v>1</v>
      </c>
      <c r="G67" s="58">
        <f t="shared" si="35"/>
        <v>1</v>
      </c>
      <c r="H67" s="58">
        <f t="shared" si="35"/>
        <v>1</v>
      </c>
      <c r="I67" s="58">
        <f t="shared" si="35"/>
        <v>1</v>
      </c>
      <c r="J67" s="59">
        <f t="shared" si="35"/>
        <v>1</v>
      </c>
      <c r="K67" s="58">
        <f t="shared" si="35"/>
        <v>1</v>
      </c>
      <c r="L67" s="58">
        <f t="shared" si="35"/>
        <v>1</v>
      </c>
      <c r="M67" s="58">
        <f t="shared" si="35"/>
        <v>1</v>
      </c>
      <c r="N67" s="58">
        <f t="shared" si="35"/>
        <v>1</v>
      </c>
      <c r="O67" s="59">
        <f t="shared" si="35"/>
        <v>1</v>
      </c>
      <c r="P67" s="58">
        <f t="shared" si="35"/>
        <v>1</v>
      </c>
      <c r="Q67" s="58">
        <f t="shared" si="35"/>
        <v>1</v>
      </c>
      <c r="R67" s="58">
        <f t="shared" si="35"/>
        <v>1</v>
      </c>
      <c r="S67" s="58">
        <f t="shared" si="35"/>
        <v>1</v>
      </c>
      <c r="T67" s="59">
        <f>T30/T28</f>
        <v>1</v>
      </c>
      <c r="U67" s="58">
        <f t="shared" ref="U67" si="36">U30/U28</f>
        <v>1</v>
      </c>
      <c r="V67" s="60">
        <f>IF(Cover!$F$37="Bottom Up",(V30/V28),Drivers!V7)</f>
        <v>1</v>
      </c>
      <c r="W67" s="60">
        <f>IF(Cover!$F$37="Bottom Up",(W30/W28),Drivers!W7)</f>
        <v>1</v>
      </c>
      <c r="X67" s="60">
        <f>IF(Cover!$F$37="Bottom Up",(X30/X28),Drivers!X7)</f>
        <v>1</v>
      </c>
      <c r="Y67" s="59">
        <f>Y30/Y28</f>
        <v>1</v>
      </c>
      <c r="Z67" s="60">
        <f>IF(Cover!$F$37="Bottom Up",(Z30/Z28),Drivers!Z7)</f>
        <v>1</v>
      </c>
      <c r="AA67" s="60">
        <f>IF(Cover!$F$37="Bottom Up",(AA30/AA28),Drivers!AA7)</f>
        <v>1</v>
      </c>
      <c r="AB67" s="60">
        <f>IF(Cover!$F$37="Bottom Up",(AB30/AB28),Drivers!AB7)</f>
        <v>1</v>
      </c>
      <c r="AC67" s="60">
        <f>IF(Cover!$F$37="Bottom Up",(AC30/AC28),Drivers!AC7)</f>
        <v>1</v>
      </c>
      <c r="AD67" s="59">
        <f>AD30/AD28</f>
        <v>1</v>
      </c>
      <c r="AE67" s="59">
        <f>IF(Cover!$F$37="Bottom Up",(AE30/AE28),Drivers!AE7)</f>
        <v>1</v>
      </c>
      <c r="AF67" s="59">
        <f>IF(Cover!$F$37="Bottom Up",(AF30/AF28),Drivers!AF7)</f>
        <v>1</v>
      </c>
      <c r="AG67" s="59">
        <f>IF(Cover!$F$37="Bottom Up",(AG30/AG28),Drivers!AG7)</f>
        <v>1</v>
      </c>
      <c r="AH67" s="56"/>
    </row>
    <row r="68" spans="1:34" s="23" customFormat="1" ht="12.75">
      <c r="A68" s="22"/>
      <c r="B68" s="163"/>
      <c r="C68" s="56" t="s">
        <v>59</v>
      </c>
      <c r="D68" s="163"/>
      <c r="E68" s="163"/>
      <c r="F68" s="58">
        <f t="shared" ref="F68:S68" si="37">F32/F28</f>
        <v>-0.13572288717608805</v>
      </c>
      <c r="G68" s="58">
        <f t="shared" si="37"/>
        <v>-0.17317116759332804</v>
      </c>
      <c r="H68" s="58">
        <f t="shared" si="37"/>
        <v>-0.14884819743595101</v>
      </c>
      <c r="I68" s="58">
        <f t="shared" si="37"/>
        <v>-0.11493401391263756</v>
      </c>
      <c r="J68" s="59">
        <f t="shared" si="37"/>
        <v>-0.1398205894706849</v>
      </c>
      <c r="K68" s="58">
        <f t="shared" si="37"/>
        <v>-0.16220942456705351</v>
      </c>
      <c r="L68" s="58">
        <f t="shared" si="37"/>
        <v>-0.1443728340830068</v>
      </c>
      <c r="M68" s="58">
        <f t="shared" si="37"/>
        <v>-0.13307602719319628</v>
      </c>
      <c r="N68" s="58">
        <f t="shared" si="37"/>
        <v>-0.10978892830708761</v>
      </c>
      <c r="O68" s="59">
        <f t="shared" si="37"/>
        <v>-0.13376559099521051</v>
      </c>
      <c r="P68" s="58">
        <f t="shared" si="37"/>
        <v>-0.15285928053766548</v>
      </c>
      <c r="Q68" s="58">
        <f t="shared" si="37"/>
        <v>-0.13774402176507089</v>
      </c>
      <c r="R68" s="58">
        <f t="shared" si="37"/>
        <v>-0.11124729204947638</v>
      </c>
      <c r="S68" s="58">
        <f t="shared" si="37"/>
        <v>-9.957148188011361E-2</v>
      </c>
      <c r="T68" s="59">
        <f>T32/T28</f>
        <v>-0.12056388469940342</v>
      </c>
      <c r="U68" s="58">
        <f t="shared" ref="U68" si="38">U32/U28</f>
        <v>-9.1894929484337029E-2</v>
      </c>
      <c r="V68" s="61">
        <f>Drivers!V40</f>
        <v>-0.13</v>
      </c>
      <c r="W68" s="61">
        <f>Drivers!W40</f>
        <v>-0.125</v>
      </c>
      <c r="X68" s="61">
        <f>Drivers!X40</f>
        <v>-0.105</v>
      </c>
      <c r="Y68" s="59">
        <f>Y32/Y28</f>
        <v>-0.11305456176147226</v>
      </c>
      <c r="Z68" s="61">
        <f>Drivers!Z40</f>
        <v>-0.15</v>
      </c>
      <c r="AA68" s="61">
        <f>Drivers!AA40</f>
        <v>-0.14499999999999999</v>
      </c>
      <c r="AB68" s="61">
        <f>Drivers!AB40</f>
        <v>-0.13500000000000001</v>
      </c>
      <c r="AC68" s="61">
        <f>Drivers!AC40</f>
        <v>-0.11749999999999999</v>
      </c>
      <c r="AD68" s="59">
        <f>AD32/AD28</f>
        <v>-0.13475919904306044</v>
      </c>
      <c r="AE68" s="62">
        <f>Drivers!AE40</f>
        <v>-0.15</v>
      </c>
      <c r="AF68" s="62">
        <f>Drivers!AF40</f>
        <v>-0.16500000000000001</v>
      </c>
      <c r="AG68" s="62">
        <f>Drivers!AG40</f>
        <v>-0.12</v>
      </c>
      <c r="AH68" s="56"/>
    </row>
    <row r="69" spans="1:34" s="23" customFormat="1" ht="12.75">
      <c r="A69" s="22"/>
      <c r="B69" s="163"/>
      <c r="C69" s="56" t="s">
        <v>1078</v>
      </c>
      <c r="D69" s="163"/>
      <c r="E69" s="163"/>
      <c r="F69" s="58">
        <f t="shared" ref="F69:S69" si="39">-F33/F28</f>
        <v>0.63658352911780736</v>
      </c>
      <c r="G69" s="58">
        <f t="shared" si="39"/>
        <v>0.67191024622716444</v>
      </c>
      <c r="H69" s="58">
        <f t="shared" si="39"/>
        <v>0.68197644863197326</v>
      </c>
      <c r="I69" s="58">
        <f t="shared" si="39"/>
        <v>0.71021807628103328</v>
      </c>
      <c r="J69" s="59">
        <f t="shared" si="39"/>
        <v>0.67830599844596029</v>
      </c>
      <c r="K69" s="58">
        <f t="shared" si="39"/>
        <v>0.66274019107594317</v>
      </c>
      <c r="L69" s="58">
        <f t="shared" si="39"/>
        <v>0.66184943172395094</v>
      </c>
      <c r="M69" s="58">
        <f t="shared" si="39"/>
        <v>0.66088404972779724</v>
      </c>
      <c r="N69" s="58">
        <f t="shared" si="39"/>
        <v>0.65275107832878176</v>
      </c>
      <c r="O69" s="59">
        <f t="shared" si="39"/>
        <v>0.65881113791028523</v>
      </c>
      <c r="P69" s="58">
        <f t="shared" si="39"/>
        <v>0.65781191436034914</v>
      </c>
      <c r="Q69" s="58">
        <f t="shared" si="39"/>
        <v>0.65463581690611428</v>
      </c>
      <c r="R69" s="58">
        <f t="shared" si="39"/>
        <v>0.65072266188907391</v>
      </c>
      <c r="S69" s="58">
        <f t="shared" si="39"/>
        <v>0.62585079119340525</v>
      </c>
      <c r="T69" s="59">
        <f>-T33/T28</f>
        <v>0.64453089159925403</v>
      </c>
      <c r="U69" s="58">
        <f t="shared" ref="U69" si="40">-U33/U28</f>
        <v>0.64554802712519876</v>
      </c>
      <c r="V69" s="61">
        <f>Drivers!V45</f>
        <v>0.64</v>
      </c>
      <c r="W69" s="61">
        <f>Drivers!W45</f>
        <v>0.63749999999999996</v>
      </c>
      <c r="X69" s="61">
        <f>Drivers!X45</f>
        <v>0.63249999999999995</v>
      </c>
      <c r="Y69" s="59">
        <f>-Y33/Y28</f>
        <v>0.6381726457808079</v>
      </c>
      <c r="Z69" s="61">
        <f>Drivers!Z45</f>
        <v>0.625</v>
      </c>
      <c r="AA69" s="61">
        <f>Drivers!AA45</f>
        <v>0.62</v>
      </c>
      <c r="AB69" s="61">
        <f>Drivers!AB45</f>
        <v>0.61750000000000005</v>
      </c>
      <c r="AC69" s="61">
        <f>Drivers!AC45</f>
        <v>0.61499999999999999</v>
      </c>
      <c r="AD69" s="59">
        <f>-AD33/AD28</f>
        <v>0.61880506208223063</v>
      </c>
      <c r="AE69" s="62">
        <f>Drivers!AE45</f>
        <v>0.6</v>
      </c>
      <c r="AF69" s="62">
        <f>Drivers!AF45</f>
        <v>0.6</v>
      </c>
      <c r="AG69" s="62">
        <f>Drivers!AG45</f>
        <v>0.57999999999999996</v>
      </c>
      <c r="AH69" s="56"/>
    </row>
    <row r="70" spans="1:34" s="23" customFormat="1" ht="12.75">
      <c r="A70" s="22"/>
      <c r="B70" s="163"/>
      <c r="C70" s="56" t="s">
        <v>60</v>
      </c>
      <c r="D70" s="163"/>
      <c r="E70" s="163"/>
      <c r="F70" s="58">
        <f t="shared" ref="F70:S70" si="41">F34/F28</f>
        <v>0</v>
      </c>
      <c r="G70" s="58">
        <f t="shared" si="41"/>
        <v>0</v>
      </c>
      <c r="H70" s="58">
        <f t="shared" si="41"/>
        <v>0</v>
      </c>
      <c r="I70" s="58">
        <f t="shared" si="41"/>
        <v>0</v>
      </c>
      <c r="J70" s="59">
        <f t="shared" si="41"/>
        <v>0</v>
      </c>
      <c r="K70" s="58">
        <f t="shared" si="41"/>
        <v>0</v>
      </c>
      <c r="L70" s="58">
        <f t="shared" si="41"/>
        <v>0</v>
      </c>
      <c r="M70" s="58">
        <f t="shared" ca="1" si="41"/>
        <v>0</v>
      </c>
      <c r="N70" s="58">
        <f t="shared" si="41"/>
        <v>0</v>
      </c>
      <c r="O70" s="59">
        <f t="shared" ca="1" si="41"/>
        <v>0</v>
      </c>
      <c r="P70" s="58">
        <f t="shared" si="41"/>
        <v>0</v>
      </c>
      <c r="Q70" s="58">
        <f t="shared" si="41"/>
        <v>0</v>
      </c>
      <c r="R70" s="58">
        <f t="shared" si="41"/>
        <v>0</v>
      </c>
      <c r="S70" s="58">
        <f t="shared" si="41"/>
        <v>0</v>
      </c>
      <c r="T70" s="59">
        <f>T34/T28</f>
        <v>0</v>
      </c>
      <c r="U70" s="58">
        <f t="shared" ref="U70" si="42">U34/U28</f>
        <v>0</v>
      </c>
      <c r="V70" s="61">
        <f>Drivers!V50</f>
        <v>0</v>
      </c>
      <c r="W70" s="61">
        <f>Drivers!W50</f>
        <v>0</v>
      </c>
      <c r="X70" s="61">
        <f>Drivers!X50</f>
        <v>0</v>
      </c>
      <c r="Y70" s="59">
        <f>Y34/Y28</f>
        <v>0</v>
      </c>
      <c r="Z70" s="61">
        <f>Drivers!Z50</f>
        <v>0</v>
      </c>
      <c r="AA70" s="61">
        <f>Drivers!AA50</f>
        <v>0</v>
      </c>
      <c r="AB70" s="61">
        <f>Drivers!AB50</f>
        <v>0</v>
      </c>
      <c r="AC70" s="61">
        <f>Drivers!AC50</f>
        <v>0</v>
      </c>
      <c r="AD70" s="59">
        <f>AD34/AD28</f>
        <v>0</v>
      </c>
      <c r="AE70" s="62">
        <f>Drivers!AE50</f>
        <v>0</v>
      </c>
      <c r="AF70" s="62">
        <f>Drivers!AF50</f>
        <v>0</v>
      </c>
      <c r="AG70" s="62">
        <f>Drivers!AG50</f>
        <v>0</v>
      </c>
      <c r="AH70" s="56"/>
    </row>
    <row r="71" spans="1:34" s="23" customFormat="1" ht="12.75">
      <c r="A71" s="22"/>
      <c r="B71" s="163"/>
      <c r="C71" s="56" t="s">
        <v>61</v>
      </c>
      <c r="D71" s="163"/>
      <c r="E71" s="163"/>
      <c r="F71" s="58">
        <f t="shared" ref="F71:S71" si="43">F36/F28</f>
        <v>-2.3554867658949808E-2</v>
      </c>
      <c r="G71" s="58">
        <f t="shared" si="43"/>
        <v>-2.0190627482128673E-2</v>
      </c>
      <c r="H71" s="58">
        <f t="shared" si="43"/>
        <v>-1.7961225896755594E-2</v>
      </c>
      <c r="I71" s="58">
        <f t="shared" si="43"/>
        <v>-1.267967953238925E-2</v>
      </c>
      <c r="J71" s="59">
        <f t="shared" si="43"/>
        <v>-1.8036031123370939E-2</v>
      </c>
      <c r="K71" s="58">
        <f t="shared" si="43"/>
        <v>-1.3340102529388739E-2</v>
      </c>
      <c r="L71" s="58">
        <f t="shared" si="43"/>
        <v>-2.2348874336073885E-2</v>
      </c>
      <c r="M71" s="58">
        <f t="shared" si="43"/>
        <v>-2.7162048698572628E-2</v>
      </c>
      <c r="N71" s="58">
        <f t="shared" si="43"/>
        <v>-1.0216176207855849E-2</v>
      </c>
      <c r="O71" s="59">
        <f t="shared" si="43"/>
        <v>-1.7809936786655548E-2</v>
      </c>
      <c r="P71" s="58">
        <f t="shared" si="43"/>
        <v>-1.5724826972541638E-2</v>
      </c>
      <c r="Q71" s="58">
        <f t="shared" si="43"/>
        <v>-1.5446756718056417E-2</v>
      </c>
      <c r="R71" s="58">
        <f t="shared" si="43"/>
        <v>-1.7023042197182776E-2</v>
      </c>
      <c r="S71" s="58">
        <f t="shared" si="43"/>
        <v>-1.7691214067853584E-2</v>
      </c>
      <c r="T71" s="59">
        <f>T36/T28</f>
        <v>-1.6672061738869572E-2</v>
      </c>
      <c r="U71" s="58">
        <f t="shared" ref="U71" si="44">U36/U28</f>
        <v>-1.1173399768220503E-2</v>
      </c>
      <c r="V71" s="61">
        <f>Drivers!V55</f>
        <v>-0.02</v>
      </c>
      <c r="W71" s="61">
        <f>Drivers!W55</f>
        <v>-1.7000000000000001E-2</v>
      </c>
      <c r="X71" s="61">
        <f>Drivers!X55</f>
        <v>-1.7000000000000001E-2</v>
      </c>
      <c r="Y71" s="59">
        <f>Y36/Y28</f>
        <v>-1.647830418095169E-2</v>
      </c>
      <c r="Z71" s="61">
        <f>Drivers!Z55</f>
        <v>-1.4E-2</v>
      </c>
      <c r="AA71" s="61">
        <f>Drivers!AA55</f>
        <v>-1.4E-2</v>
      </c>
      <c r="AB71" s="61">
        <f>Drivers!AB55</f>
        <v>-1.4E-2</v>
      </c>
      <c r="AC71" s="61">
        <f>Drivers!AC55</f>
        <v>-1.4E-2</v>
      </c>
      <c r="AD71" s="59">
        <f>AD36/AD28</f>
        <v>-1.4000000000000002E-2</v>
      </c>
      <c r="AE71" s="62">
        <f>Drivers!AE55</f>
        <v>-1.4999999999999999E-2</v>
      </c>
      <c r="AF71" s="62">
        <f>Drivers!AF55</f>
        <v>-1.4999999999999999E-2</v>
      </c>
      <c r="AG71" s="62">
        <f>Drivers!AG55</f>
        <v>-1.4999999999999999E-2</v>
      </c>
      <c r="AH71" s="56"/>
    </row>
    <row r="72" spans="1:34" s="23" customFormat="1" ht="12.75">
      <c r="A72" s="22"/>
      <c r="B72" s="163"/>
      <c r="C72" s="56" t="s">
        <v>62</v>
      </c>
      <c r="D72" s="163"/>
      <c r="E72" s="163"/>
      <c r="F72" s="58">
        <f t="shared" ref="F72:S72" si="45">F42/F28</f>
        <v>2.5472225210562299E-3</v>
      </c>
      <c r="G72" s="58">
        <f t="shared" si="45"/>
        <v>3.0619539316918188E-3</v>
      </c>
      <c r="H72" s="58">
        <f t="shared" si="45"/>
        <v>2.8969157596395569E-3</v>
      </c>
      <c r="I72" s="58">
        <f t="shared" si="45"/>
        <v>2.5128496552284016E-3</v>
      </c>
      <c r="J72" s="59">
        <f t="shared" si="45"/>
        <v>2.7244821846294171E-3</v>
      </c>
      <c r="K72" s="58">
        <f t="shared" si="45"/>
        <v>3.9743385931354201E-3</v>
      </c>
      <c r="L72" s="58">
        <f t="shared" si="45"/>
        <v>2.6780576654893981E-3</v>
      </c>
      <c r="M72" s="58">
        <f t="shared" si="45"/>
        <v>1.451748327510089E-3</v>
      </c>
      <c r="N72" s="58">
        <f t="shared" si="45"/>
        <v>9.9742221995354884E-4</v>
      </c>
      <c r="O72" s="59">
        <f t="shared" si="45"/>
        <v>2.0795224607448835E-3</v>
      </c>
      <c r="P72" s="58">
        <f t="shared" si="45"/>
        <v>1.2574711525531385E-3</v>
      </c>
      <c r="Q72" s="58">
        <f t="shared" si="45"/>
        <v>9.725072788888358E-4</v>
      </c>
      <c r="R72" s="58">
        <f t="shared" si="45"/>
        <v>1.0344227595951794E-3</v>
      </c>
      <c r="S72" s="58">
        <f t="shared" si="45"/>
        <v>8.4500874306491457E-4</v>
      </c>
      <c r="T72" s="59">
        <f>T42/T28</f>
        <v>9.9791653995119699E-4</v>
      </c>
      <c r="U72" s="58">
        <f t="shared" ref="U72" si="46">U42/U28</f>
        <v>7.5046288064926816E-4</v>
      </c>
      <c r="V72" s="61">
        <f>Drivers!V62</f>
        <v>1E-3</v>
      </c>
      <c r="W72" s="61">
        <f>Drivers!W62</f>
        <v>1E-3</v>
      </c>
      <c r="X72" s="61">
        <f>Drivers!X62</f>
        <v>1E-3</v>
      </c>
      <c r="Y72" s="59">
        <f>Y42/Y28</f>
        <v>9.484162737102154E-4</v>
      </c>
      <c r="Z72" s="61">
        <f>Drivers!Z62</f>
        <v>1E-3</v>
      </c>
      <c r="AA72" s="61">
        <f>Drivers!AA62</f>
        <v>1E-3</v>
      </c>
      <c r="AB72" s="61">
        <f>Drivers!AB62</f>
        <v>1E-3</v>
      </c>
      <c r="AC72" s="61">
        <f>Drivers!AC62</f>
        <v>1E-3</v>
      </c>
      <c r="AD72" s="59">
        <f>AD42/AD28</f>
        <v>1.0000000000000002E-3</v>
      </c>
      <c r="AE72" s="62">
        <f>Drivers!AE62</f>
        <v>2E-3</v>
      </c>
      <c r="AF72" s="62">
        <f>Drivers!AF62</f>
        <v>2E-3</v>
      </c>
      <c r="AG72" s="62">
        <f>Drivers!AG62</f>
        <v>2E-3</v>
      </c>
      <c r="AH72" s="56"/>
    </row>
    <row r="73" spans="1:34" s="23" customFormat="1" ht="12.75">
      <c r="A73" s="22"/>
      <c r="B73" s="163"/>
      <c r="C73" s="56" t="s">
        <v>63</v>
      </c>
      <c r="D73" s="163"/>
      <c r="E73" s="163"/>
      <c r="F73" s="58">
        <f t="shared" ref="F73:S73" si="47">-F45/F43</f>
        <v>0.14884841102867899</v>
      </c>
      <c r="G73" s="58">
        <f t="shared" si="47"/>
        <v>0.28851800600762767</v>
      </c>
      <c r="H73" s="58">
        <f t="shared" si="47"/>
        <v>0.25120397502866609</v>
      </c>
      <c r="I73" s="58">
        <f t="shared" si="47"/>
        <v>0.23081808306175317</v>
      </c>
      <c r="J73" s="59">
        <f t="shared" si="47"/>
        <v>0.22025479100030071</v>
      </c>
      <c r="K73" s="58">
        <f t="shared" si="47"/>
        <v>-7.7262999595118287E-2</v>
      </c>
      <c r="L73" s="58">
        <f t="shared" si="47"/>
        <v>0.25764759309718438</v>
      </c>
      <c r="M73" s="58">
        <f t="shared" ca="1" si="47"/>
        <v>0.28416690366879294</v>
      </c>
      <c r="N73" s="58">
        <f t="shared" si="47"/>
        <v>0.2751258575877491</v>
      </c>
      <c r="O73" s="59">
        <f t="shared" ca="1" si="47"/>
        <v>0.21646643971152313</v>
      </c>
      <c r="P73" s="58">
        <f t="shared" si="47"/>
        <v>-0.37235305140858266</v>
      </c>
      <c r="Q73" s="58">
        <f t="shared" si="47"/>
        <v>0.29275019179386791</v>
      </c>
      <c r="R73" s="58">
        <f t="shared" si="47"/>
        <v>0.27518316704097789</v>
      </c>
      <c r="S73" s="58">
        <f t="shared" si="47"/>
        <v>0.2897761915858762</v>
      </c>
      <c r="T73" s="59">
        <f>-T45/T43</f>
        <v>0.19287515715268314</v>
      </c>
      <c r="U73" s="58">
        <f t="shared" ref="U73" si="48">-U45/U43</f>
        <v>2.7295442420662071E-2</v>
      </c>
      <c r="V73" s="61">
        <f>Drivers!V69</f>
        <v>0.25</v>
      </c>
      <c r="W73" s="61">
        <f>Drivers!W69</f>
        <v>0.23499999999999999</v>
      </c>
      <c r="X73" s="61">
        <f>Drivers!X69</f>
        <v>0.25</v>
      </c>
      <c r="Y73" s="59">
        <f ca="1">-Y45/Y43</f>
        <v>0.19727948690413882</v>
      </c>
      <c r="Z73" s="61">
        <f>Drivers!Z69</f>
        <v>0.09</v>
      </c>
      <c r="AA73" s="61">
        <f>Drivers!AA69</f>
        <v>0.252</v>
      </c>
      <c r="AB73" s="61">
        <f>Drivers!AB69</f>
        <v>0.252</v>
      </c>
      <c r="AC73" s="61">
        <f>Drivers!AC69</f>
        <v>0.252</v>
      </c>
      <c r="AD73" s="59">
        <f ca="1">-AD45/AD43</f>
        <v>0.22219412682665401</v>
      </c>
      <c r="AE73" s="62">
        <f>Drivers!AE69</f>
        <v>0.24</v>
      </c>
      <c r="AF73" s="62">
        <f>Drivers!AF69</f>
        <v>0.24</v>
      </c>
      <c r="AG73" s="62">
        <f>Drivers!AG69</f>
        <v>0.24</v>
      </c>
      <c r="AH73" s="56"/>
    </row>
    <row r="74" spans="1:34" s="23" customFormat="1" ht="12.75">
      <c r="A74" s="22"/>
      <c r="B74" s="163"/>
      <c r="C74" s="56"/>
      <c r="D74" s="163"/>
      <c r="E74" s="163"/>
      <c r="F74" s="63"/>
      <c r="G74" s="63"/>
      <c r="H74" s="63"/>
      <c r="I74" s="63"/>
      <c r="J74" s="64"/>
      <c r="K74" s="63"/>
      <c r="L74" s="63"/>
      <c r="M74" s="63"/>
      <c r="N74" s="63"/>
      <c r="O74" s="64"/>
      <c r="P74" s="63"/>
      <c r="Q74" s="63"/>
      <c r="R74" s="63"/>
      <c r="S74" s="63"/>
      <c r="T74" s="64"/>
      <c r="U74" s="63"/>
      <c r="V74" s="65"/>
      <c r="W74" s="65"/>
      <c r="X74" s="65"/>
      <c r="Y74" s="64"/>
      <c r="Z74" s="65"/>
      <c r="AA74" s="65"/>
      <c r="AB74" s="65"/>
      <c r="AC74" s="65"/>
      <c r="AD74" s="64"/>
      <c r="AE74" s="64"/>
      <c r="AF74" s="64"/>
      <c r="AG74" s="64"/>
      <c r="AH74" s="56"/>
    </row>
    <row r="75" spans="1:34" s="23" customFormat="1" ht="12.75">
      <c r="A75" s="22" t="s">
        <v>1</v>
      </c>
      <c r="B75" s="163"/>
      <c r="C75" s="577" t="s">
        <v>66</v>
      </c>
      <c r="D75" s="147"/>
      <c r="E75" s="147"/>
      <c r="F75" s="579" t="str">
        <f t="shared" ref="F75:AG75" si="49">F$64</f>
        <v>1Q23</v>
      </c>
      <c r="G75" s="579" t="str">
        <f t="shared" si="49"/>
        <v>2Q23</v>
      </c>
      <c r="H75" s="579" t="str">
        <f t="shared" si="49"/>
        <v>3Q23</v>
      </c>
      <c r="I75" s="579" t="str">
        <f t="shared" si="49"/>
        <v>4Q23</v>
      </c>
      <c r="J75" s="579">
        <f t="shared" si="49"/>
        <v>2023</v>
      </c>
      <c r="K75" s="579" t="str">
        <f t="shared" si="49"/>
        <v>1Q24</v>
      </c>
      <c r="L75" s="579" t="str">
        <f t="shared" si="49"/>
        <v>2Q24</v>
      </c>
      <c r="M75" s="579" t="str">
        <f t="shared" si="49"/>
        <v>3Q24</v>
      </c>
      <c r="N75" s="579" t="str">
        <f t="shared" si="49"/>
        <v>4Q24</v>
      </c>
      <c r="O75" s="579">
        <f t="shared" si="49"/>
        <v>2024</v>
      </c>
      <c r="P75" s="579" t="str">
        <f t="shared" si="49"/>
        <v>1Q25</v>
      </c>
      <c r="Q75" s="579" t="str">
        <f t="shared" si="49"/>
        <v>2Q25</v>
      </c>
      <c r="R75" s="579" t="str">
        <f t="shared" si="49"/>
        <v>3Q25</v>
      </c>
      <c r="S75" s="579" t="str">
        <f t="shared" si="49"/>
        <v>4Q25</v>
      </c>
      <c r="T75" s="579">
        <f t="shared" si="49"/>
        <v>2025</v>
      </c>
      <c r="U75" s="579" t="str">
        <f t="shared" si="49"/>
        <v>1Q26</v>
      </c>
      <c r="V75" s="579" t="str">
        <f t="shared" si="49"/>
        <v>2Q26e</v>
      </c>
      <c r="W75" s="579" t="str">
        <f t="shared" si="49"/>
        <v>3Q26e</v>
      </c>
      <c r="X75" s="579" t="str">
        <f t="shared" si="49"/>
        <v>4Q26e</v>
      </c>
      <c r="Y75" s="579" t="str">
        <f t="shared" si="49"/>
        <v>2026e</v>
      </c>
      <c r="Z75" s="579" t="str">
        <f t="shared" si="49"/>
        <v>1Q27e</v>
      </c>
      <c r="AA75" s="579" t="str">
        <f t="shared" si="49"/>
        <v>2Q27e</v>
      </c>
      <c r="AB75" s="579" t="str">
        <f t="shared" si="49"/>
        <v>3Q27e</v>
      </c>
      <c r="AC75" s="579" t="str">
        <f t="shared" si="49"/>
        <v>4Q27e</v>
      </c>
      <c r="AD75" s="579" t="str">
        <f t="shared" si="49"/>
        <v>2027e</v>
      </c>
      <c r="AE75" s="579" t="str">
        <f t="shared" si="49"/>
        <v>2028e</v>
      </c>
      <c r="AF75" s="579" t="str">
        <f t="shared" si="49"/>
        <v>2029e</v>
      </c>
      <c r="AG75" s="580" t="str">
        <f t="shared" si="49"/>
        <v>2030e</v>
      </c>
      <c r="AH75" s="22" t="s">
        <v>1</v>
      </c>
    </row>
    <row r="76" spans="1:34" s="23" customFormat="1" ht="12.75">
      <c r="A76" s="22"/>
      <c r="F76" s="29"/>
      <c r="G76" s="29"/>
      <c r="H76" s="66"/>
      <c r="I76" s="29"/>
      <c r="K76" s="29"/>
      <c r="L76" s="29"/>
      <c r="M76" s="66"/>
      <c r="N76" s="29"/>
      <c r="P76" s="29"/>
      <c r="Q76" s="29"/>
      <c r="R76" s="66"/>
      <c r="S76" s="29"/>
      <c r="U76" s="29"/>
      <c r="V76" s="30"/>
      <c r="W76" s="67"/>
      <c r="X76" s="30"/>
      <c r="Z76" s="30"/>
      <c r="AA76" s="30"/>
      <c r="AB76" s="67"/>
      <c r="AC76" s="30"/>
    </row>
    <row r="77" spans="1:34" s="23" customFormat="1" ht="12.75">
      <c r="A77" s="22"/>
      <c r="C77" s="28" t="s">
        <v>42</v>
      </c>
      <c r="F77" s="68"/>
      <c r="G77" s="68"/>
      <c r="H77" s="68"/>
      <c r="I77" s="68"/>
      <c r="J77" s="41"/>
      <c r="K77" s="68"/>
      <c r="L77" s="68"/>
      <c r="M77" s="68"/>
      <c r="N77" s="68"/>
      <c r="O77" s="41"/>
      <c r="P77" s="68"/>
      <c r="Q77" s="68"/>
      <c r="R77" s="68"/>
      <c r="S77" s="68"/>
      <c r="T77" s="41">
        <f t="shared" ref="T77:T82" si="50">SUM(P77:S77)</f>
        <v>0</v>
      </c>
      <c r="U77" s="68"/>
      <c r="V77" s="40">
        <f ca="1">V46</f>
        <v>230802.51100687502</v>
      </c>
      <c r="W77" s="40">
        <f ca="1">W46</f>
        <v>277383.26477170433</v>
      </c>
      <c r="X77" s="40">
        <f ca="1">X46</f>
        <v>376925.18208566721</v>
      </c>
      <c r="Y77" s="41">
        <f t="shared" ref="Y77:Y82" ca="1" si="51">SUM(U77:X77)</f>
        <v>885110.95786424656</v>
      </c>
      <c r="Z77" s="40">
        <f ca="1">Z46</f>
        <v>288459.79052381776</v>
      </c>
      <c r="AA77" s="40">
        <f ca="1">AA46</f>
        <v>275255.04585080844</v>
      </c>
      <c r="AB77" s="40">
        <f ca="1">AB46</f>
        <v>324690.54293086444</v>
      </c>
      <c r="AC77" s="40">
        <f ca="1">AC46</f>
        <v>451667.05902922997</v>
      </c>
      <c r="AD77" s="41">
        <f t="shared" ref="AD77:AD82" ca="1" si="52">SUM(Z77:AC77)</f>
        <v>1340072.4383347207</v>
      </c>
      <c r="AE77" s="41">
        <f ca="1">AE46</f>
        <v>1358063.9150676546</v>
      </c>
      <c r="AF77" s="41">
        <f ca="1">AF46</f>
        <v>1231468.2951916298</v>
      </c>
      <c r="AG77" s="41">
        <f ca="1">AG46</f>
        <v>1524493.01076501</v>
      </c>
    </row>
    <row r="78" spans="1:34" s="23" customFormat="1" ht="12.75">
      <c r="A78" s="22"/>
      <c r="C78" s="28" t="s">
        <v>181</v>
      </c>
      <c r="F78" s="68"/>
      <c r="G78" s="68"/>
      <c r="H78" s="68"/>
      <c r="I78" s="68"/>
      <c r="J78" s="41"/>
      <c r="K78" s="68"/>
      <c r="L78" s="68"/>
      <c r="M78" s="68"/>
      <c r="N78" s="68"/>
      <c r="O78" s="41"/>
      <c r="P78" s="68"/>
      <c r="Q78" s="68"/>
      <c r="R78" s="68"/>
      <c r="S78" s="68"/>
      <c r="T78" s="41">
        <f t="shared" si="50"/>
        <v>0</v>
      </c>
      <c r="U78" s="68"/>
      <c r="V78" s="40">
        <f>-(V196+V210)</f>
        <v>8418.375</v>
      </c>
      <c r="W78" s="40">
        <f>-(W196+W210)</f>
        <v>8928.9679974281244</v>
      </c>
      <c r="X78" s="40">
        <f>-(X196+X210)</f>
        <v>9292.0548058192126</v>
      </c>
      <c r="Y78" s="41">
        <f t="shared" si="51"/>
        <v>26639.397803247339</v>
      </c>
      <c r="Z78" s="40">
        <f>-(Z196+Z210)</f>
        <v>9762.5429207024899</v>
      </c>
      <c r="AA78" s="40">
        <f>-(AA196+AA210)</f>
        <v>10193.466100459753</v>
      </c>
      <c r="AB78" s="40">
        <f>-(AB196+AB210)</f>
        <v>10655.120476376804</v>
      </c>
      <c r="AC78" s="40">
        <f>-(AC196+AC210)</f>
        <v>11118.307916090187</v>
      </c>
      <c r="AD78" s="41">
        <f t="shared" si="52"/>
        <v>41729.437413629232</v>
      </c>
      <c r="AE78" s="41">
        <f>-(AE196+AE210)</f>
        <v>56568.835056116077</v>
      </c>
      <c r="AF78" s="41">
        <f>-(AF196+AF210)</f>
        <v>67700.400708204674</v>
      </c>
      <c r="AG78" s="41">
        <f>-(AG196+AG210)</f>
        <v>76377.618640960121</v>
      </c>
    </row>
    <row r="79" spans="1:34" s="23" customFormat="1" ht="12.75">
      <c r="A79" s="22"/>
      <c r="C79" s="28" t="s">
        <v>89</v>
      </c>
      <c r="F79" s="37"/>
      <c r="G79" s="37"/>
      <c r="H79" s="37"/>
      <c r="I79" s="37"/>
      <c r="J79" s="41"/>
      <c r="K79" s="37"/>
      <c r="L79" s="37"/>
      <c r="M79" s="37"/>
      <c r="N79" s="37"/>
      <c r="O79" s="41"/>
      <c r="P79" s="37"/>
      <c r="Q79" s="37"/>
      <c r="R79" s="37"/>
      <c r="S79" s="37"/>
      <c r="T79" s="41">
        <f t="shared" si="50"/>
        <v>0</v>
      </c>
      <c r="U79" s="37"/>
      <c r="V79" s="40">
        <f>V248</f>
        <v>134549.7556706664</v>
      </c>
      <c r="W79" s="40">
        <f>W248</f>
        <v>149983.9177632608</v>
      </c>
      <c r="X79" s="40">
        <f>X248</f>
        <v>184453.03728693447</v>
      </c>
      <c r="Y79" s="41">
        <f t="shared" si="51"/>
        <v>468986.71072086168</v>
      </c>
      <c r="Z79" s="40">
        <f>Z248</f>
        <v>136997.75557325376</v>
      </c>
      <c r="AA79" s="40">
        <f>AA248</f>
        <v>151043.21233747774</v>
      </c>
      <c r="AB79" s="40">
        <f>AB248</f>
        <v>167757.57255925081</v>
      </c>
      <c r="AC79" s="40">
        <f>AC248</f>
        <v>212938.91869032735</v>
      </c>
      <c r="AD79" s="41">
        <f t="shared" si="52"/>
        <v>668737.45916030963</v>
      </c>
      <c r="AE79" s="41">
        <f>AE248</f>
        <v>688869.72390575579</v>
      </c>
      <c r="AF79" s="41">
        <f>AF248</f>
        <v>674304.14555860497</v>
      </c>
      <c r="AG79" s="41">
        <f>AG248</f>
        <v>639678.4386137384</v>
      </c>
    </row>
    <row r="80" spans="1:34" s="23" customFormat="1" ht="12.75">
      <c r="A80" s="22"/>
      <c r="C80" s="28" t="s">
        <v>88</v>
      </c>
      <c r="F80" s="37"/>
      <c r="G80" s="37"/>
      <c r="H80" s="37"/>
      <c r="I80" s="37"/>
      <c r="J80" s="41"/>
      <c r="K80" s="37"/>
      <c r="L80" s="37"/>
      <c r="M80" s="37"/>
      <c r="N80" s="37"/>
      <c r="O80" s="41"/>
      <c r="P80" s="37"/>
      <c r="Q80" s="37"/>
      <c r="R80" s="37"/>
      <c r="S80" s="37"/>
      <c r="T80" s="41">
        <f t="shared" si="50"/>
        <v>0</v>
      </c>
      <c r="U80" s="37"/>
      <c r="V80" s="40">
        <f>V176</f>
        <v>-371818.54844010971</v>
      </c>
      <c r="W80" s="40">
        <f>W176</f>
        <v>-163310.68471844052</v>
      </c>
      <c r="X80" s="40">
        <f>X176</f>
        <v>-435607.97785218246</v>
      </c>
      <c r="Y80" s="41">
        <f t="shared" si="51"/>
        <v>-970737.21101073269</v>
      </c>
      <c r="Z80" s="40">
        <f>Z176</f>
        <v>608842.81552552269</v>
      </c>
      <c r="AA80" s="40">
        <f>AA176</f>
        <v>-154606.97256313101</v>
      </c>
      <c r="AB80" s="40">
        <f>AB176</f>
        <v>-177849.39572798461</v>
      </c>
      <c r="AC80" s="40">
        <f>AC176</f>
        <v>-551157.12247176841</v>
      </c>
      <c r="AD80" s="41">
        <f t="shared" si="52"/>
        <v>-274770.67523736134</v>
      </c>
      <c r="AE80" s="41">
        <f>AE176</f>
        <v>-2979943.7981551662</v>
      </c>
      <c r="AF80" s="41">
        <f>AF176</f>
        <v>-704912.07463049795</v>
      </c>
      <c r="AG80" s="41">
        <f>AG176</f>
        <v>-511648.15483441297</v>
      </c>
    </row>
    <row r="81" spans="1:33" s="23" customFormat="1" ht="12.75">
      <c r="A81" s="22"/>
      <c r="C81" s="28" t="s">
        <v>87</v>
      </c>
      <c r="F81" s="31"/>
      <c r="G81" s="31"/>
      <c r="H81" s="31"/>
      <c r="I81" s="31"/>
      <c r="J81" s="35"/>
      <c r="K81" s="31"/>
      <c r="L81" s="31"/>
      <c r="M81" s="31"/>
      <c r="N81" s="31"/>
      <c r="O81" s="35"/>
      <c r="P81" s="31"/>
      <c r="Q81" s="31"/>
      <c r="R81" s="31"/>
      <c r="S81" s="31"/>
      <c r="T81" s="35">
        <f t="shared" si="50"/>
        <v>0</v>
      </c>
      <c r="U81" s="31"/>
      <c r="V81" s="34">
        <f>V230</f>
        <v>-1063.3579999997746</v>
      </c>
      <c r="W81" s="34">
        <f>W230</f>
        <v>-3193.2640739998315</v>
      </c>
      <c r="X81" s="34">
        <f>X230</f>
        <v>-1067.6146220739465</v>
      </c>
      <c r="Y81" s="35">
        <f t="shared" si="51"/>
        <v>-5324.2366960735526</v>
      </c>
      <c r="Z81" s="34">
        <f>Z230</f>
        <v>-1068.682236695895</v>
      </c>
      <c r="AA81" s="34">
        <f>AA230</f>
        <v>-1069.7509189327247</v>
      </c>
      <c r="AB81" s="34">
        <f>AB230</f>
        <v>-3212.4620095549617</v>
      </c>
      <c r="AC81" s="34">
        <f>AC230</f>
        <v>-1074.0331318611279</v>
      </c>
      <c r="AD81" s="35">
        <f t="shared" si="52"/>
        <v>-6424.9282970447093</v>
      </c>
      <c r="AE81" s="35">
        <f>AE230</f>
        <v>-5375.5358249654528</v>
      </c>
      <c r="AF81" s="35">
        <f>AF230</f>
        <v>-5402.413504090393</v>
      </c>
      <c r="AG81" s="35">
        <f>AG230</f>
        <v>-5429.4255716106854</v>
      </c>
    </row>
    <row r="82" spans="1:33" s="23" customFormat="1" ht="12.75">
      <c r="A82" s="22"/>
      <c r="C82" s="49" t="s">
        <v>72</v>
      </c>
      <c r="F82" s="69"/>
      <c r="G82" s="69"/>
      <c r="H82" s="69"/>
      <c r="I82" s="69"/>
      <c r="J82" s="71"/>
      <c r="K82" s="69"/>
      <c r="L82" s="69"/>
      <c r="M82" s="69"/>
      <c r="N82" s="69"/>
      <c r="O82" s="71"/>
      <c r="P82" s="69"/>
      <c r="Q82" s="69"/>
      <c r="R82" s="69"/>
      <c r="S82" s="69"/>
      <c r="T82" s="71">
        <f t="shared" si="50"/>
        <v>0</v>
      </c>
      <c r="U82" s="69"/>
      <c r="V82" s="70">
        <f ca="1">SUM(V77:V81)</f>
        <v>888.73523743194528</v>
      </c>
      <c r="W82" s="70">
        <f ca="1">SUM(W77:W81)</f>
        <v>269792.2017399529</v>
      </c>
      <c r="X82" s="70">
        <f ca="1">SUM(X77:X81)</f>
        <v>133994.68170416448</v>
      </c>
      <c r="Y82" s="71">
        <f t="shared" ca="1" si="51"/>
        <v>404675.61868154933</v>
      </c>
      <c r="Z82" s="70">
        <f ca="1">SUM(Z77:Z81)</f>
        <v>1042994.2223066008</v>
      </c>
      <c r="AA82" s="70">
        <f ca="1">SUM(AA77:AA81)</f>
        <v>280815.00080668216</v>
      </c>
      <c r="AB82" s="70">
        <f ca="1">SUM(AB77:AB81)</f>
        <v>322041.37822895247</v>
      </c>
      <c r="AC82" s="70">
        <f ca="1">SUM(AC77:AC81)</f>
        <v>123493.13003201794</v>
      </c>
      <c r="AD82" s="71">
        <f t="shared" ca="1" si="52"/>
        <v>1769343.7313742535</v>
      </c>
      <c r="AE82" s="71">
        <f ca="1">SUM(AE77:AE81)</f>
        <v>-881816.85995060508</v>
      </c>
      <c r="AF82" s="71">
        <f ca="1">SUM(AF77:AF81)</f>
        <v>1263158.353323851</v>
      </c>
      <c r="AG82" s="71">
        <f ca="1">SUM(AG77:AG81)</f>
        <v>1723471.487613685</v>
      </c>
    </row>
    <row r="83" spans="1:33" s="23" customFormat="1" ht="12.75">
      <c r="A83" s="22"/>
      <c r="F83" s="29"/>
      <c r="G83" s="69"/>
      <c r="H83" s="69"/>
      <c r="I83" s="29"/>
      <c r="K83" s="29"/>
      <c r="L83" s="69"/>
      <c r="M83" s="69"/>
      <c r="N83" s="29"/>
      <c r="P83" s="29"/>
      <c r="Q83" s="29"/>
      <c r="R83" s="69"/>
      <c r="S83" s="29"/>
      <c r="U83" s="29"/>
      <c r="V83" s="70"/>
      <c r="W83" s="70"/>
      <c r="X83" s="70"/>
      <c r="Z83" s="70"/>
      <c r="AA83" s="70"/>
      <c r="AB83" s="70"/>
      <c r="AC83" s="70"/>
      <c r="AE83" s="71"/>
      <c r="AF83" s="71"/>
      <c r="AG83" s="71"/>
    </row>
    <row r="84" spans="1:33" s="23" customFormat="1" ht="12.75">
      <c r="A84" s="22"/>
      <c r="C84" s="28" t="s">
        <v>86</v>
      </c>
      <c r="F84" s="37"/>
      <c r="G84" s="37"/>
      <c r="H84" s="37"/>
      <c r="I84" s="37"/>
      <c r="J84" s="41"/>
      <c r="K84" s="37"/>
      <c r="L84" s="37"/>
      <c r="M84" s="37"/>
      <c r="N84" s="37"/>
      <c r="O84" s="41"/>
      <c r="P84" s="37"/>
      <c r="Q84" s="37"/>
      <c r="R84" s="37"/>
      <c r="S84" s="37"/>
      <c r="T84" s="41">
        <f>SUM(P84:S84)</f>
        <v>0</v>
      </c>
      <c r="U84" s="37"/>
      <c r="V84" s="40">
        <f>-V195</f>
        <v>-23127.962512499998</v>
      </c>
      <c r="W84" s="40">
        <f>-W195</f>
        <v>-25780.964151262498</v>
      </c>
      <c r="X84" s="40">
        <f>-X195</f>
        <v>-31705.913625966052</v>
      </c>
      <c r="Y84" s="41">
        <f>SUM(U84:X84)</f>
        <v>-80614.840289728541</v>
      </c>
      <c r="Z84" s="40">
        <f>-Z195</f>
        <v>-23548.752945715089</v>
      </c>
      <c r="AA84" s="40">
        <f>-AA195</f>
        <v>-25963.047909646648</v>
      </c>
      <c r="AB84" s="40">
        <f>-AB195</f>
        <v>-28836.104755441171</v>
      </c>
      <c r="AC84" s="40">
        <f>-AC195</f>
        <v>-36602.395183656634</v>
      </c>
      <c r="AD84" s="41">
        <f>SUM(Z84:AC84)</f>
        <v>-114950.30079445953</v>
      </c>
      <c r="AE84" s="41">
        <f>-AE195</f>
        <v>-118410.86645660823</v>
      </c>
      <c r="AF84" s="41">
        <f>-AF195</f>
        <v>-115907.16700129047</v>
      </c>
      <c r="AG84" s="41">
        <f>-AG195</f>
        <v>-109955.30147616951</v>
      </c>
    </row>
    <row r="85" spans="1:33" s="23" customFormat="1" ht="12.75">
      <c r="A85" s="22"/>
      <c r="C85" s="28" t="s">
        <v>85</v>
      </c>
      <c r="F85" s="37"/>
      <c r="G85" s="37"/>
      <c r="H85" s="37"/>
      <c r="I85" s="37"/>
      <c r="J85" s="41"/>
      <c r="K85" s="37"/>
      <c r="L85" s="37"/>
      <c r="M85" s="37"/>
      <c r="N85" s="37"/>
      <c r="O85" s="41"/>
      <c r="P85" s="37"/>
      <c r="Q85" s="37"/>
      <c r="R85" s="37"/>
      <c r="S85" s="37"/>
      <c r="T85" s="41">
        <f>SUM(P85:S85)</f>
        <v>0</v>
      </c>
      <c r="U85" s="37"/>
      <c r="V85" s="40">
        <f>-V209</f>
        <v>0</v>
      </c>
      <c r="W85" s="40">
        <f>-W209</f>
        <v>0</v>
      </c>
      <c r="X85" s="40">
        <f>-X209</f>
        <v>0</v>
      </c>
      <c r="Y85" s="41">
        <f>SUM(U85:X85)</f>
        <v>0</v>
      </c>
      <c r="Z85" s="40">
        <f>-Z209</f>
        <v>0</v>
      </c>
      <c r="AA85" s="40">
        <f>-AA209</f>
        <v>0</v>
      </c>
      <c r="AB85" s="40">
        <f>-AB209</f>
        <v>0</v>
      </c>
      <c r="AC85" s="40">
        <f>-AC209</f>
        <v>0</v>
      </c>
      <c r="AD85" s="41">
        <f>SUM(Z85:AC85)</f>
        <v>0</v>
      </c>
      <c r="AE85" s="41">
        <f>-AE209</f>
        <v>0</v>
      </c>
      <c r="AF85" s="41">
        <f>-AF209</f>
        <v>0</v>
      </c>
      <c r="AG85" s="41">
        <f>-AG209</f>
        <v>0</v>
      </c>
    </row>
    <row r="86" spans="1:33" s="23" customFormat="1" ht="12.75">
      <c r="A86" s="22"/>
      <c r="C86" s="28" t="s">
        <v>84</v>
      </c>
      <c r="F86" s="31"/>
      <c r="G86" s="31"/>
      <c r="H86" s="31"/>
      <c r="I86" s="31"/>
      <c r="J86" s="35"/>
      <c r="K86" s="31"/>
      <c r="L86" s="31"/>
      <c r="M86" s="31"/>
      <c r="N86" s="31"/>
      <c r="O86" s="35"/>
      <c r="P86" s="31"/>
      <c r="Q86" s="31"/>
      <c r="R86" s="31"/>
      <c r="S86" s="31"/>
      <c r="T86" s="35">
        <f>SUM(P86:S86)</f>
        <v>0</v>
      </c>
      <c r="U86" s="31"/>
      <c r="V86" s="72">
        <f>Drivers!V102</f>
        <v>0</v>
      </c>
      <c r="W86" s="72">
        <f>Drivers!W102</f>
        <v>0</v>
      </c>
      <c r="X86" s="72">
        <f>Drivers!X102</f>
        <v>0</v>
      </c>
      <c r="Y86" s="35">
        <f>SUM(U86:X86)</f>
        <v>0</v>
      </c>
      <c r="Z86" s="72">
        <f>Drivers!Z102</f>
        <v>0</v>
      </c>
      <c r="AA86" s="72">
        <f>Drivers!AA102</f>
        <v>0</v>
      </c>
      <c r="AB86" s="72">
        <f>Drivers!AB102</f>
        <v>0</v>
      </c>
      <c r="AC86" s="72">
        <f>Drivers!AC102</f>
        <v>0</v>
      </c>
      <c r="AD86" s="35">
        <f>SUM(Z86:AC86)</f>
        <v>0</v>
      </c>
      <c r="AE86" s="35">
        <f>Drivers!AE102</f>
        <v>0</v>
      </c>
      <c r="AF86" s="35">
        <f>Drivers!AF102</f>
        <v>0</v>
      </c>
      <c r="AG86" s="35">
        <f>Drivers!AG102</f>
        <v>0</v>
      </c>
    </row>
    <row r="87" spans="1:33" s="23" customFormat="1" ht="12.75">
      <c r="A87" s="22"/>
      <c r="C87" s="49" t="s">
        <v>73</v>
      </c>
      <c r="F87" s="69"/>
      <c r="G87" s="69"/>
      <c r="H87" s="69"/>
      <c r="I87" s="69"/>
      <c r="J87" s="71"/>
      <c r="K87" s="69"/>
      <c r="L87" s="69"/>
      <c r="M87" s="69"/>
      <c r="N87" s="69"/>
      <c r="O87" s="71"/>
      <c r="P87" s="69"/>
      <c r="Q87" s="69"/>
      <c r="R87" s="69"/>
      <c r="S87" s="69"/>
      <c r="T87" s="71">
        <f>SUM(P87:S87)</f>
        <v>0</v>
      </c>
      <c r="U87" s="69"/>
      <c r="V87" s="70">
        <f>SUM(V84:V86)</f>
        <v>-23127.962512499998</v>
      </c>
      <c r="W87" s="70">
        <f>SUM(W84:W86)</f>
        <v>-25780.964151262498</v>
      </c>
      <c r="X87" s="70">
        <f>SUM(X84:X86)</f>
        <v>-31705.913625966052</v>
      </c>
      <c r="Y87" s="71">
        <f>SUM(U87:X87)</f>
        <v>-80614.840289728541</v>
      </c>
      <c r="Z87" s="70">
        <f>SUM(Z84:Z86)</f>
        <v>-23548.752945715089</v>
      </c>
      <c r="AA87" s="70">
        <f>SUM(AA84:AA86)</f>
        <v>-25963.047909646648</v>
      </c>
      <c r="AB87" s="70">
        <f>SUM(AB84:AB86)</f>
        <v>-28836.104755441171</v>
      </c>
      <c r="AC87" s="70">
        <f>SUM(AC84:AC86)</f>
        <v>-36602.395183656634</v>
      </c>
      <c r="AD87" s="71">
        <f>SUM(Z87:AC87)</f>
        <v>-114950.30079445953</v>
      </c>
      <c r="AE87" s="71">
        <f>SUM(AE84:AE86)</f>
        <v>-118410.86645660823</v>
      </c>
      <c r="AF87" s="71">
        <f>SUM(AF84:AF86)</f>
        <v>-115907.16700129047</v>
      </c>
      <c r="AG87" s="71">
        <f>SUM(AG84:AG86)</f>
        <v>-109955.30147616951</v>
      </c>
    </row>
    <row r="88" spans="1:33" s="23" customFormat="1" ht="12.75">
      <c r="A88" s="22"/>
      <c r="F88" s="29"/>
      <c r="G88" s="69"/>
      <c r="H88" s="29"/>
      <c r="I88" s="29"/>
      <c r="K88" s="29"/>
      <c r="L88" s="69"/>
      <c r="M88" s="69"/>
      <c r="N88" s="29"/>
      <c r="P88" s="29"/>
      <c r="Q88" s="29"/>
      <c r="R88" s="69"/>
      <c r="S88" s="29"/>
      <c r="U88" s="29"/>
      <c r="V88" s="30"/>
      <c r="W88" s="30"/>
      <c r="X88" s="30"/>
      <c r="Z88" s="30"/>
      <c r="AA88" s="30"/>
      <c r="AB88" s="30"/>
      <c r="AC88" s="30"/>
    </row>
    <row r="89" spans="1:33" s="23" customFormat="1" ht="12.75">
      <c r="A89" s="22"/>
      <c r="B89" s="83"/>
      <c r="C89" s="581" t="s">
        <v>168</v>
      </c>
      <c r="D89" s="141"/>
      <c r="E89" s="141"/>
      <c r="F89" s="582"/>
      <c r="G89" s="582"/>
      <c r="H89" s="582"/>
      <c r="I89" s="582"/>
      <c r="J89" s="144"/>
      <c r="K89" s="582"/>
      <c r="L89" s="582"/>
      <c r="M89" s="582"/>
      <c r="N89" s="582"/>
      <c r="O89" s="144"/>
      <c r="P89" s="582"/>
      <c r="Q89" s="582"/>
      <c r="R89" s="582"/>
      <c r="S89" s="582"/>
      <c r="T89" s="144">
        <f>SUM(P89:S89)</f>
        <v>0</v>
      </c>
      <c r="U89" s="582"/>
      <c r="V89" s="143">
        <f ca="1">SUM(V82,V87)</f>
        <v>-22239.227275068053</v>
      </c>
      <c r="W89" s="143">
        <f ca="1">SUM(W82,W87)</f>
        <v>244011.23758869039</v>
      </c>
      <c r="X89" s="143">
        <f ca="1">SUM(X82,X87)</f>
        <v>102288.76807819842</v>
      </c>
      <c r="Y89" s="144">
        <f ca="1">SUM(U89:X89)</f>
        <v>324060.77839182073</v>
      </c>
      <c r="Z89" s="143">
        <f ca="1">SUM(Z82,Z87)</f>
        <v>1019445.4693608857</v>
      </c>
      <c r="AA89" s="143">
        <f ca="1">SUM(AA82,AA87)</f>
        <v>254851.95289703552</v>
      </c>
      <c r="AB89" s="143">
        <f ca="1">SUM(AB82,AB87)</f>
        <v>293205.27347351128</v>
      </c>
      <c r="AC89" s="143">
        <f ca="1">SUM(AC82,AC87)</f>
        <v>86890.734848361317</v>
      </c>
      <c r="AD89" s="144">
        <f ca="1">SUM(Z89:AC89)</f>
        <v>1654393.4305797936</v>
      </c>
      <c r="AE89" s="144">
        <f ca="1">SUM(AE82,AE87)</f>
        <v>-1000227.7264072134</v>
      </c>
      <c r="AF89" s="144">
        <f ca="1">SUM(AF82,AF87)</f>
        <v>1147251.1863225605</v>
      </c>
      <c r="AG89" s="144">
        <f ca="1">SUM(AG82,AG87)</f>
        <v>1613516.1861375154</v>
      </c>
    </row>
    <row r="90" spans="1:33" s="23" customFormat="1" ht="12.75">
      <c r="A90" s="22"/>
      <c r="F90" s="29"/>
      <c r="G90" s="29"/>
      <c r="H90" s="29"/>
      <c r="I90" s="29"/>
      <c r="K90" s="29"/>
      <c r="L90" s="29"/>
      <c r="M90" s="29"/>
      <c r="N90" s="29"/>
      <c r="P90" s="29"/>
      <c r="Q90" s="29"/>
      <c r="R90" s="29"/>
      <c r="S90" s="29"/>
      <c r="U90" s="29"/>
      <c r="V90" s="30"/>
      <c r="W90" s="30"/>
      <c r="X90" s="30"/>
      <c r="Z90" s="30"/>
      <c r="AA90" s="30"/>
      <c r="AB90" s="30"/>
      <c r="AC90" s="30"/>
    </row>
    <row r="91" spans="1:33" s="23" customFormat="1" ht="12.75">
      <c r="A91" s="22"/>
      <c r="C91" s="28" t="s">
        <v>83</v>
      </c>
      <c r="F91" s="37"/>
      <c r="G91" s="37"/>
      <c r="H91" s="37"/>
      <c r="I91" s="37"/>
      <c r="J91" s="41"/>
      <c r="K91" s="37"/>
      <c r="L91" s="37"/>
      <c r="M91" s="37"/>
      <c r="N91" s="37"/>
      <c r="O91" s="41"/>
      <c r="P91" s="37"/>
      <c r="Q91" s="37"/>
      <c r="R91" s="37"/>
      <c r="S91" s="37"/>
      <c r="T91" s="41">
        <f t="shared" ref="T91:T98" si="53">SUM(P91:S91)</f>
        <v>0</v>
      </c>
      <c r="U91" s="37"/>
      <c r="V91" s="40">
        <f ca="1">V305</f>
        <v>0</v>
      </c>
      <c r="W91" s="40">
        <f ca="1">W305</f>
        <v>0</v>
      </c>
      <c r="X91" s="40">
        <f ca="1">X305</f>
        <v>0</v>
      </c>
      <c r="Y91" s="41">
        <f t="shared" ref="Y91:Y98" ca="1" si="54">SUM(U91:X91)</f>
        <v>0</v>
      </c>
      <c r="Z91" s="40">
        <f ca="1">Z305</f>
        <v>0</v>
      </c>
      <c r="AA91" s="40">
        <f ca="1">AA305</f>
        <v>0</v>
      </c>
      <c r="AB91" s="40">
        <f ca="1">AB305</f>
        <v>0</v>
      </c>
      <c r="AC91" s="40">
        <f ca="1">AC305</f>
        <v>0</v>
      </c>
      <c r="AD91" s="41">
        <f t="shared" ref="AD91:AD98" ca="1" si="55">SUM(Z91:AC91)</f>
        <v>0</v>
      </c>
      <c r="AE91" s="41">
        <f ca="1">AE305</f>
        <v>273553.56440879195</v>
      </c>
      <c r="AF91" s="41">
        <f ca="1">AF305</f>
        <v>-273553.56440879195</v>
      </c>
      <c r="AG91" s="41">
        <f ca="1">AG305</f>
        <v>0</v>
      </c>
    </row>
    <row r="92" spans="1:33" s="23" customFormat="1" ht="12.75">
      <c r="A92" s="22"/>
      <c r="C92" s="28" t="s">
        <v>82</v>
      </c>
      <c r="F92" s="37"/>
      <c r="G92" s="37"/>
      <c r="H92" s="37"/>
      <c r="I92" s="37"/>
      <c r="J92" s="41"/>
      <c r="K92" s="37"/>
      <c r="L92" s="37"/>
      <c r="M92" s="37"/>
      <c r="N92" s="37"/>
      <c r="O92" s="41"/>
      <c r="P92" s="37"/>
      <c r="Q92" s="37"/>
      <c r="R92" s="37"/>
      <c r="S92" s="37"/>
      <c r="T92" s="41">
        <f t="shared" si="53"/>
        <v>0</v>
      </c>
      <c r="U92" s="37"/>
      <c r="V92" s="40">
        <f t="shared" ref="U92:X92" si="56">V310</f>
        <v>500</v>
      </c>
      <c r="W92" s="40">
        <f t="shared" si="56"/>
        <v>0</v>
      </c>
      <c r="X92" s="40">
        <f t="shared" si="56"/>
        <v>500</v>
      </c>
      <c r="Y92" s="41">
        <f t="shared" si="54"/>
        <v>1000</v>
      </c>
      <c r="Z92" s="40">
        <f t="shared" ref="Z92:AC93" si="57">Z310</f>
        <v>0</v>
      </c>
      <c r="AA92" s="40">
        <f t="shared" si="57"/>
        <v>500</v>
      </c>
      <c r="AB92" s="40">
        <f t="shared" si="57"/>
        <v>0</v>
      </c>
      <c r="AC92" s="40">
        <f t="shared" si="57"/>
        <v>500</v>
      </c>
      <c r="AD92" s="41">
        <f t="shared" si="55"/>
        <v>1000</v>
      </c>
      <c r="AE92" s="41">
        <f t="shared" ref="AE92:AG93" si="58">AE310</f>
        <v>1000</v>
      </c>
      <c r="AF92" s="41">
        <f t="shared" si="58"/>
        <v>1000</v>
      </c>
      <c r="AG92" s="41">
        <f t="shared" si="58"/>
        <v>1000</v>
      </c>
    </row>
    <row r="93" spans="1:33" s="23" customFormat="1" ht="12.75">
      <c r="A93" s="22"/>
      <c r="C93" s="28" t="s">
        <v>598</v>
      </c>
      <c r="F93" s="37"/>
      <c r="G93" s="37"/>
      <c r="H93" s="37"/>
      <c r="I93" s="37"/>
      <c r="J93" s="41"/>
      <c r="K93" s="37"/>
      <c r="L93" s="37"/>
      <c r="M93" s="37"/>
      <c r="N93" s="37"/>
      <c r="O93" s="41"/>
      <c r="P93" s="37"/>
      <c r="Q93" s="37"/>
      <c r="R93" s="37"/>
      <c r="S93" s="37"/>
      <c r="T93" s="41">
        <f t="shared" si="53"/>
        <v>0</v>
      </c>
      <c r="U93" s="37"/>
      <c r="V93" s="40">
        <f t="shared" ref="U93:X93" si="59">V311</f>
        <v>-200</v>
      </c>
      <c r="W93" s="40">
        <f t="shared" si="59"/>
        <v>-400</v>
      </c>
      <c r="X93" s="40">
        <f t="shared" si="59"/>
        <v>-400</v>
      </c>
      <c r="Y93" s="41">
        <f t="shared" si="54"/>
        <v>-1000</v>
      </c>
      <c r="Z93" s="40">
        <f t="shared" si="57"/>
        <v>-200</v>
      </c>
      <c r="AA93" s="40">
        <f t="shared" si="57"/>
        <v>-200</v>
      </c>
      <c r="AB93" s="40">
        <f t="shared" si="57"/>
        <v>-400</v>
      </c>
      <c r="AC93" s="40">
        <f t="shared" si="57"/>
        <v>-400</v>
      </c>
      <c r="AD93" s="41">
        <f t="shared" si="55"/>
        <v>-1200</v>
      </c>
      <c r="AE93" s="41">
        <f t="shared" si="58"/>
        <v>-1600</v>
      </c>
      <c r="AF93" s="41">
        <f t="shared" si="58"/>
        <v>-1600</v>
      </c>
      <c r="AG93" s="41">
        <f t="shared" si="58"/>
        <v>-1600</v>
      </c>
    </row>
    <row r="94" spans="1:33" s="23" customFormat="1" ht="12.75">
      <c r="A94" s="22"/>
      <c r="C94" s="28" t="s">
        <v>81</v>
      </c>
      <c r="F94" s="37"/>
      <c r="G94" s="37"/>
      <c r="H94" s="37"/>
      <c r="I94" s="37"/>
      <c r="J94" s="41"/>
      <c r="K94" s="37"/>
      <c r="L94" s="37"/>
      <c r="M94" s="37"/>
      <c r="N94" s="37"/>
      <c r="O94" s="41"/>
      <c r="P94" s="37"/>
      <c r="Q94" s="37"/>
      <c r="R94" s="37"/>
      <c r="S94" s="37"/>
      <c r="T94" s="41">
        <f t="shared" si="53"/>
        <v>0</v>
      </c>
      <c r="U94" s="37"/>
      <c r="V94" s="40">
        <f>V247</f>
        <v>0</v>
      </c>
      <c r="W94" s="40">
        <f>W247</f>
        <v>0</v>
      </c>
      <c r="X94" s="40">
        <f>X247</f>
        <v>0</v>
      </c>
      <c r="Y94" s="41">
        <f t="shared" si="54"/>
        <v>0</v>
      </c>
      <c r="Z94" s="40">
        <f>Z247</f>
        <v>0</v>
      </c>
      <c r="AA94" s="40">
        <f>AA247</f>
        <v>0</v>
      </c>
      <c r="AB94" s="40">
        <f>AB247</f>
        <v>0</v>
      </c>
      <c r="AC94" s="40">
        <f>AC247</f>
        <v>0</v>
      </c>
      <c r="AD94" s="41">
        <f t="shared" si="55"/>
        <v>0</v>
      </c>
      <c r="AE94" s="41">
        <f>AE247</f>
        <v>0</v>
      </c>
      <c r="AF94" s="41">
        <f>AF247</f>
        <v>0</v>
      </c>
      <c r="AG94" s="41">
        <f>AG247</f>
        <v>0</v>
      </c>
    </row>
    <row r="95" spans="1:33" s="23" customFormat="1" ht="12.75">
      <c r="A95" s="22"/>
      <c r="C95" s="28" t="s">
        <v>80</v>
      </c>
      <c r="F95" s="37"/>
      <c r="G95" s="37"/>
      <c r="H95" s="37"/>
      <c r="I95" s="37"/>
      <c r="J95" s="41"/>
      <c r="K95" s="37"/>
      <c r="L95" s="37"/>
      <c r="M95" s="37"/>
      <c r="N95" s="37"/>
      <c r="O95" s="41"/>
      <c r="P95" s="37"/>
      <c r="Q95" s="37"/>
      <c r="R95" s="37"/>
      <c r="S95" s="37"/>
      <c r="T95" s="41">
        <f t="shared" si="53"/>
        <v>0</v>
      </c>
      <c r="U95" s="37"/>
      <c r="V95" s="40">
        <f>-V243</f>
        <v>-130000</v>
      </c>
      <c r="W95" s="40">
        <f>-W243</f>
        <v>-130000</v>
      </c>
      <c r="X95" s="40">
        <f>-X243</f>
        <v>-130000</v>
      </c>
      <c r="Y95" s="41">
        <f t="shared" si="54"/>
        <v>-390000</v>
      </c>
      <c r="Z95" s="40">
        <f>-Z243</f>
        <v>-130000</v>
      </c>
      <c r="AA95" s="40">
        <f>-AA243</f>
        <v>-130000</v>
      </c>
      <c r="AB95" s="40">
        <f>-AB243</f>
        <v>-130000</v>
      </c>
      <c r="AC95" s="40">
        <f>-AC243</f>
        <v>-130000</v>
      </c>
      <c r="AD95" s="41">
        <f t="shared" si="55"/>
        <v>-520000</v>
      </c>
      <c r="AE95" s="41">
        <f>-AE243</f>
        <v>-400000</v>
      </c>
      <c r="AF95" s="41">
        <f>-AF243</f>
        <v>-400000</v>
      </c>
      <c r="AG95" s="41">
        <f>-AG243</f>
        <v>-400000</v>
      </c>
    </row>
    <row r="96" spans="1:33" s="23" customFormat="1" ht="12.75">
      <c r="A96" s="22"/>
      <c r="C96" s="28" t="s">
        <v>79</v>
      </c>
      <c r="F96" s="37"/>
      <c r="G96" s="37"/>
      <c r="H96" s="37"/>
      <c r="I96" s="37"/>
      <c r="J96" s="41"/>
      <c r="K96" s="37"/>
      <c r="L96" s="37"/>
      <c r="M96" s="37"/>
      <c r="N96" s="37"/>
      <c r="O96" s="41"/>
      <c r="P96" s="37"/>
      <c r="Q96" s="37"/>
      <c r="R96" s="37"/>
      <c r="S96" s="37"/>
      <c r="T96" s="41">
        <f t="shared" si="53"/>
        <v>0</v>
      </c>
      <c r="U96" s="37"/>
      <c r="V96" s="40">
        <f>-V269</f>
        <v>-38508.740000000005</v>
      </c>
      <c r="W96" s="40">
        <f>-W269</f>
        <v>-38668.800000000003</v>
      </c>
      <c r="X96" s="40">
        <f>-X269</f>
        <v>-40559.840000000004</v>
      </c>
      <c r="Y96" s="41">
        <f t="shared" si="54"/>
        <v>-117737.38</v>
      </c>
      <c r="Z96" s="40">
        <f>-Z269</f>
        <v>-38915.78</v>
      </c>
      <c r="AA96" s="40">
        <f>-AA269</f>
        <v>-40819.264400000007</v>
      </c>
      <c r="AB96" s="40">
        <f>-AB269</f>
        <v>-40988.928000000007</v>
      </c>
      <c r="AC96" s="40">
        <f>-AC269</f>
        <v>-42993.430400000005</v>
      </c>
      <c r="AD96" s="41">
        <f t="shared" si="55"/>
        <v>-163717.40280000004</v>
      </c>
      <c r="AE96" s="41">
        <f>-AE269</f>
        <v>-171903.27294000005</v>
      </c>
      <c r="AF96" s="41">
        <f>-AF269</f>
        <v>-180498.43658700006</v>
      </c>
      <c r="AG96" s="41">
        <f>-AG269</f>
        <v>-189523.35841635006</v>
      </c>
    </row>
    <row r="97" spans="1:34" s="23" customFormat="1" ht="12.75">
      <c r="A97" s="22"/>
      <c r="C97" s="28" t="s">
        <v>599</v>
      </c>
      <c r="F97" s="31"/>
      <c r="G97" s="31"/>
      <c r="H97" s="31"/>
      <c r="I97" s="31"/>
      <c r="J97" s="35"/>
      <c r="K97" s="31"/>
      <c r="L97" s="31"/>
      <c r="M97" s="31"/>
      <c r="N97" s="31"/>
      <c r="O97" s="35"/>
      <c r="P97" s="31"/>
      <c r="Q97" s="31"/>
      <c r="R97" s="31"/>
      <c r="S97" s="31"/>
      <c r="T97" s="35">
        <f t="shared" si="53"/>
        <v>0</v>
      </c>
      <c r="U97" s="31"/>
      <c r="V97" s="72">
        <f>Drivers!V111</f>
        <v>0</v>
      </c>
      <c r="W97" s="72">
        <f>Drivers!W111</f>
        <v>0</v>
      </c>
      <c r="X97" s="72">
        <f>Drivers!X111</f>
        <v>0</v>
      </c>
      <c r="Y97" s="35">
        <f t="shared" si="54"/>
        <v>0</v>
      </c>
      <c r="Z97" s="72">
        <f>Drivers!Z111</f>
        <v>0</v>
      </c>
      <c r="AA97" s="72">
        <f>Drivers!AA111</f>
        <v>0</v>
      </c>
      <c r="AB97" s="72">
        <f>Drivers!AB111</f>
        <v>0</v>
      </c>
      <c r="AC97" s="72">
        <f>Drivers!AC111</f>
        <v>0</v>
      </c>
      <c r="AD97" s="35">
        <f t="shared" si="55"/>
        <v>0</v>
      </c>
      <c r="AE97" s="73">
        <f>Drivers!AE111</f>
        <v>0</v>
      </c>
      <c r="AF97" s="73">
        <f>Drivers!AF111</f>
        <v>0</v>
      </c>
      <c r="AG97" s="73">
        <f>Drivers!AG111</f>
        <v>0</v>
      </c>
    </row>
    <row r="98" spans="1:34" s="23" customFormat="1" ht="12.75">
      <c r="A98" s="22"/>
      <c r="C98" s="49" t="s">
        <v>78</v>
      </c>
      <c r="F98" s="69"/>
      <c r="G98" s="69"/>
      <c r="H98" s="69"/>
      <c r="I98" s="69"/>
      <c r="J98" s="71"/>
      <c r="K98" s="69"/>
      <c r="L98" s="69"/>
      <c r="M98" s="69"/>
      <c r="N98" s="69"/>
      <c r="O98" s="71"/>
      <c r="P98" s="69"/>
      <c r="Q98" s="69"/>
      <c r="R98" s="69"/>
      <c r="S98" s="69"/>
      <c r="T98" s="71">
        <f t="shared" si="53"/>
        <v>0</v>
      </c>
      <c r="U98" s="69"/>
      <c r="V98" s="70">
        <f ca="1">SUM(V91:V97)</f>
        <v>-168208.74</v>
      </c>
      <c r="W98" s="70">
        <f ca="1">SUM(W91:W97)</f>
        <v>-169068.79999999999</v>
      </c>
      <c r="X98" s="70">
        <f ca="1">SUM(X91:X97)</f>
        <v>-170459.84</v>
      </c>
      <c r="Y98" s="71">
        <f t="shared" ca="1" si="54"/>
        <v>-507737.38</v>
      </c>
      <c r="Z98" s="70">
        <f ca="1">SUM(Z91:Z97)</f>
        <v>-169115.78</v>
      </c>
      <c r="AA98" s="70">
        <f ca="1">SUM(AA91:AA97)</f>
        <v>-170519.26440000001</v>
      </c>
      <c r="AB98" s="70">
        <f ca="1">SUM(AB91:AB97)</f>
        <v>-171388.92800000001</v>
      </c>
      <c r="AC98" s="70">
        <f ca="1">SUM(AC91:AC97)</f>
        <v>-172893.43040000001</v>
      </c>
      <c r="AD98" s="71">
        <f t="shared" ca="1" si="55"/>
        <v>-683917.40280000004</v>
      </c>
      <c r="AE98" s="71">
        <f ca="1">SUM(AE91:AE97)</f>
        <v>-298949.7085312081</v>
      </c>
      <c r="AF98" s="71">
        <f ca="1">SUM(AF91:AF97)</f>
        <v>-854652.00099579198</v>
      </c>
      <c r="AG98" s="71">
        <f ca="1">SUM(AG91:AG97)</f>
        <v>-590123.35841635009</v>
      </c>
    </row>
    <row r="99" spans="1:34" s="23" customFormat="1" ht="12.75">
      <c r="A99" s="22"/>
      <c r="C99" s="28"/>
      <c r="F99" s="29"/>
      <c r="G99" s="29"/>
      <c r="H99" s="69"/>
      <c r="I99" s="29"/>
      <c r="K99" s="29"/>
      <c r="L99" s="29"/>
      <c r="M99" s="69"/>
      <c r="N99" s="29"/>
      <c r="P99" s="29"/>
      <c r="Q99" s="29"/>
      <c r="R99" s="69"/>
      <c r="S99" s="29"/>
      <c r="U99" s="29"/>
      <c r="V99" s="70"/>
      <c r="W99" s="70"/>
      <c r="X99" s="70"/>
      <c r="Z99" s="70"/>
      <c r="AA99" s="70"/>
      <c r="AB99" s="70"/>
      <c r="AC99" s="70"/>
    </row>
    <row r="100" spans="1:34" s="23" customFormat="1" ht="12.75">
      <c r="A100" s="22"/>
      <c r="C100" s="28" t="s">
        <v>77</v>
      </c>
      <c r="F100" s="37"/>
      <c r="G100" s="37"/>
      <c r="H100" s="37"/>
      <c r="I100" s="37"/>
      <c r="J100" s="41"/>
      <c r="K100" s="37"/>
      <c r="L100" s="37"/>
      <c r="M100" s="37"/>
      <c r="N100" s="37"/>
      <c r="O100" s="41"/>
      <c r="P100" s="37"/>
      <c r="Q100" s="37"/>
      <c r="R100" s="37"/>
      <c r="S100" s="37"/>
      <c r="T100" s="41">
        <f>SUM(P100:S100)</f>
        <v>0</v>
      </c>
      <c r="U100" s="37"/>
      <c r="V100" s="43">
        <f>Drivers!V113</f>
        <v>0</v>
      </c>
      <c r="W100" s="43">
        <f>Drivers!W113</f>
        <v>0</v>
      </c>
      <c r="X100" s="43">
        <f>Drivers!X113</f>
        <v>0</v>
      </c>
      <c r="Y100" s="41">
        <f>SUM(U100:X100)</f>
        <v>0</v>
      </c>
      <c r="Z100" s="43">
        <f>Drivers!Z113</f>
        <v>0</v>
      </c>
      <c r="AA100" s="43">
        <f>Drivers!AA113</f>
        <v>0</v>
      </c>
      <c r="AB100" s="43">
        <f>Drivers!AB113</f>
        <v>0</v>
      </c>
      <c r="AC100" s="43">
        <f>Drivers!AC113</f>
        <v>0</v>
      </c>
      <c r="AD100" s="41">
        <f>SUM(Z100:AC100)</f>
        <v>0</v>
      </c>
      <c r="AE100" s="44">
        <f>Drivers!AE113</f>
        <v>0</v>
      </c>
      <c r="AF100" s="44">
        <f>Drivers!AF113</f>
        <v>0</v>
      </c>
      <c r="AG100" s="44">
        <f>Drivers!AG113</f>
        <v>0</v>
      </c>
    </row>
    <row r="101" spans="1:34" s="23" customFormat="1" ht="12.75">
      <c r="A101" s="22"/>
      <c r="C101" s="28" t="s">
        <v>213</v>
      </c>
      <c r="F101" s="37"/>
      <c r="G101" s="37"/>
      <c r="H101" s="37"/>
      <c r="I101" s="37"/>
      <c r="J101" s="41"/>
      <c r="K101" s="37"/>
      <c r="L101" s="37"/>
      <c r="M101" s="37"/>
      <c r="N101" s="37"/>
      <c r="O101" s="41"/>
      <c r="P101" s="37"/>
      <c r="Q101" s="37"/>
      <c r="R101" s="37"/>
      <c r="S101" s="37"/>
      <c r="T101" s="41">
        <f>SUM(P101:S101)</f>
        <v>0</v>
      </c>
      <c r="U101" s="37"/>
      <c r="V101" s="39">
        <v>0</v>
      </c>
      <c r="W101" s="39">
        <v>0</v>
      </c>
      <c r="X101" s="39">
        <v>0</v>
      </c>
      <c r="Y101" s="41">
        <f>SUM(U101:X101)</f>
        <v>0</v>
      </c>
      <c r="Z101" s="39">
        <v>0</v>
      </c>
      <c r="AA101" s="39">
        <v>0</v>
      </c>
      <c r="AB101" s="39">
        <v>0</v>
      </c>
      <c r="AC101" s="39">
        <v>0</v>
      </c>
      <c r="AD101" s="41">
        <f>SUM(Z101:AC101)</f>
        <v>0</v>
      </c>
      <c r="AE101" s="47">
        <v>0</v>
      </c>
      <c r="AF101" s="47">
        <v>0</v>
      </c>
      <c r="AG101" s="47">
        <v>0</v>
      </c>
    </row>
    <row r="102" spans="1:34" s="23" customFormat="1" ht="12.75">
      <c r="A102" s="22"/>
      <c r="C102" s="28" t="s">
        <v>214</v>
      </c>
      <c r="F102" s="37"/>
      <c r="G102" s="37"/>
      <c r="H102" s="37"/>
      <c r="I102" s="37"/>
      <c r="J102" s="41"/>
      <c r="K102" s="37"/>
      <c r="L102" s="37"/>
      <c r="M102" s="37"/>
      <c r="N102" s="37"/>
      <c r="O102" s="41"/>
      <c r="P102" s="37"/>
      <c r="Q102" s="37"/>
      <c r="R102" s="37"/>
      <c r="S102" s="37"/>
      <c r="T102" s="41">
        <f>SUM(P102:S102)</f>
        <v>0</v>
      </c>
      <c r="U102" s="37"/>
      <c r="V102" s="39">
        <v>0</v>
      </c>
      <c r="W102" s="39">
        <v>0</v>
      </c>
      <c r="X102" s="39">
        <v>0</v>
      </c>
      <c r="Y102" s="41">
        <f>SUM(U102:X102)</f>
        <v>0</v>
      </c>
      <c r="Z102" s="39">
        <v>0</v>
      </c>
      <c r="AA102" s="39">
        <v>0</v>
      </c>
      <c r="AB102" s="39">
        <v>0</v>
      </c>
      <c r="AC102" s="39">
        <v>0</v>
      </c>
      <c r="AD102" s="41">
        <f>SUM(Z102:AC102)</f>
        <v>0</v>
      </c>
      <c r="AE102" s="47">
        <v>0</v>
      </c>
      <c r="AF102" s="47">
        <v>0</v>
      </c>
      <c r="AG102" s="47">
        <v>0</v>
      </c>
    </row>
    <row r="103" spans="1:34" s="23" customFormat="1" ht="12.75">
      <c r="A103" s="22"/>
      <c r="C103" s="28"/>
      <c r="F103" s="29"/>
      <c r="G103" s="29"/>
      <c r="H103" s="29"/>
      <c r="I103" s="29"/>
      <c r="K103" s="29"/>
      <c r="L103" s="29"/>
      <c r="M103" s="29"/>
      <c r="N103" s="29"/>
      <c r="P103" s="29"/>
      <c r="Q103" s="29"/>
      <c r="R103" s="29"/>
      <c r="S103" s="29"/>
      <c r="U103" s="29"/>
      <c r="V103" s="30"/>
      <c r="W103" s="30"/>
      <c r="X103" s="30"/>
      <c r="Z103" s="30"/>
      <c r="AA103" s="30"/>
      <c r="AB103" s="30"/>
      <c r="AC103" s="30"/>
    </row>
    <row r="104" spans="1:34" s="23" customFormat="1" ht="12.75">
      <c r="A104" s="22"/>
      <c r="C104" s="49" t="s">
        <v>76</v>
      </c>
      <c r="F104" s="583"/>
      <c r="G104" s="583"/>
      <c r="H104" s="583"/>
      <c r="I104" s="583"/>
      <c r="J104" s="71"/>
      <c r="K104" s="583"/>
      <c r="L104" s="583"/>
      <c r="M104" s="583"/>
      <c r="N104" s="583"/>
      <c r="O104" s="71"/>
      <c r="P104" s="583"/>
      <c r="Q104" s="583"/>
      <c r="R104" s="583"/>
      <c r="S104" s="583"/>
      <c r="T104" s="71">
        <f>+S122</f>
        <v>1426020</v>
      </c>
      <c r="U104" s="583">
        <f>+U106</f>
        <v>985987</v>
      </c>
      <c r="V104" s="70">
        <f>U106+V101</f>
        <v>985987</v>
      </c>
      <c r="W104" s="70">
        <f ca="1">V106+W101</f>
        <v>795539.03272493195</v>
      </c>
      <c r="X104" s="70">
        <f ca="1">W106+X101</f>
        <v>870481.47031362238</v>
      </c>
      <c r="Y104" s="71">
        <f>+U104</f>
        <v>985987</v>
      </c>
      <c r="Z104" s="70">
        <f ca="1">Y106+Z101</f>
        <v>802310.39839182072</v>
      </c>
      <c r="AA104" s="70">
        <f ca="1">Z106+AA101</f>
        <v>1652640.0877527064</v>
      </c>
      <c r="AB104" s="70">
        <f ca="1">AA106+AB101</f>
        <v>1736972.7762497419</v>
      </c>
      <c r="AC104" s="70">
        <f ca="1">AB106+AC101</f>
        <v>1858789.1217232533</v>
      </c>
      <c r="AD104" s="71">
        <f ca="1">Z104</f>
        <v>802310.39839182072</v>
      </c>
      <c r="AE104" s="71">
        <f ca="1">AD106+AE101</f>
        <v>1772786.4261716143</v>
      </c>
      <c r="AF104" s="71">
        <f ca="1">AE106+AF101</f>
        <v>473608.99123319285</v>
      </c>
      <c r="AG104" s="71">
        <f ca="1">AF106+AG101</f>
        <v>766208.1765599614</v>
      </c>
    </row>
    <row r="105" spans="1:34" s="23" customFormat="1" ht="12.75">
      <c r="A105" s="22"/>
      <c r="C105" s="28" t="s">
        <v>75</v>
      </c>
      <c r="F105" s="74"/>
      <c r="G105" s="74"/>
      <c r="H105" s="74"/>
      <c r="I105" s="74"/>
      <c r="J105" s="32"/>
      <c r="K105" s="74"/>
      <c r="L105" s="74"/>
      <c r="M105" s="74"/>
      <c r="N105" s="74"/>
      <c r="O105" s="32"/>
      <c r="P105" s="74"/>
      <c r="Q105" s="74"/>
      <c r="R105" s="74"/>
      <c r="S105" s="74"/>
      <c r="T105" s="32">
        <f>SUM(P105:S105)</f>
        <v>0</v>
      </c>
      <c r="U105" s="74"/>
      <c r="V105" s="54">
        <f ca="1">SUM(V89,V98,V100,V102)</f>
        <v>-190447.96727506805</v>
      </c>
      <c r="W105" s="54">
        <f ca="1">SUM(W89,W98,W100,W102)</f>
        <v>74942.437588690402</v>
      </c>
      <c r="X105" s="54">
        <f ca="1">SUM(X89,X98,X100,X102)</f>
        <v>-68171.071921801573</v>
      </c>
      <c r="Y105" s="32">
        <f ca="1">SUM(U105:X105)</f>
        <v>-183676.60160817922</v>
      </c>
      <c r="Z105" s="54">
        <f ca="1">SUM(Z89,Z98,Z100,Z102)</f>
        <v>850329.68936088565</v>
      </c>
      <c r="AA105" s="54">
        <f ca="1">SUM(AA89,AA98,AA100,AA102)</f>
        <v>84332.688497035502</v>
      </c>
      <c r="AB105" s="54">
        <f ca="1">SUM(AB89,AB98,AB100,AB102)</f>
        <v>121816.34547351126</v>
      </c>
      <c r="AC105" s="54">
        <f ca="1">SUM(AC89,AC98,AC100,AC102)</f>
        <v>-86002.695551638695</v>
      </c>
      <c r="AD105" s="32">
        <f ca="1">SUM(Z105:AC105)</f>
        <v>970476.0277797936</v>
      </c>
      <c r="AE105" s="32">
        <f ca="1">SUM(AE89,AE98,AE100,AE102)</f>
        <v>-1299177.4349384215</v>
      </c>
      <c r="AF105" s="32">
        <f ca="1">SUM(AF89,AF98,AF100,AF102)</f>
        <v>292599.18532676855</v>
      </c>
      <c r="AG105" s="32">
        <f ca="1">SUM(AG89,AG98,AG100,AG102)</f>
        <v>1023392.8277211653</v>
      </c>
    </row>
    <row r="106" spans="1:34" s="23" customFormat="1" ht="12.75">
      <c r="A106" s="22"/>
      <c r="C106" s="49" t="s">
        <v>74</v>
      </c>
      <c r="F106" s="583"/>
      <c r="G106" s="583"/>
      <c r="H106" s="583"/>
      <c r="I106" s="583"/>
      <c r="J106" s="71"/>
      <c r="K106" s="583"/>
      <c r="L106" s="583"/>
      <c r="M106" s="583"/>
      <c r="N106" s="583"/>
      <c r="O106" s="869"/>
      <c r="P106" s="583"/>
      <c r="Q106" s="583"/>
      <c r="R106" s="80"/>
      <c r="S106" s="583"/>
      <c r="T106" s="71">
        <f t="shared" ref="T106:X106" si="60">SUM(T104:T105)</f>
        <v>1426020</v>
      </c>
      <c r="U106" s="583">
        <f>+U122</f>
        <v>985987</v>
      </c>
      <c r="V106" s="70">
        <f t="shared" ca="1" si="60"/>
        <v>795539.03272493195</v>
      </c>
      <c r="W106" s="70">
        <f t="shared" ca="1" si="60"/>
        <v>870481.47031362238</v>
      </c>
      <c r="X106" s="70">
        <f t="shared" ca="1" si="60"/>
        <v>802310.39839182084</v>
      </c>
      <c r="Y106" s="71">
        <f t="shared" ref="Y106:AG106" ca="1" si="61">SUM(Y104:Y105)</f>
        <v>802310.39839182072</v>
      </c>
      <c r="Z106" s="70">
        <f t="shared" ca="1" si="61"/>
        <v>1652640.0877527064</v>
      </c>
      <c r="AA106" s="70">
        <f t="shared" ca="1" si="61"/>
        <v>1736972.7762497419</v>
      </c>
      <c r="AB106" s="70">
        <f t="shared" ca="1" si="61"/>
        <v>1858789.1217232533</v>
      </c>
      <c r="AC106" s="70">
        <f t="shared" ca="1" si="61"/>
        <v>1772786.4261716146</v>
      </c>
      <c r="AD106" s="71">
        <f t="shared" ca="1" si="61"/>
        <v>1772786.4261716143</v>
      </c>
      <c r="AE106" s="71">
        <f t="shared" ca="1" si="61"/>
        <v>473608.99123319285</v>
      </c>
      <c r="AF106" s="71">
        <f t="shared" ca="1" si="61"/>
        <v>766208.1765599614</v>
      </c>
      <c r="AG106" s="71">
        <f t="shared" ca="1" si="61"/>
        <v>1789601.0042811267</v>
      </c>
    </row>
    <row r="107" spans="1:34" s="23" customFormat="1" ht="12.75">
      <c r="A107" s="22"/>
      <c r="C107" s="49"/>
      <c r="F107" s="29"/>
      <c r="G107" s="29"/>
      <c r="H107" s="29"/>
      <c r="I107" s="29"/>
      <c r="K107" s="29"/>
      <c r="L107" s="29"/>
      <c r="M107" s="29"/>
      <c r="N107" s="29"/>
      <c r="P107" s="29"/>
      <c r="Q107" s="29"/>
      <c r="R107" s="29"/>
      <c r="S107" s="29"/>
      <c r="U107" s="29"/>
      <c r="V107" s="30"/>
      <c r="W107" s="30"/>
      <c r="X107" s="30"/>
      <c r="Z107" s="30"/>
      <c r="AA107" s="30"/>
      <c r="AB107" s="30"/>
      <c r="AC107" s="30"/>
    </row>
    <row r="108" spans="1:34" s="23" customFormat="1" ht="12.75">
      <c r="A108" s="22" t="s">
        <v>1</v>
      </c>
      <c r="C108" s="568" t="s">
        <v>189</v>
      </c>
      <c r="D108" s="409"/>
      <c r="E108" s="409"/>
      <c r="F108" s="409"/>
      <c r="G108" s="409"/>
      <c r="H108" s="409"/>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584"/>
      <c r="AH108" s="22" t="s">
        <v>1</v>
      </c>
    </row>
    <row r="109" spans="1:34" s="23" customFormat="1" ht="12.75">
      <c r="A109" s="22"/>
      <c r="F109" s="29"/>
      <c r="G109" s="29"/>
      <c r="H109" s="29"/>
      <c r="I109" s="29"/>
      <c r="K109" s="29"/>
      <c r="L109" s="29"/>
      <c r="M109" s="29"/>
      <c r="N109" s="29"/>
      <c r="P109" s="29"/>
      <c r="Q109" s="29"/>
      <c r="R109" s="29"/>
      <c r="S109" s="29"/>
      <c r="U109" s="29"/>
      <c r="V109" s="30"/>
      <c r="W109" s="30"/>
      <c r="X109" s="30"/>
      <c r="Z109" s="30"/>
      <c r="AA109" s="30"/>
      <c r="AB109" s="30"/>
      <c r="AC109" s="30"/>
    </row>
    <row r="110" spans="1:34" s="23" customFormat="1" ht="12.75">
      <c r="A110" s="22"/>
      <c r="C110" s="23" t="s">
        <v>42</v>
      </c>
      <c r="F110" s="75">
        <f t="shared" ref="F110:X110" si="62">F46</f>
        <v>92241</v>
      </c>
      <c r="G110" s="75">
        <f t="shared" si="62"/>
        <v>42161</v>
      </c>
      <c r="H110" s="75">
        <f t="shared" si="62"/>
        <v>58773</v>
      </c>
      <c r="I110" s="75">
        <f t="shared" si="62"/>
        <v>92048</v>
      </c>
      <c r="J110" s="38">
        <f t="shared" si="62"/>
        <v>285223</v>
      </c>
      <c r="K110" s="75">
        <f t="shared" si="62"/>
        <v>93124</v>
      </c>
      <c r="L110" s="75">
        <f t="shared" si="62"/>
        <v>81733</v>
      </c>
      <c r="M110" s="75">
        <f t="shared" ca="1" si="62"/>
        <v>88094</v>
      </c>
      <c r="N110" s="75">
        <f t="shared" si="62"/>
        <v>154786</v>
      </c>
      <c r="O110" s="38">
        <f t="shared" ca="1" si="62"/>
        <v>417737</v>
      </c>
      <c r="P110" s="75">
        <f t="shared" si="62"/>
        <v>153790</v>
      </c>
      <c r="Q110" s="75">
        <f t="shared" si="62"/>
        <v>106939</v>
      </c>
      <c r="R110" s="75">
        <f t="shared" si="62"/>
        <v>157494</v>
      </c>
      <c r="S110" s="75">
        <f t="shared" si="62"/>
        <v>222484</v>
      </c>
      <c r="T110" s="38">
        <f t="shared" si="62"/>
        <v>640707</v>
      </c>
      <c r="U110" s="75">
        <f t="shared" ref="U110" si="63">U46</f>
        <v>322721</v>
      </c>
      <c r="V110" s="76">
        <f t="shared" ca="1" si="62"/>
        <v>230802.51100687502</v>
      </c>
      <c r="W110" s="76">
        <f t="shared" ca="1" si="62"/>
        <v>277383.26477170433</v>
      </c>
      <c r="X110" s="76">
        <f t="shared" ca="1" si="62"/>
        <v>376925.18208566721</v>
      </c>
      <c r="Y110" s="38">
        <f t="shared" ref="Y110:AG110" ca="1" si="64">Y46</f>
        <v>1207831.9578642466</v>
      </c>
      <c r="Z110" s="76">
        <f t="shared" ca="1" si="64"/>
        <v>288459.79052381776</v>
      </c>
      <c r="AA110" s="76">
        <f t="shared" ca="1" si="64"/>
        <v>275255.04585080844</v>
      </c>
      <c r="AB110" s="76">
        <f t="shared" ca="1" si="64"/>
        <v>324690.54293086444</v>
      </c>
      <c r="AC110" s="76">
        <f t="shared" ca="1" si="64"/>
        <v>451667.05902922997</v>
      </c>
      <c r="AD110" s="38">
        <f t="shared" ca="1" si="64"/>
        <v>1340072.4383347207</v>
      </c>
      <c r="AE110" s="38">
        <f t="shared" ca="1" si="64"/>
        <v>1358063.9150676546</v>
      </c>
      <c r="AF110" s="38">
        <f t="shared" ca="1" si="64"/>
        <v>1231468.2951916298</v>
      </c>
      <c r="AG110" s="38">
        <f t="shared" ca="1" si="64"/>
        <v>1524493.01076501</v>
      </c>
    </row>
    <row r="111" spans="1:34" s="23" customFormat="1" ht="12.75">
      <c r="A111" s="22"/>
      <c r="C111" s="23" t="s">
        <v>181</v>
      </c>
      <c r="F111" s="75">
        <f>-F196+-F210</f>
        <v>6573</v>
      </c>
      <c r="G111" s="75">
        <f>-G196+-G210</f>
        <v>5952</v>
      </c>
      <c r="H111" s="75">
        <f>-H196+-H210</f>
        <v>5848</v>
      </c>
      <c r="I111" s="75">
        <f>-I196+-I210</f>
        <v>5975</v>
      </c>
      <c r="J111" s="38">
        <f>SUM(F111:I111)</f>
        <v>24348</v>
      </c>
      <c r="K111" s="75">
        <f>-K196+-K210</f>
        <v>6293</v>
      </c>
      <c r="L111" s="75">
        <f>-L196+-L210</f>
        <v>6439</v>
      </c>
      <c r="M111" s="75">
        <f>-M196+-M210</f>
        <v>5896</v>
      </c>
      <c r="N111" s="75">
        <f>-N196+-N210</f>
        <v>5840</v>
      </c>
      <c r="O111" s="38">
        <f>SUM(K111:N111)</f>
        <v>24468</v>
      </c>
      <c r="P111" s="75">
        <f>-P196+-P210</f>
        <v>5976</v>
      </c>
      <c r="Q111" s="75">
        <f>-Q196+-Q210</f>
        <v>6450</v>
      </c>
      <c r="R111" s="75">
        <f>-R196+-R210</f>
        <v>7856</v>
      </c>
      <c r="S111" s="75">
        <f>-S196+-S210</f>
        <v>12275</v>
      </c>
      <c r="T111" s="38">
        <f>SUM(P111:S111)</f>
        <v>32557</v>
      </c>
      <c r="U111" s="75">
        <f>-U196+-U210</f>
        <v>12438</v>
      </c>
      <c r="V111" s="76">
        <f>-V196+-V210</f>
        <v>8418.375</v>
      </c>
      <c r="W111" s="76">
        <f>-W196+-W210</f>
        <v>8928.9679974281244</v>
      </c>
      <c r="X111" s="76">
        <f>-X196+-X210</f>
        <v>9292.0548058192126</v>
      </c>
      <c r="Y111" s="38">
        <f>SUM(U111:X111)</f>
        <v>39077.397803247339</v>
      </c>
      <c r="Z111" s="76">
        <f>-Z196+-Z210</f>
        <v>9762.5429207024899</v>
      </c>
      <c r="AA111" s="76">
        <f>-AA196+-AA210</f>
        <v>10193.466100459753</v>
      </c>
      <c r="AB111" s="76">
        <f>-AB196+-AB210</f>
        <v>10655.120476376804</v>
      </c>
      <c r="AC111" s="76">
        <f>-AC196+-AC210</f>
        <v>11118.307916090187</v>
      </c>
      <c r="AD111" s="38">
        <f>SUM(Z111:AC111)</f>
        <v>41729.437413629232</v>
      </c>
      <c r="AE111" s="38">
        <f>-AE196+-AE210</f>
        <v>56568.835056116077</v>
      </c>
      <c r="AF111" s="38">
        <f>-AF196+-AF210</f>
        <v>67700.400708204674</v>
      </c>
      <c r="AG111" s="38">
        <f>-AG196+-AG210</f>
        <v>76377.618640960121</v>
      </c>
    </row>
    <row r="112" spans="1:34" s="23" customFormat="1" ht="12.75">
      <c r="A112" s="22"/>
      <c r="C112" s="23" t="s">
        <v>191</v>
      </c>
      <c r="F112" s="75">
        <f>F180</f>
        <v>-237899</v>
      </c>
      <c r="G112" s="75">
        <f>G180</f>
        <v>-18758</v>
      </c>
      <c r="H112" s="75">
        <f>H180</f>
        <v>-41668</v>
      </c>
      <c r="I112" s="75">
        <f>I180</f>
        <v>-27200</v>
      </c>
      <c r="J112" s="38">
        <f>SUM(F112:I112)</f>
        <v>-325525</v>
      </c>
      <c r="K112" s="75">
        <f>K180</f>
        <v>57345</v>
      </c>
      <c r="L112" s="75">
        <f>L180</f>
        <v>-17956</v>
      </c>
      <c r="M112" s="75">
        <f>M180</f>
        <v>-77367</v>
      </c>
      <c r="N112" s="75">
        <f>N180</f>
        <v>-14030</v>
      </c>
      <c r="O112" s="38">
        <f>SUM(K112:N112)</f>
        <v>-52008</v>
      </c>
      <c r="P112" s="75">
        <f>P180</f>
        <v>-1800</v>
      </c>
      <c r="Q112" s="75">
        <f>Q180</f>
        <v>-5898</v>
      </c>
      <c r="R112" s="75">
        <f>R180</f>
        <v>-73144</v>
      </c>
      <c r="S112" s="75">
        <f>S180</f>
        <v>-52386</v>
      </c>
      <c r="T112" s="38">
        <f>SUM(P112:S112)</f>
        <v>-133228</v>
      </c>
      <c r="U112" s="75">
        <f>U180</f>
        <v>-71407</v>
      </c>
      <c r="V112" s="76">
        <f>V180</f>
        <v>-12212.164790109848</v>
      </c>
      <c r="W112" s="76">
        <f>W180</f>
        <v>-96101.309869790217</v>
      </c>
      <c r="X112" s="76">
        <f>X180</f>
        <v>-158685.60332249489</v>
      </c>
      <c r="Y112" s="38">
        <f>SUM(U112:X112)</f>
        <v>-338406.07798239496</v>
      </c>
      <c r="Z112" s="76">
        <f>Z180</f>
        <v>243972.75319434702</v>
      </c>
      <c r="AA112" s="76">
        <f>AA180</f>
        <v>-62046.496215911349</v>
      </c>
      <c r="AB112" s="76">
        <f>AB180</f>
        <v>-105065.28896785644</v>
      </c>
      <c r="AC112" s="76">
        <f>AC180</f>
        <v>-208001.51755568385</v>
      </c>
      <c r="AD112" s="38">
        <f>SUM(Z112:AC112)</f>
        <v>-131140.54954510462</v>
      </c>
      <c r="AE112" s="38">
        <f>AE180</f>
        <v>11825.691467788769</v>
      </c>
      <c r="AF112" s="38">
        <f>AF180</f>
        <v>20477.746412626351</v>
      </c>
      <c r="AG112" s="38">
        <f>AG180</f>
        <v>48680.280952496105</v>
      </c>
    </row>
    <row r="113" spans="1:34" s="23" customFormat="1" ht="12.75">
      <c r="A113" s="22"/>
      <c r="C113" s="23" t="s">
        <v>86</v>
      </c>
      <c r="F113" s="53">
        <f>-F195</f>
        <v>-4858</v>
      </c>
      <c r="G113" s="53">
        <f>-G195</f>
        <v>-12374</v>
      </c>
      <c r="H113" s="53">
        <f>-H195</f>
        <v>-18558</v>
      </c>
      <c r="I113" s="53">
        <f>-I195</f>
        <v>-20048</v>
      </c>
      <c r="J113" s="32">
        <f>SUM(F113:I113)</f>
        <v>-55838</v>
      </c>
      <c r="K113" s="53">
        <f>-K195</f>
        <v>-1105</v>
      </c>
      <c r="L113" s="53">
        <f>-L195</f>
        <v>-8918</v>
      </c>
      <c r="M113" s="53">
        <f>-M195</f>
        <v>-16769</v>
      </c>
      <c r="N113" s="53">
        <f>-N195</f>
        <v>-12000</v>
      </c>
      <c r="O113" s="32">
        <f>SUM(K113:N113)</f>
        <v>-38792</v>
      </c>
      <c r="P113" s="53">
        <f>-P195</f>
        <v>-19660</v>
      </c>
      <c r="Q113" s="53">
        <f>-Q195</f>
        <v>-26046</v>
      </c>
      <c r="R113" s="53">
        <f>-R195</f>
        <v>-19434</v>
      </c>
      <c r="S113" s="53">
        <f>-S195</f>
        <v>-8862</v>
      </c>
      <c r="T113" s="32">
        <f>SUM(P113:S113)</f>
        <v>-74002</v>
      </c>
      <c r="U113" s="53">
        <f>-U195</f>
        <v>-3103</v>
      </c>
      <c r="V113" s="54">
        <f>-V195</f>
        <v>-23127.962512499998</v>
      </c>
      <c r="W113" s="54">
        <f>-W195</f>
        <v>-25780.964151262498</v>
      </c>
      <c r="X113" s="54">
        <f>-X195</f>
        <v>-31705.913625966052</v>
      </c>
      <c r="Y113" s="32">
        <f>SUM(U113:X113)</f>
        <v>-83717.840289728541</v>
      </c>
      <c r="Z113" s="54">
        <f>-Z195</f>
        <v>-23548.752945715089</v>
      </c>
      <c r="AA113" s="54">
        <f>-AA195</f>
        <v>-25963.047909646648</v>
      </c>
      <c r="AB113" s="54">
        <f>-AB195</f>
        <v>-28836.104755441171</v>
      </c>
      <c r="AC113" s="54">
        <f>-AC195</f>
        <v>-36602.395183656634</v>
      </c>
      <c r="AD113" s="32">
        <f>SUM(Z113:AC113)</f>
        <v>-114950.30079445953</v>
      </c>
      <c r="AE113" s="32">
        <f>-AE195</f>
        <v>-118410.86645660823</v>
      </c>
      <c r="AF113" s="32">
        <f>-AF195</f>
        <v>-115907.16700129047</v>
      </c>
      <c r="AG113" s="32">
        <f>-AG195</f>
        <v>-109955.30147616951</v>
      </c>
    </row>
    <row r="114" spans="1:34" s="23" customFormat="1" ht="12.75">
      <c r="A114" s="22"/>
      <c r="C114" s="23" t="s">
        <v>192</v>
      </c>
      <c r="F114" s="69">
        <f t="shared" ref="F114:X114" si="65">SUM(F110:F113)</f>
        <v>-143943</v>
      </c>
      <c r="G114" s="69">
        <f t="shared" si="65"/>
        <v>16981</v>
      </c>
      <c r="H114" s="69">
        <f t="shared" si="65"/>
        <v>4395</v>
      </c>
      <c r="I114" s="69">
        <f t="shared" si="65"/>
        <v>50775</v>
      </c>
      <c r="J114" s="71">
        <f t="shared" si="65"/>
        <v>-71792</v>
      </c>
      <c r="K114" s="69">
        <f t="shared" si="65"/>
        <v>155657</v>
      </c>
      <c r="L114" s="69">
        <f t="shared" si="65"/>
        <v>61298</v>
      </c>
      <c r="M114" s="69">
        <f t="shared" ca="1" si="65"/>
        <v>-146</v>
      </c>
      <c r="N114" s="69">
        <f t="shared" si="65"/>
        <v>134596</v>
      </c>
      <c r="O114" s="71">
        <f t="shared" ca="1" si="65"/>
        <v>351405</v>
      </c>
      <c r="P114" s="69">
        <f t="shared" si="65"/>
        <v>138306</v>
      </c>
      <c r="Q114" s="69">
        <f t="shared" si="65"/>
        <v>81445</v>
      </c>
      <c r="R114" s="69">
        <f t="shared" si="65"/>
        <v>72772</v>
      </c>
      <c r="S114" s="69">
        <f t="shared" si="65"/>
        <v>173511</v>
      </c>
      <c r="T114" s="71">
        <f t="shared" si="65"/>
        <v>466034</v>
      </c>
      <c r="U114" s="69">
        <f t="shared" ref="U114" si="66">SUM(U110:U113)</f>
        <v>260649</v>
      </c>
      <c r="V114" s="70">
        <f t="shared" ca="1" si="65"/>
        <v>203880.75870426517</v>
      </c>
      <c r="W114" s="70">
        <f t="shared" ca="1" si="65"/>
        <v>164429.95874807975</v>
      </c>
      <c r="X114" s="70">
        <f t="shared" ca="1" si="65"/>
        <v>195825.7199430255</v>
      </c>
      <c r="Y114" s="71">
        <f t="shared" ref="Y114:AG114" ca="1" si="67">SUM(Y110:Y113)</f>
        <v>824785.43739537057</v>
      </c>
      <c r="Z114" s="70">
        <f t="shared" ca="1" si="67"/>
        <v>518646.33369315218</v>
      </c>
      <c r="AA114" s="70">
        <f t="shared" ca="1" si="67"/>
        <v>197438.96782571019</v>
      </c>
      <c r="AB114" s="70">
        <f t="shared" ca="1" si="67"/>
        <v>201444.26968394362</v>
      </c>
      <c r="AC114" s="70">
        <f t="shared" ca="1" si="67"/>
        <v>218181.45420597968</v>
      </c>
      <c r="AD114" s="71">
        <f t="shared" ca="1" si="67"/>
        <v>1135711.0254087858</v>
      </c>
      <c r="AE114" s="71">
        <f t="shared" ca="1" si="67"/>
        <v>1308047.5751349512</v>
      </c>
      <c r="AF114" s="71">
        <f t="shared" ca="1" si="67"/>
        <v>1203739.2753111704</v>
      </c>
      <c r="AG114" s="71">
        <f t="shared" ca="1" si="67"/>
        <v>1539595.6088822966</v>
      </c>
    </row>
    <row r="115" spans="1:34" s="23" customFormat="1" ht="12.75">
      <c r="A115" s="22"/>
      <c r="F115" s="29"/>
      <c r="G115" s="29"/>
      <c r="H115" s="29"/>
      <c r="I115" s="29"/>
      <c r="K115" s="29"/>
      <c r="L115" s="29"/>
      <c r="M115" s="29"/>
      <c r="N115" s="29"/>
      <c r="P115" s="29"/>
      <c r="Q115" s="29"/>
      <c r="R115" s="29"/>
      <c r="S115" s="29"/>
      <c r="U115" s="29"/>
      <c r="V115" s="30"/>
      <c r="W115" s="30"/>
      <c r="X115" s="30"/>
      <c r="Z115" s="30"/>
      <c r="AA115" s="30"/>
      <c r="AB115" s="30"/>
      <c r="AC115" s="30"/>
    </row>
    <row r="116" spans="1:34" s="23" customFormat="1" ht="12.75">
      <c r="A116" s="22"/>
      <c r="C116" s="23" t="s">
        <v>193</v>
      </c>
      <c r="F116" s="77">
        <f t="shared" ref="F116:X116" si="68">F114/F28</f>
        <v>-0.24976488511471176</v>
      </c>
      <c r="G116" s="77">
        <f t="shared" si="68"/>
        <v>3.3719221604447971E-2</v>
      </c>
      <c r="H116" s="77">
        <f t="shared" si="68"/>
        <v>7.6514091127499115E-3</v>
      </c>
      <c r="I116" s="77">
        <f t="shared" si="68"/>
        <v>6.4406835559930389E-2</v>
      </c>
      <c r="J116" s="78">
        <f t="shared" si="68"/>
        <v>-2.9390837715839987E-2</v>
      </c>
      <c r="K116" s="77">
        <f t="shared" si="68"/>
        <v>0.26607897737276559</v>
      </c>
      <c r="L116" s="77">
        <f t="shared" si="68"/>
        <v>8.8400419374889141E-2</v>
      </c>
      <c r="M116" s="77">
        <f t="shared" ca="1" si="68"/>
        <v>-1.9771945505268004E-4</v>
      </c>
      <c r="N116" s="77">
        <f t="shared" si="68"/>
        <v>0.13740945866619025</v>
      </c>
      <c r="O116" s="78">
        <f t="shared" ca="1" si="68"/>
        <v>0.11727725731312082</v>
      </c>
      <c r="P116" s="77">
        <f t="shared" si="68"/>
        <v>0.19785643370308803</v>
      </c>
      <c r="Q116" s="77">
        <f t="shared" si="68"/>
        <v>9.7185098563314407E-2</v>
      </c>
      <c r="R116" s="77">
        <f t="shared" si="68"/>
        <v>6.9572100795989272E-2</v>
      </c>
      <c r="S116" s="77">
        <f t="shared" si="68"/>
        <v>0.13377583213315364</v>
      </c>
      <c r="T116" s="78">
        <f t="shared" si="68"/>
        <v>0.12010925536663639</v>
      </c>
      <c r="U116" s="77">
        <f t="shared" ref="U116" si="69">U114/U28</f>
        <v>0.18611550844752722</v>
      </c>
      <c r="V116" s="79">
        <f t="shared" ca="1" si="68"/>
        <v>0.13223003880740045</v>
      </c>
      <c r="W116" s="79">
        <f t="shared" ca="1" si="68"/>
        <v>9.5669400366487592E-2</v>
      </c>
      <c r="X116" s="79">
        <f t="shared" ca="1" si="68"/>
        <v>9.2644729743405485E-2</v>
      </c>
      <c r="Y116" s="78">
        <f t="shared" ref="Y116:AG116" ca="1" si="70">Y114/Y28</f>
        <v>0.12174329125159374</v>
      </c>
      <c r="Z116" s="79">
        <f t="shared" ca="1" si="70"/>
        <v>0.33036547724336585</v>
      </c>
      <c r="AA116" s="79">
        <f t="shared" ca="1" si="70"/>
        <v>0.11406921589838714</v>
      </c>
      <c r="AB116" s="79">
        <f t="shared" ca="1" si="70"/>
        <v>0.10478752490621977</v>
      </c>
      <c r="AC116" s="79">
        <f t="shared" ca="1" si="70"/>
        <v>8.9412777406190108E-2</v>
      </c>
      <c r="AD116" s="78">
        <f t="shared" ca="1" si="70"/>
        <v>0.14820026797139868</v>
      </c>
      <c r="AE116" s="78">
        <f t="shared" ca="1" si="70"/>
        <v>0.16570027915651048</v>
      </c>
      <c r="AF116" s="78">
        <f t="shared" ca="1" si="70"/>
        <v>0.15578060957582138</v>
      </c>
      <c r="AG116" s="78">
        <f t="shared" ca="1" si="70"/>
        <v>0.21003020157458777</v>
      </c>
    </row>
    <row r="117" spans="1:34" s="23" customFormat="1" ht="12.75">
      <c r="A117" s="22"/>
      <c r="C117" s="23" t="s">
        <v>195</v>
      </c>
      <c r="F117" s="50">
        <f t="shared" ref="F117:X117" si="71">F114/F284</f>
        <v>-3.7378083614645545</v>
      </c>
      <c r="G117" s="50">
        <f t="shared" si="71"/>
        <v>0.44440082698699329</v>
      </c>
      <c r="H117" s="50">
        <f t="shared" si="71"/>
        <v>0.1161991380905798</v>
      </c>
      <c r="I117" s="50">
        <f t="shared" si="71"/>
        <v>1.3326421878690848</v>
      </c>
      <c r="J117" s="51">
        <f t="shared" si="71"/>
        <v>-1.8842550064302774</v>
      </c>
      <c r="K117" s="50">
        <f t="shared" si="71"/>
        <v>4.0495603309225245</v>
      </c>
      <c r="L117" s="50">
        <f t="shared" si="71"/>
        <v>1.5920731390577112</v>
      </c>
      <c r="M117" s="50">
        <f t="shared" ca="1" si="71"/>
        <v>-3.8126077192249439E-3</v>
      </c>
      <c r="N117" s="50">
        <f t="shared" si="71"/>
        <v>3.5083018376124073</v>
      </c>
      <c r="O117" s="51">
        <f t="shared" ca="1" si="71"/>
        <v>9.1595203961944485</v>
      </c>
      <c r="P117" s="50">
        <f t="shared" si="71"/>
        <v>3.5721369905470324</v>
      </c>
      <c r="Q117" s="50">
        <f t="shared" si="71"/>
        <v>2.1037065736794522</v>
      </c>
      <c r="R117" s="50">
        <f t="shared" si="71"/>
        <v>1.8793936107022029</v>
      </c>
      <c r="S117" s="50">
        <f t="shared" si="71"/>
        <v>4.4820985740855548</v>
      </c>
      <c r="T117" s="51">
        <f t="shared" si="71"/>
        <v>12.037090129531336</v>
      </c>
      <c r="U117" s="50">
        <f t="shared" ref="U117" si="72">U114/U284</f>
        <v>6.688624291103185</v>
      </c>
      <c r="V117" s="52">
        <f t="shared" ca="1" si="71"/>
        <v>5.2609263722850201</v>
      </c>
      <c r="W117" s="52">
        <f t="shared" ca="1" si="71"/>
        <v>4.2905972900353033</v>
      </c>
      <c r="X117" s="52">
        <f t="shared" ca="1" si="71"/>
        <v>5.1678768421429018</v>
      </c>
      <c r="Y117" s="51">
        <f t="shared" ref="Y117:AG117" ca="1" si="73">Y114/Y284</f>
        <v>21.431490525891309</v>
      </c>
      <c r="Z117" s="52">
        <f t="shared" ca="1" si="73"/>
        <v>13.844440152565056</v>
      </c>
      <c r="AA117" s="52">
        <f t="shared" ca="1" si="73"/>
        <v>5.3315803864075315</v>
      </c>
      <c r="AB117" s="52">
        <f t="shared" ca="1" si="73"/>
        <v>5.5037119132861347</v>
      </c>
      <c r="AC117" s="52">
        <f t="shared" ca="1" si="73"/>
        <v>6.0319309740552223</v>
      </c>
      <c r="AD117" s="51">
        <f t="shared" ca="1" si="73"/>
        <v>30.84766909000362</v>
      </c>
      <c r="AE117" s="51">
        <f t="shared" ca="1" si="73"/>
        <v>37.061865270987632</v>
      </c>
      <c r="AF117" s="51">
        <f t="shared" ca="1" si="73"/>
        <v>35.436233288568751</v>
      </c>
      <c r="AG117" s="51">
        <f t="shared" ca="1" si="73"/>
        <v>47.1621831745299</v>
      </c>
    </row>
    <row r="118" spans="1:34" s="23" customFormat="1" ht="12.75">
      <c r="A118" s="22"/>
      <c r="C118" s="23" t="s">
        <v>194</v>
      </c>
      <c r="F118" s="77">
        <f>F117*4/F241</f>
        <v>-0.11309556313054629</v>
      </c>
      <c r="G118" s="77">
        <f>G117*4/G241</f>
        <v>1.5985641258524939E-2</v>
      </c>
      <c r="H118" s="77">
        <f>H117*4/H241</f>
        <v>3.3766549390651592E-3</v>
      </c>
      <c r="I118" s="77">
        <f>I117*4/I241</f>
        <v>3.7232442211890336E-2</v>
      </c>
      <c r="J118" s="78">
        <f>J117/J241</f>
        <v>-1.4601993160373663E-2</v>
      </c>
      <c r="K118" s="77">
        <f>K117*4/K241</f>
        <v>9.1494810911037616E-2</v>
      </c>
      <c r="L118" s="77">
        <f>L117*4/L241</f>
        <v>3.4122555624662945E-2</v>
      </c>
      <c r="M118" s="77">
        <f ca="1">M117*4/M241</f>
        <v>-6.4631424296066175E-5</v>
      </c>
      <c r="N118" s="77">
        <f>N117*4/N241</f>
        <v>6.8844227582661052E-2</v>
      </c>
      <c r="O118" s="78">
        <f ca="1">O117/O241</f>
        <v>4.6979212372954264E-2</v>
      </c>
      <c r="P118" s="77">
        <f>P117*4/P241</f>
        <v>6.2820610957081247E-2</v>
      </c>
      <c r="Q118" s="77">
        <f>Q117*4/Q241</f>
        <v>3.6646748082561659E-2</v>
      </c>
      <c r="R118" s="77">
        <f>R117*4/R241</f>
        <v>2.2794343368128599E-2</v>
      </c>
      <c r="S118" s="77">
        <f>S117*4/S241</f>
        <v>6.5094743650941173E-2</v>
      </c>
      <c r="T118" s="78">
        <f>T117/T241</f>
        <v>4.4712708173489379E-2</v>
      </c>
      <c r="U118" s="77">
        <f>U117*4/U241</f>
        <v>8.8588116831935168E-2</v>
      </c>
      <c r="V118" s="79">
        <f ca="1">V117*4/V241</f>
        <v>6.9678836757524856E-2</v>
      </c>
      <c r="W118" s="79">
        <f ca="1">W117*4/W241</f>
        <v>5.6827221483199943E-2</v>
      </c>
      <c r="X118" s="79">
        <f ca="1">X117*4/X241</f>
        <v>6.8446433457738515E-2</v>
      </c>
      <c r="Y118" s="78">
        <f ca="1">Y117/Y241</f>
        <v>7.0962850653591966E-2</v>
      </c>
      <c r="Z118" s="79">
        <f ca="1">Z117*4/Z241</f>
        <v>0.18336399659037855</v>
      </c>
      <c r="AA118" s="79">
        <f ca="1">AA117*4/AA241</f>
        <v>7.061462052789684E-2</v>
      </c>
      <c r="AB118" s="79">
        <f ca="1">AB117*4/AB241</f>
        <v>7.2894432810650445E-2</v>
      </c>
      <c r="AC118" s="79">
        <f ca="1">AC117*4/AC241</f>
        <v>7.9890480104039235E-2</v>
      </c>
      <c r="AD118" s="78">
        <f ca="1">AD117/AD241</f>
        <v>0.1021412174762545</v>
      </c>
      <c r="AE118" s="78">
        <f ca="1">AE117/AE241</f>
        <v>0.12271734469384336</v>
      </c>
      <c r="AF118" s="78">
        <f ca="1">AF117/AF241</f>
        <v>0.11733463557024189</v>
      </c>
      <c r="AG118" s="78">
        <f ca="1">AG117/AG241</f>
        <v>0.15616099855809379</v>
      </c>
    </row>
    <row r="119" spans="1:34" s="23" customFormat="1" ht="12.75">
      <c r="A119" s="22"/>
      <c r="F119" s="29"/>
      <c r="G119" s="29"/>
      <c r="H119" s="29"/>
      <c r="I119" s="29"/>
      <c r="K119" s="29"/>
      <c r="L119" s="29"/>
      <c r="M119" s="29"/>
      <c r="N119" s="29"/>
      <c r="P119" s="29"/>
      <c r="Q119" s="29"/>
      <c r="R119" s="29"/>
      <c r="S119" s="29"/>
      <c r="U119" s="29"/>
      <c r="V119" s="30"/>
      <c r="W119" s="30"/>
      <c r="X119" s="30"/>
      <c r="Z119" s="30"/>
      <c r="AA119" s="30"/>
      <c r="AB119" s="30"/>
      <c r="AC119" s="30"/>
    </row>
    <row r="120" spans="1:34" s="23" customFormat="1" ht="12.75">
      <c r="A120" s="22" t="s">
        <v>1</v>
      </c>
      <c r="B120" s="163"/>
      <c r="C120" s="577" t="s">
        <v>90</v>
      </c>
      <c r="D120" s="147"/>
      <c r="E120" s="147"/>
      <c r="F120" s="579" t="str">
        <f t="shared" ref="F120:AG120" si="74">F$64</f>
        <v>1Q23</v>
      </c>
      <c r="G120" s="579" t="str">
        <f t="shared" si="74"/>
        <v>2Q23</v>
      </c>
      <c r="H120" s="579" t="str">
        <f t="shared" si="74"/>
        <v>3Q23</v>
      </c>
      <c r="I120" s="579" t="str">
        <f t="shared" si="74"/>
        <v>4Q23</v>
      </c>
      <c r="J120" s="579">
        <f t="shared" si="74"/>
        <v>2023</v>
      </c>
      <c r="K120" s="579" t="str">
        <f t="shared" si="74"/>
        <v>1Q24</v>
      </c>
      <c r="L120" s="579" t="str">
        <f t="shared" si="74"/>
        <v>2Q24</v>
      </c>
      <c r="M120" s="579" t="str">
        <f t="shared" si="74"/>
        <v>3Q24</v>
      </c>
      <c r="N120" s="579" t="str">
        <f t="shared" si="74"/>
        <v>4Q24</v>
      </c>
      <c r="O120" s="579">
        <f t="shared" si="74"/>
        <v>2024</v>
      </c>
      <c r="P120" s="579" t="str">
        <f t="shared" si="74"/>
        <v>1Q25</v>
      </c>
      <c r="Q120" s="579" t="str">
        <f t="shared" si="74"/>
        <v>2Q25</v>
      </c>
      <c r="R120" s="579" t="str">
        <f t="shared" si="74"/>
        <v>3Q25</v>
      </c>
      <c r="S120" s="579" t="str">
        <f t="shared" si="74"/>
        <v>4Q25</v>
      </c>
      <c r="T120" s="579">
        <f t="shared" si="74"/>
        <v>2025</v>
      </c>
      <c r="U120" s="579" t="str">
        <f t="shared" si="74"/>
        <v>1Q26</v>
      </c>
      <c r="V120" s="579" t="str">
        <f t="shared" si="74"/>
        <v>2Q26e</v>
      </c>
      <c r="W120" s="579" t="str">
        <f t="shared" si="74"/>
        <v>3Q26e</v>
      </c>
      <c r="X120" s="579" t="str">
        <f t="shared" si="74"/>
        <v>4Q26e</v>
      </c>
      <c r="Y120" s="579" t="str">
        <f t="shared" si="74"/>
        <v>2026e</v>
      </c>
      <c r="Z120" s="579" t="str">
        <f t="shared" si="74"/>
        <v>1Q27e</v>
      </c>
      <c r="AA120" s="579" t="str">
        <f t="shared" si="74"/>
        <v>2Q27e</v>
      </c>
      <c r="AB120" s="579" t="str">
        <f t="shared" si="74"/>
        <v>3Q27e</v>
      </c>
      <c r="AC120" s="579" t="str">
        <f t="shared" si="74"/>
        <v>4Q27e</v>
      </c>
      <c r="AD120" s="579" t="str">
        <f t="shared" si="74"/>
        <v>2027e</v>
      </c>
      <c r="AE120" s="579" t="str">
        <f t="shared" si="74"/>
        <v>2028e</v>
      </c>
      <c r="AF120" s="579" t="str">
        <f t="shared" si="74"/>
        <v>2029e</v>
      </c>
      <c r="AG120" s="580" t="str">
        <f t="shared" si="74"/>
        <v>2030e</v>
      </c>
      <c r="AH120" s="22" t="s">
        <v>1</v>
      </c>
    </row>
    <row r="121" spans="1:34" s="23" customFormat="1" ht="12.75">
      <c r="A121" s="22"/>
      <c r="F121" s="29"/>
      <c r="G121" s="29"/>
      <c r="H121" s="29"/>
      <c r="I121" s="29"/>
      <c r="K121" s="29"/>
      <c r="L121" s="1047"/>
      <c r="M121" s="1047"/>
      <c r="N121" s="1047"/>
      <c r="P121" s="1047"/>
      <c r="Q121" s="1047"/>
      <c r="R121" s="1047"/>
      <c r="S121" s="1047"/>
      <c r="U121" s="1047"/>
      <c r="V121" s="30"/>
      <c r="W121" s="30"/>
      <c r="X121" s="30"/>
      <c r="Z121" s="30"/>
      <c r="AA121" s="30"/>
      <c r="AB121" s="30"/>
      <c r="AC121" s="30"/>
    </row>
    <row r="122" spans="1:34" s="23" customFormat="1" ht="12.75">
      <c r="A122" s="22"/>
      <c r="C122" s="23" t="s">
        <v>91</v>
      </c>
      <c r="F122" s="80">
        <v>579190</v>
      </c>
      <c r="G122" s="80">
        <v>520631</v>
      </c>
      <c r="H122" s="80">
        <v>492590</v>
      </c>
      <c r="I122" s="80">
        <v>596878</v>
      </c>
      <c r="J122" s="71">
        <f>I122</f>
        <v>596878</v>
      </c>
      <c r="K122" s="80">
        <v>569776</v>
      </c>
      <c r="L122" s="80">
        <v>631619</v>
      </c>
      <c r="M122" s="80">
        <v>533109</v>
      </c>
      <c r="N122" s="80">
        <v>873045</v>
      </c>
      <c r="O122" s="71">
        <f>N122</f>
        <v>873045</v>
      </c>
      <c r="P122" s="80">
        <v>552954</v>
      </c>
      <c r="Q122" s="80">
        <v>617298</v>
      </c>
      <c r="R122" s="80">
        <v>851908</v>
      </c>
      <c r="S122" s="80">
        <v>1426020</v>
      </c>
      <c r="T122" s="71">
        <f>S122</f>
        <v>1426020</v>
      </c>
      <c r="U122" s="80">
        <v>985987</v>
      </c>
      <c r="V122" s="81">
        <f ca="1">V106</f>
        <v>795539.03272493195</v>
      </c>
      <c r="W122" s="81">
        <f ca="1">W106</f>
        <v>870481.47031362238</v>
      </c>
      <c r="X122" s="81">
        <f ca="1">X106</f>
        <v>802310.39839182084</v>
      </c>
      <c r="Y122" s="71">
        <f ca="1">X122</f>
        <v>802310.39839182084</v>
      </c>
      <c r="Z122" s="81">
        <f ca="1">Z106</f>
        <v>1652640.0877527064</v>
      </c>
      <c r="AA122" s="81">
        <f ca="1">AA106</f>
        <v>1736972.7762497419</v>
      </c>
      <c r="AB122" s="81">
        <f ca="1">AB106</f>
        <v>1858789.1217232533</v>
      </c>
      <c r="AC122" s="81">
        <f ca="1">AC106</f>
        <v>1772786.4261716146</v>
      </c>
      <c r="AD122" s="71">
        <f ca="1">AC122</f>
        <v>1772786.4261716146</v>
      </c>
      <c r="AE122" s="82">
        <f ca="1">AE106</f>
        <v>473608.99123319285</v>
      </c>
      <c r="AF122" s="82">
        <f ca="1">AF106</f>
        <v>766208.1765599614</v>
      </c>
      <c r="AG122" s="82">
        <f ca="1">AG106</f>
        <v>1789601.0042811267</v>
      </c>
    </row>
    <row r="123" spans="1:34" s="23" customFormat="1" ht="12.75">
      <c r="A123" s="22"/>
      <c r="C123" s="23" t="s">
        <v>92</v>
      </c>
      <c r="F123" s="37">
        <f>299157+20673</f>
        <v>319830</v>
      </c>
      <c r="G123" s="37">
        <f>322819+18889</f>
        <v>341708</v>
      </c>
      <c r="H123" s="37">
        <f>332993+26423</f>
        <v>359416</v>
      </c>
      <c r="I123" s="37">
        <f>371606+25746</f>
        <v>397352</v>
      </c>
      <c r="J123" s="38">
        <f>I123</f>
        <v>397352</v>
      </c>
      <c r="K123" s="37">
        <f>331739+29802</f>
        <v>361541</v>
      </c>
      <c r="L123" s="37">
        <f>SUM(361119,25661)</f>
        <v>386780</v>
      </c>
      <c r="M123" s="37">
        <f>415494+32448</f>
        <v>447942</v>
      </c>
      <c r="N123" s="37">
        <f>SUM(421502,33566)</f>
        <v>455068</v>
      </c>
      <c r="O123" s="38">
        <f>N123</f>
        <v>455068</v>
      </c>
      <c r="P123" s="37">
        <f>SUM(469147,37856)</f>
        <v>507003</v>
      </c>
      <c r="Q123" s="37">
        <f>483975+34073</f>
        <v>518048</v>
      </c>
      <c r="R123" s="37">
        <f>523321+38590</f>
        <v>561911</v>
      </c>
      <c r="S123" s="37">
        <f>555812+63434</f>
        <v>619246</v>
      </c>
      <c r="T123" s="38">
        <f>S123</f>
        <v>619246</v>
      </c>
      <c r="U123" s="37">
        <f>546568+74661</f>
        <v>621229</v>
      </c>
      <c r="V123" s="40">
        <f t="shared" ref="U123:X123" si="75">V164</f>
        <v>779403.86489010986</v>
      </c>
      <c r="W123" s="40">
        <f t="shared" si="75"/>
        <v>896729.18787000002</v>
      </c>
      <c r="X123" s="40">
        <f t="shared" si="75"/>
        <v>1102814.3869901234</v>
      </c>
      <c r="Y123" s="38">
        <f>X123</f>
        <v>1102814.3869901234</v>
      </c>
      <c r="Z123" s="40">
        <f t="shared" ref="Z123:AC124" si="76">Z164</f>
        <v>793584.34835376858</v>
      </c>
      <c r="AA123" s="40">
        <f t="shared" si="76"/>
        <v>874945.20428113244</v>
      </c>
      <c r="AB123" s="40">
        <f t="shared" si="76"/>
        <v>1002994.9480153451</v>
      </c>
      <c r="AC123" s="40">
        <f t="shared" si="76"/>
        <v>1273126.7889967526</v>
      </c>
      <c r="AD123" s="38">
        <f>AC123</f>
        <v>1273126.7889967526</v>
      </c>
      <c r="AE123" s="41">
        <f t="shared" ref="AE123:AG124" si="77">AE164</f>
        <v>1189515.5534453795</v>
      </c>
      <c r="AF123" s="41">
        <f t="shared" si="77"/>
        <v>1164364.23471616</v>
      </c>
      <c r="AG123" s="41">
        <f t="shared" si="77"/>
        <v>1104573.8047834381</v>
      </c>
    </row>
    <row r="124" spans="1:34" s="23" customFormat="1" ht="12.75">
      <c r="A124" s="22"/>
      <c r="C124" s="23" t="s">
        <v>93</v>
      </c>
      <c r="F124" s="37">
        <v>0</v>
      </c>
      <c r="G124" s="37">
        <v>0</v>
      </c>
      <c r="H124" s="37">
        <v>0</v>
      </c>
      <c r="I124" s="37">
        <v>0</v>
      </c>
      <c r="J124" s="38">
        <f>I124</f>
        <v>0</v>
      </c>
      <c r="K124" s="37">
        <v>0</v>
      </c>
      <c r="L124" s="37">
        <v>0</v>
      </c>
      <c r="M124" s="37">
        <v>0</v>
      </c>
      <c r="N124" s="37">
        <v>0</v>
      </c>
      <c r="O124" s="38">
        <f>N124</f>
        <v>0</v>
      </c>
      <c r="P124" s="37">
        <v>0</v>
      </c>
      <c r="Q124" s="37">
        <v>0</v>
      </c>
      <c r="R124" s="37">
        <v>0</v>
      </c>
      <c r="S124" s="37">
        <v>0</v>
      </c>
      <c r="T124" s="38">
        <f>S124</f>
        <v>0</v>
      </c>
      <c r="U124" s="37">
        <v>0</v>
      </c>
      <c r="V124" s="40">
        <f t="shared" ref="U124:X124" si="78">V165</f>
        <v>0</v>
      </c>
      <c r="W124" s="40">
        <f t="shared" si="78"/>
        <v>0</v>
      </c>
      <c r="X124" s="40">
        <f t="shared" si="78"/>
        <v>0</v>
      </c>
      <c r="Y124" s="38">
        <f>X124</f>
        <v>0</v>
      </c>
      <c r="Z124" s="40">
        <f t="shared" si="76"/>
        <v>0</v>
      </c>
      <c r="AA124" s="40">
        <f t="shared" si="76"/>
        <v>0</v>
      </c>
      <c r="AB124" s="40">
        <f t="shared" si="76"/>
        <v>0</v>
      </c>
      <c r="AC124" s="40">
        <f t="shared" si="76"/>
        <v>0</v>
      </c>
      <c r="AD124" s="38">
        <f>AC124</f>
        <v>0</v>
      </c>
      <c r="AE124" s="41">
        <f t="shared" si="77"/>
        <v>0</v>
      </c>
      <c r="AF124" s="41">
        <f t="shared" si="77"/>
        <v>0</v>
      </c>
      <c r="AG124" s="41">
        <f t="shared" si="77"/>
        <v>0</v>
      </c>
    </row>
    <row r="125" spans="1:34" s="23" customFormat="1" ht="12.75">
      <c r="A125" s="22"/>
      <c r="C125" s="23" t="s">
        <v>94</v>
      </c>
      <c r="F125" s="31">
        <f>112775+803142</f>
        <v>915917</v>
      </c>
      <c r="G125" s="31">
        <f>154067+962121</f>
        <v>1116188</v>
      </c>
      <c r="H125" s="31">
        <f>141203+1137620</f>
        <v>1278823</v>
      </c>
      <c r="I125" s="31">
        <f>174104+1436883</f>
        <v>1610987</v>
      </c>
      <c r="J125" s="32">
        <f>I125</f>
        <v>1610987</v>
      </c>
      <c r="K125" s="31">
        <f>126305+865302</f>
        <v>991607</v>
      </c>
      <c r="L125" s="31">
        <f>SUM(1059783,165544)</f>
        <v>1225327</v>
      </c>
      <c r="M125" s="31">
        <f>211696+1287118</f>
        <v>1498814</v>
      </c>
      <c r="N125" s="31">
        <f>SUM(1519381,140407)</f>
        <v>1659788</v>
      </c>
      <c r="O125" s="32">
        <f>N125</f>
        <v>1659788</v>
      </c>
      <c r="P125" s="31">
        <f>SUM(174638,811459)</f>
        <v>986097</v>
      </c>
      <c r="Q125" s="31">
        <f>1117247+182513</f>
        <v>1299760</v>
      </c>
      <c r="R125" s="31">
        <f>1565137+161615</f>
        <v>1726752</v>
      </c>
      <c r="S125" s="31">
        <f>1580638+232337</f>
        <v>1812975</v>
      </c>
      <c r="T125" s="32">
        <f>S125</f>
        <v>1812975</v>
      </c>
      <c r="U125" s="31">
        <f>1035030+168311</f>
        <v>1203341</v>
      </c>
      <c r="V125" s="34">
        <f t="shared" ref="U125:X125" si="79">V166</f>
        <v>2343633.5345999999</v>
      </c>
      <c r="W125" s="34">
        <f t="shared" si="79"/>
        <v>2612471.0339946002</v>
      </c>
      <c r="X125" s="34">
        <f t="shared" si="79"/>
        <v>3212865.9140978935</v>
      </c>
      <c r="Y125" s="32">
        <f>X125</f>
        <v>3212865.9140978935</v>
      </c>
      <c r="Z125" s="34">
        <f t="shared" ref="Z125:AC125" si="80">Z166</f>
        <v>2386273.6318324623</v>
      </c>
      <c r="AA125" s="34">
        <f t="shared" si="80"/>
        <v>2630922.1881775274</v>
      </c>
      <c r="AB125" s="34">
        <f t="shared" si="80"/>
        <v>2922058.6152180387</v>
      </c>
      <c r="AC125" s="34">
        <f t="shared" si="80"/>
        <v>3709042.7119438723</v>
      </c>
      <c r="AD125" s="32">
        <f>AC125</f>
        <v>3709042.7119438723</v>
      </c>
      <c r="AE125" s="35">
        <f t="shared" ref="AE125:AG125" si="81">AE166</f>
        <v>5920543.3228304116</v>
      </c>
      <c r="AF125" s="35">
        <f t="shared" si="81"/>
        <v>6181715.5734021589</v>
      </c>
      <c r="AG125" s="35">
        <f t="shared" si="81"/>
        <v>6230800.4169829385</v>
      </c>
    </row>
    <row r="126" spans="1:34" s="23" customFormat="1" ht="12.75">
      <c r="A126" s="22"/>
      <c r="C126" s="28" t="s">
        <v>95</v>
      </c>
      <c r="F126" s="69">
        <f>SUM(F122:F125)</f>
        <v>1814937</v>
      </c>
      <c r="G126" s="69">
        <f>SUM(G122:G125)</f>
        <v>1978527</v>
      </c>
      <c r="H126" s="69">
        <f>SUM(H122:H125)</f>
        <v>2130829</v>
      </c>
      <c r="I126" s="69">
        <f>SUM(I122:I125)</f>
        <v>2605217</v>
      </c>
      <c r="J126" s="71">
        <f>I126</f>
        <v>2605217</v>
      </c>
      <c r="K126" s="69">
        <f>SUM(K122:K125)</f>
        <v>1922924</v>
      </c>
      <c r="L126" s="69">
        <f>SUM(L122:L125)</f>
        <v>2243726</v>
      </c>
      <c r="M126" s="69">
        <f>SUM(M122:M125)</f>
        <v>2479865</v>
      </c>
      <c r="N126" s="69">
        <f>SUM(N122:N125)</f>
        <v>2987901</v>
      </c>
      <c r="O126" s="71">
        <f>N126</f>
        <v>2987901</v>
      </c>
      <c r="P126" s="69">
        <f>SUM(P122:P125)</f>
        <v>2046054</v>
      </c>
      <c r="Q126" s="69">
        <f>SUM(Q122:Q125)</f>
        <v>2435106</v>
      </c>
      <c r="R126" s="69">
        <f>SUM(R122:R125)</f>
        <v>3140571</v>
      </c>
      <c r="S126" s="69">
        <f>SUM(S122:S125)</f>
        <v>3858241</v>
      </c>
      <c r="T126" s="71">
        <f>S126</f>
        <v>3858241</v>
      </c>
      <c r="U126" s="69">
        <f>SUM(U122:U125)</f>
        <v>2810557</v>
      </c>
      <c r="V126" s="70">
        <f ca="1">SUM(V122:V125)</f>
        <v>3918576.4322150415</v>
      </c>
      <c r="W126" s="70">
        <f ca="1">SUM(W122:W125)</f>
        <v>4379681.6921782224</v>
      </c>
      <c r="X126" s="70">
        <f ca="1">SUM(X122:X125)</f>
        <v>5117990.6994798379</v>
      </c>
      <c r="Y126" s="71">
        <f ca="1">X126</f>
        <v>5117990.6994798379</v>
      </c>
      <c r="Z126" s="70">
        <f ca="1">SUM(Z122:Z125)</f>
        <v>4832498.0679389369</v>
      </c>
      <c r="AA126" s="70">
        <f ca="1">SUM(AA122:AA125)</f>
        <v>5242840.1687084017</v>
      </c>
      <c r="AB126" s="70">
        <f ca="1">SUM(AB122:AB125)</f>
        <v>5783842.6849566372</v>
      </c>
      <c r="AC126" s="70">
        <f ca="1">SUM(AC122:AC125)</f>
        <v>6754955.9271122394</v>
      </c>
      <c r="AD126" s="71">
        <f ca="1">AC126</f>
        <v>6754955.9271122394</v>
      </c>
      <c r="AE126" s="71">
        <f ca="1">SUM(AE122:AE125)</f>
        <v>7583667.8675089842</v>
      </c>
      <c r="AF126" s="71">
        <f ca="1">SUM(AF122:AF125)</f>
        <v>8112287.9846782805</v>
      </c>
      <c r="AG126" s="71">
        <f ca="1">SUM(AG122:AG125)</f>
        <v>9124975.2260475028</v>
      </c>
    </row>
    <row r="127" spans="1:34" s="23" customFormat="1" ht="12.75">
      <c r="A127" s="22"/>
      <c r="F127" s="29"/>
      <c r="G127" s="29"/>
      <c r="H127" s="29"/>
      <c r="I127" s="29"/>
      <c r="K127" s="29"/>
      <c r="L127" s="1047"/>
      <c r="M127" s="1047"/>
      <c r="N127" s="29"/>
      <c r="P127" s="29"/>
      <c r="Q127" s="29"/>
      <c r="R127" s="1047"/>
      <c r="S127" s="29"/>
      <c r="U127" s="29"/>
      <c r="V127" s="70"/>
      <c r="W127" s="70"/>
      <c r="X127" s="70"/>
      <c r="Z127" s="70"/>
      <c r="AA127" s="70"/>
      <c r="AB127" s="70"/>
      <c r="AC127" s="70"/>
      <c r="AE127" s="71"/>
      <c r="AF127" s="71"/>
      <c r="AG127" s="71"/>
    </row>
    <row r="128" spans="1:34" s="23" customFormat="1" ht="12.75">
      <c r="A128" s="22"/>
      <c r="C128" s="23" t="s">
        <v>96</v>
      </c>
      <c r="F128" s="80">
        <v>141905</v>
      </c>
      <c r="G128" s="80">
        <v>143468</v>
      </c>
      <c r="H128" s="80">
        <v>142500</v>
      </c>
      <c r="I128" s="80">
        <v>137940</v>
      </c>
      <c r="J128" s="71">
        <f>I128</f>
        <v>137940</v>
      </c>
      <c r="K128" s="80">
        <v>132735</v>
      </c>
      <c r="L128" s="80">
        <v>134588</v>
      </c>
      <c r="M128" s="80">
        <v>136953</v>
      </c>
      <c r="N128" s="80">
        <f>144756</f>
        <v>144756</v>
      </c>
      <c r="O128" s="71">
        <f>N128</f>
        <v>144756</v>
      </c>
      <c r="P128" s="80">
        <f>161204</f>
        <v>161204</v>
      </c>
      <c r="Q128" s="80">
        <f>182856</f>
        <v>182856</v>
      </c>
      <c r="R128" s="80">
        <v>188947</v>
      </c>
      <c r="S128" s="80">
        <v>190064</v>
      </c>
      <c r="T128" s="71">
        <f>S128</f>
        <v>190064</v>
      </c>
      <c r="U128" s="80">
        <v>187075</v>
      </c>
      <c r="V128" s="81">
        <f>V198</f>
        <v>201784.5875125</v>
      </c>
      <c r="W128" s="81">
        <f>W198</f>
        <v>218636.58366633439</v>
      </c>
      <c r="X128" s="81">
        <f>X198</f>
        <v>241050.44248648125</v>
      </c>
      <c r="Y128" s="71">
        <f>X128</f>
        <v>241050.44248648125</v>
      </c>
      <c r="Z128" s="81">
        <f>Z198</f>
        <v>254836.65251149383</v>
      </c>
      <c r="AA128" s="81">
        <f>AA198</f>
        <v>270606.23432068073</v>
      </c>
      <c r="AB128" s="81">
        <f>AB198</f>
        <v>288787.21859974513</v>
      </c>
      <c r="AC128" s="81">
        <f>AC198</f>
        <v>314271.3058673116</v>
      </c>
      <c r="AD128" s="71">
        <f>AC128</f>
        <v>314271.3058673116</v>
      </c>
      <c r="AE128" s="82">
        <f>AE198</f>
        <v>376113.33726780373</v>
      </c>
      <c r="AF128" s="82">
        <f>AF198</f>
        <v>424320.10356088955</v>
      </c>
      <c r="AG128" s="82">
        <f>AG198</f>
        <v>457897.78639609896</v>
      </c>
    </row>
    <row r="129" spans="1:33" s="23" customFormat="1" ht="12.75">
      <c r="A129" s="22"/>
      <c r="C129" s="23" t="s">
        <v>97</v>
      </c>
      <c r="F129" s="37">
        <v>0</v>
      </c>
      <c r="G129" s="37">
        <v>0</v>
      </c>
      <c r="H129" s="37">
        <v>0</v>
      </c>
      <c r="I129" s="37">
        <v>0</v>
      </c>
      <c r="J129" s="38">
        <f>I129</f>
        <v>0</v>
      </c>
      <c r="K129" s="37">
        <v>0</v>
      </c>
      <c r="L129" s="37">
        <v>0</v>
      </c>
      <c r="M129" s="37">
        <v>0</v>
      </c>
      <c r="N129" s="37">
        <f>+M129</f>
        <v>0</v>
      </c>
      <c r="O129" s="38">
        <f>N129</f>
        <v>0</v>
      </c>
      <c r="P129" s="37">
        <f>+O129</f>
        <v>0</v>
      </c>
      <c r="Q129" s="37">
        <f>+P129</f>
        <v>0</v>
      </c>
      <c r="R129" s="37">
        <v>0</v>
      </c>
      <c r="S129" s="37">
        <v>0</v>
      </c>
      <c r="T129" s="38">
        <f>S129</f>
        <v>0</v>
      </c>
      <c r="U129" s="37">
        <v>25871</v>
      </c>
      <c r="V129" s="40">
        <f>V212</f>
        <v>25871</v>
      </c>
      <c r="W129" s="40">
        <f>W212</f>
        <v>25871</v>
      </c>
      <c r="X129" s="40">
        <f>X212</f>
        <v>25871</v>
      </c>
      <c r="Y129" s="38">
        <f>X129</f>
        <v>25871</v>
      </c>
      <c r="Z129" s="40">
        <f>Z212</f>
        <v>25871</v>
      </c>
      <c r="AA129" s="40">
        <f>AA212</f>
        <v>25871</v>
      </c>
      <c r="AB129" s="40">
        <f>AB212</f>
        <v>25871</v>
      </c>
      <c r="AC129" s="40">
        <f>AC212</f>
        <v>25871</v>
      </c>
      <c r="AD129" s="38">
        <f>AC129</f>
        <v>25871</v>
      </c>
      <c r="AE129" s="41">
        <f>AE212</f>
        <v>25871</v>
      </c>
      <c r="AF129" s="41">
        <f>AF212</f>
        <v>25871</v>
      </c>
      <c r="AG129" s="41">
        <f>AG212</f>
        <v>25871</v>
      </c>
    </row>
    <row r="130" spans="1:33" s="23" customFormat="1" ht="12.75">
      <c r="A130" s="22"/>
      <c r="C130" s="23" t="s">
        <v>98</v>
      </c>
      <c r="F130" s="37">
        <v>124116</v>
      </c>
      <c r="G130" s="37">
        <v>125351</v>
      </c>
      <c r="H130" s="37">
        <v>123544</v>
      </c>
      <c r="I130" s="37">
        <v>125493</v>
      </c>
      <c r="J130" s="38">
        <f>I130</f>
        <v>125493</v>
      </c>
      <c r="K130" s="37">
        <v>125031</v>
      </c>
      <c r="L130" s="37">
        <v>125053</v>
      </c>
      <c r="M130" s="37">
        <v>127614</v>
      </c>
      <c r="N130" s="37">
        <v>124452</v>
      </c>
      <c r="O130" s="38">
        <f>N130</f>
        <v>124452</v>
      </c>
      <c r="P130" s="37">
        <v>125996</v>
      </c>
      <c r="Q130" s="37">
        <f>129109</f>
        <v>129109</v>
      </c>
      <c r="R130" s="37">
        <v>128576</v>
      </c>
      <c r="S130" s="37">
        <v>230783</v>
      </c>
      <c r="T130" s="38">
        <f>S130</f>
        <v>230783</v>
      </c>
      <c r="U130" s="37">
        <v>227412</v>
      </c>
      <c r="V130" s="40">
        <f>V220</f>
        <v>227412</v>
      </c>
      <c r="W130" s="40">
        <f>W220</f>
        <v>227412</v>
      </c>
      <c r="X130" s="40">
        <f>X220</f>
        <v>227412</v>
      </c>
      <c r="Y130" s="38">
        <f>X130</f>
        <v>227412</v>
      </c>
      <c r="Z130" s="40">
        <f>Z220</f>
        <v>227412</v>
      </c>
      <c r="AA130" s="40">
        <f>AA220</f>
        <v>227412</v>
      </c>
      <c r="AB130" s="40">
        <f>AB220</f>
        <v>227412</v>
      </c>
      <c r="AC130" s="40">
        <f>AC220</f>
        <v>227412</v>
      </c>
      <c r="AD130" s="38">
        <f>AC130</f>
        <v>227412</v>
      </c>
      <c r="AE130" s="41">
        <f>AE220</f>
        <v>227412</v>
      </c>
      <c r="AF130" s="41">
        <f>AF220</f>
        <v>227412</v>
      </c>
      <c r="AG130" s="41">
        <f>AG220</f>
        <v>227412</v>
      </c>
    </row>
    <row r="131" spans="1:33" s="23" customFormat="1" ht="12.75">
      <c r="A131" s="22"/>
      <c r="C131" s="23" t="s">
        <v>99</v>
      </c>
      <c r="F131" s="31">
        <f>43744+259830+246901+119039</f>
        <v>669514</v>
      </c>
      <c r="G131" s="31">
        <f>42023+265194+374742+122139</f>
        <v>804098</v>
      </c>
      <c r="H131" s="31">
        <f>42525+264592+387426+134382</f>
        <v>828925</v>
      </c>
      <c r="I131" s="31">
        <f>43419+265814+378128+147287</f>
        <v>834648</v>
      </c>
      <c r="J131" s="32">
        <f>I131</f>
        <v>834648</v>
      </c>
      <c r="K131" s="31">
        <f>43418+271649+368567+141664</f>
        <v>825298</v>
      </c>
      <c r="L131" s="31">
        <f>SUM(43182,274194,359624,135631)</f>
        <v>812631</v>
      </c>
      <c r="M131" s="31">
        <f>18559+276569+369008+158979</f>
        <v>823115</v>
      </c>
      <c r="N131" s="31">
        <f>SUM(18673,284508,439458,174223)</f>
        <v>916862</v>
      </c>
      <c r="O131" s="32">
        <f>N131</f>
        <v>916862</v>
      </c>
      <c r="P131" s="31">
        <f>SUM(16905,282470,445606,192880)</f>
        <v>937861</v>
      </c>
      <c r="Q131" s="31">
        <f>17578+289217+193949+441844</f>
        <v>942588</v>
      </c>
      <c r="R131" s="31">
        <f>17680+302991+435689+207792</f>
        <v>964152</v>
      </c>
      <c r="S131" s="31">
        <f>16898+297361+457152+30090+277508</f>
        <v>1079009</v>
      </c>
      <c r="T131" s="32">
        <f>S131</f>
        <v>1079009</v>
      </c>
      <c r="U131" s="31">
        <f>290232+16741+307412+448973</f>
        <v>1063358</v>
      </c>
      <c r="V131" s="34">
        <f t="shared" ref="U131:X131" si="82">V221</f>
        <v>1064421.3579999998</v>
      </c>
      <c r="W131" s="34">
        <f t="shared" si="82"/>
        <v>1067614.6220739996</v>
      </c>
      <c r="X131" s="34">
        <f t="shared" si="82"/>
        <v>1068682.2366960736</v>
      </c>
      <c r="Y131" s="32">
        <f>X131</f>
        <v>1068682.2366960736</v>
      </c>
      <c r="Z131" s="34">
        <f t="shared" ref="Z131:AC131" si="83">Z221</f>
        <v>1069750.9189327694</v>
      </c>
      <c r="AA131" s="34">
        <f t="shared" si="83"/>
        <v>1070820.6698517022</v>
      </c>
      <c r="AB131" s="34">
        <f t="shared" si="83"/>
        <v>1074033.1318612571</v>
      </c>
      <c r="AC131" s="34">
        <f t="shared" si="83"/>
        <v>1075107.1649931183</v>
      </c>
      <c r="AD131" s="32">
        <f>AC131</f>
        <v>1075107.1649931183</v>
      </c>
      <c r="AE131" s="35">
        <f t="shared" ref="AE131:AG131" si="84">AE221</f>
        <v>1080482.7008180837</v>
      </c>
      <c r="AF131" s="35">
        <f t="shared" si="84"/>
        <v>1085885.1143221741</v>
      </c>
      <c r="AG131" s="35">
        <f t="shared" si="84"/>
        <v>1091314.5398937848</v>
      </c>
    </row>
    <row r="132" spans="1:33" s="23" customFormat="1" ht="12.75">
      <c r="A132" s="22"/>
      <c r="C132" s="28" t="s">
        <v>100</v>
      </c>
      <c r="F132" s="69">
        <f>SUM(F128:F131)</f>
        <v>935535</v>
      </c>
      <c r="G132" s="69">
        <f>SUM(G128:G131)</f>
        <v>1072917</v>
      </c>
      <c r="H132" s="69">
        <f>SUM(H128:H131)</f>
        <v>1094969</v>
      </c>
      <c r="I132" s="69">
        <f>SUM(I128:I131)</f>
        <v>1098081</v>
      </c>
      <c r="J132" s="71">
        <f>I132</f>
        <v>1098081</v>
      </c>
      <c r="K132" s="69">
        <f>SUM(K128:K131)</f>
        <v>1083064</v>
      </c>
      <c r="L132" s="69">
        <f>SUM(L128:L131)</f>
        <v>1072272</v>
      </c>
      <c r="M132" s="69">
        <f>SUM(M128:M131)</f>
        <v>1087682</v>
      </c>
      <c r="N132" s="69">
        <f>SUM(N128:N131)</f>
        <v>1186070</v>
      </c>
      <c r="O132" s="71">
        <f>N132</f>
        <v>1186070</v>
      </c>
      <c r="P132" s="69">
        <f>SUM(P128:P131)</f>
        <v>1225061</v>
      </c>
      <c r="Q132" s="69">
        <f>SUM(Q128:Q131)</f>
        <v>1254553</v>
      </c>
      <c r="R132" s="69">
        <f>SUM(R128:R131)</f>
        <v>1281675</v>
      </c>
      <c r="S132" s="69">
        <f>SUM(S128:S131)</f>
        <v>1499856</v>
      </c>
      <c r="T132" s="71">
        <f>S132</f>
        <v>1499856</v>
      </c>
      <c r="U132" s="69">
        <f>SUM(U128:U131)</f>
        <v>1503716</v>
      </c>
      <c r="V132" s="81">
        <f>SUM(V128:V131)</f>
        <v>1519488.9455124997</v>
      </c>
      <c r="W132" s="81">
        <f>SUM(W128:W131)</f>
        <v>1539534.205740334</v>
      </c>
      <c r="X132" s="81">
        <f>SUM(X128:X131)</f>
        <v>1563015.6791825548</v>
      </c>
      <c r="Y132" s="71">
        <f>X132</f>
        <v>1563015.6791825548</v>
      </c>
      <c r="Z132" s="81">
        <f>SUM(Z128:Z131)</f>
        <v>1577870.5714442632</v>
      </c>
      <c r="AA132" s="81">
        <f>SUM(AA128:AA131)</f>
        <v>1594709.9041723828</v>
      </c>
      <c r="AB132" s="81">
        <f>SUM(AB128:AB131)</f>
        <v>1616103.3504610022</v>
      </c>
      <c r="AC132" s="81">
        <f>SUM(AC128:AC131)</f>
        <v>1642661.4708604298</v>
      </c>
      <c r="AD132" s="71">
        <f>AC132</f>
        <v>1642661.4708604298</v>
      </c>
      <c r="AE132" s="82">
        <f>SUM(AE128:AE131)</f>
        <v>1709879.0380858874</v>
      </c>
      <c r="AF132" s="82">
        <f>SUM(AF128:AF131)</f>
        <v>1763488.2178830637</v>
      </c>
      <c r="AG132" s="82">
        <f>SUM(AG128:AG131)</f>
        <v>1802495.3262898838</v>
      </c>
    </row>
    <row r="133" spans="1:33" s="23" customFormat="1" ht="12.75">
      <c r="A133" s="22"/>
      <c r="F133" s="29"/>
      <c r="G133" s="29"/>
      <c r="H133" s="29"/>
      <c r="I133" s="29"/>
      <c r="K133" s="29"/>
      <c r="L133" s="29"/>
      <c r="M133" s="29"/>
      <c r="N133" s="29"/>
      <c r="P133" s="29"/>
      <c r="Q133" s="29"/>
      <c r="R133" s="29"/>
      <c r="S133" s="29"/>
      <c r="U133" s="29"/>
      <c r="V133" s="70"/>
      <c r="W133" s="70"/>
      <c r="X133" s="70"/>
      <c r="Z133" s="70"/>
      <c r="AA133" s="70"/>
      <c r="AB133" s="70"/>
      <c r="AC133" s="70"/>
      <c r="AE133" s="71"/>
      <c r="AF133" s="71"/>
      <c r="AG133" s="71"/>
    </row>
    <row r="134" spans="1:33" s="23" customFormat="1" ht="12.75">
      <c r="A134" s="22"/>
      <c r="C134" s="28" t="s">
        <v>101</v>
      </c>
      <c r="F134" s="69">
        <f t="shared" ref="F134:X134" si="85">SUM(F126,F132)</f>
        <v>2750472</v>
      </c>
      <c r="G134" s="69">
        <f t="shared" si="85"/>
        <v>3051444</v>
      </c>
      <c r="H134" s="69">
        <f t="shared" si="85"/>
        <v>3225798</v>
      </c>
      <c r="I134" s="69">
        <f t="shared" si="85"/>
        <v>3703298</v>
      </c>
      <c r="J134" s="71">
        <f t="shared" si="85"/>
        <v>3703298</v>
      </c>
      <c r="K134" s="69">
        <f t="shared" si="85"/>
        <v>3005988</v>
      </c>
      <c r="L134" s="69">
        <f t="shared" si="85"/>
        <v>3315998</v>
      </c>
      <c r="M134" s="69">
        <f t="shared" si="85"/>
        <v>3567547</v>
      </c>
      <c r="N134" s="69">
        <f t="shared" si="85"/>
        <v>4173971</v>
      </c>
      <c r="O134" s="71">
        <f t="shared" si="85"/>
        <v>4173971</v>
      </c>
      <c r="P134" s="69">
        <f t="shared" si="85"/>
        <v>3271115</v>
      </c>
      <c r="Q134" s="69">
        <f t="shared" si="85"/>
        <v>3689659</v>
      </c>
      <c r="R134" s="69">
        <f t="shared" si="85"/>
        <v>4422246</v>
      </c>
      <c r="S134" s="69">
        <f t="shared" si="85"/>
        <v>5358097</v>
      </c>
      <c r="T134" s="71">
        <f t="shared" si="85"/>
        <v>5358097</v>
      </c>
      <c r="U134" s="69">
        <f t="shared" ref="U134" si="86">SUM(U126,U132)</f>
        <v>4314273</v>
      </c>
      <c r="V134" s="70">
        <f t="shared" ca="1" si="85"/>
        <v>5438065.3777275411</v>
      </c>
      <c r="W134" s="70">
        <f t="shared" ca="1" si="85"/>
        <v>5919215.8979185559</v>
      </c>
      <c r="X134" s="70">
        <f t="shared" ca="1" si="85"/>
        <v>6681006.3786623925</v>
      </c>
      <c r="Y134" s="71">
        <f t="shared" ref="Y134:AG134" ca="1" si="87">SUM(Y126,Y132)</f>
        <v>6681006.3786623925</v>
      </c>
      <c r="Z134" s="70">
        <f t="shared" ca="1" si="87"/>
        <v>6410368.6393832006</v>
      </c>
      <c r="AA134" s="70">
        <f t="shared" ca="1" si="87"/>
        <v>6837550.072880784</v>
      </c>
      <c r="AB134" s="70">
        <f t="shared" ca="1" si="87"/>
        <v>7399946.0354176397</v>
      </c>
      <c r="AC134" s="70">
        <f t="shared" ca="1" si="87"/>
        <v>8397617.3979726695</v>
      </c>
      <c r="AD134" s="71">
        <f t="shared" ca="1" si="87"/>
        <v>8397617.3979726695</v>
      </c>
      <c r="AE134" s="71">
        <f t="shared" ca="1" si="87"/>
        <v>9293546.9055948723</v>
      </c>
      <c r="AF134" s="71">
        <f t="shared" ca="1" si="87"/>
        <v>9875776.202561345</v>
      </c>
      <c r="AG134" s="71">
        <f t="shared" ca="1" si="87"/>
        <v>10927470.552337386</v>
      </c>
    </row>
    <row r="135" spans="1:33" s="23" customFormat="1" ht="12.75">
      <c r="A135" s="22"/>
      <c r="F135" s="29"/>
      <c r="G135" s="29"/>
      <c r="H135" s="29"/>
      <c r="I135" s="29"/>
      <c r="K135" s="29"/>
      <c r="L135" s="29"/>
      <c r="M135" s="29"/>
      <c r="N135" s="29"/>
      <c r="P135" s="29"/>
      <c r="Q135" s="29"/>
      <c r="R135" s="29"/>
      <c r="S135" s="29"/>
      <c r="U135" s="29"/>
      <c r="V135" s="30"/>
      <c r="W135" s="30"/>
      <c r="X135" s="30"/>
      <c r="Z135" s="30"/>
      <c r="AA135" s="30"/>
      <c r="AB135" s="30"/>
      <c r="AC135" s="30"/>
    </row>
    <row r="136" spans="1:33" s="23" customFormat="1" ht="12.75">
      <c r="A136" s="22"/>
      <c r="C136" s="23" t="s">
        <v>102</v>
      </c>
      <c r="F136" s="80">
        <f>28582+53349</f>
        <v>81931</v>
      </c>
      <c r="G136" s="80">
        <f>34060+50991</f>
        <v>85051</v>
      </c>
      <c r="H136" s="80">
        <f>28964+32127</f>
        <v>61091</v>
      </c>
      <c r="I136" s="80">
        <f>25989+45838</f>
        <v>71827</v>
      </c>
      <c r="J136" s="71">
        <f>I136</f>
        <v>71827</v>
      </c>
      <c r="K136" s="80">
        <f>29520+63841</f>
        <v>93361</v>
      </c>
      <c r="L136" s="80">
        <f>SUM(65116,35528)</f>
        <v>100644</v>
      </c>
      <c r="M136" s="80">
        <f>35516+48923</f>
        <v>84439</v>
      </c>
      <c r="N136" s="80">
        <f>SUM(29041,48494)</f>
        <v>77535</v>
      </c>
      <c r="O136" s="71">
        <f>N136</f>
        <v>77535</v>
      </c>
      <c r="P136" s="80">
        <f>SUM(41375,86295)</f>
        <v>127670</v>
      </c>
      <c r="Q136" s="80">
        <f>40495+92322</f>
        <v>132817</v>
      </c>
      <c r="R136" s="80">
        <f>37480+66056</f>
        <v>103536</v>
      </c>
      <c r="S136" s="80">
        <f>44562+15942+47981</f>
        <v>108485</v>
      </c>
      <c r="T136" s="71">
        <f>S136</f>
        <v>108485</v>
      </c>
      <c r="U136" s="80">
        <v>39061</v>
      </c>
      <c r="V136" s="81">
        <f t="shared" ref="U136:X136" si="88">V169</f>
        <v>185023.70009999999</v>
      </c>
      <c r="W136" s="81">
        <f t="shared" si="88"/>
        <v>206247.71321009999</v>
      </c>
      <c r="X136" s="81">
        <f t="shared" si="88"/>
        <v>253647.30900772841</v>
      </c>
      <c r="Y136" s="71">
        <f>X136</f>
        <v>253647.30900772841</v>
      </c>
      <c r="Z136" s="81">
        <f t="shared" ref="Z136:AC137" si="89">Z169</f>
        <v>188390.02356572071</v>
      </c>
      <c r="AA136" s="81">
        <f t="shared" si="89"/>
        <v>207704.38327717318</v>
      </c>
      <c r="AB136" s="81">
        <f t="shared" si="89"/>
        <v>230688.83804352937</v>
      </c>
      <c r="AC136" s="81">
        <f t="shared" si="89"/>
        <v>292819.16146925307</v>
      </c>
      <c r="AD136" s="71">
        <f>AC136</f>
        <v>292819.16146925307</v>
      </c>
      <c r="AE136" s="82">
        <f t="shared" ref="AE136:AG137" si="90">AE169</f>
        <v>221033.61738566871</v>
      </c>
      <c r="AF136" s="82">
        <f t="shared" si="90"/>
        <v>216360.04506907554</v>
      </c>
      <c r="AG136" s="82">
        <f t="shared" si="90"/>
        <v>205249.89608884975</v>
      </c>
    </row>
    <row r="137" spans="1:33" s="23" customFormat="1" ht="12.75">
      <c r="A137" s="22"/>
      <c r="C137" s="23" t="s">
        <v>103</v>
      </c>
      <c r="F137" s="37">
        <f>196299</f>
        <v>196299</v>
      </c>
      <c r="G137" s="37">
        <f>297575</f>
        <v>297575</v>
      </c>
      <c r="H137" s="37">
        <f>422201</f>
        <v>422201</v>
      </c>
      <c r="I137" s="37">
        <f>763160</f>
        <v>763160</v>
      </c>
      <c r="J137" s="38">
        <f>I137</f>
        <v>763160</v>
      </c>
      <c r="K137" s="37">
        <f>228424</f>
        <v>228424</v>
      </c>
      <c r="L137" s="37">
        <f>429967</f>
        <v>429967</v>
      </c>
      <c r="M137" s="37">
        <f>629289</f>
        <v>629289</v>
      </c>
      <c r="N137" s="37">
        <v>1024076</v>
      </c>
      <c r="O137" s="38">
        <f>N137</f>
        <v>1024076</v>
      </c>
      <c r="P137" s="37">
        <v>316383</v>
      </c>
      <c r="Q137" s="37">
        <f>549660</f>
        <v>549660</v>
      </c>
      <c r="R137" s="37">
        <v>881526</v>
      </c>
      <c r="S137" s="37">
        <v>1381322</v>
      </c>
      <c r="T137" s="38">
        <f>S137</f>
        <v>1381322</v>
      </c>
      <c r="U137" s="37">
        <f>653329+200489</f>
        <v>853818</v>
      </c>
      <c r="V137" s="81">
        <f t="shared" ref="U137:X137" si="91">V170</f>
        <v>1480189.6007999999</v>
      </c>
      <c r="W137" s="81">
        <f t="shared" si="91"/>
        <v>1649981.7056807999</v>
      </c>
      <c r="X137" s="81">
        <f t="shared" si="91"/>
        <v>1902354.8175579628</v>
      </c>
      <c r="Y137" s="38">
        <f>X137</f>
        <v>1902354.8175579628</v>
      </c>
      <c r="Z137" s="81">
        <f t="shared" si="89"/>
        <v>1507120.1885257657</v>
      </c>
      <c r="AA137" s="81">
        <f t="shared" si="89"/>
        <v>1661635.0662173855</v>
      </c>
      <c r="AB137" s="81">
        <f t="shared" si="89"/>
        <v>1845510.7043482349</v>
      </c>
      <c r="AC137" s="81">
        <f t="shared" si="89"/>
        <v>2196143.7110193977</v>
      </c>
      <c r="AD137" s="38">
        <f>AC137</f>
        <v>2196143.7110193977</v>
      </c>
      <c r="AE137" s="82">
        <f t="shared" si="90"/>
        <v>1618281.8415736456</v>
      </c>
      <c r="AF137" s="82">
        <f t="shared" si="90"/>
        <v>1159071.6700129046</v>
      </c>
      <c r="AG137" s="82">
        <f t="shared" si="90"/>
        <v>733035.34317446349</v>
      </c>
    </row>
    <row r="138" spans="1:33" s="23" customFormat="1" ht="12.75">
      <c r="A138" s="22"/>
      <c r="C138" s="23" t="s">
        <v>104</v>
      </c>
      <c r="F138" s="31">
        <f>27058+34490+3625</f>
        <v>65173</v>
      </c>
      <c r="G138" s="31">
        <f>40875+32944+5704</f>
        <v>79523</v>
      </c>
      <c r="H138" s="31">
        <f>42226+34984+2859</f>
        <v>80069</v>
      </c>
      <c r="I138" s="31">
        <f>33389+36259+5424</f>
        <v>75072</v>
      </c>
      <c r="J138" s="32">
        <f>I138</f>
        <v>75072</v>
      </c>
      <c r="K138" s="31">
        <f>31123+37413+2618</f>
        <v>71154</v>
      </c>
      <c r="L138" s="31">
        <f>SUM(38065,2232,50185)</f>
        <v>90482</v>
      </c>
      <c r="M138" s="31">
        <f>34823+43348+1922</f>
        <v>80093</v>
      </c>
      <c r="N138" s="31">
        <f>SUM(55253,4781,30205)</f>
        <v>90239</v>
      </c>
      <c r="O138" s="32">
        <f>N138</f>
        <v>90239</v>
      </c>
      <c r="P138" s="31">
        <f>SUM(38701,58735,2017)</f>
        <v>99453</v>
      </c>
      <c r="Q138" s="31">
        <f>60211+2213+33510</f>
        <v>95934</v>
      </c>
      <c r="R138" s="31">
        <f>SUM(61759,6733,47962+56533)</f>
        <v>172987</v>
      </c>
      <c r="S138" s="31">
        <f>181591+58666+53357</f>
        <v>293614</v>
      </c>
      <c r="T138" s="32">
        <f>S138</f>
        <v>293614</v>
      </c>
      <c r="U138" s="31">
        <f>61111+8025+54085</f>
        <v>123221</v>
      </c>
      <c r="V138" s="34">
        <f t="shared" ref="U138:X138" si="92">V171</f>
        <v>277535.55014999997</v>
      </c>
      <c r="W138" s="34">
        <f t="shared" si="92"/>
        <v>309371.56981515</v>
      </c>
      <c r="X138" s="34">
        <f t="shared" si="92"/>
        <v>380470.96351159259</v>
      </c>
      <c r="Y138" s="32">
        <f>X138</f>
        <v>380470.96351159259</v>
      </c>
      <c r="Z138" s="34">
        <f t="shared" ref="Z138:AC138" si="93">Z171</f>
        <v>313983.37260953453</v>
      </c>
      <c r="AA138" s="34">
        <f t="shared" si="93"/>
        <v>311556.57491575979</v>
      </c>
      <c r="AB138" s="34">
        <f t="shared" si="93"/>
        <v>346033.25706529408</v>
      </c>
      <c r="AC138" s="34">
        <f t="shared" si="93"/>
        <v>439228.74220387958</v>
      </c>
      <c r="AD138" s="32">
        <f>AC138</f>
        <v>439228.74220387958</v>
      </c>
      <c r="AE138" s="35">
        <f t="shared" ref="AE138:AG138" si="94">AE171</f>
        <v>236821.73291321646</v>
      </c>
      <c r="AF138" s="35">
        <f t="shared" si="94"/>
        <v>231814.33400258093</v>
      </c>
      <c r="AG138" s="35">
        <f t="shared" si="94"/>
        <v>146607.0686348927</v>
      </c>
    </row>
    <row r="139" spans="1:33" s="23" customFormat="1" ht="12.75">
      <c r="A139" s="22"/>
      <c r="C139" s="28" t="s">
        <v>105</v>
      </c>
      <c r="F139" s="69">
        <f>SUM(F136:F138)</f>
        <v>343403</v>
      </c>
      <c r="G139" s="69">
        <f>SUM(G136:G138)</f>
        <v>462149</v>
      </c>
      <c r="H139" s="69">
        <f>SUM(H136:H138)</f>
        <v>563361</v>
      </c>
      <c r="I139" s="69">
        <f>SUM(I136:I138)</f>
        <v>910059</v>
      </c>
      <c r="J139" s="71">
        <f>I139</f>
        <v>910059</v>
      </c>
      <c r="K139" s="69">
        <f>SUM(K136:K138)</f>
        <v>392939</v>
      </c>
      <c r="L139" s="69">
        <f>SUM(L136:L138)</f>
        <v>621093</v>
      </c>
      <c r="M139" s="69">
        <f>SUM(M136:M138)</f>
        <v>793821</v>
      </c>
      <c r="N139" s="69">
        <f>SUM(N136:N138)</f>
        <v>1191850</v>
      </c>
      <c r="O139" s="71">
        <f>N139</f>
        <v>1191850</v>
      </c>
      <c r="P139" s="69">
        <f>SUM(P136:P138)</f>
        <v>543506</v>
      </c>
      <c r="Q139" s="69">
        <f>SUM(Q136:Q138)</f>
        <v>778411</v>
      </c>
      <c r="R139" s="69">
        <f>SUM(R136:R138)</f>
        <v>1158049</v>
      </c>
      <c r="S139" s="69">
        <f>SUM(S136:S138)</f>
        <v>1783421</v>
      </c>
      <c r="T139" s="71">
        <f>S139</f>
        <v>1783421</v>
      </c>
      <c r="U139" s="69">
        <f>SUM(U136:U138)</f>
        <v>1016100</v>
      </c>
      <c r="V139" s="70">
        <f>SUM(V136:V138)</f>
        <v>1942748.8510499999</v>
      </c>
      <c r="W139" s="70">
        <f>SUM(W136:W138)</f>
        <v>2165600.98870605</v>
      </c>
      <c r="X139" s="70">
        <f>SUM(X136:X138)</f>
        <v>2536473.0900772838</v>
      </c>
      <c r="Y139" s="71">
        <f>X139</f>
        <v>2536473.0900772838</v>
      </c>
      <c r="Z139" s="70">
        <f>SUM(Z136:Z138)</f>
        <v>2009493.584701021</v>
      </c>
      <c r="AA139" s="70">
        <f>SUM(AA136:AA138)</f>
        <v>2180896.0244103186</v>
      </c>
      <c r="AB139" s="70">
        <f>SUM(AB136:AB138)</f>
        <v>2422232.7994570583</v>
      </c>
      <c r="AC139" s="70">
        <f>SUM(AC136:AC138)</f>
        <v>2928191.6146925306</v>
      </c>
      <c r="AD139" s="71">
        <f>AC139</f>
        <v>2928191.6146925306</v>
      </c>
      <c r="AE139" s="71">
        <f>SUM(AE136:AE138)</f>
        <v>2076137.1918725306</v>
      </c>
      <c r="AF139" s="71">
        <f>SUM(AF136:AF138)</f>
        <v>1607246.0490845609</v>
      </c>
      <c r="AG139" s="71">
        <f>SUM(AG136:AG138)</f>
        <v>1084892.3078982059</v>
      </c>
    </row>
    <row r="140" spans="1:33" s="23" customFormat="1" ht="12.75">
      <c r="A140" s="22"/>
      <c r="F140" s="75"/>
      <c r="G140" s="75"/>
      <c r="H140" s="75"/>
      <c r="I140" s="75"/>
      <c r="K140" s="75"/>
      <c r="L140" s="75"/>
      <c r="M140" s="75"/>
      <c r="N140" s="75"/>
      <c r="P140" s="75"/>
      <c r="Q140" s="75"/>
      <c r="R140" s="75"/>
      <c r="S140" s="75"/>
      <c r="U140" s="75"/>
      <c r="V140" s="30"/>
      <c r="W140" s="30"/>
      <c r="X140" s="30"/>
      <c r="Z140" s="30"/>
      <c r="AA140" s="30"/>
      <c r="AB140" s="30"/>
      <c r="AC140" s="30"/>
    </row>
    <row r="141" spans="1:33" s="23" customFormat="1" ht="12.75">
      <c r="A141" s="22"/>
      <c r="C141" s="23" t="s">
        <v>106</v>
      </c>
      <c r="F141" s="80">
        <v>0</v>
      </c>
      <c r="G141" s="80">
        <v>0</v>
      </c>
      <c r="H141" s="80">
        <v>0</v>
      </c>
      <c r="I141" s="80">
        <v>0</v>
      </c>
      <c r="J141" s="71">
        <f>I141</f>
        <v>0</v>
      </c>
      <c r="K141" s="80">
        <v>0</v>
      </c>
      <c r="L141" s="80">
        <v>0</v>
      </c>
      <c r="M141" s="80">
        <v>0</v>
      </c>
      <c r="N141" s="80">
        <f>+M141</f>
        <v>0</v>
      </c>
      <c r="O141" s="71">
        <f>N141</f>
        <v>0</v>
      </c>
      <c r="P141" s="80">
        <f>+O141</f>
        <v>0</v>
      </c>
      <c r="Q141" s="80">
        <f>+P141</f>
        <v>0</v>
      </c>
      <c r="R141" s="80">
        <v>0</v>
      </c>
      <c r="S141" s="80">
        <v>0</v>
      </c>
      <c r="T141" s="71">
        <f>S141</f>
        <v>0</v>
      </c>
      <c r="U141" s="80">
        <v>0</v>
      </c>
      <c r="V141" s="81">
        <f ca="1">V306</f>
        <v>0</v>
      </c>
      <c r="W141" s="81">
        <f ca="1">W306</f>
        <v>0</v>
      </c>
      <c r="X141" s="81">
        <f ca="1">X306</f>
        <v>0</v>
      </c>
      <c r="Y141" s="71">
        <f ca="1">X141</f>
        <v>0</v>
      </c>
      <c r="Z141" s="81">
        <f ca="1">Z306</f>
        <v>0</v>
      </c>
      <c r="AA141" s="81">
        <f ca="1">AA306</f>
        <v>0</v>
      </c>
      <c r="AB141" s="81">
        <f ca="1">AB306</f>
        <v>0</v>
      </c>
      <c r="AC141" s="81">
        <f ca="1">AC306</f>
        <v>0</v>
      </c>
      <c r="AD141" s="71">
        <f ca="1">AC141</f>
        <v>0</v>
      </c>
      <c r="AE141" s="82">
        <f ca="1">AE306</f>
        <v>273553.56440879195</v>
      </c>
      <c r="AF141" s="82">
        <f ca="1">AF306</f>
        <v>0</v>
      </c>
      <c r="AG141" s="82">
        <f ca="1">AG306</f>
        <v>0</v>
      </c>
    </row>
    <row r="142" spans="1:33" s="23" customFormat="1" ht="12.75">
      <c r="A142" s="22"/>
      <c r="C142" s="23" t="s">
        <v>252</v>
      </c>
      <c r="F142" s="37">
        <v>372494</v>
      </c>
      <c r="G142" s="37">
        <f>373553</f>
        <v>373553</v>
      </c>
      <c r="H142" s="37">
        <v>372419</v>
      </c>
      <c r="I142" s="37">
        <f>373885</f>
        <v>373885</v>
      </c>
      <c r="J142" s="38">
        <f>I142</f>
        <v>373885</v>
      </c>
      <c r="K142" s="37">
        <v>373756</v>
      </c>
      <c r="L142" s="37">
        <f>SUM(373941)</f>
        <v>373941</v>
      </c>
      <c r="M142" s="37">
        <f>337971+37929</f>
        <v>375900</v>
      </c>
      <c r="N142" s="37">
        <f>SUM(37951,335944)</f>
        <v>373895</v>
      </c>
      <c r="O142" s="38">
        <f>N142</f>
        <v>373895</v>
      </c>
      <c r="P142" s="1060">
        <f>SUM(289157,85898)</f>
        <v>375055</v>
      </c>
      <c r="Q142" s="1060">
        <f>85937+291300</f>
        <v>377237</v>
      </c>
      <c r="R142" s="37">
        <v>540353</v>
      </c>
      <c r="S142" s="37">
        <v>540243</v>
      </c>
      <c r="T142" s="38">
        <f>S142</f>
        <v>540243</v>
      </c>
      <c r="U142" s="1060">
        <v>539749</v>
      </c>
      <c r="V142" s="40">
        <f>V312</f>
        <v>540049</v>
      </c>
      <c r="W142" s="40">
        <f>W312</f>
        <v>539649</v>
      </c>
      <c r="X142" s="40">
        <f>X312</f>
        <v>539749</v>
      </c>
      <c r="Y142" s="38">
        <f>X142</f>
        <v>539749</v>
      </c>
      <c r="Z142" s="40">
        <f>Z312</f>
        <v>539549</v>
      </c>
      <c r="AA142" s="40">
        <f>AA312</f>
        <v>539849</v>
      </c>
      <c r="AB142" s="40">
        <f>AB312</f>
        <v>539449</v>
      </c>
      <c r="AC142" s="40">
        <f>AC312</f>
        <v>539549</v>
      </c>
      <c r="AD142" s="38">
        <f>AC142</f>
        <v>539549</v>
      </c>
      <c r="AE142" s="41">
        <f>AE312</f>
        <v>538949</v>
      </c>
      <c r="AF142" s="41">
        <f>AF312</f>
        <v>538349</v>
      </c>
      <c r="AG142" s="41">
        <f>AG312</f>
        <v>537749</v>
      </c>
    </row>
    <row r="143" spans="1:33" s="23" customFormat="1" ht="12.75">
      <c r="A143" s="22"/>
      <c r="C143" s="23" t="s">
        <v>107</v>
      </c>
      <c r="F143" s="37">
        <f>60814</f>
        <v>60814</v>
      </c>
      <c r="G143" s="37">
        <f>61279</f>
        <v>61279</v>
      </c>
      <c r="H143" s="37">
        <f>61279</f>
        <v>61279</v>
      </c>
      <c r="I143" s="37">
        <f>52813</f>
        <v>52813</v>
      </c>
      <c r="J143" s="38">
        <f>I143</f>
        <v>52813</v>
      </c>
      <c r="K143" s="37">
        <f>54730</f>
        <v>54730</v>
      </c>
      <c r="L143" s="37">
        <f>55790</f>
        <v>55790</v>
      </c>
      <c r="M143" s="37">
        <v>57000</v>
      </c>
      <c r="N143" s="37">
        <v>52968</v>
      </c>
      <c r="O143" s="38">
        <f>N143</f>
        <v>52968</v>
      </c>
      <c r="P143" s="37">
        <v>53616</v>
      </c>
      <c r="Q143" s="37">
        <v>56968</v>
      </c>
      <c r="R143" s="37">
        <v>61943</v>
      </c>
      <c r="S143" s="37">
        <f>59579+4652</f>
        <v>64231</v>
      </c>
      <c r="T143" s="38">
        <f>S143</f>
        <v>64231</v>
      </c>
      <c r="U143" s="37">
        <f>60450+4056</f>
        <v>64506</v>
      </c>
      <c r="V143" s="40">
        <f t="shared" ref="U143:X143" si="95">V225</f>
        <v>64506</v>
      </c>
      <c r="W143" s="40">
        <f t="shared" si="95"/>
        <v>64506</v>
      </c>
      <c r="X143" s="40">
        <f t="shared" si="95"/>
        <v>64506</v>
      </c>
      <c r="Y143" s="38">
        <f>X143</f>
        <v>64506</v>
      </c>
      <c r="Z143" s="40">
        <f t="shared" ref="Z143:AC144" si="96">Z225</f>
        <v>64506</v>
      </c>
      <c r="AA143" s="40">
        <f t="shared" si="96"/>
        <v>64506</v>
      </c>
      <c r="AB143" s="40">
        <f t="shared" si="96"/>
        <v>64506</v>
      </c>
      <c r="AC143" s="40">
        <f t="shared" si="96"/>
        <v>64506</v>
      </c>
      <c r="AD143" s="38">
        <f>AC143</f>
        <v>64506</v>
      </c>
      <c r="AE143" s="41">
        <f t="shared" ref="AE143:AG144" si="97">AE225</f>
        <v>64506</v>
      </c>
      <c r="AF143" s="41">
        <f t="shared" si="97"/>
        <v>64506</v>
      </c>
      <c r="AG143" s="41">
        <f t="shared" si="97"/>
        <v>64506</v>
      </c>
    </row>
    <row r="144" spans="1:33" s="23" customFormat="1" ht="12.75">
      <c r="A144" s="22"/>
      <c r="C144" s="23" t="s">
        <v>108</v>
      </c>
      <c r="F144" s="31">
        <f>115172+289378</f>
        <v>404550</v>
      </c>
      <c r="G144" s="31">
        <f>128415+421468</f>
        <v>549883</v>
      </c>
      <c r="H144" s="31">
        <f>136125+438146</f>
        <v>574271</v>
      </c>
      <c r="I144" s="31">
        <f>149804+434247</f>
        <v>584051</v>
      </c>
      <c r="J144" s="32">
        <f>I144</f>
        <v>584051</v>
      </c>
      <c r="K144" s="31">
        <f>108033+428258</f>
        <v>536291</v>
      </c>
      <c r="L144" s="31">
        <f>114471+423177</f>
        <v>537648</v>
      </c>
      <c r="M144" s="31">
        <f>130005+430867</f>
        <v>560872</v>
      </c>
      <c r="N144" s="31">
        <f>SUM(494169,119281)</f>
        <v>613450</v>
      </c>
      <c r="O144" s="32">
        <f>N144</f>
        <v>613450</v>
      </c>
      <c r="P144" s="31">
        <f>SUM(47688,499595)</f>
        <v>547283</v>
      </c>
      <c r="Q144" s="31">
        <f>66376+492173</f>
        <v>558549</v>
      </c>
      <c r="R144" s="31">
        <f>+SUM(93350+482891)</f>
        <v>576241</v>
      </c>
      <c r="S144" s="31">
        <f>508191+142145</f>
        <v>650336</v>
      </c>
      <c r="T144" s="32">
        <f>S144</f>
        <v>650336</v>
      </c>
      <c r="U144" s="31">
        <f>107883+497434</f>
        <v>605317</v>
      </c>
      <c r="V144" s="34">
        <f t="shared" ref="U144:X144" si="98">V226</f>
        <v>605317</v>
      </c>
      <c r="W144" s="34">
        <f t="shared" si="98"/>
        <v>605317</v>
      </c>
      <c r="X144" s="34">
        <f t="shared" si="98"/>
        <v>605317</v>
      </c>
      <c r="Y144" s="32">
        <f>X144</f>
        <v>605317</v>
      </c>
      <c r="Z144" s="34">
        <f t="shared" si="96"/>
        <v>605317</v>
      </c>
      <c r="AA144" s="34">
        <f t="shared" si="96"/>
        <v>605317</v>
      </c>
      <c r="AB144" s="34">
        <f t="shared" si="96"/>
        <v>605317</v>
      </c>
      <c r="AC144" s="34">
        <f t="shared" si="96"/>
        <v>605317</v>
      </c>
      <c r="AD144" s="32">
        <f>AC144</f>
        <v>605317</v>
      </c>
      <c r="AE144" s="35">
        <f t="shared" si="97"/>
        <v>605317</v>
      </c>
      <c r="AF144" s="35">
        <f t="shared" si="97"/>
        <v>605317</v>
      </c>
      <c r="AG144" s="35">
        <f t="shared" si="97"/>
        <v>605317</v>
      </c>
    </row>
    <row r="145" spans="1:33" s="23" customFormat="1" ht="12.75">
      <c r="A145" s="22"/>
      <c r="C145" s="28" t="s">
        <v>109</v>
      </c>
      <c r="F145" s="69">
        <f>SUM(F141:F144)</f>
        <v>837858</v>
      </c>
      <c r="G145" s="69">
        <f>SUM(G141:G144)</f>
        <v>984715</v>
      </c>
      <c r="H145" s="69">
        <f>SUM(H141:H144)</f>
        <v>1007969</v>
      </c>
      <c r="I145" s="69">
        <f>SUM(I141:I144)</f>
        <v>1010749</v>
      </c>
      <c r="J145" s="71">
        <f>I145</f>
        <v>1010749</v>
      </c>
      <c r="K145" s="69">
        <f>SUM(K141:K144)</f>
        <v>964777</v>
      </c>
      <c r="L145" s="69">
        <f>SUM(L141:L144)</f>
        <v>967379</v>
      </c>
      <c r="M145" s="69">
        <f>SUM(M141:M144)</f>
        <v>993772</v>
      </c>
      <c r="N145" s="69">
        <f>SUM(N141:N144)</f>
        <v>1040313</v>
      </c>
      <c r="O145" s="71">
        <f>N145</f>
        <v>1040313</v>
      </c>
      <c r="P145" s="69">
        <f>SUM(P141:P144)</f>
        <v>975954</v>
      </c>
      <c r="Q145" s="69">
        <f>SUM(Q141:Q144)</f>
        <v>992754</v>
      </c>
      <c r="R145" s="69">
        <f>SUM(R141:R144)</f>
        <v>1178537</v>
      </c>
      <c r="S145" s="69">
        <f>SUM(S141:S144)</f>
        <v>1254810</v>
      </c>
      <c r="T145" s="71">
        <f>S145</f>
        <v>1254810</v>
      </c>
      <c r="U145" s="69">
        <f>SUM(U141:U144)</f>
        <v>1209572</v>
      </c>
      <c r="V145" s="70">
        <f ca="1">SUM(V141:V144)</f>
        <v>1209872</v>
      </c>
      <c r="W145" s="70">
        <f ca="1">SUM(W141:W144)</f>
        <v>1209472</v>
      </c>
      <c r="X145" s="70">
        <f ca="1">SUM(X141:X144)</f>
        <v>1209572</v>
      </c>
      <c r="Y145" s="71">
        <f ca="1">X145</f>
        <v>1209572</v>
      </c>
      <c r="Z145" s="70">
        <f ca="1">SUM(Z141:Z144)</f>
        <v>1209372</v>
      </c>
      <c r="AA145" s="70">
        <f ca="1">SUM(AA141:AA144)</f>
        <v>1209672</v>
      </c>
      <c r="AB145" s="70">
        <f ca="1">SUM(AB141:AB144)</f>
        <v>1209272</v>
      </c>
      <c r="AC145" s="70">
        <f ca="1">SUM(AC141:AC144)</f>
        <v>1209372</v>
      </c>
      <c r="AD145" s="71">
        <f ca="1">AC145</f>
        <v>1209372</v>
      </c>
      <c r="AE145" s="71">
        <f ca="1">SUM(AE141:AE144)</f>
        <v>1482325.5644087919</v>
      </c>
      <c r="AF145" s="71">
        <f ca="1">SUM(AF141:AF144)</f>
        <v>1208172</v>
      </c>
      <c r="AG145" s="71">
        <f ca="1">SUM(AG141:AG144)</f>
        <v>1207572</v>
      </c>
    </row>
    <row r="146" spans="1:33" s="23" customFormat="1" ht="12.75">
      <c r="A146" s="22"/>
      <c r="F146" s="29"/>
      <c r="G146" s="29"/>
      <c r="H146" s="29"/>
      <c r="I146" s="29"/>
      <c r="K146" s="29"/>
      <c r="L146" s="29"/>
      <c r="M146" s="29"/>
      <c r="N146" s="29"/>
      <c r="P146" s="29"/>
      <c r="Q146" s="29"/>
      <c r="R146" s="29"/>
      <c r="S146" s="29"/>
      <c r="U146" s="29"/>
      <c r="V146" s="30"/>
      <c r="W146" s="30"/>
      <c r="X146" s="30"/>
      <c r="Z146" s="30"/>
      <c r="AA146" s="30"/>
      <c r="AB146" s="30"/>
      <c r="AC146" s="30"/>
    </row>
    <row r="147" spans="1:33" s="23" customFormat="1" ht="12.75">
      <c r="A147" s="22"/>
      <c r="C147" s="28" t="s">
        <v>110</v>
      </c>
      <c r="F147" s="69">
        <f t="shared" ref="F147:X147" si="99">SUM(F139,F145)</f>
        <v>1181261</v>
      </c>
      <c r="G147" s="69">
        <f t="shared" si="99"/>
        <v>1446864</v>
      </c>
      <c r="H147" s="69">
        <f t="shared" si="99"/>
        <v>1571330</v>
      </c>
      <c r="I147" s="69">
        <f t="shared" si="99"/>
        <v>1920808</v>
      </c>
      <c r="J147" s="71">
        <f t="shared" si="99"/>
        <v>1920808</v>
      </c>
      <c r="K147" s="69">
        <f t="shared" si="99"/>
        <v>1357716</v>
      </c>
      <c r="L147" s="69">
        <f t="shared" si="99"/>
        <v>1588472</v>
      </c>
      <c r="M147" s="69">
        <f t="shared" si="99"/>
        <v>1787593</v>
      </c>
      <c r="N147" s="69">
        <f t="shared" si="99"/>
        <v>2232163</v>
      </c>
      <c r="O147" s="71">
        <f t="shared" si="99"/>
        <v>2232163</v>
      </c>
      <c r="P147" s="69">
        <f t="shared" si="99"/>
        <v>1519460</v>
      </c>
      <c r="Q147" s="69">
        <f t="shared" si="99"/>
        <v>1771165</v>
      </c>
      <c r="R147" s="69">
        <f t="shared" si="99"/>
        <v>2336586</v>
      </c>
      <c r="S147" s="69">
        <f t="shared" si="99"/>
        <v>3038231</v>
      </c>
      <c r="T147" s="71">
        <f t="shared" si="99"/>
        <v>3038231</v>
      </c>
      <c r="U147" s="69">
        <f t="shared" ref="U147" si="100">SUM(U139,U145)</f>
        <v>2225672</v>
      </c>
      <c r="V147" s="70">
        <f t="shared" ca="1" si="99"/>
        <v>3152620.8510499997</v>
      </c>
      <c r="W147" s="70">
        <f t="shared" ca="1" si="99"/>
        <v>3375072.98870605</v>
      </c>
      <c r="X147" s="70">
        <f t="shared" ca="1" si="99"/>
        <v>3746045.0900772838</v>
      </c>
      <c r="Y147" s="71">
        <f t="shared" ref="Y147:AG147" ca="1" si="101">SUM(Y139,Y145)</f>
        <v>3746045.0900772838</v>
      </c>
      <c r="Z147" s="70">
        <f t="shared" ca="1" si="101"/>
        <v>3218865.5847010212</v>
      </c>
      <c r="AA147" s="70">
        <f t="shared" ca="1" si="101"/>
        <v>3390568.0244103186</v>
      </c>
      <c r="AB147" s="70">
        <f t="shared" ca="1" si="101"/>
        <v>3631504.7994570583</v>
      </c>
      <c r="AC147" s="70">
        <f t="shared" ca="1" si="101"/>
        <v>4137563.6146925306</v>
      </c>
      <c r="AD147" s="71">
        <f t="shared" ca="1" si="101"/>
        <v>4137563.6146925306</v>
      </c>
      <c r="AE147" s="71">
        <f t="shared" ca="1" si="101"/>
        <v>3558462.7562813228</v>
      </c>
      <c r="AF147" s="71">
        <f t="shared" ca="1" si="101"/>
        <v>2815418.0490845609</v>
      </c>
      <c r="AG147" s="71">
        <f t="shared" ca="1" si="101"/>
        <v>2292464.3078982057</v>
      </c>
    </row>
    <row r="148" spans="1:33" s="23" customFormat="1" ht="12.75">
      <c r="A148" s="22"/>
      <c r="F148" s="29"/>
      <c r="G148" s="29"/>
      <c r="H148" s="29"/>
      <c r="I148" s="29"/>
      <c r="K148" s="29"/>
      <c r="L148" s="29"/>
      <c r="M148" s="29"/>
      <c r="N148" s="29"/>
      <c r="P148" s="29"/>
      <c r="Q148" s="29"/>
      <c r="R148" s="29"/>
      <c r="S148" s="29"/>
      <c r="U148" s="29"/>
      <c r="V148" s="30"/>
      <c r="W148" s="30"/>
      <c r="X148" s="30"/>
      <c r="Z148" s="30"/>
      <c r="AA148" s="30"/>
      <c r="AB148" s="30"/>
      <c r="AC148" s="30"/>
    </row>
    <row r="149" spans="1:33" s="23" customFormat="1" ht="12.75">
      <c r="A149" s="22"/>
      <c r="C149" s="23" t="s">
        <v>111</v>
      </c>
      <c r="F149" s="80">
        <f>818+2931682</f>
        <v>2932500</v>
      </c>
      <c r="G149" s="80">
        <f>819+3011969</f>
        <v>3012788</v>
      </c>
      <c r="H149" s="80">
        <f>820+3088014</f>
        <v>3088834</v>
      </c>
      <c r="I149" s="80">
        <f>821+3163198</f>
        <v>3164019</v>
      </c>
      <c r="J149" s="71">
        <f>I149</f>
        <v>3164019</v>
      </c>
      <c r="K149" s="80">
        <f>843+3245225</f>
        <v>3246068</v>
      </c>
      <c r="L149" s="80">
        <f>SUM(844,3331726)</f>
        <v>3332570</v>
      </c>
      <c r="M149" s="80">
        <f>846+3418918</f>
        <v>3419764</v>
      </c>
      <c r="N149" s="80">
        <f>SUM(848,3510356)</f>
        <v>3511204</v>
      </c>
      <c r="O149" s="71">
        <f>N149</f>
        <v>3511204</v>
      </c>
      <c r="P149" s="80">
        <f>SUM(869,3596161)</f>
        <v>3597030</v>
      </c>
      <c r="Q149" s="80">
        <f>870+3709719</f>
        <v>3710589</v>
      </c>
      <c r="R149" s="80">
        <f>871+3817280</f>
        <v>3818151</v>
      </c>
      <c r="S149" s="80">
        <f>4024496+876</f>
        <v>4025372</v>
      </c>
      <c r="T149" s="71">
        <f>S149</f>
        <v>4025372</v>
      </c>
      <c r="U149" s="80">
        <f>897+4141883</f>
        <v>4142780</v>
      </c>
      <c r="V149" s="81">
        <f>V249</f>
        <v>4277329.7556706667</v>
      </c>
      <c r="W149" s="81">
        <f>W249</f>
        <v>4427313.6734339278</v>
      </c>
      <c r="X149" s="81">
        <f>X249</f>
        <v>4611766.7107208623</v>
      </c>
      <c r="Y149" s="71">
        <f>X149</f>
        <v>4611766.7107208623</v>
      </c>
      <c r="Z149" s="81">
        <f>Z249</f>
        <v>4748764.4662941163</v>
      </c>
      <c r="AA149" s="81">
        <f>AA249</f>
        <v>4899807.6786315944</v>
      </c>
      <c r="AB149" s="81">
        <f>AB249</f>
        <v>5067565.2511908449</v>
      </c>
      <c r="AC149" s="81">
        <f>AC249</f>
        <v>5280504.1698811725</v>
      </c>
      <c r="AD149" s="71">
        <f>AC149</f>
        <v>5280504.1698811725</v>
      </c>
      <c r="AE149" s="82">
        <f>AE249</f>
        <v>5969373.8937869277</v>
      </c>
      <c r="AF149" s="82">
        <f>AF249</f>
        <v>6643678.0393455327</v>
      </c>
      <c r="AG149" s="82">
        <f>AG249</f>
        <v>7283356.4779592715</v>
      </c>
    </row>
    <row r="150" spans="1:33" s="23" customFormat="1" ht="12.75">
      <c r="A150" s="22"/>
      <c r="C150" s="23" t="s">
        <v>112</v>
      </c>
      <c r="F150" s="37">
        <f>1819599</f>
        <v>1819599</v>
      </c>
      <c r="G150" s="37">
        <v>1823412</v>
      </c>
      <c r="H150" s="37">
        <v>1842910</v>
      </c>
      <c r="I150" s="37">
        <v>1892656</v>
      </c>
      <c r="J150" s="38">
        <f>I150</f>
        <v>1892656</v>
      </c>
      <c r="K150" s="37">
        <v>1945012</v>
      </c>
      <c r="L150" s="37">
        <v>1984130</v>
      </c>
      <c r="M150" s="37">
        <v>2027982</v>
      </c>
      <c r="N150" s="37">
        <v>2133919</v>
      </c>
      <c r="O150" s="38">
        <f>N150</f>
        <v>2133919</v>
      </c>
      <c r="P150" s="37">
        <v>2245124</v>
      </c>
      <c r="Q150" s="37">
        <f>2305996</f>
        <v>2305996</v>
      </c>
      <c r="R150" s="37">
        <v>2414099</v>
      </c>
      <c r="S150" s="37">
        <v>2581815</v>
      </c>
      <c r="T150" s="38">
        <f>S150</f>
        <v>2581815</v>
      </c>
      <c r="U150" s="37">
        <v>2846337</v>
      </c>
      <c r="V150" s="40">
        <f ca="1">V258</f>
        <v>3038630.7710068747</v>
      </c>
      <c r="W150" s="40">
        <f ca="1">W258</f>
        <v>3277345.2357785795</v>
      </c>
      <c r="X150" s="40">
        <f ca="1">X258</f>
        <v>3613710.5778642469</v>
      </c>
      <c r="Y150" s="38">
        <f ca="1">X150</f>
        <v>3613710.5778642469</v>
      </c>
      <c r="Z150" s="40">
        <f ca="1">Z258</f>
        <v>3863254.5883880644</v>
      </c>
      <c r="AA150" s="40">
        <f ca="1">AA258</f>
        <v>4097690.3698388725</v>
      </c>
      <c r="AB150" s="40">
        <f ca="1">AB258</f>
        <v>4381391.9847697364</v>
      </c>
      <c r="AC150" s="40">
        <f ca="1">AC258</f>
        <v>4790065.6133989664</v>
      </c>
      <c r="AD150" s="38">
        <f ca="1">AC150</f>
        <v>4790065.6133989664</v>
      </c>
      <c r="AE150" s="41">
        <f ca="1">AE258</f>
        <v>5976226.2555266209</v>
      </c>
      <c r="AF150" s="41">
        <f ca="1">AF258</f>
        <v>7027196.1141312504</v>
      </c>
      <c r="AG150" s="41">
        <f ca="1">AG258</f>
        <v>8362165.7664799104</v>
      </c>
    </row>
    <row r="151" spans="1:33" s="23" customFormat="1" ht="12.75">
      <c r="A151" s="22"/>
      <c r="C151" s="23" t="s">
        <v>113</v>
      </c>
      <c r="F151" s="37">
        <v>-3350483</v>
      </c>
      <c r="G151" s="37">
        <v>-3410153</v>
      </c>
      <c r="H151" s="37">
        <v>-3450970</v>
      </c>
      <c r="I151" s="37">
        <v>-3453203</v>
      </c>
      <c r="J151" s="38">
        <f>I151</f>
        <v>-3453203</v>
      </c>
      <c r="K151" s="37">
        <v>-3716500</v>
      </c>
      <c r="L151" s="37">
        <v>-3770688</v>
      </c>
      <c r="M151" s="37">
        <v>-3871089</v>
      </c>
      <c r="N151" s="37">
        <v>-3901424</v>
      </c>
      <c r="O151" s="38">
        <f>N151</f>
        <v>-3901424</v>
      </c>
      <c r="P151" s="37">
        <v>-4307384</v>
      </c>
      <c r="Q151" s="37">
        <v>-4350589</v>
      </c>
      <c r="R151" s="37">
        <v>-4407621</v>
      </c>
      <c r="S151" s="37">
        <f>+-4562483</f>
        <v>-4562483</v>
      </c>
      <c r="T151" s="38">
        <f>S151</f>
        <v>-4562483</v>
      </c>
      <c r="U151" s="37">
        <f>+-5183832</f>
        <v>-5183832</v>
      </c>
      <c r="V151" s="40">
        <f>-V243+U151</f>
        <v>-5313832</v>
      </c>
      <c r="W151" s="40">
        <f>-W243+V151</f>
        <v>-5443832</v>
      </c>
      <c r="X151" s="40">
        <f>-X243+W151</f>
        <v>-5573832</v>
      </c>
      <c r="Y151" s="38">
        <f>X151</f>
        <v>-5573832</v>
      </c>
      <c r="Z151" s="40">
        <f>-Z243+Y151</f>
        <v>-5703832</v>
      </c>
      <c r="AA151" s="40">
        <f>-AA243+Z151</f>
        <v>-5833832</v>
      </c>
      <c r="AB151" s="40">
        <f>-AB243+AA151</f>
        <v>-5963832</v>
      </c>
      <c r="AC151" s="40">
        <f>-AC243+AB151</f>
        <v>-6093832</v>
      </c>
      <c r="AD151" s="38">
        <f>AC151</f>
        <v>-6093832</v>
      </c>
      <c r="AE151" s="41">
        <f>-AE243+AD151</f>
        <v>-6493832</v>
      </c>
      <c r="AF151" s="41">
        <f>-AF243+AE151</f>
        <v>-6893832</v>
      </c>
      <c r="AG151" s="41">
        <f>-AG243+AF151</f>
        <v>-7293832</v>
      </c>
    </row>
    <row r="152" spans="1:33" s="23" customFormat="1" ht="12.75">
      <c r="A152" s="22"/>
      <c r="C152" s="23" t="s">
        <v>114</v>
      </c>
      <c r="F152" s="31">
        <v>-25683</v>
      </c>
      <c r="G152" s="31">
        <v>-20392</v>
      </c>
      <c r="H152" s="31">
        <v>-27925</v>
      </c>
      <c r="I152" s="31">
        <v>-26538</v>
      </c>
      <c r="J152" s="32">
        <f>I152</f>
        <v>-26538</v>
      </c>
      <c r="K152" s="31">
        <v>-29762</v>
      </c>
      <c r="L152" s="31">
        <v>-30501</v>
      </c>
      <c r="M152" s="31">
        <v>-19810</v>
      </c>
      <c r="N152" s="31">
        <v>-36057</v>
      </c>
      <c r="O152" s="32">
        <f>N152</f>
        <v>-36057</v>
      </c>
      <c r="P152" s="31">
        <v>-28210</v>
      </c>
      <c r="Q152" s="31">
        <v>-10917</v>
      </c>
      <c r="R152" s="31">
        <v>-15183</v>
      </c>
      <c r="S152" s="31">
        <f>+-13128</f>
        <v>-13128</v>
      </c>
      <c r="T152" s="32">
        <f>S152</f>
        <v>-13128</v>
      </c>
      <c r="U152" s="31">
        <f>+-23199</f>
        <v>-23199</v>
      </c>
      <c r="V152" s="34">
        <f>V263</f>
        <v>-23199</v>
      </c>
      <c r="W152" s="34">
        <f>W263</f>
        <v>-23199</v>
      </c>
      <c r="X152" s="34">
        <f>X263</f>
        <v>-23199</v>
      </c>
      <c r="Y152" s="32">
        <f>X152</f>
        <v>-23199</v>
      </c>
      <c r="Z152" s="34">
        <f>Z263</f>
        <v>-23199</v>
      </c>
      <c r="AA152" s="34">
        <f>AA263</f>
        <v>-23199</v>
      </c>
      <c r="AB152" s="34">
        <f>AB263</f>
        <v>-23199</v>
      </c>
      <c r="AC152" s="34">
        <f>AC263</f>
        <v>-23199</v>
      </c>
      <c r="AD152" s="32">
        <f>AC152</f>
        <v>-23199</v>
      </c>
      <c r="AE152" s="35">
        <f>AE263</f>
        <v>-23199</v>
      </c>
      <c r="AF152" s="35">
        <f>AF263</f>
        <v>-23199</v>
      </c>
      <c r="AG152" s="35">
        <f>AG263</f>
        <v>-23199</v>
      </c>
    </row>
    <row r="153" spans="1:33" s="23" customFormat="1" ht="12.75">
      <c r="A153" s="22"/>
      <c r="C153" s="28" t="s">
        <v>115</v>
      </c>
      <c r="F153" s="69">
        <f>SUM(F149:F152)</f>
        <v>1375933</v>
      </c>
      <c r="G153" s="69">
        <f>SUM(G149:G152)</f>
        <v>1405655</v>
      </c>
      <c r="H153" s="69">
        <f>SUM(H149:H152)</f>
        <v>1452849</v>
      </c>
      <c r="I153" s="69">
        <f>SUM(I149:I152)</f>
        <v>1576934</v>
      </c>
      <c r="J153" s="71">
        <f>I153</f>
        <v>1576934</v>
      </c>
      <c r="K153" s="69">
        <f>SUM(K149:K152)</f>
        <v>1444818</v>
      </c>
      <c r="L153" s="69">
        <f>SUM(L149:L152)</f>
        <v>1515511</v>
      </c>
      <c r="M153" s="69">
        <f>SUM(M149:M152)</f>
        <v>1556847</v>
      </c>
      <c r="N153" s="69">
        <f>SUM(N149:N152)</f>
        <v>1707642</v>
      </c>
      <c r="O153" s="71">
        <f>N153</f>
        <v>1707642</v>
      </c>
      <c r="P153" s="69">
        <f>SUM(P149:P152)</f>
        <v>1506560</v>
      </c>
      <c r="Q153" s="69">
        <f>SUM(Q149:Q152)</f>
        <v>1655079</v>
      </c>
      <c r="R153" s="69">
        <f>SUM(R149:R152)</f>
        <v>1809446</v>
      </c>
      <c r="S153" s="69">
        <f>SUM(S149:S152)</f>
        <v>2031576</v>
      </c>
      <c r="T153" s="71">
        <f>S153</f>
        <v>2031576</v>
      </c>
      <c r="U153" s="69">
        <f>SUM(U149:U152)</f>
        <v>1782086</v>
      </c>
      <c r="V153" s="70">
        <f ca="1">SUM(V149:V152)</f>
        <v>1978929.5266775414</v>
      </c>
      <c r="W153" s="70">
        <f ca="1">SUM(W149:W152)</f>
        <v>2237627.9092125073</v>
      </c>
      <c r="X153" s="70">
        <f ca="1">SUM(X149:X152)</f>
        <v>2628446.2885851096</v>
      </c>
      <c r="Y153" s="71">
        <f ca="1">X153</f>
        <v>2628446.2885851096</v>
      </c>
      <c r="Z153" s="70">
        <f ca="1">SUM(Z149:Z152)</f>
        <v>2884988.0546821803</v>
      </c>
      <c r="AA153" s="70">
        <f ca="1">SUM(AA149:AA152)</f>
        <v>3140467.0484704673</v>
      </c>
      <c r="AB153" s="70">
        <f ca="1">SUM(AB149:AB152)</f>
        <v>3461926.2359605804</v>
      </c>
      <c r="AC153" s="70">
        <f ca="1">SUM(AC149:AC152)</f>
        <v>3953538.7832801379</v>
      </c>
      <c r="AD153" s="71">
        <f ca="1">AC153</f>
        <v>3953538.7832801379</v>
      </c>
      <c r="AE153" s="71">
        <f ca="1">SUM(AE149:AE152)</f>
        <v>5428569.1493135486</v>
      </c>
      <c r="AF153" s="71">
        <f ca="1">SUM(AF149:AF152)</f>
        <v>6753843.1534767821</v>
      </c>
      <c r="AG153" s="71">
        <f ca="1">SUM(AG149:AG152)</f>
        <v>8328491.2444391809</v>
      </c>
    </row>
    <row r="154" spans="1:33" s="23" customFormat="1" ht="12.75">
      <c r="A154" s="22"/>
      <c r="F154" s="29"/>
      <c r="G154" s="29"/>
      <c r="H154" s="29"/>
      <c r="I154" s="29"/>
      <c r="K154" s="29"/>
      <c r="L154" s="29"/>
      <c r="M154" s="29"/>
      <c r="N154" s="29"/>
      <c r="P154" s="29"/>
      <c r="Q154" s="29"/>
      <c r="R154" s="29"/>
      <c r="S154" s="29"/>
      <c r="U154" s="29"/>
      <c r="V154" s="30"/>
      <c r="W154" s="30"/>
      <c r="X154" s="30"/>
      <c r="Z154" s="30"/>
      <c r="AA154" s="30"/>
      <c r="AB154" s="30"/>
      <c r="AC154" s="30"/>
    </row>
    <row r="155" spans="1:33" s="23" customFormat="1" ht="12.75">
      <c r="A155" s="22"/>
      <c r="C155" s="23" t="s">
        <v>116</v>
      </c>
      <c r="F155" s="31">
        <v>193278</v>
      </c>
      <c r="G155" s="31">
        <v>198925</v>
      </c>
      <c r="H155" s="31">
        <v>201619</v>
      </c>
      <c r="I155" s="31">
        <v>205556</v>
      </c>
      <c r="J155" s="32">
        <f>I155</f>
        <v>205556</v>
      </c>
      <c r="K155" s="31">
        <v>203454</v>
      </c>
      <c r="L155" s="31">
        <v>212015</v>
      </c>
      <c r="M155" s="31">
        <f>223107</f>
        <v>223107</v>
      </c>
      <c r="N155" s="31">
        <v>234166</v>
      </c>
      <c r="O155" s="32">
        <f>N155</f>
        <v>234166</v>
      </c>
      <c r="P155" s="31">
        <v>245095</v>
      </c>
      <c r="Q155" s="31">
        <v>263415</v>
      </c>
      <c r="R155" s="31">
        <v>276214</v>
      </c>
      <c r="S155" s="31">
        <v>288290</v>
      </c>
      <c r="T155" s="32">
        <f>S155</f>
        <v>288290</v>
      </c>
      <c r="U155" s="31">
        <v>306515</v>
      </c>
      <c r="V155" s="34">
        <f>U155+Drivers!V111</f>
        <v>306515</v>
      </c>
      <c r="W155" s="34">
        <f>V155+Drivers!W111</f>
        <v>306515</v>
      </c>
      <c r="X155" s="34">
        <f>W155+Drivers!X111</f>
        <v>306515</v>
      </c>
      <c r="Y155" s="32">
        <f>X155</f>
        <v>306515</v>
      </c>
      <c r="Z155" s="34">
        <f>Y155+Drivers!Z111</f>
        <v>306515</v>
      </c>
      <c r="AA155" s="34">
        <f>Z155+Drivers!AA111</f>
        <v>306515</v>
      </c>
      <c r="AB155" s="34">
        <f>AA155+Drivers!AB111</f>
        <v>306515</v>
      </c>
      <c r="AC155" s="34">
        <f>AB155+Drivers!AC111</f>
        <v>306515</v>
      </c>
      <c r="AD155" s="32">
        <f>AC155</f>
        <v>306515</v>
      </c>
      <c r="AE155" s="35">
        <f>AD155+Drivers!AE111</f>
        <v>306515</v>
      </c>
      <c r="AF155" s="35">
        <f>AE155+Drivers!AF111</f>
        <v>306515</v>
      </c>
      <c r="AG155" s="35">
        <f>AF155+Drivers!AG111</f>
        <v>306515</v>
      </c>
    </row>
    <row r="156" spans="1:33" s="23" customFormat="1" ht="12.75">
      <c r="A156" s="22"/>
      <c r="C156" s="28" t="s">
        <v>117</v>
      </c>
      <c r="F156" s="69">
        <f>SUM(F153:F155)</f>
        <v>1569211</v>
      </c>
      <c r="G156" s="69">
        <f>SUM(G153:G155)</f>
        <v>1604580</v>
      </c>
      <c r="H156" s="69">
        <f>SUM(H153:H155)</f>
        <v>1654468</v>
      </c>
      <c r="I156" s="69">
        <f>SUM(I153:I155)</f>
        <v>1782490</v>
      </c>
      <c r="J156" s="71">
        <f>I156</f>
        <v>1782490</v>
      </c>
      <c r="K156" s="69">
        <f>SUM(K153:K155)</f>
        <v>1648272</v>
      </c>
      <c r="L156" s="69">
        <f>SUM(L153:L155)</f>
        <v>1727526</v>
      </c>
      <c r="M156" s="69">
        <f>SUM(M153:M155)</f>
        <v>1779954</v>
      </c>
      <c r="N156" s="69">
        <f>SUM(N153:N155)</f>
        <v>1941808</v>
      </c>
      <c r="O156" s="71">
        <f>N156</f>
        <v>1941808</v>
      </c>
      <c r="P156" s="69">
        <f>SUM(P153:P155)</f>
        <v>1751655</v>
      </c>
      <c r="Q156" s="69">
        <f>SUM(Q153:Q155)</f>
        <v>1918494</v>
      </c>
      <c r="R156" s="69">
        <f>SUM(R153:R155)</f>
        <v>2085660</v>
      </c>
      <c r="S156" s="69">
        <f>SUM(S153:S155)</f>
        <v>2319866</v>
      </c>
      <c r="T156" s="71">
        <f>S156</f>
        <v>2319866</v>
      </c>
      <c r="U156" s="69">
        <f>SUM(U153:U155)</f>
        <v>2088601</v>
      </c>
      <c r="V156" s="70">
        <f ca="1">SUM(V153:V155)</f>
        <v>2285444.5266775414</v>
      </c>
      <c r="W156" s="70">
        <f ca="1">SUM(W153:W155)</f>
        <v>2544142.9092125073</v>
      </c>
      <c r="X156" s="70">
        <f ca="1">SUM(X153:X155)</f>
        <v>2934961.2885851096</v>
      </c>
      <c r="Y156" s="71">
        <f ca="1">X156</f>
        <v>2934961.2885851096</v>
      </c>
      <c r="Z156" s="70">
        <f ca="1">SUM(Z153:Z155)</f>
        <v>3191503.0546821803</v>
      </c>
      <c r="AA156" s="70">
        <f ca="1">SUM(AA153:AA155)</f>
        <v>3446982.0484704673</v>
      </c>
      <c r="AB156" s="70">
        <f ca="1">SUM(AB153:AB155)</f>
        <v>3768441.2359605804</v>
      </c>
      <c r="AC156" s="70">
        <f ca="1">SUM(AC153:AC155)</f>
        <v>4260053.7832801379</v>
      </c>
      <c r="AD156" s="71">
        <f ca="1">AC156</f>
        <v>4260053.7832801379</v>
      </c>
      <c r="AE156" s="71">
        <f ca="1">SUM(AE153:AE155)</f>
        <v>5735084.1493135486</v>
      </c>
      <c r="AF156" s="71">
        <f ca="1">SUM(AF153:AF155)</f>
        <v>7060358.1534767821</v>
      </c>
      <c r="AG156" s="71">
        <f ca="1">SUM(AG153:AG155)</f>
        <v>8635006.2444391809</v>
      </c>
    </row>
    <row r="157" spans="1:33" s="23" customFormat="1" ht="12.75">
      <c r="A157" s="22"/>
      <c r="C157" s="28"/>
      <c r="F157" s="29"/>
      <c r="G157" s="29"/>
      <c r="H157" s="29"/>
      <c r="I157" s="29"/>
      <c r="K157" s="29"/>
      <c r="L157" s="29"/>
      <c r="M157" s="29"/>
      <c r="N157" s="29"/>
      <c r="P157" s="29"/>
      <c r="Q157" s="29"/>
      <c r="R157" s="29"/>
      <c r="S157" s="29"/>
      <c r="U157" s="29"/>
      <c r="V157" s="30"/>
      <c r="W157" s="30"/>
      <c r="X157" s="30"/>
      <c r="Z157" s="30"/>
      <c r="AA157" s="30"/>
      <c r="AB157" s="30"/>
      <c r="AC157" s="30"/>
    </row>
    <row r="158" spans="1:33" s="23" customFormat="1" ht="12.75">
      <c r="A158" s="22"/>
      <c r="C158" s="28" t="s">
        <v>118</v>
      </c>
      <c r="F158" s="69">
        <f t="shared" ref="F158:X158" si="102">SUM(F147,F156)</f>
        <v>2750472</v>
      </c>
      <c r="G158" s="69">
        <f t="shared" si="102"/>
        <v>3051444</v>
      </c>
      <c r="H158" s="69">
        <f t="shared" si="102"/>
        <v>3225798</v>
      </c>
      <c r="I158" s="69">
        <f t="shared" si="102"/>
        <v>3703298</v>
      </c>
      <c r="J158" s="71">
        <f t="shared" si="102"/>
        <v>3703298</v>
      </c>
      <c r="K158" s="69">
        <f t="shared" si="102"/>
        <v>3005988</v>
      </c>
      <c r="L158" s="69">
        <f t="shared" si="102"/>
        <v>3315998</v>
      </c>
      <c r="M158" s="69">
        <f t="shared" si="102"/>
        <v>3567547</v>
      </c>
      <c r="N158" s="69">
        <f t="shared" si="102"/>
        <v>4173971</v>
      </c>
      <c r="O158" s="71">
        <f t="shared" si="102"/>
        <v>4173971</v>
      </c>
      <c r="P158" s="69">
        <f t="shared" si="102"/>
        <v>3271115</v>
      </c>
      <c r="Q158" s="69">
        <f t="shared" si="102"/>
        <v>3689659</v>
      </c>
      <c r="R158" s="69">
        <f t="shared" si="102"/>
        <v>4422246</v>
      </c>
      <c r="S158" s="69">
        <f t="shared" si="102"/>
        <v>5358097</v>
      </c>
      <c r="T158" s="71">
        <f t="shared" si="102"/>
        <v>5358097</v>
      </c>
      <c r="U158" s="69">
        <f t="shared" ref="U158" si="103">SUM(U147,U156)</f>
        <v>4314273</v>
      </c>
      <c r="V158" s="70">
        <f t="shared" ca="1" si="102"/>
        <v>5438065.3777275411</v>
      </c>
      <c r="W158" s="70">
        <f t="shared" ca="1" si="102"/>
        <v>5919215.8979185577</v>
      </c>
      <c r="X158" s="70">
        <f t="shared" ca="1" si="102"/>
        <v>6681006.3786623934</v>
      </c>
      <c r="Y158" s="71">
        <f t="shared" ref="Y158:AG158" ca="1" si="104">SUM(Y147,Y156)</f>
        <v>6681006.3786623934</v>
      </c>
      <c r="Z158" s="70">
        <f t="shared" ca="1" si="104"/>
        <v>6410368.6393832015</v>
      </c>
      <c r="AA158" s="70">
        <f t="shared" ca="1" si="104"/>
        <v>6837550.0728807859</v>
      </c>
      <c r="AB158" s="70">
        <f t="shared" ca="1" si="104"/>
        <v>7399946.0354176387</v>
      </c>
      <c r="AC158" s="70">
        <f t="shared" ca="1" si="104"/>
        <v>8397617.3979726695</v>
      </c>
      <c r="AD158" s="71">
        <f t="shared" ca="1" si="104"/>
        <v>8397617.3979726695</v>
      </c>
      <c r="AE158" s="71">
        <f t="shared" ca="1" si="104"/>
        <v>9293546.9055948704</v>
      </c>
      <c r="AF158" s="71">
        <f t="shared" ca="1" si="104"/>
        <v>9875776.2025613431</v>
      </c>
      <c r="AG158" s="71">
        <f t="shared" ca="1" si="104"/>
        <v>10927470.552337386</v>
      </c>
    </row>
    <row r="159" spans="1:33" s="23" customFormat="1" ht="12.75">
      <c r="A159" s="22"/>
      <c r="C159" s="28"/>
      <c r="F159" s="29"/>
      <c r="G159" s="29"/>
      <c r="H159" s="29"/>
      <c r="I159" s="29"/>
      <c r="K159" s="29"/>
      <c r="L159" s="29"/>
      <c r="M159" s="29"/>
      <c r="N159" s="29"/>
      <c r="P159" s="29"/>
      <c r="Q159" s="29"/>
      <c r="R159" s="29"/>
      <c r="S159" s="29"/>
      <c r="U159" s="29"/>
      <c r="V159" s="30"/>
      <c r="W159" s="30"/>
      <c r="X159" s="30"/>
      <c r="Z159" s="30"/>
      <c r="AA159" s="30"/>
      <c r="AB159" s="30"/>
      <c r="AC159" s="30"/>
    </row>
    <row r="160" spans="1:33" s="24" customFormat="1" ht="12.75">
      <c r="A160" s="22"/>
      <c r="B160" s="83"/>
      <c r="C160" s="84" t="s">
        <v>119</v>
      </c>
      <c r="D160" s="85"/>
      <c r="E160" s="85"/>
      <c r="F160" s="86">
        <f t="shared" ref="F160:S160" si="105">F134-F158</f>
        <v>0</v>
      </c>
      <c r="G160" s="86">
        <f t="shared" si="105"/>
        <v>0</v>
      </c>
      <c r="H160" s="86">
        <f t="shared" si="105"/>
        <v>0</v>
      </c>
      <c r="I160" s="86">
        <f t="shared" si="105"/>
        <v>0</v>
      </c>
      <c r="J160" s="87">
        <f t="shared" si="105"/>
        <v>0</v>
      </c>
      <c r="K160" s="86">
        <f t="shared" si="105"/>
        <v>0</v>
      </c>
      <c r="L160" s="86">
        <f t="shared" si="105"/>
        <v>0</v>
      </c>
      <c r="M160" s="86">
        <f t="shared" si="105"/>
        <v>0</v>
      </c>
      <c r="N160" s="86">
        <f t="shared" si="105"/>
        <v>0</v>
      </c>
      <c r="O160" s="87">
        <f t="shared" si="105"/>
        <v>0</v>
      </c>
      <c r="P160" s="86">
        <f t="shared" si="105"/>
        <v>0</v>
      </c>
      <c r="Q160" s="86">
        <f t="shared" si="105"/>
        <v>0</v>
      </c>
      <c r="R160" s="86">
        <f t="shared" si="105"/>
        <v>0</v>
      </c>
      <c r="S160" s="86">
        <f t="shared" si="105"/>
        <v>0</v>
      </c>
      <c r="T160" s="87">
        <f>T134-T158</f>
        <v>0</v>
      </c>
      <c r="U160" s="86">
        <f t="shared" ref="U160" si="106">U134-U158</f>
        <v>0</v>
      </c>
      <c r="V160" s="88">
        <f t="shared" ref="V160:X160" ca="1" si="107">V134-V158</f>
        <v>0</v>
      </c>
      <c r="W160" s="88">
        <f t="shared" ca="1" si="107"/>
        <v>0</v>
      </c>
      <c r="X160" s="88">
        <f t="shared" ca="1" si="107"/>
        <v>0</v>
      </c>
      <c r="Y160" s="87">
        <f ca="1">Y134-Y158</f>
        <v>0</v>
      </c>
      <c r="Z160" s="88">
        <f ca="1">Z134-Z158</f>
        <v>0</v>
      </c>
      <c r="AA160" s="88">
        <f t="shared" ref="AA160:AC160" ca="1" si="108">AA134-AA158</f>
        <v>0</v>
      </c>
      <c r="AB160" s="88">
        <f t="shared" ca="1" si="108"/>
        <v>0</v>
      </c>
      <c r="AC160" s="88">
        <f t="shared" ca="1" si="108"/>
        <v>0</v>
      </c>
      <c r="AD160" s="87">
        <f ca="1">AD134-AD158</f>
        <v>0</v>
      </c>
      <c r="AE160" s="87">
        <f ca="1">AE134-AE158</f>
        <v>0</v>
      </c>
      <c r="AF160" s="87">
        <f ca="1">AF134-AF158</f>
        <v>0</v>
      </c>
      <c r="AG160" s="89">
        <f ca="1">AG134-AG158</f>
        <v>0</v>
      </c>
    </row>
    <row r="161" spans="1:34" s="23" customFormat="1" ht="12.75">
      <c r="A161" s="22"/>
      <c r="F161" s="29"/>
      <c r="G161" s="29"/>
      <c r="H161" s="29"/>
      <c r="I161" s="29"/>
      <c r="K161" s="29"/>
      <c r="L161" s="29"/>
      <c r="M161" s="29"/>
      <c r="N161" s="29"/>
      <c r="P161" s="29"/>
      <c r="Q161" s="29"/>
      <c r="R161" s="29"/>
      <c r="S161" s="29"/>
      <c r="U161" s="29"/>
      <c r="V161" s="30"/>
      <c r="W161" s="30"/>
      <c r="X161" s="30"/>
      <c r="Z161" s="30"/>
      <c r="AA161" s="30"/>
      <c r="AB161" s="30"/>
      <c r="AC161" s="30"/>
    </row>
    <row r="162" spans="1:34" s="23" customFormat="1" ht="12.75">
      <c r="A162" s="22" t="s">
        <v>1</v>
      </c>
      <c r="B162" s="163"/>
      <c r="C162" s="577" t="s">
        <v>120</v>
      </c>
      <c r="D162" s="147"/>
      <c r="E162" s="147"/>
      <c r="F162" s="579" t="str">
        <f t="shared" ref="F162:AG162" si="109">F$64</f>
        <v>1Q23</v>
      </c>
      <c r="G162" s="579" t="str">
        <f t="shared" si="109"/>
        <v>2Q23</v>
      </c>
      <c r="H162" s="579" t="str">
        <f t="shared" si="109"/>
        <v>3Q23</v>
      </c>
      <c r="I162" s="579" t="str">
        <f t="shared" si="109"/>
        <v>4Q23</v>
      </c>
      <c r="J162" s="579">
        <f t="shared" si="109"/>
        <v>2023</v>
      </c>
      <c r="K162" s="579" t="str">
        <f t="shared" si="109"/>
        <v>1Q24</v>
      </c>
      <c r="L162" s="579" t="str">
        <f t="shared" si="109"/>
        <v>2Q24</v>
      </c>
      <c r="M162" s="579" t="str">
        <f t="shared" si="109"/>
        <v>3Q24</v>
      </c>
      <c r="N162" s="579" t="str">
        <f t="shared" si="109"/>
        <v>4Q24</v>
      </c>
      <c r="O162" s="579">
        <f t="shared" si="109"/>
        <v>2024</v>
      </c>
      <c r="P162" s="579" t="str">
        <f t="shared" si="109"/>
        <v>1Q25</v>
      </c>
      <c r="Q162" s="579" t="str">
        <f t="shared" si="109"/>
        <v>2Q25</v>
      </c>
      <c r="R162" s="579" t="str">
        <f t="shared" si="109"/>
        <v>3Q25</v>
      </c>
      <c r="S162" s="579" t="str">
        <f t="shared" si="109"/>
        <v>4Q25</v>
      </c>
      <c r="T162" s="579">
        <f t="shared" si="109"/>
        <v>2025</v>
      </c>
      <c r="U162" s="579" t="str">
        <f t="shared" si="109"/>
        <v>1Q26</v>
      </c>
      <c r="V162" s="579" t="str">
        <f t="shared" si="109"/>
        <v>2Q26e</v>
      </c>
      <c r="W162" s="579" t="str">
        <f t="shared" si="109"/>
        <v>3Q26e</v>
      </c>
      <c r="X162" s="579" t="str">
        <f t="shared" si="109"/>
        <v>4Q26e</v>
      </c>
      <c r="Y162" s="579" t="str">
        <f t="shared" si="109"/>
        <v>2026e</v>
      </c>
      <c r="Z162" s="579" t="str">
        <f t="shared" si="109"/>
        <v>1Q27e</v>
      </c>
      <c r="AA162" s="579" t="str">
        <f t="shared" si="109"/>
        <v>2Q27e</v>
      </c>
      <c r="AB162" s="579" t="str">
        <f t="shared" si="109"/>
        <v>3Q27e</v>
      </c>
      <c r="AC162" s="579" t="str">
        <f t="shared" si="109"/>
        <v>4Q27e</v>
      </c>
      <c r="AD162" s="579" t="str">
        <f t="shared" si="109"/>
        <v>2027e</v>
      </c>
      <c r="AE162" s="579" t="str">
        <f t="shared" si="109"/>
        <v>2028e</v>
      </c>
      <c r="AF162" s="579" t="str">
        <f t="shared" si="109"/>
        <v>2029e</v>
      </c>
      <c r="AG162" s="580" t="str">
        <f t="shared" si="109"/>
        <v>2030e</v>
      </c>
      <c r="AH162" s="22" t="s">
        <v>1</v>
      </c>
    </row>
    <row r="163" spans="1:34" s="23" customFormat="1" ht="12.75">
      <c r="A163" s="22"/>
      <c r="F163" s="29"/>
      <c r="G163" s="29"/>
      <c r="H163" s="29"/>
      <c r="I163" s="29"/>
      <c r="K163" s="29"/>
      <c r="L163" s="29"/>
      <c r="M163" s="29"/>
      <c r="N163" s="29"/>
      <c r="P163" s="29"/>
      <c r="Q163" s="29"/>
      <c r="R163" s="29"/>
      <c r="S163" s="29"/>
      <c r="U163" s="29"/>
      <c r="V163" s="30"/>
      <c r="W163" s="30"/>
      <c r="X163" s="30"/>
      <c r="Z163" s="30"/>
      <c r="AA163" s="30"/>
      <c r="AB163" s="30"/>
      <c r="AC163" s="30"/>
    </row>
    <row r="164" spans="1:34" s="23" customFormat="1" ht="12.75">
      <c r="A164" s="22"/>
      <c r="C164" s="28" t="str">
        <f>C123</f>
        <v>Accounts Receivable</v>
      </c>
      <c r="F164" s="69">
        <f t="shared" ref="F164:S164" si="110">F123</f>
        <v>319830</v>
      </c>
      <c r="G164" s="69">
        <f t="shared" si="110"/>
        <v>341708</v>
      </c>
      <c r="H164" s="69">
        <f t="shared" si="110"/>
        <v>359416</v>
      </c>
      <c r="I164" s="69">
        <f t="shared" si="110"/>
        <v>397352</v>
      </c>
      <c r="J164" s="71">
        <f t="shared" si="110"/>
        <v>397352</v>
      </c>
      <c r="K164" s="69">
        <f t="shared" si="110"/>
        <v>361541</v>
      </c>
      <c r="L164" s="69">
        <f t="shared" si="110"/>
        <v>386780</v>
      </c>
      <c r="M164" s="69">
        <f t="shared" si="110"/>
        <v>447942</v>
      </c>
      <c r="N164" s="69">
        <f t="shared" si="110"/>
        <v>455068</v>
      </c>
      <c r="O164" s="71">
        <f t="shared" si="110"/>
        <v>455068</v>
      </c>
      <c r="P164" s="69">
        <f t="shared" si="110"/>
        <v>507003</v>
      </c>
      <c r="Q164" s="69">
        <f t="shared" si="110"/>
        <v>518048</v>
      </c>
      <c r="R164" s="69">
        <f t="shared" si="110"/>
        <v>561911</v>
      </c>
      <c r="S164" s="69">
        <f t="shared" si="110"/>
        <v>619246</v>
      </c>
      <c r="T164" s="71">
        <f>S164</f>
        <v>619246</v>
      </c>
      <c r="U164" s="69">
        <f t="shared" ref="U164" si="111">U123</f>
        <v>621229</v>
      </c>
      <c r="V164" s="70">
        <f>V184*V28/V$26</f>
        <v>779403.86489010986</v>
      </c>
      <c r="W164" s="70">
        <f>W184*W28/W$26</f>
        <v>896729.18787000002</v>
      </c>
      <c r="X164" s="70">
        <f>X184*X28/X$26</f>
        <v>1102814.3869901234</v>
      </c>
      <c r="Y164" s="71">
        <f>X164</f>
        <v>1102814.3869901234</v>
      </c>
      <c r="Z164" s="70">
        <f>Z184*Z28/Z$26</f>
        <v>793584.34835376858</v>
      </c>
      <c r="AA164" s="70">
        <f>AA184*AA28/AA$26</f>
        <v>874945.20428113244</v>
      </c>
      <c r="AB164" s="70">
        <f>AB184*AB28/AB$26</f>
        <v>1002994.9480153451</v>
      </c>
      <c r="AC164" s="70">
        <f>AC184*AC28/AC$26</f>
        <v>1273126.7889967526</v>
      </c>
      <c r="AD164" s="71">
        <f>AC164</f>
        <v>1273126.7889967526</v>
      </c>
      <c r="AE164" s="71">
        <f>AE184*AE28/AE$26</f>
        <v>1189515.5534453795</v>
      </c>
      <c r="AF164" s="71">
        <f>AF184*AF28/AF$26</f>
        <v>1164364.23471616</v>
      </c>
      <c r="AG164" s="71">
        <f>AG184*AG28/AG$26</f>
        <v>1104573.8047834381</v>
      </c>
    </row>
    <row r="165" spans="1:34" s="23" customFormat="1" ht="12.75">
      <c r="A165" s="22"/>
      <c r="C165" s="28" t="str">
        <f>C124</f>
        <v>Inventory</v>
      </c>
      <c r="F165" s="75">
        <f t="shared" ref="F165:S165" si="112">F124</f>
        <v>0</v>
      </c>
      <c r="G165" s="75">
        <f t="shared" si="112"/>
        <v>0</v>
      </c>
      <c r="H165" s="75">
        <f t="shared" si="112"/>
        <v>0</v>
      </c>
      <c r="I165" s="75">
        <f t="shared" si="112"/>
        <v>0</v>
      </c>
      <c r="J165" s="38">
        <f t="shared" si="112"/>
        <v>0</v>
      </c>
      <c r="K165" s="75">
        <f t="shared" si="112"/>
        <v>0</v>
      </c>
      <c r="L165" s="75">
        <f t="shared" si="112"/>
        <v>0</v>
      </c>
      <c r="M165" s="75">
        <f t="shared" si="112"/>
        <v>0</v>
      </c>
      <c r="N165" s="75">
        <f t="shared" si="112"/>
        <v>0</v>
      </c>
      <c r="O165" s="38">
        <f t="shared" si="112"/>
        <v>0</v>
      </c>
      <c r="P165" s="75">
        <f t="shared" si="112"/>
        <v>0</v>
      </c>
      <c r="Q165" s="75">
        <f t="shared" si="112"/>
        <v>0</v>
      </c>
      <c r="R165" s="75">
        <f t="shared" si="112"/>
        <v>0</v>
      </c>
      <c r="S165" s="75">
        <f t="shared" si="112"/>
        <v>0</v>
      </c>
      <c r="T165" s="38">
        <f>S165</f>
        <v>0</v>
      </c>
      <c r="U165" s="75">
        <f t="shared" ref="U165" si="113">U124</f>
        <v>0</v>
      </c>
      <c r="V165" s="76">
        <f>V185*-V29/V$26</f>
        <v>0</v>
      </c>
      <c r="W165" s="76">
        <f>W185*-W29/W$26</f>
        <v>0</v>
      </c>
      <c r="X165" s="76">
        <f>X185*-X29/X$26</f>
        <v>0</v>
      </c>
      <c r="Y165" s="38">
        <f>X165</f>
        <v>0</v>
      </c>
      <c r="Z165" s="76">
        <f>Z185*-Z29/Z$26</f>
        <v>0</v>
      </c>
      <c r="AA165" s="76">
        <f>AA185*-AA29/AA$26</f>
        <v>0</v>
      </c>
      <c r="AB165" s="76">
        <f>AB185*-AB29/AB$26</f>
        <v>0</v>
      </c>
      <c r="AC165" s="76">
        <f>AC185*-AC29/AC$26</f>
        <v>0</v>
      </c>
      <c r="AD165" s="38">
        <f>AC165</f>
        <v>0</v>
      </c>
      <c r="AE165" s="38">
        <f>AE185*-AE29/AE$26</f>
        <v>0</v>
      </c>
      <c r="AF165" s="38">
        <f>AF185*-AF29/AF$26</f>
        <v>0</v>
      </c>
      <c r="AG165" s="38">
        <f>AG185*-AG29/AG$26</f>
        <v>0</v>
      </c>
    </row>
    <row r="166" spans="1:34" s="23" customFormat="1" ht="12.75">
      <c r="A166" s="22"/>
      <c r="C166" s="28" t="str">
        <f>C125</f>
        <v>Prepaid &amp; Other Current Assets</v>
      </c>
      <c r="F166" s="53">
        <f t="shared" ref="F166:S166" si="114">F125</f>
        <v>915917</v>
      </c>
      <c r="G166" s="53">
        <f t="shared" si="114"/>
        <v>1116188</v>
      </c>
      <c r="H166" s="53">
        <f t="shared" si="114"/>
        <v>1278823</v>
      </c>
      <c r="I166" s="53">
        <f t="shared" si="114"/>
        <v>1610987</v>
      </c>
      <c r="J166" s="32">
        <f t="shared" si="114"/>
        <v>1610987</v>
      </c>
      <c r="K166" s="53">
        <f t="shared" si="114"/>
        <v>991607</v>
      </c>
      <c r="L166" s="53">
        <f t="shared" si="114"/>
        <v>1225327</v>
      </c>
      <c r="M166" s="53">
        <f t="shared" si="114"/>
        <v>1498814</v>
      </c>
      <c r="N166" s="53">
        <f t="shared" si="114"/>
        <v>1659788</v>
      </c>
      <c r="O166" s="32">
        <f t="shared" si="114"/>
        <v>1659788</v>
      </c>
      <c r="P166" s="53">
        <f t="shared" si="114"/>
        <v>986097</v>
      </c>
      <c r="Q166" s="53">
        <f t="shared" si="114"/>
        <v>1299760</v>
      </c>
      <c r="R166" s="53">
        <f t="shared" si="114"/>
        <v>1726752</v>
      </c>
      <c r="S166" s="53">
        <f t="shared" si="114"/>
        <v>1812975</v>
      </c>
      <c r="T166" s="32">
        <f>S166</f>
        <v>1812975</v>
      </c>
      <c r="U166" s="53">
        <f t="shared" ref="U166" si="115">U125</f>
        <v>1203341</v>
      </c>
      <c r="V166" s="54">
        <f>V188*V28*4</f>
        <v>2343633.5345999999</v>
      </c>
      <c r="W166" s="54">
        <f>W188*W28*4</f>
        <v>2612471.0339946002</v>
      </c>
      <c r="X166" s="54">
        <f>X188*X28*4</f>
        <v>3212865.9140978935</v>
      </c>
      <c r="Y166" s="32">
        <f>X166</f>
        <v>3212865.9140978935</v>
      </c>
      <c r="Z166" s="54">
        <f>Z188*Z28*4</f>
        <v>2386273.6318324623</v>
      </c>
      <c r="AA166" s="54">
        <f>AA188*AA28*4</f>
        <v>2630922.1881775274</v>
      </c>
      <c r="AB166" s="54">
        <f>AB188*AB28*4</f>
        <v>2922058.6152180387</v>
      </c>
      <c r="AC166" s="54">
        <f>AC188*AC28*4</f>
        <v>3709042.7119438723</v>
      </c>
      <c r="AD166" s="32">
        <f>AC166</f>
        <v>3709042.7119438723</v>
      </c>
      <c r="AE166" s="32">
        <f>AE188*AE28</f>
        <v>5920543.3228304116</v>
      </c>
      <c r="AF166" s="32">
        <f>AF188*AF28</f>
        <v>6181715.5734021589</v>
      </c>
      <c r="AG166" s="32">
        <f>AG188*AG28</f>
        <v>6230800.4169829385</v>
      </c>
    </row>
    <row r="167" spans="1:34" s="23" customFormat="1" ht="12.75">
      <c r="A167" s="22"/>
      <c r="C167" s="23" t="s">
        <v>121</v>
      </c>
      <c r="F167" s="69">
        <f t="shared" ref="F167:O167" si="116">SUM(F164:F166)</f>
        <v>1235747</v>
      </c>
      <c r="G167" s="69">
        <f t="shared" si="116"/>
        <v>1457896</v>
      </c>
      <c r="H167" s="69">
        <f t="shared" si="116"/>
        <v>1638239</v>
      </c>
      <c r="I167" s="69">
        <f t="shared" si="116"/>
        <v>2008339</v>
      </c>
      <c r="J167" s="71">
        <f t="shared" si="116"/>
        <v>2008339</v>
      </c>
      <c r="K167" s="69">
        <f t="shared" si="116"/>
        <v>1353148</v>
      </c>
      <c r="L167" s="69">
        <f t="shared" si="116"/>
        <v>1612107</v>
      </c>
      <c r="M167" s="69">
        <f t="shared" si="116"/>
        <v>1946756</v>
      </c>
      <c r="N167" s="69">
        <f t="shared" si="116"/>
        <v>2114856</v>
      </c>
      <c r="O167" s="71">
        <f t="shared" si="116"/>
        <v>2114856</v>
      </c>
      <c r="P167" s="69">
        <f t="shared" ref="P167:R167" si="117">SUM(P164:P166)</f>
        <v>1493100</v>
      </c>
      <c r="Q167" s="69">
        <f t="shared" si="117"/>
        <v>1817808</v>
      </c>
      <c r="R167" s="69">
        <f t="shared" si="117"/>
        <v>2288663</v>
      </c>
      <c r="S167" s="69">
        <f t="shared" ref="S167:X167" si="118">SUM(S164:S166)</f>
        <v>2432221</v>
      </c>
      <c r="T167" s="71">
        <f t="shared" si="118"/>
        <v>2432221</v>
      </c>
      <c r="U167" s="69">
        <f t="shared" si="118"/>
        <v>1824570</v>
      </c>
      <c r="V167" s="70">
        <f t="shared" si="118"/>
        <v>3123037.3994901096</v>
      </c>
      <c r="W167" s="70">
        <f t="shared" si="118"/>
        <v>3509200.2218646002</v>
      </c>
      <c r="X167" s="70">
        <f t="shared" si="118"/>
        <v>4315680.3010880165</v>
      </c>
      <c r="Y167" s="71">
        <f t="shared" ref="Y167:AG167" si="119">SUM(Y164:Y166)</f>
        <v>4315680.3010880165</v>
      </c>
      <c r="Z167" s="70">
        <f t="shared" si="119"/>
        <v>3179857.980186231</v>
      </c>
      <c r="AA167" s="70">
        <f t="shared" si="119"/>
        <v>3505867.3924586596</v>
      </c>
      <c r="AB167" s="70">
        <f t="shared" si="119"/>
        <v>3925053.5632333839</v>
      </c>
      <c r="AC167" s="70">
        <f t="shared" si="119"/>
        <v>4982169.5009406246</v>
      </c>
      <c r="AD167" s="71">
        <f t="shared" si="119"/>
        <v>4982169.5009406246</v>
      </c>
      <c r="AE167" s="71">
        <f t="shared" si="119"/>
        <v>7110058.8762757909</v>
      </c>
      <c r="AF167" s="71">
        <f t="shared" si="119"/>
        <v>7346079.8081183191</v>
      </c>
      <c r="AG167" s="71">
        <f t="shared" si="119"/>
        <v>7335374.2217663769</v>
      </c>
    </row>
    <row r="168" spans="1:34" s="23" customFormat="1" ht="12.75">
      <c r="A168" s="22"/>
      <c r="F168" s="29"/>
      <c r="G168" s="29"/>
      <c r="H168" s="29"/>
      <c r="I168" s="29"/>
      <c r="K168" s="29"/>
      <c r="L168" s="29"/>
      <c r="M168" s="29"/>
      <c r="N168" s="29"/>
      <c r="P168" s="29"/>
      <c r="Q168" s="29"/>
      <c r="R168" s="29"/>
      <c r="S168" s="29"/>
      <c r="U168" s="29"/>
      <c r="V168" s="30"/>
      <c r="W168" s="30"/>
      <c r="X168" s="30"/>
      <c r="Z168" s="30"/>
      <c r="AA168" s="30"/>
      <c r="AB168" s="30"/>
      <c r="AC168" s="30"/>
    </row>
    <row r="169" spans="1:34" s="23" customFormat="1" ht="12.75">
      <c r="A169" s="22"/>
      <c r="C169" s="28" t="str">
        <f>C136</f>
        <v>Accounts Payable</v>
      </c>
      <c r="F169" s="69">
        <f t="shared" ref="F169:S169" si="120">F136</f>
        <v>81931</v>
      </c>
      <c r="G169" s="69">
        <f t="shared" si="120"/>
        <v>85051</v>
      </c>
      <c r="H169" s="69">
        <f t="shared" si="120"/>
        <v>61091</v>
      </c>
      <c r="I169" s="69">
        <f t="shared" si="120"/>
        <v>71827</v>
      </c>
      <c r="J169" s="71">
        <f t="shared" si="120"/>
        <v>71827</v>
      </c>
      <c r="K169" s="69">
        <f t="shared" si="120"/>
        <v>93361</v>
      </c>
      <c r="L169" s="69">
        <f t="shared" si="120"/>
        <v>100644</v>
      </c>
      <c r="M169" s="69">
        <f t="shared" si="120"/>
        <v>84439</v>
      </c>
      <c r="N169" s="69">
        <f t="shared" si="120"/>
        <v>77535</v>
      </c>
      <c r="O169" s="71">
        <f t="shared" si="120"/>
        <v>77535</v>
      </c>
      <c r="P169" s="69">
        <f t="shared" si="120"/>
        <v>127670</v>
      </c>
      <c r="Q169" s="69">
        <f t="shared" si="120"/>
        <v>132817</v>
      </c>
      <c r="R169" s="69">
        <f t="shared" si="120"/>
        <v>103536</v>
      </c>
      <c r="S169" s="69">
        <f t="shared" si="120"/>
        <v>108485</v>
      </c>
      <c r="T169" s="71">
        <f>S169</f>
        <v>108485</v>
      </c>
      <c r="U169" s="69">
        <f t="shared" ref="U169" si="121">U136</f>
        <v>39061</v>
      </c>
      <c r="V169" s="70">
        <f t="shared" ref="U169:X169" si="122">V186*V28*4</f>
        <v>185023.70009999999</v>
      </c>
      <c r="W169" s="70">
        <f t="shared" si="122"/>
        <v>206247.71321009999</v>
      </c>
      <c r="X169" s="70">
        <f t="shared" si="122"/>
        <v>253647.30900772841</v>
      </c>
      <c r="Y169" s="71">
        <f>X169</f>
        <v>253647.30900772841</v>
      </c>
      <c r="Z169" s="70">
        <f t="shared" ref="Z169:AC169" si="123">Z186*Z28*4</f>
        <v>188390.02356572071</v>
      </c>
      <c r="AA169" s="70">
        <f t="shared" si="123"/>
        <v>207704.38327717318</v>
      </c>
      <c r="AB169" s="70">
        <f t="shared" si="123"/>
        <v>230688.83804352937</v>
      </c>
      <c r="AC169" s="70">
        <f t="shared" si="123"/>
        <v>292819.16146925307</v>
      </c>
      <c r="AD169" s="71">
        <f>AC169</f>
        <v>292819.16146925307</v>
      </c>
      <c r="AE169" s="71">
        <f>AE186*AE28</f>
        <v>221033.61738566871</v>
      </c>
      <c r="AF169" s="71">
        <f t="shared" ref="AF169:AG169" si="124">AF186*AF28</f>
        <v>216360.04506907554</v>
      </c>
      <c r="AG169" s="71">
        <f t="shared" si="124"/>
        <v>205249.89608884975</v>
      </c>
    </row>
    <row r="170" spans="1:34" s="23" customFormat="1" ht="12.75">
      <c r="A170" s="22"/>
      <c r="C170" s="28" t="str">
        <f>C137</f>
        <v>Accrued Liabilities</v>
      </c>
      <c r="F170" s="75">
        <f t="shared" ref="F170:S170" si="125">F137</f>
        <v>196299</v>
      </c>
      <c r="G170" s="75">
        <f t="shared" si="125"/>
        <v>297575</v>
      </c>
      <c r="H170" s="75">
        <f t="shared" si="125"/>
        <v>422201</v>
      </c>
      <c r="I170" s="75">
        <f t="shared" si="125"/>
        <v>763160</v>
      </c>
      <c r="J170" s="38">
        <f t="shared" si="125"/>
        <v>763160</v>
      </c>
      <c r="K170" s="75">
        <f t="shared" si="125"/>
        <v>228424</v>
      </c>
      <c r="L170" s="75">
        <f t="shared" si="125"/>
        <v>429967</v>
      </c>
      <c r="M170" s="75">
        <f t="shared" si="125"/>
        <v>629289</v>
      </c>
      <c r="N170" s="75">
        <f t="shared" si="125"/>
        <v>1024076</v>
      </c>
      <c r="O170" s="38">
        <f t="shared" si="125"/>
        <v>1024076</v>
      </c>
      <c r="P170" s="75">
        <f t="shared" si="125"/>
        <v>316383</v>
      </c>
      <c r="Q170" s="75">
        <f t="shared" si="125"/>
        <v>549660</v>
      </c>
      <c r="R170" s="75">
        <f t="shared" si="125"/>
        <v>881526</v>
      </c>
      <c r="S170" s="75">
        <f t="shared" si="125"/>
        <v>1381322</v>
      </c>
      <c r="T170" s="38">
        <f>S170</f>
        <v>1381322</v>
      </c>
      <c r="U170" s="75">
        <f t="shared" ref="U170" si="126">U137</f>
        <v>853818</v>
      </c>
      <c r="V170" s="76">
        <f t="shared" ref="U170:X170" si="127">V189*V28*4</f>
        <v>1480189.6007999999</v>
      </c>
      <c r="W170" s="76">
        <f t="shared" si="127"/>
        <v>1649981.7056807999</v>
      </c>
      <c r="X170" s="76">
        <f t="shared" si="127"/>
        <v>1902354.8175579628</v>
      </c>
      <c r="Y170" s="38">
        <f>X170</f>
        <v>1902354.8175579628</v>
      </c>
      <c r="Z170" s="76">
        <f t="shared" ref="Z170:AC170" si="128">Z189*Z28*4</f>
        <v>1507120.1885257657</v>
      </c>
      <c r="AA170" s="76">
        <f t="shared" si="128"/>
        <v>1661635.0662173855</v>
      </c>
      <c r="AB170" s="76">
        <f t="shared" si="128"/>
        <v>1845510.7043482349</v>
      </c>
      <c r="AC170" s="76">
        <f t="shared" si="128"/>
        <v>2196143.7110193977</v>
      </c>
      <c r="AD170" s="38">
        <f>AC170</f>
        <v>2196143.7110193977</v>
      </c>
      <c r="AE170" s="38">
        <f>AE189*AE28</f>
        <v>1618281.8415736456</v>
      </c>
      <c r="AF170" s="38">
        <f t="shared" ref="AF170:AG170" si="129">AF189*AF28</f>
        <v>1159071.6700129046</v>
      </c>
      <c r="AG170" s="38">
        <f t="shared" si="129"/>
        <v>733035.34317446349</v>
      </c>
    </row>
    <row r="171" spans="1:34" s="23" customFormat="1" ht="12.75">
      <c r="A171" s="22"/>
      <c r="C171" s="28" t="str">
        <f>C138</f>
        <v>Other Current Liabilities</v>
      </c>
      <c r="F171" s="53">
        <f t="shared" ref="F171:N171" si="130">F138</f>
        <v>65173</v>
      </c>
      <c r="G171" s="53">
        <f t="shared" si="130"/>
        <v>79523</v>
      </c>
      <c r="H171" s="53">
        <f t="shared" si="130"/>
        <v>80069</v>
      </c>
      <c r="I171" s="53">
        <f t="shared" si="130"/>
        <v>75072</v>
      </c>
      <c r="J171" s="32">
        <f t="shared" si="130"/>
        <v>75072</v>
      </c>
      <c r="K171" s="53">
        <f t="shared" si="130"/>
        <v>71154</v>
      </c>
      <c r="L171" s="53">
        <f t="shared" si="130"/>
        <v>90482</v>
      </c>
      <c r="M171" s="53">
        <f t="shared" si="130"/>
        <v>80093</v>
      </c>
      <c r="N171" s="53">
        <f t="shared" si="130"/>
        <v>90239</v>
      </c>
      <c r="O171" s="32">
        <f>O138</f>
        <v>90239</v>
      </c>
      <c r="P171" s="53">
        <f t="shared" ref="P171:S171" si="131">P138</f>
        <v>99453</v>
      </c>
      <c r="Q171" s="53">
        <f t="shared" si="131"/>
        <v>95934</v>
      </c>
      <c r="R171" s="53">
        <f t="shared" si="131"/>
        <v>172987</v>
      </c>
      <c r="S171" s="53">
        <f t="shared" si="131"/>
        <v>293614</v>
      </c>
      <c r="T171" s="32">
        <f>S171</f>
        <v>293614</v>
      </c>
      <c r="U171" s="53">
        <f t="shared" ref="U171" si="132">U138</f>
        <v>123221</v>
      </c>
      <c r="V171" s="54">
        <f t="shared" ref="U171:X171" si="133">V190*V28*4</f>
        <v>277535.55014999997</v>
      </c>
      <c r="W171" s="54">
        <f t="shared" si="133"/>
        <v>309371.56981515</v>
      </c>
      <c r="X171" s="54">
        <f t="shared" si="133"/>
        <v>380470.96351159259</v>
      </c>
      <c r="Y171" s="32">
        <f>X171</f>
        <v>380470.96351159259</v>
      </c>
      <c r="Z171" s="54">
        <f t="shared" ref="Z171:AC171" si="134">Z190*Z28*4</f>
        <v>313983.37260953453</v>
      </c>
      <c r="AA171" s="54">
        <f t="shared" si="134"/>
        <v>311556.57491575979</v>
      </c>
      <c r="AB171" s="54">
        <f t="shared" si="134"/>
        <v>346033.25706529408</v>
      </c>
      <c r="AC171" s="54">
        <f t="shared" si="134"/>
        <v>439228.74220387958</v>
      </c>
      <c r="AD171" s="32">
        <f>AC171</f>
        <v>439228.74220387958</v>
      </c>
      <c r="AE171" s="32">
        <f>AE190*AE28</f>
        <v>236821.73291321646</v>
      </c>
      <c r="AF171" s="32">
        <f t="shared" ref="AF171:AG171" si="135">AF190*AF28</f>
        <v>231814.33400258093</v>
      </c>
      <c r="AG171" s="32">
        <f t="shared" si="135"/>
        <v>146607.0686348927</v>
      </c>
    </row>
    <row r="172" spans="1:34" s="23" customFormat="1" ht="12.75">
      <c r="A172" s="22"/>
      <c r="C172" s="23" t="s">
        <v>122</v>
      </c>
      <c r="F172" s="69">
        <f t="shared" ref="F172:O172" si="136">SUM(F169:F171)</f>
        <v>343403</v>
      </c>
      <c r="G172" s="69">
        <f t="shared" si="136"/>
        <v>462149</v>
      </c>
      <c r="H172" s="69">
        <f t="shared" si="136"/>
        <v>563361</v>
      </c>
      <c r="I172" s="69">
        <f t="shared" si="136"/>
        <v>910059</v>
      </c>
      <c r="J172" s="71">
        <f t="shared" si="136"/>
        <v>910059</v>
      </c>
      <c r="K172" s="69">
        <f t="shared" si="136"/>
        <v>392939</v>
      </c>
      <c r="L172" s="69">
        <f t="shared" si="136"/>
        <v>621093</v>
      </c>
      <c r="M172" s="69">
        <f t="shared" si="136"/>
        <v>793821</v>
      </c>
      <c r="N172" s="69">
        <f t="shared" si="136"/>
        <v>1191850</v>
      </c>
      <c r="O172" s="71">
        <f t="shared" si="136"/>
        <v>1191850</v>
      </c>
      <c r="P172" s="69">
        <f t="shared" ref="P172:R172" si="137">SUM(P169:P171)</f>
        <v>543506</v>
      </c>
      <c r="Q172" s="69">
        <f t="shared" si="137"/>
        <v>778411</v>
      </c>
      <c r="R172" s="69">
        <f t="shared" si="137"/>
        <v>1158049</v>
      </c>
      <c r="S172" s="69">
        <f t="shared" ref="S172:X172" si="138">SUM(S169:S171)</f>
        <v>1783421</v>
      </c>
      <c r="T172" s="71">
        <f t="shared" si="138"/>
        <v>1783421</v>
      </c>
      <c r="U172" s="69">
        <f t="shared" si="138"/>
        <v>1016100</v>
      </c>
      <c r="V172" s="70">
        <f t="shared" si="138"/>
        <v>1942748.8510499999</v>
      </c>
      <c r="W172" s="70">
        <f t="shared" si="138"/>
        <v>2165600.98870605</v>
      </c>
      <c r="X172" s="70">
        <f t="shared" si="138"/>
        <v>2536473.0900772838</v>
      </c>
      <c r="Y172" s="71">
        <f t="shared" ref="Y172:AG172" si="139">SUM(Y169:Y171)</f>
        <v>2536473.0900772838</v>
      </c>
      <c r="Z172" s="70">
        <f t="shared" si="139"/>
        <v>2009493.584701021</v>
      </c>
      <c r="AA172" s="70">
        <f t="shared" si="139"/>
        <v>2180896.0244103186</v>
      </c>
      <c r="AB172" s="70">
        <f t="shared" si="139"/>
        <v>2422232.7994570583</v>
      </c>
      <c r="AC172" s="70">
        <f t="shared" si="139"/>
        <v>2928191.6146925306</v>
      </c>
      <c r="AD172" s="71">
        <f t="shared" si="139"/>
        <v>2928191.6146925306</v>
      </c>
      <c r="AE172" s="71">
        <f t="shared" si="139"/>
        <v>2076137.1918725306</v>
      </c>
      <c r="AF172" s="71">
        <f t="shared" si="139"/>
        <v>1607246.0490845609</v>
      </c>
      <c r="AG172" s="71">
        <f t="shared" si="139"/>
        <v>1084892.3078982059</v>
      </c>
    </row>
    <row r="173" spans="1:34" s="23" customFormat="1" ht="12.75">
      <c r="A173" s="22"/>
      <c r="F173" s="29"/>
      <c r="G173" s="29"/>
      <c r="H173" s="29"/>
      <c r="I173" s="29"/>
      <c r="K173" s="29"/>
      <c r="L173" s="29"/>
      <c r="M173" s="29"/>
      <c r="N173" s="29"/>
      <c r="P173" s="29"/>
      <c r="Q173" s="29"/>
      <c r="R173" s="29"/>
      <c r="S173" s="29"/>
      <c r="U173" s="29"/>
      <c r="V173" s="30"/>
      <c r="W173" s="30"/>
      <c r="X173" s="30"/>
      <c r="Z173" s="30"/>
      <c r="AA173" s="30"/>
      <c r="AB173" s="30"/>
      <c r="AC173" s="30"/>
    </row>
    <row r="174" spans="1:34" s="23" customFormat="1" ht="12.75">
      <c r="A174" s="22"/>
      <c r="C174" s="23" t="s">
        <v>123</v>
      </c>
      <c r="F174" s="69">
        <f t="shared" ref="F174:X174" si="140">F167-F172</f>
        <v>892344</v>
      </c>
      <c r="G174" s="69">
        <f t="shared" si="140"/>
        <v>995747</v>
      </c>
      <c r="H174" s="69">
        <f t="shared" si="140"/>
        <v>1074878</v>
      </c>
      <c r="I174" s="69">
        <f t="shared" si="140"/>
        <v>1098280</v>
      </c>
      <c r="J174" s="71">
        <f t="shared" si="140"/>
        <v>1098280</v>
      </c>
      <c r="K174" s="69">
        <f t="shared" si="140"/>
        <v>960209</v>
      </c>
      <c r="L174" s="69">
        <f t="shared" si="140"/>
        <v>991014</v>
      </c>
      <c r="M174" s="69">
        <f t="shared" si="140"/>
        <v>1152935</v>
      </c>
      <c r="N174" s="69">
        <f t="shared" si="140"/>
        <v>923006</v>
      </c>
      <c r="O174" s="71">
        <f t="shared" si="140"/>
        <v>923006</v>
      </c>
      <c r="P174" s="69">
        <f t="shared" si="140"/>
        <v>949594</v>
      </c>
      <c r="Q174" s="69">
        <f t="shared" si="140"/>
        <v>1039397</v>
      </c>
      <c r="R174" s="69">
        <f t="shared" si="140"/>
        <v>1130614</v>
      </c>
      <c r="S174" s="69">
        <f t="shared" si="140"/>
        <v>648800</v>
      </c>
      <c r="T174" s="71">
        <f t="shared" si="140"/>
        <v>648800</v>
      </c>
      <c r="U174" s="69">
        <f t="shared" ref="U174" si="141">U167-U172</f>
        <v>808470</v>
      </c>
      <c r="V174" s="70">
        <f t="shared" si="140"/>
        <v>1180288.5484401097</v>
      </c>
      <c r="W174" s="70">
        <f t="shared" si="140"/>
        <v>1343599.2331585502</v>
      </c>
      <c r="X174" s="70">
        <f t="shared" si="140"/>
        <v>1779207.2110107327</v>
      </c>
      <c r="Y174" s="71">
        <f t="shared" ref="Y174:AG174" si="142">Y167-Y172</f>
        <v>1779207.2110107327</v>
      </c>
      <c r="Z174" s="70">
        <f t="shared" si="142"/>
        <v>1170364.39548521</v>
      </c>
      <c r="AA174" s="70">
        <f t="shared" si="142"/>
        <v>1324971.368048341</v>
      </c>
      <c r="AB174" s="70">
        <f t="shared" si="142"/>
        <v>1502820.7637763256</v>
      </c>
      <c r="AC174" s="70">
        <f t="shared" si="142"/>
        <v>2053977.886248094</v>
      </c>
      <c r="AD174" s="71">
        <f t="shared" si="142"/>
        <v>2053977.886248094</v>
      </c>
      <c r="AE174" s="71">
        <f t="shared" si="142"/>
        <v>5033921.6844032602</v>
      </c>
      <c r="AF174" s="71">
        <f t="shared" si="142"/>
        <v>5738833.7590337582</v>
      </c>
      <c r="AG174" s="71">
        <f t="shared" si="142"/>
        <v>6250481.9138681712</v>
      </c>
    </row>
    <row r="175" spans="1:34" s="23" customFormat="1" ht="12.75">
      <c r="A175" s="22"/>
      <c r="F175" s="29"/>
      <c r="G175" s="29"/>
      <c r="H175" s="29"/>
      <c r="I175" s="29"/>
      <c r="K175" s="29"/>
      <c r="L175" s="29"/>
      <c r="M175" s="29"/>
      <c r="N175" s="29"/>
      <c r="P175" s="29"/>
      <c r="Q175" s="29"/>
      <c r="R175" s="29"/>
      <c r="S175" s="29"/>
      <c r="U175" s="29"/>
      <c r="V175" s="30"/>
      <c r="W175" s="30"/>
      <c r="X175" s="30"/>
      <c r="Z175" s="30"/>
      <c r="AA175" s="30"/>
      <c r="AB175" s="30"/>
      <c r="AC175" s="30"/>
    </row>
    <row r="176" spans="1:34" s="23" customFormat="1" ht="12.75">
      <c r="A176" s="22"/>
      <c r="C176" s="585" t="s">
        <v>125</v>
      </c>
      <c r="D176" s="141"/>
      <c r="E176" s="141"/>
      <c r="F176" s="582">
        <f t="shared" ref="F176" si="143">-(F174-E174)</f>
        <v>-892344</v>
      </c>
      <c r="G176" s="582">
        <f t="shared" ref="G176" si="144">-(G174-F174)</f>
        <v>-103403</v>
      </c>
      <c r="H176" s="582">
        <f t="shared" ref="H176" si="145">-(H174-G174)</f>
        <v>-79131</v>
      </c>
      <c r="I176" s="582">
        <f t="shared" ref="I176" si="146">-(I174-H174)</f>
        <v>-23402</v>
      </c>
      <c r="J176" s="144">
        <f>-(J174-E174)</f>
        <v>-1098280</v>
      </c>
      <c r="K176" s="582">
        <f t="shared" ref="K176" si="147">-(K174-J174)</f>
        <v>138071</v>
      </c>
      <c r="L176" s="582">
        <f t="shared" ref="L176" si="148">-(L174-K174)</f>
        <v>-30805</v>
      </c>
      <c r="M176" s="582">
        <f t="shared" ref="M176" si="149">-(M174-L174)</f>
        <v>-161921</v>
      </c>
      <c r="N176" s="582">
        <f t="shared" ref="N176" si="150">-(N174-M174)</f>
        <v>229929</v>
      </c>
      <c r="O176" s="144">
        <f>-(O174-J174)</f>
        <v>175274</v>
      </c>
      <c r="P176" s="582">
        <f t="shared" ref="P176" si="151">-(P174-O174)</f>
        <v>-26588</v>
      </c>
      <c r="Q176" s="582">
        <f t="shared" ref="Q176" si="152">-(Q174-P174)</f>
        <v>-89803</v>
      </c>
      <c r="R176" s="582">
        <f t="shared" ref="R176" si="153">-(R174-Q174)</f>
        <v>-91217</v>
      </c>
      <c r="S176" s="582">
        <f t="shared" ref="S176" si="154">-(S174-R174)</f>
        <v>481814</v>
      </c>
      <c r="T176" s="144">
        <f>-(T174-O174)</f>
        <v>274206</v>
      </c>
      <c r="U176" s="582">
        <f t="shared" ref="U176" si="155">-(U174-T174)</f>
        <v>-159670</v>
      </c>
      <c r="V176" s="143">
        <f t="shared" ref="V176" si="156">-(V174-U174)</f>
        <v>-371818.54844010971</v>
      </c>
      <c r="W176" s="143">
        <f t="shared" ref="W176" si="157">-(W174-V174)</f>
        <v>-163310.68471844052</v>
      </c>
      <c r="X176" s="143">
        <f t="shared" ref="X176" si="158">-(X174-W174)</f>
        <v>-435607.97785218246</v>
      </c>
      <c r="Y176" s="144">
        <f>-(Y174-T174)</f>
        <v>-1130407.2110107327</v>
      </c>
      <c r="Z176" s="143">
        <f t="shared" ref="Z176:AG176" si="159">-(Z174-Y174)</f>
        <v>608842.81552552269</v>
      </c>
      <c r="AA176" s="143">
        <f t="shared" si="159"/>
        <v>-154606.97256313101</v>
      </c>
      <c r="AB176" s="143">
        <f t="shared" si="159"/>
        <v>-177849.39572798461</v>
      </c>
      <c r="AC176" s="143">
        <f t="shared" si="159"/>
        <v>-551157.12247176841</v>
      </c>
      <c r="AD176" s="144">
        <f>-(AD174-Y174)</f>
        <v>-274770.67523736134</v>
      </c>
      <c r="AE176" s="144">
        <f t="shared" si="159"/>
        <v>-2979943.7981551662</v>
      </c>
      <c r="AF176" s="144">
        <f t="shared" si="159"/>
        <v>-704912.07463049795</v>
      </c>
      <c r="AG176" s="145">
        <f t="shared" si="159"/>
        <v>-511648.15483441297</v>
      </c>
    </row>
    <row r="177" spans="1:34" s="23" customFormat="1" ht="12.75">
      <c r="A177" s="22"/>
      <c r="F177" s="29"/>
      <c r="G177" s="29"/>
      <c r="H177" s="29"/>
      <c r="I177" s="29"/>
      <c r="K177" s="29"/>
      <c r="L177" s="29"/>
      <c r="M177" s="29"/>
      <c r="N177" s="29"/>
      <c r="P177" s="29"/>
      <c r="Q177" s="29"/>
      <c r="R177" s="29"/>
      <c r="S177" s="29"/>
      <c r="U177" s="29"/>
      <c r="V177" s="30"/>
      <c r="W177" s="30"/>
      <c r="X177" s="30"/>
      <c r="Z177" s="30"/>
      <c r="AA177" s="30"/>
      <c r="AB177" s="30"/>
      <c r="AC177" s="30"/>
    </row>
    <row r="178" spans="1:34" s="23" customFormat="1" ht="12.75">
      <c r="A178" s="22"/>
      <c r="C178" s="23" t="s">
        <v>124</v>
      </c>
      <c r="F178" s="69">
        <f t="shared" ref="F178:X178" si="160">F164+F165-F169</f>
        <v>237899</v>
      </c>
      <c r="G178" s="69">
        <f t="shared" si="160"/>
        <v>256657</v>
      </c>
      <c r="H178" s="69">
        <f t="shared" si="160"/>
        <v>298325</v>
      </c>
      <c r="I178" s="69">
        <f t="shared" si="160"/>
        <v>325525</v>
      </c>
      <c r="J178" s="71">
        <f t="shared" si="160"/>
        <v>325525</v>
      </c>
      <c r="K178" s="69">
        <f t="shared" si="160"/>
        <v>268180</v>
      </c>
      <c r="L178" s="69">
        <f t="shared" si="160"/>
        <v>286136</v>
      </c>
      <c r="M178" s="69">
        <f t="shared" si="160"/>
        <v>363503</v>
      </c>
      <c r="N178" s="69">
        <f t="shared" si="160"/>
        <v>377533</v>
      </c>
      <c r="O178" s="71">
        <f t="shared" si="160"/>
        <v>377533</v>
      </c>
      <c r="P178" s="69">
        <f t="shared" si="160"/>
        <v>379333</v>
      </c>
      <c r="Q178" s="69">
        <f t="shared" si="160"/>
        <v>385231</v>
      </c>
      <c r="R178" s="69">
        <f t="shared" si="160"/>
        <v>458375</v>
      </c>
      <c r="S178" s="69">
        <f t="shared" si="160"/>
        <v>510761</v>
      </c>
      <c r="T178" s="71">
        <f t="shared" si="160"/>
        <v>510761</v>
      </c>
      <c r="U178" s="69">
        <f t="shared" ref="U178" si="161">U164+U165-U169</f>
        <v>582168</v>
      </c>
      <c r="V178" s="70">
        <f t="shared" si="160"/>
        <v>594380.16479010985</v>
      </c>
      <c r="W178" s="70">
        <f t="shared" si="160"/>
        <v>690481.47465990006</v>
      </c>
      <c r="X178" s="70">
        <f t="shared" si="160"/>
        <v>849167.07798239496</v>
      </c>
      <c r="Y178" s="71">
        <f t="shared" ref="Y178:AG178" si="162">Y164+Y165-Y169</f>
        <v>849167.07798239496</v>
      </c>
      <c r="Z178" s="70">
        <f t="shared" si="162"/>
        <v>605194.32478804793</v>
      </c>
      <c r="AA178" s="70">
        <f t="shared" si="162"/>
        <v>667240.82100395928</v>
      </c>
      <c r="AB178" s="70">
        <f t="shared" si="162"/>
        <v>772306.10997181572</v>
      </c>
      <c r="AC178" s="70">
        <f t="shared" si="162"/>
        <v>980307.62752749957</v>
      </c>
      <c r="AD178" s="71">
        <f t="shared" si="162"/>
        <v>980307.62752749957</v>
      </c>
      <c r="AE178" s="71">
        <f t="shared" si="162"/>
        <v>968481.9360597108</v>
      </c>
      <c r="AF178" s="71">
        <f t="shared" si="162"/>
        <v>948004.18964708445</v>
      </c>
      <c r="AG178" s="71">
        <f t="shared" si="162"/>
        <v>899323.90869458835</v>
      </c>
    </row>
    <row r="179" spans="1:34" s="23" customFormat="1" ht="12.75">
      <c r="A179" s="22"/>
      <c r="F179" s="90"/>
      <c r="G179" s="90"/>
      <c r="H179" s="90"/>
      <c r="I179" s="90"/>
      <c r="K179" s="90"/>
      <c r="L179" s="90"/>
      <c r="M179" s="90"/>
      <c r="N179" s="90"/>
      <c r="P179" s="90"/>
      <c r="Q179" s="90"/>
      <c r="R179" s="90"/>
      <c r="S179" s="90"/>
      <c r="U179" s="90"/>
      <c r="V179" s="91"/>
      <c r="W179" s="91"/>
      <c r="X179" s="91"/>
      <c r="Z179" s="91"/>
      <c r="AA179" s="91"/>
      <c r="AB179" s="91"/>
      <c r="AC179" s="91"/>
      <c r="AE179" s="92"/>
      <c r="AF179" s="92"/>
      <c r="AG179" s="92"/>
    </row>
    <row r="180" spans="1:34" s="23" customFormat="1" ht="12.75">
      <c r="A180" s="22"/>
      <c r="C180" s="585" t="s">
        <v>190</v>
      </c>
      <c r="D180" s="141"/>
      <c r="E180" s="141"/>
      <c r="F180" s="582">
        <f t="shared" ref="F180" si="163">-(F178-E178)</f>
        <v>-237899</v>
      </c>
      <c r="G180" s="582">
        <f t="shared" ref="G180" si="164">-(G178-F178)</f>
        <v>-18758</v>
      </c>
      <c r="H180" s="582">
        <f t="shared" ref="H180" si="165">-(H178-G178)</f>
        <v>-41668</v>
      </c>
      <c r="I180" s="582">
        <f t="shared" ref="I180" si="166">-(I178-H178)</f>
        <v>-27200</v>
      </c>
      <c r="J180" s="144">
        <f>-(J178-E178)</f>
        <v>-325525</v>
      </c>
      <c r="K180" s="582">
        <f t="shared" ref="K180" si="167">-(K178-J178)</f>
        <v>57345</v>
      </c>
      <c r="L180" s="582">
        <f t="shared" ref="L180" si="168">-(L178-K178)</f>
        <v>-17956</v>
      </c>
      <c r="M180" s="582">
        <f t="shared" ref="M180" si="169">-(M178-L178)</f>
        <v>-77367</v>
      </c>
      <c r="N180" s="582">
        <f t="shared" ref="N180" si="170">-(N178-M178)</f>
        <v>-14030</v>
      </c>
      <c r="O180" s="144">
        <f>-(O178-J178)</f>
        <v>-52008</v>
      </c>
      <c r="P180" s="582">
        <f t="shared" ref="P180" si="171">-(P178-O178)</f>
        <v>-1800</v>
      </c>
      <c r="Q180" s="582">
        <f t="shared" ref="Q180" si="172">-(Q178-P178)</f>
        <v>-5898</v>
      </c>
      <c r="R180" s="582">
        <f t="shared" ref="R180" si="173">-(R178-Q178)</f>
        <v>-73144</v>
      </c>
      <c r="S180" s="582">
        <f t="shared" ref="S180" si="174">-(S178-R178)</f>
        <v>-52386</v>
      </c>
      <c r="T180" s="144">
        <f>-(T178-O178)</f>
        <v>-133228</v>
      </c>
      <c r="U180" s="582">
        <f t="shared" ref="U180" si="175">-(U178-T178)</f>
        <v>-71407</v>
      </c>
      <c r="V180" s="143">
        <f t="shared" ref="V180" si="176">-(V178-U178)</f>
        <v>-12212.164790109848</v>
      </c>
      <c r="W180" s="143">
        <f t="shared" ref="W180" si="177">-(W178-V178)</f>
        <v>-96101.309869790217</v>
      </c>
      <c r="X180" s="143">
        <f t="shared" ref="X180" si="178">-(X178-W178)</f>
        <v>-158685.60332249489</v>
      </c>
      <c r="Y180" s="144">
        <f>-(Y178-T178)</f>
        <v>-338406.07798239496</v>
      </c>
      <c r="Z180" s="143">
        <f t="shared" ref="Z180:AG180" si="179">-(Z178-Y178)</f>
        <v>243972.75319434702</v>
      </c>
      <c r="AA180" s="143">
        <f t="shared" si="179"/>
        <v>-62046.496215911349</v>
      </c>
      <c r="AB180" s="143">
        <f t="shared" si="179"/>
        <v>-105065.28896785644</v>
      </c>
      <c r="AC180" s="143">
        <f t="shared" si="179"/>
        <v>-208001.51755568385</v>
      </c>
      <c r="AD180" s="144">
        <f>-(AD178-Y178)</f>
        <v>-131140.54954510462</v>
      </c>
      <c r="AE180" s="144">
        <f t="shared" si="179"/>
        <v>11825.691467788769</v>
      </c>
      <c r="AF180" s="144">
        <f t="shared" si="179"/>
        <v>20477.746412626351</v>
      </c>
      <c r="AG180" s="145">
        <f t="shared" si="179"/>
        <v>48680.280952496105</v>
      </c>
    </row>
    <row r="181" spans="1:34" s="23" customFormat="1" ht="12.75">
      <c r="A181" s="22"/>
      <c r="F181" s="29"/>
      <c r="G181" s="29"/>
      <c r="H181" s="29"/>
      <c r="I181" s="29"/>
      <c r="K181" s="29"/>
      <c r="L181" s="29"/>
      <c r="M181" s="29"/>
      <c r="N181" s="29"/>
      <c r="P181" s="29"/>
      <c r="Q181" s="29"/>
      <c r="R181" s="29"/>
      <c r="S181" s="29"/>
      <c r="U181" s="29"/>
      <c r="V181" s="30"/>
      <c r="W181" s="30"/>
      <c r="X181" s="30"/>
      <c r="Z181" s="30"/>
      <c r="AA181" s="30"/>
      <c r="AB181" s="30"/>
      <c r="AC181" s="30"/>
    </row>
    <row r="182" spans="1:34" s="23" customFormat="1" ht="12.75">
      <c r="A182" s="22" t="s">
        <v>1</v>
      </c>
      <c r="C182" s="568" t="s">
        <v>25</v>
      </c>
      <c r="D182" s="409"/>
      <c r="E182" s="409"/>
      <c r="F182" s="409"/>
      <c r="G182" s="409"/>
      <c r="H182" s="409"/>
      <c r="I182" s="409"/>
      <c r="J182" s="409"/>
      <c r="K182" s="409"/>
      <c r="L182" s="409"/>
      <c r="M182" s="409"/>
      <c r="N182" s="409"/>
      <c r="O182" s="409"/>
      <c r="P182" s="409"/>
      <c r="Q182" s="409"/>
      <c r="R182" s="409"/>
      <c r="S182" s="409"/>
      <c r="T182" s="409"/>
      <c r="U182" s="409"/>
      <c r="V182" s="409"/>
      <c r="W182" s="409"/>
      <c r="X182" s="409"/>
      <c r="Y182" s="409"/>
      <c r="Z182" s="409"/>
      <c r="AA182" s="409"/>
      <c r="AB182" s="409"/>
      <c r="AC182" s="409"/>
      <c r="AD182" s="409"/>
      <c r="AE182" s="409"/>
      <c r="AF182" s="409"/>
      <c r="AG182" s="584"/>
      <c r="AH182" s="22" t="s">
        <v>1</v>
      </c>
    </row>
    <row r="183" spans="1:34" s="23" customFormat="1" ht="12.75">
      <c r="A183" s="22"/>
      <c r="F183" s="29"/>
      <c r="G183" s="29"/>
      <c r="H183" s="29"/>
      <c r="I183" s="29"/>
      <c r="K183" s="29"/>
      <c r="L183" s="29"/>
      <c r="M183" s="29"/>
      <c r="N183" s="29"/>
      <c r="P183" s="29"/>
      <c r="Q183" s="29"/>
      <c r="R183" s="29"/>
      <c r="S183" s="29"/>
      <c r="U183" s="29"/>
      <c r="V183" s="30"/>
      <c r="W183" s="30"/>
      <c r="X183" s="30"/>
      <c r="Z183" s="30"/>
      <c r="AA183" s="30"/>
      <c r="AB183" s="30"/>
      <c r="AC183" s="30"/>
    </row>
    <row r="184" spans="1:34" s="23" customFormat="1" ht="12.75">
      <c r="A184" s="22"/>
      <c r="C184" s="23" t="s">
        <v>202</v>
      </c>
      <c r="F184" s="66">
        <f>AVERAGE(D164,F164)/F$28*F$26</f>
        <v>49.946209878642541</v>
      </c>
      <c r="G184" s="75">
        <f>AVERAGE(F164:G164)/G$28*G$26</f>
        <v>59.769616759332806</v>
      </c>
      <c r="H184" s="75">
        <f>AVERAGE(G164:H164)/H$28*H$26</f>
        <v>56.148118745691178</v>
      </c>
      <c r="I184" s="75">
        <f>AVERAGE(H164:I164)/I$28*I$26</f>
        <v>44.15731123818415</v>
      </c>
      <c r="J184" s="38">
        <f>AVERAGE(E164,J164)/J$28*J$26</f>
        <v>59.375076248656178</v>
      </c>
      <c r="K184" s="66">
        <f>AVERAGE(I164,K164)/K$28*K$26</f>
        <v>58.376085250844874</v>
      </c>
      <c r="L184" s="75">
        <f>AVERAGE(K164:L164)/L$28*L$26</f>
        <v>49.102923510231278</v>
      </c>
      <c r="M184" s="75">
        <f>AVERAGE(L164:M164)/M$28*M$26</f>
        <v>51.999149535494709</v>
      </c>
      <c r="N184" s="75">
        <f>AVERAGE(M164:N164)/N$28*N$26</f>
        <v>42.406737959725376</v>
      </c>
      <c r="O184" s="38">
        <f>AVERAGE(J164,O164)/O$28*O$26</f>
        <v>51.918527173461413</v>
      </c>
      <c r="P184" s="75">
        <f>AVERAGE(O164:P164)/P$28*P$26</f>
        <v>62.622107029535556</v>
      </c>
      <c r="Q184" s="75">
        <f>AVERAGE(P164:Q164)/Q$28*Q$26</f>
        <v>55.653453892415634</v>
      </c>
      <c r="R184" s="75">
        <f>AVERAGE(Q164:R164)/R$28*R$26</f>
        <v>47.493689256343721</v>
      </c>
      <c r="S184" s="75">
        <f>AVERAGE(R164:S164)/S$28*S$26</f>
        <v>41.890554405918763</v>
      </c>
      <c r="T184" s="38">
        <f>AVERAGE(O164,T164)/T$28*T$26</f>
        <v>50.668867478126757</v>
      </c>
      <c r="U184" s="75">
        <f>AVERAGE(T164:U164)/U$28*U$26</f>
        <v>40.301936351322311</v>
      </c>
      <c r="V184" s="43">
        <f>Drivers!V118</f>
        <v>46</v>
      </c>
      <c r="W184" s="43">
        <f>Drivers!W118</f>
        <v>48</v>
      </c>
      <c r="X184" s="43">
        <f>Drivers!X118</f>
        <v>48</v>
      </c>
      <c r="Y184" s="38">
        <f>AVERAGE(T164,Y164)/Y$28*Y$26</f>
        <v>46.516124100355746</v>
      </c>
      <c r="Z184" s="43">
        <f>Drivers!Z118</f>
        <v>46</v>
      </c>
      <c r="AA184" s="43">
        <f>Drivers!AA118</f>
        <v>46</v>
      </c>
      <c r="AB184" s="43">
        <f>Drivers!AB118</f>
        <v>48</v>
      </c>
      <c r="AC184" s="43">
        <f>Drivers!AC118</f>
        <v>48</v>
      </c>
      <c r="AD184" s="38">
        <f>AVERAGE(Y164,AD164)/AD$28*AD$26</f>
        <v>56.73720279989319</v>
      </c>
      <c r="AE184" s="44">
        <f>Drivers!AE118</f>
        <v>55</v>
      </c>
      <c r="AF184" s="44">
        <f>Drivers!AF118</f>
        <v>55</v>
      </c>
      <c r="AG184" s="44">
        <f>Drivers!AG118</f>
        <v>55</v>
      </c>
    </row>
    <row r="185" spans="1:34" s="23" customFormat="1" ht="12.75" outlineLevel="1">
      <c r="A185" s="22"/>
      <c r="C185" s="23" t="s">
        <v>203</v>
      </c>
      <c r="F185" s="66" t="e">
        <f>AVERAGE(D165,F165)/-F$29*F$26</f>
        <v>#DIV/0!</v>
      </c>
      <c r="G185" s="75" t="e">
        <f>AVERAGE(F165:G165)/-G$29*G$26</f>
        <v>#DIV/0!</v>
      </c>
      <c r="H185" s="75" t="e">
        <f>AVERAGE(G165:H165)/-H$29*H$26</f>
        <v>#DIV/0!</v>
      </c>
      <c r="I185" s="75" t="e">
        <f>AVERAGE(H165:I165)/-I$29*I$26</f>
        <v>#DIV/0!</v>
      </c>
      <c r="J185" s="38" t="e">
        <f>AVERAGE(E165,J165)/-J$29*J$26</f>
        <v>#DIV/0!</v>
      </c>
      <c r="K185" s="66" t="e">
        <f>AVERAGE(I165,K165)/-K$29*K$26</f>
        <v>#DIV/0!</v>
      </c>
      <c r="L185" s="75" t="e">
        <f>AVERAGE(K165:L165)/-L$29*L$26</f>
        <v>#DIV/0!</v>
      </c>
      <c r="M185" s="75" t="e">
        <f>AVERAGE(L165:M165)/-M$29*M$26</f>
        <v>#DIV/0!</v>
      </c>
      <c r="N185" s="75" t="e">
        <f>AVERAGE(M165:N165)/-N$29*N$26</f>
        <v>#DIV/0!</v>
      </c>
      <c r="O185" s="38" t="e">
        <f>AVERAGE(J165,O165)/-O$29*O$26</f>
        <v>#DIV/0!</v>
      </c>
      <c r="P185" s="75" t="e">
        <f>AVERAGE(O165:P165)/-P$29*P$26</f>
        <v>#DIV/0!</v>
      </c>
      <c r="Q185" s="75" t="e">
        <f>AVERAGE(P165:Q165)/-Q$29*Q$26</f>
        <v>#DIV/0!</v>
      </c>
      <c r="R185" s="75" t="e">
        <f>AVERAGE(Q165:R165)/-R$29*R$26</f>
        <v>#DIV/0!</v>
      </c>
      <c r="S185" s="75" t="e">
        <f>AVERAGE(R165:S165)/-S$29*S$26</f>
        <v>#DIV/0!</v>
      </c>
      <c r="T185" s="38" t="e">
        <f>AVERAGE(O165,T165)/-T$29*T$26</f>
        <v>#DIV/0!</v>
      </c>
      <c r="U185" s="75" t="e">
        <f>AVERAGE(T165:U165)/-U$29*U$26</f>
        <v>#DIV/0!</v>
      </c>
      <c r="V185" s="43">
        <f>Drivers!V123</f>
        <v>0</v>
      </c>
      <c r="W185" s="43">
        <f>Drivers!W123</f>
        <v>0</v>
      </c>
      <c r="X185" s="43">
        <f>Drivers!X123</f>
        <v>0</v>
      </c>
      <c r="Y185" s="38" t="e">
        <f>AVERAGE(T165,Y165)/-Y$29*Y$26</f>
        <v>#DIV/0!</v>
      </c>
      <c r="Z185" s="43">
        <f>Drivers!Z123</f>
        <v>0</v>
      </c>
      <c r="AA185" s="43">
        <f>Drivers!AA123</f>
        <v>0</v>
      </c>
      <c r="AB185" s="43">
        <f>Drivers!AB123</f>
        <v>0</v>
      </c>
      <c r="AC185" s="43">
        <f>Drivers!AC123</f>
        <v>0</v>
      </c>
      <c r="AD185" s="38" t="e">
        <f>AVERAGE(Y165,AD165)/-AD$29*AD$26</f>
        <v>#DIV/0!</v>
      </c>
      <c r="AE185" s="44">
        <f>Drivers!AE123</f>
        <v>0</v>
      </c>
      <c r="AF185" s="44">
        <f>Drivers!AF123</f>
        <v>0</v>
      </c>
      <c r="AG185" s="44">
        <f>Drivers!AG123</f>
        <v>0</v>
      </c>
    </row>
    <row r="186" spans="1:34" s="23" customFormat="1" ht="12.75">
      <c r="A186" s="22"/>
      <c r="C186" s="23" t="s">
        <v>981</v>
      </c>
      <c r="F186" s="93">
        <f t="shared" ref="F186:I186" si="180">F169/(F28*4)</f>
        <v>3.5540955104335484E-2</v>
      </c>
      <c r="G186" s="93">
        <f t="shared" si="180"/>
        <v>4.222150516282764E-2</v>
      </c>
      <c r="H186" s="93">
        <f t="shared" si="180"/>
        <v>2.6588864283674903E-2</v>
      </c>
      <c r="I186" s="93">
        <f t="shared" si="180"/>
        <v>2.2777694622171933E-2</v>
      </c>
      <c r="J186" s="94">
        <f>J169/(J28)</f>
        <v>2.940516632237072E-2</v>
      </c>
      <c r="K186" s="93">
        <f t="shared" ref="K186:N186" si="181">K169/(K28*4)</f>
        <v>3.9897658644485585E-2</v>
      </c>
      <c r="L186" s="93">
        <f t="shared" si="181"/>
        <v>3.6285734475702068E-2</v>
      </c>
      <c r="M186" s="93">
        <f t="shared" si="181"/>
        <v>2.8587727851358307E-2</v>
      </c>
      <c r="N186" s="93">
        <f t="shared" si="181"/>
        <v>1.978892830708762E-2</v>
      </c>
      <c r="O186" s="1014">
        <f>O169/(O28)</f>
        <v>2.587638805871522E-2</v>
      </c>
      <c r="P186" s="93">
        <f t="shared" ref="P186:S186" si="182">P169/(P28*4)</f>
        <v>4.5660222425045277E-2</v>
      </c>
      <c r="Q186" s="93">
        <f t="shared" si="182"/>
        <v>3.9621318791465798E-2</v>
      </c>
      <c r="R186" s="93">
        <f t="shared" si="182"/>
        <v>2.474583984229355E-2</v>
      </c>
      <c r="S186" s="93">
        <f t="shared" si="182"/>
        <v>2.091030417230777E-2</v>
      </c>
      <c r="T186" s="94">
        <f>T169/(T28)</f>
        <v>2.7959446238792769E-2</v>
      </c>
      <c r="U186" s="93">
        <f t="shared" ref="U186" si="183">U169/(U28*4)</f>
        <v>6.972842669134411E-3</v>
      </c>
      <c r="V186" s="95">
        <f>Drivers!V140</f>
        <v>0.03</v>
      </c>
      <c r="W186" s="95">
        <f>Drivers!W140</f>
        <v>0.03</v>
      </c>
      <c r="X186" s="95">
        <f>Drivers!X140</f>
        <v>0.03</v>
      </c>
      <c r="Y186" s="94">
        <f>Y169/(Y28)</f>
        <v>3.7439868377438693E-2</v>
      </c>
      <c r="Z186" s="95">
        <f>Drivers!Z140</f>
        <v>0.03</v>
      </c>
      <c r="AA186" s="95">
        <f>Drivers!AA140</f>
        <v>0.03</v>
      </c>
      <c r="AB186" s="95">
        <f>Drivers!AB140</f>
        <v>0.03</v>
      </c>
      <c r="AC186" s="95">
        <f>Drivers!AC140</f>
        <v>0.03</v>
      </c>
      <c r="AD186" s="94">
        <f>AD169/(AD28)</f>
        <v>3.821031690810938E-2</v>
      </c>
      <c r="AE186" s="96">
        <f>Drivers!AE140</f>
        <v>2.8000000000000001E-2</v>
      </c>
      <c r="AF186" s="96">
        <f>Drivers!AF140</f>
        <v>2.8000000000000001E-2</v>
      </c>
      <c r="AG186" s="96">
        <f>Drivers!AG140</f>
        <v>2.8000000000000001E-2</v>
      </c>
    </row>
    <row r="187" spans="1:34" s="23" customFormat="1" ht="12.75" outlineLevel="1">
      <c r="A187" s="22"/>
      <c r="C187" s="23" t="s">
        <v>206</v>
      </c>
      <c r="F187" s="66" t="e">
        <f t="shared" ref="F187:O187" si="184">SUM(F184:F185)-F186</f>
        <v>#DIV/0!</v>
      </c>
      <c r="G187" s="75" t="e">
        <f t="shared" si="184"/>
        <v>#DIV/0!</v>
      </c>
      <c r="H187" s="75" t="e">
        <f t="shared" si="184"/>
        <v>#DIV/0!</v>
      </c>
      <c r="I187" s="75" t="e">
        <f t="shared" si="184"/>
        <v>#DIV/0!</v>
      </c>
      <c r="J187" s="38" t="e">
        <f t="shared" si="184"/>
        <v>#DIV/0!</v>
      </c>
      <c r="K187" s="66" t="e">
        <f t="shared" si="184"/>
        <v>#DIV/0!</v>
      </c>
      <c r="L187" s="75" t="e">
        <f t="shared" si="184"/>
        <v>#DIV/0!</v>
      </c>
      <c r="M187" s="75" t="e">
        <f t="shared" si="184"/>
        <v>#DIV/0!</v>
      </c>
      <c r="N187" s="75" t="e">
        <f t="shared" si="184"/>
        <v>#DIV/0!</v>
      </c>
      <c r="O187" s="38" t="e">
        <f t="shared" si="184"/>
        <v>#DIV/0!</v>
      </c>
      <c r="P187" s="75" t="e">
        <f t="shared" ref="P187:Q187" si="185">SUM(P184:P185)-P186</f>
        <v>#DIV/0!</v>
      </c>
      <c r="Q187" s="75" t="e">
        <f t="shared" si="185"/>
        <v>#DIV/0!</v>
      </c>
      <c r="R187" s="75" t="e">
        <f t="shared" ref="R187" si="186">SUM(R184:R185)-R186</f>
        <v>#DIV/0!</v>
      </c>
      <c r="S187" s="75" t="e">
        <f t="shared" ref="S187:X187" si="187">SUM(S184:S185)-S186</f>
        <v>#DIV/0!</v>
      </c>
      <c r="T187" s="38" t="e">
        <f t="shared" si="187"/>
        <v>#DIV/0!</v>
      </c>
      <c r="U187" s="75" t="e">
        <f t="shared" si="187"/>
        <v>#DIV/0!</v>
      </c>
      <c r="V187" s="40">
        <f t="shared" si="187"/>
        <v>45.97</v>
      </c>
      <c r="W187" s="40">
        <f t="shared" si="187"/>
        <v>47.97</v>
      </c>
      <c r="X187" s="40">
        <f t="shared" si="187"/>
        <v>47.97</v>
      </c>
      <c r="Y187" s="38" t="e">
        <f t="shared" ref="Y187:AG187" si="188">SUM(Y184:Y185)-Y186</f>
        <v>#DIV/0!</v>
      </c>
      <c r="Z187" s="40">
        <f t="shared" si="188"/>
        <v>45.97</v>
      </c>
      <c r="AA187" s="40">
        <f t="shared" si="188"/>
        <v>45.97</v>
      </c>
      <c r="AB187" s="40">
        <f t="shared" si="188"/>
        <v>47.97</v>
      </c>
      <c r="AC187" s="40">
        <f t="shared" si="188"/>
        <v>47.97</v>
      </c>
      <c r="AD187" s="38" t="e">
        <f t="shared" si="188"/>
        <v>#DIV/0!</v>
      </c>
      <c r="AE187" s="41">
        <f t="shared" si="188"/>
        <v>54.972000000000001</v>
      </c>
      <c r="AF187" s="41">
        <f t="shared" si="188"/>
        <v>54.972000000000001</v>
      </c>
      <c r="AG187" s="41">
        <f t="shared" si="188"/>
        <v>54.972000000000001</v>
      </c>
    </row>
    <row r="188" spans="1:34" s="23" customFormat="1" ht="12.75">
      <c r="A188" s="22"/>
      <c r="C188" s="49" t="s">
        <v>204</v>
      </c>
      <c r="F188" s="93">
        <f>F166/(4*F28)</f>
        <v>0.3973168272851258</v>
      </c>
      <c r="G188" s="93">
        <f>G166/(4*G28)</f>
        <v>0.55410444797458303</v>
      </c>
      <c r="H188" s="93">
        <f>H166/(4*H28)</f>
        <v>0.55658691443652897</v>
      </c>
      <c r="I188" s="93">
        <f>I166/(4*I28)</f>
        <v>0.51087432199992899</v>
      </c>
      <c r="J188" s="94">
        <f>J166/(J28)</f>
        <v>0.65951996711789496</v>
      </c>
      <c r="K188" s="93">
        <f>K166/(4*K28)</f>
        <v>0.42376150207776714</v>
      </c>
      <c r="L188" s="93">
        <f>L166/(4*L28)</f>
        <v>0.44177387790537531</v>
      </c>
      <c r="M188" s="93">
        <f>M166/(4*M28)</f>
        <v>0.50743953305706779</v>
      </c>
      <c r="N188" s="93">
        <f>N166/(4*N28)</f>
        <v>0.42362063244940151</v>
      </c>
      <c r="O188" s="94">
        <f>O166/(O28)</f>
        <v>0.55393458932351614</v>
      </c>
      <c r="P188" s="93">
        <f>P166/(4*P28)</f>
        <v>0.3526702306937407</v>
      </c>
      <c r="Q188" s="93">
        <f>Q166/(4*Q28)</f>
        <v>0.38773805546274642</v>
      </c>
      <c r="R188" s="93">
        <f>R166/(4*R28)</f>
        <v>0.4127060002256227</v>
      </c>
      <c r="S188" s="93">
        <f>S166/(4*S28)</f>
        <v>0.34944793019117554</v>
      </c>
      <c r="T188" s="94">
        <f>T166/(T28)</f>
        <v>0.46725148218440632</v>
      </c>
      <c r="U188" s="93">
        <f>U166/(4*U28)</f>
        <v>0.2148103599579855</v>
      </c>
      <c r="V188" s="95">
        <f>Drivers!V128</f>
        <v>0.38</v>
      </c>
      <c r="W188" s="95">
        <f>Drivers!W128</f>
        <v>0.38</v>
      </c>
      <c r="X188" s="95">
        <f>Drivers!X128</f>
        <v>0.38</v>
      </c>
      <c r="Y188" s="94">
        <f>Y166/(Y28)</f>
        <v>0.47423833278089012</v>
      </c>
      <c r="Z188" s="95">
        <f>Drivers!Z128</f>
        <v>0.38</v>
      </c>
      <c r="AA188" s="95">
        <f>Drivers!AA128</f>
        <v>0.38</v>
      </c>
      <c r="AB188" s="95">
        <f>Drivers!AB128</f>
        <v>0.38</v>
      </c>
      <c r="AC188" s="95">
        <f>Drivers!AC128</f>
        <v>0.38</v>
      </c>
      <c r="AD188" s="94">
        <f>AD166/(AD28)</f>
        <v>0.48399734750271878</v>
      </c>
      <c r="AE188" s="96">
        <f>Drivers!AE128</f>
        <v>0.75</v>
      </c>
      <c r="AF188" s="96">
        <f>Drivers!AF128</f>
        <v>0.8</v>
      </c>
      <c r="AG188" s="96">
        <f>Drivers!AG128</f>
        <v>0.85</v>
      </c>
    </row>
    <row r="189" spans="1:34" s="23" customFormat="1" ht="12.75">
      <c r="A189" s="22"/>
      <c r="C189" s="23" t="s">
        <v>982</v>
      </c>
      <c r="F189" s="93">
        <f t="shared" ref="F189:I189" si="189">F170/(F28*4)</f>
        <v>8.5152798647959271E-2</v>
      </c>
      <c r="G189" s="93">
        <f t="shared" si="189"/>
        <v>0.14772388800635425</v>
      </c>
      <c r="H189" s="93">
        <f t="shared" si="189"/>
        <v>0.18375611938635525</v>
      </c>
      <c r="I189" s="93">
        <f t="shared" si="189"/>
        <v>0.24201241076275959</v>
      </c>
      <c r="J189" s="94">
        <f>J170/J28</f>
        <v>0.31242912457126765</v>
      </c>
      <c r="K189" s="93">
        <f t="shared" ref="K189:N189" si="190">K170/(K28*4)</f>
        <v>9.761659341917904E-2</v>
      </c>
      <c r="L189" s="93">
        <f t="shared" si="190"/>
        <v>0.15501836567817448</v>
      </c>
      <c r="M189" s="93">
        <f t="shared" si="190"/>
        <v>0.21305253107987324</v>
      </c>
      <c r="N189" s="93">
        <f t="shared" si="190"/>
        <v>0.26137056226232103</v>
      </c>
      <c r="O189" s="94">
        <f>O170/O28</f>
        <v>0.34177323760388018</v>
      </c>
      <c r="P189" s="93">
        <f t="shared" ref="P189:S189" si="191">P170/(P28*4)</f>
        <v>0.11315201810529568</v>
      </c>
      <c r="Q189" s="93">
        <f t="shared" si="191"/>
        <v>0.1639718867834471</v>
      </c>
      <c r="R189" s="93">
        <f t="shared" si="191"/>
        <v>0.21069097910695472</v>
      </c>
      <c r="S189" s="93">
        <f t="shared" si="191"/>
        <v>0.26624752896622123</v>
      </c>
      <c r="T189" s="94">
        <f>T170/T28</f>
        <v>0.35600311745828184</v>
      </c>
      <c r="U189" s="93">
        <f t="shared" ref="U189" si="192">U170/(U28*4)</f>
        <v>0.15241644049243502</v>
      </c>
      <c r="V189" s="95">
        <f>Drivers!V145</f>
        <v>0.24</v>
      </c>
      <c r="W189" s="95">
        <f>Drivers!W145</f>
        <v>0.24</v>
      </c>
      <c r="X189" s="95">
        <f>Drivers!X145</f>
        <v>0.22499999999999998</v>
      </c>
      <c r="Y189" s="94">
        <f>Y170/Y28</f>
        <v>0.28079901283079012</v>
      </c>
      <c r="Z189" s="95">
        <f>Drivers!Z145</f>
        <v>0.24</v>
      </c>
      <c r="AA189" s="95">
        <f>Drivers!AA145</f>
        <v>0.24</v>
      </c>
      <c r="AB189" s="95">
        <f>Drivers!AB145</f>
        <v>0.24</v>
      </c>
      <c r="AC189" s="95">
        <f>Drivers!AC145</f>
        <v>0.22499999999999998</v>
      </c>
      <c r="AD189" s="94">
        <f>AD170/AD28</f>
        <v>0.28657737681082029</v>
      </c>
      <c r="AE189" s="96">
        <f>Drivers!AE145</f>
        <v>0.20499999999999999</v>
      </c>
      <c r="AF189" s="96">
        <f>Drivers!AF145</f>
        <v>0.15</v>
      </c>
      <c r="AG189" s="96">
        <f>Drivers!AG145</f>
        <v>0.1</v>
      </c>
    </row>
    <row r="190" spans="1:34" s="23" customFormat="1" ht="12.75">
      <c r="A190" s="22"/>
      <c r="C190" s="23" t="s">
        <v>983</v>
      </c>
      <c r="F190" s="93">
        <f t="shared" ref="F190:I190" si="193">F171/(4*F28)</f>
        <v>2.8271480477656277E-2</v>
      </c>
      <c r="G190" s="93">
        <f t="shared" si="193"/>
        <v>3.9477263701350275E-2</v>
      </c>
      <c r="H190" s="93">
        <f t="shared" si="193"/>
        <v>3.4848730162046225E-2</v>
      </c>
      <c r="I190" s="93">
        <f t="shared" si="193"/>
        <v>2.3806745244485939E-2</v>
      </c>
      <c r="J190" s="94">
        <f>J171/J28</f>
        <v>3.0733632842148702E-2</v>
      </c>
      <c r="K190" s="93">
        <f t="shared" ref="K190:N190" si="194">K171/(4*K28)</f>
        <v>3.0407536371608351E-2</v>
      </c>
      <c r="L190" s="93">
        <f t="shared" si="194"/>
        <v>3.2621972763706479E-2</v>
      </c>
      <c r="M190" s="93">
        <f t="shared" si="194"/>
        <v>2.7116343002627233E-2</v>
      </c>
      <c r="N190" s="93">
        <f t="shared" si="194"/>
        <v>2.3031316199178174E-2</v>
      </c>
      <c r="O190" s="94">
        <f>O171/O28</f>
        <v>3.0116197614372901E-2</v>
      </c>
      <c r="P190" s="93">
        <f t="shared" ref="P190:S190" si="195">P171/(4*P28)</f>
        <v>3.5568623019017996E-2</v>
      </c>
      <c r="Q190" s="93">
        <f t="shared" si="195"/>
        <v>2.8618562359791894E-2</v>
      </c>
      <c r="R190" s="93">
        <f t="shared" si="195"/>
        <v>4.1345122438560832E-2</v>
      </c>
      <c r="S190" s="93">
        <f t="shared" si="195"/>
        <v>5.6593612474056074E-2</v>
      </c>
      <c r="T190" s="94">
        <f>T171/T28</f>
        <v>7.5672073078830254E-2</v>
      </c>
      <c r="U190" s="93">
        <f t="shared" ref="U190" si="196">U171/(4*U28)</f>
        <v>2.1996381212293883E-2</v>
      </c>
      <c r="V190" s="95">
        <f>Drivers!V150</f>
        <v>4.4999999999999998E-2</v>
      </c>
      <c r="W190" s="95">
        <f>Drivers!W150</f>
        <v>4.4999999999999998E-2</v>
      </c>
      <c r="X190" s="95">
        <f>Drivers!X150</f>
        <v>4.4999999999999998E-2</v>
      </c>
      <c r="Y190" s="94">
        <f>Y171/Y28</f>
        <v>5.6159802566158032E-2</v>
      </c>
      <c r="Z190" s="95">
        <f>Drivers!Z150</f>
        <v>0.05</v>
      </c>
      <c r="AA190" s="95">
        <f>Drivers!AA150</f>
        <v>4.4999999999999998E-2</v>
      </c>
      <c r="AB190" s="95">
        <f>Drivers!AB150</f>
        <v>4.4999999999999998E-2</v>
      </c>
      <c r="AC190" s="95">
        <f>Drivers!AC150</f>
        <v>4.4999999999999998E-2</v>
      </c>
      <c r="AD190" s="94">
        <f>AD171/AD28</f>
        <v>5.731547536216406E-2</v>
      </c>
      <c r="AE190" s="96">
        <f>Drivers!AE150</f>
        <v>0.03</v>
      </c>
      <c r="AF190" s="96">
        <f>Drivers!AF150</f>
        <v>0.03</v>
      </c>
      <c r="AG190" s="96">
        <f>Drivers!AG150</f>
        <v>0.02</v>
      </c>
    </row>
    <row r="191" spans="1:34" s="23" customFormat="1" ht="12.75">
      <c r="A191" s="22"/>
      <c r="F191" s="29"/>
      <c r="G191" s="29"/>
      <c r="H191" s="29"/>
      <c r="I191" s="29"/>
      <c r="K191" s="29"/>
      <c r="L191" s="29"/>
      <c r="M191" s="29"/>
      <c r="N191" s="29"/>
      <c r="P191" s="29"/>
      <c r="Q191" s="29"/>
      <c r="R191" s="29"/>
      <c r="S191" s="29"/>
      <c r="U191" s="29"/>
      <c r="V191" s="30"/>
      <c r="W191" s="30"/>
      <c r="X191" s="30"/>
      <c r="Z191" s="30"/>
      <c r="AA191" s="30"/>
      <c r="AB191" s="30"/>
      <c r="AC191" s="30"/>
    </row>
    <row r="192" spans="1:34" s="23" customFormat="1" ht="12.75">
      <c r="A192" s="22" t="s">
        <v>1</v>
      </c>
      <c r="B192" s="163"/>
      <c r="C192" s="577" t="s">
        <v>126</v>
      </c>
      <c r="D192" s="147"/>
      <c r="E192" s="147"/>
      <c r="F192" s="579" t="str">
        <f t="shared" ref="F192:AG192" si="197">F$64</f>
        <v>1Q23</v>
      </c>
      <c r="G192" s="579" t="str">
        <f t="shared" si="197"/>
        <v>2Q23</v>
      </c>
      <c r="H192" s="579" t="str">
        <f t="shared" si="197"/>
        <v>3Q23</v>
      </c>
      <c r="I192" s="579" t="str">
        <f t="shared" si="197"/>
        <v>4Q23</v>
      </c>
      <c r="J192" s="579">
        <f t="shared" si="197"/>
        <v>2023</v>
      </c>
      <c r="K192" s="579" t="str">
        <f t="shared" si="197"/>
        <v>1Q24</v>
      </c>
      <c r="L192" s="579" t="str">
        <f t="shared" si="197"/>
        <v>2Q24</v>
      </c>
      <c r="M192" s="579" t="str">
        <f t="shared" si="197"/>
        <v>3Q24</v>
      </c>
      <c r="N192" s="579" t="str">
        <f t="shared" si="197"/>
        <v>4Q24</v>
      </c>
      <c r="O192" s="579">
        <f t="shared" si="197"/>
        <v>2024</v>
      </c>
      <c r="P192" s="579" t="str">
        <f t="shared" si="197"/>
        <v>1Q25</v>
      </c>
      <c r="Q192" s="579" t="str">
        <f t="shared" si="197"/>
        <v>2Q25</v>
      </c>
      <c r="R192" s="579" t="str">
        <f t="shared" si="197"/>
        <v>3Q25</v>
      </c>
      <c r="S192" s="579" t="str">
        <f t="shared" si="197"/>
        <v>4Q25</v>
      </c>
      <c r="T192" s="579">
        <f t="shared" si="197"/>
        <v>2025</v>
      </c>
      <c r="U192" s="579" t="str">
        <f t="shared" si="197"/>
        <v>1Q26</v>
      </c>
      <c r="V192" s="579" t="str">
        <f t="shared" si="197"/>
        <v>2Q26e</v>
      </c>
      <c r="W192" s="579" t="str">
        <f t="shared" si="197"/>
        <v>3Q26e</v>
      </c>
      <c r="X192" s="579" t="str">
        <f t="shared" si="197"/>
        <v>4Q26e</v>
      </c>
      <c r="Y192" s="579" t="str">
        <f t="shared" si="197"/>
        <v>2026e</v>
      </c>
      <c r="Z192" s="579" t="str">
        <f t="shared" si="197"/>
        <v>1Q27e</v>
      </c>
      <c r="AA192" s="579" t="str">
        <f t="shared" si="197"/>
        <v>2Q27e</v>
      </c>
      <c r="AB192" s="579" t="str">
        <f t="shared" si="197"/>
        <v>3Q27e</v>
      </c>
      <c r="AC192" s="579" t="str">
        <f t="shared" si="197"/>
        <v>4Q27e</v>
      </c>
      <c r="AD192" s="579" t="str">
        <f t="shared" si="197"/>
        <v>2027e</v>
      </c>
      <c r="AE192" s="579" t="str">
        <f t="shared" si="197"/>
        <v>2028e</v>
      </c>
      <c r="AF192" s="579" t="str">
        <f t="shared" si="197"/>
        <v>2029e</v>
      </c>
      <c r="AG192" s="580" t="str">
        <f t="shared" si="197"/>
        <v>2030e</v>
      </c>
      <c r="AH192" s="22" t="s">
        <v>1</v>
      </c>
    </row>
    <row r="193" spans="1:34" s="23" customFormat="1" ht="12.75">
      <c r="A193" s="22"/>
      <c r="F193" s="29"/>
      <c r="G193" s="29"/>
      <c r="H193" s="29"/>
      <c r="I193" s="29"/>
      <c r="K193" s="29"/>
      <c r="L193" s="29"/>
      <c r="M193" s="29"/>
      <c r="N193" s="29"/>
      <c r="P193" s="29"/>
      <c r="Q193" s="29"/>
      <c r="R193" s="29"/>
      <c r="S193" s="29"/>
      <c r="U193" s="29"/>
      <c r="V193" s="30"/>
      <c r="W193" s="30"/>
      <c r="X193" s="30"/>
      <c r="Z193" s="30"/>
      <c r="AA193" s="30"/>
      <c r="AB193" s="30"/>
      <c r="AC193" s="30"/>
    </row>
    <row r="194" spans="1:34" s="23" customFormat="1" ht="12.75">
      <c r="A194" s="22"/>
      <c r="C194" s="23" t="s">
        <v>128</v>
      </c>
      <c r="F194" s="29"/>
      <c r="G194" s="29"/>
      <c r="H194" s="29"/>
      <c r="I194" s="29"/>
      <c r="K194" s="29"/>
      <c r="L194" s="29"/>
      <c r="M194" s="29"/>
      <c r="N194" s="29"/>
      <c r="P194" s="29"/>
      <c r="Q194" s="29"/>
      <c r="R194" s="29"/>
      <c r="S194" s="29"/>
      <c r="T194" s="71">
        <f>P194</f>
        <v>0</v>
      </c>
      <c r="U194" s="29"/>
      <c r="V194" s="70">
        <f>U198</f>
        <v>187075</v>
      </c>
      <c r="W194" s="70">
        <f>V198</f>
        <v>201784.5875125</v>
      </c>
      <c r="X194" s="70">
        <f>W198</f>
        <v>218636.58366633439</v>
      </c>
      <c r="Y194" s="71">
        <f>U194</f>
        <v>0</v>
      </c>
      <c r="Z194" s="70">
        <f>Y198</f>
        <v>241050.44248648125</v>
      </c>
      <c r="AA194" s="70">
        <f>Z198</f>
        <v>254836.65251149383</v>
      </c>
      <c r="AB194" s="70">
        <f>AA198</f>
        <v>270606.23432068073</v>
      </c>
      <c r="AC194" s="70">
        <f>AB198</f>
        <v>288787.21859974513</v>
      </c>
      <c r="AD194" s="71">
        <f>Y198</f>
        <v>241050.44248648125</v>
      </c>
      <c r="AE194" s="71">
        <f>AD198</f>
        <v>314271.30586731154</v>
      </c>
      <c r="AF194" s="71">
        <f>AE198</f>
        <v>376113.33726780373</v>
      </c>
      <c r="AG194" s="71">
        <f>AF198</f>
        <v>424320.10356088955</v>
      </c>
    </row>
    <row r="195" spans="1:34" s="23" customFormat="1" ht="12.75">
      <c r="A195" s="22"/>
      <c r="C195" s="28" t="s">
        <v>86</v>
      </c>
      <c r="F195" s="97">
        <v>4858</v>
      </c>
      <c r="G195" s="97">
        <v>12374</v>
      </c>
      <c r="H195" s="97">
        <v>18558</v>
      </c>
      <c r="I195" s="97">
        <v>20048</v>
      </c>
      <c r="J195" s="98">
        <f>SUM(F195:I195)</f>
        <v>55838</v>
      </c>
      <c r="K195" s="97">
        <v>1105</v>
      </c>
      <c r="L195" s="97">
        <v>8918</v>
      </c>
      <c r="M195" s="97">
        <v>16769</v>
      </c>
      <c r="N195" s="97">
        <v>12000</v>
      </c>
      <c r="O195" s="98">
        <f>SUM(K195:N195)</f>
        <v>38792</v>
      </c>
      <c r="P195" s="97">
        <v>19660</v>
      </c>
      <c r="Q195" s="97">
        <f>45706-P195</f>
        <v>26046</v>
      </c>
      <c r="R195" s="97">
        <f>65140-SUM(P195:Q195)</f>
        <v>19434</v>
      </c>
      <c r="S195" s="97">
        <f>74002-SUM(P195:R195)</f>
        <v>8862</v>
      </c>
      <c r="T195" s="98">
        <f>SUM(P195:S195)</f>
        <v>74002</v>
      </c>
      <c r="U195" s="97">
        <v>3103</v>
      </c>
      <c r="V195" s="100">
        <f>V202*V28</f>
        <v>23127.962512499998</v>
      </c>
      <c r="W195" s="100">
        <f>W202*W28</f>
        <v>25780.964151262498</v>
      </c>
      <c r="X195" s="100">
        <f>X202*X28</f>
        <v>31705.913625966052</v>
      </c>
      <c r="Y195" s="98">
        <f>SUM(U195:X195)</f>
        <v>83717.840289728541</v>
      </c>
      <c r="Z195" s="100">
        <f>Z202*Z28</f>
        <v>23548.752945715089</v>
      </c>
      <c r="AA195" s="100">
        <f>AA202*AA28</f>
        <v>25963.047909646648</v>
      </c>
      <c r="AB195" s="100">
        <f>AB202*AB28</f>
        <v>28836.104755441171</v>
      </c>
      <c r="AC195" s="100">
        <f>AC202*AC28</f>
        <v>36602.395183656634</v>
      </c>
      <c r="AD195" s="98">
        <f>SUM(Z195:AC195)</f>
        <v>114950.30079445953</v>
      </c>
      <c r="AE195" s="98">
        <f>AE202*AE28</f>
        <v>118410.86645660823</v>
      </c>
      <c r="AF195" s="98">
        <f>AF202*AF28</f>
        <v>115907.16700129047</v>
      </c>
      <c r="AG195" s="98">
        <f>AG202*AG28</f>
        <v>109955.30147616951</v>
      </c>
    </row>
    <row r="196" spans="1:34" s="23" customFormat="1" ht="12.75">
      <c r="A196" s="22"/>
      <c r="C196" s="28" t="s">
        <v>127</v>
      </c>
      <c r="F196" s="37">
        <f t="shared" ref="F196:N196" si="198">F35</f>
        <v>-6573</v>
      </c>
      <c r="G196" s="37">
        <f t="shared" si="198"/>
        <v>-5952</v>
      </c>
      <c r="H196" s="37">
        <f t="shared" si="198"/>
        <v>-5848</v>
      </c>
      <c r="I196" s="37">
        <f t="shared" si="198"/>
        <v>-5975</v>
      </c>
      <c r="J196" s="47">
        <f t="shared" si="198"/>
        <v>-24348</v>
      </c>
      <c r="K196" s="37">
        <f t="shared" si="198"/>
        <v>-6293</v>
      </c>
      <c r="L196" s="37">
        <f t="shared" si="198"/>
        <v>-6439</v>
      </c>
      <c r="M196" s="37">
        <f t="shared" si="198"/>
        <v>-5896</v>
      </c>
      <c r="N196" s="37">
        <f t="shared" si="198"/>
        <v>-5840</v>
      </c>
      <c r="O196" s="47">
        <f>SUM(K196:N196)</f>
        <v>-24468</v>
      </c>
      <c r="P196" s="37">
        <f t="shared" ref="P196:S196" si="199">P35</f>
        <v>-5976</v>
      </c>
      <c r="Q196" s="37">
        <f t="shared" si="199"/>
        <v>-6450</v>
      </c>
      <c r="R196" s="37">
        <f t="shared" si="199"/>
        <v>-7856</v>
      </c>
      <c r="S196" s="37">
        <f t="shared" si="199"/>
        <v>-12275</v>
      </c>
      <c r="T196" s="98">
        <f>SUM(P196:S196)</f>
        <v>-32557</v>
      </c>
      <c r="U196" s="37">
        <f t="shared" ref="U196" si="200">U35</f>
        <v>-12438</v>
      </c>
      <c r="V196" s="76">
        <f>-V203*V194/4</f>
        <v>-8418.375</v>
      </c>
      <c r="W196" s="76">
        <f>-W203*W194/4</f>
        <v>-8928.9679974281244</v>
      </c>
      <c r="X196" s="76">
        <f>-X203*X194/4</f>
        <v>-9292.0548058192126</v>
      </c>
      <c r="Y196" s="98">
        <f>SUM(U196:X196)</f>
        <v>-39077.397803247339</v>
      </c>
      <c r="Z196" s="76">
        <f>-Z203*Z194/4</f>
        <v>-9762.5429207024899</v>
      </c>
      <c r="AA196" s="76">
        <f>-AA203*AA194/4</f>
        <v>-10193.466100459753</v>
      </c>
      <c r="AB196" s="76">
        <f>-AB203*AB194/4</f>
        <v>-10655.120476376804</v>
      </c>
      <c r="AC196" s="76">
        <f>-AC203*AC194/4</f>
        <v>-11118.307916090187</v>
      </c>
      <c r="AD196" s="98">
        <f>SUM(Z196:AC196)</f>
        <v>-41729.437413629232</v>
      </c>
      <c r="AE196" s="38">
        <f>-AE203*AE194</f>
        <v>-56568.835056116077</v>
      </c>
      <c r="AF196" s="38">
        <f>-AF203*AF194</f>
        <v>-67700.400708204674</v>
      </c>
      <c r="AG196" s="38">
        <f>-AG203*AG194</f>
        <v>-76377.618640960121</v>
      </c>
    </row>
    <row r="197" spans="1:34" s="23" customFormat="1" ht="12.75">
      <c r="A197" s="22"/>
      <c r="C197" s="28" t="s">
        <v>506</v>
      </c>
      <c r="F197" s="31">
        <v>0</v>
      </c>
      <c r="G197" s="31">
        <v>0</v>
      </c>
      <c r="H197" s="31">
        <v>0</v>
      </c>
      <c r="I197" s="31">
        <v>0</v>
      </c>
      <c r="J197" s="101">
        <f>SUM(F197:I197)</f>
        <v>0</v>
      </c>
      <c r="K197" s="31">
        <v>0</v>
      </c>
      <c r="L197" s="31">
        <v>0</v>
      </c>
      <c r="M197" s="31">
        <v>0</v>
      </c>
      <c r="N197" s="31">
        <v>0</v>
      </c>
      <c r="O197" s="101">
        <f>SUM(K197:N197)</f>
        <v>0</v>
      </c>
      <c r="P197" s="31">
        <v>0</v>
      </c>
      <c r="Q197" s="31">
        <v>0</v>
      </c>
      <c r="R197" s="31">
        <v>0</v>
      </c>
      <c r="S197" s="31">
        <v>0</v>
      </c>
      <c r="T197" s="101">
        <f>SUM(P197:S197)</f>
        <v>0</v>
      </c>
      <c r="U197" s="31">
        <v>0</v>
      </c>
      <c r="V197" s="72">
        <f>-Drivers!V102</f>
        <v>0</v>
      </c>
      <c r="W197" s="72">
        <f>-Drivers!W102</f>
        <v>0</v>
      </c>
      <c r="X197" s="72">
        <f>-Drivers!X102</f>
        <v>0</v>
      </c>
      <c r="Y197" s="101">
        <f>SUM(U197:X197)</f>
        <v>0</v>
      </c>
      <c r="Z197" s="72">
        <f>-Drivers!Z102</f>
        <v>0</v>
      </c>
      <c r="AA197" s="72">
        <f>-Drivers!AA102</f>
        <v>0</v>
      </c>
      <c r="AB197" s="72">
        <f>-Drivers!AB102</f>
        <v>0</v>
      </c>
      <c r="AC197" s="72">
        <f>-Drivers!AC102</f>
        <v>0</v>
      </c>
      <c r="AD197" s="101">
        <f>SUM(Z197:AC197)</f>
        <v>0</v>
      </c>
      <c r="AE197" s="73">
        <f>-Drivers!AE102</f>
        <v>0</v>
      </c>
      <c r="AF197" s="73">
        <f>-Drivers!AF102</f>
        <v>0</v>
      </c>
      <c r="AG197" s="73">
        <f>-Drivers!AG102</f>
        <v>0</v>
      </c>
    </row>
    <row r="198" spans="1:34" s="23" customFormat="1" ht="12.75">
      <c r="A198" s="22"/>
      <c r="C198" s="23" t="s">
        <v>129</v>
      </c>
      <c r="F198" s="69">
        <f t="shared" ref="F198:S198" si="201">F128</f>
        <v>141905</v>
      </c>
      <c r="G198" s="69">
        <f t="shared" si="201"/>
        <v>143468</v>
      </c>
      <c r="H198" s="69">
        <f t="shared" si="201"/>
        <v>142500</v>
      </c>
      <c r="I198" s="69">
        <f t="shared" si="201"/>
        <v>137940</v>
      </c>
      <c r="J198" s="71">
        <f t="shared" si="201"/>
        <v>137940</v>
      </c>
      <c r="K198" s="69">
        <f t="shared" si="201"/>
        <v>132735</v>
      </c>
      <c r="L198" s="69">
        <f t="shared" si="201"/>
        <v>134588</v>
      </c>
      <c r="M198" s="69">
        <f t="shared" si="201"/>
        <v>136953</v>
      </c>
      <c r="N198" s="69">
        <f t="shared" si="201"/>
        <v>144756</v>
      </c>
      <c r="O198" s="71">
        <f t="shared" si="201"/>
        <v>144756</v>
      </c>
      <c r="P198" s="69">
        <f t="shared" si="201"/>
        <v>161204</v>
      </c>
      <c r="Q198" s="69">
        <f t="shared" si="201"/>
        <v>182856</v>
      </c>
      <c r="R198" s="69">
        <f t="shared" si="201"/>
        <v>188947</v>
      </c>
      <c r="S198" s="69">
        <f t="shared" si="201"/>
        <v>190064</v>
      </c>
      <c r="T198" s="71">
        <f>S198</f>
        <v>190064</v>
      </c>
      <c r="U198" s="69">
        <f t="shared" ref="U198" si="202">U128</f>
        <v>187075</v>
      </c>
      <c r="V198" s="70">
        <f t="shared" ref="U198:X198" si="203">SUM(V194:V197)</f>
        <v>201784.5875125</v>
      </c>
      <c r="W198" s="70">
        <f t="shared" si="203"/>
        <v>218636.58366633439</v>
      </c>
      <c r="X198" s="70">
        <f t="shared" si="203"/>
        <v>241050.44248648125</v>
      </c>
      <c r="Y198" s="71">
        <f>X198</f>
        <v>241050.44248648125</v>
      </c>
      <c r="Z198" s="70">
        <f t="shared" ref="Z198:AG198" si="204">SUM(Z194:Z197)</f>
        <v>254836.65251149383</v>
      </c>
      <c r="AA198" s="70">
        <f t="shared" si="204"/>
        <v>270606.23432068073</v>
      </c>
      <c r="AB198" s="70">
        <f t="shared" si="204"/>
        <v>288787.21859974513</v>
      </c>
      <c r="AC198" s="70">
        <f t="shared" si="204"/>
        <v>314271.3058673116</v>
      </c>
      <c r="AD198" s="71">
        <f t="shared" si="204"/>
        <v>314271.30586731154</v>
      </c>
      <c r="AE198" s="71">
        <f t="shared" si="204"/>
        <v>376113.33726780373</v>
      </c>
      <c r="AF198" s="71">
        <f t="shared" si="204"/>
        <v>424320.10356088955</v>
      </c>
      <c r="AG198" s="71">
        <f t="shared" si="204"/>
        <v>457897.78639609896</v>
      </c>
    </row>
    <row r="199" spans="1:34" s="23" customFormat="1" ht="12.75">
      <c r="A199" s="22"/>
      <c r="F199" s="69"/>
      <c r="G199" s="69"/>
      <c r="H199" s="69"/>
      <c r="I199" s="69"/>
      <c r="J199" s="71"/>
      <c r="K199" s="69"/>
      <c r="L199" s="69"/>
      <c r="M199" s="69"/>
      <c r="N199" s="69"/>
      <c r="O199" s="71"/>
      <c r="P199" s="69"/>
      <c r="Q199" s="69"/>
      <c r="R199" s="69"/>
      <c r="S199" s="69"/>
      <c r="T199" s="71"/>
      <c r="U199" s="69"/>
      <c r="V199" s="70"/>
      <c r="W199" s="70"/>
      <c r="X199" s="70"/>
      <c r="Y199" s="71"/>
      <c r="Z199" s="70"/>
      <c r="AA199" s="70"/>
      <c r="AB199" s="70"/>
      <c r="AC199" s="70"/>
      <c r="AD199" s="71"/>
    </row>
    <row r="200" spans="1:34" s="23" customFormat="1" ht="12.75">
      <c r="A200" s="22" t="s">
        <v>1</v>
      </c>
      <c r="C200" s="568" t="s">
        <v>25</v>
      </c>
      <c r="D200" s="409"/>
      <c r="E200" s="409"/>
      <c r="F200" s="409"/>
      <c r="G200" s="409"/>
      <c r="H200" s="409"/>
      <c r="I200" s="409"/>
      <c r="J200" s="409"/>
      <c r="K200" s="409"/>
      <c r="L200" s="409"/>
      <c r="M200" s="409"/>
      <c r="N200" s="409"/>
      <c r="O200" s="409"/>
      <c r="P200" s="409"/>
      <c r="Q200" s="409"/>
      <c r="R200" s="409"/>
      <c r="S200" s="409"/>
      <c r="T200" s="409"/>
      <c r="U200" s="409"/>
      <c r="V200" s="409"/>
      <c r="W200" s="409"/>
      <c r="X200" s="409"/>
      <c r="Y200" s="409"/>
      <c r="Z200" s="409"/>
      <c r="AA200" s="409"/>
      <c r="AB200" s="409"/>
      <c r="AC200" s="409"/>
      <c r="AD200" s="409"/>
      <c r="AE200" s="409"/>
      <c r="AF200" s="409"/>
      <c r="AG200" s="584"/>
      <c r="AH200" s="22" t="s">
        <v>1</v>
      </c>
    </row>
    <row r="201" spans="1:34" s="23" customFormat="1" ht="12.75">
      <c r="A201" s="22"/>
      <c r="F201" s="29"/>
      <c r="G201" s="29"/>
      <c r="H201" s="29"/>
      <c r="I201" s="29"/>
      <c r="K201" s="29"/>
      <c r="L201" s="29"/>
      <c r="M201" s="29"/>
      <c r="N201" s="29"/>
      <c r="P201" s="29"/>
      <c r="Q201" s="29"/>
      <c r="R201" s="29"/>
      <c r="S201" s="29"/>
      <c r="U201" s="29"/>
      <c r="V201" s="30"/>
      <c r="W201" s="30"/>
      <c r="X201" s="30"/>
      <c r="Z201" s="30"/>
      <c r="AA201" s="30"/>
      <c r="AB201" s="30"/>
      <c r="AC201" s="30"/>
    </row>
    <row r="202" spans="1:34" s="23" customFormat="1" ht="12.75">
      <c r="A202" s="22"/>
      <c r="C202" s="23" t="s">
        <v>130</v>
      </c>
      <c r="F202" s="93">
        <f t="shared" ref="F202:S202" si="205">F195/F28</f>
        <v>8.4294325662746354E-3</v>
      </c>
      <c r="G202" s="93">
        <f t="shared" si="205"/>
        <v>2.4571088165210486E-2</v>
      </c>
      <c r="H202" s="93">
        <f t="shared" si="205"/>
        <v>3.2308270833768568E-2</v>
      </c>
      <c r="I202" s="93">
        <f t="shared" si="205"/>
        <v>2.5430393684007572E-2</v>
      </c>
      <c r="J202" s="94">
        <f t="shared" si="205"/>
        <v>2.2859449470373765E-2</v>
      </c>
      <c r="K202" s="93">
        <f t="shared" si="205"/>
        <v>1.888879202328877E-3</v>
      </c>
      <c r="L202" s="93">
        <f t="shared" si="205"/>
        <v>1.2861022219081558E-2</v>
      </c>
      <c r="M202" s="93">
        <f t="shared" si="205"/>
        <v>2.2709298231358848E-2</v>
      </c>
      <c r="N202" s="93">
        <f t="shared" si="205"/>
        <v>1.2250835864321992E-2</v>
      </c>
      <c r="O202" s="94">
        <f t="shared" si="205"/>
        <v>1.2946370614221717E-2</v>
      </c>
      <c r="P202" s="93">
        <f t="shared" si="205"/>
        <v>2.8125008941063373E-2</v>
      </c>
      <c r="Q202" s="93">
        <f t="shared" si="205"/>
        <v>3.1079662068636341E-2</v>
      </c>
      <c r="R202" s="93">
        <f t="shared" si="205"/>
        <v>1.8579456478717851E-2</v>
      </c>
      <c r="S202" s="93">
        <f t="shared" si="205"/>
        <v>6.8325433221179495E-3</v>
      </c>
      <c r="T202" s="94">
        <f>T195/T28</f>
        <v>1.9072267507610659E-2</v>
      </c>
      <c r="U202" s="93">
        <f t="shared" ref="U202" si="206">U195/U28</f>
        <v>2.2156863165125398E-3</v>
      </c>
      <c r="V202" s="95">
        <f>Drivers!V97</f>
        <v>1.4999999999999999E-2</v>
      </c>
      <c r="W202" s="95">
        <f>Drivers!W97</f>
        <v>1.4999999999999999E-2</v>
      </c>
      <c r="X202" s="95">
        <f>Drivers!X97</f>
        <v>1.4999999999999999E-2</v>
      </c>
      <c r="Y202" s="94">
        <f>Y195/Y28</f>
        <v>1.2357256749746824E-2</v>
      </c>
      <c r="Z202" s="95">
        <f>Drivers!Z97</f>
        <v>1.4999999999999999E-2</v>
      </c>
      <c r="AA202" s="95">
        <f>Drivers!AA97</f>
        <v>1.4999999999999999E-2</v>
      </c>
      <c r="AB202" s="95">
        <f>Drivers!AB97</f>
        <v>1.4999999999999999E-2</v>
      </c>
      <c r="AC202" s="95">
        <f>Drivers!AC97</f>
        <v>1.4999999999999999E-2</v>
      </c>
      <c r="AD202" s="94">
        <f>AD195/AD28</f>
        <v>1.4999999999999999E-2</v>
      </c>
      <c r="AE202" s="96">
        <f>Drivers!AE97</f>
        <v>1.4999999999999999E-2</v>
      </c>
      <c r="AF202" s="96">
        <f>Drivers!AF97</f>
        <v>1.4999999999999999E-2</v>
      </c>
      <c r="AG202" s="96">
        <f>Drivers!AG97</f>
        <v>1.4999999999999999E-2</v>
      </c>
    </row>
    <row r="203" spans="1:34" s="23" customFormat="1" ht="12.75">
      <c r="A203" s="22"/>
      <c r="C203" s="23" t="s">
        <v>131</v>
      </c>
      <c r="F203" s="93">
        <f>-F196*4/AVERAGE(E198:F198)</f>
        <v>0.18527888376026214</v>
      </c>
      <c r="G203" s="93">
        <f>-G196*4/AVERAGE(F198:G198)</f>
        <v>0.16685530866620177</v>
      </c>
      <c r="H203" s="93">
        <f>-H196*4/AVERAGE(G198:H198)</f>
        <v>0.16359872433279249</v>
      </c>
      <c r="I203" s="93">
        <f>-I196*4/AVERAGE(H198:I198)</f>
        <v>0.17044644130651831</v>
      </c>
      <c r="J203" s="94">
        <f>-J196/AVERAGE(E198,J198)</f>
        <v>0.17651152675076121</v>
      </c>
      <c r="K203" s="93">
        <f>-K196*4/AVERAGE(J198:K198)</f>
        <v>0.18599427357532095</v>
      </c>
      <c r="L203" s="93">
        <f>-L196*4/AVERAGE(K198:L198)</f>
        <v>0.1926957276403452</v>
      </c>
      <c r="M203" s="93">
        <f>-M196*4/AVERAGE(L198:M198)</f>
        <v>0.17370489171064407</v>
      </c>
      <c r="N203" s="93">
        <f>-N196*4/AVERAGE(M198:N198)</f>
        <v>0.16584489668416699</v>
      </c>
      <c r="O203" s="94">
        <f>-O196/AVERAGE(J198,O198)</f>
        <v>0.173104677816453</v>
      </c>
      <c r="P203" s="93">
        <f>-P196*4/AVERAGE(O198:P198)</f>
        <v>0.15625571970192181</v>
      </c>
      <c r="Q203" s="93">
        <f>-Q196*4/AVERAGE(P198:Q198)</f>
        <v>0.14997384177178399</v>
      </c>
      <c r="R203" s="93">
        <f>-R196*4/AVERAGE(Q198:R198)</f>
        <v>0.16903575280457661</v>
      </c>
      <c r="S203" s="93">
        <f>-S196*4/AVERAGE(R198:S198)</f>
        <v>0.25909538245591818</v>
      </c>
      <c r="T203" s="94">
        <f>-T196/AVERAGE(O198,T198)</f>
        <v>0.19447464309181053</v>
      </c>
      <c r="U203" s="93">
        <f>-U196*4/AVERAGE(T198:U198)</f>
        <v>0.26383906199040674</v>
      </c>
      <c r="V203" s="95">
        <f>Drivers!V77</f>
        <v>0.18</v>
      </c>
      <c r="W203" s="95">
        <f>Drivers!W77</f>
        <v>0.17699999999999999</v>
      </c>
      <c r="X203" s="95">
        <f>Drivers!X77</f>
        <v>0.17</v>
      </c>
      <c r="Y203" s="94">
        <f>-Y196/AVERAGE(T198,Y198)</f>
        <v>0.18128549615673203</v>
      </c>
      <c r="Z203" s="95">
        <f>Drivers!Z77</f>
        <v>0.16200000000000001</v>
      </c>
      <c r="AA203" s="95">
        <f>Drivers!AA77</f>
        <v>0.16</v>
      </c>
      <c r="AB203" s="95">
        <f>Drivers!AB77</f>
        <v>0.1575</v>
      </c>
      <c r="AC203" s="95">
        <f>Drivers!AC77</f>
        <v>0.154</v>
      </c>
      <c r="AD203" s="94">
        <f>-AD196/AVERAGE(Y198,AD198)</f>
        <v>0.15028922435446776</v>
      </c>
      <c r="AE203" s="96">
        <f>Drivers!AE77</f>
        <v>0.18</v>
      </c>
      <c r="AF203" s="96">
        <f>Drivers!AF77</f>
        <v>0.18</v>
      </c>
      <c r="AG203" s="96">
        <f>Drivers!AG77</f>
        <v>0.18</v>
      </c>
    </row>
    <row r="204" spans="1:34" s="23" customFormat="1" ht="12.75">
      <c r="A204" s="22"/>
      <c r="C204" s="23" t="s">
        <v>132</v>
      </c>
      <c r="F204" s="93">
        <f t="shared" ref="F204:X204" si="207">-F196/F28</f>
        <v>1.1405240892985421E-2</v>
      </c>
      <c r="G204" s="93">
        <f t="shared" si="207"/>
        <v>1.1818903891977759E-2</v>
      </c>
      <c r="H204" s="93">
        <f t="shared" si="207"/>
        <v>1.0180987597579403E-2</v>
      </c>
      <c r="I204" s="93">
        <f t="shared" si="207"/>
        <v>7.5791401766732462E-3</v>
      </c>
      <c r="J204" s="94">
        <f t="shared" si="207"/>
        <v>9.9677974802940723E-3</v>
      </c>
      <c r="K204" s="93">
        <f t="shared" si="207"/>
        <v>1.0757209792086535E-2</v>
      </c>
      <c r="L204" s="93">
        <f t="shared" si="207"/>
        <v>9.2859522391417516E-3</v>
      </c>
      <c r="M204" s="93">
        <f t="shared" si="207"/>
        <v>7.9846158013054894E-3</v>
      </c>
      <c r="N204" s="93">
        <f t="shared" si="207"/>
        <v>5.9620734539700361E-3</v>
      </c>
      <c r="O204" s="94">
        <f t="shared" si="207"/>
        <v>8.165905243059832E-3</v>
      </c>
      <c r="P204" s="93">
        <f t="shared" si="207"/>
        <v>8.5490871531940342E-3</v>
      </c>
      <c r="Q204" s="93">
        <f t="shared" si="207"/>
        <v>7.6965299985680873E-3</v>
      </c>
      <c r="R204" s="93">
        <f t="shared" si="207"/>
        <v>7.5105593339923555E-3</v>
      </c>
      <c r="S204" s="93">
        <f t="shared" si="207"/>
        <v>9.463943723651301E-3</v>
      </c>
      <c r="T204" s="94">
        <f t="shared" si="207"/>
        <v>8.3907977249977062E-3</v>
      </c>
      <c r="U204" s="93">
        <f t="shared" ref="U204" si="208">-U196/U28</f>
        <v>8.8813104752764969E-3</v>
      </c>
      <c r="V204" s="102">
        <f t="shared" si="207"/>
        <v>5.4598681112420369E-3</v>
      </c>
      <c r="W204" s="102">
        <f t="shared" si="207"/>
        <v>5.1950935262001464E-3</v>
      </c>
      <c r="X204" s="102">
        <f t="shared" si="207"/>
        <v>4.3960512771075017E-3</v>
      </c>
      <c r="Y204" s="94">
        <f t="shared" ref="Y204:AG204" si="209">-Y196/Y28</f>
        <v>5.7680589477171005E-3</v>
      </c>
      <c r="Z204" s="102">
        <f t="shared" si="209"/>
        <v>6.2185094959426755E-3</v>
      </c>
      <c r="AA204" s="102">
        <f t="shared" si="209"/>
        <v>5.8892157823305907E-3</v>
      </c>
      <c r="AB204" s="102">
        <f t="shared" si="209"/>
        <v>5.5425935125823066E-3</v>
      </c>
      <c r="AC204" s="102">
        <f t="shared" si="209"/>
        <v>4.5563853923914653E-3</v>
      </c>
      <c r="AD204" s="94">
        <f t="shared" si="209"/>
        <v>5.4453233865274769E-3</v>
      </c>
      <c r="AE204" s="94">
        <f t="shared" si="209"/>
        <v>7.166002168835465E-3</v>
      </c>
      <c r="AF204" s="94">
        <f t="shared" si="209"/>
        <v>8.7613737519075408E-3</v>
      </c>
      <c r="AG204" s="94">
        <f t="shared" si="209"/>
        <v>1.0419363725383449E-2</v>
      </c>
    </row>
    <row r="205" spans="1:34" s="23" customFormat="1" ht="12.75">
      <c r="A205" s="22"/>
      <c r="F205" s="29"/>
      <c r="G205" s="29"/>
      <c r="H205" s="29"/>
      <c r="I205" s="29"/>
      <c r="K205" s="29"/>
      <c r="L205" s="29"/>
      <c r="M205" s="29"/>
      <c r="N205" s="29"/>
      <c r="P205" s="29"/>
      <c r="Q205" s="29"/>
      <c r="R205" s="29"/>
      <c r="S205" s="29"/>
      <c r="U205" s="29"/>
      <c r="V205" s="30"/>
      <c r="W205" s="30"/>
      <c r="X205" s="30"/>
      <c r="Z205" s="30"/>
      <c r="AA205" s="30"/>
      <c r="AB205" s="30"/>
      <c r="AC205" s="30"/>
    </row>
    <row r="206" spans="1:34" s="23" customFormat="1" ht="12.75">
      <c r="A206" s="22" t="s">
        <v>1</v>
      </c>
      <c r="B206" s="163"/>
      <c r="C206" s="577" t="s">
        <v>133</v>
      </c>
      <c r="D206" s="147"/>
      <c r="E206" s="147"/>
      <c r="F206" s="579" t="str">
        <f t="shared" ref="F206:AG206" si="210">F$64</f>
        <v>1Q23</v>
      </c>
      <c r="G206" s="579" t="str">
        <f t="shared" si="210"/>
        <v>2Q23</v>
      </c>
      <c r="H206" s="579" t="str">
        <f t="shared" si="210"/>
        <v>3Q23</v>
      </c>
      <c r="I206" s="579" t="str">
        <f t="shared" si="210"/>
        <v>4Q23</v>
      </c>
      <c r="J206" s="579">
        <f t="shared" si="210"/>
        <v>2023</v>
      </c>
      <c r="K206" s="579" t="str">
        <f t="shared" si="210"/>
        <v>1Q24</v>
      </c>
      <c r="L206" s="579" t="str">
        <f t="shared" si="210"/>
        <v>2Q24</v>
      </c>
      <c r="M206" s="579" t="str">
        <f t="shared" si="210"/>
        <v>3Q24</v>
      </c>
      <c r="N206" s="579" t="str">
        <f t="shared" si="210"/>
        <v>4Q24</v>
      </c>
      <c r="O206" s="579">
        <f t="shared" si="210"/>
        <v>2024</v>
      </c>
      <c r="P206" s="579" t="str">
        <f t="shared" si="210"/>
        <v>1Q25</v>
      </c>
      <c r="Q206" s="579" t="str">
        <f t="shared" si="210"/>
        <v>2Q25</v>
      </c>
      <c r="R206" s="579" t="str">
        <f t="shared" si="210"/>
        <v>3Q25</v>
      </c>
      <c r="S206" s="579" t="str">
        <f t="shared" si="210"/>
        <v>4Q25</v>
      </c>
      <c r="T206" s="579">
        <f t="shared" si="210"/>
        <v>2025</v>
      </c>
      <c r="U206" s="579" t="str">
        <f t="shared" si="210"/>
        <v>1Q26</v>
      </c>
      <c r="V206" s="579" t="str">
        <f t="shared" si="210"/>
        <v>2Q26e</v>
      </c>
      <c r="W206" s="579" t="str">
        <f t="shared" si="210"/>
        <v>3Q26e</v>
      </c>
      <c r="X206" s="579" t="str">
        <f t="shared" si="210"/>
        <v>4Q26e</v>
      </c>
      <c r="Y206" s="579" t="str">
        <f t="shared" si="210"/>
        <v>2026e</v>
      </c>
      <c r="Z206" s="579" t="str">
        <f t="shared" si="210"/>
        <v>1Q27e</v>
      </c>
      <c r="AA206" s="579" t="str">
        <f t="shared" si="210"/>
        <v>2Q27e</v>
      </c>
      <c r="AB206" s="579" t="str">
        <f t="shared" si="210"/>
        <v>3Q27e</v>
      </c>
      <c r="AC206" s="579" t="str">
        <f t="shared" si="210"/>
        <v>4Q27e</v>
      </c>
      <c r="AD206" s="579" t="str">
        <f t="shared" si="210"/>
        <v>2027e</v>
      </c>
      <c r="AE206" s="579" t="str">
        <f t="shared" si="210"/>
        <v>2028e</v>
      </c>
      <c r="AF206" s="579" t="str">
        <f t="shared" si="210"/>
        <v>2029e</v>
      </c>
      <c r="AG206" s="580" t="str">
        <f t="shared" si="210"/>
        <v>2030e</v>
      </c>
      <c r="AH206" s="22" t="s">
        <v>1</v>
      </c>
    </row>
    <row r="207" spans="1:34" s="23" customFormat="1" ht="12.75">
      <c r="A207" s="22"/>
      <c r="F207" s="29"/>
      <c r="G207" s="29"/>
      <c r="H207" s="29"/>
      <c r="I207" s="29"/>
      <c r="K207" s="29"/>
      <c r="L207" s="29"/>
      <c r="M207" s="29"/>
      <c r="N207" s="29"/>
      <c r="P207" s="29"/>
      <c r="Q207" s="29"/>
      <c r="R207" s="29"/>
      <c r="S207" s="29"/>
      <c r="U207" s="29"/>
      <c r="V207" s="30"/>
      <c r="W207" s="30"/>
      <c r="X207" s="30"/>
      <c r="Z207" s="30"/>
      <c r="AA207" s="30"/>
      <c r="AB207" s="30"/>
      <c r="AC207" s="30"/>
    </row>
    <row r="208" spans="1:34" s="23" customFormat="1" ht="12.75">
      <c r="A208" s="22"/>
      <c r="C208" s="23" t="s">
        <v>134</v>
      </c>
      <c r="F208" s="586">
        <f>E212</f>
        <v>0</v>
      </c>
      <c r="G208" s="69">
        <f>F212</f>
        <v>0</v>
      </c>
      <c r="H208" s="69">
        <f>G212</f>
        <v>0</v>
      </c>
      <c r="I208" s="69">
        <f>H212</f>
        <v>0</v>
      </c>
      <c r="J208" s="71">
        <f>F208</f>
        <v>0</v>
      </c>
      <c r="K208" s="586">
        <f>J212</f>
        <v>0</v>
      </c>
      <c r="L208" s="69">
        <f>K212</f>
        <v>0</v>
      </c>
      <c r="M208" s="69">
        <f>L212</f>
        <v>0</v>
      </c>
      <c r="N208" s="69">
        <f>M212</f>
        <v>0</v>
      </c>
      <c r="O208" s="71">
        <f>K208</f>
        <v>0</v>
      </c>
      <c r="P208" s="69">
        <f>O212</f>
        <v>0</v>
      </c>
      <c r="Q208" s="69">
        <f>P212</f>
        <v>0</v>
      </c>
      <c r="R208" s="69">
        <f>Q212</f>
        <v>0</v>
      </c>
      <c r="S208" s="69">
        <f>R212</f>
        <v>0</v>
      </c>
      <c r="T208" s="71">
        <f>P208</f>
        <v>0</v>
      </c>
      <c r="U208" s="69">
        <f>T212</f>
        <v>0</v>
      </c>
      <c r="V208" s="70">
        <f>U212</f>
        <v>25871</v>
      </c>
      <c r="W208" s="70">
        <f>V212</f>
        <v>25871</v>
      </c>
      <c r="X208" s="70">
        <f>W212</f>
        <v>25871</v>
      </c>
      <c r="Y208" s="71">
        <f>U208</f>
        <v>0</v>
      </c>
      <c r="Z208" s="70">
        <f>Y212</f>
        <v>25871</v>
      </c>
      <c r="AA208" s="70">
        <f>Z212</f>
        <v>25871</v>
      </c>
      <c r="AB208" s="70">
        <f>AA212</f>
        <v>25871</v>
      </c>
      <c r="AC208" s="70">
        <f>AB212</f>
        <v>25871</v>
      </c>
      <c r="AD208" s="71">
        <f>Z208</f>
        <v>25871</v>
      </c>
      <c r="AE208" s="71">
        <f>AD212</f>
        <v>25871</v>
      </c>
      <c r="AF208" s="71">
        <f>AE212</f>
        <v>25871</v>
      </c>
      <c r="AG208" s="71">
        <f>AF212</f>
        <v>25871</v>
      </c>
      <c r="AH208" s="71"/>
    </row>
    <row r="209" spans="1:34" s="23" customFormat="1" ht="12.75">
      <c r="A209" s="22"/>
      <c r="C209" s="28" t="s">
        <v>85</v>
      </c>
      <c r="F209" s="97">
        <v>0</v>
      </c>
      <c r="G209" s="97">
        <v>0</v>
      </c>
      <c r="H209" s="97">
        <v>0</v>
      </c>
      <c r="I209" s="97">
        <v>0</v>
      </c>
      <c r="J209" s="98">
        <f>SUM(F209:I209)</f>
        <v>0</v>
      </c>
      <c r="K209" s="97">
        <v>0</v>
      </c>
      <c r="L209" s="97">
        <v>0</v>
      </c>
      <c r="M209" s="97">
        <v>0</v>
      </c>
      <c r="N209" s="97">
        <v>0</v>
      </c>
      <c r="O209" s="103">
        <f>SUM(K209:N209)</f>
        <v>0</v>
      </c>
      <c r="P209" s="97">
        <v>0</v>
      </c>
      <c r="Q209" s="97">
        <v>0</v>
      </c>
      <c r="R209" s="97">
        <v>0</v>
      </c>
      <c r="S209" s="97">
        <v>0</v>
      </c>
      <c r="T209" s="103">
        <f>SUM(P209:S209)</f>
        <v>0</v>
      </c>
      <c r="U209" s="97">
        <v>0</v>
      </c>
      <c r="V209" s="99">
        <f>U209</f>
        <v>0</v>
      </c>
      <c r="W209" s="99">
        <f>V209</f>
        <v>0</v>
      </c>
      <c r="X209" s="99">
        <f>W209</f>
        <v>0</v>
      </c>
      <c r="Y209" s="103">
        <f>SUM(U209:X209)</f>
        <v>0</v>
      </c>
      <c r="Z209" s="99">
        <f>Y209</f>
        <v>0</v>
      </c>
      <c r="AA209" s="99">
        <f>Z209</f>
        <v>0</v>
      </c>
      <c r="AB209" s="99">
        <f>AA209</f>
        <v>0</v>
      </c>
      <c r="AC209" s="99">
        <f>AB209</f>
        <v>0</v>
      </c>
      <c r="AD209" s="103">
        <f>SUM(Z209:AC209)</f>
        <v>0</v>
      </c>
      <c r="AE209" s="104">
        <f>AD209</f>
        <v>0</v>
      </c>
      <c r="AF209" s="104">
        <f>AE209</f>
        <v>0</v>
      </c>
      <c r="AG209" s="104">
        <f>AF209</f>
        <v>0</v>
      </c>
    </row>
    <row r="210" spans="1:34" s="23" customFormat="1" ht="12.75">
      <c r="A210" s="22"/>
      <c r="C210" s="28" t="s">
        <v>135</v>
      </c>
      <c r="F210" s="1026">
        <f>F35-F196</f>
        <v>0</v>
      </c>
      <c r="G210" s="1026">
        <f>G35-G196</f>
        <v>0</v>
      </c>
      <c r="H210" s="1026">
        <f>H35-H196</f>
        <v>0</v>
      </c>
      <c r="I210" s="1026">
        <f>I35-I196</f>
        <v>0</v>
      </c>
      <c r="J210" s="98">
        <f>SUM(F210:I210)</f>
        <v>0</v>
      </c>
      <c r="K210" s="1026">
        <f>K35-K196</f>
        <v>0</v>
      </c>
      <c r="L210" s="1026">
        <f>L35-L196</f>
        <v>0</v>
      </c>
      <c r="M210" s="1026">
        <f>M35-M196</f>
        <v>0</v>
      </c>
      <c r="N210" s="1026">
        <f>N35-N196</f>
        <v>0</v>
      </c>
      <c r="O210" s="103">
        <f>SUM(K210:N210)</f>
        <v>0</v>
      </c>
      <c r="P210" s="1026">
        <f>P35-P196</f>
        <v>0</v>
      </c>
      <c r="Q210" s="1026">
        <f>Q35-Q196</f>
        <v>0</v>
      </c>
      <c r="R210" s="1026">
        <f>R35-R196</f>
        <v>0</v>
      </c>
      <c r="S210" s="1026">
        <f>S35-S196</f>
        <v>0</v>
      </c>
      <c r="T210" s="103">
        <f>SUM(P210:S210)</f>
        <v>0</v>
      </c>
      <c r="U210" s="1026">
        <f>U35-U196</f>
        <v>0</v>
      </c>
      <c r="V210" s="105">
        <f t="shared" ref="U210:X210" si="211">V216*V208/4</f>
        <v>0</v>
      </c>
      <c r="W210" s="105">
        <f t="shared" si="211"/>
        <v>0</v>
      </c>
      <c r="X210" s="105">
        <f t="shared" si="211"/>
        <v>0</v>
      </c>
      <c r="Y210" s="103">
        <f>SUM(U210:X210)</f>
        <v>0</v>
      </c>
      <c r="Z210" s="105">
        <f t="shared" ref="Z210:AC210" si="212">Z216*Z208/4</f>
        <v>0</v>
      </c>
      <c r="AA210" s="105">
        <f t="shared" si="212"/>
        <v>0</v>
      </c>
      <c r="AB210" s="105">
        <f t="shared" si="212"/>
        <v>0</v>
      </c>
      <c r="AC210" s="105">
        <f t="shared" si="212"/>
        <v>0</v>
      </c>
      <c r="AD210" s="103">
        <f>SUM(Z210:AC210)</f>
        <v>0</v>
      </c>
      <c r="AE210" s="106">
        <f>AE216*AE208</f>
        <v>0</v>
      </c>
      <c r="AF210" s="106">
        <f>AF216*AF208</f>
        <v>0</v>
      </c>
      <c r="AG210" s="106">
        <f>AG216*AG208</f>
        <v>0</v>
      </c>
    </row>
    <row r="211" spans="1:34" s="23" customFormat="1" ht="12.75">
      <c r="A211" s="22"/>
      <c r="C211" s="28" t="s">
        <v>136</v>
      </c>
      <c r="F211" s="1027">
        <v>0</v>
      </c>
      <c r="G211" s="1027">
        <v>0</v>
      </c>
      <c r="H211" s="1027">
        <v>0</v>
      </c>
      <c r="I211" s="1027">
        <v>0</v>
      </c>
      <c r="J211" s="101">
        <f>SUM(F211:I211)</f>
        <v>0</v>
      </c>
      <c r="K211" s="1027">
        <v>0</v>
      </c>
      <c r="L211" s="1027">
        <v>0</v>
      </c>
      <c r="M211" s="1027">
        <v>0</v>
      </c>
      <c r="N211" s="1027">
        <v>0</v>
      </c>
      <c r="O211" s="107">
        <f>SUM(K211:N211)</f>
        <v>0</v>
      </c>
      <c r="P211" s="1027">
        <v>0</v>
      </c>
      <c r="Q211" s="1027">
        <v>0</v>
      </c>
      <c r="R211" s="1027">
        <v>0</v>
      </c>
      <c r="S211" s="1027">
        <v>0</v>
      </c>
      <c r="T211" s="107">
        <f>SUM(P211:S211)</f>
        <v>0</v>
      </c>
      <c r="U211" s="1027">
        <v>0</v>
      </c>
      <c r="V211" s="108">
        <f>U211</f>
        <v>0</v>
      </c>
      <c r="W211" s="108">
        <f>V211</f>
        <v>0</v>
      </c>
      <c r="X211" s="108">
        <f>W211</f>
        <v>0</v>
      </c>
      <c r="Y211" s="107">
        <f>SUM(U211:X211)</f>
        <v>0</v>
      </c>
      <c r="Z211" s="108">
        <f>Y211</f>
        <v>0</v>
      </c>
      <c r="AA211" s="108">
        <f>Z211</f>
        <v>0</v>
      </c>
      <c r="AB211" s="108">
        <f>AA211</f>
        <v>0</v>
      </c>
      <c r="AC211" s="108">
        <f>AB211</f>
        <v>0</v>
      </c>
      <c r="AD211" s="107">
        <f>SUM(Z211:AC211)</f>
        <v>0</v>
      </c>
      <c r="AE211" s="109">
        <f>AD211</f>
        <v>0</v>
      </c>
      <c r="AF211" s="109">
        <f>AE211</f>
        <v>0</v>
      </c>
      <c r="AG211" s="109">
        <f>AF211</f>
        <v>0</v>
      </c>
    </row>
    <row r="212" spans="1:34" s="23" customFormat="1" ht="12.75">
      <c r="A212" s="22"/>
      <c r="C212" s="23" t="s">
        <v>137</v>
      </c>
      <c r="F212" s="69">
        <f t="shared" ref="F212:S212" si="213">F129</f>
        <v>0</v>
      </c>
      <c r="G212" s="69">
        <f t="shared" si="213"/>
        <v>0</v>
      </c>
      <c r="H212" s="69">
        <f t="shared" si="213"/>
        <v>0</v>
      </c>
      <c r="I212" s="69">
        <f t="shared" si="213"/>
        <v>0</v>
      </c>
      <c r="J212" s="71">
        <f t="shared" si="213"/>
        <v>0</v>
      </c>
      <c r="K212" s="69">
        <f t="shared" si="213"/>
        <v>0</v>
      </c>
      <c r="L212" s="69">
        <f t="shared" si="213"/>
        <v>0</v>
      </c>
      <c r="M212" s="69">
        <f t="shared" si="213"/>
        <v>0</v>
      </c>
      <c r="N212" s="69">
        <f t="shared" si="213"/>
        <v>0</v>
      </c>
      <c r="O212" s="71">
        <f t="shared" si="213"/>
        <v>0</v>
      </c>
      <c r="P212" s="69">
        <f t="shared" si="213"/>
        <v>0</v>
      </c>
      <c r="Q212" s="69">
        <f t="shared" si="213"/>
        <v>0</v>
      </c>
      <c r="R212" s="69">
        <f t="shared" si="213"/>
        <v>0</v>
      </c>
      <c r="S212" s="69">
        <f t="shared" si="213"/>
        <v>0</v>
      </c>
      <c r="T212" s="71">
        <f>S212</f>
        <v>0</v>
      </c>
      <c r="U212" s="69">
        <f t="shared" ref="U212" si="214">U129</f>
        <v>25871</v>
      </c>
      <c r="V212" s="70">
        <f>SUM(V208:V211)</f>
        <v>25871</v>
      </c>
      <c r="W212" s="70">
        <f>SUM(W208:W211)</f>
        <v>25871</v>
      </c>
      <c r="X212" s="70">
        <f>SUM(X208:X211)</f>
        <v>25871</v>
      </c>
      <c r="Y212" s="71">
        <f>X212</f>
        <v>25871</v>
      </c>
      <c r="Z212" s="70">
        <f>SUM(Z208:Z211)</f>
        <v>25871</v>
      </c>
      <c r="AA212" s="70">
        <f>SUM(AA208:AA211)</f>
        <v>25871</v>
      </c>
      <c r="AB212" s="70">
        <f>SUM(AB208:AB211)</f>
        <v>25871</v>
      </c>
      <c r="AC212" s="70">
        <f>SUM(AC208:AC211)</f>
        <v>25871</v>
      </c>
      <c r="AD212" s="71">
        <f>AC212</f>
        <v>25871</v>
      </c>
      <c r="AE212" s="71">
        <f>SUM(AE208:AE211)</f>
        <v>25871</v>
      </c>
      <c r="AF212" s="71">
        <f>SUM(AF208:AF211)</f>
        <v>25871</v>
      </c>
      <c r="AG212" s="71">
        <f>SUM(AG208:AG211)</f>
        <v>25871</v>
      </c>
    </row>
    <row r="213" spans="1:34" s="23" customFormat="1" ht="12.75">
      <c r="A213" s="22"/>
      <c r="F213" s="69"/>
      <c r="G213" s="69"/>
      <c r="H213" s="69"/>
      <c r="I213" s="69"/>
      <c r="J213" s="71"/>
      <c r="K213" s="69"/>
      <c r="L213" s="69"/>
      <c r="M213" s="69"/>
      <c r="N213" s="69"/>
      <c r="O213" s="71"/>
      <c r="P213" s="69"/>
      <c r="Q213" s="69"/>
      <c r="R213" s="69"/>
      <c r="S213" s="69"/>
      <c r="T213" s="71"/>
      <c r="U213" s="69"/>
      <c r="V213" s="70"/>
      <c r="W213" s="70"/>
      <c r="X213" s="70"/>
      <c r="Y213" s="71"/>
      <c r="Z213" s="70"/>
      <c r="AA213" s="70"/>
      <c r="AB213" s="70"/>
      <c r="AC213" s="70"/>
      <c r="AD213" s="71"/>
      <c r="AE213" s="71"/>
      <c r="AF213" s="71"/>
      <c r="AG213" s="71"/>
    </row>
    <row r="214" spans="1:34" s="23" customFormat="1" ht="12.75">
      <c r="A214" s="22" t="s">
        <v>1</v>
      </c>
      <c r="C214" s="568" t="s">
        <v>25</v>
      </c>
      <c r="D214" s="409"/>
      <c r="E214" s="409"/>
      <c r="F214" s="409"/>
      <c r="G214" s="409"/>
      <c r="H214" s="409"/>
      <c r="I214" s="409"/>
      <c r="J214" s="409"/>
      <c r="K214" s="409"/>
      <c r="L214" s="409"/>
      <c r="M214" s="409"/>
      <c r="N214" s="409"/>
      <c r="O214" s="409"/>
      <c r="P214" s="409"/>
      <c r="Q214" s="409"/>
      <c r="R214" s="409"/>
      <c r="S214" s="409"/>
      <c r="T214" s="409"/>
      <c r="U214" s="409"/>
      <c r="V214" s="409"/>
      <c r="W214" s="409"/>
      <c r="X214" s="409"/>
      <c r="Y214" s="409"/>
      <c r="Z214" s="409"/>
      <c r="AA214" s="409"/>
      <c r="AB214" s="409"/>
      <c r="AC214" s="409"/>
      <c r="AD214" s="409"/>
      <c r="AE214" s="409"/>
      <c r="AF214" s="409"/>
      <c r="AG214" s="584"/>
      <c r="AH214" s="22" t="s">
        <v>1</v>
      </c>
    </row>
    <row r="215" spans="1:34" s="23" customFormat="1" ht="12.75">
      <c r="A215" s="22"/>
      <c r="F215" s="29"/>
      <c r="G215" s="29"/>
      <c r="H215" s="29"/>
      <c r="I215" s="29"/>
      <c r="K215" s="29"/>
      <c r="L215" s="29"/>
      <c r="M215" s="29"/>
      <c r="N215" s="29"/>
      <c r="P215" s="29"/>
      <c r="Q215" s="29"/>
      <c r="R215" s="29"/>
      <c r="S215" s="29"/>
      <c r="U215" s="29"/>
      <c r="V215" s="30"/>
      <c r="W215" s="30"/>
      <c r="X215" s="30"/>
      <c r="Z215" s="30"/>
      <c r="AA215" s="30"/>
      <c r="AB215" s="30"/>
      <c r="AC215" s="30"/>
    </row>
    <row r="216" spans="1:34" s="23" customFormat="1" ht="12.75">
      <c r="A216" s="22"/>
      <c r="C216" s="23" t="s">
        <v>138</v>
      </c>
      <c r="F216" s="77" t="e">
        <f t="shared" ref="F216" si="215">4*-F210/AVERAGE(E212:F212)</f>
        <v>#DIV/0!</v>
      </c>
      <c r="G216" s="77" t="e">
        <f t="shared" ref="G216" si="216">4*-G210/AVERAGE(F212:G212)</f>
        <v>#DIV/0!</v>
      </c>
      <c r="H216" s="77" t="e">
        <f t="shared" ref="H216" si="217">4*-H210/AVERAGE(G212:H212)</f>
        <v>#DIV/0!</v>
      </c>
      <c r="I216" s="77" t="e">
        <f t="shared" ref="I216" si="218">4*-I210/AVERAGE(H212:I212)</f>
        <v>#DIV/0!</v>
      </c>
      <c r="J216" s="78" t="e">
        <f>J210/AVERAGE(F208,I212)</f>
        <v>#DIV/0!</v>
      </c>
      <c r="K216" s="77" t="e">
        <f t="shared" ref="K216" si="219">4*-K210/AVERAGE(J212:K212)</f>
        <v>#DIV/0!</v>
      </c>
      <c r="L216" s="77" t="e">
        <f t="shared" ref="L216" si="220">4*-L210/AVERAGE(K212:L212)</f>
        <v>#DIV/0!</v>
      </c>
      <c r="M216" s="77" t="e">
        <f t="shared" ref="M216" si="221">4*-M210/AVERAGE(L212:M212)</f>
        <v>#DIV/0!</v>
      </c>
      <c r="N216" s="77" t="e">
        <f t="shared" ref="N216" si="222">4*-N210/AVERAGE(M212:N212)</f>
        <v>#DIV/0!</v>
      </c>
      <c r="O216" s="78" t="e">
        <f>O210/AVERAGE(K208,N212)</f>
        <v>#DIV/0!</v>
      </c>
      <c r="P216" s="77" t="e">
        <f t="shared" ref="P216" si="223">4*-P210/AVERAGE(O212:P212)</f>
        <v>#DIV/0!</v>
      </c>
      <c r="Q216" s="77" t="e">
        <f t="shared" ref="Q216" si="224">4*-Q210/AVERAGE(P212:Q212)</f>
        <v>#DIV/0!</v>
      </c>
      <c r="R216" s="77" t="e">
        <f t="shared" ref="R216" si="225">4*-R210/AVERAGE(Q212:R212)</f>
        <v>#DIV/0!</v>
      </c>
      <c r="S216" s="77" t="e">
        <f t="shared" ref="S216" si="226">4*-S210/AVERAGE(R212:S212)</f>
        <v>#DIV/0!</v>
      </c>
      <c r="T216" s="78" t="e">
        <f>T210/AVERAGE(P208,S212)</f>
        <v>#DIV/0!</v>
      </c>
      <c r="U216" s="77">
        <f t="shared" ref="U216" si="227">4*-U210/AVERAGE(T212:U212)</f>
        <v>0</v>
      </c>
      <c r="V216" s="111">
        <f>Drivers!V90</f>
        <v>0</v>
      </c>
      <c r="W216" s="111">
        <f>Drivers!W90</f>
        <v>0</v>
      </c>
      <c r="X216" s="111">
        <f>Drivers!X90</f>
        <v>0</v>
      </c>
      <c r="Y216" s="78">
        <f>Y210/AVERAGE(U208,X212)</f>
        <v>0</v>
      </c>
      <c r="Z216" s="111">
        <f>Drivers!Z90</f>
        <v>0</v>
      </c>
      <c r="AA216" s="111">
        <f>Drivers!AA90</f>
        <v>0</v>
      </c>
      <c r="AB216" s="111">
        <f>Drivers!AB90</f>
        <v>0</v>
      </c>
      <c r="AC216" s="111">
        <f>Drivers!AC90</f>
        <v>0</v>
      </c>
      <c r="AD216" s="78">
        <f>AD210/AVERAGE(Z208,AC212)</f>
        <v>0</v>
      </c>
      <c r="AE216" s="112">
        <f>Drivers!AE90</f>
        <v>0</v>
      </c>
      <c r="AF216" s="112">
        <f>Drivers!AF90</f>
        <v>0</v>
      </c>
      <c r="AG216" s="112">
        <f>Drivers!AG90</f>
        <v>0</v>
      </c>
    </row>
    <row r="217" spans="1:34" s="23" customFormat="1" ht="12.75">
      <c r="A217" s="22"/>
      <c r="F217" s="29"/>
      <c r="G217" s="29"/>
      <c r="H217" s="29"/>
      <c r="I217" s="29"/>
      <c r="K217" s="29"/>
      <c r="L217" s="29"/>
      <c r="M217" s="29"/>
      <c r="N217" s="29"/>
      <c r="P217" s="29"/>
      <c r="Q217" s="29"/>
      <c r="R217" s="29"/>
      <c r="S217" s="29"/>
      <c r="U217" s="29"/>
      <c r="V217" s="30"/>
      <c r="W217" s="30"/>
      <c r="X217" s="30"/>
      <c r="Z217" s="30"/>
      <c r="AA217" s="30"/>
      <c r="AB217" s="30"/>
      <c r="AC217" s="30"/>
    </row>
    <row r="218" spans="1:34" s="23" customFormat="1" ht="12.75">
      <c r="A218" s="22" t="s">
        <v>1</v>
      </c>
      <c r="B218" s="163"/>
      <c r="C218" s="577" t="s">
        <v>139</v>
      </c>
      <c r="D218" s="147"/>
      <c r="E218" s="147"/>
      <c r="F218" s="579" t="str">
        <f t="shared" ref="F218:AG218" si="228">F$64</f>
        <v>1Q23</v>
      </c>
      <c r="G218" s="579" t="str">
        <f t="shared" si="228"/>
        <v>2Q23</v>
      </c>
      <c r="H218" s="579" t="str">
        <f t="shared" si="228"/>
        <v>3Q23</v>
      </c>
      <c r="I218" s="579" t="str">
        <f t="shared" si="228"/>
        <v>4Q23</v>
      </c>
      <c r="J218" s="579">
        <f t="shared" si="228"/>
        <v>2023</v>
      </c>
      <c r="K218" s="579" t="str">
        <f t="shared" si="228"/>
        <v>1Q24</v>
      </c>
      <c r="L218" s="579" t="str">
        <f t="shared" si="228"/>
        <v>2Q24</v>
      </c>
      <c r="M218" s="579" t="str">
        <f t="shared" si="228"/>
        <v>3Q24</v>
      </c>
      <c r="N218" s="579" t="str">
        <f t="shared" si="228"/>
        <v>4Q24</v>
      </c>
      <c r="O218" s="579">
        <f t="shared" si="228"/>
        <v>2024</v>
      </c>
      <c r="P218" s="579" t="str">
        <f t="shared" si="228"/>
        <v>1Q25</v>
      </c>
      <c r="Q218" s="579" t="str">
        <f t="shared" si="228"/>
        <v>2Q25</v>
      </c>
      <c r="R218" s="579" t="str">
        <f t="shared" si="228"/>
        <v>3Q25</v>
      </c>
      <c r="S218" s="579" t="str">
        <f t="shared" si="228"/>
        <v>4Q25</v>
      </c>
      <c r="T218" s="579">
        <f t="shared" si="228"/>
        <v>2025</v>
      </c>
      <c r="U218" s="579" t="str">
        <f t="shared" si="228"/>
        <v>1Q26</v>
      </c>
      <c r="V218" s="579" t="str">
        <f t="shared" si="228"/>
        <v>2Q26e</v>
      </c>
      <c r="W218" s="579" t="str">
        <f t="shared" si="228"/>
        <v>3Q26e</v>
      </c>
      <c r="X218" s="579" t="str">
        <f t="shared" si="228"/>
        <v>4Q26e</v>
      </c>
      <c r="Y218" s="579" t="str">
        <f t="shared" si="228"/>
        <v>2026e</v>
      </c>
      <c r="Z218" s="579" t="str">
        <f t="shared" si="228"/>
        <v>1Q27e</v>
      </c>
      <c r="AA218" s="579" t="str">
        <f t="shared" si="228"/>
        <v>2Q27e</v>
      </c>
      <c r="AB218" s="579" t="str">
        <f t="shared" si="228"/>
        <v>3Q27e</v>
      </c>
      <c r="AC218" s="579" t="str">
        <f t="shared" si="228"/>
        <v>4Q27e</v>
      </c>
      <c r="AD218" s="579" t="str">
        <f t="shared" si="228"/>
        <v>2027e</v>
      </c>
      <c r="AE218" s="579" t="str">
        <f t="shared" si="228"/>
        <v>2028e</v>
      </c>
      <c r="AF218" s="579" t="str">
        <f t="shared" si="228"/>
        <v>2029e</v>
      </c>
      <c r="AG218" s="580" t="str">
        <f t="shared" si="228"/>
        <v>2030e</v>
      </c>
      <c r="AH218" s="22" t="s">
        <v>1</v>
      </c>
    </row>
    <row r="219" spans="1:34" s="23" customFormat="1" ht="12.75">
      <c r="A219" s="22"/>
      <c r="F219" s="29"/>
      <c r="G219" s="29"/>
      <c r="H219" s="29"/>
      <c r="I219" s="29"/>
      <c r="K219" s="29"/>
      <c r="L219" s="29"/>
      <c r="M219" s="29"/>
      <c r="N219" s="29"/>
      <c r="P219" s="29"/>
      <c r="Q219" s="29"/>
      <c r="R219" s="29"/>
      <c r="S219" s="29"/>
      <c r="U219" s="29"/>
      <c r="V219" s="30"/>
      <c r="W219" s="30"/>
      <c r="X219" s="30"/>
      <c r="Z219" s="30"/>
      <c r="AA219" s="30"/>
      <c r="AB219" s="30"/>
      <c r="AC219" s="30"/>
    </row>
    <row r="220" spans="1:34" s="23" customFormat="1" ht="12.75">
      <c r="A220" s="22"/>
      <c r="C220" s="28" t="s">
        <v>98</v>
      </c>
      <c r="F220" s="69">
        <f t="shared" ref="F220:S220" si="229">F130</f>
        <v>124116</v>
      </c>
      <c r="G220" s="69">
        <f t="shared" si="229"/>
        <v>125351</v>
      </c>
      <c r="H220" s="69">
        <f t="shared" si="229"/>
        <v>123544</v>
      </c>
      <c r="I220" s="69">
        <f t="shared" si="229"/>
        <v>125493</v>
      </c>
      <c r="J220" s="71">
        <f t="shared" si="229"/>
        <v>125493</v>
      </c>
      <c r="K220" s="69">
        <f t="shared" si="229"/>
        <v>125031</v>
      </c>
      <c r="L220" s="69">
        <f t="shared" si="229"/>
        <v>125053</v>
      </c>
      <c r="M220" s="69">
        <f t="shared" si="229"/>
        <v>127614</v>
      </c>
      <c r="N220" s="69">
        <f t="shared" si="229"/>
        <v>124452</v>
      </c>
      <c r="O220" s="71">
        <f t="shared" si="229"/>
        <v>124452</v>
      </c>
      <c r="P220" s="69">
        <f t="shared" si="229"/>
        <v>125996</v>
      </c>
      <c r="Q220" s="69">
        <f t="shared" si="229"/>
        <v>129109</v>
      </c>
      <c r="R220" s="69">
        <f t="shared" si="229"/>
        <v>128576</v>
      </c>
      <c r="S220" s="69">
        <f t="shared" si="229"/>
        <v>230783</v>
      </c>
      <c r="T220" s="71">
        <f>S220</f>
        <v>230783</v>
      </c>
      <c r="U220" s="69">
        <f t="shared" ref="U220" si="230">U130</f>
        <v>227412</v>
      </c>
      <c r="V220" s="70">
        <f>Drivers!V67+U220</f>
        <v>227412</v>
      </c>
      <c r="W220" s="70">
        <f>Drivers!W67+V220</f>
        <v>227412</v>
      </c>
      <c r="X220" s="70">
        <f>Drivers!X67+W220</f>
        <v>227412</v>
      </c>
      <c r="Y220" s="71">
        <f>X220</f>
        <v>227412</v>
      </c>
      <c r="Z220" s="70">
        <f>Drivers!Z67+Y220</f>
        <v>227412</v>
      </c>
      <c r="AA220" s="70">
        <f>Drivers!AA67+Z220</f>
        <v>227412</v>
      </c>
      <c r="AB220" s="70">
        <f>Drivers!AB67+AA220</f>
        <v>227412</v>
      </c>
      <c r="AC220" s="70">
        <f>Drivers!AC67+AB220</f>
        <v>227412</v>
      </c>
      <c r="AD220" s="71">
        <f>AC220</f>
        <v>227412</v>
      </c>
      <c r="AE220" s="71">
        <f>Drivers!AE67+AD220</f>
        <v>227412</v>
      </c>
      <c r="AF220" s="71">
        <f>Drivers!AF67+AE220</f>
        <v>227412</v>
      </c>
      <c r="AG220" s="71">
        <f>Drivers!AG67+AF220</f>
        <v>227412</v>
      </c>
    </row>
    <row r="221" spans="1:34" s="23" customFormat="1" ht="12.75">
      <c r="A221" s="22"/>
      <c r="C221" s="28" t="s">
        <v>99</v>
      </c>
      <c r="F221" s="53">
        <f t="shared" ref="F221:S221" si="231">F131</f>
        <v>669514</v>
      </c>
      <c r="G221" s="53">
        <f t="shared" si="231"/>
        <v>804098</v>
      </c>
      <c r="H221" s="53">
        <f t="shared" si="231"/>
        <v>828925</v>
      </c>
      <c r="I221" s="53">
        <f t="shared" si="231"/>
        <v>834648</v>
      </c>
      <c r="J221" s="32">
        <f t="shared" si="231"/>
        <v>834648</v>
      </c>
      <c r="K221" s="53">
        <f t="shared" si="231"/>
        <v>825298</v>
      </c>
      <c r="L221" s="53">
        <f t="shared" si="231"/>
        <v>812631</v>
      </c>
      <c r="M221" s="53">
        <f t="shared" si="231"/>
        <v>823115</v>
      </c>
      <c r="N221" s="53">
        <f t="shared" si="231"/>
        <v>916862</v>
      </c>
      <c r="O221" s="32">
        <f t="shared" si="231"/>
        <v>916862</v>
      </c>
      <c r="P221" s="53">
        <f t="shared" si="231"/>
        <v>937861</v>
      </c>
      <c r="Q221" s="53">
        <f t="shared" si="231"/>
        <v>942588</v>
      </c>
      <c r="R221" s="53">
        <f t="shared" si="231"/>
        <v>964152</v>
      </c>
      <c r="S221" s="53">
        <f t="shared" si="231"/>
        <v>1079009</v>
      </c>
      <c r="T221" s="32">
        <f>S221</f>
        <v>1079009</v>
      </c>
      <c r="U221" s="53">
        <f t="shared" ref="U221" si="232">U131</f>
        <v>1063358</v>
      </c>
      <c r="V221" s="54">
        <f>U221*(1+V234)</f>
        <v>1064421.3579999998</v>
      </c>
      <c r="W221" s="54">
        <f>V221*(1+W234)</f>
        <v>1067614.6220739996</v>
      </c>
      <c r="X221" s="54">
        <f>W221*(1+X234)</f>
        <v>1068682.2366960736</v>
      </c>
      <c r="Y221" s="32">
        <f>X221</f>
        <v>1068682.2366960736</v>
      </c>
      <c r="Z221" s="54">
        <f>Y221*(1+Z234)</f>
        <v>1069750.9189327694</v>
      </c>
      <c r="AA221" s="54">
        <f>Z221*(1+AA234)</f>
        <v>1070820.6698517022</v>
      </c>
      <c r="AB221" s="54">
        <f>AA221*(1+AB234)</f>
        <v>1074033.1318612571</v>
      </c>
      <c r="AC221" s="54">
        <f>AB221*(1+AC234)</f>
        <v>1075107.1649931183</v>
      </c>
      <c r="AD221" s="32">
        <f>AC221</f>
        <v>1075107.1649931183</v>
      </c>
      <c r="AE221" s="32">
        <f>AD221*(1+AE234)</f>
        <v>1080482.7008180837</v>
      </c>
      <c r="AF221" s="32">
        <f>AE221*(1+AF234)</f>
        <v>1085885.1143221741</v>
      </c>
      <c r="AG221" s="32">
        <f>AF221*(1+AG234)</f>
        <v>1091314.5398937848</v>
      </c>
    </row>
    <row r="222" spans="1:34" s="23" customFormat="1" ht="12.75">
      <c r="A222" s="22"/>
      <c r="C222" s="23" t="s">
        <v>140</v>
      </c>
      <c r="F222" s="69">
        <f t="shared" ref="F222:O222" si="233">SUM(F220:F221)</f>
        <v>793630</v>
      </c>
      <c r="G222" s="69">
        <f t="shared" si="233"/>
        <v>929449</v>
      </c>
      <c r="H222" s="69">
        <f t="shared" si="233"/>
        <v>952469</v>
      </c>
      <c r="I222" s="69">
        <f t="shared" si="233"/>
        <v>960141</v>
      </c>
      <c r="J222" s="71">
        <f t="shared" si="233"/>
        <v>960141</v>
      </c>
      <c r="K222" s="69">
        <f t="shared" si="233"/>
        <v>950329</v>
      </c>
      <c r="L222" s="69">
        <f t="shared" si="233"/>
        <v>937684</v>
      </c>
      <c r="M222" s="69">
        <f t="shared" si="233"/>
        <v>950729</v>
      </c>
      <c r="N222" s="69">
        <f t="shared" si="233"/>
        <v>1041314</v>
      </c>
      <c r="O222" s="71">
        <f t="shared" si="233"/>
        <v>1041314</v>
      </c>
      <c r="P222" s="69">
        <f t="shared" ref="P222:R222" si="234">SUM(P220:P221)</f>
        <v>1063857</v>
      </c>
      <c r="Q222" s="69">
        <f t="shared" si="234"/>
        <v>1071697</v>
      </c>
      <c r="R222" s="69">
        <f t="shared" si="234"/>
        <v>1092728</v>
      </c>
      <c r="S222" s="69">
        <f t="shared" ref="S222:U222" si="235">SUM(S220:S221)</f>
        <v>1309792</v>
      </c>
      <c r="T222" s="71">
        <f t="shared" si="235"/>
        <v>1309792</v>
      </c>
      <c r="U222" s="69">
        <f t="shared" si="235"/>
        <v>1290770</v>
      </c>
      <c r="V222" s="70">
        <f t="shared" ref="U222:X222" si="236">SUM(V220:V221)</f>
        <v>1291833.3579999998</v>
      </c>
      <c r="W222" s="70">
        <f t="shared" si="236"/>
        <v>1295026.6220739996</v>
      </c>
      <c r="X222" s="70">
        <f t="shared" si="236"/>
        <v>1296094.2366960736</v>
      </c>
      <c r="Y222" s="71">
        <f t="shared" ref="Y222" si="237">SUM(Y220:Y221)</f>
        <v>1296094.2366960736</v>
      </c>
      <c r="Z222" s="70">
        <f t="shared" ref="Z222:AG222" si="238">SUM(Z220:Z221)</f>
        <v>1297162.9189327694</v>
      </c>
      <c r="AA222" s="70">
        <f t="shared" si="238"/>
        <v>1298232.6698517022</v>
      </c>
      <c r="AB222" s="70">
        <f t="shared" si="238"/>
        <v>1301445.1318612571</v>
      </c>
      <c r="AC222" s="70">
        <f t="shared" si="238"/>
        <v>1302519.1649931183</v>
      </c>
      <c r="AD222" s="71">
        <f t="shared" si="238"/>
        <v>1302519.1649931183</v>
      </c>
      <c r="AE222" s="71">
        <f t="shared" si="238"/>
        <v>1307894.7008180837</v>
      </c>
      <c r="AF222" s="71">
        <f t="shared" si="238"/>
        <v>1313297.1143221741</v>
      </c>
      <c r="AG222" s="71">
        <f t="shared" si="238"/>
        <v>1318726.5398937848</v>
      </c>
    </row>
    <row r="223" spans="1:34" s="24" customFormat="1" ht="12.75">
      <c r="A223" s="113"/>
      <c r="C223" s="114" t="s">
        <v>207</v>
      </c>
      <c r="F223" s="115">
        <f>F222-E222</f>
        <v>793630</v>
      </c>
      <c r="G223" s="115">
        <f>G222-F222</f>
        <v>135819</v>
      </c>
      <c r="H223" s="115">
        <f>H222-G222</f>
        <v>23020</v>
      </c>
      <c r="I223" s="115">
        <f>I222-H222</f>
        <v>7672</v>
      </c>
      <c r="J223" s="116">
        <f>J222-E222</f>
        <v>960141</v>
      </c>
      <c r="K223" s="115">
        <f>K222-J222</f>
        <v>-9812</v>
      </c>
      <c r="L223" s="115">
        <f>L222-K222</f>
        <v>-12645</v>
      </c>
      <c r="M223" s="115">
        <f>M222-L222</f>
        <v>13045</v>
      </c>
      <c r="N223" s="115">
        <f>N222-M222</f>
        <v>90585</v>
      </c>
      <c r="O223" s="116">
        <f>O222-J222</f>
        <v>81173</v>
      </c>
      <c r="P223" s="115">
        <f>P222-O222</f>
        <v>22543</v>
      </c>
      <c r="Q223" s="115">
        <f>Q222-P222</f>
        <v>7840</v>
      </c>
      <c r="R223" s="115">
        <f>R222-Q222</f>
        <v>21031</v>
      </c>
      <c r="S223" s="115">
        <f>S222-R222</f>
        <v>217064</v>
      </c>
      <c r="T223" s="116">
        <f>T222-O222</f>
        <v>268478</v>
      </c>
      <c r="U223" s="115">
        <f>U222-T222</f>
        <v>-19022</v>
      </c>
      <c r="V223" s="117">
        <f>V222-U222</f>
        <v>1063.3579999997746</v>
      </c>
      <c r="W223" s="117">
        <f>W222-V222</f>
        <v>3193.2640739998315</v>
      </c>
      <c r="X223" s="117">
        <f>X222-W222</f>
        <v>1067.6146220739465</v>
      </c>
      <c r="Y223" s="116">
        <f>Y222-T222</f>
        <v>-13697.763303926447</v>
      </c>
      <c r="Z223" s="117">
        <f>Z222-Y222</f>
        <v>1068.682236695895</v>
      </c>
      <c r="AA223" s="117">
        <f>AA222-Z222</f>
        <v>1069.7509189327247</v>
      </c>
      <c r="AB223" s="117">
        <f>AB222-AA222</f>
        <v>3212.4620095549617</v>
      </c>
      <c r="AC223" s="117">
        <f>AC222-AB222</f>
        <v>1074.0331318611279</v>
      </c>
      <c r="AD223" s="116">
        <f>AD222-Y222</f>
        <v>6424.9282970447093</v>
      </c>
      <c r="AE223" s="116">
        <f>AE222-AD222</f>
        <v>5375.5358249654528</v>
      </c>
      <c r="AF223" s="116">
        <f>AF222-AE222</f>
        <v>5402.413504090393</v>
      </c>
      <c r="AG223" s="116">
        <f>AG222-AF222</f>
        <v>5429.4255716106854</v>
      </c>
    </row>
    <row r="224" spans="1:34" s="23" customFormat="1" ht="12.75">
      <c r="A224" s="22"/>
      <c r="F224" s="29"/>
      <c r="G224" s="29"/>
      <c r="H224" s="29"/>
      <c r="I224" s="29"/>
      <c r="K224" s="29"/>
      <c r="L224" s="29"/>
      <c r="M224" s="29"/>
      <c r="N224" s="29"/>
      <c r="P224" s="29"/>
      <c r="Q224" s="29"/>
      <c r="R224" s="29"/>
      <c r="S224" s="29"/>
      <c r="U224" s="29"/>
      <c r="V224" s="30"/>
      <c r="W224" s="30"/>
      <c r="X224" s="30"/>
      <c r="Z224" s="30"/>
      <c r="AA224" s="30"/>
      <c r="AB224" s="30"/>
      <c r="AC224" s="30"/>
    </row>
    <row r="225" spans="1:34" s="23" customFormat="1" ht="12.75">
      <c r="A225" s="22"/>
      <c r="C225" s="28" t="s">
        <v>141</v>
      </c>
      <c r="F225" s="69">
        <f t="shared" ref="F225:S225" si="239">F143</f>
        <v>60814</v>
      </c>
      <c r="G225" s="69">
        <f t="shared" si="239"/>
        <v>61279</v>
      </c>
      <c r="H225" s="69">
        <f t="shared" si="239"/>
        <v>61279</v>
      </c>
      <c r="I225" s="69">
        <f t="shared" si="239"/>
        <v>52813</v>
      </c>
      <c r="J225" s="71">
        <f t="shared" si="239"/>
        <v>52813</v>
      </c>
      <c r="K225" s="69">
        <f t="shared" si="239"/>
        <v>54730</v>
      </c>
      <c r="L225" s="69">
        <f t="shared" si="239"/>
        <v>55790</v>
      </c>
      <c r="M225" s="69">
        <f t="shared" si="239"/>
        <v>57000</v>
      </c>
      <c r="N225" s="69">
        <f t="shared" si="239"/>
        <v>52968</v>
      </c>
      <c r="O225" s="71">
        <f t="shared" si="239"/>
        <v>52968</v>
      </c>
      <c r="P225" s="69">
        <f t="shared" si="239"/>
        <v>53616</v>
      </c>
      <c r="Q225" s="69">
        <f t="shared" si="239"/>
        <v>56968</v>
      </c>
      <c r="R225" s="69">
        <f t="shared" si="239"/>
        <v>61943</v>
      </c>
      <c r="S225" s="69">
        <f t="shared" si="239"/>
        <v>64231</v>
      </c>
      <c r="T225" s="71">
        <f t="shared" ref="T225:T226" si="240">S225</f>
        <v>64231</v>
      </c>
      <c r="U225" s="69">
        <f t="shared" ref="U225" si="241">U143</f>
        <v>64506</v>
      </c>
      <c r="V225" s="70">
        <f t="shared" ref="V225:V226" si="242">U225</f>
        <v>64506</v>
      </c>
      <c r="W225" s="70">
        <f t="shared" ref="W225:W226" si="243">V225</f>
        <v>64506</v>
      </c>
      <c r="X225" s="70">
        <f t="shared" ref="X225:X226" si="244">W225</f>
        <v>64506</v>
      </c>
      <c r="Y225" s="71">
        <f t="shared" ref="Y225:Y226" si="245">X225</f>
        <v>64506</v>
      </c>
      <c r="Z225" s="70">
        <f t="shared" ref="Z225:AG226" si="246">Y225</f>
        <v>64506</v>
      </c>
      <c r="AA225" s="70">
        <f t="shared" si="246"/>
        <v>64506</v>
      </c>
      <c r="AB225" s="70">
        <f t="shared" si="246"/>
        <v>64506</v>
      </c>
      <c r="AC225" s="70">
        <f t="shared" si="246"/>
        <v>64506</v>
      </c>
      <c r="AD225" s="71">
        <f t="shared" si="246"/>
        <v>64506</v>
      </c>
      <c r="AE225" s="71">
        <f t="shared" si="246"/>
        <v>64506</v>
      </c>
      <c r="AF225" s="71">
        <f t="shared" si="246"/>
        <v>64506</v>
      </c>
      <c r="AG225" s="71">
        <f t="shared" si="246"/>
        <v>64506</v>
      </c>
    </row>
    <row r="226" spans="1:34" s="23" customFormat="1" ht="12.75">
      <c r="A226" s="22"/>
      <c r="C226" s="28" t="s">
        <v>108</v>
      </c>
      <c r="F226" s="53">
        <f t="shared" ref="F226:N226" si="247">F144</f>
        <v>404550</v>
      </c>
      <c r="G226" s="53">
        <f t="shared" si="247"/>
        <v>549883</v>
      </c>
      <c r="H226" s="53">
        <f t="shared" si="247"/>
        <v>574271</v>
      </c>
      <c r="I226" s="53">
        <f t="shared" si="247"/>
        <v>584051</v>
      </c>
      <c r="J226" s="32">
        <f t="shared" si="247"/>
        <v>584051</v>
      </c>
      <c r="K226" s="53">
        <f t="shared" si="247"/>
        <v>536291</v>
      </c>
      <c r="L226" s="53">
        <f t="shared" si="247"/>
        <v>537648</v>
      </c>
      <c r="M226" s="53">
        <f t="shared" si="247"/>
        <v>560872</v>
      </c>
      <c r="N226" s="53">
        <f t="shared" si="247"/>
        <v>613450</v>
      </c>
      <c r="O226" s="32">
        <f>O144</f>
        <v>613450</v>
      </c>
      <c r="P226" s="53">
        <f t="shared" ref="P226:S226" si="248">P144</f>
        <v>547283</v>
      </c>
      <c r="Q226" s="53">
        <f t="shared" si="248"/>
        <v>558549</v>
      </c>
      <c r="R226" s="53">
        <f t="shared" si="248"/>
        <v>576241</v>
      </c>
      <c r="S226" s="53">
        <f t="shared" si="248"/>
        <v>650336</v>
      </c>
      <c r="T226" s="32">
        <f t="shared" si="240"/>
        <v>650336</v>
      </c>
      <c r="U226" s="53">
        <f t="shared" ref="U226" si="249">U144</f>
        <v>605317</v>
      </c>
      <c r="V226" s="54">
        <f t="shared" si="242"/>
        <v>605317</v>
      </c>
      <c r="W226" s="54">
        <f t="shared" si="243"/>
        <v>605317</v>
      </c>
      <c r="X226" s="54">
        <f t="shared" si="244"/>
        <v>605317</v>
      </c>
      <c r="Y226" s="32">
        <f t="shared" si="245"/>
        <v>605317</v>
      </c>
      <c r="Z226" s="54">
        <f t="shared" si="246"/>
        <v>605317</v>
      </c>
      <c r="AA226" s="54">
        <f t="shared" si="246"/>
        <v>605317</v>
      </c>
      <c r="AB226" s="54">
        <f t="shared" si="246"/>
        <v>605317</v>
      </c>
      <c r="AC226" s="54">
        <f t="shared" si="246"/>
        <v>605317</v>
      </c>
      <c r="AD226" s="32">
        <f t="shared" si="246"/>
        <v>605317</v>
      </c>
      <c r="AE226" s="32">
        <f t="shared" si="246"/>
        <v>605317</v>
      </c>
      <c r="AF226" s="32">
        <f t="shared" si="246"/>
        <v>605317</v>
      </c>
      <c r="AG226" s="32">
        <f t="shared" si="246"/>
        <v>605317</v>
      </c>
    </row>
    <row r="227" spans="1:34" s="23" customFormat="1" ht="12.75">
      <c r="A227" s="22"/>
      <c r="C227" s="23" t="s">
        <v>142</v>
      </c>
      <c r="F227" s="69">
        <f t="shared" ref="F227:X227" si="250">SUM(F225:F226)</f>
        <v>465364</v>
      </c>
      <c r="G227" s="69">
        <f t="shared" si="250"/>
        <v>611162</v>
      </c>
      <c r="H227" s="69">
        <f t="shared" si="250"/>
        <v>635550</v>
      </c>
      <c r="I227" s="69">
        <f t="shared" si="250"/>
        <v>636864</v>
      </c>
      <c r="J227" s="71">
        <f t="shared" si="250"/>
        <v>636864</v>
      </c>
      <c r="K227" s="69">
        <f t="shared" si="250"/>
        <v>591021</v>
      </c>
      <c r="L227" s="69">
        <f t="shared" si="250"/>
        <v>593438</v>
      </c>
      <c r="M227" s="69">
        <f t="shared" si="250"/>
        <v>617872</v>
      </c>
      <c r="N227" s="69">
        <f t="shared" si="250"/>
        <v>666418</v>
      </c>
      <c r="O227" s="71">
        <f t="shared" si="250"/>
        <v>666418</v>
      </c>
      <c r="P227" s="69">
        <f t="shared" si="250"/>
        <v>600899</v>
      </c>
      <c r="Q227" s="69">
        <f t="shared" si="250"/>
        <v>615517</v>
      </c>
      <c r="R227" s="69">
        <f t="shared" si="250"/>
        <v>638184</v>
      </c>
      <c r="S227" s="69">
        <f t="shared" si="250"/>
        <v>714567</v>
      </c>
      <c r="T227" s="71">
        <f t="shared" si="250"/>
        <v>714567</v>
      </c>
      <c r="U227" s="69">
        <f t="shared" ref="U227" si="251">SUM(U225:U226)</f>
        <v>669823</v>
      </c>
      <c r="V227" s="70">
        <f t="shared" si="250"/>
        <v>669823</v>
      </c>
      <c r="W227" s="70">
        <f t="shared" si="250"/>
        <v>669823</v>
      </c>
      <c r="X227" s="70">
        <f t="shared" si="250"/>
        <v>669823</v>
      </c>
      <c r="Y227" s="71">
        <f t="shared" ref="Y227:AG227" si="252">SUM(Y225:Y226)</f>
        <v>669823</v>
      </c>
      <c r="Z227" s="70">
        <f t="shared" si="252"/>
        <v>669823</v>
      </c>
      <c r="AA227" s="70">
        <f t="shared" si="252"/>
        <v>669823</v>
      </c>
      <c r="AB227" s="70">
        <f t="shared" si="252"/>
        <v>669823</v>
      </c>
      <c r="AC227" s="70">
        <f t="shared" si="252"/>
        <v>669823</v>
      </c>
      <c r="AD227" s="71">
        <f t="shared" si="252"/>
        <v>669823</v>
      </c>
      <c r="AE227" s="71">
        <f t="shared" si="252"/>
        <v>669823</v>
      </c>
      <c r="AF227" s="71">
        <f t="shared" si="252"/>
        <v>669823</v>
      </c>
      <c r="AG227" s="71">
        <f t="shared" si="252"/>
        <v>669823</v>
      </c>
    </row>
    <row r="228" spans="1:34" s="24" customFormat="1" ht="12.75">
      <c r="A228" s="113"/>
      <c r="C228" s="114" t="s">
        <v>600</v>
      </c>
      <c r="F228" s="115">
        <f>F227-E227</f>
        <v>465364</v>
      </c>
      <c r="G228" s="115">
        <f>G227-F227</f>
        <v>145798</v>
      </c>
      <c r="H228" s="115">
        <f>H227-G227</f>
        <v>24388</v>
      </c>
      <c r="I228" s="115">
        <f>I227-H227</f>
        <v>1314</v>
      </c>
      <c r="J228" s="116">
        <f>J227-E227</f>
        <v>636864</v>
      </c>
      <c r="K228" s="115">
        <f>K227-J227</f>
        <v>-45843</v>
      </c>
      <c r="L228" s="115">
        <f>L227-K227</f>
        <v>2417</v>
      </c>
      <c r="M228" s="115">
        <f>M227-L227</f>
        <v>24434</v>
      </c>
      <c r="N228" s="115">
        <f>N227-M227</f>
        <v>48546</v>
      </c>
      <c r="O228" s="116">
        <f>O227-J227</f>
        <v>29554</v>
      </c>
      <c r="P228" s="115">
        <f>P227-O227</f>
        <v>-65519</v>
      </c>
      <c r="Q228" s="115">
        <f>Q227-P227</f>
        <v>14618</v>
      </c>
      <c r="R228" s="115">
        <f>R227-Q227</f>
        <v>22667</v>
      </c>
      <c r="S228" s="115">
        <f>S227-R227</f>
        <v>76383</v>
      </c>
      <c r="T228" s="116">
        <f>T227-O227</f>
        <v>48149</v>
      </c>
      <c r="U228" s="115">
        <f>U227-T227</f>
        <v>-44744</v>
      </c>
      <c r="V228" s="117">
        <f>V227-U227</f>
        <v>0</v>
      </c>
      <c r="W228" s="117">
        <f>W227-V227</f>
        <v>0</v>
      </c>
      <c r="X228" s="117">
        <f>X227-W227</f>
        <v>0</v>
      </c>
      <c r="Y228" s="116">
        <f>Y227-T227</f>
        <v>-44744</v>
      </c>
      <c r="Z228" s="117">
        <f>Z227-Y227</f>
        <v>0</v>
      </c>
      <c r="AA228" s="117">
        <f>AA227-Z227</f>
        <v>0</v>
      </c>
      <c r="AB228" s="117">
        <f>AB227-AA227</f>
        <v>0</v>
      </c>
      <c r="AC228" s="117">
        <f>AC227-AB227</f>
        <v>0</v>
      </c>
      <c r="AD228" s="116">
        <f>AD227-Y227</f>
        <v>0</v>
      </c>
      <c r="AE228" s="116">
        <f>AE227-AD227</f>
        <v>0</v>
      </c>
      <c r="AF228" s="116">
        <f>AF227-AE227</f>
        <v>0</v>
      </c>
      <c r="AG228" s="116">
        <f>AG227-AF227</f>
        <v>0</v>
      </c>
    </row>
    <row r="229" spans="1:34" s="23" customFormat="1" ht="12.75">
      <c r="A229" s="22"/>
      <c r="F229" s="29"/>
      <c r="G229" s="29"/>
      <c r="H229" s="29"/>
      <c r="I229" s="29"/>
      <c r="K229" s="29"/>
      <c r="L229" s="29"/>
      <c r="M229" s="29"/>
      <c r="N229" s="29"/>
      <c r="P229" s="29"/>
      <c r="Q229" s="29"/>
      <c r="R229" s="29"/>
      <c r="S229" s="29"/>
      <c r="U229" s="29"/>
      <c r="V229" s="30"/>
      <c r="W229" s="30"/>
      <c r="X229" s="30"/>
      <c r="Z229" s="30"/>
      <c r="AA229" s="30"/>
      <c r="AB229" s="30"/>
      <c r="AC229" s="30"/>
    </row>
    <row r="230" spans="1:34" s="23" customFormat="1" ht="12.75">
      <c r="A230" s="22"/>
      <c r="B230" s="83"/>
      <c r="C230" s="581" t="s">
        <v>143</v>
      </c>
      <c r="D230" s="141"/>
      <c r="E230" s="141"/>
      <c r="F230" s="582">
        <f t="shared" ref="F230:X230" si="253">F228-F223</f>
        <v>-328266</v>
      </c>
      <c r="G230" s="582">
        <f t="shared" si="253"/>
        <v>9979</v>
      </c>
      <c r="H230" s="582">
        <f t="shared" si="253"/>
        <v>1368</v>
      </c>
      <c r="I230" s="582">
        <f t="shared" si="253"/>
        <v>-6358</v>
      </c>
      <c r="J230" s="144">
        <f t="shared" si="253"/>
        <v>-323277</v>
      </c>
      <c r="K230" s="582">
        <f t="shared" si="253"/>
        <v>-36031</v>
      </c>
      <c r="L230" s="582">
        <f t="shared" si="253"/>
        <v>15062</v>
      </c>
      <c r="M230" s="582">
        <f t="shared" si="253"/>
        <v>11389</v>
      </c>
      <c r="N230" s="582">
        <f t="shared" si="253"/>
        <v>-42039</v>
      </c>
      <c r="O230" s="144">
        <f t="shared" si="253"/>
        <v>-51619</v>
      </c>
      <c r="P230" s="582">
        <f t="shared" si="253"/>
        <v>-88062</v>
      </c>
      <c r="Q230" s="582">
        <f t="shared" si="253"/>
        <v>6778</v>
      </c>
      <c r="R230" s="582">
        <f t="shared" si="253"/>
        <v>1636</v>
      </c>
      <c r="S230" s="582">
        <f t="shared" si="253"/>
        <v>-140681</v>
      </c>
      <c r="T230" s="144">
        <f t="shared" si="253"/>
        <v>-220329</v>
      </c>
      <c r="U230" s="582">
        <f t="shared" ref="U230" si="254">U228-U223</f>
        <v>-25722</v>
      </c>
      <c r="V230" s="143">
        <f t="shared" si="253"/>
        <v>-1063.3579999997746</v>
      </c>
      <c r="W230" s="143">
        <f t="shared" si="253"/>
        <v>-3193.2640739998315</v>
      </c>
      <c r="X230" s="143">
        <f t="shared" si="253"/>
        <v>-1067.6146220739465</v>
      </c>
      <c r="Y230" s="144">
        <f t="shared" ref="Y230:AG230" si="255">Y228-Y223</f>
        <v>-31046.236696073553</v>
      </c>
      <c r="Z230" s="143">
        <f t="shared" si="255"/>
        <v>-1068.682236695895</v>
      </c>
      <c r="AA230" s="143">
        <f t="shared" si="255"/>
        <v>-1069.7509189327247</v>
      </c>
      <c r="AB230" s="143">
        <f t="shared" si="255"/>
        <v>-3212.4620095549617</v>
      </c>
      <c r="AC230" s="143">
        <f t="shared" si="255"/>
        <v>-1074.0331318611279</v>
      </c>
      <c r="AD230" s="144">
        <f t="shared" si="255"/>
        <v>-6424.9282970447093</v>
      </c>
      <c r="AE230" s="144">
        <f t="shared" si="255"/>
        <v>-5375.5358249654528</v>
      </c>
      <c r="AF230" s="144">
        <f t="shared" si="255"/>
        <v>-5402.413504090393</v>
      </c>
      <c r="AG230" s="145">
        <f t="shared" si="255"/>
        <v>-5429.4255716106854</v>
      </c>
    </row>
    <row r="231" spans="1:34" s="23" customFormat="1" ht="12.75">
      <c r="A231" s="22"/>
      <c r="F231" s="29"/>
      <c r="G231" s="29"/>
      <c r="H231" s="29"/>
      <c r="I231" s="29"/>
      <c r="K231" s="29"/>
      <c r="L231" s="29"/>
      <c r="M231" s="29"/>
      <c r="N231" s="29"/>
      <c r="P231" s="29"/>
      <c r="Q231" s="29"/>
      <c r="R231" s="29"/>
      <c r="S231" s="29"/>
      <c r="U231" s="29"/>
      <c r="V231" s="30"/>
      <c r="W231" s="30"/>
      <c r="X231" s="30"/>
      <c r="Z231" s="30"/>
      <c r="AA231" s="30"/>
      <c r="AB231" s="30"/>
      <c r="AC231" s="30"/>
    </row>
    <row r="232" spans="1:34" s="23" customFormat="1" ht="12.75">
      <c r="A232" s="22" t="s">
        <v>1</v>
      </c>
      <c r="C232" s="568" t="s">
        <v>25</v>
      </c>
      <c r="D232" s="409"/>
      <c r="E232" s="409"/>
      <c r="F232" s="409"/>
      <c r="G232" s="409"/>
      <c r="H232" s="409"/>
      <c r="I232" s="409"/>
      <c r="J232" s="409"/>
      <c r="K232" s="409"/>
      <c r="L232" s="409"/>
      <c r="M232" s="409"/>
      <c r="N232" s="409"/>
      <c r="O232" s="409"/>
      <c r="P232" s="409"/>
      <c r="Q232" s="409"/>
      <c r="R232" s="409"/>
      <c r="S232" s="409"/>
      <c r="T232" s="409"/>
      <c r="U232" s="409"/>
      <c r="V232" s="409"/>
      <c r="W232" s="409"/>
      <c r="X232" s="409"/>
      <c r="Y232" s="409"/>
      <c r="Z232" s="409"/>
      <c r="AA232" s="409"/>
      <c r="AB232" s="409"/>
      <c r="AC232" s="409"/>
      <c r="AD232" s="409"/>
      <c r="AE232" s="409"/>
      <c r="AF232" s="409"/>
      <c r="AG232" s="584"/>
      <c r="AH232" s="22" t="s">
        <v>1</v>
      </c>
    </row>
    <row r="233" spans="1:34" s="23" customFormat="1" ht="12.75">
      <c r="A233" s="22"/>
      <c r="F233" s="29"/>
      <c r="G233" s="29"/>
      <c r="H233" s="29"/>
      <c r="I233" s="29"/>
      <c r="K233" s="29"/>
      <c r="L233" s="29"/>
      <c r="M233" s="29"/>
      <c r="N233" s="29"/>
      <c r="P233" s="29"/>
      <c r="Q233" s="29"/>
      <c r="R233" s="29"/>
      <c r="S233" s="29"/>
      <c r="U233" s="29"/>
      <c r="V233" s="30"/>
      <c r="W233" s="30"/>
      <c r="X233" s="30"/>
      <c r="Z233" s="30"/>
      <c r="AA233" s="30"/>
      <c r="AB233" s="30"/>
      <c r="AC233" s="30"/>
    </row>
    <row r="234" spans="1:34" s="23" customFormat="1" ht="12.75">
      <c r="A234" s="22"/>
      <c r="C234" s="23" t="s">
        <v>250</v>
      </c>
      <c r="F234" s="77" t="e">
        <f>F221/D221-1</f>
        <v>#DIV/0!</v>
      </c>
      <c r="G234" s="77">
        <f>G221/F221-1</f>
        <v>0.20101745445203534</v>
      </c>
      <c r="H234" s="77">
        <f>H221/G221-1</f>
        <v>3.0875589791294011E-2</v>
      </c>
      <c r="I234" s="77">
        <f>I221/H221-1</f>
        <v>6.9041228096631269E-3</v>
      </c>
      <c r="J234" s="78" t="e">
        <f>J221/E221-1</f>
        <v>#DIV/0!</v>
      </c>
      <c r="K234" s="77">
        <f>K221/I221-1</f>
        <v>-1.1202327208595708E-2</v>
      </c>
      <c r="L234" s="77">
        <f>L221/K221-1</f>
        <v>-1.5348395367491552E-2</v>
      </c>
      <c r="M234" s="77">
        <f>M221/L221-1</f>
        <v>1.290130452813143E-2</v>
      </c>
      <c r="N234" s="77">
        <f>N221/M221-1</f>
        <v>0.11389295541935218</v>
      </c>
      <c r="O234" s="78">
        <f>O221/J221-1</f>
        <v>9.8501404184758057E-2</v>
      </c>
      <c r="P234" s="77">
        <f>P221/O221-1</f>
        <v>2.2903119553433271E-2</v>
      </c>
      <c r="Q234" s="77">
        <f>Q221/P221-1</f>
        <v>5.0401925231990941E-3</v>
      </c>
      <c r="R234" s="77">
        <f>R221/Q221-1</f>
        <v>2.2877439560019752E-2</v>
      </c>
      <c r="S234" s="77">
        <f>S221/R221-1</f>
        <v>0.11912748197379663</v>
      </c>
      <c r="T234" s="78">
        <f>T221/O221-1</f>
        <v>0.17684995124675251</v>
      </c>
      <c r="U234" s="77">
        <f>U221/T221-1</f>
        <v>-1.4504976325498631E-2</v>
      </c>
      <c r="V234" s="111">
        <f>Drivers!V133</f>
        <v>1E-3</v>
      </c>
      <c r="W234" s="111">
        <f>Drivers!W133</f>
        <v>3.0000000000000001E-3</v>
      </c>
      <c r="X234" s="111">
        <f>Drivers!X133</f>
        <v>1E-3</v>
      </c>
      <c r="Y234" s="78">
        <f>Y221/T221-1</f>
        <v>-9.5705997854758085E-3</v>
      </c>
      <c r="Z234" s="111">
        <f>Drivers!Z133</f>
        <v>1E-3</v>
      </c>
      <c r="AA234" s="111">
        <f>Drivers!AA133</f>
        <v>1E-3</v>
      </c>
      <c r="AB234" s="111">
        <f>Drivers!AB133</f>
        <v>3.0000000000000001E-3</v>
      </c>
      <c r="AC234" s="111">
        <f>Drivers!AC133</f>
        <v>1E-3</v>
      </c>
      <c r="AD234" s="78">
        <f>AD221/Y221-1</f>
        <v>6.0120100029994461E-3</v>
      </c>
      <c r="AE234" s="112">
        <f>Drivers!AE133</f>
        <v>5.0000000000000001E-3</v>
      </c>
      <c r="AF234" s="112">
        <f>Drivers!AF133</f>
        <v>5.0000000000000001E-3</v>
      </c>
      <c r="AG234" s="112">
        <f>Drivers!AG133</f>
        <v>5.0000000000000001E-3</v>
      </c>
    </row>
    <row r="235" spans="1:34" s="23" customFormat="1" ht="12.75">
      <c r="A235" s="22"/>
      <c r="F235" s="29"/>
      <c r="G235" s="29"/>
      <c r="H235" s="29"/>
      <c r="I235" s="29"/>
      <c r="K235" s="29"/>
      <c r="L235" s="29"/>
      <c r="M235" s="29"/>
      <c r="N235" s="29"/>
      <c r="P235" s="29"/>
      <c r="Q235" s="29"/>
      <c r="R235" s="29"/>
      <c r="S235" s="29"/>
      <c r="U235" s="29"/>
      <c r="V235" s="30"/>
      <c r="W235" s="30"/>
      <c r="X235" s="30"/>
      <c r="Z235" s="30"/>
      <c r="AA235" s="30"/>
      <c r="AB235" s="30"/>
      <c r="AC235" s="30"/>
    </row>
    <row r="236" spans="1:34" s="23" customFormat="1" ht="12.75">
      <c r="A236" s="22" t="s">
        <v>1</v>
      </c>
      <c r="B236" s="163"/>
      <c r="C236" s="577" t="s">
        <v>144</v>
      </c>
      <c r="D236" s="147"/>
      <c r="E236" s="147"/>
      <c r="F236" s="579" t="str">
        <f t="shared" ref="F236:AG236" si="256">F$64</f>
        <v>1Q23</v>
      </c>
      <c r="G236" s="579" t="str">
        <f t="shared" si="256"/>
        <v>2Q23</v>
      </c>
      <c r="H236" s="579" t="str">
        <f t="shared" si="256"/>
        <v>3Q23</v>
      </c>
      <c r="I236" s="579" t="str">
        <f t="shared" si="256"/>
        <v>4Q23</v>
      </c>
      <c r="J236" s="579">
        <f t="shared" si="256"/>
        <v>2023</v>
      </c>
      <c r="K236" s="579" t="str">
        <f t="shared" si="256"/>
        <v>1Q24</v>
      </c>
      <c r="L236" s="579" t="str">
        <f t="shared" si="256"/>
        <v>2Q24</v>
      </c>
      <c r="M236" s="579" t="str">
        <f t="shared" si="256"/>
        <v>3Q24</v>
      </c>
      <c r="N236" s="579" t="str">
        <f t="shared" si="256"/>
        <v>4Q24</v>
      </c>
      <c r="O236" s="579">
        <f t="shared" si="256"/>
        <v>2024</v>
      </c>
      <c r="P236" s="579" t="str">
        <f t="shared" si="256"/>
        <v>1Q25</v>
      </c>
      <c r="Q236" s="579" t="str">
        <f t="shared" si="256"/>
        <v>2Q25</v>
      </c>
      <c r="R236" s="579" t="str">
        <f t="shared" si="256"/>
        <v>3Q25</v>
      </c>
      <c r="S236" s="579" t="str">
        <f t="shared" si="256"/>
        <v>4Q25</v>
      </c>
      <c r="T236" s="579">
        <f t="shared" si="256"/>
        <v>2025</v>
      </c>
      <c r="U236" s="579" t="str">
        <f t="shared" si="256"/>
        <v>1Q26</v>
      </c>
      <c r="V236" s="579" t="str">
        <f t="shared" si="256"/>
        <v>2Q26e</v>
      </c>
      <c r="W236" s="579" t="str">
        <f t="shared" si="256"/>
        <v>3Q26e</v>
      </c>
      <c r="X236" s="579" t="str">
        <f t="shared" si="256"/>
        <v>4Q26e</v>
      </c>
      <c r="Y236" s="579" t="str">
        <f t="shared" si="256"/>
        <v>2026e</v>
      </c>
      <c r="Z236" s="579" t="str">
        <f t="shared" si="256"/>
        <v>1Q27e</v>
      </c>
      <c r="AA236" s="579" t="str">
        <f t="shared" si="256"/>
        <v>2Q27e</v>
      </c>
      <c r="AB236" s="579" t="str">
        <f t="shared" si="256"/>
        <v>3Q27e</v>
      </c>
      <c r="AC236" s="579" t="str">
        <f t="shared" si="256"/>
        <v>4Q27e</v>
      </c>
      <c r="AD236" s="579" t="str">
        <f t="shared" si="256"/>
        <v>2027e</v>
      </c>
      <c r="AE236" s="579" t="str">
        <f t="shared" si="256"/>
        <v>2028e</v>
      </c>
      <c r="AF236" s="579" t="str">
        <f t="shared" si="256"/>
        <v>2029e</v>
      </c>
      <c r="AG236" s="580" t="str">
        <f t="shared" si="256"/>
        <v>2030e</v>
      </c>
      <c r="AH236" s="22" t="s">
        <v>1</v>
      </c>
    </row>
    <row r="237" spans="1:34" s="23" customFormat="1" ht="12.75">
      <c r="A237" s="22"/>
      <c r="F237" s="29"/>
      <c r="G237" s="29"/>
      <c r="H237" s="29"/>
      <c r="I237" s="29"/>
      <c r="K237" s="29"/>
      <c r="L237" s="29"/>
      <c r="M237" s="29"/>
      <c r="N237" s="29"/>
      <c r="P237" s="29"/>
      <c r="Q237" s="29"/>
      <c r="R237" s="29"/>
      <c r="S237" s="29"/>
      <c r="U237" s="29"/>
      <c r="V237" s="30"/>
      <c r="W237" s="30"/>
      <c r="X237" s="30"/>
      <c r="Z237" s="30"/>
      <c r="AA237" s="30"/>
      <c r="AB237" s="30"/>
      <c r="AC237" s="30"/>
    </row>
    <row r="238" spans="1:34" s="23" customFormat="1" ht="12.75">
      <c r="A238" s="22"/>
      <c r="C238" s="23" t="s">
        <v>145</v>
      </c>
      <c r="F238" s="29"/>
      <c r="G238" s="29"/>
      <c r="H238" s="29"/>
      <c r="I238" s="29"/>
      <c r="K238" s="29"/>
      <c r="L238" s="29"/>
      <c r="M238" s="29"/>
      <c r="N238" s="29"/>
      <c r="P238" s="29"/>
      <c r="Q238" s="29"/>
      <c r="R238" s="29"/>
      <c r="S238" s="29"/>
      <c r="U238" s="29"/>
      <c r="V238" s="30"/>
      <c r="W238" s="30"/>
      <c r="X238" s="30"/>
      <c r="Z238" s="30"/>
      <c r="AA238" s="30"/>
      <c r="AB238" s="30"/>
      <c r="AC238" s="30"/>
    </row>
    <row r="239" spans="1:34" s="23" customFormat="1" ht="12.75">
      <c r="A239" s="22"/>
      <c r="C239" s="28" t="s">
        <v>212</v>
      </c>
      <c r="F239" s="50">
        <f t="shared" ref="F239:X239" si="257">F54</f>
        <v>2.3952479875357051</v>
      </c>
      <c r="G239" s="50">
        <f t="shared" si="257"/>
        <v>1.1033733741592735</v>
      </c>
      <c r="H239" s="50">
        <f t="shared" si="257"/>
        <v>1.5538957777013986</v>
      </c>
      <c r="I239" s="50">
        <f t="shared" si="257"/>
        <v>2.4158945959423637</v>
      </c>
      <c r="J239" s="51">
        <f t="shared" si="257"/>
        <v>7.4859714968111071</v>
      </c>
      <c r="K239" s="50">
        <f t="shared" si="257"/>
        <v>2.4227066964982571</v>
      </c>
      <c r="L239" s="50">
        <f t="shared" si="257"/>
        <v>2.1228247883226845</v>
      </c>
      <c r="M239" s="50">
        <f t="shared" ca="1" si="257"/>
        <v>2.3004648247767276</v>
      </c>
      <c r="N239" s="50">
        <f t="shared" si="257"/>
        <v>4.0345627525087968</v>
      </c>
      <c r="O239" s="51">
        <f t="shared" ca="1" si="257"/>
        <v>10.888492115209175</v>
      </c>
      <c r="P239" s="50">
        <f t="shared" si="257"/>
        <v>3.9720543416498786</v>
      </c>
      <c r="Q239" s="50">
        <f t="shared" si="257"/>
        <v>2.7622110293168021</v>
      </c>
      <c r="R239" s="50">
        <f t="shared" si="257"/>
        <v>4.067405283954443</v>
      </c>
      <c r="S239" s="50">
        <f t="shared" si="257"/>
        <v>5.7471585038231039</v>
      </c>
      <c r="T239" s="51">
        <f t="shared" si="257"/>
        <v>16.548680795009879</v>
      </c>
      <c r="U239" s="50">
        <f t="shared" ref="U239" si="258">U54</f>
        <v>8.281480150889168</v>
      </c>
      <c r="V239" s="52">
        <f t="shared" ca="1" si="257"/>
        <v>5.9556135883668881</v>
      </c>
      <c r="W239" s="52">
        <f t="shared" ca="1" si="257"/>
        <v>7.2379747169675577</v>
      </c>
      <c r="X239" s="52">
        <f t="shared" ca="1" si="257"/>
        <v>9.9471250267214568</v>
      </c>
      <c r="Y239" s="51">
        <f t="shared" ref="Y239:AG239" ca="1" si="259">Y54</f>
        <v>31.384694719613201</v>
      </c>
      <c r="Z239" s="52">
        <f t="shared" ca="1" si="259"/>
        <v>7.6999759699278405</v>
      </c>
      <c r="AA239" s="52">
        <f t="shared" ca="1" si="259"/>
        <v>7.4329015182724971</v>
      </c>
      <c r="AB239" s="52">
        <f t="shared" ca="1" si="259"/>
        <v>8.8709557837691975</v>
      </c>
      <c r="AC239" s="52">
        <f t="shared" ca="1" si="259"/>
        <v>12.486966562917759</v>
      </c>
      <c r="AD239" s="51">
        <f t="shared" ca="1" si="259"/>
        <v>36.398441337227119</v>
      </c>
      <c r="AE239" s="51">
        <f t="shared" ca="1" si="259"/>
        <v>38.479014682959537</v>
      </c>
      <c r="AF239" s="51">
        <f t="shared" ca="1" si="259"/>
        <v>36.252532995241786</v>
      </c>
      <c r="AG239" s="51">
        <f t="shared" ca="1" si="259"/>
        <v>46.699547730060253</v>
      </c>
    </row>
    <row r="240" spans="1:34" s="23" customFormat="1" ht="12.75">
      <c r="A240" s="22"/>
      <c r="C240" s="28" t="s">
        <v>210</v>
      </c>
      <c r="F240" s="118">
        <f>F241/SUM(F239,B239:D239)</f>
        <v>55.192614997669139</v>
      </c>
      <c r="G240" s="118">
        <f>G241/SUM(F239:G239,C239:D239)</f>
        <v>31.783948162406144</v>
      </c>
      <c r="H240" s="118">
        <f>H241/SUM(F239:H239,D239)</f>
        <v>27.243846226011026</v>
      </c>
      <c r="I240" s="118">
        <f>I241/SUM(F239:I239)</f>
        <v>19.170073246303996</v>
      </c>
      <c r="J240" s="119">
        <f>J241/J239</f>
        <v>17.237701980144529</v>
      </c>
      <c r="K240" s="118">
        <f>K241/SUM(K239,G239:I239)</f>
        <v>23.618337765508471</v>
      </c>
      <c r="L240" s="118">
        <f>L241/SUM(K239:L239,H239:I239)</f>
        <v>21.916963692274226</v>
      </c>
      <c r="M240" s="118">
        <f ca="1">M241/SUM(K239:M239,I239)</f>
        <v>25.476439142557783</v>
      </c>
      <c r="N240" s="118">
        <f ca="1">N241/SUM(K239:N239)</f>
        <v>18.734331465550337</v>
      </c>
      <c r="O240" s="119">
        <f ca="1">O241/O239</f>
        <v>17.906028101451891</v>
      </c>
      <c r="P240" s="118">
        <f ca="1">P241/SUM(M239:P239)</f>
        <v>10.731013919868085</v>
      </c>
      <c r="Q240" s="118">
        <f ca="1">Q241/SUM(N239:Q239)</f>
        <v>10.602419757816993</v>
      </c>
      <c r="R240" s="118">
        <f>R241/SUM(P239:R239,N239)</f>
        <v>22.229361789012948</v>
      </c>
      <c r="S240" s="118">
        <f>S241/SUM(P239:S239)</f>
        <v>16.642869254256034</v>
      </c>
      <c r="T240" s="119">
        <f>T241/T239</f>
        <v>16.267737586942001</v>
      </c>
      <c r="U240" s="118">
        <f>U241/SUM(R239:U239)</f>
        <v>8.7173444823600956</v>
      </c>
      <c r="V240" s="120">
        <f ca="1">V241/SUM(U239:V239,R239:S239)</f>
        <v>12.556722947703147</v>
      </c>
      <c r="W240" s="120">
        <f ca="1">W241/SUM(U239:W239,S239)</f>
        <v>11.094242967089041</v>
      </c>
      <c r="X240" s="120">
        <f ca="1">X241/SUM(U239:X239)</f>
        <v>9.6113595686412232</v>
      </c>
      <c r="Y240" s="119">
        <f ca="1">Y241/Y239</f>
        <v>9.6228433221389675</v>
      </c>
      <c r="Z240" s="120">
        <f ca="1">Z241/SUM(Z239,V239:X239)</f>
        <v>9.7925826833116218</v>
      </c>
      <c r="AA240" s="120">
        <f ca="1">AA241/SUM(Z239:AA239,W239:X239)</f>
        <v>9.3449536718528119</v>
      </c>
      <c r="AB240" s="120">
        <f ca="1">AB241/SUM(Z239:AB239,X239)</f>
        <v>8.8954779226848579</v>
      </c>
      <c r="AC240" s="120">
        <f ca="1">AC241/SUM(Z239:AC239)</f>
        <v>8.2763327021201984</v>
      </c>
      <c r="AD240" s="119">
        <f ca="1">AD241/AD239</f>
        <v>8.2973333171581221</v>
      </c>
      <c r="AE240" s="119">
        <f ca="1">AE241/AE239</f>
        <v>7.8486936967683159</v>
      </c>
      <c r="AF240" s="119">
        <f ca="1">AF241/AF239</f>
        <v>8.330728229104416</v>
      </c>
      <c r="AG240" s="119">
        <f ca="1">AG241/AG239</f>
        <v>6.4670861856248285</v>
      </c>
    </row>
    <row r="241" spans="1:33" s="23" customFormat="1" ht="12.75">
      <c r="A241" s="22"/>
      <c r="C241" s="28" t="s">
        <v>201</v>
      </c>
      <c r="F241" s="121">
        <v>132.19999999999999</v>
      </c>
      <c r="G241" s="121">
        <v>111.2</v>
      </c>
      <c r="H241" s="121">
        <v>137.65</v>
      </c>
      <c r="I241" s="900">
        <v>143.16999999999999</v>
      </c>
      <c r="J241" s="51">
        <f>F241*(F242/(SUM(F242:I242)))+G241*(G242/(SUM(F242:I242)))+H241*(H242/(SUM(F242:I242)))+I241*(I242/(SUM(F242:I242)))</f>
        <v>129.04094569388633</v>
      </c>
      <c r="K241" s="121">
        <v>177.04</v>
      </c>
      <c r="L241" s="121">
        <v>186.63</v>
      </c>
      <c r="M241" s="900">
        <v>235.96</v>
      </c>
      <c r="N241" s="121">
        <v>203.84</v>
      </c>
      <c r="O241" s="51">
        <f>K241*(K242/(SUM(K242:N242)))+L241*(L242/(SUM(K242:N242)))+M241*(M242/(SUM(K242:N242)))+N241*(N242/(SUM(K242:N242)))</f>
        <v>194.96964579737283</v>
      </c>
      <c r="P241" s="121">
        <v>227.45</v>
      </c>
      <c r="Q241" s="121">
        <v>229.62</v>
      </c>
      <c r="R241" s="900">
        <v>329.8</v>
      </c>
      <c r="S241" s="121">
        <v>275.42</v>
      </c>
      <c r="T241" s="51">
        <f>P241*(P242/(SUM(P242:S242)))+Q241*(Q242/(SUM(P242:S242)))+R241*(R242/(SUM(P242:S242)))+S241*(S242/(SUM(P242:S242)))</f>
        <v>269.20959658328746</v>
      </c>
      <c r="U241" s="121">
        <v>302.01</v>
      </c>
      <c r="V241" s="122">
        <f>U241</f>
        <v>302.01</v>
      </c>
      <c r="W241" s="122">
        <f>V241</f>
        <v>302.01</v>
      </c>
      <c r="X241" s="122">
        <f>W241</f>
        <v>302.01</v>
      </c>
      <c r="Y241" s="51">
        <f>U241*(U242/(SUM(U242:X242)))+V241*(V242/(SUM(U242:X242)))+W241*(W242/(SUM(U242:X242)))+X241*(X242/(SUM(U242:X242)))</f>
        <v>302.01</v>
      </c>
      <c r="Z241" s="122">
        <f>X241</f>
        <v>302.01</v>
      </c>
      <c r="AA241" s="122">
        <f>Z241</f>
        <v>302.01</v>
      </c>
      <c r="AB241" s="122">
        <f>AA241</f>
        <v>302.01</v>
      </c>
      <c r="AC241" s="122">
        <f>AB241</f>
        <v>302.01</v>
      </c>
      <c r="AD241" s="51">
        <f>AVERAGE(Z241:AC241)</f>
        <v>302.01</v>
      </c>
      <c r="AE241" s="123">
        <f>AC241</f>
        <v>302.01</v>
      </c>
      <c r="AF241" s="123">
        <f>AE241</f>
        <v>302.01</v>
      </c>
      <c r="AG241" s="123">
        <f>AF241</f>
        <v>302.01</v>
      </c>
    </row>
    <row r="242" spans="1:33" s="23" customFormat="1" ht="12.75">
      <c r="A242" s="22"/>
      <c r="C242" s="28" t="s">
        <v>980</v>
      </c>
      <c r="F242" s="75">
        <f>(F243/F241)</f>
        <v>2152.5794251134648</v>
      </c>
      <c r="G242" s="75">
        <f t="shared" ref="G242:I242" si="260">(G243/G241)</f>
        <v>536.58273381294964</v>
      </c>
      <c r="H242" s="75">
        <f t="shared" si="260"/>
        <v>296.52015982564473</v>
      </c>
      <c r="I242" s="75">
        <f t="shared" si="260"/>
        <v>15.589858210518965</v>
      </c>
      <c r="J242" s="38">
        <f>SUM(F242:I242)</f>
        <v>3001.2721769625782</v>
      </c>
      <c r="K242" s="75">
        <f>(K243/K241)</f>
        <v>1487.1836873023046</v>
      </c>
      <c r="L242" s="75">
        <f t="shared" ref="L242:N242" si="261">(L243/L241)</f>
        <v>290.33917376627551</v>
      </c>
      <c r="M242" s="75">
        <f t="shared" si="261"/>
        <v>425.49160874724527</v>
      </c>
      <c r="N242" s="75">
        <f t="shared" si="261"/>
        <v>1312.7943485086341</v>
      </c>
      <c r="O242" s="38">
        <f>SUM(K242:N242)</f>
        <v>3515.8088183244599</v>
      </c>
      <c r="P242" s="75">
        <f t="shared" ref="P242:S242" si="262">(P243/P241)</f>
        <v>638.8217190591339</v>
      </c>
      <c r="Q242" s="75">
        <f t="shared" si="262"/>
        <v>808.72746276456758</v>
      </c>
      <c r="R242" s="75">
        <f t="shared" si="262"/>
        <v>722.86234081261364</v>
      </c>
      <c r="S242" s="75">
        <f t="shared" si="262"/>
        <v>2398.4932103696174</v>
      </c>
      <c r="T242" s="38">
        <f>SUM(P242:S242)</f>
        <v>4568.9047330059329</v>
      </c>
      <c r="U242" s="75">
        <f t="shared" ref="U242" si="263">(U243/U241)</f>
        <v>2057.3788947385847</v>
      </c>
      <c r="V242" s="76">
        <f t="shared" ref="U242:X242" si="264">(V243/V241)</f>
        <v>430.44932287010363</v>
      </c>
      <c r="W242" s="76">
        <f t="shared" si="264"/>
        <v>430.44932287010363</v>
      </c>
      <c r="X242" s="76">
        <f t="shared" si="264"/>
        <v>430.44932287010363</v>
      </c>
      <c r="Y242" s="38">
        <f>SUM(U242:X242)</f>
        <v>3348.7268633488952</v>
      </c>
      <c r="Z242" s="76">
        <f t="shared" ref="Z242" si="265">(Z243/Z241)</f>
        <v>430.44932287010363</v>
      </c>
      <c r="AA242" s="76">
        <f t="shared" ref="AA242" si="266">(AA243/AA241)</f>
        <v>430.44932287010363</v>
      </c>
      <c r="AB242" s="76">
        <f t="shared" ref="AB242" si="267">(AB243/AB241)</f>
        <v>430.44932287010363</v>
      </c>
      <c r="AC242" s="76">
        <f t="shared" ref="AC242" si="268">(AC243/AC241)</f>
        <v>430.44932287010363</v>
      </c>
      <c r="AD242" s="38">
        <f>SUM(Z242:AC242)</f>
        <v>1721.7972914804145</v>
      </c>
      <c r="AE242" s="38">
        <f>(AE243/AE241)</f>
        <v>1324.4594549849344</v>
      </c>
      <c r="AF242" s="38">
        <f t="shared" ref="AF242:AG242" si="269">(AF243/AF241)</f>
        <v>1324.4594549849344</v>
      </c>
      <c r="AG242" s="38">
        <f t="shared" si="269"/>
        <v>1324.4594549849344</v>
      </c>
    </row>
    <row r="243" spans="1:33" s="23" customFormat="1" ht="12.75">
      <c r="A243" s="22"/>
      <c r="C243" s="28" t="s">
        <v>146</v>
      </c>
      <c r="F243" s="37">
        <v>284571</v>
      </c>
      <c r="G243" s="37">
        <v>59668</v>
      </c>
      <c r="H243" s="37">
        <v>40816</v>
      </c>
      <c r="I243" s="899">
        <v>2232</v>
      </c>
      <c r="J243" s="38">
        <f>SUM(F243:I243)</f>
        <v>387287</v>
      </c>
      <c r="K243" s="37">
        <v>263291</v>
      </c>
      <c r="L243" s="37">
        <v>54186</v>
      </c>
      <c r="M243" s="899">
        <v>100399</v>
      </c>
      <c r="N243" s="37">
        <v>267600</v>
      </c>
      <c r="O243" s="38">
        <f>SUM(K243:N243)</f>
        <v>685476</v>
      </c>
      <c r="P243" s="37">
        <v>145300</v>
      </c>
      <c r="Q243" s="37">
        <v>185700</v>
      </c>
      <c r="R243" s="899">
        <v>238400</v>
      </c>
      <c r="S243" s="37">
        <v>660593</v>
      </c>
      <c r="T243" s="38">
        <f>SUM(P243:S243)</f>
        <v>1229993</v>
      </c>
      <c r="U243" s="37">
        <v>621349</v>
      </c>
      <c r="V243" s="76">
        <f t="shared" ref="U243:X243" si="270">V274</f>
        <v>130000</v>
      </c>
      <c r="W243" s="76">
        <f t="shared" si="270"/>
        <v>130000</v>
      </c>
      <c r="X243" s="76">
        <f t="shared" si="270"/>
        <v>130000</v>
      </c>
      <c r="Y243" s="38">
        <f>SUM(U243:X243)</f>
        <v>1011349</v>
      </c>
      <c r="Z243" s="76">
        <f t="shared" ref="Z243:AG243" si="271">Z274</f>
        <v>130000</v>
      </c>
      <c r="AA243" s="76">
        <f t="shared" si="271"/>
        <v>130000</v>
      </c>
      <c r="AB243" s="76">
        <f t="shared" si="271"/>
        <v>130000</v>
      </c>
      <c r="AC243" s="76">
        <f t="shared" si="271"/>
        <v>130000</v>
      </c>
      <c r="AD243" s="38">
        <f>SUM(Z243:AC243)</f>
        <v>520000</v>
      </c>
      <c r="AE243" s="38">
        <f t="shared" si="271"/>
        <v>400000</v>
      </c>
      <c r="AF243" s="38">
        <f t="shared" si="271"/>
        <v>400000</v>
      </c>
      <c r="AG243" s="38">
        <f t="shared" si="271"/>
        <v>400000</v>
      </c>
    </row>
    <row r="244" spans="1:33" s="23" customFormat="1" ht="12.75">
      <c r="A244" s="22"/>
      <c r="F244" s="29"/>
      <c r="G244" s="29"/>
      <c r="H244" s="29"/>
      <c r="I244" s="902"/>
      <c r="K244" s="29"/>
      <c r="L244" s="29"/>
      <c r="M244" s="903"/>
      <c r="N244" s="29"/>
      <c r="P244" s="29"/>
      <c r="Q244" s="29"/>
      <c r="R244" s="903"/>
      <c r="S244" s="29"/>
      <c r="U244" s="29"/>
      <c r="V244" s="30"/>
      <c r="W244" s="30"/>
      <c r="X244" s="30"/>
      <c r="Z244" s="30"/>
      <c r="AA244" s="30"/>
      <c r="AB244" s="30"/>
      <c r="AC244" s="30"/>
    </row>
    <row r="245" spans="1:33" s="23" customFormat="1" ht="12.75">
      <c r="A245" s="22"/>
      <c r="C245" s="23" t="s">
        <v>147</v>
      </c>
      <c r="F245" s="29"/>
      <c r="G245" s="29"/>
      <c r="H245" s="29"/>
      <c r="I245" s="903"/>
      <c r="K245" s="29"/>
      <c r="L245" s="29"/>
      <c r="M245" s="903"/>
      <c r="N245" s="904"/>
      <c r="P245" s="904"/>
      <c r="Q245" s="904"/>
      <c r="R245" s="903"/>
      <c r="S245" s="904"/>
      <c r="U245" s="904"/>
      <c r="V245" s="30"/>
      <c r="W245" s="30"/>
      <c r="X245" s="30"/>
      <c r="Z245" s="30"/>
      <c r="AA245" s="30"/>
      <c r="AB245" s="30"/>
      <c r="AC245" s="30"/>
    </row>
    <row r="246" spans="1:33" s="23" customFormat="1" ht="12.75">
      <c r="A246" s="22"/>
      <c r="C246" s="28" t="s">
        <v>148</v>
      </c>
      <c r="F246" s="29"/>
      <c r="G246" s="29"/>
      <c r="H246" s="29"/>
      <c r="I246" s="903"/>
      <c r="K246" s="29"/>
      <c r="L246" s="29"/>
      <c r="M246" s="903"/>
      <c r="N246" s="29"/>
      <c r="P246" s="29"/>
      <c r="Q246" s="29"/>
      <c r="R246" s="903"/>
      <c r="S246" s="29"/>
      <c r="T246" s="71"/>
      <c r="U246" s="29"/>
      <c r="V246" s="70">
        <f>U249</f>
        <v>4142780</v>
      </c>
      <c r="W246" s="70">
        <f>V249</f>
        <v>4277329.7556706667</v>
      </c>
      <c r="X246" s="70">
        <f>W249</f>
        <v>4427313.6734339278</v>
      </c>
      <c r="Y246" s="71"/>
      <c r="Z246" s="70">
        <f>Y249</f>
        <v>4611766.7107208623</v>
      </c>
      <c r="AA246" s="70">
        <f>Z249</f>
        <v>4748764.4662941163</v>
      </c>
      <c r="AB246" s="70">
        <f>AA249</f>
        <v>4899807.6786315944</v>
      </c>
      <c r="AC246" s="70">
        <f>AB249</f>
        <v>5067565.2511908449</v>
      </c>
      <c r="AD246" s="71">
        <f>Y249</f>
        <v>4611766.7107208623</v>
      </c>
      <c r="AE246" s="71">
        <f>AD249</f>
        <v>5280504.1698811715</v>
      </c>
      <c r="AF246" s="71">
        <f>AE249</f>
        <v>5969373.8937869277</v>
      </c>
      <c r="AG246" s="71">
        <f>AF249</f>
        <v>6643678.0393455327</v>
      </c>
    </row>
    <row r="247" spans="1:33" s="23" customFormat="1" ht="12.75">
      <c r="A247" s="22"/>
      <c r="C247" s="124" t="s">
        <v>155</v>
      </c>
      <c r="F247" s="97">
        <v>0</v>
      </c>
      <c r="G247" s="97">
        <v>0</v>
      </c>
      <c r="H247" s="97">
        <v>0</v>
      </c>
      <c r="I247" s="905">
        <v>0</v>
      </c>
      <c r="J247" s="98">
        <f>SUM(F247:I247)</f>
        <v>0</v>
      </c>
      <c r="K247" s="97">
        <v>0</v>
      </c>
      <c r="L247" s="97">
        <v>0</v>
      </c>
      <c r="M247" s="905">
        <v>0</v>
      </c>
      <c r="N247" s="97">
        <v>0</v>
      </c>
      <c r="O247" s="98">
        <f>SUM(K247:N247)</f>
        <v>0</v>
      </c>
      <c r="P247" s="97">
        <v>0</v>
      </c>
      <c r="Q247" s="97">
        <v>0</v>
      </c>
      <c r="R247" s="905">
        <v>0</v>
      </c>
      <c r="S247" s="97">
        <v>0</v>
      </c>
      <c r="T247" s="98">
        <f>SUM(P247:S247)</f>
        <v>0</v>
      </c>
      <c r="U247" s="97">
        <v>0</v>
      </c>
      <c r="V247" s="100">
        <f>V273*V241</f>
        <v>0</v>
      </c>
      <c r="W247" s="100">
        <f>W273*W241</f>
        <v>0</v>
      </c>
      <c r="X247" s="100">
        <f>X273*X241</f>
        <v>0</v>
      </c>
      <c r="Y247" s="98">
        <f>SUM(U247:X247)</f>
        <v>0</v>
      </c>
      <c r="Z247" s="100">
        <f>Z273*Z241</f>
        <v>0</v>
      </c>
      <c r="AA247" s="100">
        <f>AA273*AA241</f>
        <v>0</v>
      </c>
      <c r="AB247" s="100">
        <f>AB273*AB241</f>
        <v>0</v>
      </c>
      <c r="AC247" s="100">
        <f>AC273*AC241</f>
        <v>0</v>
      </c>
      <c r="AD247" s="98">
        <f>SUM(Z247:AC247)</f>
        <v>0</v>
      </c>
      <c r="AE247" s="98">
        <f>AE273*AE241</f>
        <v>0</v>
      </c>
      <c r="AF247" s="98">
        <f>AF273*AF241</f>
        <v>0</v>
      </c>
      <c r="AG247" s="98">
        <f>AG273*AG241</f>
        <v>0</v>
      </c>
    </row>
    <row r="248" spans="1:33" s="23" customFormat="1" ht="12.75">
      <c r="A248" s="22"/>
      <c r="C248" s="124" t="s">
        <v>156</v>
      </c>
      <c r="F248" s="31">
        <v>66690</v>
      </c>
      <c r="G248" s="31">
        <v>160874</v>
      </c>
      <c r="H248" s="31">
        <v>239828</v>
      </c>
      <c r="I248" s="898">
        <v>229870</v>
      </c>
      <c r="J248" s="32">
        <f>SUM(F248:I248)</f>
        <v>697262</v>
      </c>
      <c r="K248" s="31">
        <v>73974</v>
      </c>
      <c r="L248" s="31">
        <v>93835</v>
      </c>
      <c r="M248" s="898">
        <v>92043</v>
      </c>
      <c r="N248" s="31">
        <f>569734-SUM(K248:M248)</f>
        <v>309882</v>
      </c>
      <c r="O248" s="32">
        <f>SUM(K248:N248)</f>
        <v>569734</v>
      </c>
      <c r="P248" s="31">
        <v>96138</v>
      </c>
      <c r="Q248" s="31">
        <v>123599</v>
      </c>
      <c r="R248" s="898">
        <v>113668</v>
      </c>
      <c r="S248" s="31">
        <f>440409-SUM(P248:R248)</f>
        <v>107004</v>
      </c>
      <c r="T248" s="32">
        <f>SUM(P248:S248)</f>
        <v>440409</v>
      </c>
      <c r="U248" s="31">
        <v>122211</v>
      </c>
      <c r="V248" s="54">
        <f>V251*V28</f>
        <v>134549.7556706664</v>
      </c>
      <c r="W248" s="54">
        <f>W251*W28</f>
        <v>149983.9177632608</v>
      </c>
      <c r="X248" s="54">
        <f>X251*X28</f>
        <v>184453.03728693447</v>
      </c>
      <c r="Y248" s="32">
        <f>SUM(U248:X248)</f>
        <v>591197.71072086168</v>
      </c>
      <c r="Z248" s="54">
        <f>Z251*Z28</f>
        <v>136997.75557325376</v>
      </c>
      <c r="AA248" s="54">
        <f>AA251*AA28</f>
        <v>151043.21233747774</v>
      </c>
      <c r="AB248" s="54">
        <f>AB251*AB28</f>
        <v>167757.57255925081</v>
      </c>
      <c r="AC248" s="54">
        <f>AC251*AC28</f>
        <v>212938.91869032735</v>
      </c>
      <c r="AD248" s="32">
        <f>SUM(Z248:AC248)</f>
        <v>668737.45916030963</v>
      </c>
      <c r="AE248" s="32">
        <f>AE251*AE28</f>
        <v>688869.72390575579</v>
      </c>
      <c r="AF248" s="32">
        <f>AF251*AF28</f>
        <v>674304.14555860497</v>
      </c>
      <c r="AG248" s="32">
        <f>AG251*AG28</f>
        <v>639678.4386137384</v>
      </c>
    </row>
    <row r="249" spans="1:33" s="23" customFormat="1" ht="12.75">
      <c r="A249" s="22"/>
      <c r="C249" s="28" t="s">
        <v>149</v>
      </c>
      <c r="F249" s="69">
        <f t="shared" ref="F249:S249" si="272">F149</f>
        <v>2932500</v>
      </c>
      <c r="G249" s="69">
        <f t="shared" si="272"/>
        <v>3012788</v>
      </c>
      <c r="H249" s="69">
        <f t="shared" si="272"/>
        <v>3088834</v>
      </c>
      <c r="I249" s="906">
        <f t="shared" si="272"/>
        <v>3164019</v>
      </c>
      <c r="J249" s="71">
        <f t="shared" si="272"/>
        <v>3164019</v>
      </c>
      <c r="K249" s="69">
        <f t="shared" si="272"/>
        <v>3246068</v>
      </c>
      <c r="L249" s="69">
        <f t="shared" si="272"/>
        <v>3332570</v>
      </c>
      <c r="M249" s="906">
        <f t="shared" si="272"/>
        <v>3419764</v>
      </c>
      <c r="N249" s="69">
        <f t="shared" si="272"/>
        <v>3511204</v>
      </c>
      <c r="O249" s="71">
        <f t="shared" si="272"/>
        <v>3511204</v>
      </c>
      <c r="P249" s="69">
        <f t="shared" si="272"/>
        <v>3597030</v>
      </c>
      <c r="Q249" s="69">
        <f t="shared" si="272"/>
        <v>3710589</v>
      </c>
      <c r="R249" s="906">
        <f t="shared" si="272"/>
        <v>3818151</v>
      </c>
      <c r="S249" s="69">
        <f t="shared" si="272"/>
        <v>4025372</v>
      </c>
      <c r="T249" s="71">
        <f>S249</f>
        <v>4025372</v>
      </c>
      <c r="U249" s="69">
        <f t="shared" ref="U249" si="273">U149</f>
        <v>4142780</v>
      </c>
      <c r="V249" s="70">
        <f t="shared" ref="U249:X249" si="274">SUM(V246:V248)</f>
        <v>4277329.7556706667</v>
      </c>
      <c r="W249" s="70">
        <f t="shared" si="274"/>
        <v>4427313.6734339278</v>
      </c>
      <c r="X249" s="70">
        <f t="shared" si="274"/>
        <v>4611766.7107208623</v>
      </c>
      <c r="Y249" s="71">
        <f>X249</f>
        <v>4611766.7107208623</v>
      </c>
      <c r="Z249" s="70">
        <f t="shared" ref="Z249:AG249" si="275">SUM(Z246:Z248)</f>
        <v>4748764.4662941163</v>
      </c>
      <c r="AA249" s="70">
        <f t="shared" si="275"/>
        <v>4899807.6786315944</v>
      </c>
      <c r="AB249" s="70">
        <f t="shared" si="275"/>
        <v>5067565.2511908449</v>
      </c>
      <c r="AC249" s="70">
        <f t="shared" si="275"/>
        <v>5280504.1698811725</v>
      </c>
      <c r="AD249" s="71">
        <f t="shared" si="275"/>
        <v>5280504.1698811715</v>
      </c>
      <c r="AE249" s="71">
        <f t="shared" si="275"/>
        <v>5969373.8937869277</v>
      </c>
      <c r="AF249" s="71">
        <f t="shared" si="275"/>
        <v>6643678.0393455327</v>
      </c>
      <c r="AG249" s="71">
        <f t="shared" si="275"/>
        <v>7283356.4779592715</v>
      </c>
    </row>
    <row r="250" spans="1:33" s="23" customFormat="1" ht="12.75">
      <c r="A250" s="22"/>
      <c r="F250" s="29"/>
      <c r="G250" s="29"/>
      <c r="H250" s="29"/>
      <c r="I250" s="903"/>
      <c r="K250" s="29"/>
      <c r="L250" s="29"/>
      <c r="M250" s="903"/>
      <c r="N250" s="29"/>
      <c r="P250" s="29"/>
      <c r="Q250" s="29"/>
      <c r="R250" s="903"/>
      <c r="S250" s="29"/>
      <c r="U250" s="29"/>
      <c r="V250" s="30"/>
      <c r="W250" s="30"/>
      <c r="X250" s="30"/>
      <c r="Z250" s="30"/>
      <c r="AA250" s="30"/>
      <c r="AB250" s="30"/>
      <c r="AC250" s="30"/>
    </row>
    <row r="251" spans="1:33" s="23" customFormat="1" ht="12.75">
      <c r="A251" s="22"/>
      <c r="C251" s="114" t="s">
        <v>150</v>
      </c>
      <c r="D251" s="24"/>
      <c r="E251" s="24"/>
      <c r="F251" s="125">
        <f t="shared" ref="F251:S251" si="276">F248/F28</f>
        <v>0.11571816752673023</v>
      </c>
      <c r="G251" s="125">
        <f t="shared" si="276"/>
        <v>0.31944797458300239</v>
      </c>
      <c r="H251" s="125">
        <f t="shared" si="276"/>
        <v>0.41752494759785796</v>
      </c>
      <c r="I251" s="907">
        <f t="shared" si="276"/>
        <v>0.29158442718190442</v>
      </c>
      <c r="J251" s="126">
        <f t="shared" si="276"/>
        <v>0.28545122419520313</v>
      </c>
      <c r="K251" s="125">
        <f t="shared" si="276"/>
        <v>0.12645063358649442</v>
      </c>
      <c r="L251" s="125">
        <f t="shared" si="276"/>
        <v>0.13532339312934716</v>
      </c>
      <c r="M251" s="907">
        <f t="shared" si="276"/>
        <v>0.1246485739822865</v>
      </c>
      <c r="N251" s="125">
        <f t="shared" si="276"/>
        <v>0.31635945994231895</v>
      </c>
      <c r="O251" s="126">
        <f t="shared" si="276"/>
        <v>0.1901419755496751</v>
      </c>
      <c r="P251" s="125">
        <f t="shared" si="276"/>
        <v>0.13753215206388353</v>
      </c>
      <c r="Q251" s="125">
        <f t="shared" si="276"/>
        <v>0.14748580020046775</v>
      </c>
      <c r="R251" s="907">
        <f t="shared" si="276"/>
        <v>0.10866983940634459</v>
      </c>
      <c r="S251" s="125">
        <f t="shared" si="276"/>
        <v>8.249937549536325E-2</v>
      </c>
      <c r="T251" s="126">
        <f>T248/T28</f>
        <v>0.11350501690169594</v>
      </c>
      <c r="U251" s="125">
        <f t="shared" ref="U251" si="277">U248/U28</f>
        <v>8.726433787538318E-2</v>
      </c>
      <c r="V251" s="127">
        <f t="shared" ref="V251" si="278">U251</f>
        <v>8.726433787538318E-2</v>
      </c>
      <c r="W251" s="127">
        <f t="shared" ref="W251" si="279">V251</f>
        <v>8.726433787538318E-2</v>
      </c>
      <c r="X251" s="127">
        <f t="shared" ref="X251" si="280">W251</f>
        <v>8.726433787538318E-2</v>
      </c>
      <c r="Y251" s="126">
        <f>Y248/Y28</f>
        <v>8.726433787538318E-2</v>
      </c>
      <c r="Z251" s="127">
        <f>X251</f>
        <v>8.726433787538318E-2</v>
      </c>
      <c r="AA251" s="127">
        <f t="shared" ref="AA251:AG251" si="281">Z251</f>
        <v>8.726433787538318E-2</v>
      </c>
      <c r="AB251" s="127">
        <f t="shared" si="281"/>
        <v>8.726433787538318E-2</v>
      </c>
      <c r="AC251" s="127">
        <f t="shared" si="281"/>
        <v>8.726433787538318E-2</v>
      </c>
      <c r="AD251" s="126">
        <f>AD248/AD28</f>
        <v>8.726433787538318E-2</v>
      </c>
      <c r="AE251" s="128">
        <f>AC251</f>
        <v>8.726433787538318E-2</v>
      </c>
      <c r="AF251" s="128">
        <f t="shared" si="281"/>
        <v>8.726433787538318E-2</v>
      </c>
      <c r="AG251" s="128">
        <f t="shared" si="281"/>
        <v>8.726433787538318E-2</v>
      </c>
    </row>
    <row r="252" spans="1:33" s="23" customFormat="1" ht="12.75">
      <c r="A252" s="22"/>
      <c r="F252" s="29"/>
      <c r="G252" s="29"/>
      <c r="H252" s="29"/>
      <c r="I252" s="903"/>
      <c r="K252" s="29"/>
      <c r="L252" s="29"/>
      <c r="M252" s="903"/>
      <c r="N252" s="29"/>
      <c r="P252" s="29"/>
      <c r="Q252" s="29"/>
      <c r="R252" s="903"/>
      <c r="S252" s="29"/>
      <c r="U252" s="29"/>
      <c r="V252" s="30"/>
      <c r="W252" s="30"/>
      <c r="X252" s="30"/>
      <c r="Z252" s="30"/>
      <c r="AA252" s="30"/>
      <c r="AB252" s="30"/>
      <c r="AC252" s="30"/>
    </row>
    <row r="253" spans="1:33" s="23" customFormat="1" ht="12.75">
      <c r="A253" s="22"/>
      <c r="C253" s="23" t="s">
        <v>112</v>
      </c>
      <c r="F253" s="29"/>
      <c r="G253" s="29"/>
      <c r="H253" s="29"/>
      <c r="I253" s="903"/>
      <c r="K253" s="29"/>
      <c r="L253" s="29"/>
      <c r="M253" s="903"/>
      <c r="N253" s="29"/>
      <c r="P253" s="29"/>
      <c r="Q253" s="29"/>
      <c r="R253" s="903"/>
      <c r="S253" s="29"/>
      <c r="U253" s="29"/>
      <c r="V253" s="30"/>
      <c r="W253" s="30"/>
      <c r="X253" s="30"/>
      <c r="Z253" s="30"/>
      <c r="AA253" s="30"/>
      <c r="AB253" s="30"/>
      <c r="AC253" s="30"/>
    </row>
    <row r="254" spans="1:33" s="23" customFormat="1" ht="12.75">
      <c r="A254" s="22"/>
      <c r="C254" s="28" t="s">
        <v>148</v>
      </c>
      <c r="F254" s="69">
        <f>E258</f>
        <v>0</v>
      </c>
      <c r="G254" s="69">
        <f>F258</f>
        <v>1819599</v>
      </c>
      <c r="H254" s="69">
        <f>G258</f>
        <v>1823412</v>
      </c>
      <c r="I254" s="906">
        <f>H258</f>
        <v>1842910</v>
      </c>
      <c r="J254" s="71">
        <f>F254</f>
        <v>0</v>
      </c>
      <c r="K254" s="69">
        <f>J258</f>
        <v>1892656</v>
      </c>
      <c r="L254" s="69">
        <f>K258</f>
        <v>1945012</v>
      </c>
      <c r="M254" s="906">
        <f>L258</f>
        <v>1984130</v>
      </c>
      <c r="N254" s="69">
        <f>M258</f>
        <v>2027982</v>
      </c>
      <c r="O254" s="71">
        <f>K254</f>
        <v>1892656</v>
      </c>
      <c r="P254" s="69">
        <f>O258</f>
        <v>2133919</v>
      </c>
      <c r="Q254" s="69">
        <f>P258</f>
        <v>2245124</v>
      </c>
      <c r="R254" s="906">
        <f>Q258</f>
        <v>2305996</v>
      </c>
      <c r="S254" s="69">
        <f>R258</f>
        <v>2414099</v>
      </c>
      <c r="T254" s="71">
        <f>O258</f>
        <v>2133919</v>
      </c>
      <c r="U254" s="69">
        <f>T258</f>
        <v>2581815</v>
      </c>
      <c r="V254" s="70">
        <f>U258</f>
        <v>2846337</v>
      </c>
      <c r="W254" s="70">
        <f ca="1">V258</f>
        <v>3038630.7710068747</v>
      </c>
      <c r="X254" s="70">
        <f ca="1">W258</f>
        <v>3277345.2357785795</v>
      </c>
      <c r="Y254" s="71">
        <f>T258</f>
        <v>2581815</v>
      </c>
      <c r="Z254" s="70">
        <f ca="1">Y258</f>
        <v>3613710.5778642464</v>
      </c>
      <c r="AA254" s="70">
        <f ca="1">Z258</f>
        <v>3863254.5883880644</v>
      </c>
      <c r="AB254" s="70">
        <f ca="1">AA258</f>
        <v>4097690.3698388725</v>
      </c>
      <c r="AC254" s="70">
        <f ca="1">AB258</f>
        <v>4381391.9847697364</v>
      </c>
      <c r="AD254" s="71">
        <f ca="1">Y258</f>
        <v>3613710.5778642464</v>
      </c>
      <c r="AE254" s="71">
        <f ca="1">AD258</f>
        <v>4790065.6133989664</v>
      </c>
      <c r="AF254" s="71">
        <f ca="1">AE258</f>
        <v>5976226.2555266209</v>
      </c>
      <c r="AG254" s="71">
        <f ca="1">AF258</f>
        <v>7027196.1141312504</v>
      </c>
    </row>
    <row r="255" spans="1:33" s="23" customFormat="1" ht="12.75">
      <c r="A255" s="22"/>
      <c r="C255" s="124" t="s">
        <v>42</v>
      </c>
      <c r="F255" s="75">
        <f>F46</f>
        <v>92241</v>
      </c>
      <c r="G255" s="75">
        <f>G46</f>
        <v>42161</v>
      </c>
      <c r="H255" s="75">
        <f>H46</f>
        <v>58773</v>
      </c>
      <c r="I255" s="901">
        <f>I46</f>
        <v>92048</v>
      </c>
      <c r="J255" s="38">
        <f>SUM(F255:I255)</f>
        <v>285223</v>
      </c>
      <c r="K255" s="75">
        <f>K46</f>
        <v>93124</v>
      </c>
      <c r="L255" s="75">
        <f>L46</f>
        <v>81733</v>
      </c>
      <c r="M255" s="901">
        <f ca="1">M46</f>
        <v>88094</v>
      </c>
      <c r="N255" s="75">
        <f>N46</f>
        <v>154786</v>
      </c>
      <c r="O255" s="38">
        <f ca="1">SUM(K255:N255)</f>
        <v>417737</v>
      </c>
      <c r="P255" s="75">
        <f>P46</f>
        <v>153790</v>
      </c>
      <c r="Q255" s="75">
        <f>Q46</f>
        <v>106939</v>
      </c>
      <c r="R255" s="901">
        <f>R46</f>
        <v>157494</v>
      </c>
      <c r="S255" s="75">
        <f>S46</f>
        <v>222484</v>
      </c>
      <c r="T255" s="38">
        <f>SUM(P255:S255)</f>
        <v>640707</v>
      </c>
      <c r="U255" s="75">
        <f>U46</f>
        <v>322721</v>
      </c>
      <c r="V255" s="76">
        <f ca="1">V46</f>
        <v>230802.51100687502</v>
      </c>
      <c r="W255" s="76">
        <f ca="1">W46</f>
        <v>277383.26477170433</v>
      </c>
      <c r="X255" s="76">
        <f ca="1">X46</f>
        <v>376925.18208566721</v>
      </c>
      <c r="Y255" s="38">
        <f ca="1">SUM(U255:X255)</f>
        <v>1207831.9578642466</v>
      </c>
      <c r="Z255" s="76">
        <f ca="1">Z46</f>
        <v>288459.79052381776</v>
      </c>
      <c r="AA255" s="76">
        <f ca="1">AA46</f>
        <v>275255.04585080844</v>
      </c>
      <c r="AB255" s="76">
        <f ca="1">AB46</f>
        <v>324690.54293086444</v>
      </c>
      <c r="AC255" s="76">
        <f ca="1">AC46</f>
        <v>451667.05902922997</v>
      </c>
      <c r="AD255" s="38">
        <f ca="1">SUM(Z255:AC255)</f>
        <v>1340072.4383347207</v>
      </c>
      <c r="AE255" s="38">
        <f ca="1">AE46</f>
        <v>1358063.9150676546</v>
      </c>
      <c r="AF255" s="38">
        <f ca="1">AF46</f>
        <v>1231468.2951916298</v>
      </c>
      <c r="AG255" s="38">
        <f ca="1">AG46</f>
        <v>1524493.01076501</v>
      </c>
    </row>
    <row r="256" spans="1:33" s="23" customFormat="1" ht="12.75">
      <c r="A256" s="22"/>
      <c r="C256" s="124" t="s">
        <v>157</v>
      </c>
      <c r="F256" s="37">
        <f>-0.76*F282</f>
        <v>-29267.599999999999</v>
      </c>
      <c r="G256" s="37">
        <f>-0.76*G282</f>
        <v>-29040.36</v>
      </c>
      <c r="H256" s="37">
        <f>-0.76*H282</f>
        <v>-28745.48</v>
      </c>
      <c r="I256" s="37">
        <f>-0.76*I282</f>
        <v>-28956.760000000002</v>
      </c>
      <c r="J256" s="38">
        <f>SUM(F256:I256)</f>
        <v>-116010.20000000001</v>
      </c>
      <c r="K256" s="37">
        <f>-0.8*K282</f>
        <v>-30750.400000000001</v>
      </c>
      <c r="L256" s="37">
        <f>-0.8*L282</f>
        <v>-30801.600000000002</v>
      </c>
      <c r="M256" s="37">
        <f>-0.8*M282</f>
        <v>-30635.200000000001</v>
      </c>
      <c r="N256" s="37">
        <f>-135832-SUM(K256:M256)</f>
        <v>-43644.800000000003</v>
      </c>
      <c r="O256" s="38">
        <f>SUM(K256:N256)</f>
        <v>-135832</v>
      </c>
      <c r="P256" s="37">
        <v>-33337</v>
      </c>
      <c r="Q256" s="37">
        <f>-36329</f>
        <v>-36329</v>
      </c>
      <c r="R256" s="37">
        <v>-36480</v>
      </c>
      <c r="S256" s="37">
        <f>-144410-SUM(P256:R256)</f>
        <v>-38264</v>
      </c>
      <c r="T256" s="38">
        <f>SUM(P256:S256)</f>
        <v>-144410</v>
      </c>
      <c r="U256" s="37">
        <f>+-36713</f>
        <v>-36713</v>
      </c>
      <c r="V256" s="76">
        <f t="shared" ref="U256:X256" si="282">-V269</f>
        <v>-38508.740000000005</v>
      </c>
      <c r="W256" s="76">
        <f t="shared" si="282"/>
        <v>-38668.800000000003</v>
      </c>
      <c r="X256" s="76">
        <f t="shared" si="282"/>
        <v>-40559.840000000004</v>
      </c>
      <c r="Y256" s="38">
        <f>SUM(U256:X256)</f>
        <v>-154450.38</v>
      </c>
      <c r="Z256" s="76">
        <f t="shared" ref="Z256:AG256" si="283">-Z269</f>
        <v>-38915.78</v>
      </c>
      <c r="AA256" s="76">
        <f t="shared" si="283"/>
        <v>-40819.264400000007</v>
      </c>
      <c r="AB256" s="76">
        <f t="shared" si="283"/>
        <v>-40988.928000000007</v>
      </c>
      <c r="AC256" s="76">
        <f t="shared" si="283"/>
        <v>-42993.430400000005</v>
      </c>
      <c r="AD256" s="38">
        <f>SUM(Z256:AC256)</f>
        <v>-163717.40280000004</v>
      </c>
      <c r="AE256" s="38">
        <f t="shared" si="283"/>
        <v>-171903.27294000005</v>
      </c>
      <c r="AF256" s="38">
        <f t="shared" si="283"/>
        <v>-180498.43658700006</v>
      </c>
      <c r="AG256" s="38">
        <f t="shared" si="283"/>
        <v>-189523.35841635006</v>
      </c>
    </row>
    <row r="257" spans="1:34" s="23" customFormat="1" ht="12.75">
      <c r="A257" s="22"/>
      <c r="C257" s="124" t="s">
        <v>158</v>
      </c>
      <c r="F257" s="53">
        <f>F258-SUM(F254:F256)</f>
        <v>1756625.6</v>
      </c>
      <c r="G257" s="53">
        <f>G258-SUM(G254:G256)</f>
        <v>-9307.6399999998976</v>
      </c>
      <c r="H257" s="53">
        <f>H258-SUM(H254:H256)</f>
        <v>-10529.520000000019</v>
      </c>
      <c r="I257" s="908">
        <f>I258-SUM(I254:I256)</f>
        <v>-13345.239999999991</v>
      </c>
      <c r="J257" s="32">
        <f>SUM(F257:I257)</f>
        <v>1723443.2000000002</v>
      </c>
      <c r="K257" s="53">
        <f>K258-SUM(K254:K256)</f>
        <v>-10017.600000000093</v>
      </c>
      <c r="L257" s="53">
        <f>L258-SUM(L254:L256)</f>
        <v>-11813.399999999907</v>
      </c>
      <c r="M257" s="908">
        <f ca="1">M258-SUM(M254:M256)</f>
        <v>-13606.800000000047</v>
      </c>
      <c r="N257" s="53">
        <f>N258-SUM(N254:N256)</f>
        <v>-5204.2000000001863</v>
      </c>
      <c r="O257" s="32">
        <f ca="1">SUM(K257:N257)</f>
        <v>-40642.000000000233</v>
      </c>
      <c r="P257" s="53">
        <f>P258-SUM(P254:P256)</f>
        <v>-9248</v>
      </c>
      <c r="Q257" s="53">
        <f>Q258-SUM(Q254:Q256)</f>
        <v>-9738</v>
      </c>
      <c r="R257" s="908">
        <f>R258-SUM(R254:R256)</f>
        <v>-12911</v>
      </c>
      <c r="S257" s="53">
        <f>S258-SUM(S254:S256)</f>
        <v>-16504</v>
      </c>
      <c r="T257" s="32">
        <f>SUM(P257:S257)</f>
        <v>-48401</v>
      </c>
      <c r="U257" s="53">
        <f>U258-SUM(U254:U256)</f>
        <v>-21486</v>
      </c>
      <c r="V257" s="33">
        <v>0</v>
      </c>
      <c r="W257" s="33">
        <v>0</v>
      </c>
      <c r="X257" s="33">
        <v>0</v>
      </c>
      <c r="Y257" s="32">
        <f>SUM(U257:X257)</f>
        <v>-21486</v>
      </c>
      <c r="Z257" s="33">
        <v>0</v>
      </c>
      <c r="AA257" s="33">
        <v>0</v>
      </c>
      <c r="AB257" s="33">
        <v>0</v>
      </c>
      <c r="AC257" s="33">
        <v>0</v>
      </c>
      <c r="AD257" s="35">
        <f>SUM(Z257:AC257)</f>
        <v>0</v>
      </c>
      <c r="AE257" s="48">
        <v>0</v>
      </c>
      <c r="AF257" s="48">
        <v>0</v>
      </c>
      <c r="AG257" s="48">
        <v>0</v>
      </c>
    </row>
    <row r="258" spans="1:34" s="23" customFormat="1" ht="12.75">
      <c r="A258" s="22"/>
      <c r="C258" s="28" t="s">
        <v>149</v>
      </c>
      <c r="F258" s="69">
        <f t="shared" ref="F258:S258" si="284">F150</f>
        <v>1819599</v>
      </c>
      <c r="G258" s="69">
        <f t="shared" si="284"/>
        <v>1823412</v>
      </c>
      <c r="H258" s="69">
        <f t="shared" si="284"/>
        <v>1842910</v>
      </c>
      <c r="I258" s="906">
        <f t="shared" si="284"/>
        <v>1892656</v>
      </c>
      <c r="J258" s="71">
        <f t="shared" si="284"/>
        <v>1892656</v>
      </c>
      <c r="K258" s="69">
        <f t="shared" si="284"/>
        <v>1945012</v>
      </c>
      <c r="L258" s="69">
        <f t="shared" si="284"/>
        <v>1984130</v>
      </c>
      <c r="M258" s="906">
        <f t="shared" si="284"/>
        <v>2027982</v>
      </c>
      <c r="N258" s="69">
        <f t="shared" si="284"/>
        <v>2133919</v>
      </c>
      <c r="O258" s="71">
        <f t="shared" si="284"/>
        <v>2133919</v>
      </c>
      <c r="P258" s="69">
        <f t="shared" si="284"/>
        <v>2245124</v>
      </c>
      <c r="Q258" s="69">
        <f t="shared" si="284"/>
        <v>2305996</v>
      </c>
      <c r="R258" s="906">
        <f t="shared" si="284"/>
        <v>2414099</v>
      </c>
      <c r="S258" s="69">
        <f t="shared" si="284"/>
        <v>2581815</v>
      </c>
      <c r="T258" s="71">
        <f t="shared" ref="T258:X258" si="285">SUM(T254:T257)</f>
        <v>2581815</v>
      </c>
      <c r="U258" s="69">
        <f t="shared" ref="U258" si="286">U150</f>
        <v>2846337</v>
      </c>
      <c r="V258" s="70">
        <f t="shared" ca="1" si="285"/>
        <v>3038630.7710068747</v>
      </c>
      <c r="W258" s="70">
        <f t="shared" ca="1" si="285"/>
        <v>3277345.2357785795</v>
      </c>
      <c r="X258" s="70">
        <f t="shared" ca="1" si="285"/>
        <v>3613710.5778642469</v>
      </c>
      <c r="Y258" s="71">
        <f t="shared" ref="Y258:AG258" ca="1" si="287">SUM(Y254:Y257)</f>
        <v>3613710.5778642464</v>
      </c>
      <c r="Z258" s="70">
        <f t="shared" ca="1" si="287"/>
        <v>3863254.5883880644</v>
      </c>
      <c r="AA258" s="70">
        <f t="shared" ca="1" si="287"/>
        <v>4097690.3698388725</v>
      </c>
      <c r="AB258" s="70">
        <f t="shared" ca="1" si="287"/>
        <v>4381391.9847697364</v>
      </c>
      <c r="AC258" s="70">
        <f t="shared" ca="1" si="287"/>
        <v>4790065.6133989664</v>
      </c>
      <c r="AD258" s="71">
        <f t="shared" ca="1" si="287"/>
        <v>4790065.6133989664</v>
      </c>
      <c r="AE258" s="71">
        <f t="shared" ca="1" si="287"/>
        <v>5976226.2555266209</v>
      </c>
      <c r="AF258" s="71">
        <f t="shared" ca="1" si="287"/>
        <v>7027196.1141312504</v>
      </c>
      <c r="AG258" s="71">
        <f t="shared" ca="1" si="287"/>
        <v>8362165.7664799104</v>
      </c>
    </row>
    <row r="259" spans="1:34" s="23" customFormat="1" ht="12.75">
      <c r="A259" s="22"/>
      <c r="F259" s="29"/>
      <c r="G259" s="29"/>
      <c r="H259" s="29"/>
      <c r="I259" s="903"/>
      <c r="K259" s="29"/>
      <c r="L259" s="29"/>
      <c r="M259" s="903"/>
      <c r="N259" s="29"/>
      <c r="P259" s="29"/>
      <c r="Q259" s="29"/>
      <c r="R259" s="903"/>
      <c r="S259" s="29"/>
      <c r="U259" s="29"/>
      <c r="V259" s="30"/>
      <c r="W259" s="30"/>
      <c r="X259" s="30"/>
      <c r="Z259" s="30"/>
      <c r="AA259" s="30"/>
      <c r="AB259" s="30"/>
      <c r="AC259" s="30"/>
    </row>
    <row r="260" spans="1:34" s="23" customFormat="1" ht="12.75">
      <c r="A260" s="22"/>
      <c r="C260" s="23" t="s">
        <v>151</v>
      </c>
      <c r="F260" s="29"/>
      <c r="G260" s="29"/>
      <c r="H260" s="29"/>
      <c r="I260" s="903"/>
      <c r="K260" s="29"/>
      <c r="L260" s="29"/>
      <c r="M260" s="29"/>
      <c r="N260" s="29"/>
      <c r="P260" s="29"/>
      <c r="Q260" s="29"/>
      <c r="R260" s="29"/>
      <c r="S260" s="29"/>
      <c r="U260" s="29"/>
      <c r="V260" s="30"/>
      <c r="W260" s="30"/>
      <c r="X260" s="30"/>
      <c r="Z260" s="30"/>
      <c r="AA260" s="30"/>
      <c r="AB260" s="30"/>
      <c r="AC260" s="30"/>
    </row>
    <row r="261" spans="1:34" s="23" customFormat="1" ht="12.75">
      <c r="A261" s="22"/>
      <c r="C261" s="28" t="s">
        <v>148</v>
      </c>
      <c r="F261" s="586">
        <f>E263</f>
        <v>0</v>
      </c>
      <c r="G261" s="69">
        <f>F263</f>
        <v>-25683</v>
      </c>
      <c r="H261" s="69">
        <f>G263</f>
        <v>-20392</v>
      </c>
      <c r="I261" s="906">
        <f>H263</f>
        <v>-27925</v>
      </c>
      <c r="J261" s="71">
        <f>F261</f>
        <v>0</v>
      </c>
      <c r="K261" s="586">
        <f>J263</f>
        <v>-26538</v>
      </c>
      <c r="L261" s="69">
        <f>K263</f>
        <v>-29762</v>
      </c>
      <c r="M261" s="69">
        <f>L263</f>
        <v>-30501</v>
      </c>
      <c r="N261" s="69">
        <f>M263</f>
        <v>-19810</v>
      </c>
      <c r="O261" s="71">
        <f>K261</f>
        <v>-26538</v>
      </c>
      <c r="P261" s="69">
        <f>O263</f>
        <v>-36057</v>
      </c>
      <c r="Q261" s="69">
        <f>P263</f>
        <v>-28210</v>
      </c>
      <c r="R261" s="69">
        <f>Q263</f>
        <v>-10917</v>
      </c>
      <c r="S261" s="69">
        <f>R263</f>
        <v>-15183</v>
      </c>
      <c r="T261" s="71">
        <f>O263</f>
        <v>-36057</v>
      </c>
      <c r="U261" s="69">
        <f>T263</f>
        <v>-13128</v>
      </c>
      <c r="V261" s="70">
        <f>U263</f>
        <v>-23199</v>
      </c>
      <c r="W261" s="70">
        <f>V263</f>
        <v>-23199</v>
      </c>
      <c r="X261" s="70">
        <f>W263</f>
        <v>-23199</v>
      </c>
      <c r="Y261" s="71">
        <f>T263</f>
        <v>-13128</v>
      </c>
      <c r="Z261" s="70">
        <f>Y263</f>
        <v>-23199</v>
      </c>
      <c r="AA261" s="70">
        <f>Z263</f>
        <v>-23199</v>
      </c>
      <c r="AB261" s="70">
        <f>AA263</f>
        <v>-23199</v>
      </c>
      <c r="AC261" s="70">
        <f>AB263</f>
        <v>-23199</v>
      </c>
      <c r="AD261" s="71">
        <f>Y263</f>
        <v>-23199</v>
      </c>
      <c r="AE261" s="71">
        <f>AD263</f>
        <v>-23199</v>
      </c>
      <c r="AF261" s="71">
        <f>AE263</f>
        <v>-23199</v>
      </c>
      <c r="AG261" s="71">
        <f>AF263</f>
        <v>-23199</v>
      </c>
    </row>
    <row r="262" spans="1:34" s="23" customFormat="1" ht="12.75">
      <c r="A262" s="22"/>
      <c r="C262" s="124" t="s">
        <v>211</v>
      </c>
      <c r="F262" s="129">
        <f>F263-F261</f>
        <v>-25683</v>
      </c>
      <c r="G262" s="129">
        <f>G263-G261</f>
        <v>5291</v>
      </c>
      <c r="H262" s="129">
        <f>H263-H261</f>
        <v>-7533</v>
      </c>
      <c r="I262" s="909">
        <f>I263-I261</f>
        <v>1387</v>
      </c>
      <c r="J262" s="32">
        <f>SUM(F262:I262)</f>
        <v>-26538</v>
      </c>
      <c r="K262" s="129">
        <f>K263-K261</f>
        <v>-3224</v>
      </c>
      <c r="L262" s="129">
        <f>L263-L261</f>
        <v>-739</v>
      </c>
      <c r="M262" s="129">
        <f>M263-M261</f>
        <v>10691</v>
      </c>
      <c r="N262" s="129">
        <f>N263-N261</f>
        <v>-16247</v>
      </c>
      <c r="O262" s="32">
        <f>SUM(K262:N262)</f>
        <v>-9519</v>
      </c>
      <c r="P262" s="129">
        <f>P263-P261</f>
        <v>7847</v>
      </c>
      <c r="Q262" s="129">
        <f>Q263-Q261</f>
        <v>17293</v>
      </c>
      <c r="R262" s="129">
        <f>R263-R261</f>
        <v>-4266</v>
      </c>
      <c r="S262" s="129">
        <f>S263-S261</f>
        <v>2055</v>
      </c>
      <c r="T262" s="32">
        <f>SUM(P262:S262)</f>
        <v>22929</v>
      </c>
      <c r="U262" s="129">
        <f>U263-U261</f>
        <v>-10071</v>
      </c>
      <c r="V262" s="72">
        <f>Drivers!V113</f>
        <v>0</v>
      </c>
      <c r="W262" s="72">
        <f>Drivers!W113</f>
        <v>0</v>
      </c>
      <c r="X262" s="72">
        <f>Drivers!X113</f>
        <v>0</v>
      </c>
      <c r="Y262" s="32">
        <f>SUM(U262:X262)</f>
        <v>-10071</v>
      </c>
      <c r="Z262" s="72">
        <f>Drivers!Z113</f>
        <v>0</v>
      </c>
      <c r="AA262" s="72">
        <f>Drivers!AA113</f>
        <v>0</v>
      </c>
      <c r="AB262" s="72">
        <f>Drivers!AB113</f>
        <v>0</v>
      </c>
      <c r="AC262" s="72">
        <f>Drivers!AC113</f>
        <v>0</v>
      </c>
      <c r="AD262" s="32">
        <f>SUM(Z262:AC262)</f>
        <v>0</v>
      </c>
      <c r="AE262" s="73">
        <f>Drivers!AE113</f>
        <v>0</v>
      </c>
      <c r="AF262" s="73">
        <f>Drivers!AF113</f>
        <v>0</v>
      </c>
      <c r="AG262" s="73">
        <f>Drivers!AG113</f>
        <v>0</v>
      </c>
    </row>
    <row r="263" spans="1:34" s="23" customFormat="1" ht="12.75">
      <c r="A263" s="22"/>
      <c r="C263" s="28" t="s">
        <v>149</v>
      </c>
      <c r="F263" s="69">
        <f>F152</f>
        <v>-25683</v>
      </c>
      <c r="G263" s="69">
        <f>G152</f>
        <v>-20392</v>
      </c>
      <c r="H263" s="69">
        <f>H152</f>
        <v>-27925</v>
      </c>
      <c r="I263" s="69">
        <f>I152</f>
        <v>-26538</v>
      </c>
      <c r="J263" s="71">
        <f>SUM(J261:J262)</f>
        <v>-26538</v>
      </c>
      <c r="K263" s="69">
        <f>K152</f>
        <v>-29762</v>
      </c>
      <c r="L263" s="69">
        <f>L152</f>
        <v>-30501</v>
      </c>
      <c r="M263" s="69">
        <f>M152</f>
        <v>-19810</v>
      </c>
      <c r="N263" s="69">
        <f>N152</f>
        <v>-36057</v>
      </c>
      <c r="O263" s="71">
        <f>SUM(O261:O262)</f>
        <v>-36057</v>
      </c>
      <c r="P263" s="69">
        <f>P152</f>
        <v>-28210</v>
      </c>
      <c r="Q263" s="69">
        <f>Q152</f>
        <v>-10917</v>
      </c>
      <c r="R263" s="69">
        <f>R152</f>
        <v>-15183</v>
      </c>
      <c r="S263" s="69">
        <f>S152</f>
        <v>-13128</v>
      </c>
      <c r="T263" s="71">
        <f t="shared" ref="T263:X263" si="288">SUM(T261:T262)</f>
        <v>-13128</v>
      </c>
      <c r="U263" s="69">
        <f>U152</f>
        <v>-23199</v>
      </c>
      <c r="V263" s="70">
        <f t="shared" si="288"/>
        <v>-23199</v>
      </c>
      <c r="W263" s="70">
        <f t="shared" si="288"/>
        <v>-23199</v>
      </c>
      <c r="X263" s="70">
        <f t="shared" si="288"/>
        <v>-23199</v>
      </c>
      <c r="Y263" s="71">
        <f t="shared" ref="Y263:AG263" si="289">SUM(Y261:Y262)</f>
        <v>-23199</v>
      </c>
      <c r="Z263" s="70">
        <f t="shared" si="289"/>
        <v>-23199</v>
      </c>
      <c r="AA263" s="70">
        <f t="shared" si="289"/>
        <v>-23199</v>
      </c>
      <c r="AB263" s="70">
        <f t="shared" si="289"/>
        <v>-23199</v>
      </c>
      <c r="AC263" s="70">
        <f t="shared" si="289"/>
        <v>-23199</v>
      </c>
      <c r="AD263" s="71">
        <f t="shared" si="289"/>
        <v>-23199</v>
      </c>
      <c r="AE263" s="71">
        <f t="shared" si="289"/>
        <v>-23199</v>
      </c>
      <c r="AF263" s="71">
        <f t="shared" si="289"/>
        <v>-23199</v>
      </c>
      <c r="AG263" s="71">
        <f t="shared" si="289"/>
        <v>-23199</v>
      </c>
    </row>
    <row r="264" spans="1:34" s="23" customFormat="1" ht="12.75">
      <c r="A264" s="22"/>
      <c r="F264" s="29"/>
      <c r="G264" s="29"/>
      <c r="H264" s="29"/>
      <c r="I264" s="29"/>
      <c r="K264" s="29"/>
      <c r="L264" s="29"/>
      <c r="M264" s="29"/>
      <c r="N264" s="29"/>
      <c r="P264" s="29"/>
      <c r="Q264" s="29"/>
      <c r="R264" s="29"/>
      <c r="S264" s="29"/>
      <c r="U264" s="29"/>
      <c r="V264" s="30"/>
      <c r="W264" s="30"/>
      <c r="X264" s="30"/>
      <c r="Z264" s="30"/>
      <c r="AA264" s="30"/>
      <c r="AB264" s="30"/>
      <c r="AC264" s="30"/>
    </row>
    <row r="265" spans="1:34" s="23" customFormat="1" ht="12.75">
      <c r="A265" s="22"/>
      <c r="C265" s="23" t="s">
        <v>152</v>
      </c>
      <c r="F265" s="29"/>
      <c r="G265" s="29"/>
      <c r="H265" s="29"/>
      <c r="I265" s="29"/>
      <c r="K265" s="29"/>
      <c r="L265" s="29"/>
      <c r="M265" s="29"/>
      <c r="N265" s="29"/>
      <c r="P265" s="29"/>
      <c r="Q265" s="29"/>
      <c r="R265" s="29"/>
      <c r="S265" s="29"/>
      <c r="U265" s="29"/>
      <c r="V265" s="30"/>
      <c r="W265" s="30"/>
      <c r="X265" s="30"/>
      <c r="Z265" s="30"/>
      <c r="AA265" s="30"/>
      <c r="AB265" s="30"/>
      <c r="AC265" s="30"/>
    </row>
    <row r="266" spans="1:34" s="23" customFormat="1" ht="12.75">
      <c r="A266" s="22"/>
      <c r="C266" s="28" t="s">
        <v>153</v>
      </c>
      <c r="F266" s="50">
        <f t="shared" ref="F266:X266" si="290">F269/F268</f>
        <v>0.76</v>
      </c>
      <c r="G266" s="50">
        <f t="shared" si="290"/>
        <v>0.76</v>
      </c>
      <c r="H266" s="50">
        <f t="shared" si="290"/>
        <v>0.76</v>
      </c>
      <c r="I266" s="50">
        <f t="shared" si="290"/>
        <v>0.76</v>
      </c>
      <c r="J266" s="51">
        <f t="shared" si="290"/>
        <v>3.0448072229075356</v>
      </c>
      <c r="K266" s="50">
        <f t="shared" si="290"/>
        <v>0.8</v>
      </c>
      <c r="L266" s="50">
        <f t="shared" si="290"/>
        <v>0.8</v>
      </c>
      <c r="M266" s="50">
        <f t="shared" si="290"/>
        <v>0.8</v>
      </c>
      <c r="N266" s="50">
        <f t="shared" si="290"/>
        <v>1.1376202267691908</v>
      </c>
      <c r="O266" s="51">
        <f t="shared" si="290"/>
        <v>3.540518701941874</v>
      </c>
      <c r="P266" s="50">
        <f t="shared" si="290"/>
        <v>0.86102071387984913</v>
      </c>
      <c r="Q266" s="50">
        <f t="shared" si="290"/>
        <v>0.93837014077231051</v>
      </c>
      <c r="R266" s="50">
        <f t="shared" si="290"/>
        <v>0.94212442860463319</v>
      </c>
      <c r="S266" s="50">
        <f t="shared" si="290"/>
        <v>0.98842736102500517</v>
      </c>
      <c r="T266" s="130">
        <f t="shared" si="290"/>
        <v>3.7299342657523278</v>
      </c>
      <c r="U266" s="50">
        <f t="shared" ref="U266" si="291">U269/U268</f>
        <v>0.94210782930021297</v>
      </c>
      <c r="V266" s="1065">
        <f t="shared" si="290"/>
        <v>0.99367712341767378</v>
      </c>
      <c r="W266" s="1065">
        <f t="shared" si="290"/>
        <v>1.0090147181944404</v>
      </c>
      <c r="X266" s="1065">
        <f t="shared" si="290"/>
        <v>1.0703816532271953</v>
      </c>
      <c r="Y266" s="130">
        <f t="shared" ref="Y266:AC266" si="292">Y269/Y268</f>
        <v>4.0132884331026037</v>
      </c>
      <c r="Z266" s="1065">
        <f t="shared" si="292"/>
        <v>1.0387949402128429</v>
      </c>
      <c r="AA266" s="1065">
        <f t="shared" si="292"/>
        <v>1.1022707009628301</v>
      </c>
      <c r="AB266" s="1065">
        <f t="shared" si="292"/>
        <v>1.1198692904016057</v>
      </c>
      <c r="AC266" s="1065">
        <f t="shared" si="292"/>
        <v>1.1886134202122294</v>
      </c>
      <c r="AD266" s="1066">
        <f>AD269/AD268</f>
        <v>4.4468180310492604</v>
      </c>
      <c r="AE266" s="1066">
        <f>AE269/AE268</f>
        <v>4.8706607178923091</v>
      </c>
      <c r="AF266" s="1066">
        <f>AF269/AF268</f>
        <v>5.3135964226683834</v>
      </c>
      <c r="AG266" s="1066">
        <f>AG269/AG268</f>
        <v>5.8056383727756709</v>
      </c>
    </row>
    <row r="267" spans="1:34" s="23" customFormat="1" ht="12.75">
      <c r="A267" s="22"/>
      <c r="C267" s="28" t="s">
        <v>208</v>
      </c>
      <c r="F267" s="77">
        <f>4*F266/F241</f>
        <v>2.2995461422087748E-2</v>
      </c>
      <c r="G267" s="77">
        <f>4*G266/G241</f>
        <v>2.7338129496402876E-2</v>
      </c>
      <c r="H267" s="77">
        <f>4*H266/H241</f>
        <v>2.2084998183799491E-2</v>
      </c>
      <c r="I267" s="77">
        <f>4*I266/I241</f>
        <v>2.1233498637982819E-2</v>
      </c>
      <c r="J267" s="78">
        <f>J266/J241</f>
        <v>2.3595667301838378E-2</v>
      </c>
      <c r="K267" s="77">
        <f>4*K266/K241</f>
        <v>1.8075011296882063E-2</v>
      </c>
      <c r="L267" s="77">
        <f>4*L266/L241</f>
        <v>1.7146225151369019E-2</v>
      </c>
      <c r="M267" s="77">
        <f>4*M266/M241</f>
        <v>1.3561620613663334E-2</v>
      </c>
      <c r="N267" s="77">
        <f>4*N266/N241</f>
        <v>2.2323787809442521E-2</v>
      </c>
      <c r="O267" s="78">
        <f>O266/O241</f>
        <v>1.8159332892369554E-2</v>
      </c>
      <c r="P267" s="77">
        <f>4*P266/P241</f>
        <v>1.5142153684411505E-2</v>
      </c>
      <c r="Q267" s="77">
        <f>4*Q266/Q241</f>
        <v>1.6346487950044605E-2</v>
      </c>
      <c r="R267" s="77">
        <f>4*R266/R241</f>
        <v>1.142661526506529E-2</v>
      </c>
      <c r="S267" s="77">
        <f>4*S266/S241</f>
        <v>1.4355200944375937E-2</v>
      </c>
      <c r="T267" s="78">
        <f>T266/T241</f>
        <v>1.3855131143507988E-2</v>
      </c>
      <c r="U267" s="77">
        <f>4*U266/U241</f>
        <v>1.2477836221319996E-2</v>
      </c>
      <c r="V267" s="79">
        <f>V266*4/V241</f>
        <v>1.3160850613127694E-2</v>
      </c>
      <c r="W267" s="79">
        <f>W266*4/W241</f>
        <v>1.3363990837315856E-2</v>
      </c>
      <c r="X267" s="79">
        <f>X266*4/X241</f>
        <v>1.417677101059164E-2</v>
      </c>
      <c r="Y267" s="78">
        <f>Y266/Y241</f>
        <v>1.328859452701104E-2</v>
      </c>
      <c r="Z267" s="79">
        <f>Z266*4/Z241</f>
        <v>1.3758417803554093E-2</v>
      </c>
      <c r="AA267" s="79">
        <f>AA266*4/AA241</f>
        <v>1.4599128518430914E-2</v>
      </c>
      <c r="AB267" s="79">
        <f>AB266*4/AB241</f>
        <v>1.4832214700196758E-2</v>
      </c>
      <c r="AC267" s="79">
        <f>AC266*4/AC241</f>
        <v>1.5742702827220682E-2</v>
      </c>
      <c r="AD267" s="78">
        <f>AD266/AD241</f>
        <v>1.4724075464551706E-2</v>
      </c>
      <c r="AE267" s="78">
        <f>AE266/AE241</f>
        <v>1.6127481599590442E-2</v>
      </c>
      <c r="AF267" s="78">
        <f>AF266/AF241</f>
        <v>1.7594107554943159E-2</v>
      </c>
      <c r="AG267" s="78">
        <f>AG266/AG241</f>
        <v>1.9223331587615213E-2</v>
      </c>
    </row>
    <row r="268" spans="1:34" s="23" customFormat="1" ht="12.75">
      <c r="A268" s="22"/>
      <c r="C268" s="28" t="s">
        <v>209</v>
      </c>
      <c r="F268" s="75">
        <f t="shared" ref="F268:X268" si="293">F284</f>
        <v>38510</v>
      </c>
      <c r="G268" s="75">
        <f t="shared" si="293"/>
        <v>38211</v>
      </c>
      <c r="H268" s="75">
        <f t="shared" si="293"/>
        <v>37823</v>
      </c>
      <c r="I268" s="75">
        <f t="shared" si="293"/>
        <v>38101</v>
      </c>
      <c r="J268" s="38">
        <f t="shared" si="293"/>
        <v>38101</v>
      </c>
      <c r="K268" s="75">
        <f t="shared" si="293"/>
        <v>38438</v>
      </c>
      <c r="L268" s="75">
        <f t="shared" si="293"/>
        <v>38502</v>
      </c>
      <c r="M268" s="75">
        <f t="shared" si="293"/>
        <v>38294</v>
      </c>
      <c r="N268" s="75">
        <f t="shared" si="293"/>
        <v>38365</v>
      </c>
      <c r="O268" s="38">
        <f t="shared" si="293"/>
        <v>38365</v>
      </c>
      <c r="P268" s="75">
        <f t="shared" si="293"/>
        <v>38718</v>
      </c>
      <c r="Q268" s="75">
        <f t="shared" si="293"/>
        <v>38715</v>
      </c>
      <c r="R268" s="75">
        <f t="shared" si="293"/>
        <v>38721</v>
      </c>
      <c r="S268" s="75">
        <f t="shared" si="293"/>
        <v>38712</v>
      </c>
      <c r="T268" s="38">
        <f t="shared" si="293"/>
        <v>38716.5</v>
      </c>
      <c r="U268" s="75">
        <f t="shared" ref="U268" si="294">U284</f>
        <v>38969</v>
      </c>
      <c r="V268" s="76">
        <f t="shared" si="293"/>
        <v>38753.775338564948</v>
      </c>
      <c r="W268" s="76">
        <f t="shared" si="293"/>
        <v>38323.326015694845</v>
      </c>
      <c r="X268" s="76">
        <f t="shared" si="293"/>
        <v>37892.876692824742</v>
      </c>
      <c r="Y268" s="38">
        <f t="shared" ref="Y268:AG268" si="295">Y284</f>
        <v>38484.744511771132</v>
      </c>
      <c r="Z268" s="76">
        <f t="shared" si="295"/>
        <v>37462.427369954639</v>
      </c>
      <c r="AA268" s="76">
        <f t="shared" si="295"/>
        <v>37031.978047084536</v>
      </c>
      <c r="AB268" s="76">
        <f t="shared" si="295"/>
        <v>36601.528724214433</v>
      </c>
      <c r="AC268" s="76">
        <f t="shared" si="295"/>
        <v>36171.07940134433</v>
      </c>
      <c r="AD268" s="38">
        <f t="shared" si="295"/>
        <v>36816.753385649485</v>
      </c>
      <c r="AE268" s="38">
        <f t="shared" si="295"/>
        <v>35293.625012416815</v>
      </c>
      <c r="AF268" s="38">
        <f t="shared" si="295"/>
        <v>33969.165557431872</v>
      </c>
      <c r="AG268" s="38">
        <f t="shared" si="295"/>
        <v>32644.70610244694</v>
      </c>
    </row>
    <row r="269" spans="1:34" s="23" customFormat="1" ht="12.75">
      <c r="A269" s="22"/>
      <c r="C269" s="28" t="s">
        <v>154</v>
      </c>
      <c r="F269" s="69">
        <f>-F256</f>
        <v>29267.599999999999</v>
      </c>
      <c r="G269" s="69">
        <f>-G256</f>
        <v>29040.36</v>
      </c>
      <c r="H269" s="69">
        <f>-H256</f>
        <v>28745.48</v>
      </c>
      <c r="I269" s="69">
        <f>-I256</f>
        <v>28956.760000000002</v>
      </c>
      <c r="J269" s="71">
        <f>SUM(F269:I269)</f>
        <v>116010.20000000001</v>
      </c>
      <c r="K269" s="69">
        <f>-K256</f>
        <v>30750.400000000001</v>
      </c>
      <c r="L269" s="69">
        <f>-L256</f>
        <v>30801.600000000002</v>
      </c>
      <c r="M269" s="69">
        <f>-M256</f>
        <v>30635.200000000001</v>
      </c>
      <c r="N269" s="69">
        <f>-N256</f>
        <v>43644.800000000003</v>
      </c>
      <c r="O269" s="71">
        <f>SUM(K269:N269)</f>
        <v>135832</v>
      </c>
      <c r="P269" s="69">
        <f>-P256</f>
        <v>33337</v>
      </c>
      <c r="Q269" s="69">
        <f>-Q256</f>
        <v>36329</v>
      </c>
      <c r="R269" s="69">
        <f>-R256</f>
        <v>36480</v>
      </c>
      <c r="S269" s="69">
        <f>-S256</f>
        <v>38264</v>
      </c>
      <c r="T269" s="71">
        <f>SUM(P269:S269)</f>
        <v>144410</v>
      </c>
      <c r="U269" s="69">
        <f>-U256</f>
        <v>36713</v>
      </c>
      <c r="V269" s="70">
        <f>Q269*(1+V275)</f>
        <v>38508.740000000005</v>
      </c>
      <c r="W269" s="70">
        <f>R269*(1+W275)</f>
        <v>38668.800000000003</v>
      </c>
      <c r="X269" s="70">
        <f>S269*(1+X275)</f>
        <v>40559.840000000004</v>
      </c>
      <c r="Y269" s="71">
        <f>SUM(U269:X269)</f>
        <v>154450.38</v>
      </c>
      <c r="Z269" s="70">
        <f>U269*(1+Z275)</f>
        <v>38915.78</v>
      </c>
      <c r="AA269" s="70">
        <f>V269*(1+AA275)</f>
        <v>40819.264400000007</v>
      </c>
      <c r="AB269" s="70">
        <f>W269*(1+AB275)</f>
        <v>40988.928000000007</v>
      </c>
      <c r="AC269" s="70">
        <f>X269*(1+AC275)</f>
        <v>42993.430400000005</v>
      </c>
      <c r="AD269" s="71">
        <f>SUM(Z269:AC269)</f>
        <v>163717.40280000004</v>
      </c>
      <c r="AE269" s="71">
        <f>AD269*(1+AE275)</f>
        <v>171903.27294000005</v>
      </c>
      <c r="AF269" s="71">
        <f>AE269*(1+AF275)</f>
        <v>180498.43658700006</v>
      </c>
      <c r="AG269" s="71">
        <f>AF269*(1+AG275)</f>
        <v>189523.35841635006</v>
      </c>
    </row>
    <row r="270" spans="1:34" s="23" customFormat="1" ht="12.75">
      <c r="A270" s="22"/>
      <c r="C270" s="28"/>
      <c r="F270" s="69"/>
      <c r="G270" s="69"/>
      <c r="H270" s="69"/>
      <c r="I270" s="69"/>
      <c r="J270" s="71"/>
      <c r="K270" s="69"/>
      <c r="L270" s="69"/>
      <c r="M270" s="69"/>
      <c r="N270" s="69"/>
      <c r="O270" s="71"/>
      <c r="P270" s="69"/>
      <c r="Q270" s="69"/>
      <c r="R270" s="69"/>
      <c r="S270" s="69"/>
      <c r="T270" s="38"/>
      <c r="U270" s="69"/>
      <c r="V270" s="76"/>
      <c r="W270" s="76"/>
      <c r="X270" s="76"/>
      <c r="Y270" s="38"/>
      <c r="Z270" s="76"/>
      <c r="AA270" s="76"/>
      <c r="AB270" s="76"/>
      <c r="AC270" s="76"/>
      <c r="AD270" s="38"/>
    </row>
    <row r="271" spans="1:34" s="23" customFormat="1" ht="12.75">
      <c r="A271" s="22" t="s">
        <v>1</v>
      </c>
      <c r="C271" s="568" t="s">
        <v>25</v>
      </c>
      <c r="D271" s="409"/>
      <c r="E271" s="409"/>
      <c r="F271" s="409"/>
      <c r="G271" s="409"/>
      <c r="H271" s="409"/>
      <c r="I271" s="409"/>
      <c r="J271" s="409"/>
      <c r="K271" s="409"/>
      <c r="L271" s="409"/>
      <c r="M271" s="409"/>
      <c r="N271" s="409"/>
      <c r="O271" s="409"/>
      <c r="P271" s="409"/>
      <c r="Q271" s="409"/>
      <c r="R271" s="409"/>
      <c r="S271" s="409"/>
      <c r="T271" s="409"/>
      <c r="U271" s="409"/>
      <c r="V271" s="409"/>
      <c r="W271" s="409"/>
      <c r="X271" s="409"/>
      <c r="Y271" s="409"/>
      <c r="Z271" s="409"/>
      <c r="AA271" s="409"/>
      <c r="AB271" s="409"/>
      <c r="AC271" s="409"/>
      <c r="AD271" s="409"/>
      <c r="AE271" s="409"/>
      <c r="AF271" s="409"/>
      <c r="AG271" s="584"/>
      <c r="AH271" s="22" t="s">
        <v>1</v>
      </c>
    </row>
    <row r="272" spans="1:34" s="23" customFormat="1" ht="12.75">
      <c r="A272" s="22"/>
      <c r="C272" s="28"/>
      <c r="F272" s="69"/>
      <c r="G272" s="69"/>
      <c r="H272" s="69"/>
      <c r="I272" s="69"/>
      <c r="J272" s="71"/>
      <c r="K272" s="69"/>
      <c r="L272" s="69"/>
      <c r="M272" s="69"/>
      <c r="N272" s="69"/>
      <c r="O272" s="71"/>
      <c r="P272" s="69"/>
      <c r="Q272" s="69"/>
      <c r="R272" s="69"/>
      <c r="S272" s="69"/>
      <c r="T272" s="38"/>
      <c r="U272" s="69"/>
      <c r="V272" s="76"/>
      <c r="W272" s="76"/>
      <c r="X272" s="76"/>
      <c r="Y272" s="38"/>
      <c r="Z272" s="76"/>
      <c r="AA272" s="76"/>
      <c r="AB272" s="76"/>
      <c r="AC272" s="76"/>
      <c r="AD272" s="38"/>
    </row>
    <row r="273" spans="1:34" s="23" customFormat="1" ht="12.75">
      <c r="A273" s="22"/>
      <c r="C273" s="28" t="s">
        <v>601</v>
      </c>
      <c r="F273" s="97">
        <v>0</v>
      </c>
      <c r="G273" s="97">
        <v>0</v>
      </c>
      <c r="H273" s="97">
        <v>0</v>
      </c>
      <c r="I273" s="97">
        <v>0</v>
      </c>
      <c r="J273" s="98">
        <f>SUM(F273:I273)</f>
        <v>0</v>
      </c>
      <c r="K273" s="97">
        <v>0</v>
      </c>
      <c r="L273" s="97">
        <v>0</v>
      </c>
      <c r="M273" s="97">
        <v>0</v>
      </c>
      <c r="N273" s="97">
        <v>0</v>
      </c>
      <c r="O273" s="98">
        <f>SUM(K273:N273)</f>
        <v>0</v>
      </c>
      <c r="P273" s="97">
        <v>0</v>
      </c>
      <c r="Q273" s="97">
        <v>0</v>
      </c>
      <c r="R273" s="97">
        <v>0</v>
      </c>
      <c r="S273" s="97">
        <v>0</v>
      </c>
      <c r="T273" s="98">
        <f>SUM(P273:S273)</f>
        <v>0</v>
      </c>
      <c r="U273" s="97">
        <v>0</v>
      </c>
      <c r="V273" s="99">
        <v>0</v>
      </c>
      <c r="W273" s="99">
        <v>0</v>
      </c>
      <c r="X273" s="99">
        <v>0</v>
      </c>
      <c r="Y273" s="98">
        <f>SUM(U273:X273)</f>
        <v>0</v>
      </c>
      <c r="Z273" s="99">
        <v>0</v>
      </c>
      <c r="AA273" s="99">
        <v>0</v>
      </c>
      <c r="AB273" s="99">
        <v>0</v>
      </c>
      <c r="AC273" s="99">
        <v>0</v>
      </c>
      <c r="AD273" s="98">
        <f>SUM(Z273:AC273)</f>
        <v>0</v>
      </c>
      <c r="AE273" s="98">
        <v>0</v>
      </c>
      <c r="AF273" s="98">
        <v>0</v>
      </c>
      <c r="AG273" s="98">
        <v>0</v>
      </c>
    </row>
    <row r="274" spans="1:34" s="23" customFormat="1" ht="12.75">
      <c r="A274" s="22"/>
      <c r="C274" s="28" t="s">
        <v>251</v>
      </c>
      <c r="F274" s="75">
        <f t="shared" ref="F274:S274" si="296">F243</f>
        <v>284571</v>
      </c>
      <c r="G274" s="75">
        <f t="shared" si="296"/>
        <v>59668</v>
      </c>
      <c r="H274" s="75">
        <f t="shared" si="296"/>
        <v>40816</v>
      </c>
      <c r="I274" s="75">
        <f t="shared" si="296"/>
        <v>2232</v>
      </c>
      <c r="J274" s="38">
        <f t="shared" si="296"/>
        <v>387287</v>
      </c>
      <c r="K274" s="75">
        <f t="shared" si="296"/>
        <v>263291</v>
      </c>
      <c r="L274" s="75">
        <f t="shared" si="296"/>
        <v>54186</v>
      </c>
      <c r="M274" s="75">
        <f t="shared" si="296"/>
        <v>100399</v>
      </c>
      <c r="N274" s="75">
        <f t="shared" si="296"/>
        <v>267600</v>
      </c>
      <c r="O274" s="38">
        <f t="shared" si="296"/>
        <v>685476</v>
      </c>
      <c r="P274" s="75">
        <f t="shared" si="296"/>
        <v>145300</v>
      </c>
      <c r="Q274" s="75">
        <f t="shared" si="296"/>
        <v>185700</v>
      </c>
      <c r="R274" s="75">
        <f t="shared" si="296"/>
        <v>238400</v>
      </c>
      <c r="S274" s="75">
        <f t="shared" si="296"/>
        <v>660593</v>
      </c>
      <c r="T274" s="41">
        <f>SUM(P274:S274)</f>
        <v>1229993</v>
      </c>
      <c r="U274" s="75">
        <f t="shared" ref="U274" si="297">U243</f>
        <v>621349</v>
      </c>
      <c r="V274" s="43">
        <f>Drivers!V170</f>
        <v>130000</v>
      </c>
      <c r="W274" s="43">
        <f>Drivers!W170</f>
        <v>130000</v>
      </c>
      <c r="X274" s="43">
        <f>Drivers!X170</f>
        <v>130000</v>
      </c>
      <c r="Y274" s="41">
        <f>SUM(U274:X274)</f>
        <v>1011349</v>
      </c>
      <c r="Z274" s="43">
        <f>Drivers!Z170</f>
        <v>130000</v>
      </c>
      <c r="AA274" s="43">
        <f>Drivers!AA170</f>
        <v>130000</v>
      </c>
      <c r="AB274" s="43">
        <f>Drivers!AB170</f>
        <v>130000</v>
      </c>
      <c r="AC274" s="43">
        <f>Drivers!AC170</f>
        <v>130000</v>
      </c>
      <c r="AD274" s="41">
        <f>SUM(Z274:AC274)</f>
        <v>520000</v>
      </c>
      <c r="AE274" s="44">
        <f>Drivers!AE170</f>
        <v>400000</v>
      </c>
      <c r="AF274" s="44">
        <f>Drivers!AF170</f>
        <v>400000</v>
      </c>
      <c r="AG274" s="44">
        <f>Drivers!AG170</f>
        <v>400000</v>
      </c>
    </row>
    <row r="275" spans="1:34" s="23" customFormat="1" ht="12.75">
      <c r="A275" s="22"/>
      <c r="C275" s="28" t="s">
        <v>246</v>
      </c>
      <c r="F275" s="77" t="e">
        <f t="shared" ref="F275" si="298">F269/A269-1</f>
        <v>#DIV/0!</v>
      </c>
      <c r="G275" s="77" t="e">
        <f t="shared" ref="G275" si="299">G269/B269-1</f>
        <v>#DIV/0!</v>
      </c>
      <c r="H275" s="77" t="e">
        <f t="shared" ref="H275" si="300">H269/C269-1</f>
        <v>#VALUE!</v>
      </c>
      <c r="I275" s="77" t="e">
        <f t="shared" ref="I275" si="301">I269/D269-1</f>
        <v>#DIV/0!</v>
      </c>
      <c r="J275" s="78" t="e">
        <f t="shared" ref="J275" si="302">J269/E269-1</f>
        <v>#DIV/0!</v>
      </c>
      <c r="K275" s="77">
        <f t="shared" ref="K275" si="303">K269/F269-1</f>
        <v>5.0663532370266218E-2</v>
      </c>
      <c r="L275" s="77">
        <f t="shared" ref="L275" si="304">L269/G269-1</f>
        <v>6.0648008495762573E-2</v>
      </c>
      <c r="M275" s="77">
        <f t="shared" ref="M275" si="305">M269/H269-1</f>
        <v>6.5739726732689796E-2</v>
      </c>
      <c r="N275" s="77">
        <f t="shared" ref="N275" si="306">N269/I269-1</f>
        <v>0.50724045093442771</v>
      </c>
      <c r="O275" s="78">
        <f>O269/J269-1</f>
        <v>0.1708625620850579</v>
      </c>
      <c r="P275" s="77">
        <f t="shared" ref="P275" si="307">P269/K269-1</f>
        <v>8.4115978979135253E-2</v>
      </c>
      <c r="Q275" s="77">
        <f t="shared" ref="Q275" si="308">Q269/L269-1</f>
        <v>0.17945171679393268</v>
      </c>
      <c r="R275" s="77">
        <f t="shared" ref="R275" si="309">R269/M269-1</f>
        <v>0.19078706847025639</v>
      </c>
      <c r="S275" s="77">
        <f t="shared" ref="S275" si="310">S269/N269-1</f>
        <v>-0.12328616467482956</v>
      </c>
      <c r="T275" s="78">
        <f>T269/O269-1</f>
        <v>6.3151540137817319E-2</v>
      </c>
      <c r="U275" s="77">
        <f t="shared" ref="U275" si="311">U269/P269-1</f>
        <v>0.1012688604253531</v>
      </c>
      <c r="V275" s="111">
        <f>Drivers!V106</f>
        <v>0.06</v>
      </c>
      <c r="W275" s="111">
        <f>Drivers!W106</f>
        <v>0.06</v>
      </c>
      <c r="X275" s="111">
        <f>Drivers!X106</f>
        <v>0.06</v>
      </c>
      <c r="Y275" s="78">
        <f>Y269/T269-1</f>
        <v>6.9526902569074123E-2</v>
      </c>
      <c r="Z275" s="111">
        <f>Drivers!Z106</f>
        <v>0.06</v>
      </c>
      <c r="AA275" s="111">
        <f>Drivers!AA106</f>
        <v>0.06</v>
      </c>
      <c r="AB275" s="111">
        <f>Drivers!AB106</f>
        <v>0.06</v>
      </c>
      <c r="AC275" s="111">
        <f>Drivers!AC106</f>
        <v>0.06</v>
      </c>
      <c r="AD275" s="78">
        <f>AD269/Y269-1</f>
        <v>6.0000000000000275E-2</v>
      </c>
      <c r="AE275" s="112">
        <f>Drivers!AE106</f>
        <v>0.05</v>
      </c>
      <c r="AF275" s="112">
        <f>Drivers!AF106</f>
        <v>0.05</v>
      </c>
      <c r="AG275" s="112">
        <f>Drivers!AG106</f>
        <v>0.05</v>
      </c>
    </row>
    <row r="276" spans="1:34" s="23" customFormat="1" ht="12.75">
      <c r="A276" s="22"/>
      <c r="F276" s="29"/>
      <c r="G276" s="29"/>
      <c r="H276" s="29"/>
      <c r="I276" s="29"/>
      <c r="K276" s="29"/>
      <c r="L276" s="29"/>
      <c r="M276" s="29"/>
      <c r="N276" s="29"/>
      <c r="P276" s="29"/>
      <c r="Q276" s="29"/>
      <c r="R276" s="29"/>
      <c r="S276" s="29"/>
      <c r="U276" s="29"/>
      <c r="V276" s="30"/>
      <c r="W276" s="30"/>
      <c r="X276" s="30"/>
      <c r="Z276" s="30"/>
      <c r="AA276" s="30"/>
      <c r="AB276" s="30"/>
      <c r="AC276" s="30"/>
    </row>
    <row r="277" spans="1:34" s="23" customFormat="1" ht="12.75">
      <c r="A277" s="22" t="s">
        <v>1</v>
      </c>
      <c r="B277" s="163"/>
      <c r="C277" s="577" t="s">
        <v>159</v>
      </c>
      <c r="D277" s="147"/>
      <c r="E277" s="147"/>
      <c r="F277" s="579" t="str">
        <f t="shared" ref="F277:AG277" si="312">F$64</f>
        <v>1Q23</v>
      </c>
      <c r="G277" s="579" t="str">
        <f t="shared" si="312"/>
        <v>2Q23</v>
      </c>
      <c r="H277" s="579" t="str">
        <f t="shared" si="312"/>
        <v>3Q23</v>
      </c>
      <c r="I277" s="579" t="str">
        <f t="shared" si="312"/>
        <v>4Q23</v>
      </c>
      <c r="J277" s="579">
        <f t="shared" si="312"/>
        <v>2023</v>
      </c>
      <c r="K277" s="579" t="str">
        <f t="shared" si="312"/>
        <v>1Q24</v>
      </c>
      <c r="L277" s="579" t="str">
        <f t="shared" si="312"/>
        <v>2Q24</v>
      </c>
      <c r="M277" s="579" t="str">
        <f t="shared" si="312"/>
        <v>3Q24</v>
      </c>
      <c r="N277" s="579" t="str">
        <f t="shared" si="312"/>
        <v>4Q24</v>
      </c>
      <c r="O277" s="579">
        <f t="shared" si="312"/>
        <v>2024</v>
      </c>
      <c r="P277" s="579" t="str">
        <f t="shared" si="312"/>
        <v>1Q25</v>
      </c>
      <c r="Q277" s="579" t="str">
        <f t="shared" si="312"/>
        <v>2Q25</v>
      </c>
      <c r="R277" s="579" t="str">
        <f t="shared" si="312"/>
        <v>3Q25</v>
      </c>
      <c r="S277" s="579" t="str">
        <f t="shared" si="312"/>
        <v>4Q25</v>
      </c>
      <c r="T277" s="579">
        <f t="shared" si="312"/>
        <v>2025</v>
      </c>
      <c r="U277" s="579" t="str">
        <f t="shared" si="312"/>
        <v>1Q26</v>
      </c>
      <c r="V277" s="579" t="str">
        <f t="shared" si="312"/>
        <v>2Q26e</v>
      </c>
      <c r="W277" s="579" t="str">
        <f t="shared" si="312"/>
        <v>3Q26e</v>
      </c>
      <c r="X277" s="579" t="str">
        <f t="shared" si="312"/>
        <v>4Q26e</v>
      </c>
      <c r="Y277" s="579" t="str">
        <f t="shared" si="312"/>
        <v>2026e</v>
      </c>
      <c r="Z277" s="579" t="str">
        <f t="shared" si="312"/>
        <v>1Q27e</v>
      </c>
      <c r="AA277" s="579" t="str">
        <f t="shared" si="312"/>
        <v>2Q27e</v>
      </c>
      <c r="AB277" s="579" t="str">
        <f t="shared" si="312"/>
        <v>3Q27e</v>
      </c>
      <c r="AC277" s="579" t="str">
        <f t="shared" si="312"/>
        <v>4Q27e</v>
      </c>
      <c r="AD277" s="579" t="str">
        <f t="shared" si="312"/>
        <v>2027e</v>
      </c>
      <c r="AE277" s="579" t="str">
        <f t="shared" si="312"/>
        <v>2028e</v>
      </c>
      <c r="AF277" s="579" t="str">
        <f t="shared" si="312"/>
        <v>2029e</v>
      </c>
      <c r="AG277" s="580" t="str">
        <f t="shared" si="312"/>
        <v>2030e</v>
      </c>
      <c r="AH277" s="22" t="s">
        <v>1</v>
      </c>
    </row>
    <row r="278" spans="1:34" s="23" customFormat="1" ht="12.75">
      <c r="A278" s="22"/>
      <c r="F278" s="29"/>
      <c r="G278" s="29"/>
      <c r="H278" s="29"/>
      <c r="I278" s="29"/>
      <c r="K278" s="29"/>
      <c r="L278" s="29"/>
      <c r="M278" s="29"/>
      <c r="N278" s="29"/>
      <c r="P278" s="29"/>
      <c r="Q278" s="29"/>
      <c r="R278" s="29"/>
      <c r="S278" s="29"/>
      <c r="U278" s="29"/>
      <c r="V278" s="30"/>
      <c r="W278" s="30"/>
      <c r="X278" s="30"/>
      <c r="Z278" s="30"/>
      <c r="AA278" s="30"/>
      <c r="AB278" s="30"/>
      <c r="AC278" s="30"/>
    </row>
    <row r="279" spans="1:34" s="23" customFormat="1" ht="12.75">
      <c r="A279" s="22"/>
      <c r="C279" s="23" t="s">
        <v>160</v>
      </c>
      <c r="F279" s="36"/>
      <c r="G279" s="36"/>
      <c r="H279" s="36"/>
      <c r="I279" s="36"/>
      <c r="J279" s="587"/>
      <c r="K279" s="36"/>
      <c r="L279" s="36"/>
      <c r="M279" s="36"/>
      <c r="N279" s="1021"/>
      <c r="O279" s="587"/>
      <c r="P279" s="1021"/>
      <c r="Q279" s="1021"/>
      <c r="R279" s="36"/>
      <c r="S279" s="1021"/>
      <c r="U279" s="1021"/>
      <c r="V279" s="42">
        <f>U282</f>
        <v>38969</v>
      </c>
      <c r="W279" s="42">
        <f>V282</f>
        <v>38538.550677129897</v>
      </c>
      <c r="X279" s="42">
        <f>W282</f>
        <v>38108.101354259794</v>
      </c>
      <c r="Z279" s="42">
        <f>Y282</f>
        <v>37677.652031389691</v>
      </c>
      <c r="AA279" s="42">
        <f>Z282</f>
        <v>37247.202708519588</v>
      </c>
      <c r="AB279" s="42">
        <f>AA282</f>
        <v>36816.753385649485</v>
      </c>
      <c r="AC279" s="42">
        <f>AB282</f>
        <v>36386.304062779382</v>
      </c>
      <c r="AD279" s="38">
        <f>Y282</f>
        <v>37677.652031389691</v>
      </c>
      <c r="AE279" s="587">
        <f>AD282</f>
        <v>35955.854739909279</v>
      </c>
      <c r="AF279" s="587">
        <f>AE282</f>
        <v>34631.395284924343</v>
      </c>
      <c r="AG279" s="587">
        <f>AF282</f>
        <v>33306.935829939408</v>
      </c>
    </row>
    <row r="280" spans="1:34" s="23" customFormat="1" ht="12.75">
      <c r="A280" s="22"/>
      <c r="C280" s="28" t="s">
        <v>161</v>
      </c>
      <c r="F280" s="1022"/>
      <c r="G280" s="1022"/>
      <c r="H280" s="1022"/>
      <c r="I280" s="1022"/>
      <c r="J280" s="587"/>
      <c r="K280" s="1022"/>
      <c r="L280" s="1022"/>
      <c r="M280" s="1022"/>
      <c r="N280" s="1023"/>
      <c r="O280" s="587"/>
      <c r="P280" s="1023"/>
      <c r="Q280" s="1023"/>
      <c r="R280" s="1022"/>
      <c r="S280" s="1023"/>
      <c r="T280" s="132">
        <f>SUM(P280:S280)</f>
        <v>0</v>
      </c>
      <c r="U280" s="1023"/>
      <c r="V280" s="131">
        <f>V273</f>
        <v>0</v>
      </c>
      <c r="W280" s="131">
        <f>W273</f>
        <v>0</v>
      </c>
      <c r="X280" s="131">
        <f>X273</f>
        <v>0</v>
      </c>
      <c r="Y280" s="132">
        <f>SUM(U280:X280)</f>
        <v>0</v>
      </c>
      <c r="Z280" s="131">
        <f>Z273</f>
        <v>0</v>
      </c>
      <c r="AA280" s="131">
        <f>AA273</f>
        <v>0</v>
      </c>
      <c r="AB280" s="131">
        <f>AB273</f>
        <v>0</v>
      </c>
      <c r="AC280" s="131">
        <f>AC273</f>
        <v>0</v>
      </c>
      <c r="AD280" s="132">
        <f>SUM(Z280:AC280)</f>
        <v>0</v>
      </c>
      <c r="AE280" s="132">
        <f>AE273</f>
        <v>0</v>
      </c>
      <c r="AF280" s="132">
        <f>AF273</f>
        <v>0</v>
      </c>
      <c r="AG280" s="132">
        <f>AG273</f>
        <v>0</v>
      </c>
    </row>
    <row r="281" spans="1:34" s="23" customFormat="1" ht="12.75">
      <c r="A281" s="22"/>
      <c r="C281" s="28" t="s">
        <v>162</v>
      </c>
      <c r="F281" s="1024"/>
      <c r="G281" s="1024"/>
      <c r="H281" s="1024"/>
      <c r="I281" s="1024"/>
      <c r="J281" s="133"/>
      <c r="K281" s="1024"/>
      <c r="L281" s="1024"/>
      <c r="M281" s="1024"/>
      <c r="N281" s="1025"/>
      <c r="O281" s="133"/>
      <c r="P281" s="1025"/>
      <c r="Q281" s="1025"/>
      <c r="R281" s="1024"/>
      <c r="S281" s="1025"/>
      <c r="T281" s="135">
        <f>SUM(P281:S281)</f>
        <v>0</v>
      </c>
      <c r="U281" s="1025"/>
      <c r="V281" s="134">
        <f>-V242</f>
        <v>-430.44932287010363</v>
      </c>
      <c r="W281" s="134">
        <f>-W242</f>
        <v>-430.44932287010363</v>
      </c>
      <c r="X281" s="134">
        <f>-X242</f>
        <v>-430.44932287010363</v>
      </c>
      <c r="Y281" s="135">
        <f>SUM(U281:X281)</f>
        <v>-1291.347968610311</v>
      </c>
      <c r="Z281" s="134">
        <f>-Z242</f>
        <v>-430.44932287010363</v>
      </c>
      <c r="AA281" s="134">
        <f>-AA242</f>
        <v>-430.44932287010363</v>
      </c>
      <c r="AB281" s="134">
        <f>-AB242</f>
        <v>-430.44932287010363</v>
      </c>
      <c r="AC281" s="134">
        <f>-AC242</f>
        <v>-430.44932287010363</v>
      </c>
      <c r="AD281" s="135">
        <f>SUM(Z281:AC281)</f>
        <v>-1721.7972914804145</v>
      </c>
      <c r="AE281" s="135">
        <f>-AE242</f>
        <v>-1324.4594549849344</v>
      </c>
      <c r="AF281" s="135">
        <f>-AF242</f>
        <v>-1324.4594549849344</v>
      </c>
      <c r="AG281" s="135">
        <f>-AG242</f>
        <v>-1324.4594549849344</v>
      </c>
    </row>
    <row r="282" spans="1:34" s="23" customFormat="1" ht="12.75">
      <c r="A282" s="22"/>
      <c r="C282" s="23" t="s">
        <v>163</v>
      </c>
      <c r="F282" s="37">
        <f t="shared" ref="F282:I282" si="313">F284</f>
        <v>38510</v>
      </c>
      <c r="G282" s="37">
        <f t="shared" si="313"/>
        <v>38211</v>
      </c>
      <c r="H282" s="37">
        <f t="shared" si="313"/>
        <v>37823</v>
      </c>
      <c r="I282" s="37">
        <f t="shared" si="313"/>
        <v>38101</v>
      </c>
      <c r="J282" s="47">
        <f>I282</f>
        <v>38101</v>
      </c>
      <c r="K282" s="37">
        <f t="shared" ref="K282:M282" si="314">K284</f>
        <v>38438</v>
      </c>
      <c r="L282" s="37">
        <f t="shared" si="314"/>
        <v>38502</v>
      </c>
      <c r="M282" s="37">
        <f t="shared" si="314"/>
        <v>38294</v>
      </c>
      <c r="N282" s="37">
        <v>38365</v>
      </c>
      <c r="O282" s="47">
        <f>N282</f>
        <v>38365</v>
      </c>
      <c r="P282" s="37">
        <f>P284</f>
        <v>38718</v>
      </c>
      <c r="Q282" s="37">
        <f>Q284</f>
        <v>38715</v>
      </c>
      <c r="R282" s="37">
        <v>38721</v>
      </c>
      <c r="S282" s="37">
        <v>38712</v>
      </c>
      <c r="T282" s="41">
        <f>S282</f>
        <v>38712</v>
      </c>
      <c r="U282" s="37">
        <v>38969</v>
      </c>
      <c r="V282" s="40">
        <f t="shared" ref="U282:X282" si="315">SUM(V279:V281)</f>
        <v>38538.550677129897</v>
      </c>
      <c r="W282" s="40">
        <f t="shared" si="315"/>
        <v>38108.101354259794</v>
      </c>
      <c r="X282" s="40">
        <f t="shared" si="315"/>
        <v>37677.652031389691</v>
      </c>
      <c r="Y282" s="41">
        <f>X282</f>
        <v>37677.652031389691</v>
      </c>
      <c r="Z282" s="40">
        <f t="shared" ref="Z282:AG282" si="316">SUM(Z279:Z281)</f>
        <v>37247.202708519588</v>
      </c>
      <c r="AA282" s="40">
        <f t="shared" si="316"/>
        <v>36816.753385649485</v>
      </c>
      <c r="AB282" s="40">
        <f t="shared" si="316"/>
        <v>36386.304062779382</v>
      </c>
      <c r="AC282" s="40">
        <f t="shared" si="316"/>
        <v>35955.854739909279</v>
      </c>
      <c r="AD282" s="41">
        <f t="shared" si="316"/>
        <v>35955.854739909279</v>
      </c>
      <c r="AE282" s="41">
        <f t="shared" si="316"/>
        <v>34631.395284924343</v>
      </c>
      <c r="AF282" s="41">
        <f t="shared" si="316"/>
        <v>33306.935829939408</v>
      </c>
      <c r="AG282" s="41">
        <f t="shared" si="316"/>
        <v>31982.476374954473</v>
      </c>
    </row>
    <row r="283" spans="1:34" s="23" customFormat="1" ht="12.75">
      <c r="A283" s="22"/>
      <c r="F283" s="75"/>
      <c r="G283" s="75"/>
      <c r="H283" s="75"/>
      <c r="I283" s="75"/>
      <c r="J283" s="38"/>
      <c r="K283" s="75"/>
      <c r="L283" s="75"/>
      <c r="M283" s="75"/>
      <c r="N283" s="1013"/>
      <c r="O283" s="38"/>
      <c r="P283" s="1013"/>
      <c r="Q283" s="1013"/>
      <c r="R283" s="75"/>
      <c r="S283" s="1013"/>
      <c r="T283" s="38"/>
      <c r="U283" s="1013"/>
      <c r="V283" s="76"/>
      <c r="W283" s="76"/>
      <c r="X283" s="76"/>
      <c r="Y283" s="38"/>
      <c r="Z283" s="76"/>
      <c r="AA283" s="76"/>
      <c r="AB283" s="76"/>
      <c r="AC283" s="76"/>
      <c r="AD283" s="38"/>
    </row>
    <row r="284" spans="1:34" s="23" customFormat="1" ht="12.75">
      <c r="A284" s="22"/>
      <c r="C284" s="23" t="s">
        <v>164</v>
      </c>
      <c r="F284" s="37">
        <v>38510</v>
      </c>
      <c r="G284" s="37">
        <v>38211</v>
      </c>
      <c r="H284" s="37">
        <v>37823</v>
      </c>
      <c r="I284" s="37">
        <v>38101</v>
      </c>
      <c r="J284" s="47">
        <f>I284</f>
        <v>38101</v>
      </c>
      <c r="K284" s="37">
        <v>38438</v>
      </c>
      <c r="L284" s="37">
        <v>38502</v>
      </c>
      <c r="M284" s="37">
        <v>38294</v>
      </c>
      <c r="N284" s="37">
        <v>38365</v>
      </c>
      <c r="O284" s="47">
        <f>N284</f>
        <v>38365</v>
      </c>
      <c r="P284" s="37">
        <v>38718</v>
      </c>
      <c r="Q284" s="37">
        <v>38715</v>
      </c>
      <c r="R284" s="37">
        <f>R282</f>
        <v>38721</v>
      </c>
      <c r="S284" s="37">
        <f>S282</f>
        <v>38712</v>
      </c>
      <c r="T284" s="41">
        <f>AVERAGE(P284:S284)</f>
        <v>38716.5</v>
      </c>
      <c r="U284" s="37">
        <f>+U282</f>
        <v>38969</v>
      </c>
      <c r="V284" s="40">
        <f>AVERAGE(V282,V279)</f>
        <v>38753.775338564948</v>
      </c>
      <c r="W284" s="40">
        <f>AVERAGE(W282,W279)</f>
        <v>38323.326015694845</v>
      </c>
      <c r="X284" s="40">
        <f>AVERAGE(X282,X279)</f>
        <v>37892.876692824742</v>
      </c>
      <c r="Y284" s="41">
        <f>AVERAGE(U284:X284)</f>
        <v>38484.744511771132</v>
      </c>
      <c r="Z284" s="40">
        <f>AVERAGE(Z282,Z279)</f>
        <v>37462.427369954639</v>
      </c>
      <c r="AA284" s="40">
        <f>AVERAGE(AA282,AA279)</f>
        <v>37031.978047084536</v>
      </c>
      <c r="AB284" s="40">
        <f>AVERAGE(AB282,AB279)</f>
        <v>36601.528724214433</v>
      </c>
      <c r="AC284" s="40">
        <f>AVERAGE(AC282,AC279)</f>
        <v>36171.07940134433</v>
      </c>
      <c r="AD284" s="41">
        <f>AVERAGE(Z284:AC284)</f>
        <v>36816.753385649485</v>
      </c>
      <c r="AE284" s="41">
        <f>AVERAGE(AE282,AE279)</f>
        <v>35293.625012416815</v>
      </c>
      <c r="AF284" s="41">
        <f>AVERAGE(AF282,AF279)</f>
        <v>33969.165557431872</v>
      </c>
      <c r="AG284" s="41">
        <f>AVERAGE(AG282,AG279)</f>
        <v>32644.70610244694</v>
      </c>
    </row>
    <row r="285" spans="1:34" s="23" customFormat="1" ht="12.75">
      <c r="A285" s="22"/>
      <c r="C285" s="28" t="s">
        <v>165</v>
      </c>
      <c r="F285" s="53">
        <f t="shared" ref="F285:S285" si="317">F286-F284</f>
        <v>1929</v>
      </c>
      <c r="G285" s="53">
        <f t="shared" si="317"/>
        <v>1077</v>
      </c>
      <c r="H285" s="53">
        <f t="shared" si="317"/>
        <v>2177</v>
      </c>
      <c r="I285" s="53">
        <f t="shared" si="317"/>
        <v>1998</v>
      </c>
      <c r="J285" s="32">
        <f t="shared" si="317"/>
        <v>1998</v>
      </c>
      <c r="K285" s="53">
        <f t="shared" si="317"/>
        <v>2642</v>
      </c>
      <c r="L285" s="53">
        <f t="shared" si="317"/>
        <v>2355</v>
      </c>
      <c r="M285" s="53">
        <f t="shared" si="317"/>
        <v>3744</v>
      </c>
      <c r="N285" s="53">
        <f t="shared" si="317"/>
        <v>3281</v>
      </c>
      <c r="O285" s="32">
        <f t="shared" si="317"/>
        <v>3281</v>
      </c>
      <c r="P285" s="53">
        <f t="shared" si="317"/>
        <v>3340</v>
      </c>
      <c r="Q285" s="53">
        <f t="shared" si="317"/>
        <v>2498</v>
      </c>
      <c r="R285" s="53">
        <f t="shared" si="317"/>
        <v>3698</v>
      </c>
      <c r="S285" s="53">
        <f t="shared" si="317"/>
        <v>3419</v>
      </c>
      <c r="T285" s="35">
        <f>T286-T284</f>
        <v>3414.5</v>
      </c>
      <c r="U285" s="53">
        <f t="shared" ref="U285" si="318">U286-U284</f>
        <v>2881</v>
      </c>
      <c r="V285" s="33">
        <f t="shared" ref="V285" si="319">U285</f>
        <v>2881</v>
      </c>
      <c r="W285" s="33">
        <v>6000</v>
      </c>
      <c r="X285" s="33">
        <v>7000</v>
      </c>
      <c r="Y285" s="35">
        <f>Y286-Y284</f>
        <v>6408.1321810536101</v>
      </c>
      <c r="Z285" s="33">
        <v>10000</v>
      </c>
      <c r="AA285" s="33">
        <f>Z285</f>
        <v>10000</v>
      </c>
      <c r="AB285" s="33">
        <v>11000</v>
      </c>
      <c r="AC285" s="33">
        <v>12000</v>
      </c>
      <c r="AD285" s="35">
        <f>AD286-AD284</f>
        <v>11354.326015694845</v>
      </c>
      <c r="AE285" s="48">
        <f>AC285</f>
        <v>12000</v>
      </c>
      <c r="AF285" s="48">
        <f>AE285</f>
        <v>12000</v>
      </c>
      <c r="AG285" s="48">
        <f>AF285</f>
        <v>12000</v>
      </c>
    </row>
    <row r="286" spans="1:34" s="23" customFormat="1" ht="12.75">
      <c r="A286" s="22"/>
      <c r="C286" s="23" t="s">
        <v>166</v>
      </c>
      <c r="F286" s="37">
        <v>40439</v>
      </c>
      <c r="G286" s="37">
        <v>39288</v>
      </c>
      <c r="H286" s="37">
        <v>40000</v>
      </c>
      <c r="I286" s="37">
        <v>40099</v>
      </c>
      <c r="J286" s="47">
        <f>I286</f>
        <v>40099</v>
      </c>
      <c r="K286" s="37">
        <v>41080</v>
      </c>
      <c r="L286" s="37">
        <v>40857</v>
      </c>
      <c r="M286" s="37">
        <v>42038</v>
      </c>
      <c r="N286" s="37">
        <v>41646</v>
      </c>
      <c r="O286" s="47">
        <f>N286</f>
        <v>41646</v>
      </c>
      <c r="P286" s="37">
        <v>42058</v>
      </c>
      <c r="Q286" s="37">
        <v>41213</v>
      </c>
      <c r="R286" s="37">
        <v>42419</v>
      </c>
      <c r="S286" s="37">
        <v>42131</v>
      </c>
      <c r="T286" s="41">
        <f>S286</f>
        <v>42131</v>
      </c>
      <c r="U286" s="37">
        <v>41850</v>
      </c>
      <c r="V286" s="40">
        <f>SUM(V284:V285)</f>
        <v>41634.775338564948</v>
      </c>
      <c r="W286" s="40">
        <f>SUM(W284:W285)</f>
        <v>44323.326015694845</v>
      </c>
      <c r="X286" s="40">
        <f>SUM(X284:X285)</f>
        <v>44892.876692824742</v>
      </c>
      <c r="Y286" s="41">
        <f>X286</f>
        <v>44892.876692824742</v>
      </c>
      <c r="Z286" s="40">
        <f>SUM(Z284:Z285)</f>
        <v>47462.427369954639</v>
      </c>
      <c r="AA286" s="40">
        <f>SUM(AA284:AA285)</f>
        <v>47031.978047084536</v>
      </c>
      <c r="AB286" s="40">
        <f>SUM(AB284:AB285)</f>
        <v>47601.528724214433</v>
      </c>
      <c r="AC286" s="40">
        <f>SUM(AC284:AC285)</f>
        <v>48171.07940134433</v>
      </c>
      <c r="AD286" s="41">
        <f>AC286</f>
        <v>48171.07940134433</v>
      </c>
      <c r="AE286" s="41">
        <f>SUM(AE284:AE285)</f>
        <v>47293.625012416815</v>
      </c>
      <c r="AF286" s="41">
        <f>SUM(AF284:AF285)</f>
        <v>45969.165557431872</v>
      </c>
      <c r="AG286" s="41">
        <f>SUM(AG284:AG285)</f>
        <v>44644.706102446944</v>
      </c>
    </row>
    <row r="287" spans="1:34" s="23" customFormat="1" ht="12.75">
      <c r="A287" s="22"/>
      <c r="F287" s="29"/>
      <c r="G287" s="29"/>
      <c r="H287" s="29"/>
      <c r="I287" s="29"/>
      <c r="K287" s="29"/>
      <c r="L287" s="29"/>
      <c r="M287" s="29"/>
      <c r="N287" s="29"/>
      <c r="P287" s="29"/>
      <c r="Q287" s="29"/>
      <c r="R287" s="29"/>
      <c r="S287" s="29"/>
      <c r="U287" s="29"/>
      <c r="V287" s="30"/>
      <c r="W287" s="30"/>
      <c r="X287" s="30"/>
      <c r="Z287" s="30"/>
      <c r="AA287" s="30"/>
      <c r="AB287" s="30"/>
      <c r="AC287" s="30"/>
    </row>
    <row r="288" spans="1:34" s="23" customFormat="1" ht="12.75">
      <c r="A288" s="22" t="s">
        <v>1</v>
      </c>
      <c r="B288" s="163"/>
      <c r="C288" s="577" t="s">
        <v>167</v>
      </c>
      <c r="D288" s="147"/>
      <c r="E288" s="147"/>
      <c r="F288" s="579" t="str">
        <f t="shared" ref="F288:AG288" si="320">F$64</f>
        <v>1Q23</v>
      </c>
      <c r="G288" s="579" t="str">
        <f t="shared" si="320"/>
        <v>2Q23</v>
      </c>
      <c r="H288" s="579" t="str">
        <f t="shared" si="320"/>
        <v>3Q23</v>
      </c>
      <c r="I288" s="579" t="str">
        <f t="shared" si="320"/>
        <v>4Q23</v>
      </c>
      <c r="J288" s="579">
        <f t="shared" si="320"/>
        <v>2023</v>
      </c>
      <c r="K288" s="579" t="str">
        <f t="shared" si="320"/>
        <v>1Q24</v>
      </c>
      <c r="L288" s="579" t="str">
        <f t="shared" si="320"/>
        <v>2Q24</v>
      </c>
      <c r="M288" s="579" t="str">
        <f t="shared" si="320"/>
        <v>3Q24</v>
      </c>
      <c r="N288" s="579" t="str">
        <f t="shared" si="320"/>
        <v>4Q24</v>
      </c>
      <c r="O288" s="579">
        <f t="shared" si="320"/>
        <v>2024</v>
      </c>
      <c r="P288" s="579" t="str">
        <f t="shared" si="320"/>
        <v>1Q25</v>
      </c>
      <c r="Q288" s="579" t="str">
        <f t="shared" si="320"/>
        <v>2Q25</v>
      </c>
      <c r="R288" s="579" t="str">
        <f t="shared" si="320"/>
        <v>3Q25</v>
      </c>
      <c r="S288" s="579" t="str">
        <f t="shared" si="320"/>
        <v>4Q25</v>
      </c>
      <c r="T288" s="579">
        <f t="shared" si="320"/>
        <v>2025</v>
      </c>
      <c r="U288" s="579" t="str">
        <f t="shared" si="320"/>
        <v>1Q26</v>
      </c>
      <c r="V288" s="579" t="str">
        <f t="shared" si="320"/>
        <v>2Q26e</v>
      </c>
      <c r="W288" s="579" t="str">
        <f t="shared" si="320"/>
        <v>3Q26e</v>
      </c>
      <c r="X288" s="579" t="str">
        <f t="shared" si="320"/>
        <v>4Q26e</v>
      </c>
      <c r="Y288" s="579" t="str">
        <f t="shared" si="320"/>
        <v>2026e</v>
      </c>
      <c r="Z288" s="579" t="str">
        <f t="shared" si="320"/>
        <v>1Q27e</v>
      </c>
      <c r="AA288" s="579" t="str">
        <f t="shared" si="320"/>
        <v>2Q27e</v>
      </c>
      <c r="AB288" s="579" t="str">
        <f t="shared" si="320"/>
        <v>3Q27e</v>
      </c>
      <c r="AC288" s="579" t="str">
        <f t="shared" si="320"/>
        <v>4Q27e</v>
      </c>
      <c r="AD288" s="579" t="str">
        <f t="shared" si="320"/>
        <v>2027e</v>
      </c>
      <c r="AE288" s="579" t="str">
        <f t="shared" si="320"/>
        <v>2028e</v>
      </c>
      <c r="AF288" s="579" t="str">
        <f t="shared" si="320"/>
        <v>2029e</v>
      </c>
      <c r="AG288" s="580" t="str">
        <f t="shared" si="320"/>
        <v>2030e</v>
      </c>
      <c r="AH288" s="22" t="s">
        <v>1</v>
      </c>
    </row>
    <row r="289" spans="1:33" s="23" customFormat="1" ht="12.75">
      <c r="A289" s="22"/>
      <c r="F289" s="29"/>
      <c r="G289" s="29"/>
      <c r="H289" s="29"/>
      <c r="I289" s="29"/>
      <c r="K289" s="29"/>
      <c r="L289" s="29"/>
      <c r="M289" s="29"/>
      <c r="N289" s="29"/>
      <c r="P289" s="29"/>
      <c r="Q289" s="29"/>
      <c r="R289" s="29"/>
      <c r="S289" s="29"/>
      <c r="U289" s="29"/>
      <c r="V289" s="30"/>
      <c r="W289" s="30"/>
      <c r="X289" s="30"/>
      <c r="Z289" s="30"/>
      <c r="AA289" s="30"/>
      <c r="AB289" s="30"/>
      <c r="AC289" s="30"/>
    </row>
    <row r="290" spans="1:33" s="23" customFormat="1" ht="12.75">
      <c r="A290" s="22"/>
      <c r="C290" s="23" t="s">
        <v>168</v>
      </c>
      <c r="F290" s="29"/>
      <c r="G290" s="29"/>
      <c r="H290" s="29"/>
      <c r="I290" s="29"/>
      <c r="K290" s="29"/>
      <c r="L290" s="29"/>
      <c r="M290" s="29"/>
      <c r="N290" s="29"/>
      <c r="P290" s="29"/>
      <c r="Q290" s="29"/>
      <c r="R290" s="29"/>
      <c r="S290" s="29"/>
      <c r="U290" s="29"/>
      <c r="V290" s="70">
        <f t="shared" ref="U290:X290" ca="1" si="321">V89</f>
        <v>-22239.227275068053</v>
      </c>
      <c r="W290" s="70">
        <f t="shared" ca="1" si="321"/>
        <v>244011.23758869039</v>
      </c>
      <c r="X290" s="70">
        <f t="shared" ca="1" si="321"/>
        <v>102288.76807819842</v>
      </c>
      <c r="Z290" s="70">
        <f t="shared" ref="Z290:AG290" ca="1" si="322">Z89</f>
        <v>1019445.4693608857</v>
      </c>
      <c r="AA290" s="70">
        <f t="shared" ca="1" si="322"/>
        <v>254851.95289703552</v>
      </c>
      <c r="AB290" s="70">
        <f t="shared" ca="1" si="322"/>
        <v>293205.27347351128</v>
      </c>
      <c r="AC290" s="70">
        <f t="shared" ca="1" si="322"/>
        <v>86890.734848361317</v>
      </c>
      <c r="AD290" s="71">
        <f t="shared" ca="1" si="322"/>
        <v>1654393.4305797936</v>
      </c>
      <c r="AE290" s="71">
        <f t="shared" ca="1" si="322"/>
        <v>-1000227.7264072134</v>
      </c>
      <c r="AF290" s="71">
        <f t="shared" ca="1" si="322"/>
        <v>1147251.1863225605</v>
      </c>
      <c r="AG290" s="71">
        <f t="shared" ca="1" si="322"/>
        <v>1613516.1861375154</v>
      </c>
    </row>
    <row r="291" spans="1:33" s="23" customFormat="1" ht="12.75">
      <c r="A291" s="22"/>
      <c r="C291" s="28" t="s">
        <v>162</v>
      </c>
      <c r="F291" s="29"/>
      <c r="G291" s="29"/>
      <c r="H291" s="29"/>
      <c r="I291" s="29"/>
      <c r="K291" s="29"/>
      <c r="L291" s="29"/>
      <c r="M291" s="29"/>
      <c r="N291" s="29"/>
      <c r="P291" s="29"/>
      <c r="Q291" s="29"/>
      <c r="R291" s="29"/>
      <c r="S291" s="29"/>
      <c r="U291" s="29"/>
      <c r="V291" s="76">
        <f t="shared" ref="U291:X291" si="323">-V243</f>
        <v>-130000</v>
      </c>
      <c r="W291" s="76">
        <f t="shared" si="323"/>
        <v>-130000</v>
      </c>
      <c r="X291" s="76">
        <f t="shared" si="323"/>
        <v>-130000</v>
      </c>
      <c r="Z291" s="76">
        <f t="shared" ref="Z291:AG291" si="324">-Z243</f>
        <v>-130000</v>
      </c>
      <c r="AA291" s="76">
        <f t="shared" si="324"/>
        <v>-130000</v>
      </c>
      <c r="AB291" s="76">
        <f t="shared" si="324"/>
        <v>-130000</v>
      </c>
      <c r="AC291" s="76">
        <f t="shared" si="324"/>
        <v>-130000</v>
      </c>
      <c r="AD291" s="38">
        <f t="shared" si="324"/>
        <v>-520000</v>
      </c>
      <c r="AE291" s="38">
        <f t="shared" si="324"/>
        <v>-400000</v>
      </c>
      <c r="AF291" s="38">
        <f t="shared" si="324"/>
        <v>-400000</v>
      </c>
      <c r="AG291" s="38">
        <f t="shared" si="324"/>
        <v>-400000</v>
      </c>
    </row>
    <row r="292" spans="1:33" s="23" customFormat="1" ht="12.75">
      <c r="A292" s="22"/>
      <c r="C292" s="28" t="s">
        <v>157</v>
      </c>
      <c r="F292" s="29"/>
      <c r="G292" s="29"/>
      <c r="H292" s="29"/>
      <c r="I292" s="29"/>
      <c r="K292" s="29"/>
      <c r="L292" s="29"/>
      <c r="M292" s="29"/>
      <c r="N292" s="29"/>
      <c r="P292" s="29"/>
      <c r="Q292" s="29"/>
      <c r="R292" s="29"/>
      <c r="S292" s="29"/>
      <c r="U292" s="29"/>
      <c r="V292" s="76">
        <f t="shared" ref="U292:X292" si="325">-V269</f>
        <v>-38508.740000000005</v>
      </c>
      <c r="W292" s="76">
        <f t="shared" si="325"/>
        <v>-38668.800000000003</v>
      </c>
      <c r="X292" s="76">
        <f t="shared" si="325"/>
        <v>-40559.840000000004</v>
      </c>
      <c r="Z292" s="76">
        <f t="shared" ref="Z292:AG292" si="326">-Z269</f>
        <v>-38915.78</v>
      </c>
      <c r="AA292" s="76">
        <f t="shared" si="326"/>
        <v>-40819.264400000007</v>
      </c>
      <c r="AB292" s="76">
        <f t="shared" si="326"/>
        <v>-40988.928000000007</v>
      </c>
      <c r="AC292" s="76">
        <f t="shared" si="326"/>
        <v>-42993.430400000005</v>
      </c>
      <c r="AD292" s="38">
        <f t="shared" si="326"/>
        <v>-163717.40280000004</v>
      </c>
      <c r="AE292" s="38">
        <f t="shared" si="326"/>
        <v>-171903.27294000005</v>
      </c>
      <c r="AF292" s="38">
        <f t="shared" si="326"/>
        <v>-180498.43658700006</v>
      </c>
      <c r="AG292" s="38">
        <f t="shared" si="326"/>
        <v>-189523.35841635006</v>
      </c>
    </row>
    <row r="293" spans="1:33" s="23" customFormat="1" ht="12.75">
      <c r="A293" s="22"/>
      <c r="C293" s="28" t="s">
        <v>81</v>
      </c>
      <c r="F293" s="29"/>
      <c r="G293" s="29"/>
      <c r="H293" s="29"/>
      <c r="I293" s="29"/>
      <c r="K293" s="29"/>
      <c r="L293" s="29"/>
      <c r="M293" s="29"/>
      <c r="N293" s="29"/>
      <c r="P293" s="29"/>
      <c r="Q293" s="29"/>
      <c r="R293" s="29"/>
      <c r="S293" s="29"/>
      <c r="U293" s="29"/>
      <c r="V293" s="100">
        <f t="shared" ref="U293:X293" si="327">V247</f>
        <v>0</v>
      </c>
      <c r="W293" s="100">
        <f t="shared" si="327"/>
        <v>0</v>
      </c>
      <c r="X293" s="100">
        <f t="shared" si="327"/>
        <v>0</v>
      </c>
      <c r="Z293" s="100">
        <f t="shared" ref="Z293:AG293" si="328">Z247</f>
        <v>0</v>
      </c>
      <c r="AA293" s="100">
        <f t="shared" si="328"/>
        <v>0</v>
      </c>
      <c r="AB293" s="100">
        <f t="shared" si="328"/>
        <v>0</v>
      </c>
      <c r="AC293" s="100">
        <f t="shared" si="328"/>
        <v>0</v>
      </c>
      <c r="AD293" s="98">
        <f t="shared" si="328"/>
        <v>0</v>
      </c>
      <c r="AE293" s="98">
        <f t="shared" si="328"/>
        <v>0</v>
      </c>
      <c r="AF293" s="98">
        <f t="shared" si="328"/>
        <v>0</v>
      </c>
      <c r="AG293" s="98">
        <f t="shared" si="328"/>
        <v>0</v>
      </c>
    </row>
    <row r="294" spans="1:33" s="23" customFormat="1" ht="12.75">
      <c r="A294" s="22"/>
      <c r="C294" s="28" t="s">
        <v>76</v>
      </c>
      <c r="F294" s="29"/>
      <c r="G294" s="29"/>
      <c r="H294" s="29"/>
      <c r="I294" s="29"/>
      <c r="K294" s="29"/>
      <c r="L294" s="29"/>
      <c r="M294" s="29"/>
      <c r="N294" s="29"/>
      <c r="P294" s="29"/>
      <c r="Q294" s="29"/>
      <c r="R294" s="29"/>
      <c r="S294" s="29"/>
      <c r="U294" s="29"/>
      <c r="V294" s="76">
        <f t="shared" ref="U294:X294" si="329">V104</f>
        <v>985987</v>
      </c>
      <c r="W294" s="76">
        <f t="shared" ca="1" si="329"/>
        <v>795539.03272493195</v>
      </c>
      <c r="X294" s="76">
        <f t="shared" ca="1" si="329"/>
        <v>870481.47031362238</v>
      </c>
      <c r="Z294" s="76">
        <f t="shared" ref="Z294:AG294" ca="1" si="330">Z104</f>
        <v>802310.39839182072</v>
      </c>
      <c r="AA294" s="76">
        <f t="shared" ca="1" si="330"/>
        <v>1652640.0877527064</v>
      </c>
      <c r="AB294" s="76">
        <f t="shared" ca="1" si="330"/>
        <v>1736972.7762497419</v>
      </c>
      <c r="AC294" s="76">
        <f t="shared" ca="1" si="330"/>
        <v>1858789.1217232533</v>
      </c>
      <c r="AD294" s="38">
        <f t="shared" ca="1" si="330"/>
        <v>802310.39839182072</v>
      </c>
      <c r="AE294" s="38">
        <f t="shared" ca="1" si="330"/>
        <v>1772786.4261716143</v>
      </c>
      <c r="AF294" s="38">
        <f t="shared" ca="1" si="330"/>
        <v>473608.99123319285</v>
      </c>
      <c r="AG294" s="38">
        <f t="shared" ca="1" si="330"/>
        <v>766208.1765599614</v>
      </c>
    </row>
    <row r="295" spans="1:33" s="23" customFormat="1" ht="12.75">
      <c r="A295" s="22"/>
      <c r="C295" s="28" t="s">
        <v>176</v>
      </c>
      <c r="F295" s="29"/>
      <c r="G295" s="29"/>
      <c r="H295" s="29"/>
      <c r="I295" s="29"/>
      <c r="K295" s="29"/>
      <c r="L295" s="29"/>
      <c r="M295" s="29"/>
      <c r="N295" s="29"/>
      <c r="P295" s="29"/>
      <c r="Q295" s="29"/>
      <c r="R295" s="29"/>
      <c r="S295" s="29"/>
      <c r="U295" s="29"/>
      <c r="V295" s="76">
        <f t="shared" ref="U295:X295" ca="1" si="331">V301*V28</f>
        <v>-92505.116486401064</v>
      </c>
      <c r="W295" s="76">
        <f t="shared" ca="1" si="331"/>
        <v>-103116.35063639148</v>
      </c>
      <c r="X295" s="76">
        <f t="shared" ca="1" si="331"/>
        <v>-126814.42352271975</v>
      </c>
      <c r="Z295" s="76">
        <f t="shared" ref="Z295:AG295" ca="1" si="332">Z301*Z28</f>
        <v>-94188.155708722843</v>
      </c>
      <c r="AA295" s="76">
        <f t="shared" ca="1" si="332"/>
        <v>-103844.63265736519</v>
      </c>
      <c r="AB295" s="76">
        <f t="shared" ca="1" si="332"/>
        <v>-115336.02356776777</v>
      </c>
      <c r="AC295" s="76">
        <f t="shared" ca="1" si="332"/>
        <v>-146398.92417308511</v>
      </c>
      <c r="AD295" s="38">
        <f t="shared" ca="1" si="332"/>
        <v>-459767.73610694084</v>
      </c>
      <c r="AE295" s="38">
        <f t="shared" ca="1" si="332"/>
        <v>-473608.99123319285</v>
      </c>
      <c r="AF295" s="38">
        <f t="shared" ca="1" si="332"/>
        <v>-463594.92234857182</v>
      </c>
      <c r="AG295" s="38">
        <f t="shared" ca="1" si="332"/>
        <v>-439789.19309701596</v>
      </c>
    </row>
    <row r="296" spans="1:33" s="23" customFormat="1" ht="12.75">
      <c r="A296" s="22"/>
      <c r="C296" s="49" t="s">
        <v>169</v>
      </c>
      <c r="F296" s="29"/>
      <c r="G296" s="29"/>
      <c r="H296" s="29"/>
      <c r="I296" s="29"/>
      <c r="K296" s="29"/>
      <c r="L296" s="29"/>
      <c r="M296" s="29"/>
      <c r="N296" s="29"/>
      <c r="P296" s="29"/>
      <c r="Q296" s="29"/>
      <c r="R296" s="29"/>
      <c r="S296" s="29"/>
      <c r="U296" s="29"/>
      <c r="V296" s="70">
        <f t="shared" ref="U296:X296" ca="1" si="333">SUM(V290:V295)</f>
        <v>702733.91623853089</v>
      </c>
      <c r="W296" s="70">
        <f t="shared" ca="1" si="333"/>
        <v>767765.11967723095</v>
      </c>
      <c r="X296" s="70">
        <f t="shared" ca="1" si="333"/>
        <v>675395.97486910108</v>
      </c>
      <c r="Z296" s="70">
        <f t="shared" ref="Z296:AG296" ca="1" si="334">SUM(Z290:Z295)</f>
        <v>1558651.9320439836</v>
      </c>
      <c r="AA296" s="70">
        <f t="shared" ca="1" si="334"/>
        <v>1632828.1435923767</v>
      </c>
      <c r="AB296" s="70">
        <f t="shared" ca="1" si="334"/>
        <v>1743853.0981554855</v>
      </c>
      <c r="AC296" s="70">
        <f t="shared" ca="1" si="334"/>
        <v>1626287.5019985295</v>
      </c>
      <c r="AD296" s="71">
        <f t="shared" ca="1" si="334"/>
        <v>1313218.6900646735</v>
      </c>
      <c r="AE296" s="71">
        <f t="shared" ca="1" si="334"/>
        <v>-272953.56440879195</v>
      </c>
      <c r="AF296" s="71">
        <f t="shared" ca="1" si="334"/>
        <v>576766.81862018153</v>
      </c>
      <c r="AG296" s="71">
        <f t="shared" ca="1" si="334"/>
        <v>1350411.8111841106</v>
      </c>
    </row>
    <row r="297" spans="1:33" s="23" customFormat="1" ht="12.75">
      <c r="A297" s="22"/>
      <c r="C297" s="28" t="s">
        <v>177</v>
      </c>
      <c r="F297" s="29"/>
      <c r="G297" s="29"/>
      <c r="H297" s="29"/>
      <c r="I297" s="29"/>
      <c r="K297" s="29"/>
      <c r="L297" s="29"/>
      <c r="M297" s="29"/>
      <c r="N297" s="29"/>
      <c r="P297" s="29"/>
      <c r="Q297" s="29"/>
      <c r="R297" s="29"/>
      <c r="S297" s="29"/>
      <c r="T297" s="322"/>
      <c r="U297" s="29"/>
      <c r="V297" s="863">
        <f>Drivers!V157</f>
        <v>500</v>
      </c>
      <c r="W297" s="863">
        <f>Drivers!W157</f>
        <v>0</v>
      </c>
      <c r="X297" s="863">
        <f>Drivers!X157</f>
        <v>500</v>
      </c>
      <c r="Y297" s="322"/>
      <c r="Z297" s="863">
        <f>Drivers!Z157</f>
        <v>0</v>
      </c>
      <c r="AA297" s="863">
        <f>Drivers!AA157</f>
        <v>500</v>
      </c>
      <c r="AB297" s="863">
        <f>Drivers!AB157</f>
        <v>0</v>
      </c>
      <c r="AC297" s="863">
        <f>Drivers!AC157</f>
        <v>500</v>
      </c>
      <c r="AD297" s="864">
        <f>Drivers!AD157</f>
        <v>1000</v>
      </c>
      <c r="AE297" s="864">
        <f>Drivers!AE157</f>
        <v>1000</v>
      </c>
      <c r="AF297" s="864">
        <f>Drivers!AF157</f>
        <v>1000</v>
      </c>
      <c r="AG297" s="864">
        <f>Drivers!AG157</f>
        <v>1000</v>
      </c>
    </row>
    <row r="298" spans="1:33" s="23" customFormat="1" ht="12.75">
      <c r="A298" s="22"/>
      <c r="C298" s="28" t="s">
        <v>178</v>
      </c>
      <c r="F298" s="29"/>
      <c r="G298" s="29"/>
      <c r="H298" s="29"/>
      <c r="I298" s="29"/>
      <c r="K298" s="29"/>
      <c r="L298" s="29"/>
      <c r="M298" s="29"/>
      <c r="N298" s="29"/>
      <c r="P298" s="29"/>
      <c r="Q298" s="29"/>
      <c r="R298" s="29"/>
      <c r="S298" s="29"/>
      <c r="T298" s="322"/>
      <c r="U298" s="29"/>
      <c r="V298" s="863">
        <f>Drivers!V162</f>
        <v>-200</v>
      </c>
      <c r="W298" s="863">
        <f>Drivers!W162</f>
        <v>-400</v>
      </c>
      <c r="X298" s="863">
        <f>Drivers!X162</f>
        <v>-400</v>
      </c>
      <c r="Y298" s="322"/>
      <c r="Z298" s="863">
        <f>Drivers!Z162</f>
        <v>-200</v>
      </c>
      <c r="AA298" s="863">
        <f>Drivers!AA162</f>
        <v>-200</v>
      </c>
      <c r="AB298" s="863">
        <f>Drivers!AB162</f>
        <v>-400</v>
      </c>
      <c r="AC298" s="863">
        <f>Drivers!AC162</f>
        <v>-400</v>
      </c>
      <c r="AD298" s="864">
        <f>Drivers!AD162</f>
        <v>-1200</v>
      </c>
      <c r="AE298" s="864">
        <f>Drivers!AE162</f>
        <v>-1600</v>
      </c>
      <c r="AF298" s="864">
        <f>Drivers!AF162</f>
        <v>-1600</v>
      </c>
      <c r="AG298" s="864">
        <f>Drivers!AG162</f>
        <v>-1600</v>
      </c>
    </row>
    <row r="299" spans="1:33" s="23" customFormat="1" ht="12.75">
      <c r="A299" s="22"/>
      <c r="C299" s="23" t="s">
        <v>170</v>
      </c>
      <c r="F299" s="29"/>
      <c r="G299" s="29"/>
      <c r="H299" s="29"/>
      <c r="I299" s="29"/>
      <c r="K299" s="29"/>
      <c r="L299" s="29"/>
      <c r="M299" s="29"/>
      <c r="N299" s="29"/>
      <c r="P299" s="29"/>
      <c r="Q299" s="29"/>
      <c r="R299" s="29"/>
      <c r="S299" s="29"/>
      <c r="U299" s="29"/>
      <c r="V299" s="70">
        <f t="shared" ref="U299:X299" ca="1" si="335">SUM(V296:V298)</f>
        <v>703033.91623853089</v>
      </c>
      <c r="W299" s="70">
        <f t="shared" ca="1" si="335"/>
        <v>767365.11967723095</v>
      </c>
      <c r="X299" s="70">
        <f t="shared" ca="1" si="335"/>
        <v>675495.97486910108</v>
      </c>
      <c r="Z299" s="70">
        <f t="shared" ref="Z299:AG299" ca="1" si="336">SUM(Z296:Z298)</f>
        <v>1558451.9320439836</v>
      </c>
      <c r="AA299" s="70">
        <f t="shared" ca="1" si="336"/>
        <v>1633128.1435923767</v>
      </c>
      <c r="AB299" s="70">
        <f t="shared" ca="1" si="336"/>
        <v>1743453.0981554855</v>
      </c>
      <c r="AC299" s="70">
        <f t="shared" ca="1" si="336"/>
        <v>1626387.5019985295</v>
      </c>
      <c r="AD299" s="71">
        <f t="shared" ca="1" si="336"/>
        <v>1313018.6900646735</v>
      </c>
      <c r="AE299" s="71">
        <f t="shared" ca="1" si="336"/>
        <v>-273553.56440879195</v>
      </c>
      <c r="AF299" s="71">
        <f t="shared" ca="1" si="336"/>
        <v>576166.81862018153</v>
      </c>
      <c r="AG299" s="71">
        <f t="shared" ca="1" si="336"/>
        <v>1349811.8111841106</v>
      </c>
    </row>
    <row r="300" spans="1:33" s="23" customFormat="1" ht="12.75">
      <c r="A300" s="22"/>
      <c r="F300" s="29"/>
      <c r="G300" s="29"/>
      <c r="H300" s="29"/>
      <c r="I300" s="29"/>
      <c r="K300" s="29"/>
      <c r="L300" s="29"/>
      <c r="M300" s="29"/>
      <c r="N300" s="29"/>
      <c r="P300" s="29"/>
      <c r="Q300" s="29"/>
      <c r="R300" s="29"/>
      <c r="S300" s="29"/>
      <c r="U300" s="29"/>
      <c r="V300" s="30"/>
      <c r="W300" s="30"/>
      <c r="X300" s="30"/>
      <c r="Z300" s="30"/>
      <c r="AA300" s="30"/>
      <c r="AB300" s="30"/>
      <c r="AC300" s="30"/>
    </row>
    <row r="301" spans="1:33" s="23" customFormat="1" ht="12.75">
      <c r="A301" s="22"/>
      <c r="C301" s="24" t="s">
        <v>171</v>
      </c>
      <c r="F301" s="136">
        <f t="shared" ref="F301:S301" si="337">F180/F28</f>
        <v>-0.41279406712313077</v>
      </c>
      <c r="G301" s="136">
        <f t="shared" si="337"/>
        <v>-3.7247815726767275E-2</v>
      </c>
      <c r="H301" s="136">
        <f t="shared" si="337"/>
        <v>-7.2541277567704954E-2</v>
      </c>
      <c r="I301" s="136">
        <f t="shared" si="337"/>
        <v>-3.4502529339834692E-2</v>
      </c>
      <c r="J301" s="137">
        <f t="shared" si="337"/>
        <v>-0.13326627545476949</v>
      </c>
      <c r="K301" s="136">
        <f t="shared" si="337"/>
        <v>9.802513833262394E-2</v>
      </c>
      <c r="L301" s="136">
        <f t="shared" si="337"/>
        <v>-2.589510147632075E-2</v>
      </c>
      <c r="M301" s="136">
        <f t="shared" si="337"/>
        <v>-0.10477370602096368</v>
      </c>
      <c r="N301" s="136">
        <f t="shared" si="337"/>
        <v>-1.4323268931369797E-2</v>
      </c>
      <c r="O301" s="137">
        <f t="shared" si="337"/>
        <v>-1.7357054106631343E-2</v>
      </c>
      <c r="P301" s="136">
        <f t="shared" si="337"/>
        <v>-2.5750262509620582E-3</v>
      </c>
      <c r="Q301" s="136">
        <f t="shared" si="337"/>
        <v>-7.0378502219464465E-3</v>
      </c>
      <c r="R301" s="136">
        <f t="shared" si="337"/>
        <v>-6.9927743371376888E-2</v>
      </c>
      <c r="S301" s="136">
        <f t="shared" si="337"/>
        <v>-4.0389259137042534E-2</v>
      </c>
      <c r="T301" s="137">
        <f t="shared" ref="T301:U301" si="338">T180/T28</f>
        <v>-3.4336370037349705E-2</v>
      </c>
      <c r="U301" s="136">
        <f t="shared" si="338"/>
        <v>-5.0987919047119218E-2</v>
      </c>
      <c r="V301" s="138">
        <f ca="1">AVERAGE($F$301:$V$301)</f>
        <v>-5.9995632842541606E-2</v>
      </c>
      <c r="W301" s="138">
        <f t="shared" ref="U301:X301" ca="1" si="339">AVERAGE($F$301:$V$301)</f>
        <v>-5.9995632842541606E-2</v>
      </c>
      <c r="X301" s="138">
        <f t="shared" ca="1" si="339"/>
        <v>-5.9995632842541606E-2</v>
      </c>
      <c r="Y301" s="137">
        <f t="shared" ref="Y301" si="340">Y180/Y28</f>
        <v>-4.9950772461773214E-2</v>
      </c>
      <c r="Z301" s="138">
        <f t="shared" ref="Z301:AG301" ca="1" si="341">AVERAGE($F$301:$V$301)</f>
        <v>-5.9995632842541606E-2</v>
      </c>
      <c r="AA301" s="138">
        <f t="shared" ca="1" si="341"/>
        <v>-5.9995632842541606E-2</v>
      </c>
      <c r="AB301" s="138">
        <f t="shared" ca="1" si="341"/>
        <v>-5.9995632842541606E-2</v>
      </c>
      <c r="AC301" s="138">
        <f t="shared" ca="1" si="341"/>
        <v>-5.9995632842541606E-2</v>
      </c>
      <c r="AD301" s="137">
        <f t="shared" ca="1" si="341"/>
        <v>-5.9995632842541606E-2</v>
      </c>
      <c r="AE301" s="137">
        <f t="shared" ca="1" si="341"/>
        <v>-5.9995632842541606E-2</v>
      </c>
      <c r="AF301" s="137">
        <f t="shared" ca="1" si="341"/>
        <v>-5.9995632842541606E-2</v>
      </c>
      <c r="AG301" s="137">
        <f t="shared" ca="1" si="341"/>
        <v>-5.9995632842541606E-2</v>
      </c>
    </row>
    <row r="302" spans="1:33" s="23" customFormat="1" ht="12.75">
      <c r="A302" s="22"/>
      <c r="F302" s="29"/>
      <c r="G302" s="29"/>
      <c r="H302" s="29"/>
      <c r="I302" s="29"/>
      <c r="K302" s="29"/>
      <c r="L302" s="29"/>
      <c r="M302" s="29"/>
      <c r="N302" s="29"/>
      <c r="P302" s="29"/>
      <c r="Q302" s="29"/>
      <c r="R302" s="29"/>
      <c r="S302" s="29"/>
      <c r="U302" s="29"/>
      <c r="V302" s="30"/>
      <c r="W302" s="30"/>
      <c r="X302" s="30"/>
      <c r="Z302" s="30"/>
      <c r="AA302" s="30"/>
      <c r="AB302" s="30"/>
      <c r="AC302" s="30"/>
    </row>
    <row r="303" spans="1:33" s="23" customFormat="1" ht="12.75">
      <c r="A303" s="22"/>
      <c r="C303" s="155" t="s">
        <v>196</v>
      </c>
      <c r="F303" s="29"/>
      <c r="G303" s="29"/>
      <c r="H303" s="29"/>
      <c r="I303" s="29"/>
      <c r="K303" s="29"/>
      <c r="L303" s="29"/>
      <c r="M303" s="29"/>
      <c r="N303" s="29"/>
      <c r="P303" s="29"/>
      <c r="Q303" s="29"/>
      <c r="R303" s="29"/>
      <c r="S303" s="29"/>
      <c r="U303" s="29"/>
      <c r="V303" s="30"/>
      <c r="W303" s="30"/>
      <c r="X303" s="30"/>
      <c r="Z303" s="30"/>
      <c r="AA303" s="30"/>
      <c r="AB303" s="30"/>
      <c r="AC303" s="30"/>
    </row>
    <row r="304" spans="1:33" s="23" customFormat="1" ht="12.75">
      <c r="A304" s="22"/>
      <c r="C304" s="49" t="s">
        <v>148</v>
      </c>
      <c r="F304" s="69">
        <f>E306</f>
        <v>0</v>
      </c>
      <c r="G304" s="69">
        <f>F306</f>
        <v>0</v>
      </c>
      <c r="H304" s="69">
        <f>G306</f>
        <v>0</v>
      </c>
      <c r="I304" s="69">
        <f>H306</f>
        <v>0</v>
      </c>
      <c r="J304" s="71">
        <f>F304</f>
        <v>0</v>
      </c>
      <c r="K304" s="69">
        <f>J306</f>
        <v>0</v>
      </c>
      <c r="L304" s="69">
        <f>K306</f>
        <v>0</v>
      </c>
      <c r="M304" s="69">
        <f>L306</f>
        <v>0</v>
      </c>
      <c r="N304" s="69">
        <f>M306</f>
        <v>0</v>
      </c>
      <c r="O304" s="71">
        <f>K304</f>
        <v>0</v>
      </c>
      <c r="P304" s="69">
        <f>O306</f>
        <v>0</v>
      </c>
      <c r="Q304" s="69">
        <f>P306</f>
        <v>0</v>
      </c>
      <c r="R304" s="69">
        <f>Q306</f>
        <v>0</v>
      </c>
      <c r="S304" s="69">
        <f>R306</f>
        <v>0</v>
      </c>
      <c r="T304" s="71">
        <f>P304</f>
        <v>0</v>
      </c>
      <c r="U304" s="69">
        <f>T306</f>
        <v>0</v>
      </c>
      <c r="V304" s="70">
        <f>U306</f>
        <v>0</v>
      </c>
      <c r="W304" s="70">
        <f ca="1">V306</f>
        <v>0</v>
      </c>
      <c r="X304" s="70">
        <f ca="1">W306</f>
        <v>0</v>
      </c>
      <c r="Y304" s="71">
        <f>U304</f>
        <v>0</v>
      </c>
      <c r="Z304" s="70">
        <f ca="1">X306</f>
        <v>0</v>
      </c>
      <c r="AA304" s="70">
        <f ca="1">Z306</f>
        <v>0</v>
      </c>
      <c r="AB304" s="70">
        <f ca="1">AA306</f>
        <v>0</v>
      </c>
      <c r="AC304" s="70">
        <f ca="1">AB306</f>
        <v>0</v>
      </c>
      <c r="AD304" s="71">
        <f ca="1">AB306</f>
        <v>0</v>
      </c>
      <c r="AE304" s="71">
        <f ca="1">AC306</f>
        <v>0</v>
      </c>
      <c r="AF304" s="71">
        <f ca="1">AE306</f>
        <v>273553.56440879195</v>
      </c>
      <c r="AG304" s="71">
        <f ca="1">AF306</f>
        <v>0</v>
      </c>
    </row>
    <row r="305" spans="1:33" s="23" customFormat="1" ht="12.75">
      <c r="A305" s="22"/>
      <c r="C305" s="28" t="s">
        <v>172</v>
      </c>
      <c r="F305" s="75">
        <f>F306-F304</f>
        <v>0</v>
      </c>
      <c r="G305" s="75">
        <f>G306-G304</f>
        <v>0</v>
      </c>
      <c r="H305" s="75">
        <f>H306-H304</f>
        <v>0</v>
      </c>
      <c r="I305" s="75">
        <f>I306-I304</f>
        <v>0</v>
      </c>
      <c r="J305" s="38">
        <f>IF(J307&gt;J304,J307-J304,0)</f>
        <v>0</v>
      </c>
      <c r="K305" s="75">
        <f>K306-K304</f>
        <v>0</v>
      </c>
      <c r="L305" s="75">
        <f>L306-L304</f>
        <v>0</v>
      </c>
      <c r="M305" s="75">
        <f>M306-M304</f>
        <v>0</v>
      </c>
      <c r="N305" s="75">
        <f>N306-N304</f>
        <v>0</v>
      </c>
      <c r="O305" s="38">
        <f>IF(O307&gt;O304,O307-O304,0)</f>
        <v>0</v>
      </c>
      <c r="P305" s="75">
        <f>P306-P304</f>
        <v>0</v>
      </c>
      <c r="Q305" s="75">
        <f>Q306-Q304</f>
        <v>0</v>
      </c>
      <c r="R305" s="75">
        <f>R306-R304</f>
        <v>0</v>
      </c>
      <c r="S305" s="75">
        <f>S306-S304</f>
        <v>0</v>
      </c>
      <c r="T305" s="38">
        <f>IF(T307&gt;T304,T307-T304,0)</f>
        <v>0</v>
      </c>
      <c r="U305" s="75">
        <f>U306-U304</f>
        <v>0</v>
      </c>
      <c r="V305" s="100">
        <f t="shared" ref="U305:X305" ca="1" si="342">IF(V299&lt;0,-V299,IF(V299&gt;V304,-V304,-V299))</f>
        <v>0</v>
      </c>
      <c r="W305" s="100">
        <f t="shared" ca="1" si="342"/>
        <v>0</v>
      </c>
      <c r="X305" s="100">
        <f t="shared" ca="1" si="342"/>
        <v>0</v>
      </c>
      <c r="Y305" s="38">
        <f>IF(Y307&gt;Y304,Y307-Y304,0)</f>
        <v>0</v>
      </c>
      <c r="Z305" s="100">
        <f t="shared" ref="Z305:AG305" ca="1" si="343">IF(Z299&lt;0,-Z299,IF(Z299&gt;Z304,-Z304,-Z299))</f>
        <v>0</v>
      </c>
      <c r="AA305" s="100">
        <f t="shared" ca="1" si="343"/>
        <v>0</v>
      </c>
      <c r="AB305" s="100">
        <f t="shared" ca="1" si="343"/>
        <v>0</v>
      </c>
      <c r="AC305" s="100">
        <f t="shared" ca="1" si="343"/>
        <v>0</v>
      </c>
      <c r="AD305" s="98">
        <f t="shared" ca="1" si="343"/>
        <v>0</v>
      </c>
      <c r="AE305" s="98">
        <f t="shared" ca="1" si="343"/>
        <v>273553.56440879195</v>
      </c>
      <c r="AF305" s="98">
        <f t="shared" ca="1" si="343"/>
        <v>-273553.56440879195</v>
      </c>
      <c r="AG305" s="98">
        <f t="shared" ca="1" si="343"/>
        <v>0</v>
      </c>
    </row>
    <row r="306" spans="1:33" s="23" customFormat="1" ht="12.75">
      <c r="A306" s="22"/>
      <c r="C306" s="23" t="s">
        <v>149</v>
      </c>
      <c r="F306" s="69">
        <f t="shared" ref="F306:S306" si="344">F141</f>
        <v>0</v>
      </c>
      <c r="G306" s="69">
        <f t="shared" si="344"/>
        <v>0</v>
      </c>
      <c r="H306" s="69">
        <f t="shared" si="344"/>
        <v>0</v>
      </c>
      <c r="I306" s="69">
        <f t="shared" si="344"/>
        <v>0</v>
      </c>
      <c r="J306" s="71">
        <f t="shared" si="344"/>
        <v>0</v>
      </c>
      <c r="K306" s="69">
        <f t="shared" si="344"/>
        <v>0</v>
      </c>
      <c r="L306" s="69">
        <f t="shared" si="344"/>
        <v>0</v>
      </c>
      <c r="M306" s="69">
        <f t="shared" si="344"/>
        <v>0</v>
      </c>
      <c r="N306" s="69">
        <f t="shared" si="344"/>
        <v>0</v>
      </c>
      <c r="O306" s="71">
        <f t="shared" si="344"/>
        <v>0</v>
      </c>
      <c r="P306" s="69">
        <f t="shared" si="344"/>
        <v>0</v>
      </c>
      <c r="Q306" s="69">
        <f t="shared" si="344"/>
        <v>0</v>
      </c>
      <c r="R306" s="69">
        <f t="shared" si="344"/>
        <v>0</v>
      </c>
      <c r="S306" s="69">
        <f t="shared" si="344"/>
        <v>0</v>
      </c>
      <c r="T306" s="71">
        <f t="shared" ref="T306:U306" si="345">T141</f>
        <v>0</v>
      </c>
      <c r="U306" s="69">
        <f t="shared" si="345"/>
        <v>0</v>
      </c>
      <c r="V306" s="70">
        <f t="shared" ref="U306:X306" ca="1" si="346">SUM(V304:V305)</f>
        <v>0</v>
      </c>
      <c r="W306" s="70">
        <f t="shared" ca="1" si="346"/>
        <v>0</v>
      </c>
      <c r="X306" s="70">
        <f t="shared" ca="1" si="346"/>
        <v>0</v>
      </c>
      <c r="Y306" s="71">
        <f t="shared" ref="Y306" ca="1" si="347">Y141</f>
        <v>0</v>
      </c>
      <c r="Z306" s="70">
        <f t="shared" ref="Z306:AG306" ca="1" si="348">SUM(Z304:Z305)</f>
        <v>0</v>
      </c>
      <c r="AA306" s="70">
        <f t="shared" ca="1" si="348"/>
        <v>0</v>
      </c>
      <c r="AB306" s="70">
        <f t="shared" ca="1" si="348"/>
        <v>0</v>
      </c>
      <c r="AC306" s="70">
        <f t="shared" ca="1" si="348"/>
        <v>0</v>
      </c>
      <c r="AD306" s="71">
        <f t="shared" ca="1" si="348"/>
        <v>0</v>
      </c>
      <c r="AE306" s="71">
        <f t="shared" ca="1" si="348"/>
        <v>273553.56440879195</v>
      </c>
      <c r="AF306" s="71">
        <f t="shared" ca="1" si="348"/>
        <v>0</v>
      </c>
      <c r="AG306" s="71">
        <f t="shared" ca="1" si="348"/>
        <v>0</v>
      </c>
    </row>
    <row r="307" spans="1:33" s="23" customFormat="1" ht="12.75">
      <c r="A307" s="22"/>
      <c r="F307" s="75"/>
      <c r="G307" s="75"/>
      <c r="H307" s="75"/>
      <c r="I307" s="75"/>
      <c r="J307" s="38"/>
      <c r="K307" s="75"/>
      <c r="L307" s="75"/>
      <c r="M307" s="75"/>
      <c r="N307" s="75"/>
      <c r="O307" s="38"/>
      <c r="P307" s="75"/>
      <c r="Q307" s="75"/>
      <c r="R307" s="75"/>
      <c r="S307" s="75"/>
      <c r="T307" s="38"/>
      <c r="U307" s="75"/>
      <c r="V307" s="76"/>
      <c r="W307" s="76"/>
      <c r="X307" s="76"/>
      <c r="Y307" s="38"/>
      <c r="Z307" s="76"/>
      <c r="AA307" s="76"/>
      <c r="AB307" s="76"/>
      <c r="AC307" s="76"/>
      <c r="AD307" s="38"/>
      <c r="AE307" s="38"/>
      <c r="AF307" s="38"/>
      <c r="AG307" s="38"/>
    </row>
    <row r="308" spans="1:33" s="23" customFormat="1" ht="12.75">
      <c r="A308" s="22"/>
      <c r="C308" s="155" t="s">
        <v>197</v>
      </c>
      <c r="F308" s="75"/>
      <c r="G308" s="75"/>
      <c r="H308" s="75"/>
      <c r="I308" s="75"/>
      <c r="J308" s="38"/>
      <c r="K308" s="75"/>
      <c r="L308" s="75"/>
      <c r="M308" s="75"/>
      <c r="N308" s="75"/>
      <c r="O308" s="38"/>
      <c r="P308" s="75"/>
      <c r="Q308" s="75"/>
      <c r="R308" s="75"/>
      <c r="S308" s="75"/>
      <c r="T308" s="38"/>
      <c r="U308" s="75"/>
      <c r="V308" s="76"/>
      <c r="W308" s="76"/>
      <c r="X308" s="76"/>
      <c r="Y308" s="38"/>
      <c r="Z308" s="76"/>
      <c r="AA308" s="76"/>
      <c r="AB308" s="76"/>
      <c r="AC308" s="76"/>
      <c r="AD308" s="38"/>
      <c r="AE308" s="38"/>
      <c r="AF308" s="38"/>
      <c r="AG308" s="38"/>
    </row>
    <row r="309" spans="1:33" s="23" customFormat="1" ht="12.75">
      <c r="A309" s="22"/>
      <c r="C309" s="49" t="s">
        <v>148</v>
      </c>
      <c r="F309" s="69">
        <f>E312</f>
        <v>0</v>
      </c>
      <c r="G309" s="69">
        <f>F312</f>
        <v>372494</v>
      </c>
      <c r="H309" s="69">
        <f>G312</f>
        <v>373553</v>
      </c>
      <c r="I309" s="69">
        <f>H312</f>
        <v>372419</v>
      </c>
      <c r="J309" s="71">
        <f>F309</f>
        <v>0</v>
      </c>
      <c r="K309" s="69">
        <f>J312</f>
        <v>373885</v>
      </c>
      <c r="L309" s="69">
        <f>K312</f>
        <v>373756</v>
      </c>
      <c r="M309" s="69">
        <f>L312</f>
        <v>373941</v>
      </c>
      <c r="N309" s="69">
        <f>M312</f>
        <v>375900</v>
      </c>
      <c r="O309" s="71">
        <f>K309</f>
        <v>373885</v>
      </c>
      <c r="P309" s="69">
        <f>O312</f>
        <v>373895</v>
      </c>
      <c r="Q309" s="69">
        <f>P312</f>
        <v>375055</v>
      </c>
      <c r="R309" s="69">
        <f>Q312</f>
        <v>377237</v>
      </c>
      <c r="S309" s="69">
        <f>R312</f>
        <v>540353</v>
      </c>
      <c r="T309" s="71">
        <f>P309</f>
        <v>373895</v>
      </c>
      <c r="U309" s="69">
        <f>T312</f>
        <v>540243</v>
      </c>
      <c r="V309" s="70">
        <f>U312</f>
        <v>539749</v>
      </c>
      <c r="W309" s="70">
        <f>V312</f>
        <v>540049</v>
      </c>
      <c r="X309" s="70">
        <f>W312</f>
        <v>539649</v>
      </c>
      <c r="Y309" s="71">
        <f>U309</f>
        <v>540243</v>
      </c>
      <c r="Z309" s="70">
        <f>X312</f>
        <v>539749</v>
      </c>
      <c r="AA309" s="70">
        <f>Z312</f>
        <v>539549</v>
      </c>
      <c r="AB309" s="70">
        <f>AA312</f>
        <v>539849</v>
      </c>
      <c r="AC309" s="70">
        <f>AB312</f>
        <v>539449</v>
      </c>
      <c r="AD309" s="71">
        <f>AB312</f>
        <v>539449</v>
      </c>
      <c r="AE309" s="71">
        <f>AC312</f>
        <v>539549</v>
      </c>
      <c r="AF309" s="71">
        <f>AE312</f>
        <v>538949</v>
      </c>
      <c r="AG309" s="71">
        <f>AF312</f>
        <v>538349</v>
      </c>
    </row>
    <row r="310" spans="1:33" s="23" customFormat="1" ht="12.75">
      <c r="A310" s="22"/>
      <c r="C310" s="28" t="s">
        <v>82</v>
      </c>
      <c r="F310" s="75">
        <f t="shared" ref="F310:N310" si="349">IF(F312&gt;F309,F312-F309,0)</f>
        <v>372494</v>
      </c>
      <c r="G310" s="75">
        <f t="shared" si="349"/>
        <v>1059</v>
      </c>
      <c r="H310" s="75">
        <f t="shared" si="349"/>
        <v>0</v>
      </c>
      <c r="I310" s="75">
        <f t="shared" si="349"/>
        <v>1466</v>
      </c>
      <c r="J310" s="38">
        <f t="shared" si="349"/>
        <v>373885</v>
      </c>
      <c r="K310" s="75">
        <f t="shared" si="349"/>
        <v>0</v>
      </c>
      <c r="L310" s="75">
        <f t="shared" si="349"/>
        <v>185</v>
      </c>
      <c r="M310" s="75">
        <f t="shared" si="349"/>
        <v>1959</v>
      </c>
      <c r="N310" s="75">
        <f t="shared" si="349"/>
        <v>0</v>
      </c>
      <c r="O310" s="38">
        <f>IF(O312&gt;O309,O312-O309,0)</f>
        <v>10</v>
      </c>
      <c r="P310" s="75">
        <f t="shared" ref="P310:S310" si="350">IF(P312&gt;P309,P312-P309,0)</f>
        <v>1160</v>
      </c>
      <c r="Q310" s="75">
        <f t="shared" si="350"/>
        <v>2182</v>
      </c>
      <c r="R310" s="75">
        <f t="shared" si="350"/>
        <v>163116</v>
      </c>
      <c r="S310" s="75">
        <f t="shared" si="350"/>
        <v>0</v>
      </c>
      <c r="T310" s="38">
        <f>IF(T312&gt;T309,T312-T309,0)</f>
        <v>166348</v>
      </c>
      <c r="U310" s="75">
        <f t="shared" ref="U310" si="351">IF(U312&gt;U309,U312-U309,0)</f>
        <v>0</v>
      </c>
      <c r="V310" s="100">
        <f t="shared" ref="U310:X310" si="352">V297</f>
        <v>500</v>
      </c>
      <c r="W310" s="100">
        <f t="shared" si="352"/>
        <v>0</v>
      </c>
      <c r="X310" s="100">
        <f t="shared" si="352"/>
        <v>500</v>
      </c>
      <c r="Y310" s="38">
        <f>IF(Y312&gt;Y309,Y312-Y309,0)</f>
        <v>0</v>
      </c>
      <c r="Z310" s="100">
        <f t="shared" ref="Z310:AD311" si="353">Z297</f>
        <v>0</v>
      </c>
      <c r="AA310" s="100">
        <f t="shared" si="353"/>
        <v>500</v>
      </c>
      <c r="AB310" s="100">
        <f t="shared" si="353"/>
        <v>0</v>
      </c>
      <c r="AC310" s="100">
        <f t="shared" si="353"/>
        <v>500</v>
      </c>
      <c r="AD310" s="98">
        <f t="shared" si="353"/>
        <v>1000</v>
      </c>
      <c r="AE310" s="98">
        <f t="shared" ref="AE310:AG311" si="354">AE297</f>
        <v>1000</v>
      </c>
      <c r="AF310" s="98">
        <f t="shared" si="354"/>
        <v>1000</v>
      </c>
      <c r="AG310" s="98">
        <f t="shared" si="354"/>
        <v>1000</v>
      </c>
    </row>
    <row r="311" spans="1:33" s="23" customFormat="1" ht="12.75">
      <c r="A311" s="22"/>
      <c r="C311" s="28" t="s">
        <v>179</v>
      </c>
      <c r="F311" s="75">
        <f t="shared" ref="F311:I311" si="355">IF(F309&gt;F312,F312-F309,0)</f>
        <v>0</v>
      </c>
      <c r="G311" s="75">
        <f t="shared" si="355"/>
        <v>0</v>
      </c>
      <c r="H311" s="75">
        <f t="shared" si="355"/>
        <v>-1134</v>
      </c>
      <c r="I311" s="75">
        <f t="shared" si="355"/>
        <v>0</v>
      </c>
      <c r="J311" s="38">
        <f>IF(J309&gt;J312,J312-J309,0)</f>
        <v>0</v>
      </c>
      <c r="K311" s="75">
        <f t="shared" ref="K311:N311" si="356">IF(K309&gt;K312,K312-K309,0)</f>
        <v>-129</v>
      </c>
      <c r="L311" s="75">
        <f t="shared" si="356"/>
        <v>0</v>
      </c>
      <c r="M311" s="75">
        <f t="shared" si="356"/>
        <v>0</v>
      </c>
      <c r="N311" s="75">
        <f t="shared" si="356"/>
        <v>-2005</v>
      </c>
      <c r="O311" s="38">
        <f>IF(O309&gt;O312,O312-O309,0)</f>
        <v>0</v>
      </c>
      <c r="P311" s="75">
        <f t="shared" ref="P311:S311" si="357">IF(P309&gt;P312,P312-P309,0)</f>
        <v>0</v>
      </c>
      <c r="Q311" s="75">
        <f t="shared" si="357"/>
        <v>0</v>
      </c>
      <c r="R311" s="75">
        <f t="shared" si="357"/>
        <v>0</v>
      </c>
      <c r="S311" s="75">
        <f t="shared" si="357"/>
        <v>-110</v>
      </c>
      <c r="T311" s="38">
        <f>IF(T309&gt;T312,T312-T309,0)</f>
        <v>0</v>
      </c>
      <c r="U311" s="75">
        <f t="shared" ref="U311" si="358">IF(U309&gt;U312,U312-U309,0)</f>
        <v>-494</v>
      </c>
      <c r="V311" s="100">
        <f t="shared" ref="U311:X311" si="359">V298</f>
        <v>-200</v>
      </c>
      <c r="W311" s="100">
        <f t="shared" si="359"/>
        <v>-400</v>
      </c>
      <c r="X311" s="100">
        <f t="shared" si="359"/>
        <v>-400</v>
      </c>
      <c r="Y311" s="38">
        <f>IF(Y309&gt;Y312,Y312-Y309,0)</f>
        <v>-494</v>
      </c>
      <c r="Z311" s="100">
        <f t="shared" si="353"/>
        <v>-200</v>
      </c>
      <c r="AA311" s="100">
        <f t="shared" si="353"/>
        <v>-200</v>
      </c>
      <c r="AB311" s="100">
        <f t="shared" si="353"/>
        <v>-400</v>
      </c>
      <c r="AC311" s="100">
        <f t="shared" si="353"/>
        <v>-400</v>
      </c>
      <c r="AD311" s="98">
        <f t="shared" si="353"/>
        <v>-1200</v>
      </c>
      <c r="AE311" s="98">
        <f t="shared" si="354"/>
        <v>-1600</v>
      </c>
      <c r="AF311" s="98">
        <f t="shared" si="354"/>
        <v>-1600</v>
      </c>
      <c r="AG311" s="98">
        <f t="shared" si="354"/>
        <v>-1600</v>
      </c>
    </row>
    <row r="312" spans="1:33" s="23" customFormat="1" ht="12.75">
      <c r="A312" s="22"/>
      <c r="C312" s="23" t="s">
        <v>149</v>
      </c>
      <c r="F312" s="69">
        <f t="shared" ref="F312:S312" si="360">F142</f>
        <v>372494</v>
      </c>
      <c r="G312" s="69">
        <f t="shared" si="360"/>
        <v>373553</v>
      </c>
      <c r="H312" s="69">
        <f t="shared" si="360"/>
        <v>372419</v>
      </c>
      <c r="I312" s="69">
        <f t="shared" si="360"/>
        <v>373885</v>
      </c>
      <c r="J312" s="71">
        <f t="shared" si="360"/>
        <v>373885</v>
      </c>
      <c r="K312" s="69">
        <f t="shared" si="360"/>
        <v>373756</v>
      </c>
      <c r="L312" s="69">
        <f t="shared" si="360"/>
        <v>373941</v>
      </c>
      <c r="M312" s="69">
        <f t="shared" si="360"/>
        <v>375900</v>
      </c>
      <c r="N312" s="69">
        <f t="shared" si="360"/>
        <v>373895</v>
      </c>
      <c r="O312" s="71">
        <f t="shared" si="360"/>
        <v>373895</v>
      </c>
      <c r="P312" s="69">
        <f t="shared" si="360"/>
        <v>375055</v>
      </c>
      <c r="Q312" s="69">
        <f t="shared" si="360"/>
        <v>377237</v>
      </c>
      <c r="R312" s="69">
        <f t="shared" si="360"/>
        <v>540353</v>
      </c>
      <c r="S312" s="69">
        <f t="shared" si="360"/>
        <v>540243</v>
      </c>
      <c r="T312" s="71">
        <f t="shared" ref="T312:U312" si="361">T142</f>
        <v>540243</v>
      </c>
      <c r="U312" s="69">
        <f t="shared" si="361"/>
        <v>539749</v>
      </c>
      <c r="V312" s="70">
        <f t="shared" ref="U312:X312" si="362">SUM(V309:V311)</f>
        <v>540049</v>
      </c>
      <c r="W312" s="70">
        <f t="shared" si="362"/>
        <v>539649</v>
      </c>
      <c r="X312" s="70">
        <f t="shared" si="362"/>
        <v>539749</v>
      </c>
      <c r="Y312" s="71">
        <f t="shared" ref="Y312" si="363">Y142</f>
        <v>539749</v>
      </c>
      <c r="Z312" s="70">
        <f t="shared" ref="Z312:AG312" si="364">SUM(Z309:Z311)</f>
        <v>539549</v>
      </c>
      <c r="AA312" s="70">
        <f t="shared" si="364"/>
        <v>539849</v>
      </c>
      <c r="AB312" s="70">
        <f t="shared" si="364"/>
        <v>539449</v>
      </c>
      <c r="AC312" s="70">
        <f t="shared" si="364"/>
        <v>539549</v>
      </c>
      <c r="AD312" s="71">
        <f t="shared" si="364"/>
        <v>539249</v>
      </c>
      <c r="AE312" s="71">
        <f t="shared" si="364"/>
        <v>538949</v>
      </c>
      <c r="AF312" s="71">
        <f t="shared" si="364"/>
        <v>538349</v>
      </c>
      <c r="AG312" s="71">
        <f t="shared" si="364"/>
        <v>537749</v>
      </c>
    </row>
    <row r="313" spans="1:33" s="23" customFormat="1" ht="12.75">
      <c r="A313" s="22"/>
      <c r="F313" s="29"/>
      <c r="G313" s="29"/>
      <c r="H313" s="29"/>
      <c r="I313" s="29"/>
      <c r="K313" s="29"/>
      <c r="L313" s="29"/>
      <c r="M313" s="29"/>
      <c r="N313" s="29"/>
      <c r="P313" s="29"/>
      <c r="Q313" s="29"/>
      <c r="R313" s="29"/>
      <c r="S313" s="29"/>
      <c r="U313" s="29"/>
      <c r="V313" s="30"/>
      <c r="W313" s="30"/>
      <c r="X313" s="30"/>
      <c r="Z313" s="30"/>
      <c r="AA313" s="30"/>
      <c r="AB313" s="30"/>
      <c r="AC313" s="30"/>
    </row>
    <row r="314" spans="1:33" s="23" customFormat="1" ht="12.75">
      <c r="A314" s="22"/>
      <c r="C314" s="155" t="s">
        <v>198</v>
      </c>
      <c r="F314" s="29"/>
      <c r="G314" s="29"/>
      <c r="H314" s="29"/>
      <c r="I314" s="29"/>
      <c r="K314" s="29"/>
      <c r="L314" s="29"/>
      <c r="M314" s="29"/>
      <c r="N314" s="29"/>
      <c r="P314" s="29"/>
      <c r="Q314" s="29"/>
      <c r="R314" s="29"/>
      <c r="S314" s="29"/>
      <c r="U314" s="29"/>
      <c r="V314" s="30"/>
      <c r="W314" s="30"/>
      <c r="X314" s="30"/>
      <c r="Z314" s="30"/>
      <c r="AA314" s="30"/>
      <c r="AB314" s="30"/>
      <c r="AC314" s="30"/>
    </row>
    <row r="315" spans="1:33" s="23" customFormat="1" ht="12.75">
      <c r="A315" s="22"/>
      <c r="C315" s="28" t="s">
        <v>173</v>
      </c>
      <c r="F315" s="29"/>
      <c r="G315" s="29"/>
      <c r="H315" s="29"/>
      <c r="I315" s="29"/>
      <c r="K315" s="29"/>
      <c r="L315" s="29"/>
      <c r="M315" s="29"/>
      <c r="N315" s="29"/>
      <c r="P315" s="29"/>
      <c r="Q315" s="29"/>
      <c r="R315" s="29"/>
      <c r="S315" s="29"/>
      <c r="U315" s="29"/>
      <c r="V315" s="70">
        <f t="shared" ref="U315:X315" ca="1" si="365">AVERAGE(V306,V304)</f>
        <v>0</v>
      </c>
      <c r="W315" s="70">
        <f t="shared" ca="1" si="365"/>
        <v>0</v>
      </c>
      <c r="X315" s="70">
        <f t="shared" ca="1" si="365"/>
        <v>0</v>
      </c>
      <c r="Z315" s="70">
        <f t="shared" ref="Z315:AG315" ca="1" si="366">AVERAGE(Z306,Z304)</f>
        <v>0</v>
      </c>
      <c r="AA315" s="70">
        <f t="shared" ca="1" si="366"/>
        <v>0</v>
      </c>
      <c r="AB315" s="70">
        <f t="shared" ca="1" si="366"/>
        <v>0</v>
      </c>
      <c r="AC315" s="70">
        <f t="shared" ca="1" si="366"/>
        <v>0</v>
      </c>
      <c r="AD315" s="71">
        <f t="shared" ca="1" si="366"/>
        <v>0</v>
      </c>
      <c r="AE315" s="71">
        <f t="shared" ca="1" si="366"/>
        <v>136776.78220439597</v>
      </c>
      <c r="AF315" s="71">
        <f t="shared" ca="1" si="366"/>
        <v>136776.78220439597</v>
      </c>
      <c r="AG315" s="71">
        <f t="shared" ca="1" si="366"/>
        <v>0</v>
      </c>
    </row>
    <row r="316" spans="1:33" s="23" customFormat="1" ht="12.75">
      <c r="A316" s="22"/>
      <c r="C316" s="28" t="s">
        <v>174</v>
      </c>
      <c r="F316" s="29"/>
      <c r="G316" s="29"/>
      <c r="H316" s="29"/>
      <c r="I316" s="29"/>
      <c r="K316" s="29"/>
      <c r="L316" s="29"/>
      <c r="M316" s="29"/>
      <c r="N316" s="29"/>
      <c r="P316" s="29"/>
      <c r="Q316" s="29"/>
      <c r="R316" s="29"/>
      <c r="S316" s="29"/>
      <c r="U316" s="29"/>
      <c r="V316" s="139">
        <f t="shared" ref="U316:X316" si="367">4.26%/4</f>
        <v>1.065E-2</v>
      </c>
      <c r="W316" s="139">
        <f t="shared" si="367"/>
        <v>1.065E-2</v>
      </c>
      <c r="X316" s="139">
        <f t="shared" si="367"/>
        <v>1.065E-2</v>
      </c>
      <c r="Z316" s="139">
        <f t="shared" ref="Z316:AC316" si="368">4.26%/4</f>
        <v>1.065E-2</v>
      </c>
      <c r="AA316" s="139">
        <f t="shared" si="368"/>
        <v>1.065E-2</v>
      </c>
      <c r="AB316" s="139">
        <f t="shared" si="368"/>
        <v>1.065E-2</v>
      </c>
      <c r="AC316" s="139">
        <f t="shared" si="368"/>
        <v>1.065E-2</v>
      </c>
      <c r="AD316" s="140">
        <v>4.2599999999999999E-2</v>
      </c>
      <c r="AE316" s="140">
        <v>4.2599999999999999E-2</v>
      </c>
      <c r="AF316" s="140">
        <v>4.2599999999999999E-2</v>
      </c>
      <c r="AG316" s="140">
        <v>4.2599999999999999E-2</v>
      </c>
    </row>
    <row r="317" spans="1:33" s="23" customFormat="1" ht="12.75">
      <c r="A317" s="22"/>
      <c r="C317" s="28" t="s">
        <v>40</v>
      </c>
      <c r="F317" s="29"/>
      <c r="G317" s="29"/>
      <c r="H317" s="29"/>
      <c r="I317" s="29"/>
      <c r="K317" s="29"/>
      <c r="L317" s="29"/>
      <c r="M317" s="29"/>
      <c r="N317" s="29"/>
      <c r="P317" s="29"/>
      <c r="Q317" s="29"/>
      <c r="R317" s="29"/>
      <c r="S317" s="29"/>
      <c r="U317" s="29"/>
      <c r="V317" s="70">
        <f t="shared" ref="U317:X317" ca="1" si="369">-(V315*V316)</f>
        <v>0</v>
      </c>
      <c r="W317" s="70">
        <f t="shared" ca="1" si="369"/>
        <v>0</v>
      </c>
      <c r="X317" s="70">
        <f t="shared" ca="1" si="369"/>
        <v>0</v>
      </c>
      <c r="Z317" s="70">
        <f t="shared" ref="Z317:AG317" ca="1" si="370">-(Z315*Z316)</f>
        <v>0</v>
      </c>
      <c r="AA317" s="70">
        <f t="shared" ca="1" si="370"/>
        <v>0</v>
      </c>
      <c r="AB317" s="70">
        <f t="shared" ca="1" si="370"/>
        <v>0</v>
      </c>
      <c r="AC317" s="70">
        <f t="shared" ca="1" si="370"/>
        <v>0</v>
      </c>
      <c r="AD317" s="71">
        <f t="shared" ca="1" si="370"/>
        <v>0</v>
      </c>
      <c r="AE317" s="71">
        <f t="shared" ca="1" si="370"/>
        <v>-5826.6909219072686</v>
      </c>
      <c r="AF317" s="71">
        <f t="shared" ca="1" si="370"/>
        <v>-5826.6909219072686</v>
      </c>
      <c r="AG317" s="71">
        <f t="shared" ca="1" si="370"/>
        <v>0</v>
      </c>
    </row>
    <row r="318" spans="1:33" s="23" customFormat="1" ht="12.75">
      <c r="A318" s="22"/>
      <c r="F318" s="29"/>
      <c r="G318" s="29"/>
      <c r="H318" s="29"/>
      <c r="I318" s="29"/>
      <c r="K318" s="29"/>
      <c r="L318" s="29"/>
      <c r="M318" s="29"/>
      <c r="N318" s="29"/>
      <c r="P318" s="29"/>
      <c r="Q318" s="29"/>
      <c r="R318" s="29"/>
      <c r="S318" s="29"/>
      <c r="U318" s="29"/>
      <c r="V318" s="30"/>
      <c r="W318" s="30"/>
      <c r="X318" s="30"/>
      <c r="Z318" s="30"/>
      <c r="AA318" s="30"/>
      <c r="AB318" s="30"/>
      <c r="AC318" s="30"/>
    </row>
    <row r="319" spans="1:33" s="23" customFormat="1" ht="12.75">
      <c r="A319" s="22"/>
      <c r="C319" s="155" t="s">
        <v>199</v>
      </c>
      <c r="F319" s="29"/>
      <c r="G319" s="29"/>
      <c r="H319" s="29"/>
      <c r="I319" s="29"/>
      <c r="K319" s="29"/>
      <c r="L319" s="29"/>
      <c r="M319" s="29"/>
      <c r="N319" s="29"/>
      <c r="P319" s="29"/>
      <c r="Q319" s="29"/>
      <c r="R319" s="29"/>
      <c r="S319" s="29"/>
      <c r="U319" s="29"/>
      <c r="V319" s="30"/>
      <c r="W319" s="30"/>
      <c r="X319" s="30"/>
      <c r="Z319" s="30"/>
      <c r="AA319" s="30"/>
      <c r="AB319" s="30"/>
      <c r="AC319" s="30"/>
    </row>
    <row r="320" spans="1:33" s="23" customFormat="1" ht="12.75">
      <c r="A320" s="22"/>
      <c r="C320" s="28" t="s">
        <v>173</v>
      </c>
      <c r="F320" s="29"/>
      <c r="G320" s="29"/>
      <c r="H320" s="29"/>
      <c r="I320" s="29"/>
      <c r="K320" s="29"/>
      <c r="L320" s="29"/>
      <c r="M320" s="29"/>
      <c r="N320" s="29"/>
      <c r="P320" s="29"/>
      <c r="Q320" s="29"/>
      <c r="R320" s="29"/>
      <c r="S320" s="29"/>
      <c r="U320" s="29"/>
      <c r="V320" s="70">
        <f t="shared" ref="U320:X320" si="371">AVERAGE(V312,V309)</f>
        <v>539899</v>
      </c>
      <c r="W320" s="70">
        <f t="shared" si="371"/>
        <v>539849</v>
      </c>
      <c r="X320" s="70">
        <f t="shared" si="371"/>
        <v>539699</v>
      </c>
      <c r="Z320" s="70">
        <f t="shared" ref="Z320:AG320" si="372">AVERAGE(Z312,Z309)</f>
        <v>539649</v>
      </c>
      <c r="AA320" s="70">
        <f t="shared" si="372"/>
        <v>539699</v>
      </c>
      <c r="AB320" s="70">
        <f t="shared" si="372"/>
        <v>539649</v>
      </c>
      <c r="AC320" s="70">
        <f t="shared" si="372"/>
        <v>539499</v>
      </c>
      <c r="AD320" s="71">
        <f t="shared" si="372"/>
        <v>539349</v>
      </c>
      <c r="AE320" s="71">
        <f t="shared" si="372"/>
        <v>539249</v>
      </c>
      <c r="AF320" s="71">
        <f t="shared" si="372"/>
        <v>538649</v>
      </c>
      <c r="AG320" s="71">
        <f t="shared" si="372"/>
        <v>538049</v>
      </c>
    </row>
    <row r="321" spans="1:34" s="23" customFormat="1" ht="12.75">
      <c r="A321" s="22"/>
      <c r="C321" s="28" t="s">
        <v>174</v>
      </c>
      <c r="F321" s="29"/>
      <c r="G321" s="29"/>
      <c r="H321" s="29"/>
      <c r="I321" s="29"/>
      <c r="K321" s="29"/>
      <c r="L321" s="29"/>
      <c r="M321" s="29"/>
      <c r="N321" s="29"/>
      <c r="P321" s="29"/>
      <c r="Q321" s="29"/>
      <c r="R321" s="29"/>
      <c r="S321" s="29"/>
      <c r="U321" s="29"/>
      <c r="V321" s="139">
        <v>1.7000000000000001E-2</v>
      </c>
      <c r="W321" s="139">
        <v>1.7000000000000001E-2</v>
      </c>
      <c r="X321" s="139">
        <v>1.7000000000000001E-2</v>
      </c>
      <c r="Z321" s="139">
        <f t="shared" ref="Z321:AC321" si="373">4.5%/4</f>
        <v>1.125E-2</v>
      </c>
      <c r="AA321" s="139">
        <f t="shared" si="373"/>
        <v>1.125E-2</v>
      </c>
      <c r="AB321" s="139">
        <f t="shared" si="373"/>
        <v>1.125E-2</v>
      </c>
      <c r="AC321" s="139">
        <f t="shared" si="373"/>
        <v>1.125E-2</v>
      </c>
      <c r="AD321" s="140">
        <v>0.04</v>
      </c>
      <c r="AE321" s="140">
        <v>0.04</v>
      </c>
      <c r="AF321" s="140">
        <v>0.04</v>
      </c>
      <c r="AG321" s="140">
        <v>0.04</v>
      </c>
    </row>
    <row r="322" spans="1:34" s="23" customFormat="1" ht="12.75">
      <c r="A322" s="22"/>
      <c r="C322" s="28" t="s">
        <v>40</v>
      </c>
      <c r="F322" s="29"/>
      <c r="G322" s="29"/>
      <c r="H322" s="29"/>
      <c r="I322" s="29"/>
      <c r="K322" s="29"/>
      <c r="L322" s="29"/>
      <c r="M322" s="29"/>
      <c r="N322" s="29"/>
      <c r="P322" s="29"/>
      <c r="Q322" s="29"/>
      <c r="R322" s="29"/>
      <c r="S322" s="29"/>
      <c r="U322" s="29"/>
      <c r="V322" s="70">
        <f t="shared" ref="U322:X322" si="374">-(V320*V321)</f>
        <v>-9178.2830000000013</v>
      </c>
      <c r="W322" s="70">
        <f t="shared" si="374"/>
        <v>-9177.4330000000009</v>
      </c>
      <c r="X322" s="70">
        <f t="shared" si="374"/>
        <v>-9174.8829999999998</v>
      </c>
      <c r="Z322" s="70">
        <f t="shared" ref="Z322:AG322" si="375">-(Z320*Z321)</f>
        <v>-6071.0512499999995</v>
      </c>
      <c r="AA322" s="70">
        <f t="shared" si="375"/>
        <v>-6071.6137499999995</v>
      </c>
      <c r="AB322" s="70">
        <f t="shared" si="375"/>
        <v>-6071.0512499999995</v>
      </c>
      <c r="AC322" s="70">
        <f t="shared" si="375"/>
        <v>-6069.3637499999995</v>
      </c>
      <c r="AD322" s="71">
        <f t="shared" si="375"/>
        <v>-21573.96</v>
      </c>
      <c r="AE322" s="71">
        <f t="shared" si="375"/>
        <v>-21569.96</v>
      </c>
      <c r="AF322" s="71">
        <f t="shared" si="375"/>
        <v>-21545.96</v>
      </c>
      <c r="AG322" s="71">
        <f t="shared" si="375"/>
        <v>-21521.96</v>
      </c>
    </row>
    <row r="323" spans="1:34" s="23" customFormat="1" ht="12.75">
      <c r="A323" s="22"/>
      <c r="F323" s="29"/>
      <c r="G323" s="29"/>
      <c r="H323" s="29"/>
      <c r="I323" s="29"/>
      <c r="K323" s="29"/>
      <c r="L323" s="29"/>
      <c r="M323" s="29"/>
      <c r="N323" s="29"/>
      <c r="P323" s="29"/>
      <c r="Q323" s="29"/>
      <c r="R323" s="29"/>
      <c r="S323" s="29"/>
      <c r="U323" s="29"/>
      <c r="V323" s="30"/>
      <c r="W323" s="30"/>
      <c r="X323" s="30"/>
      <c r="Z323" s="30"/>
      <c r="AA323" s="30"/>
      <c r="AB323" s="30"/>
      <c r="AC323" s="30"/>
    </row>
    <row r="324" spans="1:34" s="23" customFormat="1" ht="12.75">
      <c r="A324" s="22"/>
      <c r="B324" s="83"/>
      <c r="C324" s="141" t="s">
        <v>175</v>
      </c>
      <c r="D324" s="141"/>
      <c r="E324" s="141"/>
      <c r="F324" s="142"/>
      <c r="G324" s="142"/>
      <c r="H324" s="142"/>
      <c r="I324" s="142"/>
      <c r="J324" s="141"/>
      <c r="K324" s="142"/>
      <c r="L324" s="142"/>
      <c r="M324" s="142"/>
      <c r="N324" s="142"/>
      <c r="O324" s="141"/>
      <c r="P324" s="142"/>
      <c r="Q324" s="142"/>
      <c r="R324" s="142"/>
      <c r="S324" s="142"/>
      <c r="T324" s="141"/>
      <c r="U324" s="142"/>
      <c r="V324" s="143">
        <f t="shared" ref="U324:X324" ca="1" si="376">SUM(V317,V322)</f>
        <v>-9178.2830000000013</v>
      </c>
      <c r="W324" s="143">
        <f t="shared" ca="1" si="376"/>
        <v>-9177.4330000000009</v>
      </c>
      <c r="X324" s="143">
        <f t="shared" ca="1" si="376"/>
        <v>-9174.8829999999998</v>
      </c>
      <c r="Y324" s="141"/>
      <c r="Z324" s="143">
        <f t="shared" ref="Z324:AG324" ca="1" si="377">SUM(Z317,Z322)</f>
        <v>-6071.0512499999995</v>
      </c>
      <c r="AA324" s="143">
        <f t="shared" ca="1" si="377"/>
        <v>-6071.6137499999995</v>
      </c>
      <c r="AB324" s="143">
        <f t="shared" ca="1" si="377"/>
        <v>-6071.0512499999995</v>
      </c>
      <c r="AC324" s="143">
        <f t="shared" ca="1" si="377"/>
        <v>-6069.3637499999995</v>
      </c>
      <c r="AD324" s="144">
        <f t="shared" ca="1" si="377"/>
        <v>-21573.96</v>
      </c>
      <c r="AE324" s="144">
        <f t="shared" ca="1" si="377"/>
        <v>-27396.650921907269</v>
      </c>
      <c r="AF324" s="144">
        <f t="shared" ca="1" si="377"/>
        <v>-27372.650921907269</v>
      </c>
      <c r="AG324" s="145">
        <f t="shared" ca="1" si="377"/>
        <v>-21521.96</v>
      </c>
      <c r="AH324" s="71"/>
    </row>
    <row r="325" spans="1:34" s="23" customFormat="1" ht="12.75">
      <c r="A325" s="22"/>
      <c r="F325" s="29"/>
      <c r="G325" s="29"/>
      <c r="H325" s="29"/>
      <c r="I325" s="29"/>
      <c r="K325" s="29"/>
      <c r="L325" s="29"/>
      <c r="M325" s="29"/>
      <c r="N325" s="29"/>
      <c r="P325" s="29"/>
      <c r="Q325" s="29"/>
      <c r="R325" s="29"/>
      <c r="S325" s="29"/>
      <c r="U325" s="29"/>
      <c r="V325" s="30"/>
      <c r="W325" s="30"/>
      <c r="X325" s="30"/>
      <c r="Z325" s="30"/>
      <c r="AA325" s="30"/>
      <c r="AB325" s="30"/>
      <c r="AC325" s="30"/>
    </row>
    <row r="326" spans="1:34" s="23" customFormat="1" ht="12.75">
      <c r="A326" s="22"/>
      <c r="C326" s="155" t="s">
        <v>200</v>
      </c>
      <c r="F326" s="29"/>
      <c r="G326" s="29"/>
      <c r="H326" s="29"/>
      <c r="I326" s="29"/>
      <c r="K326" s="29"/>
      <c r="L326" s="29"/>
      <c r="M326" s="29"/>
      <c r="N326" s="29"/>
      <c r="P326" s="29"/>
      <c r="Q326" s="29"/>
      <c r="R326" s="29"/>
      <c r="S326" s="29"/>
      <c r="U326" s="29"/>
      <c r="V326" s="30"/>
      <c r="W326" s="30"/>
      <c r="X326" s="30"/>
      <c r="Z326" s="30"/>
      <c r="AA326" s="30"/>
      <c r="AB326" s="30"/>
      <c r="AC326" s="30"/>
    </row>
    <row r="327" spans="1:34" s="23" customFormat="1" ht="12.75">
      <c r="A327" s="22"/>
      <c r="C327" s="28" t="s">
        <v>173</v>
      </c>
      <c r="F327" s="29"/>
      <c r="G327" s="29"/>
      <c r="H327" s="29"/>
      <c r="I327" s="29"/>
      <c r="K327" s="29"/>
      <c r="L327" s="29"/>
      <c r="M327" s="29"/>
      <c r="N327" s="29"/>
      <c r="P327" s="29"/>
      <c r="Q327" s="29"/>
      <c r="R327" s="29"/>
      <c r="S327" s="29"/>
      <c r="U327" s="29"/>
      <c r="V327" s="70">
        <v>0</v>
      </c>
      <c r="W327" s="70">
        <f t="shared" ref="W327" ca="1" si="378">AVERAGE(W122,V122)</f>
        <v>833010.25151927723</v>
      </c>
      <c r="X327" s="70">
        <f t="shared" ref="X327" ca="1" si="379">AVERAGE(X122,W122)</f>
        <v>836395.93435272155</v>
      </c>
      <c r="Z327" s="70">
        <f t="shared" ref="Z327:AG327" ca="1" si="380">AVERAGE(Z122,Y122)</f>
        <v>1227475.2430722637</v>
      </c>
      <c r="AA327" s="70">
        <f t="shared" ca="1" si="380"/>
        <v>1694806.4320012243</v>
      </c>
      <c r="AB327" s="70">
        <f t="shared" ca="1" si="380"/>
        <v>1797880.9489864977</v>
      </c>
      <c r="AC327" s="70">
        <f t="shared" ca="1" si="380"/>
        <v>1815787.773947434</v>
      </c>
      <c r="AD327" s="71">
        <f t="shared" ca="1" si="380"/>
        <v>1772786.4261716146</v>
      </c>
      <c r="AE327" s="71">
        <f t="shared" ca="1" si="380"/>
        <v>1123197.7087024036</v>
      </c>
      <c r="AF327" s="71">
        <f t="shared" ca="1" si="380"/>
        <v>619908.58389657713</v>
      </c>
      <c r="AG327" s="71">
        <f t="shared" ca="1" si="380"/>
        <v>1277904.5904205441</v>
      </c>
    </row>
    <row r="328" spans="1:34" s="23" customFormat="1" ht="12.75">
      <c r="A328" s="22"/>
      <c r="C328" s="28" t="s">
        <v>174</v>
      </c>
      <c r="F328" s="29"/>
      <c r="G328" s="29"/>
      <c r="H328" s="29"/>
      <c r="I328" s="29"/>
      <c r="K328" s="29"/>
      <c r="L328" s="29"/>
      <c r="M328" s="29"/>
      <c r="N328" s="29"/>
      <c r="P328" s="29"/>
      <c r="Q328" s="29"/>
      <c r="R328" s="29"/>
      <c r="S328" s="29"/>
      <c r="U328" s="29"/>
      <c r="V328" s="139">
        <f>U328</f>
        <v>0</v>
      </c>
      <c r="W328" s="139">
        <f>V328</f>
        <v>0</v>
      </c>
      <c r="X328" s="139">
        <f>W328</f>
        <v>0</v>
      </c>
      <c r="Z328" s="139">
        <f>X328</f>
        <v>0</v>
      </c>
      <c r="AA328" s="139">
        <f>Z328</f>
        <v>0</v>
      </c>
      <c r="AB328" s="139">
        <f>AA328</f>
        <v>0</v>
      </c>
      <c r="AC328" s="139">
        <f>AB328</f>
        <v>0</v>
      </c>
      <c r="AD328" s="140">
        <f>AB328</f>
        <v>0</v>
      </c>
      <c r="AE328" s="140">
        <f>AC328</f>
        <v>0</v>
      </c>
      <c r="AF328" s="140">
        <f>AE328</f>
        <v>0</v>
      </c>
      <c r="AG328" s="140">
        <f>AF328</f>
        <v>0</v>
      </c>
    </row>
    <row r="329" spans="1:34" s="23" customFormat="1" ht="12.75">
      <c r="A329" s="22"/>
      <c r="C329" s="28" t="s">
        <v>39</v>
      </c>
      <c r="F329" s="29"/>
      <c r="G329" s="29"/>
      <c r="H329" s="29"/>
      <c r="I329" s="29"/>
      <c r="K329" s="29"/>
      <c r="L329" s="29"/>
      <c r="M329" s="29"/>
      <c r="N329" s="29"/>
      <c r="P329" s="29"/>
      <c r="Q329" s="29"/>
      <c r="R329" s="29"/>
      <c r="S329" s="29"/>
      <c r="U329" s="29"/>
      <c r="V329" s="70">
        <f t="shared" ref="U329:X329" si="381">V327*V328</f>
        <v>0</v>
      </c>
      <c r="W329" s="70">
        <f t="shared" ca="1" si="381"/>
        <v>0</v>
      </c>
      <c r="X329" s="70">
        <f t="shared" ca="1" si="381"/>
        <v>0</v>
      </c>
      <c r="Z329" s="70">
        <f t="shared" ref="Z329:AG329" ca="1" si="382">Z327*Z328</f>
        <v>0</v>
      </c>
      <c r="AA329" s="70">
        <f t="shared" ca="1" si="382"/>
        <v>0</v>
      </c>
      <c r="AB329" s="70">
        <f t="shared" ca="1" si="382"/>
        <v>0</v>
      </c>
      <c r="AC329" s="70">
        <f t="shared" ca="1" si="382"/>
        <v>0</v>
      </c>
      <c r="AD329" s="71">
        <f t="shared" ca="1" si="382"/>
        <v>0</v>
      </c>
      <c r="AE329" s="71">
        <f t="shared" ca="1" si="382"/>
        <v>0</v>
      </c>
      <c r="AF329" s="71">
        <f t="shared" ca="1" si="382"/>
        <v>0</v>
      </c>
      <c r="AG329" s="71">
        <f t="shared" ca="1" si="382"/>
        <v>0</v>
      </c>
    </row>
    <row r="330" spans="1:34" s="23" customFormat="1" ht="12.75">
      <c r="A330" s="22"/>
      <c r="F330" s="29"/>
      <c r="G330" s="29"/>
      <c r="H330" s="29"/>
      <c r="I330" s="29"/>
      <c r="K330" s="29"/>
      <c r="L330" s="29"/>
      <c r="M330" s="29"/>
      <c r="N330" s="29"/>
      <c r="P330" s="29"/>
      <c r="Q330" s="29"/>
      <c r="R330" s="29"/>
      <c r="S330" s="29"/>
      <c r="U330" s="29"/>
      <c r="V330" s="30"/>
      <c r="W330" s="30"/>
      <c r="X330" s="30"/>
      <c r="Z330" s="30"/>
      <c r="AA330" s="30"/>
      <c r="AB330" s="30"/>
      <c r="AC330" s="30"/>
    </row>
    <row r="331" spans="1:34" s="23" customFormat="1" ht="12.75">
      <c r="A331" s="22"/>
      <c r="B331" s="83"/>
      <c r="C331" s="141" t="s">
        <v>180</v>
      </c>
      <c r="D331" s="141"/>
      <c r="E331" s="141"/>
      <c r="F331" s="142"/>
      <c r="G331" s="142"/>
      <c r="H331" s="142"/>
      <c r="I331" s="142"/>
      <c r="J331" s="141"/>
      <c r="K331" s="142"/>
      <c r="L331" s="142"/>
      <c r="M331" s="142"/>
      <c r="N331" s="142"/>
      <c r="O331" s="141"/>
      <c r="P331" s="142"/>
      <c r="Q331" s="142"/>
      <c r="R331" s="142"/>
      <c r="S331" s="142"/>
      <c r="T331" s="141"/>
      <c r="U331" s="142"/>
      <c r="V331" s="143">
        <f t="shared" ref="U331:X331" si="383">V329</f>
        <v>0</v>
      </c>
      <c r="W331" s="143">
        <f t="shared" ca="1" si="383"/>
        <v>0</v>
      </c>
      <c r="X331" s="143">
        <f t="shared" ca="1" si="383"/>
        <v>0</v>
      </c>
      <c r="Y331" s="141"/>
      <c r="Z331" s="143">
        <f t="shared" ref="Z331:AG331" ca="1" si="384">Z329</f>
        <v>0</v>
      </c>
      <c r="AA331" s="143">
        <f t="shared" ca="1" si="384"/>
        <v>0</v>
      </c>
      <c r="AB331" s="143">
        <f t="shared" ca="1" si="384"/>
        <v>0</v>
      </c>
      <c r="AC331" s="143">
        <f t="shared" ca="1" si="384"/>
        <v>0</v>
      </c>
      <c r="AD331" s="144">
        <f t="shared" ca="1" si="384"/>
        <v>0</v>
      </c>
      <c r="AE331" s="144">
        <f t="shared" ca="1" si="384"/>
        <v>0</v>
      </c>
      <c r="AF331" s="144">
        <f t="shared" ca="1" si="384"/>
        <v>0</v>
      </c>
      <c r="AG331" s="145">
        <f t="shared" ca="1" si="384"/>
        <v>0</v>
      </c>
      <c r="AH331" s="71"/>
    </row>
    <row r="332" spans="1:34" s="23" customFormat="1" ht="12.75">
      <c r="A332" s="22"/>
      <c r="F332" s="29"/>
      <c r="G332" s="29"/>
      <c r="H332" s="29"/>
      <c r="I332" s="29"/>
      <c r="K332" s="29"/>
      <c r="L332" s="29"/>
      <c r="M332" s="29"/>
      <c r="N332" s="29"/>
      <c r="P332" s="29"/>
      <c r="Q332" s="29"/>
      <c r="R332" s="29"/>
      <c r="S332" s="29"/>
      <c r="U332" s="29"/>
      <c r="V332" s="30"/>
      <c r="W332" s="30"/>
      <c r="X332" s="30"/>
      <c r="Z332" s="30"/>
      <c r="AA332" s="30"/>
      <c r="AB332" s="30"/>
      <c r="AC332" s="30"/>
    </row>
    <row r="333" spans="1:34" s="23" customFormat="1" ht="12.75">
      <c r="A333" s="22" t="s">
        <v>1</v>
      </c>
      <c r="B333" s="163" t="s">
        <v>1</v>
      </c>
      <c r="C333" s="577" t="s">
        <v>235</v>
      </c>
      <c r="D333" s="147"/>
      <c r="E333" s="147"/>
      <c r="F333" s="579"/>
      <c r="G333" s="579"/>
      <c r="H333" s="579"/>
      <c r="I333" s="579"/>
      <c r="J333" s="579"/>
      <c r="K333" s="579"/>
      <c r="L333" s="579"/>
      <c r="M333" s="579"/>
      <c r="N333" s="579"/>
      <c r="O333" s="579"/>
      <c r="P333" s="579"/>
      <c r="Q333" s="579"/>
      <c r="R333" s="579"/>
      <c r="S333" s="579"/>
      <c r="T333" s="579"/>
      <c r="U333" s="579"/>
      <c r="V333" s="579"/>
      <c r="W333" s="579"/>
      <c r="X333" s="579"/>
      <c r="Y333" s="579"/>
      <c r="Z333" s="579"/>
      <c r="AA333" s="579"/>
      <c r="AB333" s="579"/>
      <c r="AC333" s="579"/>
      <c r="AD333" s="579"/>
      <c r="AE333" s="579"/>
      <c r="AF333" s="579"/>
      <c r="AG333" s="580"/>
      <c r="AH333" s="22" t="s">
        <v>1</v>
      </c>
    </row>
    <row r="334" spans="1:34" s="23" customFormat="1" ht="12.75">
      <c r="A334" s="22"/>
      <c r="B334" s="22"/>
      <c r="U334" s="1068"/>
    </row>
    <row r="335" spans="1:34" s="23" customFormat="1" ht="12.75">
      <c r="A335" s="22"/>
      <c r="B335" s="22"/>
      <c r="U335" s="1068"/>
    </row>
    <row r="336" spans="1:34" s="23" customFormat="1" ht="12.75">
      <c r="A336" s="22"/>
      <c r="B336" s="22"/>
      <c r="U336" s="1068"/>
    </row>
    <row r="337" spans="1:21" s="23" customFormat="1" ht="12.75">
      <c r="A337" s="22" t="s">
        <v>1</v>
      </c>
      <c r="B337" s="22" t="s">
        <v>1</v>
      </c>
      <c r="U337" s="1068"/>
    </row>
  </sheetData>
  <dataConsolidate/>
  <conditionalFormatting sqref="C122:T128 D129:T129 C130:T160 U122:U160">
    <cfRule type="expression" dxfId="135" priority="12">
      <formula>$C$5="Report"</formula>
    </cfRule>
  </conditionalFormatting>
  <conditionalFormatting sqref="C28:AG62">
    <cfRule type="expression" dxfId="134" priority="6">
      <formula>$C$5="Report"</formula>
    </cfRule>
  </conditionalFormatting>
  <conditionalFormatting sqref="C77:AG106">
    <cfRule type="expression" dxfId="133" priority="8">
      <formula>$C$5="Report"</formula>
    </cfRule>
  </conditionalFormatting>
  <conditionalFormatting sqref="F122:AG160">
    <cfRule type="expression" dxfId="132" priority="2">
      <formula>$C$5="Report"</formula>
    </cfRule>
  </conditionalFormatting>
  <dataValidations count="3">
    <dataValidation type="list" allowBlank="1" showInputMessage="1" showErrorMessage="1" sqref="C35" xr:uid="{00000000-0002-0000-0700-000000000000}">
      <formula1>"Depreciation &amp; Amortization (incl. in SG&amp;A), Depreciation &amp; Amortization"</formula1>
    </dataValidation>
    <dataValidation type="list" allowBlank="1" showInputMessage="1" showErrorMessage="1" sqref="C8:C9" xr:uid="{00000000-0002-0000-0700-000001000000}">
      <formula1>"On, Off"</formula1>
    </dataValidation>
    <dataValidation type="list" allowBlank="1" showInputMessage="1" showErrorMessage="1" sqref="C5" xr:uid="{00000000-0002-0000-0700-000002000000}">
      <formula1>"Report, Working"</formula1>
    </dataValidation>
  </dataValidations>
  <pageMargins left="0.7" right="0.7" top="0.75" bottom="0.75" header="0.3" footer="0.3"/>
  <pageSetup orientation="portrait" horizontalDpi="300" verticalDpi="300" r:id="rId1"/>
  <legacyDrawing r:id="rId2"/>
  <extLst>
    <ext xmlns:x14="http://schemas.microsoft.com/office/spreadsheetml/2009/9/main" uri="{78C0D931-6437-407d-A8EE-F0AAD7539E65}">
      <x14:conditionalFormattings>
        <x14:conditionalFormatting xmlns:xm="http://schemas.microsoft.com/office/excel/2006/main">
          <x14:cfRule type="expression" priority="1" id="{4ECA8515-A814-4B86-A985-38B1A49BC6FD}">
            <xm:f>Cover!$F$37="Top Down"</xm:f>
            <x14:dxf>
              <font>
                <color rgb="FF008000"/>
              </font>
            </x14:dxf>
          </x14:cfRule>
          <xm:sqref>V67:X67</xm:sqref>
        </x14:conditionalFormatting>
        <x14:conditionalFormatting xmlns:xm="http://schemas.microsoft.com/office/excel/2006/main">
          <x14:cfRule type="expression" priority="16" id="{53D03253-AF1E-4A8A-97FB-5A6CF9E0A294}">
            <xm:f>Cover!$F$37="Top Down"</xm:f>
            <x14:dxf>
              <font>
                <color rgb="FF008000"/>
              </font>
            </x14:dxf>
          </x14:cfRule>
          <xm:sqref>Z67:AC67</xm:sqref>
        </x14:conditionalFormatting>
        <x14:conditionalFormatting xmlns:xm="http://schemas.microsoft.com/office/excel/2006/main">
          <x14:cfRule type="expression" priority="15" id="{55247C3B-416D-4DC7-BAD0-A4654D540EE4}">
            <xm:f>Cover!$F$37="Top Down"</xm:f>
            <x14:dxf>
              <font>
                <color rgb="FF008000"/>
              </font>
            </x14:dxf>
          </x14:cfRule>
          <xm:sqref>AE67:AG67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210"/>
  <sheetViews>
    <sheetView showGridLines="0" zoomScale="80" zoomScaleNormal="80" workbookViewId="0"/>
  </sheetViews>
  <sheetFormatPr defaultColWidth="12.7109375" defaultRowHeight="15" outlineLevelRow="1" outlineLevelCol="1"/>
  <cols>
    <col min="1" max="2" width="1.7109375" customWidth="1"/>
    <col min="3" max="3" width="51.28515625" customWidth="1"/>
    <col min="4" max="5" width="1.7109375" customWidth="1"/>
    <col min="6" max="8" width="12.7109375" hidden="1" customWidth="1" outlineLevel="1"/>
    <col min="9" max="9" width="13.140625" hidden="1" customWidth="1" outlineLevel="1"/>
    <col min="10" max="10" width="14.42578125" bestFit="1" customWidth="1" collapsed="1"/>
    <col min="11" max="14" width="12.7109375" hidden="1" customWidth="1" outlineLevel="1"/>
    <col min="15" max="15" width="14.42578125" bestFit="1" customWidth="1" collapsed="1"/>
    <col min="16" max="17" width="12.7109375" hidden="1" customWidth="1" outlineLevel="1"/>
    <col min="18" max="19" width="14.5703125" hidden="1" customWidth="1" outlineLevel="1"/>
    <col min="20" max="20" width="14.42578125" bestFit="1" customWidth="1" collapsed="1"/>
    <col min="21" max="22" width="14.5703125" hidden="1" customWidth="1" outlineLevel="1"/>
    <col min="23" max="24" width="14.42578125" hidden="1" customWidth="1" outlineLevel="1"/>
    <col min="25" max="25" width="14.42578125" bestFit="1" customWidth="1" collapsed="1"/>
    <col min="26" max="27" width="14.5703125" hidden="1" customWidth="1" outlineLevel="1"/>
    <col min="28" max="29" width="14.42578125" hidden="1" customWidth="1" outlineLevel="1"/>
    <col min="30" max="30" width="15.85546875" bestFit="1" customWidth="1" collapsed="1"/>
    <col min="31" max="33" width="15.85546875" bestFit="1" customWidth="1"/>
    <col min="34" max="34" width="1.7109375" customWidth="1"/>
  </cols>
  <sheetData>
    <row r="1" spans="1:33" s="2" customFormat="1" ht="20.25">
      <c r="A1" s="14"/>
      <c r="C1" s="508" t="str">
        <f ca="1">Company_Name&amp;" - "&amp;MID(CELL("filename",A1),FIND("]",CELL("filename",A1))+1,255)&amp;": "&amp;Case_Scenario&amp;" Case"</f>
        <v>Evercore Inc. - Segment Analysis: Base Case</v>
      </c>
    </row>
    <row r="2" spans="1:33" s="3" customFormat="1">
      <c r="A2" s="15"/>
      <c r="C2" s="4" t="str">
        <f>Cover!C2</f>
        <v>$ in Thousands Except Per Share Data</v>
      </c>
    </row>
    <row r="3" spans="1:33" s="3" customFormat="1">
      <c r="A3" s="15"/>
      <c r="C3" s="24"/>
    </row>
    <row r="4" spans="1:33" s="3" customFormat="1">
      <c r="A4" s="15"/>
      <c r="C4" s="24"/>
    </row>
    <row r="5" spans="1:33">
      <c r="C5" s="519" t="s">
        <v>591</v>
      </c>
      <c r="D5" s="520"/>
      <c r="E5" s="520"/>
      <c r="F5" s="574" t="str">
        <f>Model!F64</f>
        <v>1Q23</v>
      </c>
      <c r="G5" s="574" t="str">
        <f>Model!G64</f>
        <v>2Q23</v>
      </c>
      <c r="H5" s="574" t="str">
        <f>Model!H64</f>
        <v>3Q23</v>
      </c>
      <c r="I5" s="574" t="str">
        <f>Model!I64</f>
        <v>4Q23</v>
      </c>
      <c r="J5" s="574">
        <f>Model!J64</f>
        <v>2023</v>
      </c>
      <c r="K5" s="574" t="str">
        <f>Model!K64</f>
        <v>1Q24</v>
      </c>
      <c r="L5" s="574" t="str">
        <f>Model!L64</f>
        <v>2Q24</v>
      </c>
      <c r="M5" s="574" t="str">
        <f>Model!M64</f>
        <v>3Q24</v>
      </c>
      <c r="N5" s="574" t="str">
        <f>Model!N64</f>
        <v>4Q24</v>
      </c>
      <c r="O5" s="574">
        <f>Model!O64</f>
        <v>2024</v>
      </c>
      <c r="P5" s="574" t="str">
        <f>Model!P64</f>
        <v>1Q25</v>
      </c>
      <c r="Q5" s="574" t="str">
        <f>Model!Q64</f>
        <v>2Q25</v>
      </c>
      <c r="R5" s="574" t="str">
        <f>Model!R64</f>
        <v>3Q25</v>
      </c>
      <c r="S5" s="574" t="str">
        <f>Model!S64</f>
        <v>4Q25</v>
      </c>
      <c r="T5" s="574">
        <f>Model!T64</f>
        <v>2025</v>
      </c>
      <c r="U5" s="574" t="str">
        <f>Model!U64</f>
        <v>1Q26</v>
      </c>
      <c r="V5" s="574" t="str">
        <f>Model!V64</f>
        <v>2Q26e</v>
      </c>
      <c r="W5" s="574" t="str">
        <f>Model!W64</f>
        <v>3Q26e</v>
      </c>
      <c r="X5" s="574" t="str">
        <f>Model!X64</f>
        <v>4Q26e</v>
      </c>
      <c r="Y5" s="574" t="str">
        <f>Model!Y64</f>
        <v>2026e</v>
      </c>
      <c r="Z5" s="574" t="str">
        <f>Model!Z64</f>
        <v>1Q27e</v>
      </c>
      <c r="AA5" s="574" t="str">
        <f>Model!AA64</f>
        <v>2Q27e</v>
      </c>
      <c r="AB5" s="574" t="str">
        <f>Model!AB64</f>
        <v>3Q27e</v>
      </c>
      <c r="AC5" s="574" t="str">
        <f>Model!AC64</f>
        <v>4Q27e</v>
      </c>
      <c r="AD5" s="574" t="str">
        <f>Model!AD64</f>
        <v>2027e</v>
      </c>
      <c r="AE5" s="574" t="str">
        <f>Model!AE64</f>
        <v>2028e</v>
      </c>
      <c r="AF5" s="574" t="str">
        <f>Model!AF64</f>
        <v>2029e</v>
      </c>
      <c r="AG5" s="574" t="str">
        <f>Model!AG64</f>
        <v>2030e</v>
      </c>
    </row>
    <row r="6" spans="1:33">
      <c r="C6" s="568" t="s">
        <v>25</v>
      </c>
      <c r="D6" s="409"/>
      <c r="E6" s="409"/>
      <c r="F6" s="409"/>
      <c r="G6" s="409"/>
      <c r="H6" s="409"/>
      <c r="I6" s="409"/>
      <c r="J6" s="409"/>
      <c r="K6" s="409"/>
      <c r="L6" s="409"/>
      <c r="M6" s="409"/>
      <c r="N6" s="409"/>
      <c r="O6" s="409"/>
      <c r="P6" s="409"/>
      <c r="Q6" s="409"/>
      <c r="R6" s="409"/>
      <c r="S6" s="409"/>
      <c r="T6" s="409"/>
      <c r="U6" s="409"/>
      <c r="V6" s="409"/>
      <c r="W6" s="409"/>
      <c r="X6" s="409"/>
      <c r="Y6" s="409"/>
      <c r="Z6" s="409"/>
      <c r="AA6" s="409"/>
      <c r="AB6" s="409"/>
      <c r="AC6" s="409"/>
      <c r="AD6" s="409"/>
      <c r="AE6" s="409"/>
      <c r="AF6" s="409"/>
      <c r="AG6" s="584"/>
    </row>
    <row r="7" spans="1:33">
      <c r="C7" s="23" t="s">
        <v>53</v>
      </c>
      <c r="D7" s="23"/>
      <c r="E7" s="23"/>
      <c r="F7" s="727">
        <f>SUM(F8:F13)+4171</f>
        <v>576314</v>
      </c>
      <c r="G7" s="727">
        <f>SUM(G8:G13)+4181</f>
        <v>503600</v>
      </c>
      <c r="H7" s="727">
        <f>SUM(H8:H13)+4184</f>
        <v>574404</v>
      </c>
      <c r="I7" s="727">
        <f>SUM(I8:I13)+4181</f>
        <v>788348</v>
      </c>
      <c r="J7" s="728">
        <f t="shared" ref="J7:J13" si="0">SUM(F7:I7)</f>
        <v>2442666</v>
      </c>
      <c r="K7" s="727">
        <f>SUM(K8:K13)+4188</f>
        <v>585003</v>
      </c>
      <c r="L7" s="727">
        <f>SUM(L8:L13)+4189</f>
        <v>693413</v>
      </c>
      <c r="M7" s="727">
        <f>SUM(M8:M13)+4198</f>
        <v>738420</v>
      </c>
      <c r="N7" s="727">
        <f>SUM(N8:N13)+4193</f>
        <v>979525</v>
      </c>
      <c r="O7" s="728">
        <f t="shared" ref="O7:O13" si="1">SUM(K7:N7)</f>
        <v>2996361</v>
      </c>
      <c r="P7" s="727">
        <f>SUM(P8:P13)</f>
        <v>699022</v>
      </c>
      <c r="Q7" s="727">
        <f>SUM(Q8:Q13)</f>
        <v>838040</v>
      </c>
      <c r="R7" s="727">
        <f>SUM(R8:R13)</f>
        <v>1045994</v>
      </c>
      <c r="S7" s="727">
        <f>SUM(S8:S13)</f>
        <v>1297028</v>
      </c>
      <c r="T7" s="728">
        <f t="shared" ref="T7:T13" si="2">SUM(P7:S7)</f>
        <v>3880084</v>
      </c>
      <c r="U7" s="727">
        <f>SUM(U8:U13)</f>
        <v>1400469</v>
      </c>
      <c r="V7" s="729">
        <f>SUM(V8:V13)</f>
        <v>1541864.1675</v>
      </c>
      <c r="W7" s="729">
        <f>SUM(W8:W13)</f>
        <v>1718730.9434175</v>
      </c>
      <c r="X7" s="729">
        <f>SUM(X8:X13)</f>
        <v>2113727.5750644035</v>
      </c>
      <c r="Y7" s="728">
        <f t="shared" ref="Y7:Y13" si="3">SUM(U7:X7)</f>
        <v>6774791.6859819032</v>
      </c>
      <c r="Z7" s="729">
        <f>SUM(Z8:Z13)</f>
        <v>1569916.8630476727</v>
      </c>
      <c r="AA7" s="729">
        <f>SUM(AA8:AA13)</f>
        <v>1730869.86064311</v>
      </c>
      <c r="AB7" s="729">
        <f>SUM(AB8:AB13)</f>
        <v>1922406.9836960782</v>
      </c>
      <c r="AC7" s="729">
        <f>SUM(AC8:AC13)</f>
        <v>2440159.6789104422</v>
      </c>
      <c r="AD7" s="728">
        <f t="shared" ref="AD7:AD13" si="4">SUM(Z7:AC7)</f>
        <v>7663353.3862973023</v>
      </c>
      <c r="AE7" s="728">
        <f>SUM(AE8:AE13)</f>
        <v>7894057.7637738818</v>
      </c>
      <c r="AF7" s="728">
        <f>SUM(AF8:AF13)</f>
        <v>7727144.4667526977</v>
      </c>
      <c r="AG7" s="728">
        <f>SUM(AG8:AG13)</f>
        <v>7330353.4317446342</v>
      </c>
    </row>
    <row r="8" spans="1:33">
      <c r="C8" s="28" t="str">
        <f t="shared" ref="C8:C13" si="5">C16&amp;" Revenue"</f>
        <v>Investment Banking &amp; Equities Revenue</v>
      </c>
      <c r="D8" s="23"/>
      <c r="E8" s="23"/>
      <c r="F8" s="287">
        <v>554811</v>
      </c>
      <c r="G8" s="287">
        <v>482246</v>
      </c>
      <c r="H8" s="287">
        <v>552641</v>
      </c>
      <c r="I8" s="287">
        <f>2355943-SUM(F8:H8)</f>
        <v>766245</v>
      </c>
      <c r="J8" s="286">
        <f t="shared" si="0"/>
        <v>2355943</v>
      </c>
      <c r="K8" s="287">
        <v>561728</v>
      </c>
      <c r="L8" s="287">
        <v>670010</v>
      </c>
      <c r="M8" s="287">
        <v>712775</v>
      </c>
      <c r="N8" s="287">
        <v>953976</v>
      </c>
      <c r="O8" s="286">
        <f t="shared" si="1"/>
        <v>2898489</v>
      </c>
      <c r="P8" s="287">
        <f>557349+54255+55110</f>
        <v>666714</v>
      </c>
      <c r="Q8" s="287">
        <f>697744+32206+58272</f>
        <v>788222</v>
      </c>
      <c r="R8" s="287">
        <f>883712+43730+62816</f>
        <v>990258</v>
      </c>
      <c r="S8" s="287">
        <f>3267087+179647+242685-SUM(P8:R8)</f>
        <v>1244225</v>
      </c>
      <c r="T8" s="286">
        <f t="shared" si="2"/>
        <v>3689419</v>
      </c>
      <c r="U8" s="287">
        <f>1244739+55068+62658</f>
        <v>1362465</v>
      </c>
      <c r="V8" s="289">
        <f>'Revenue Build'!V32</f>
        <v>1503480.1274999999</v>
      </c>
      <c r="W8" s="289">
        <f>'Revenue Build'!W32</f>
        <v>1679387.3024174999</v>
      </c>
      <c r="X8" s="289">
        <f>'Revenue Build'!X32</f>
        <v>2073203.6248344036</v>
      </c>
      <c r="Y8" s="286">
        <f t="shared" si="3"/>
        <v>6618536.0547519028</v>
      </c>
      <c r="Z8" s="289">
        <f>'Revenue Build'!Z32</f>
        <v>1528987.6733153728</v>
      </c>
      <c r="AA8" s="289">
        <f>'Revenue Build'!AA32</f>
        <v>1689531.3790134869</v>
      </c>
      <c r="AB8" s="289">
        <f>'Revenue Build'!AB32</f>
        <v>1880448.424842011</v>
      </c>
      <c r="AC8" s="289">
        <f>'Revenue Build'!AC32</f>
        <v>2397571.7416735636</v>
      </c>
      <c r="AD8" s="286">
        <f t="shared" si="4"/>
        <v>7496539.2188444342</v>
      </c>
      <c r="AE8" s="290">
        <f>'Revenue Build'!AE32</f>
        <v>7743925.0130663002</v>
      </c>
      <c r="AF8" s="290">
        <f>'Revenue Build'!AF32</f>
        <v>7573558.6627788413</v>
      </c>
      <c r="AG8" s="290">
        <f>'Revenue Build'!AG32</f>
        <v>7172160.053651562</v>
      </c>
    </row>
    <row r="9" spans="1:33">
      <c r="C9" s="28" t="str">
        <f t="shared" si="5"/>
        <v>Investment Management Revenue</v>
      </c>
      <c r="D9" s="23"/>
      <c r="E9" s="23"/>
      <c r="F9" s="287">
        <v>17332</v>
      </c>
      <c r="G9" s="287">
        <v>17173</v>
      </c>
      <c r="H9" s="287">
        <v>17579</v>
      </c>
      <c r="I9" s="287">
        <f>70006-SUM(F9:H9)</f>
        <v>17922</v>
      </c>
      <c r="J9" s="286">
        <f t="shared" si="0"/>
        <v>70006</v>
      </c>
      <c r="K9" s="287">
        <v>19087</v>
      </c>
      <c r="L9" s="287">
        <v>19214</v>
      </c>
      <c r="M9" s="287">
        <v>21447</v>
      </c>
      <c r="N9" s="287">
        <v>21356</v>
      </c>
      <c r="O9" s="286">
        <f t="shared" si="1"/>
        <v>81104</v>
      </c>
      <c r="P9" s="287">
        <f>20983+11325</f>
        <v>32308</v>
      </c>
      <c r="Q9" s="287">
        <f>20684+29134</f>
        <v>49818</v>
      </c>
      <c r="R9" s="287">
        <f>22477+33259</f>
        <v>55736</v>
      </c>
      <c r="S9" s="287">
        <f>87356+103309-SUM(P9:R9)</f>
        <v>52803</v>
      </c>
      <c r="T9" s="286">
        <f t="shared" si="2"/>
        <v>190665</v>
      </c>
      <c r="U9" s="287">
        <f>22643+15361</f>
        <v>38004</v>
      </c>
      <c r="V9" s="289">
        <f>'Revenue Build'!V35</f>
        <v>38384.04</v>
      </c>
      <c r="W9" s="289">
        <f>'Revenue Build'!W35</f>
        <v>39343.640999999996</v>
      </c>
      <c r="X9" s="289">
        <f>'Revenue Build'!X35</f>
        <v>40523.950229999995</v>
      </c>
      <c r="Y9" s="286">
        <f t="shared" si="3"/>
        <v>156255.63123</v>
      </c>
      <c r="Z9" s="289">
        <f>'Revenue Build'!Z35</f>
        <v>40929.189732299994</v>
      </c>
      <c r="AA9" s="289">
        <f>'Revenue Build'!AA35</f>
        <v>41338.481629622991</v>
      </c>
      <c r="AB9" s="289">
        <f>'Revenue Build'!AB35</f>
        <v>41958.558854067334</v>
      </c>
      <c r="AC9" s="289">
        <f>'Revenue Build'!AC35</f>
        <v>42587.937236878337</v>
      </c>
      <c r="AD9" s="286">
        <f t="shared" si="4"/>
        <v>166814.16745286866</v>
      </c>
      <c r="AE9" s="290">
        <f>'Revenue Build'!AE35</f>
        <v>150132.75070758178</v>
      </c>
      <c r="AF9" s="290">
        <f>'Revenue Build'!AF35</f>
        <v>153585.80397385615</v>
      </c>
      <c r="AG9" s="290">
        <f>'Revenue Build'!AG35</f>
        <v>158193.37809307183</v>
      </c>
    </row>
    <row r="10" spans="1:33" hidden="1" outlineLevel="1">
      <c r="C10" s="28" t="str">
        <f t="shared" si="5"/>
        <v>Segment 3 Revenue</v>
      </c>
      <c r="D10" s="23"/>
      <c r="E10" s="23"/>
      <c r="F10" s="287">
        <v>0</v>
      </c>
      <c r="G10" s="287">
        <v>0</v>
      </c>
      <c r="H10" s="287">
        <v>0</v>
      </c>
      <c r="I10" s="287">
        <v>0</v>
      </c>
      <c r="J10" s="286">
        <f t="shared" si="0"/>
        <v>0</v>
      </c>
      <c r="K10" s="287">
        <v>0</v>
      </c>
      <c r="L10" s="287">
        <v>0</v>
      </c>
      <c r="M10" s="287">
        <v>0</v>
      </c>
      <c r="N10" s="287">
        <v>0</v>
      </c>
      <c r="O10" s="286">
        <f t="shared" si="1"/>
        <v>0</v>
      </c>
      <c r="P10" s="287">
        <v>0</v>
      </c>
      <c r="Q10" s="287">
        <v>0</v>
      </c>
      <c r="R10" s="287">
        <v>0</v>
      </c>
      <c r="S10" s="287">
        <v>0</v>
      </c>
      <c r="T10" s="286">
        <f t="shared" si="2"/>
        <v>0</v>
      </c>
      <c r="U10" s="287">
        <v>0</v>
      </c>
      <c r="V10" s="289">
        <f>'Revenue Build'!V38</f>
        <v>0</v>
      </c>
      <c r="W10" s="289">
        <f>'Revenue Build'!W38</f>
        <v>0</v>
      </c>
      <c r="X10" s="289">
        <f>'Revenue Build'!X38</f>
        <v>0</v>
      </c>
      <c r="Y10" s="286">
        <f t="shared" si="3"/>
        <v>0</v>
      </c>
      <c r="Z10" s="289">
        <f>'Revenue Build'!Z38</f>
        <v>0</v>
      </c>
      <c r="AA10" s="289">
        <f>'Revenue Build'!AA38</f>
        <v>0</v>
      </c>
      <c r="AB10" s="289">
        <f>'Revenue Build'!AB38</f>
        <v>0</v>
      </c>
      <c r="AC10" s="289">
        <f>'Revenue Build'!AC38</f>
        <v>0</v>
      </c>
      <c r="AD10" s="286">
        <f t="shared" si="4"/>
        <v>0</v>
      </c>
      <c r="AE10" s="290">
        <f>'Revenue Build'!AE38</f>
        <v>0</v>
      </c>
      <c r="AF10" s="290">
        <f>'Revenue Build'!AF38</f>
        <v>0</v>
      </c>
      <c r="AG10" s="290">
        <f>'Revenue Build'!AG38</f>
        <v>0</v>
      </c>
    </row>
    <row r="11" spans="1:33" hidden="1" outlineLevel="1">
      <c r="C11" s="28" t="str">
        <f t="shared" si="5"/>
        <v>Segment 4 Revenue</v>
      </c>
      <c r="D11" s="23"/>
      <c r="E11" s="23"/>
      <c r="F11" s="287">
        <v>0</v>
      </c>
      <c r="G11" s="287">
        <v>0</v>
      </c>
      <c r="H11" s="287">
        <v>0</v>
      </c>
      <c r="I11" s="287">
        <v>0</v>
      </c>
      <c r="J11" s="286">
        <f t="shared" si="0"/>
        <v>0</v>
      </c>
      <c r="K11" s="287">
        <v>0</v>
      </c>
      <c r="L11" s="287">
        <v>0</v>
      </c>
      <c r="M11" s="287">
        <v>0</v>
      </c>
      <c r="N11" s="287">
        <v>0</v>
      </c>
      <c r="O11" s="286">
        <f t="shared" si="1"/>
        <v>0</v>
      </c>
      <c r="P11" s="287">
        <v>0</v>
      </c>
      <c r="Q11" s="287">
        <v>0</v>
      </c>
      <c r="R11" s="287">
        <v>0</v>
      </c>
      <c r="S11" s="287">
        <v>0</v>
      </c>
      <c r="T11" s="286">
        <f t="shared" si="2"/>
        <v>0</v>
      </c>
      <c r="U11" s="287">
        <v>0</v>
      </c>
      <c r="V11" s="289">
        <f>'Revenue Build'!V41</f>
        <v>0</v>
      </c>
      <c r="W11" s="289">
        <f>'Revenue Build'!W41</f>
        <v>0</v>
      </c>
      <c r="X11" s="289">
        <f>'Revenue Build'!X41</f>
        <v>0</v>
      </c>
      <c r="Y11" s="286">
        <f t="shared" si="3"/>
        <v>0</v>
      </c>
      <c r="Z11" s="289">
        <f>'Revenue Build'!Z41</f>
        <v>0</v>
      </c>
      <c r="AA11" s="289">
        <f>'Revenue Build'!AA41</f>
        <v>0</v>
      </c>
      <c r="AB11" s="289">
        <f>'Revenue Build'!AB41</f>
        <v>0</v>
      </c>
      <c r="AC11" s="289">
        <f>'Revenue Build'!AC41</f>
        <v>0</v>
      </c>
      <c r="AD11" s="286">
        <f t="shared" si="4"/>
        <v>0</v>
      </c>
      <c r="AE11" s="290">
        <f>'Revenue Build'!AE41</f>
        <v>0</v>
      </c>
      <c r="AF11" s="290">
        <f>'Revenue Build'!AF41</f>
        <v>0</v>
      </c>
      <c r="AG11" s="290">
        <f>'Revenue Build'!AG41</f>
        <v>0</v>
      </c>
    </row>
    <row r="12" spans="1:33" hidden="1" outlineLevel="1">
      <c r="C12" s="28" t="str">
        <f t="shared" si="5"/>
        <v>Segment 5 Revenue</v>
      </c>
      <c r="D12" s="23"/>
      <c r="E12" s="23"/>
      <c r="F12" s="287">
        <v>0</v>
      </c>
      <c r="G12" s="287">
        <v>0</v>
      </c>
      <c r="H12" s="287">
        <v>0</v>
      </c>
      <c r="I12" s="287">
        <v>0</v>
      </c>
      <c r="J12" s="286">
        <f t="shared" si="0"/>
        <v>0</v>
      </c>
      <c r="K12" s="287">
        <v>0</v>
      </c>
      <c r="L12" s="287">
        <v>0</v>
      </c>
      <c r="M12" s="287">
        <v>0</v>
      </c>
      <c r="N12" s="287">
        <v>0</v>
      </c>
      <c r="O12" s="286">
        <f t="shared" si="1"/>
        <v>0</v>
      </c>
      <c r="P12" s="287">
        <v>0</v>
      </c>
      <c r="Q12" s="287">
        <v>0</v>
      </c>
      <c r="R12" s="287">
        <v>0</v>
      </c>
      <c r="S12" s="287">
        <v>0</v>
      </c>
      <c r="T12" s="286">
        <f t="shared" si="2"/>
        <v>0</v>
      </c>
      <c r="U12" s="287">
        <v>0</v>
      </c>
      <c r="V12" s="289">
        <f>'Revenue Build'!V44</f>
        <v>0</v>
      </c>
      <c r="W12" s="289">
        <f>'Revenue Build'!W44</f>
        <v>0</v>
      </c>
      <c r="X12" s="289">
        <f>'Revenue Build'!X44</f>
        <v>0</v>
      </c>
      <c r="Y12" s="286">
        <f t="shared" si="3"/>
        <v>0</v>
      </c>
      <c r="Z12" s="289">
        <f>'Revenue Build'!Z44</f>
        <v>0</v>
      </c>
      <c r="AA12" s="289">
        <f>'Revenue Build'!AA44</f>
        <v>0</v>
      </c>
      <c r="AB12" s="289">
        <f>'Revenue Build'!AB44</f>
        <v>0</v>
      </c>
      <c r="AC12" s="289">
        <f>'Revenue Build'!AC44</f>
        <v>0</v>
      </c>
      <c r="AD12" s="286">
        <f t="shared" si="4"/>
        <v>0</v>
      </c>
      <c r="AE12" s="290">
        <f>'Revenue Build'!AE44</f>
        <v>0</v>
      </c>
      <c r="AF12" s="290">
        <f>'Revenue Build'!AF44</f>
        <v>0</v>
      </c>
      <c r="AG12" s="290">
        <f>'Revenue Build'!AG44</f>
        <v>0</v>
      </c>
    </row>
    <row r="13" spans="1:33" hidden="1" outlineLevel="1">
      <c r="C13" s="28" t="str">
        <f t="shared" si="5"/>
        <v>Segment 6 Revenue</v>
      </c>
      <c r="D13" s="23"/>
      <c r="E13" s="23"/>
      <c r="F13" s="287">
        <v>0</v>
      </c>
      <c r="G13" s="287">
        <v>0</v>
      </c>
      <c r="H13" s="287">
        <v>0</v>
      </c>
      <c r="I13" s="287">
        <v>0</v>
      </c>
      <c r="J13" s="286">
        <f t="shared" si="0"/>
        <v>0</v>
      </c>
      <c r="K13" s="287">
        <v>0</v>
      </c>
      <c r="L13" s="287">
        <v>0</v>
      </c>
      <c r="M13" s="287">
        <v>0</v>
      </c>
      <c r="N13" s="287">
        <v>0</v>
      </c>
      <c r="O13" s="286">
        <f t="shared" si="1"/>
        <v>0</v>
      </c>
      <c r="P13" s="287">
        <v>0</v>
      </c>
      <c r="Q13" s="287">
        <v>0</v>
      </c>
      <c r="R13" s="287">
        <v>0</v>
      </c>
      <c r="S13" s="287">
        <v>0</v>
      </c>
      <c r="T13" s="286">
        <f t="shared" si="2"/>
        <v>0</v>
      </c>
      <c r="U13" s="287">
        <v>0</v>
      </c>
      <c r="V13" s="289">
        <f>'Revenue Build'!V47</f>
        <v>0</v>
      </c>
      <c r="W13" s="289">
        <f>'Revenue Build'!W47</f>
        <v>0</v>
      </c>
      <c r="X13" s="289">
        <f>'Revenue Build'!X47</f>
        <v>0</v>
      </c>
      <c r="Y13" s="286">
        <f t="shared" si="3"/>
        <v>0</v>
      </c>
      <c r="Z13" s="289">
        <f>'Revenue Build'!Z47</f>
        <v>0</v>
      </c>
      <c r="AA13" s="289">
        <f>'Revenue Build'!AA47</f>
        <v>0</v>
      </c>
      <c r="AB13" s="289">
        <f>'Revenue Build'!AB47</f>
        <v>0</v>
      </c>
      <c r="AC13" s="289">
        <f>'Revenue Build'!AC47</f>
        <v>0</v>
      </c>
      <c r="AD13" s="286">
        <f t="shared" si="4"/>
        <v>0</v>
      </c>
      <c r="AE13" s="290">
        <f>'Revenue Build'!AE47</f>
        <v>0</v>
      </c>
      <c r="AF13" s="290">
        <f>'Revenue Build'!AF47</f>
        <v>0</v>
      </c>
      <c r="AG13" s="290">
        <f>'Revenue Build'!AG47</f>
        <v>0</v>
      </c>
    </row>
    <row r="14" spans="1:33" collapsed="1">
      <c r="C14" s="23"/>
      <c r="D14" s="23"/>
      <c r="E14" s="23"/>
      <c r="F14" s="268"/>
      <c r="G14" s="268"/>
      <c r="H14" s="291"/>
      <c r="I14" s="268"/>
      <c r="J14" s="269"/>
      <c r="K14" s="268"/>
      <c r="L14" s="268"/>
      <c r="M14" s="268"/>
      <c r="N14" s="268"/>
      <c r="O14" s="269"/>
      <c r="P14" s="268"/>
      <c r="Q14" s="268"/>
      <c r="R14" s="268"/>
      <c r="S14" s="268"/>
      <c r="T14" s="269"/>
      <c r="U14" s="268"/>
      <c r="V14" s="272"/>
      <c r="W14" s="272"/>
      <c r="X14" s="272"/>
      <c r="Y14" s="269"/>
      <c r="Z14" s="272"/>
      <c r="AA14" s="272"/>
      <c r="AB14" s="272"/>
      <c r="AC14" s="272"/>
      <c r="AD14" s="269"/>
      <c r="AE14" s="269"/>
      <c r="AF14" s="269"/>
      <c r="AG14" s="269"/>
    </row>
    <row r="15" spans="1:33">
      <c r="C15" s="23" t="s">
        <v>54</v>
      </c>
      <c r="D15" s="23"/>
      <c r="E15" s="23"/>
      <c r="F15" s="296"/>
      <c r="G15" s="296"/>
      <c r="H15" s="291"/>
      <c r="I15" s="296"/>
      <c r="J15" s="269"/>
      <c r="K15" s="296"/>
      <c r="L15" s="296"/>
      <c r="M15" s="296"/>
      <c r="N15" s="296"/>
      <c r="O15" s="269"/>
      <c r="P15" s="296"/>
      <c r="Q15" s="296"/>
      <c r="R15" s="296"/>
      <c r="S15" s="296"/>
      <c r="T15" s="269"/>
      <c r="U15" s="296"/>
      <c r="V15" s="298"/>
      <c r="W15" s="298"/>
      <c r="X15" s="298"/>
      <c r="Y15" s="269"/>
      <c r="Z15" s="298"/>
      <c r="AA15" s="298"/>
      <c r="AB15" s="298"/>
      <c r="AC15" s="298"/>
      <c r="AD15" s="269"/>
      <c r="AE15" s="269"/>
      <c r="AF15" s="269"/>
      <c r="AG15" s="269"/>
    </row>
    <row r="16" spans="1:33">
      <c r="C16" s="1058" t="s">
        <v>858</v>
      </c>
      <c r="D16" s="23"/>
      <c r="E16" s="23"/>
      <c r="F16" s="292">
        <f t="shared" ref="F16:S16" si="6">IFERROR(F8/F$7,"N/A")</f>
        <v>0.96268874259518245</v>
      </c>
      <c r="G16" s="292">
        <f t="shared" si="6"/>
        <v>0.95759729944400318</v>
      </c>
      <c r="H16" s="292">
        <f t="shared" si="6"/>
        <v>0.96211203264601219</v>
      </c>
      <c r="I16" s="292">
        <f t="shared" si="6"/>
        <v>0.97196288948535414</v>
      </c>
      <c r="J16" s="293">
        <f t="shared" si="6"/>
        <v>0.9644965787381492</v>
      </c>
      <c r="K16" s="292">
        <f t="shared" si="6"/>
        <v>0.96021387924506374</v>
      </c>
      <c r="L16" s="292">
        <f t="shared" si="6"/>
        <v>0.96624955113330724</v>
      </c>
      <c r="M16" s="292">
        <f t="shared" si="6"/>
        <v>0.96527044229571246</v>
      </c>
      <c r="N16" s="292">
        <f t="shared" si="6"/>
        <v>0.9739169495418698</v>
      </c>
      <c r="O16" s="293">
        <f t="shared" si="6"/>
        <v>0.96733637902776071</v>
      </c>
      <c r="P16" s="292">
        <f t="shared" si="6"/>
        <v>0.95378113993550995</v>
      </c>
      <c r="Q16" s="292">
        <f t="shared" si="6"/>
        <v>0.94055415015989685</v>
      </c>
      <c r="R16" s="292">
        <f t="shared" si="6"/>
        <v>0.94671479951127824</v>
      </c>
      <c r="S16" s="292">
        <f t="shared" si="6"/>
        <v>0.95928923662403587</v>
      </c>
      <c r="T16" s="293">
        <f t="shared" ref="T16:AG16" si="7">IFERROR(T8/T$7,"N/A")</f>
        <v>0.95086059992515626</v>
      </c>
      <c r="U16" s="292">
        <f t="shared" si="7"/>
        <v>0.9728633764831639</v>
      </c>
      <c r="V16" s="294">
        <f t="shared" ref="U16:X16" si="8">IFERROR(V8/V$7,"N/A")</f>
        <v>0.97510543353359302</v>
      </c>
      <c r="W16" s="294">
        <f t="shared" si="8"/>
        <v>0.97710890052298138</v>
      </c>
      <c r="X16" s="294">
        <f t="shared" si="8"/>
        <v>0.98082820572146578</v>
      </c>
      <c r="Y16" s="293">
        <f t="shared" si="7"/>
        <v>0.97693572902716441</v>
      </c>
      <c r="Z16" s="294">
        <f t="shared" si="7"/>
        <v>0.97392907185362398</v>
      </c>
      <c r="AA16" s="294">
        <f t="shared" si="7"/>
        <v>0.97611693254958887</v>
      </c>
      <c r="AB16" s="294">
        <f t="shared" si="7"/>
        <v>0.97817394588663198</v>
      </c>
      <c r="AC16" s="294">
        <f t="shared" si="7"/>
        <v>0.9825470695196904</v>
      </c>
      <c r="AD16" s="293">
        <f t="shared" si="7"/>
        <v>0.97823222301725699</v>
      </c>
      <c r="AE16" s="293">
        <f t="shared" si="7"/>
        <v>0.98098154900809742</v>
      </c>
      <c r="AF16" s="293">
        <f t="shared" si="7"/>
        <v>0.9801238601614497</v>
      </c>
      <c r="AG16" s="293">
        <f t="shared" si="7"/>
        <v>0.97841940643571101</v>
      </c>
    </row>
    <row r="17" spans="3:33">
      <c r="C17" s="1058" t="s">
        <v>857</v>
      </c>
      <c r="D17" s="23"/>
      <c r="E17" s="23"/>
      <c r="F17" s="292">
        <f t="shared" ref="F17:S17" si="9">IFERROR(F9/F$7,"N/A")</f>
        <v>3.0073883334432273E-2</v>
      </c>
      <c r="G17" s="292">
        <f t="shared" si="9"/>
        <v>3.4100476568705324E-2</v>
      </c>
      <c r="H17" s="292">
        <f t="shared" si="9"/>
        <v>3.060389551604794E-2</v>
      </c>
      <c r="I17" s="292">
        <f t="shared" si="9"/>
        <v>2.2733615103989607E-2</v>
      </c>
      <c r="J17" s="293">
        <f t="shared" si="9"/>
        <v>2.8659669394014573E-2</v>
      </c>
      <c r="K17" s="292">
        <f t="shared" si="9"/>
        <v>3.2627183108462694E-2</v>
      </c>
      <c r="L17" s="292">
        <f t="shared" si="9"/>
        <v>2.7709316093006621E-2</v>
      </c>
      <c r="M17" s="292">
        <f t="shared" si="9"/>
        <v>2.9044446250101569E-2</v>
      </c>
      <c r="N17" s="292">
        <f t="shared" si="9"/>
        <v>2.1802404226538372E-2</v>
      </c>
      <c r="O17" s="293">
        <f t="shared" si="9"/>
        <v>2.706749954361307E-2</v>
      </c>
      <c r="P17" s="292">
        <f t="shared" si="9"/>
        <v>4.6218860064490101E-2</v>
      </c>
      <c r="Q17" s="292">
        <f t="shared" si="9"/>
        <v>5.94458498401031E-2</v>
      </c>
      <c r="R17" s="292">
        <f t="shared" si="9"/>
        <v>5.3285200488721735E-2</v>
      </c>
      <c r="S17" s="292">
        <f t="shared" si="9"/>
        <v>4.0710763375964125E-2</v>
      </c>
      <c r="T17" s="293">
        <f t="shared" ref="T17:AG17" si="10">IFERROR(T9/T$7,"N/A")</f>
        <v>4.9139400074843742E-2</v>
      </c>
      <c r="U17" s="292">
        <f t="shared" si="10"/>
        <v>2.7136623516836145E-2</v>
      </c>
      <c r="V17" s="294">
        <f t="shared" ref="U17:X17" si="11">IFERROR(V9/V$7,"N/A")</f>
        <v>2.4894566466406972E-2</v>
      </c>
      <c r="W17" s="294">
        <f t="shared" si="11"/>
        <v>2.2891099477018586E-2</v>
      </c>
      <c r="X17" s="294">
        <f t="shared" si="11"/>
        <v>1.917179427853434E-2</v>
      </c>
      <c r="Y17" s="293">
        <f t="shared" si="10"/>
        <v>2.3064270972835546E-2</v>
      </c>
      <c r="Z17" s="294">
        <f t="shared" si="10"/>
        <v>2.6070928146376068E-2</v>
      </c>
      <c r="AA17" s="294">
        <f t="shared" si="10"/>
        <v>2.388306745041106E-2</v>
      </c>
      <c r="AB17" s="294">
        <f t="shared" si="10"/>
        <v>2.1826054113368094E-2</v>
      </c>
      <c r="AC17" s="294">
        <f t="shared" si="10"/>
        <v>1.7452930480309516E-2</v>
      </c>
      <c r="AD17" s="293">
        <f t="shared" si="10"/>
        <v>2.176777698274308E-2</v>
      </c>
      <c r="AE17" s="293">
        <f t="shared" si="10"/>
        <v>1.9018450991902597E-2</v>
      </c>
      <c r="AF17" s="293">
        <f t="shared" si="10"/>
        <v>1.9876139838550213E-2</v>
      </c>
      <c r="AG17" s="293">
        <f t="shared" si="10"/>
        <v>2.1580593564288972E-2</v>
      </c>
    </row>
    <row r="18" spans="3:33" hidden="1" outlineLevel="1">
      <c r="C18" s="840" t="s">
        <v>661</v>
      </c>
      <c r="D18" s="23"/>
      <c r="E18" s="23"/>
      <c r="F18" s="292">
        <f t="shared" ref="F18:S18" si="12">IFERROR(F10/F$7,"N/A")</f>
        <v>0</v>
      </c>
      <c r="G18" s="292">
        <f t="shared" si="12"/>
        <v>0</v>
      </c>
      <c r="H18" s="292">
        <f t="shared" si="12"/>
        <v>0</v>
      </c>
      <c r="I18" s="292">
        <f t="shared" si="12"/>
        <v>0</v>
      </c>
      <c r="J18" s="293">
        <f t="shared" si="12"/>
        <v>0</v>
      </c>
      <c r="K18" s="292">
        <f t="shared" si="12"/>
        <v>0</v>
      </c>
      <c r="L18" s="292">
        <f t="shared" si="12"/>
        <v>0</v>
      </c>
      <c r="M18" s="292">
        <f t="shared" si="12"/>
        <v>0</v>
      </c>
      <c r="N18" s="292">
        <f t="shared" si="12"/>
        <v>0</v>
      </c>
      <c r="O18" s="293">
        <f t="shared" si="12"/>
        <v>0</v>
      </c>
      <c r="P18" s="292">
        <f t="shared" si="12"/>
        <v>0</v>
      </c>
      <c r="Q18" s="292">
        <f t="shared" si="12"/>
        <v>0</v>
      </c>
      <c r="R18" s="292">
        <f t="shared" si="12"/>
        <v>0</v>
      </c>
      <c r="S18" s="292">
        <f t="shared" si="12"/>
        <v>0</v>
      </c>
      <c r="T18" s="293">
        <f t="shared" ref="T18:AG18" si="13">IFERROR(T10/T$7,"N/A")</f>
        <v>0</v>
      </c>
      <c r="U18" s="292">
        <f t="shared" si="13"/>
        <v>0</v>
      </c>
      <c r="V18" s="294">
        <f t="shared" ref="U18:X18" si="14">IFERROR(V10/V$7,"N/A")</f>
        <v>0</v>
      </c>
      <c r="W18" s="294">
        <f t="shared" si="14"/>
        <v>0</v>
      </c>
      <c r="X18" s="294">
        <f t="shared" si="14"/>
        <v>0</v>
      </c>
      <c r="Y18" s="293">
        <f t="shared" si="13"/>
        <v>0</v>
      </c>
      <c r="Z18" s="294">
        <f t="shared" si="13"/>
        <v>0</v>
      </c>
      <c r="AA18" s="294">
        <f t="shared" si="13"/>
        <v>0</v>
      </c>
      <c r="AB18" s="294">
        <f t="shared" si="13"/>
        <v>0</v>
      </c>
      <c r="AC18" s="294">
        <f t="shared" si="13"/>
        <v>0</v>
      </c>
      <c r="AD18" s="293">
        <f t="shared" si="13"/>
        <v>0</v>
      </c>
      <c r="AE18" s="293">
        <f t="shared" si="13"/>
        <v>0</v>
      </c>
      <c r="AF18" s="293">
        <f t="shared" si="13"/>
        <v>0</v>
      </c>
      <c r="AG18" s="293">
        <f t="shared" si="13"/>
        <v>0</v>
      </c>
    </row>
    <row r="19" spans="3:33" hidden="1" outlineLevel="1">
      <c r="C19" s="840" t="s">
        <v>662</v>
      </c>
      <c r="D19" s="23"/>
      <c r="E19" s="23"/>
      <c r="F19" s="292">
        <f t="shared" ref="F19:S19" si="15">IFERROR(F11/F$7,"N/A")</f>
        <v>0</v>
      </c>
      <c r="G19" s="292">
        <f t="shared" si="15"/>
        <v>0</v>
      </c>
      <c r="H19" s="292">
        <f t="shared" si="15"/>
        <v>0</v>
      </c>
      <c r="I19" s="292">
        <f t="shared" si="15"/>
        <v>0</v>
      </c>
      <c r="J19" s="293">
        <f t="shared" si="15"/>
        <v>0</v>
      </c>
      <c r="K19" s="292">
        <f t="shared" si="15"/>
        <v>0</v>
      </c>
      <c r="L19" s="292">
        <f t="shared" si="15"/>
        <v>0</v>
      </c>
      <c r="M19" s="292">
        <f t="shared" si="15"/>
        <v>0</v>
      </c>
      <c r="N19" s="292">
        <f t="shared" si="15"/>
        <v>0</v>
      </c>
      <c r="O19" s="293">
        <f t="shared" si="15"/>
        <v>0</v>
      </c>
      <c r="P19" s="292">
        <f t="shared" si="15"/>
        <v>0</v>
      </c>
      <c r="Q19" s="292">
        <f t="shared" si="15"/>
        <v>0</v>
      </c>
      <c r="R19" s="292">
        <f t="shared" si="15"/>
        <v>0</v>
      </c>
      <c r="S19" s="292">
        <f t="shared" si="15"/>
        <v>0</v>
      </c>
      <c r="T19" s="293">
        <f t="shared" ref="T19:AG19" si="16">IFERROR(T11/T$7,"N/A")</f>
        <v>0</v>
      </c>
      <c r="U19" s="292">
        <f t="shared" si="16"/>
        <v>0</v>
      </c>
      <c r="V19" s="294">
        <f t="shared" ref="U19:X19" si="17">IFERROR(V11/V$7,"N/A")</f>
        <v>0</v>
      </c>
      <c r="W19" s="294">
        <f t="shared" si="17"/>
        <v>0</v>
      </c>
      <c r="X19" s="294">
        <f t="shared" si="17"/>
        <v>0</v>
      </c>
      <c r="Y19" s="293">
        <f t="shared" si="16"/>
        <v>0</v>
      </c>
      <c r="Z19" s="294">
        <f t="shared" si="16"/>
        <v>0</v>
      </c>
      <c r="AA19" s="294">
        <f t="shared" si="16"/>
        <v>0</v>
      </c>
      <c r="AB19" s="294">
        <f t="shared" si="16"/>
        <v>0</v>
      </c>
      <c r="AC19" s="294">
        <f t="shared" si="16"/>
        <v>0</v>
      </c>
      <c r="AD19" s="293">
        <f t="shared" si="16"/>
        <v>0</v>
      </c>
      <c r="AE19" s="293">
        <f t="shared" si="16"/>
        <v>0</v>
      </c>
      <c r="AF19" s="293">
        <f t="shared" si="16"/>
        <v>0</v>
      </c>
      <c r="AG19" s="293">
        <f t="shared" si="16"/>
        <v>0</v>
      </c>
    </row>
    <row r="20" spans="3:33" hidden="1" outlineLevel="1">
      <c r="C20" s="840" t="s">
        <v>663</v>
      </c>
      <c r="D20" s="23"/>
      <c r="E20" s="23"/>
      <c r="F20" s="292">
        <f t="shared" ref="F20:S20" si="18">IFERROR(F12/F$7,"N/A")</f>
        <v>0</v>
      </c>
      <c r="G20" s="292">
        <f t="shared" si="18"/>
        <v>0</v>
      </c>
      <c r="H20" s="292">
        <f t="shared" si="18"/>
        <v>0</v>
      </c>
      <c r="I20" s="292">
        <f t="shared" si="18"/>
        <v>0</v>
      </c>
      <c r="J20" s="293">
        <f t="shared" si="18"/>
        <v>0</v>
      </c>
      <c r="K20" s="292">
        <f t="shared" si="18"/>
        <v>0</v>
      </c>
      <c r="L20" s="292">
        <f t="shared" si="18"/>
        <v>0</v>
      </c>
      <c r="M20" s="292">
        <f t="shared" si="18"/>
        <v>0</v>
      </c>
      <c r="N20" s="292">
        <f t="shared" si="18"/>
        <v>0</v>
      </c>
      <c r="O20" s="293">
        <f t="shared" si="18"/>
        <v>0</v>
      </c>
      <c r="P20" s="292">
        <f t="shared" si="18"/>
        <v>0</v>
      </c>
      <c r="Q20" s="292">
        <f t="shared" si="18"/>
        <v>0</v>
      </c>
      <c r="R20" s="292">
        <f t="shared" si="18"/>
        <v>0</v>
      </c>
      <c r="S20" s="292">
        <f t="shared" si="18"/>
        <v>0</v>
      </c>
      <c r="T20" s="293">
        <f t="shared" ref="T20:AG20" si="19">IFERROR(T12/T$7,"N/A")</f>
        <v>0</v>
      </c>
      <c r="U20" s="292">
        <f t="shared" si="19"/>
        <v>0</v>
      </c>
      <c r="V20" s="294">
        <f t="shared" ref="U20:X20" si="20">IFERROR(V12/V$7,"N/A")</f>
        <v>0</v>
      </c>
      <c r="W20" s="294">
        <f t="shared" si="20"/>
        <v>0</v>
      </c>
      <c r="X20" s="294">
        <f t="shared" si="20"/>
        <v>0</v>
      </c>
      <c r="Y20" s="293">
        <f t="shared" si="19"/>
        <v>0</v>
      </c>
      <c r="Z20" s="294">
        <f t="shared" si="19"/>
        <v>0</v>
      </c>
      <c r="AA20" s="294">
        <f t="shared" si="19"/>
        <v>0</v>
      </c>
      <c r="AB20" s="294">
        <f t="shared" si="19"/>
        <v>0</v>
      </c>
      <c r="AC20" s="294">
        <f t="shared" si="19"/>
        <v>0</v>
      </c>
      <c r="AD20" s="293">
        <f t="shared" si="19"/>
        <v>0</v>
      </c>
      <c r="AE20" s="293">
        <f t="shared" si="19"/>
        <v>0</v>
      </c>
      <c r="AF20" s="293">
        <f t="shared" si="19"/>
        <v>0</v>
      </c>
      <c r="AG20" s="293">
        <f t="shared" si="19"/>
        <v>0</v>
      </c>
    </row>
    <row r="21" spans="3:33" hidden="1" outlineLevel="1">
      <c r="C21" s="840" t="s">
        <v>664</v>
      </c>
      <c r="D21" s="23"/>
      <c r="E21" s="23"/>
      <c r="F21" s="292">
        <f t="shared" ref="F21:S21" si="21">IFERROR(F13/F$7,"N/A")</f>
        <v>0</v>
      </c>
      <c r="G21" s="292">
        <f t="shared" si="21"/>
        <v>0</v>
      </c>
      <c r="H21" s="292">
        <f t="shared" si="21"/>
        <v>0</v>
      </c>
      <c r="I21" s="292">
        <f t="shared" si="21"/>
        <v>0</v>
      </c>
      <c r="J21" s="293">
        <f t="shared" si="21"/>
        <v>0</v>
      </c>
      <c r="K21" s="292">
        <f t="shared" si="21"/>
        <v>0</v>
      </c>
      <c r="L21" s="292">
        <f t="shared" si="21"/>
        <v>0</v>
      </c>
      <c r="M21" s="292">
        <f t="shared" si="21"/>
        <v>0</v>
      </c>
      <c r="N21" s="292">
        <f t="shared" si="21"/>
        <v>0</v>
      </c>
      <c r="O21" s="293">
        <f t="shared" si="21"/>
        <v>0</v>
      </c>
      <c r="P21" s="292">
        <f t="shared" si="21"/>
        <v>0</v>
      </c>
      <c r="Q21" s="292">
        <f t="shared" si="21"/>
        <v>0</v>
      </c>
      <c r="R21" s="292">
        <f t="shared" si="21"/>
        <v>0</v>
      </c>
      <c r="S21" s="292">
        <f t="shared" si="21"/>
        <v>0</v>
      </c>
      <c r="T21" s="293">
        <f t="shared" ref="T21:AG21" si="22">IFERROR(T13/T$7,"N/A")</f>
        <v>0</v>
      </c>
      <c r="U21" s="292">
        <f t="shared" si="22"/>
        <v>0</v>
      </c>
      <c r="V21" s="294">
        <f t="shared" ref="U21:X21" si="23">IFERROR(V13/V$7,"N/A")</f>
        <v>0</v>
      </c>
      <c r="W21" s="294">
        <f t="shared" si="23"/>
        <v>0</v>
      </c>
      <c r="X21" s="294">
        <f t="shared" si="23"/>
        <v>0</v>
      </c>
      <c r="Y21" s="293">
        <f t="shared" si="22"/>
        <v>0</v>
      </c>
      <c r="Z21" s="294">
        <f t="shared" si="22"/>
        <v>0</v>
      </c>
      <c r="AA21" s="294">
        <f t="shared" si="22"/>
        <v>0</v>
      </c>
      <c r="AB21" s="294">
        <f t="shared" si="22"/>
        <v>0</v>
      </c>
      <c r="AC21" s="294">
        <f t="shared" si="22"/>
        <v>0</v>
      </c>
      <c r="AD21" s="293">
        <f t="shared" si="22"/>
        <v>0</v>
      </c>
      <c r="AE21" s="293">
        <f t="shared" si="22"/>
        <v>0</v>
      </c>
      <c r="AF21" s="293">
        <f t="shared" si="22"/>
        <v>0</v>
      </c>
      <c r="AG21" s="293">
        <f t="shared" si="22"/>
        <v>0</v>
      </c>
    </row>
    <row r="22" spans="3:33" collapsed="1">
      <c r="C22" s="23"/>
      <c r="D22" s="23"/>
      <c r="E22" s="23"/>
      <c r="F22" s="268"/>
      <c r="G22" s="268"/>
      <c r="H22" s="268"/>
      <c r="I22" s="268"/>
      <c r="J22" s="269"/>
      <c r="K22" s="268"/>
      <c r="L22" s="268"/>
      <c r="M22" s="268"/>
      <c r="N22" s="268"/>
      <c r="O22" s="269"/>
      <c r="P22" s="268"/>
      <c r="Q22" s="268"/>
      <c r="R22" s="268"/>
      <c r="S22" s="268"/>
      <c r="T22" s="269"/>
      <c r="U22" s="268"/>
      <c r="V22" s="272"/>
      <c r="W22" s="272"/>
      <c r="X22" s="272"/>
      <c r="Y22" s="269"/>
      <c r="Z22" s="272"/>
      <c r="AA22" s="272"/>
      <c r="AB22" s="272"/>
      <c r="AC22" s="272"/>
      <c r="AD22" s="269"/>
      <c r="AE22" s="269"/>
      <c r="AF22" s="269"/>
      <c r="AG22" s="269"/>
    </row>
    <row r="23" spans="3:33" hidden="1" outlineLevel="1">
      <c r="C23" s="23" t="s">
        <v>651</v>
      </c>
      <c r="D23" s="23"/>
      <c r="E23" s="23"/>
      <c r="F23" s="727">
        <f>SUM(F24:F26)</f>
        <v>0</v>
      </c>
      <c r="G23" s="727">
        <f>SUM(G24:G26)</f>
        <v>0</v>
      </c>
      <c r="H23" s="727">
        <f>SUM(H24:H26)</f>
        <v>0</v>
      </c>
      <c r="I23" s="727">
        <f>SUM(I24:I26)</f>
        <v>0</v>
      </c>
      <c r="J23" s="728">
        <f>SUM(F23:I23)</f>
        <v>0</v>
      </c>
      <c r="K23" s="727">
        <f>SUM(K24:K26)</f>
        <v>0</v>
      </c>
      <c r="L23" s="727">
        <f>SUM(L24:L26)</f>
        <v>0</v>
      </c>
      <c r="M23" s="727">
        <f>SUM(M24:M26)</f>
        <v>0</v>
      </c>
      <c r="N23" s="727">
        <f>SUM(N24:N26)</f>
        <v>0</v>
      </c>
      <c r="O23" s="728">
        <f>SUM(K23:N23)</f>
        <v>0</v>
      </c>
      <c r="P23" s="727">
        <f>SUM(P24:P26)</f>
        <v>0</v>
      </c>
      <c r="Q23" s="727">
        <f>SUM(Q24:Q26)</f>
        <v>0</v>
      </c>
      <c r="R23" s="727">
        <f>SUM(R24:R26)</f>
        <v>0</v>
      </c>
      <c r="S23" s="727">
        <f>SUM(S24:S26)</f>
        <v>0</v>
      </c>
      <c r="T23" s="728">
        <f>SUM(P23:S23)</f>
        <v>0</v>
      </c>
      <c r="U23" s="727">
        <f>SUM(U24:U26)</f>
        <v>0</v>
      </c>
      <c r="V23" s="729">
        <f>SUM(V24:V26)</f>
        <v>0</v>
      </c>
      <c r="W23" s="729">
        <f>SUM(W24:W26)</f>
        <v>0</v>
      </c>
      <c r="X23" s="729">
        <f>SUM(X24:X26)</f>
        <v>0</v>
      </c>
      <c r="Y23" s="728">
        <f>SUM(U23:X23)</f>
        <v>0</v>
      </c>
      <c r="Z23" s="729">
        <f>SUM(Z24:Z26)</f>
        <v>0</v>
      </c>
      <c r="AA23" s="729">
        <f>SUM(AA24:AA26)</f>
        <v>0</v>
      </c>
      <c r="AB23" s="729">
        <f>SUM(AB24:AB26)</f>
        <v>0</v>
      </c>
      <c r="AC23" s="729">
        <f>SUM(AC24:AC26)</f>
        <v>0</v>
      </c>
      <c r="AD23" s="728">
        <f>SUM(Z23:AC23)</f>
        <v>0</v>
      </c>
      <c r="AE23" s="728">
        <f>SUM(AE24:AE26)</f>
        <v>0</v>
      </c>
      <c r="AF23" s="728">
        <f>SUM(AF24:AF26)</f>
        <v>0</v>
      </c>
      <c r="AG23" s="728">
        <f>SUM(AG24:AG26)</f>
        <v>0</v>
      </c>
    </row>
    <row r="24" spans="3:33" hidden="1" outlineLevel="1">
      <c r="C24" s="28" t="str">
        <f>C29&amp;" Revenue"</f>
        <v>Boeing Military Aircraft Revenue</v>
      </c>
      <c r="D24" s="23"/>
      <c r="E24" s="23"/>
      <c r="F24" s="287">
        <v>0</v>
      </c>
      <c r="G24" s="287">
        <v>0</v>
      </c>
      <c r="H24" s="287">
        <v>0</v>
      </c>
      <c r="I24" s="287">
        <v>0</v>
      </c>
      <c r="J24" s="286">
        <f>SUM(F24:I24)</f>
        <v>0</v>
      </c>
      <c r="K24" s="287">
        <v>0</v>
      </c>
      <c r="L24" s="287">
        <v>0</v>
      </c>
      <c r="M24" s="287">
        <v>0</v>
      </c>
      <c r="N24" s="287">
        <v>0</v>
      </c>
      <c r="O24" s="286">
        <f>SUM(K24:N24)</f>
        <v>0</v>
      </c>
      <c r="P24" s="287">
        <v>0</v>
      </c>
      <c r="Q24" s="287">
        <v>0</v>
      </c>
      <c r="R24" s="287">
        <v>0</v>
      </c>
      <c r="S24" s="287">
        <v>0</v>
      </c>
      <c r="T24" s="286">
        <f>SUM(P24:S24)</f>
        <v>0</v>
      </c>
      <c r="U24" s="287">
        <v>0</v>
      </c>
      <c r="V24" s="288">
        <v>0</v>
      </c>
      <c r="W24" s="288">
        <v>0</v>
      </c>
      <c r="X24" s="288">
        <v>0</v>
      </c>
      <c r="Y24" s="286">
        <f>SUM(U24:X24)</f>
        <v>0</v>
      </c>
      <c r="Z24" s="288">
        <v>0</v>
      </c>
      <c r="AA24" s="288">
        <v>0</v>
      </c>
      <c r="AB24" s="288">
        <v>0</v>
      </c>
      <c r="AC24" s="288">
        <v>0</v>
      </c>
      <c r="AD24" s="286">
        <f>SUM(Z24:AC24)</f>
        <v>0</v>
      </c>
      <c r="AE24" s="295">
        <v>0</v>
      </c>
      <c r="AF24" s="295">
        <v>0</v>
      </c>
      <c r="AG24" s="295">
        <v>0</v>
      </c>
    </row>
    <row r="25" spans="3:33" hidden="1" outlineLevel="1">
      <c r="C25" s="28" t="str">
        <f>C30&amp;" Revenue"</f>
        <v>Network &amp; Space Systems Revenue</v>
      </c>
      <c r="D25" s="23"/>
      <c r="E25" s="23"/>
      <c r="F25" s="287">
        <v>0</v>
      </c>
      <c r="G25" s="287">
        <v>0</v>
      </c>
      <c r="H25" s="287">
        <v>0</v>
      </c>
      <c r="I25" s="287">
        <v>0</v>
      </c>
      <c r="J25" s="286">
        <f>SUM(F25:I25)</f>
        <v>0</v>
      </c>
      <c r="K25" s="287">
        <v>0</v>
      </c>
      <c r="L25" s="287">
        <v>0</v>
      </c>
      <c r="M25" s="287">
        <v>0</v>
      </c>
      <c r="N25" s="287">
        <v>0</v>
      </c>
      <c r="O25" s="286">
        <f>SUM(K25:N25)</f>
        <v>0</v>
      </c>
      <c r="P25" s="287">
        <v>0</v>
      </c>
      <c r="Q25" s="287">
        <v>0</v>
      </c>
      <c r="R25" s="287">
        <v>0</v>
      </c>
      <c r="S25" s="287">
        <v>0</v>
      </c>
      <c r="T25" s="286">
        <f>SUM(P25:S25)</f>
        <v>0</v>
      </c>
      <c r="U25" s="287">
        <v>0</v>
      </c>
      <c r="V25" s="288">
        <v>0</v>
      </c>
      <c r="W25" s="288">
        <v>0</v>
      </c>
      <c r="X25" s="288">
        <v>0</v>
      </c>
      <c r="Y25" s="286">
        <f>SUM(U25:X25)</f>
        <v>0</v>
      </c>
      <c r="Z25" s="288">
        <v>0</v>
      </c>
      <c r="AA25" s="288">
        <v>0</v>
      </c>
      <c r="AB25" s="288">
        <v>0</v>
      </c>
      <c r="AC25" s="288">
        <v>0</v>
      </c>
      <c r="AD25" s="286">
        <f>SUM(Z25:AC25)</f>
        <v>0</v>
      </c>
      <c r="AE25" s="295">
        <v>0</v>
      </c>
      <c r="AF25" s="295">
        <v>0</v>
      </c>
      <c r="AG25" s="295">
        <v>0</v>
      </c>
    </row>
    <row r="26" spans="3:33" hidden="1" outlineLevel="1">
      <c r="C26" s="28" t="str">
        <f>C31&amp;" Revenue"</f>
        <v>Global Services &amp; Support Revenue</v>
      </c>
      <c r="D26" s="23"/>
      <c r="E26" s="23"/>
      <c r="F26" s="287">
        <v>0</v>
      </c>
      <c r="G26" s="287">
        <v>0</v>
      </c>
      <c r="H26" s="287">
        <v>0</v>
      </c>
      <c r="I26" s="287">
        <v>0</v>
      </c>
      <c r="J26" s="286">
        <f>SUM(F26:I26)</f>
        <v>0</v>
      </c>
      <c r="K26" s="287">
        <v>0</v>
      </c>
      <c r="L26" s="287">
        <v>0</v>
      </c>
      <c r="M26" s="287">
        <v>0</v>
      </c>
      <c r="N26" s="287">
        <v>0</v>
      </c>
      <c r="O26" s="286">
        <f>SUM(K26:N26)</f>
        <v>0</v>
      </c>
      <c r="P26" s="287">
        <v>0</v>
      </c>
      <c r="Q26" s="287">
        <v>0</v>
      </c>
      <c r="R26" s="287">
        <v>0</v>
      </c>
      <c r="S26" s="287">
        <v>0</v>
      </c>
      <c r="T26" s="286">
        <f>SUM(P26:S26)</f>
        <v>0</v>
      </c>
      <c r="U26" s="287">
        <v>0</v>
      </c>
      <c r="V26" s="288">
        <v>0</v>
      </c>
      <c r="W26" s="288">
        <v>0</v>
      </c>
      <c r="X26" s="288">
        <v>0</v>
      </c>
      <c r="Y26" s="286">
        <f>SUM(U26:X26)</f>
        <v>0</v>
      </c>
      <c r="Z26" s="288">
        <v>0</v>
      </c>
      <c r="AA26" s="288">
        <v>0</v>
      </c>
      <c r="AB26" s="288">
        <v>0</v>
      </c>
      <c r="AC26" s="288">
        <v>0</v>
      </c>
      <c r="AD26" s="286">
        <f>SUM(Z26:AC26)</f>
        <v>0</v>
      </c>
      <c r="AE26" s="295">
        <v>0</v>
      </c>
      <c r="AF26" s="295">
        <v>0</v>
      </c>
      <c r="AG26" s="295">
        <v>0</v>
      </c>
    </row>
    <row r="27" spans="3:33" hidden="1" outlineLevel="1">
      <c r="C27" s="23"/>
      <c r="D27" s="23"/>
      <c r="E27" s="23"/>
      <c r="F27" s="268"/>
      <c r="G27" s="268"/>
      <c r="H27" s="268"/>
      <c r="I27" s="268"/>
      <c r="J27" s="269"/>
      <c r="K27" s="268"/>
      <c r="L27" s="268"/>
      <c r="M27" s="268"/>
      <c r="N27" s="268"/>
      <c r="O27" s="269"/>
      <c r="P27" s="268"/>
      <c r="Q27" s="268"/>
      <c r="R27" s="268"/>
      <c r="S27" s="268"/>
      <c r="T27" s="269"/>
      <c r="U27" s="268"/>
      <c r="V27" s="272"/>
      <c r="W27" s="272"/>
      <c r="X27" s="272"/>
      <c r="Y27" s="269"/>
      <c r="Z27" s="272"/>
      <c r="AA27" s="272"/>
      <c r="AB27" s="272"/>
      <c r="AC27" s="272"/>
      <c r="AD27" s="269"/>
      <c r="AE27" s="269"/>
      <c r="AF27" s="269"/>
      <c r="AG27" s="269"/>
    </row>
    <row r="28" spans="3:33" hidden="1" outlineLevel="1">
      <c r="C28" s="23" t="s">
        <v>651</v>
      </c>
      <c r="D28" s="23"/>
      <c r="E28" s="23"/>
      <c r="F28" s="296"/>
      <c r="G28" s="296"/>
      <c r="H28" s="296"/>
      <c r="I28" s="296"/>
      <c r="J28" s="269"/>
      <c r="K28" s="296"/>
      <c r="L28" s="296"/>
      <c r="M28" s="296"/>
      <c r="N28" s="296"/>
      <c r="O28" s="269"/>
      <c r="P28" s="296"/>
      <c r="Q28" s="296"/>
      <c r="R28" s="296"/>
      <c r="S28" s="296"/>
      <c r="T28" s="269"/>
      <c r="U28" s="296"/>
      <c r="V28" s="298"/>
      <c r="W28" s="298"/>
      <c r="X28" s="298"/>
      <c r="Y28" s="269"/>
      <c r="Z28" s="298"/>
      <c r="AA28" s="298"/>
      <c r="AB28" s="298"/>
      <c r="AC28" s="298"/>
      <c r="AD28" s="269"/>
      <c r="AE28" s="269"/>
      <c r="AF28" s="269"/>
      <c r="AG28" s="269"/>
    </row>
    <row r="29" spans="3:33" hidden="1" outlineLevel="1">
      <c r="C29" s="840" t="s">
        <v>186</v>
      </c>
      <c r="D29" s="23"/>
      <c r="E29" s="23"/>
      <c r="F29" s="296" t="str">
        <f t="shared" ref="F29:S29" si="24">IFERROR(F24/F$23,"N/A")</f>
        <v>N/A</v>
      </c>
      <c r="G29" s="296" t="str">
        <f t="shared" si="24"/>
        <v>N/A</v>
      </c>
      <c r="H29" s="296" t="str">
        <f t="shared" si="24"/>
        <v>N/A</v>
      </c>
      <c r="I29" s="296" t="str">
        <f t="shared" si="24"/>
        <v>N/A</v>
      </c>
      <c r="J29" s="297" t="str">
        <f t="shared" si="24"/>
        <v>N/A</v>
      </c>
      <c r="K29" s="296" t="str">
        <f t="shared" si="24"/>
        <v>N/A</v>
      </c>
      <c r="L29" s="296" t="str">
        <f t="shared" si="24"/>
        <v>N/A</v>
      </c>
      <c r="M29" s="296" t="str">
        <f t="shared" si="24"/>
        <v>N/A</v>
      </c>
      <c r="N29" s="296" t="str">
        <f t="shared" si="24"/>
        <v>N/A</v>
      </c>
      <c r="O29" s="297" t="str">
        <f t="shared" si="24"/>
        <v>N/A</v>
      </c>
      <c r="P29" s="296" t="str">
        <f t="shared" si="24"/>
        <v>N/A</v>
      </c>
      <c r="Q29" s="296" t="str">
        <f t="shared" si="24"/>
        <v>N/A</v>
      </c>
      <c r="R29" s="296" t="str">
        <f t="shared" si="24"/>
        <v>N/A</v>
      </c>
      <c r="S29" s="296" t="str">
        <f t="shared" si="24"/>
        <v>N/A</v>
      </c>
      <c r="T29" s="297" t="str">
        <f t="shared" ref="T29:AG29" si="25">IFERROR(T24/T$23,"N/A")</f>
        <v>N/A</v>
      </c>
      <c r="U29" s="296" t="str">
        <f t="shared" si="25"/>
        <v>N/A</v>
      </c>
      <c r="V29" s="298" t="str">
        <f t="shared" ref="U29:X29" si="26">IFERROR(V24/V$23,"N/A")</f>
        <v>N/A</v>
      </c>
      <c r="W29" s="298" t="str">
        <f t="shared" si="26"/>
        <v>N/A</v>
      </c>
      <c r="X29" s="298" t="str">
        <f t="shared" si="26"/>
        <v>N/A</v>
      </c>
      <c r="Y29" s="297" t="str">
        <f t="shared" si="25"/>
        <v>N/A</v>
      </c>
      <c r="Z29" s="298" t="str">
        <f t="shared" si="25"/>
        <v>N/A</v>
      </c>
      <c r="AA29" s="298" t="str">
        <f t="shared" si="25"/>
        <v>N/A</v>
      </c>
      <c r="AB29" s="298" t="str">
        <f t="shared" si="25"/>
        <v>N/A</v>
      </c>
      <c r="AC29" s="298" t="str">
        <f t="shared" si="25"/>
        <v>N/A</v>
      </c>
      <c r="AD29" s="297" t="str">
        <f t="shared" si="25"/>
        <v>N/A</v>
      </c>
      <c r="AE29" s="297" t="str">
        <f t="shared" si="25"/>
        <v>N/A</v>
      </c>
      <c r="AF29" s="297" t="str">
        <f t="shared" si="25"/>
        <v>N/A</v>
      </c>
      <c r="AG29" s="297" t="str">
        <f t="shared" si="25"/>
        <v>N/A</v>
      </c>
    </row>
    <row r="30" spans="3:33" hidden="1" outlineLevel="1">
      <c r="C30" s="840" t="s">
        <v>187</v>
      </c>
      <c r="D30" s="23"/>
      <c r="E30" s="23"/>
      <c r="F30" s="296" t="str">
        <f t="shared" ref="F30:S30" si="27">IFERROR(F25/F$23,"N/A")</f>
        <v>N/A</v>
      </c>
      <c r="G30" s="296" t="str">
        <f t="shared" si="27"/>
        <v>N/A</v>
      </c>
      <c r="H30" s="296" t="str">
        <f t="shared" si="27"/>
        <v>N/A</v>
      </c>
      <c r="I30" s="296" t="str">
        <f t="shared" si="27"/>
        <v>N/A</v>
      </c>
      <c r="J30" s="297" t="str">
        <f t="shared" si="27"/>
        <v>N/A</v>
      </c>
      <c r="K30" s="296" t="str">
        <f t="shared" si="27"/>
        <v>N/A</v>
      </c>
      <c r="L30" s="296" t="str">
        <f t="shared" si="27"/>
        <v>N/A</v>
      </c>
      <c r="M30" s="296" t="str">
        <f t="shared" si="27"/>
        <v>N/A</v>
      </c>
      <c r="N30" s="296" t="str">
        <f t="shared" si="27"/>
        <v>N/A</v>
      </c>
      <c r="O30" s="297" t="str">
        <f t="shared" si="27"/>
        <v>N/A</v>
      </c>
      <c r="P30" s="296" t="str">
        <f t="shared" si="27"/>
        <v>N/A</v>
      </c>
      <c r="Q30" s="296" t="str">
        <f t="shared" si="27"/>
        <v>N/A</v>
      </c>
      <c r="R30" s="296" t="str">
        <f t="shared" si="27"/>
        <v>N/A</v>
      </c>
      <c r="S30" s="296" t="str">
        <f t="shared" si="27"/>
        <v>N/A</v>
      </c>
      <c r="T30" s="297" t="str">
        <f t="shared" ref="T30:AG30" si="28">IFERROR(T25/T$23,"N/A")</f>
        <v>N/A</v>
      </c>
      <c r="U30" s="296" t="str">
        <f t="shared" si="28"/>
        <v>N/A</v>
      </c>
      <c r="V30" s="298" t="str">
        <f t="shared" ref="U30:X30" si="29">IFERROR(V25/V$23,"N/A")</f>
        <v>N/A</v>
      </c>
      <c r="W30" s="298" t="str">
        <f t="shared" si="29"/>
        <v>N/A</v>
      </c>
      <c r="X30" s="298" t="str">
        <f t="shared" si="29"/>
        <v>N/A</v>
      </c>
      <c r="Y30" s="297" t="str">
        <f t="shared" si="28"/>
        <v>N/A</v>
      </c>
      <c r="Z30" s="298" t="str">
        <f t="shared" si="28"/>
        <v>N/A</v>
      </c>
      <c r="AA30" s="298" t="str">
        <f t="shared" si="28"/>
        <v>N/A</v>
      </c>
      <c r="AB30" s="298" t="str">
        <f t="shared" si="28"/>
        <v>N/A</v>
      </c>
      <c r="AC30" s="298" t="str">
        <f t="shared" si="28"/>
        <v>N/A</v>
      </c>
      <c r="AD30" s="297" t="str">
        <f t="shared" si="28"/>
        <v>N/A</v>
      </c>
      <c r="AE30" s="297" t="str">
        <f t="shared" si="28"/>
        <v>N/A</v>
      </c>
      <c r="AF30" s="297" t="str">
        <f t="shared" si="28"/>
        <v>N/A</v>
      </c>
      <c r="AG30" s="297" t="str">
        <f t="shared" si="28"/>
        <v>N/A</v>
      </c>
    </row>
    <row r="31" spans="3:33" hidden="1" outlineLevel="1">
      <c r="C31" s="840" t="s">
        <v>188</v>
      </c>
      <c r="D31" s="23"/>
      <c r="E31" s="23"/>
      <c r="F31" s="296" t="str">
        <f t="shared" ref="F31:S31" si="30">IFERROR(F26/F$23,"N/A")</f>
        <v>N/A</v>
      </c>
      <c r="G31" s="296" t="str">
        <f t="shared" si="30"/>
        <v>N/A</v>
      </c>
      <c r="H31" s="296" t="str">
        <f t="shared" si="30"/>
        <v>N/A</v>
      </c>
      <c r="I31" s="296" t="str">
        <f t="shared" si="30"/>
        <v>N/A</v>
      </c>
      <c r="J31" s="297" t="str">
        <f t="shared" si="30"/>
        <v>N/A</v>
      </c>
      <c r="K31" s="296" t="str">
        <f t="shared" si="30"/>
        <v>N/A</v>
      </c>
      <c r="L31" s="296" t="str">
        <f t="shared" si="30"/>
        <v>N/A</v>
      </c>
      <c r="M31" s="296" t="str">
        <f t="shared" si="30"/>
        <v>N/A</v>
      </c>
      <c r="N31" s="296" t="str">
        <f t="shared" si="30"/>
        <v>N/A</v>
      </c>
      <c r="O31" s="297" t="str">
        <f t="shared" si="30"/>
        <v>N/A</v>
      </c>
      <c r="P31" s="296" t="str">
        <f t="shared" si="30"/>
        <v>N/A</v>
      </c>
      <c r="Q31" s="296" t="str">
        <f t="shared" si="30"/>
        <v>N/A</v>
      </c>
      <c r="R31" s="296" t="str">
        <f t="shared" si="30"/>
        <v>N/A</v>
      </c>
      <c r="S31" s="296" t="str">
        <f t="shared" si="30"/>
        <v>N/A</v>
      </c>
      <c r="T31" s="297" t="str">
        <f t="shared" ref="T31:AG31" si="31">IFERROR(T26/T$23,"N/A")</f>
        <v>N/A</v>
      </c>
      <c r="U31" s="296" t="str">
        <f t="shared" si="31"/>
        <v>N/A</v>
      </c>
      <c r="V31" s="298" t="str">
        <f t="shared" ref="U31:X31" si="32">IFERROR(V26/V$23,"N/A")</f>
        <v>N/A</v>
      </c>
      <c r="W31" s="298" t="str">
        <f t="shared" si="32"/>
        <v>N/A</v>
      </c>
      <c r="X31" s="298" t="str">
        <f t="shared" si="32"/>
        <v>N/A</v>
      </c>
      <c r="Y31" s="297" t="str">
        <f t="shared" si="31"/>
        <v>N/A</v>
      </c>
      <c r="Z31" s="298" t="str">
        <f t="shared" si="31"/>
        <v>N/A</v>
      </c>
      <c r="AA31" s="298" t="str">
        <f t="shared" si="31"/>
        <v>N/A</v>
      </c>
      <c r="AB31" s="298" t="str">
        <f t="shared" si="31"/>
        <v>N/A</v>
      </c>
      <c r="AC31" s="298" t="str">
        <f t="shared" si="31"/>
        <v>N/A</v>
      </c>
      <c r="AD31" s="297" t="str">
        <f t="shared" si="31"/>
        <v>N/A</v>
      </c>
      <c r="AE31" s="297" t="str">
        <f t="shared" si="31"/>
        <v>N/A</v>
      </c>
      <c r="AF31" s="297" t="str">
        <f t="shared" si="31"/>
        <v>N/A</v>
      </c>
      <c r="AG31" s="297" t="str">
        <f t="shared" si="31"/>
        <v>N/A</v>
      </c>
    </row>
    <row r="32" spans="3:33" collapsed="1">
      <c r="C32" s="840"/>
      <c r="D32" s="23"/>
      <c r="E32" s="23"/>
      <c r="F32" s="296"/>
      <c r="G32" s="296"/>
      <c r="H32" s="296"/>
      <c r="I32" s="296"/>
      <c r="J32" s="297"/>
      <c r="K32" s="296"/>
      <c r="L32" s="296"/>
      <c r="M32" s="296"/>
      <c r="N32" s="296"/>
      <c r="O32" s="297"/>
      <c r="P32" s="296"/>
      <c r="Q32" s="1062"/>
      <c r="R32" s="296"/>
      <c r="S32" s="296"/>
      <c r="T32" s="297"/>
      <c r="U32" s="296"/>
      <c r="V32" s="298"/>
      <c r="W32" s="298"/>
      <c r="X32" s="298"/>
      <c r="Y32" s="297"/>
      <c r="Z32" s="298"/>
      <c r="AA32" s="298"/>
      <c r="AB32" s="298"/>
      <c r="AC32" s="298"/>
      <c r="AD32" s="297"/>
      <c r="AE32" s="297"/>
      <c r="AF32" s="297"/>
      <c r="AG32" s="297"/>
    </row>
    <row r="33" spans="3:33" collapsed="1">
      <c r="C33" s="23" t="s">
        <v>656</v>
      </c>
      <c r="D33" s="23"/>
      <c r="E33" s="23"/>
      <c r="F33" s="727">
        <f>SUM(F34:F39)</f>
        <v>106904</v>
      </c>
      <c r="G33" s="727">
        <f>SUM(G34:G39)</f>
        <v>57716</v>
      </c>
      <c r="H33" s="727">
        <f>SUM(H34:H39)</f>
        <v>76826</v>
      </c>
      <c r="I33" s="727">
        <f>SUM(I34:I39)</f>
        <v>117689</v>
      </c>
      <c r="J33" s="728">
        <f t="shared" ref="J33:J39" si="33">SUM(F33:I33)</f>
        <v>359135</v>
      </c>
      <c r="K33" s="727">
        <f>SUM(K34:K39)</f>
        <v>84120</v>
      </c>
      <c r="L33" s="727">
        <f>SUM(L34:L39)</f>
        <v>108243</v>
      </c>
      <c r="M33" s="727">
        <f>SUM(M34:M39)</f>
        <v>121993</v>
      </c>
      <c r="N33" s="727">
        <f>SUM(N34:N39)</f>
        <v>212558</v>
      </c>
      <c r="O33" s="728">
        <f t="shared" ref="O33:O39" si="34">SUM(K33:N33)</f>
        <v>526914</v>
      </c>
      <c r="P33" s="727">
        <f>SUM(P34:P39)</f>
        <v>111184</v>
      </c>
      <c r="Q33" s="727">
        <f>SUM(Q34:Q39)</f>
        <v>150389</v>
      </c>
      <c r="R33" s="727">
        <f>SUM(R34:R39)</f>
        <v>216206</v>
      </c>
      <c r="S33" s="727">
        <f>SUM(S34:S39)</f>
        <v>312163</v>
      </c>
      <c r="T33" s="728">
        <f t="shared" ref="T33:T39" si="35">SUM(P33:S33)</f>
        <v>789942</v>
      </c>
      <c r="U33" s="727">
        <f>SUM(U34:U39)</f>
        <v>330726</v>
      </c>
      <c r="V33" s="729">
        <f t="shared" ref="V33:X33" si="36">+V34+V35</f>
        <v>1509045.8133</v>
      </c>
      <c r="W33" s="729">
        <f t="shared" si="36"/>
        <v>1684108.5393375</v>
      </c>
      <c r="X33" s="729">
        <f t="shared" si="36"/>
        <v>2078674.3581154537</v>
      </c>
      <c r="Y33" s="728">
        <f t="shared" ref="Y33:Y39" si="37">SUM(U33:X33)</f>
        <v>5602554.7107529538</v>
      </c>
      <c r="Z33" s="729">
        <f>SUM(Z34:Z39)</f>
        <v>1534717.7598778948</v>
      </c>
      <c r="AA33" s="729">
        <f>SUM(AA34:AA39)</f>
        <v>1695525.4588497821</v>
      </c>
      <c r="AB33" s="729">
        <f>SUM(AB34:AB39)</f>
        <v>1885483.451904499</v>
      </c>
      <c r="AC33" s="729">
        <f>SUM(AC34:AC39)</f>
        <v>2403321.1132005421</v>
      </c>
      <c r="AD33" s="728">
        <f t="shared" ref="AD33:AD39" si="38">SUM(Z33:AC33)</f>
        <v>7519047.7838327177</v>
      </c>
      <c r="AE33" s="728">
        <f>SUM(AE34:AE39)</f>
        <v>7764793.4654146545</v>
      </c>
      <c r="AF33" s="728">
        <f>SUM(AF34:AF39)</f>
        <v>7595060.6753351809</v>
      </c>
      <c r="AG33" s="728">
        <f>SUM(AG34:AG39)</f>
        <v>7194623.5133407777</v>
      </c>
    </row>
    <row r="34" spans="3:33">
      <c r="C34" s="28" t="str">
        <f t="shared" ref="C34:C39" si="39">C16&amp;" Operating Income"</f>
        <v>Investment Banking &amp; Equities Operating Income</v>
      </c>
      <c r="D34" s="23"/>
      <c r="E34" s="23"/>
      <c r="F34" s="287">
        <v>102810</v>
      </c>
      <c r="G34" s="287">
        <v>53902</v>
      </c>
      <c r="H34" s="287">
        <v>73212</v>
      </c>
      <c r="I34" s="287">
        <f>342265-SUM(F34:H34)</f>
        <v>112341</v>
      </c>
      <c r="J34" s="286">
        <f t="shared" si="33"/>
        <v>342265</v>
      </c>
      <c r="K34" s="287">
        <v>78890</v>
      </c>
      <c r="L34" s="287">
        <v>103642</v>
      </c>
      <c r="M34" s="287">
        <v>116387</v>
      </c>
      <c r="N34" s="287">
        <v>208080</v>
      </c>
      <c r="O34" s="286">
        <f t="shared" si="34"/>
        <v>506999</v>
      </c>
      <c r="P34" s="287">
        <v>105402</v>
      </c>
      <c r="Q34" s="287">
        <v>142569</v>
      </c>
      <c r="R34" s="287">
        <v>213751</v>
      </c>
      <c r="S34" s="287">
        <f>770942-SUM(P34:R34)</f>
        <v>309220</v>
      </c>
      <c r="T34" s="286">
        <f t="shared" si="35"/>
        <v>770942</v>
      </c>
      <c r="U34" s="287">
        <v>326940</v>
      </c>
      <c r="V34" s="910">
        <f>V8*Drivers!V$7</f>
        <v>1503480.1274999999</v>
      </c>
      <c r="W34" s="910">
        <f>W8*Drivers!W$7</f>
        <v>1679387.3024174999</v>
      </c>
      <c r="X34" s="910">
        <f>X8*Drivers!X$7</f>
        <v>2073203.6248344036</v>
      </c>
      <c r="Y34" s="286">
        <f t="shared" si="37"/>
        <v>5583011.0547519038</v>
      </c>
      <c r="Z34" s="910">
        <f>Z8*Drivers!Z$7</f>
        <v>1528987.6733153728</v>
      </c>
      <c r="AA34" s="910">
        <f>AA8*Drivers!AA$7</f>
        <v>1689531.3790134869</v>
      </c>
      <c r="AB34" s="910">
        <f>AB8*Drivers!AB$7</f>
        <v>1880448.424842011</v>
      </c>
      <c r="AC34" s="910">
        <f>AC8*Drivers!AC$7</f>
        <v>2397571.7416735636</v>
      </c>
      <c r="AD34" s="286">
        <f t="shared" si="38"/>
        <v>7496539.2188444342</v>
      </c>
      <c r="AE34" s="286">
        <f>AE8*Drivers!AE$7</f>
        <v>7743925.0130663002</v>
      </c>
      <c r="AF34" s="286">
        <f>AF8*Drivers!AF$7</f>
        <v>7573558.6627788413</v>
      </c>
      <c r="AG34" s="286">
        <f>AG8*Drivers!AG$7</f>
        <v>7172160.053651562</v>
      </c>
    </row>
    <row r="35" spans="3:33">
      <c r="C35" s="28" t="str">
        <f t="shared" si="39"/>
        <v>Investment Management Operating Income</v>
      </c>
      <c r="D35" s="23"/>
      <c r="E35" s="23"/>
      <c r="F35" s="287">
        <v>4094</v>
      </c>
      <c r="G35" s="287">
        <v>3814</v>
      </c>
      <c r="H35" s="287">
        <v>3614</v>
      </c>
      <c r="I35" s="287">
        <f>16870-SUM(F35:H35)</f>
        <v>5348</v>
      </c>
      <c r="J35" s="286">
        <f t="shared" si="33"/>
        <v>16870</v>
      </c>
      <c r="K35" s="287">
        <v>5230</v>
      </c>
      <c r="L35" s="287">
        <v>4601</v>
      </c>
      <c r="M35" s="287">
        <v>5606</v>
      </c>
      <c r="N35" s="287">
        <v>4478</v>
      </c>
      <c r="O35" s="286">
        <f t="shared" si="34"/>
        <v>19915</v>
      </c>
      <c r="P35" s="287">
        <v>5782</v>
      </c>
      <c r="Q35" s="287">
        <v>7820</v>
      </c>
      <c r="R35" s="287">
        <v>2455</v>
      </c>
      <c r="S35" s="287">
        <f>19000-SUM(P35:R35)</f>
        <v>2943</v>
      </c>
      <c r="T35" s="286">
        <f t="shared" si="35"/>
        <v>19000</v>
      </c>
      <c r="U35" s="287">
        <v>3786</v>
      </c>
      <c r="V35" s="910">
        <f>V9*Drivers!V$12</f>
        <v>5565.6857999999993</v>
      </c>
      <c r="W35" s="910">
        <f>W9*Drivers!W$12</f>
        <v>4721.2369199999994</v>
      </c>
      <c r="X35" s="910">
        <f>X9*Drivers!X$12</f>
        <v>5470.7332810499993</v>
      </c>
      <c r="Y35" s="286">
        <f t="shared" si="37"/>
        <v>19543.656001049996</v>
      </c>
      <c r="Z35" s="910">
        <f>Z9*Drivers!Z$12</f>
        <v>5730.0865625219994</v>
      </c>
      <c r="AA35" s="910">
        <f>AA9*Drivers!AA$12</f>
        <v>5994.0798362953337</v>
      </c>
      <c r="AB35" s="910">
        <f>AB9*Drivers!AB$12</f>
        <v>5035.0270624880795</v>
      </c>
      <c r="AC35" s="910">
        <f>AC9*Drivers!AC$12</f>
        <v>5749.3715269785762</v>
      </c>
      <c r="AD35" s="286">
        <f t="shared" si="38"/>
        <v>22508.564988283986</v>
      </c>
      <c r="AE35" s="286">
        <f>AE9*Drivers!AE$12</f>
        <v>20868.452348353869</v>
      </c>
      <c r="AF35" s="286">
        <f>AF9*Drivers!AF$12</f>
        <v>21502.012556339861</v>
      </c>
      <c r="AG35" s="286">
        <f>AG9*Drivers!AG$12</f>
        <v>22463.459689216197</v>
      </c>
    </row>
    <row r="36" spans="3:33" hidden="1" outlineLevel="1">
      <c r="C36" s="28" t="str">
        <f t="shared" si="39"/>
        <v>Segment 3 Operating Income</v>
      </c>
      <c r="D36" s="23"/>
      <c r="E36" s="23"/>
      <c r="F36" s="287">
        <v>0</v>
      </c>
      <c r="G36" s="287">
        <v>0</v>
      </c>
      <c r="H36" s="287">
        <v>0</v>
      </c>
      <c r="I36" s="287">
        <v>0</v>
      </c>
      <c r="J36" s="286">
        <f t="shared" si="33"/>
        <v>0</v>
      </c>
      <c r="K36" s="287">
        <v>0</v>
      </c>
      <c r="L36" s="287">
        <v>0</v>
      </c>
      <c r="M36" s="287">
        <v>0</v>
      </c>
      <c r="N36" s="287">
        <v>0</v>
      </c>
      <c r="O36" s="286">
        <f t="shared" si="34"/>
        <v>0</v>
      </c>
      <c r="P36" s="287">
        <v>0</v>
      </c>
      <c r="Q36" s="287">
        <v>0</v>
      </c>
      <c r="R36" s="287">
        <v>0</v>
      </c>
      <c r="S36" s="287">
        <v>0</v>
      </c>
      <c r="T36" s="286">
        <f t="shared" si="35"/>
        <v>0</v>
      </c>
      <c r="U36" s="287">
        <v>0</v>
      </c>
      <c r="V36" s="910">
        <f>V10*Drivers!V$17</f>
        <v>0</v>
      </c>
      <c r="W36" s="910">
        <f>W10*Drivers!W$17</f>
        <v>0</v>
      </c>
      <c r="X36" s="910">
        <f>X10*Drivers!X$17</f>
        <v>0</v>
      </c>
      <c r="Y36" s="286">
        <f t="shared" si="37"/>
        <v>0</v>
      </c>
      <c r="Z36" s="910">
        <f>Z10*Drivers!Z$17</f>
        <v>0</v>
      </c>
      <c r="AA36" s="910">
        <f>AA10*Drivers!AA$17</f>
        <v>0</v>
      </c>
      <c r="AB36" s="910">
        <f>AB10*Drivers!AB$17</f>
        <v>0</v>
      </c>
      <c r="AC36" s="910">
        <f>AC10*Drivers!AC$17</f>
        <v>0</v>
      </c>
      <c r="AD36" s="286">
        <f t="shared" si="38"/>
        <v>0</v>
      </c>
      <c r="AE36" s="286">
        <f>AE10*Drivers!AE$17</f>
        <v>0</v>
      </c>
      <c r="AF36" s="286">
        <f>AF10*Drivers!AF$17</f>
        <v>0</v>
      </c>
      <c r="AG36" s="286">
        <f>AG10*Drivers!AG$17</f>
        <v>0</v>
      </c>
    </row>
    <row r="37" spans="3:33" hidden="1" outlineLevel="1">
      <c r="C37" s="28" t="str">
        <f t="shared" si="39"/>
        <v>Segment 4 Operating Income</v>
      </c>
      <c r="D37" s="23"/>
      <c r="E37" s="23"/>
      <c r="F37" s="287">
        <v>0</v>
      </c>
      <c r="G37" s="287">
        <v>0</v>
      </c>
      <c r="H37" s="287">
        <v>0</v>
      </c>
      <c r="I37" s="287">
        <v>0</v>
      </c>
      <c r="J37" s="286">
        <f t="shared" si="33"/>
        <v>0</v>
      </c>
      <c r="K37" s="287">
        <v>0</v>
      </c>
      <c r="L37" s="287">
        <v>0</v>
      </c>
      <c r="M37" s="287">
        <v>0</v>
      </c>
      <c r="N37" s="287">
        <v>0</v>
      </c>
      <c r="O37" s="286">
        <f t="shared" si="34"/>
        <v>0</v>
      </c>
      <c r="P37" s="287">
        <v>0</v>
      </c>
      <c r="Q37" s="287">
        <v>0</v>
      </c>
      <c r="R37" s="287">
        <v>0</v>
      </c>
      <c r="S37" s="287">
        <v>0</v>
      </c>
      <c r="T37" s="286">
        <f t="shared" si="35"/>
        <v>0</v>
      </c>
      <c r="U37" s="287">
        <v>0</v>
      </c>
      <c r="V37" s="910">
        <f>V11*Drivers!V$22</f>
        <v>0</v>
      </c>
      <c r="W37" s="910">
        <f>W11*Drivers!W$22</f>
        <v>0</v>
      </c>
      <c r="X37" s="910">
        <f>X11*Drivers!X$22</f>
        <v>0</v>
      </c>
      <c r="Y37" s="286">
        <f t="shared" si="37"/>
        <v>0</v>
      </c>
      <c r="Z37" s="910">
        <f>Z11*Drivers!Z$22</f>
        <v>0</v>
      </c>
      <c r="AA37" s="910">
        <f>AA11*Drivers!AA$22</f>
        <v>0</v>
      </c>
      <c r="AB37" s="910">
        <f>AB11*Drivers!AB$22</f>
        <v>0</v>
      </c>
      <c r="AC37" s="910">
        <f>AC11*Drivers!AC$22</f>
        <v>0</v>
      </c>
      <c r="AD37" s="286">
        <f t="shared" si="38"/>
        <v>0</v>
      </c>
      <c r="AE37" s="286">
        <f>AE11*Drivers!AE$22</f>
        <v>0</v>
      </c>
      <c r="AF37" s="286">
        <f>AF11*Drivers!AF$22</f>
        <v>0</v>
      </c>
      <c r="AG37" s="286">
        <f>AG11*Drivers!AG$22</f>
        <v>0</v>
      </c>
    </row>
    <row r="38" spans="3:33" hidden="1" outlineLevel="1">
      <c r="C38" s="28" t="str">
        <f t="shared" si="39"/>
        <v>Segment 5 Operating Income</v>
      </c>
      <c r="D38" s="23"/>
      <c r="E38" s="23"/>
      <c r="F38" s="287">
        <v>0</v>
      </c>
      <c r="G38" s="287">
        <v>0</v>
      </c>
      <c r="H38" s="287">
        <v>0</v>
      </c>
      <c r="I38" s="287">
        <v>0</v>
      </c>
      <c r="J38" s="286">
        <f t="shared" si="33"/>
        <v>0</v>
      </c>
      <c r="K38" s="287">
        <v>0</v>
      </c>
      <c r="L38" s="287">
        <v>0</v>
      </c>
      <c r="M38" s="287">
        <v>0</v>
      </c>
      <c r="N38" s="287">
        <v>0</v>
      </c>
      <c r="O38" s="286">
        <f t="shared" si="34"/>
        <v>0</v>
      </c>
      <c r="P38" s="287">
        <v>0</v>
      </c>
      <c r="Q38" s="287">
        <v>0</v>
      </c>
      <c r="R38" s="287">
        <v>0</v>
      </c>
      <c r="S38" s="287">
        <v>0</v>
      </c>
      <c r="T38" s="286">
        <f t="shared" si="35"/>
        <v>0</v>
      </c>
      <c r="U38" s="287">
        <v>0</v>
      </c>
      <c r="V38" s="910">
        <f>V12*Drivers!V$27</f>
        <v>0</v>
      </c>
      <c r="W38" s="910">
        <f>W12*Drivers!W$27</f>
        <v>0</v>
      </c>
      <c r="X38" s="910">
        <f>X12*Drivers!X$27</f>
        <v>0</v>
      </c>
      <c r="Y38" s="286">
        <f t="shared" si="37"/>
        <v>0</v>
      </c>
      <c r="Z38" s="910">
        <f>Z12*Drivers!Z$27</f>
        <v>0</v>
      </c>
      <c r="AA38" s="910">
        <f>AA12*Drivers!AA$27</f>
        <v>0</v>
      </c>
      <c r="AB38" s="910">
        <f>AB12*Drivers!AB$27</f>
        <v>0</v>
      </c>
      <c r="AC38" s="910">
        <f>AC12*Drivers!AC$27</f>
        <v>0</v>
      </c>
      <c r="AD38" s="286">
        <f t="shared" si="38"/>
        <v>0</v>
      </c>
      <c r="AE38" s="286">
        <f>AE12*Drivers!AE$27</f>
        <v>0</v>
      </c>
      <c r="AF38" s="286">
        <f>AF12*Drivers!AF$27</f>
        <v>0</v>
      </c>
      <c r="AG38" s="286">
        <f>AG12*Drivers!AG$27</f>
        <v>0</v>
      </c>
    </row>
    <row r="39" spans="3:33" hidden="1" outlineLevel="1">
      <c r="C39" s="28" t="str">
        <f t="shared" si="39"/>
        <v>Segment 6 Operating Income</v>
      </c>
      <c r="D39" s="23"/>
      <c r="E39" s="23"/>
      <c r="F39" s="287">
        <v>0</v>
      </c>
      <c r="G39" s="287">
        <v>0</v>
      </c>
      <c r="H39" s="287">
        <v>0</v>
      </c>
      <c r="I39" s="287">
        <v>0</v>
      </c>
      <c r="J39" s="286">
        <f t="shared" si="33"/>
        <v>0</v>
      </c>
      <c r="K39" s="287">
        <v>0</v>
      </c>
      <c r="L39" s="287">
        <v>0</v>
      </c>
      <c r="M39" s="287">
        <v>0</v>
      </c>
      <c r="N39" s="287">
        <v>0</v>
      </c>
      <c r="O39" s="286">
        <f t="shared" si="34"/>
        <v>0</v>
      </c>
      <c r="P39" s="287">
        <v>0</v>
      </c>
      <c r="Q39" s="287">
        <v>0</v>
      </c>
      <c r="R39" s="287">
        <v>0</v>
      </c>
      <c r="S39" s="287">
        <v>0</v>
      </c>
      <c r="T39" s="286">
        <f t="shared" si="35"/>
        <v>0</v>
      </c>
      <c r="U39" s="287">
        <v>0</v>
      </c>
      <c r="V39" s="910">
        <f>V13*Drivers!V$32</f>
        <v>0</v>
      </c>
      <c r="W39" s="910">
        <f>W13*Drivers!W$32</f>
        <v>0</v>
      </c>
      <c r="X39" s="910">
        <f>X13*Drivers!X$32</f>
        <v>0</v>
      </c>
      <c r="Y39" s="286">
        <f t="shared" si="37"/>
        <v>0</v>
      </c>
      <c r="Z39" s="910">
        <f>Z13*Drivers!Z$32</f>
        <v>0</v>
      </c>
      <c r="AA39" s="910">
        <f>AA13*Drivers!AA$32</f>
        <v>0</v>
      </c>
      <c r="AB39" s="910">
        <f>AB13*Drivers!AB$32</f>
        <v>0</v>
      </c>
      <c r="AC39" s="910">
        <f>AC13*Drivers!AC$32</f>
        <v>0</v>
      </c>
      <c r="AD39" s="286">
        <f t="shared" si="38"/>
        <v>0</v>
      </c>
      <c r="AE39" s="286">
        <f>AE13*Drivers!AE$32</f>
        <v>0</v>
      </c>
      <c r="AF39" s="286">
        <f>AF13*Drivers!AF$32</f>
        <v>0</v>
      </c>
      <c r="AG39" s="286">
        <f>AG13*Drivers!AG$32</f>
        <v>0</v>
      </c>
    </row>
    <row r="40" spans="3:33" collapsed="1">
      <c r="C40" s="28"/>
      <c r="D40" s="23"/>
      <c r="E40" s="23"/>
      <c r="F40" s="911"/>
      <c r="G40" s="911"/>
      <c r="H40" s="911"/>
      <c r="I40" s="911"/>
      <c r="J40" s="269"/>
      <c r="K40" s="911"/>
      <c r="L40" s="911"/>
      <c r="M40" s="911"/>
      <c r="N40" s="911"/>
      <c r="O40" s="269"/>
      <c r="P40" s="911"/>
      <c r="Q40" s="911"/>
      <c r="R40" s="911"/>
      <c r="S40" s="911"/>
      <c r="T40" s="269"/>
      <c r="U40" s="911"/>
      <c r="V40" s="912"/>
      <c r="W40" s="912"/>
      <c r="X40" s="912"/>
      <c r="Y40" s="269"/>
      <c r="Z40" s="912"/>
      <c r="AA40" s="912"/>
      <c r="AB40" s="912"/>
      <c r="AC40" s="912"/>
      <c r="AD40" s="269"/>
      <c r="AE40" s="269"/>
      <c r="AF40" s="269"/>
      <c r="AG40" s="269"/>
    </row>
    <row r="41" spans="3:33">
      <c r="C41" s="114" t="s">
        <v>657</v>
      </c>
      <c r="D41" s="23"/>
      <c r="E41" s="23"/>
      <c r="F41" s="913">
        <f t="shared" ref="F41:O41" si="40">F33-SUM(F34:F39)</f>
        <v>0</v>
      </c>
      <c r="G41" s="913">
        <f t="shared" si="40"/>
        <v>0</v>
      </c>
      <c r="H41" s="913">
        <f t="shared" si="40"/>
        <v>0</v>
      </c>
      <c r="I41" s="913">
        <f t="shared" si="40"/>
        <v>0</v>
      </c>
      <c r="J41" s="914">
        <f t="shared" si="40"/>
        <v>0</v>
      </c>
      <c r="K41" s="913">
        <f t="shared" si="40"/>
        <v>0</v>
      </c>
      <c r="L41" s="913">
        <f t="shared" si="40"/>
        <v>0</v>
      </c>
      <c r="M41" s="913">
        <f t="shared" si="40"/>
        <v>0</v>
      </c>
      <c r="N41" s="913">
        <f t="shared" si="40"/>
        <v>0</v>
      </c>
      <c r="O41" s="914">
        <f t="shared" si="40"/>
        <v>0</v>
      </c>
      <c r="P41" s="913">
        <f t="shared" ref="P41:R41" si="41">P33-SUM(P34:P39)</f>
        <v>0</v>
      </c>
      <c r="Q41" s="913">
        <f t="shared" si="41"/>
        <v>0</v>
      </c>
      <c r="R41" s="913">
        <f t="shared" si="41"/>
        <v>0</v>
      </c>
      <c r="S41" s="913">
        <f t="shared" ref="S41" si="42">S33-SUM(S34:S39)</f>
        <v>0</v>
      </c>
      <c r="T41" s="914">
        <f t="shared" ref="T41:AG41" si="43">T33-SUM(T34:T39)</f>
        <v>0</v>
      </c>
      <c r="U41" s="913">
        <f t="shared" si="43"/>
        <v>0</v>
      </c>
      <c r="V41" s="915">
        <f t="shared" ref="V41:W41" si="44">V33-SUM(V34:V39)</f>
        <v>0</v>
      </c>
      <c r="W41" s="915">
        <f t="shared" si="44"/>
        <v>0</v>
      </c>
      <c r="X41" s="915">
        <f t="shared" ref="X41" si="45">X33-SUM(X34:X39)</f>
        <v>0</v>
      </c>
      <c r="Y41" s="914">
        <f t="shared" si="43"/>
        <v>0</v>
      </c>
      <c r="Z41" s="915">
        <f t="shared" si="43"/>
        <v>0</v>
      </c>
      <c r="AA41" s="915">
        <f t="shared" si="43"/>
        <v>0</v>
      </c>
      <c r="AB41" s="915">
        <f t="shared" si="43"/>
        <v>0</v>
      </c>
      <c r="AC41" s="915">
        <f t="shared" si="43"/>
        <v>0</v>
      </c>
      <c r="AD41" s="914">
        <f t="shared" si="43"/>
        <v>0</v>
      </c>
      <c r="AE41" s="914">
        <f t="shared" si="43"/>
        <v>0</v>
      </c>
      <c r="AF41" s="914">
        <f t="shared" si="43"/>
        <v>0</v>
      </c>
      <c r="AG41" s="914">
        <f t="shared" si="43"/>
        <v>0</v>
      </c>
    </row>
    <row r="42" spans="3:33">
      <c r="C42" s="23"/>
      <c r="D42" s="23"/>
      <c r="E42" s="23"/>
      <c r="F42" s="268"/>
      <c r="G42" s="268"/>
      <c r="H42" s="268"/>
      <c r="I42" s="268"/>
      <c r="J42" s="269"/>
      <c r="K42" s="268"/>
      <c r="L42" s="268"/>
      <c r="M42" s="268"/>
      <c r="N42" s="268"/>
      <c r="O42" s="269"/>
      <c r="P42" s="268"/>
      <c r="Q42" s="268"/>
      <c r="R42" s="268"/>
      <c r="S42" s="268"/>
      <c r="T42" s="269"/>
      <c r="U42" s="268"/>
      <c r="V42" s="272"/>
      <c r="W42" s="272"/>
      <c r="X42" s="272"/>
      <c r="Y42" s="269"/>
      <c r="Z42" s="272"/>
      <c r="AA42" s="272"/>
      <c r="AB42" s="272"/>
      <c r="AC42" s="272"/>
      <c r="AD42" s="269"/>
      <c r="AE42" s="269"/>
      <c r="AF42" s="269"/>
      <c r="AG42" s="269"/>
    </row>
    <row r="43" spans="3:33">
      <c r="C43" s="23" t="s">
        <v>658</v>
      </c>
      <c r="D43" s="23"/>
      <c r="E43" s="23"/>
      <c r="F43" s="296"/>
      <c r="G43" s="296"/>
      <c r="H43" s="296"/>
      <c r="I43" s="296"/>
      <c r="J43" s="269"/>
      <c r="K43" s="296"/>
      <c r="L43" s="296"/>
      <c r="M43" s="296"/>
      <c r="N43" s="296"/>
      <c r="O43" s="269"/>
      <c r="P43" s="296"/>
      <c r="Q43" s="296"/>
      <c r="R43" s="296"/>
      <c r="S43" s="296"/>
      <c r="T43" s="269"/>
      <c r="U43" s="296"/>
      <c r="V43" s="298"/>
      <c r="W43" s="298"/>
      <c r="X43" s="298"/>
      <c r="Y43" s="269"/>
      <c r="Z43" s="298"/>
      <c r="AA43" s="298"/>
      <c r="AB43" s="298"/>
      <c r="AC43" s="298"/>
      <c r="AD43" s="269"/>
      <c r="AE43" s="269"/>
      <c r="AF43" s="269"/>
      <c r="AG43" s="269"/>
    </row>
    <row r="44" spans="3:33">
      <c r="C44" s="28" t="str">
        <f t="shared" ref="C44:C49" si="46">C16</f>
        <v>Investment Banking &amp; Equities</v>
      </c>
      <c r="D44" s="23"/>
      <c r="E44" s="23"/>
      <c r="F44" s="292">
        <f t="shared" ref="F44:S44" si="47">IFERROR(F34/F$33,"N/A")</f>
        <v>0.9617039586919105</v>
      </c>
      <c r="G44" s="292">
        <f t="shared" si="47"/>
        <v>0.93391780442165084</v>
      </c>
      <c r="H44" s="292">
        <f t="shared" si="47"/>
        <v>0.95295863379585033</v>
      </c>
      <c r="I44" s="292">
        <f t="shared" si="47"/>
        <v>0.95455820000169944</v>
      </c>
      <c r="J44" s="293">
        <f t="shared" si="47"/>
        <v>0.95302602085566712</v>
      </c>
      <c r="K44" s="292">
        <f t="shared" si="47"/>
        <v>0.93782691393247741</v>
      </c>
      <c r="L44" s="292">
        <f t="shared" si="47"/>
        <v>0.95749378712711219</v>
      </c>
      <c r="M44" s="292">
        <f t="shared" si="47"/>
        <v>0.9540465436541441</v>
      </c>
      <c r="N44" s="292">
        <f t="shared" si="47"/>
        <v>0.97893280892744572</v>
      </c>
      <c r="O44" s="293">
        <f t="shared" si="47"/>
        <v>0.9622044584125683</v>
      </c>
      <c r="P44" s="292">
        <f t="shared" si="47"/>
        <v>0.94799611454885591</v>
      </c>
      <c r="Q44" s="292">
        <f t="shared" si="47"/>
        <v>0.9480015160683295</v>
      </c>
      <c r="R44" s="292">
        <f t="shared" si="47"/>
        <v>0.98864508848043064</v>
      </c>
      <c r="S44" s="292">
        <f t="shared" si="47"/>
        <v>0.99057223309617093</v>
      </c>
      <c r="T44" s="293">
        <f t="shared" ref="T44:Y44" si="48">IFERROR(T34/T$33,"N/A")</f>
        <v>0.97594760121629187</v>
      </c>
      <c r="U44" s="292">
        <f t="shared" si="48"/>
        <v>0.98855245732116614</v>
      </c>
      <c r="V44" s="294">
        <f t="shared" si="48"/>
        <v>0.99631178473778148</v>
      </c>
      <c r="W44" s="294">
        <f t="shared" si="48"/>
        <v>0.99719659581925923</v>
      </c>
      <c r="X44" s="294">
        <f t="shared" si="48"/>
        <v>0.99736816242539794</v>
      </c>
      <c r="Y44" s="293">
        <f t="shared" si="48"/>
        <v>0.99651165280661336</v>
      </c>
      <c r="Z44" s="294">
        <f t="shared" ref="Z44:AG49" si="49">IFERROR(Z34/Z$33,"N/A")</f>
        <v>0.99626635808073405</v>
      </c>
      <c r="AA44" s="294">
        <f t="shared" si="49"/>
        <v>0.99646476565420516</v>
      </c>
      <c r="AB44" s="294">
        <f t="shared" si="49"/>
        <v>0.99732958300036934</v>
      </c>
      <c r="AC44" s="294">
        <f t="shared" si="49"/>
        <v>0.99760773893451049</v>
      </c>
      <c r="AD44" s="293">
        <f t="shared" si="49"/>
        <v>0.99700646070680909</v>
      </c>
      <c r="AE44" s="293">
        <f t="shared" si="49"/>
        <v>0.99731242660332109</v>
      </c>
      <c r="AF44" s="293">
        <f t="shared" si="49"/>
        <v>0.99716894788922927</v>
      </c>
      <c r="AG44" s="293">
        <f t="shared" si="49"/>
        <v>0.99687774354730829</v>
      </c>
    </row>
    <row r="45" spans="3:33">
      <c r="C45" s="28" t="str">
        <f t="shared" si="46"/>
        <v>Investment Management</v>
      </c>
      <c r="D45" s="23"/>
      <c r="E45" s="23"/>
      <c r="F45" s="292">
        <f t="shared" ref="F45:S45" si="50">IFERROR(F35/F$33,"N/A")</f>
        <v>3.8296041308089501E-2</v>
      </c>
      <c r="G45" s="292">
        <f t="shared" si="50"/>
        <v>6.6082195578349157E-2</v>
      </c>
      <c r="H45" s="292">
        <f t="shared" si="50"/>
        <v>4.7041366204149636E-2</v>
      </c>
      <c r="I45" s="292">
        <f t="shared" si="50"/>
        <v>4.5441799998300607E-2</v>
      </c>
      <c r="J45" s="293">
        <f t="shared" si="50"/>
        <v>4.6973979144332913E-2</v>
      </c>
      <c r="K45" s="292">
        <f t="shared" si="50"/>
        <v>6.2173086067522587E-2</v>
      </c>
      <c r="L45" s="292">
        <f t="shared" si="50"/>
        <v>4.2506212872887854E-2</v>
      </c>
      <c r="M45" s="292">
        <f t="shared" si="50"/>
        <v>4.595345634585591E-2</v>
      </c>
      <c r="N45" s="292">
        <f t="shared" si="50"/>
        <v>2.1067191072554316E-2</v>
      </c>
      <c r="O45" s="293">
        <f t="shared" si="50"/>
        <v>3.7795541587431723E-2</v>
      </c>
      <c r="P45" s="292">
        <f t="shared" si="50"/>
        <v>5.2003885451144052E-2</v>
      </c>
      <c r="Q45" s="292">
        <f t="shared" si="50"/>
        <v>5.1998483931670537E-2</v>
      </c>
      <c r="R45" s="292">
        <f t="shared" si="50"/>
        <v>1.13549115195693E-2</v>
      </c>
      <c r="S45" s="292">
        <f t="shared" si="50"/>
        <v>9.4277669038290886E-3</v>
      </c>
      <c r="T45" s="293">
        <f t="shared" ref="T45:Y45" si="51">IFERROR(T35/T$33,"N/A")</f>
        <v>2.405239878370817E-2</v>
      </c>
      <c r="U45" s="292">
        <f t="shared" si="51"/>
        <v>1.1447542678833838E-2</v>
      </c>
      <c r="V45" s="294">
        <f t="shared" si="51"/>
        <v>3.6882152622185068E-3</v>
      </c>
      <c r="W45" s="294">
        <f t="shared" si="51"/>
        <v>2.8034041807407819E-3</v>
      </c>
      <c r="X45" s="294">
        <f t="shared" si="51"/>
        <v>2.6318375746020263E-3</v>
      </c>
      <c r="Y45" s="293">
        <f t="shared" si="51"/>
        <v>3.4883471933866098E-3</v>
      </c>
      <c r="Z45" s="294">
        <f t="shared" si="49"/>
        <v>3.7336419192659218E-3</v>
      </c>
      <c r="AA45" s="294">
        <f t="shared" si="49"/>
        <v>3.5352343457948567E-3</v>
      </c>
      <c r="AB45" s="294">
        <f t="shared" si="49"/>
        <v>2.6704169996306639E-3</v>
      </c>
      <c r="AC45" s="294">
        <f t="shared" si="49"/>
        <v>2.392261065489515E-3</v>
      </c>
      <c r="AD45" s="293">
        <f t="shared" si="49"/>
        <v>2.9935392931910048E-3</v>
      </c>
      <c r="AE45" s="293">
        <f t="shared" si="49"/>
        <v>2.6875733966788069E-3</v>
      </c>
      <c r="AF45" s="293">
        <f t="shared" si="49"/>
        <v>2.8310521107707868E-3</v>
      </c>
      <c r="AG45" s="293">
        <f t="shared" si="49"/>
        <v>3.1222564526917729E-3</v>
      </c>
    </row>
    <row r="46" spans="3:33" hidden="1" outlineLevel="1">
      <c r="C46" s="28" t="str">
        <f t="shared" si="46"/>
        <v>Segment 3</v>
      </c>
      <c r="D46" s="23"/>
      <c r="E46" s="23"/>
      <c r="F46" s="292">
        <f t="shared" ref="F46:S46" si="52">IFERROR(F36/F$33,"N/A")</f>
        <v>0</v>
      </c>
      <c r="G46" s="292">
        <f t="shared" si="52"/>
        <v>0</v>
      </c>
      <c r="H46" s="292">
        <f t="shared" si="52"/>
        <v>0</v>
      </c>
      <c r="I46" s="292">
        <f t="shared" si="52"/>
        <v>0</v>
      </c>
      <c r="J46" s="293">
        <f t="shared" si="52"/>
        <v>0</v>
      </c>
      <c r="K46" s="292">
        <f t="shared" si="52"/>
        <v>0</v>
      </c>
      <c r="L46" s="292">
        <f t="shared" si="52"/>
        <v>0</v>
      </c>
      <c r="M46" s="292">
        <f t="shared" si="52"/>
        <v>0</v>
      </c>
      <c r="N46" s="292">
        <f t="shared" si="52"/>
        <v>0</v>
      </c>
      <c r="O46" s="293">
        <f t="shared" si="52"/>
        <v>0</v>
      </c>
      <c r="P46" s="292">
        <f t="shared" si="52"/>
        <v>0</v>
      </c>
      <c r="Q46" s="292">
        <f t="shared" si="52"/>
        <v>0</v>
      </c>
      <c r="R46" s="292">
        <f t="shared" si="52"/>
        <v>0</v>
      </c>
      <c r="S46" s="292">
        <f t="shared" si="52"/>
        <v>0</v>
      </c>
      <c r="T46" s="293">
        <f t="shared" ref="T46:Y46" si="53">IFERROR(T36/T$33,"N/A")</f>
        <v>0</v>
      </c>
      <c r="U46" s="292">
        <f t="shared" si="53"/>
        <v>0</v>
      </c>
      <c r="V46" s="294">
        <f t="shared" si="53"/>
        <v>0</v>
      </c>
      <c r="W46" s="294">
        <f t="shared" si="53"/>
        <v>0</v>
      </c>
      <c r="X46" s="294">
        <f t="shared" si="53"/>
        <v>0</v>
      </c>
      <c r="Y46" s="293">
        <f t="shared" si="53"/>
        <v>0</v>
      </c>
      <c r="Z46" s="294">
        <f t="shared" si="49"/>
        <v>0</v>
      </c>
      <c r="AA46" s="294">
        <f t="shared" si="49"/>
        <v>0</v>
      </c>
      <c r="AB46" s="294">
        <f t="shared" si="49"/>
        <v>0</v>
      </c>
      <c r="AC46" s="294">
        <f t="shared" si="49"/>
        <v>0</v>
      </c>
      <c r="AD46" s="293">
        <f t="shared" si="49"/>
        <v>0</v>
      </c>
      <c r="AE46" s="293">
        <f t="shared" si="49"/>
        <v>0</v>
      </c>
      <c r="AF46" s="293">
        <f t="shared" si="49"/>
        <v>0</v>
      </c>
      <c r="AG46" s="293">
        <f t="shared" si="49"/>
        <v>0</v>
      </c>
    </row>
    <row r="47" spans="3:33" hidden="1" outlineLevel="1">
      <c r="C47" s="28" t="str">
        <f t="shared" si="46"/>
        <v>Segment 4</v>
      </c>
      <c r="D47" s="23"/>
      <c r="E47" s="23"/>
      <c r="F47" s="292">
        <f t="shared" ref="F47:S47" si="54">IFERROR(F37/F$33,"N/A")</f>
        <v>0</v>
      </c>
      <c r="G47" s="292">
        <f t="shared" si="54"/>
        <v>0</v>
      </c>
      <c r="H47" s="292">
        <f t="shared" si="54"/>
        <v>0</v>
      </c>
      <c r="I47" s="292">
        <f t="shared" si="54"/>
        <v>0</v>
      </c>
      <c r="J47" s="293">
        <f t="shared" si="54"/>
        <v>0</v>
      </c>
      <c r="K47" s="292">
        <f t="shared" si="54"/>
        <v>0</v>
      </c>
      <c r="L47" s="292">
        <f t="shared" si="54"/>
        <v>0</v>
      </c>
      <c r="M47" s="292">
        <f t="shared" si="54"/>
        <v>0</v>
      </c>
      <c r="N47" s="292">
        <f t="shared" si="54"/>
        <v>0</v>
      </c>
      <c r="O47" s="293">
        <f t="shared" si="54"/>
        <v>0</v>
      </c>
      <c r="P47" s="292">
        <f t="shared" si="54"/>
        <v>0</v>
      </c>
      <c r="Q47" s="292">
        <f t="shared" si="54"/>
        <v>0</v>
      </c>
      <c r="R47" s="292">
        <f t="shared" si="54"/>
        <v>0</v>
      </c>
      <c r="S47" s="292">
        <f t="shared" si="54"/>
        <v>0</v>
      </c>
      <c r="T47" s="293">
        <f t="shared" ref="T47:Y47" si="55">IFERROR(T37/T$33,"N/A")</f>
        <v>0</v>
      </c>
      <c r="U47" s="292">
        <f t="shared" si="55"/>
        <v>0</v>
      </c>
      <c r="V47" s="294">
        <f t="shared" si="55"/>
        <v>0</v>
      </c>
      <c r="W47" s="294">
        <f t="shared" si="55"/>
        <v>0</v>
      </c>
      <c r="X47" s="294">
        <f t="shared" si="55"/>
        <v>0</v>
      </c>
      <c r="Y47" s="293">
        <f t="shared" si="55"/>
        <v>0</v>
      </c>
      <c r="Z47" s="294">
        <f t="shared" si="49"/>
        <v>0</v>
      </c>
      <c r="AA47" s="294">
        <f t="shared" si="49"/>
        <v>0</v>
      </c>
      <c r="AB47" s="294">
        <f t="shared" si="49"/>
        <v>0</v>
      </c>
      <c r="AC47" s="294">
        <f t="shared" si="49"/>
        <v>0</v>
      </c>
      <c r="AD47" s="293">
        <f t="shared" si="49"/>
        <v>0</v>
      </c>
      <c r="AE47" s="293">
        <f t="shared" si="49"/>
        <v>0</v>
      </c>
      <c r="AF47" s="293">
        <f t="shared" si="49"/>
        <v>0</v>
      </c>
      <c r="AG47" s="293">
        <f t="shared" si="49"/>
        <v>0</v>
      </c>
    </row>
    <row r="48" spans="3:33" hidden="1" outlineLevel="1">
      <c r="C48" s="28" t="str">
        <f t="shared" si="46"/>
        <v>Segment 5</v>
      </c>
      <c r="D48" s="23"/>
      <c r="E48" s="23"/>
      <c r="F48" s="292">
        <f t="shared" ref="F48:S48" si="56">IFERROR(F38/F$33,"N/A")</f>
        <v>0</v>
      </c>
      <c r="G48" s="292">
        <f t="shared" si="56"/>
        <v>0</v>
      </c>
      <c r="H48" s="292">
        <f t="shared" si="56"/>
        <v>0</v>
      </c>
      <c r="I48" s="292">
        <f t="shared" si="56"/>
        <v>0</v>
      </c>
      <c r="J48" s="293">
        <f t="shared" si="56"/>
        <v>0</v>
      </c>
      <c r="K48" s="292">
        <f t="shared" si="56"/>
        <v>0</v>
      </c>
      <c r="L48" s="292">
        <f t="shared" si="56"/>
        <v>0</v>
      </c>
      <c r="M48" s="292">
        <f t="shared" si="56"/>
        <v>0</v>
      </c>
      <c r="N48" s="292">
        <f t="shared" si="56"/>
        <v>0</v>
      </c>
      <c r="O48" s="293">
        <f t="shared" si="56"/>
        <v>0</v>
      </c>
      <c r="P48" s="292">
        <f t="shared" si="56"/>
        <v>0</v>
      </c>
      <c r="Q48" s="292">
        <f t="shared" si="56"/>
        <v>0</v>
      </c>
      <c r="R48" s="292">
        <f t="shared" si="56"/>
        <v>0</v>
      </c>
      <c r="S48" s="292">
        <f t="shared" si="56"/>
        <v>0</v>
      </c>
      <c r="T48" s="293">
        <f t="shared" ref="T48:Y48" si="57">IFERROR(T38/T$33,"N/A")</f>
        <v>0</v>
      </c>
      <c r="U48" s="292">
        <f t="shared" si="57"/>
        <v>0</v>
      </c>
      <c r="V48" s="294">
        <f t="shared" si="57"/>
        <v>0</v>
      </c>
      <c r="W48" s="294">
        <f t="shared" si="57"/>
        <v>0</v>
      </c>
      <c r="X48" s="294">
        <f t="shared" si="57"/>
        <v>0</v>
      </c>
      <c r="Y48" s="293">
        <f t="shared" si="57"/>
        <v>0</v>
      </c>
      <c r="Z48" s="294">
        <f t="shared" si="49"/>
        <v>0</v>
      </c>
      <c r="AA48" s="294">
        <f t="shared" si="49"/>
        <v>0</v>
      </c>
      <c r="AB48" s="294">
        <f t="shared" si="49"/>
        <v>0</v>
      </c>
      <c r="AC48" s="294">
        <f t="shared" si="49"/>
        <v>0</v>
      </c>
      <c r="AD48" s="293">
        <f t="shared" si="49"/>
        <v>0</v>
      </c>
      <c r="AE48" s="293">
        <f t="shared" si="49"/>
        <v>0</v>
      </c>
      <c r="AF48" s="293">
        <f t="shared" si="49"/>
        <v>0</v>
      </c>
      <c r="AG48" s="293">
        <f t="shared" si="49"/>
        <v>0</v>
      </c>
    </row>
    <row r="49" spans="3:33" hidden="1" outlineLevel="1">
      <c r="C49" s="28" t="str">
        <f t="shared" si="46"/>
        <v>Segment 6</v>
      </c>
      <c r="D49" s="23"/>
      <c r="E49" s="23"/>
      <c r="F49" s="292">
        <f t="shared" ref="F49:S49" si="58">IFERROR(F39/F$33,"N/A")</f>
        <v>0</v>
      </c>
      <c r="G49" s="292">
        <f t="shared" si="58"/>
        <v>0</v>
      </c>
      <c r="H49" s="292">
        <f t="shared" si="58"/>
        <v>0</v>
      </c>
      <c r="I49" s="292">
        <f t="shared" si="58"/>
        <v>0</v>
      </c>
      <c r="J49" s="293">
        <f t="shared" si="58"/>
        <v>0</v>
      </c>
      <c r="K49" s="292">
        <f t="shared" si="58"/>
        <v>0</v>
      </c>
      <c r="L49" s="292">
        <f t="shared" si="58"/>
        <v>0</v>
      </c>
      <c r="M49" s="292">
        <f t="shared" si="58"/>
        <v>0</v>
      </c>
      <c r="N49" s="292">
        <f t="shared" si="58"/>
        <v>0</v>
      </c>
      <c r="O49" s="293">
        <f t="shared" si="58"/>
        <v>0</v>
      </c>
      <c r="P49" s="292">
        <f t="shared" si="58"/>
        <v>0</v>
      </c>
      <c r="Q49" s="292">
        <f t="shared" si="58"/>
        <v>0</v>
      </c>
      <c r="R49" s="292">
        <f t="shared" si="58"/>
        <v>0</v>
      </c>
      <c r="S49" s="292">
        <f t="shared" si="58"/>
        <v>0</v>
      </c>
      <c r="T49" s="293">
        <f t="shared" ref="T49:Y49" si="59">IFERROR(T39/T$33,"N/A")</f>
        <v>0</v>
      </c>
      <c r="U49" s="292">
        <f t="shared" si="59"/>
        <v>0</v>
      </c>
      <c r="V49" s="294">
        <f t="shared" si="59"/>
        <v>0</v>
      </c>
      <c r="W49" s="294">
        <f t="shared" si="59"/>
        <v>0</v>
      </c>
      <c r="X49" s="294">
        <f t="shared" si="59"/>
        <v>0</v>
      </c>
      <c r="Y49" s="293">
        <f t="shared" si="59"/>
        <v>0</v>
      </c>
      <c r="Z49" s="294">
        <f t="shared" si="49"/>
        <v>0</v>
      </c>
      <c r="AA49" s="294">
        <f t="shared" si="49"/>
        <v>0</v>
      </c>
      <c r="AB49" s="294">
        <f t="shared" si="49"/>
        <v>0</v>
      </c>
      <c r="AC49" s="294">
        <f t="shared" si="49"/>
        <v>0</v>
      </c>
      <c r="AD49" s="293">
        <f t="shared" si="49"/>
        <v>0</v>
      </c>
      <c r="AE49" s="293">
        <f t="shared" si="49"/>
        <v>0</v>
      </c>
      <c r="AF49" s="293">
        <f t="shared" si="49"/>
        <v>0</v>
      </c>
      <c r="AG49" s="293">
        <f t="shared" si="49"/>
        <v>0</v>
      </c>
    </row>
    <row r="50" spans="3:33" collapsed="1">
      <c r="C50" s="28"/>
      <c r="D50" s="23"/>
      <c r="E50" s="23"/>
      <c r="F50" s="292"/>
      <c r="G50" s="292"/>
      <c r="H50" s="292"/>
      <c r="I50" s="292"/>
      <c r="J50" s="293"/>
      <c r="K50" s="292"/>
      <c r="L50" s="292"/>
      <c r="M50" s="292"/>
      <c r="N50" s="292"/>
      <c r="O50" s="293"/>
      <c r="P50" s="292"/>
      <c r="Q50" s="292"/>
      <c r="R50" s="292"/>
      <c r="S50" s="292"/>
      <c r="T50" s="293"/>
      <c r="U50" s="292"/>
      <c r="V50" s="294"/>
      <c r="W50" s="294"/>
      <c r="X50" s="294"/>
      <c r="Y50" s="293"/>
      <c r="Z50" s="294"/>
      <c r="AA50" s="294"/>
      <c r="AB50" s="294"/>
      <c r="AC50" s="294"/>
      <c r="AD50" s="293"/>
      <c r="AE50" s="293"/>
      <c r="AF50" s="293"/>
      <c r="AG50" s="293"/>
    </row>
    <row r="51" spans="3:33">
      <c r="C51" s="23" t="s">
        <v>773</v>
      </c>
      <c r="D51" s="23"/>
      <c r="E51" s="23"/>
      <c r="F51" s="727">
        <f>SUM(F52:F57)</f>
        <v>6573</v>
      </c>
      <c r="G51" s="727">
        <f t="shared" ref="G51:J51" si="60">SUM(G52:G57)</f>
        <v>5952</v>
      </c>
      <c r="H51" s="727">
        <f t="shared" si="60"/>
        <v>5848</v>
      </c>
      <c r="I51" s="727">
        <f t="shared" si="60"/>
        <v>5975</v>
      </c>
      <c r="J51" s="728">
        <f t="shared" si="60"/>
        <v>24348</v>
      </c>
      <c r="K51" s="727">
        <f>SUM(K52:K57)</f>
        <v>6293</v>
      </c>
      <c r="L51" s="727">
        <f t="shared" ref="L51:N51" si="61">SUM(L52:L57)</f>
        <v>6439</v>
      </c>
      <c r="M51" s="727">
        <f t="shared" si="61"/>
        <v>5896</v>
      </c>
      <c r="N51" s="727">
        <f t="shared" si="61"/>
        <v>5840</v>
      </c>
      <c r="O51" s="728">
        <f>SUM(O52:O57)</f>
        <v>24468</v>
      </c>
      <c r="P51" s="727">
        <f t="shared" ref="P51:S51" si="62">SUM(P52:P57)</f>
        <v>5976</v>
      </c>
      <c r="Q51" s="727">
        <f t="shared" si="62"/>
        <v>6450</v>
      </c>
      <c r="R51" s="727">
        <f t="shared" si="62"/>
        <v>7856</v>
      </c>
      <c r="S51" s="727">
        <f t="shared" si="62"/>
        <v>12275</v>
      </c>
      <c r="T51" s="728">
        <f>SUM(T52:T57)</f>
        <v>32557</v>
      </c>
      <c r="U51" s="727">
        <f t="shared" ref="U51" si="63">SUM(U52:U57)</f>
        <v>12438</v>
      </c>
      <c r="V51" s="972">
        <f>Model!V78</f>
        <v>8418.375</v>
      </c>
      <c r="W51" s="972">
        <f>Model!W78</f>
        <v>8928.9679974281244</v>
      </c>
      <c r="X51" s="972">
        <f>Model!X78</f>
        <v>9292.0548058192126</v>
      </c>
      <c r="Y51" s="862">
        <f t="shared" ref="Y51" si="64">SUM(Y52:Y57)</f>
        <v>39077.397803247339</v>
      </c>
      <c r="Z51" s="972">
        <f>Model!Z78</f>
        <v>9762.5429207024899</v>
      </c>
      <c r="AA51" s="972">
        <f>Model!AA78</f>
        <v>10193.466100459753</v>
      </c>
      <c r="AB51" s="972">
        <f>Model!AB78</f>
        <v>10655.120476376804</v>
      </c>
      <c r="AC51" s="972">
        <f>Model!AC78</f>
        <v>11118.307916090187</v>
      </c>
      <c r="AD51" s="862">
        <f t="shared" ref="AD51" si="65">SUM(AD52:AD57)</f>
        <v>41729.437413629232</v>
      </c>
      <c r="AE51" s="743">
        <f>Model!AE78</f>
        <v>56568.835056116077</v>
      </c>
      <c r="AF51" s="743">
        <f>Model!AF78</f>
        <v>67700.400708204674</v>
      </c>
      <c r="AG51" s="743">
        <f>Model!AG78</f>
        <v>76377.618640960121</v>
      </c>
    </row>
    <row r="52" spans="3:33">
      <c r="C52" s="28" t="str">
        <f>C16&amp;" D&amp;A"</f>
        <v>Investment Banking &amp; Equities D&amp;A</v>
      </c>
      <c r="D52" s="23"/>
      <c r="E52" s="23"/>
      <c r="F52" s="287">
        <f>-Model!F35</f>
        <v>6573</v>
      </c>
      <c r="G52" s="287">
        <f>-Model!G35</f>
        <v>5952</v>
      </c>
      <c r="H52" s="287">
        <f>-Model!H35</f>
        <v>5848</v>
      </c>
      <c r="I52" s="287">
        <f>-Model!I35</f>
        <v>5975</v>
      </c>
      <c r="J52" s="966">
        <f>SUM(F52:I52)</f>
        <v>24348</v>
      </c>
      <c r="K52" s="287">
        <f>-Model!K35</f>
        <v>6293</v>
      </c>
      <c r="L52" s="287">
        <f>-Model!L35</f>
        <v>6439</v>
      </c>
      <c r="M52" s="287">
        <f>-Model!M35</f>
        <v>5896</v>
      </c>
      <c r="N52" s="287">
        <f>-Model!N35</f>
        <v>5840</v>
      </c>
      <c r="O52" s="966">
        <f>SUM(K52:N52)</f>
        <v>24468</v>
      </c>
      <c r="P52" s="287">
        <f>-Model!P35</f>
        <v>5976</v>
      </c>
      <c r="Q52" s="287">
        <f>-Model!Q35</f>
        <v>6450</v>
      </c>
      <c r="R52" s="287">
        <f>-Model!R35</f>
        <v>7856</v>
      </c>
      <c r="S52" s="287">
        <f>-Model!S35</f>
        <v>12275</v>
      </c>
      <c r="T52" s="966">
        <f>SUM(P52:S52)</f>
        <v>32557</v>
      </c>
      <c r="U52" s="287">
        <v>12438</v>
      </c>
      <c r="V52" s="970">
        <f t="shared" ref="U52:X52" si="66">V62*V$51</f>
        <v>8418.375</v>
      </c>
      <c r="W52" s="970">
        <f t="shared" si="66"/>
        <v>8928.9679974281244</v>
      </c>
      <c r="X52" s="970">
        <f t="shared" si="66"/>
        <v>9292.0548058192126</v>
      </c>
      <c r="Y52" s="286">
        <f>SUM(U52:X52)</f>
        <v>39077.397803247339</v>
      </c>
      <c r="Z52" s="970">
        <f t="shared" ref="Z52:AC52" si="67">Z62*Z$51</f>
        <v>9762.5429207024899</v>
      </c>
      <c r="AA52" s="970">
        <f t="shared" si="67"/>
        <v>10193.466100459753</v>
      </c>
      <c r="AB52" s="970">
        <f t="shared" si="67"/>
        <v>10655.120476376804</v>
      </c>
      <c r="AC52" s="970">
        <f t="shared" si="67"/>
        <v>11118.307916090187</v>
      </c>
      <c r="AD52" s="286">
        <f>SUM(Z52:AC52)</f>
        <v>41729.437413629232</v>
      </c>
      <c r="AE52" s="286">
        <f t="shared" ref="AE52:AG52" si="68">AE62*AE$51</f>
        <v>56568.835056116077</v>
      </c>
      <c r="AF52" s="286">
        <f t="shared" si="68"/>
        <v>67700.400708204674</v>
      </c>
      <c r="AG52" s="286">
        <f t="shared" si="68"/>
        <v>76377.618640960121</v>
      </c>
    </row>
    <row r="53" spans="3:33" hidden="1" outlineLevel="1">
      <c r="C53" s="28" t="str">
        <f t="shared" ref="C53:C57" si="69">C17&amp;" D&amp;A"</f>
        <v>Investment Management D&amp;A</v>
      </c>
      <c r="D53" s="23"/>
      <c r="E53" s="23"/>
      <c r="F53" s="287">
        <v>0</v>
      </c>
      <c r="G53" s="287">
        <v>0</v>
      </c>
      <c r="H53" s="287">
        <v>0</v>
      </c>
      <c r="I53" s="287">
        <v>0</v>
      </c>
      <c r="J53" s="966">
        <f t="shared" ref="J53:J57" si="70">SUM(F53:I53)</f>
        <v>0</v>
      </c>
      <c r="K53" s="287">
        <v>0</v>
      </c>
      <c r="L53" s="287">
        <v>0</v>
      </c>
      <c r="M53" s="287">
        <v>0</v>
      </c>
      <c r="N53" s="287">
        <v>0</v>
      </c>
      <c r="O53" s="966">
        <f t="shared" ref="O53:O57" si="71">SUM(K53:N53)</f>
        <v>0</v>
      </c>
      <c r="P53" s="287">
        <v>0</v>
      </c>
      <c r="Q53" s="287">
        <v>0</v>
      </c>
      <c r="R53" s="287">
        <v>0</v>
      </c>
      <c r="S53" s="287">
        <v>0</v>
      </c>
      <c r="T53" s="966">
        <f t="shared" ref="T53:T57" si="72">SUM(P53:S53)</f>
        <v>0</v>
      </c>
      <c r="U53" s="287">
        <v>0</v>
      </c>
      <c r="V53" s="970">
        <f t="shared" ref="U53:X53" si="73">V63*V$51</f>
        <v>0</v>
      </c>
      <c r="W53" s="970">
        <f t="shared" si="73"/>
        <v>0</v>
      </c>
      <c r="X53" s="970">
        <f t="shared" si="73"/>
        <v>0</v>
      </c>
      <c r="Y53" s="286">
        <f t="shared" ref="Y53:Y57" si="74">SUM(U53:X53)</f>
        <v>0</v>
      </c>
      <c r="Z53" s="970">
        <f t="shared" ref="Z53:AC53" si="75">Z63*Z$51</f>
        <v>0</v>
      </c>
      <c r="AA53" s="970">
        <f t="shared" si="75"/>
        <v>0</v>
      </c>
      <c r="AB53" s="970">
        <f t="shared" si="75"/>
        <v>0</v>
      </c>
      <c r="AC53" s="970">
        <f t="shared" si="75"/>
        <v>0</v>
      </c>
      <c r="AD53" s="286">
        <f t="shared" ref="AD53:AD57" si="76">SUM(Z53:AC53)</f>
        <v>0</v>
      </c>
      <c r="AE53" s="286">
        <f t="shared" ref="AE53:AG53" si="77">AE63*AE$51</f>
        <v>0</v>
      </c>
      <c r="AF53" s="286">
        <f t="shared" si="77"/>
        <v>0</v>
      </c>
      <c r="AG53" s="286">
        <f t="shared" si="77"/>
        <v>0</v>
      </c>
    </row>
    <row r="54" spans="3:33" hidden="1" outlineLevel="1">
      <c r="C54" s="28" t="str">
        <f t="shared" si="69"/>
        <v>Segment 3 D&amp;A</v>
      </c>
      <c r="D54" s="23"/>
      <c r="E54" s="23"/>
      <c r="F54" s="287">
        <v>0</v>
      </c>
      <c r="G54" s="287">
        <v>0</v>
      </c>
      <c r="H54" s="287">
        <v>0</v>
      </c>
      <c r="I54" s="287">
        <v>0</v>
      </c>
      <c r="J54" s="966">
        <f t="shared" si="70"/>
        <v>0</v>
      </c>
      <c r="K54" s="287">
        <v>0</v>
      </c>
      <c r="L54" s="287">
        <v>0</v>
      </c>
      <c r="M54" s="287">
        <v>0</v>
      </c>
      <c r="N54" s="287">
        <v>0</v>
      </c>
      <c r="O54" s="966">
        <f t="shared" si="71"/>
        <v>0</v>
      </c>
      <c r="P54" s="287">
        <v>0</v>
      </c>
      <c r="Q54" s="287">
        <v>0</v>
      </c>
      <c r="R54" s="287">
        <v>0</v>
      </c>
      <c r="S54" s="287">
        <v>0</v>
      </c>
      <c r="T54" s="966">
        <f t="shared" si="72"/>
        <v>0</v>
      </c>
      <c r="U54" s="287">
        <v>0</v>
      </c>
      <c r="V54" s="970">
        <f t="shared" ref="U54:X54" si="78">V64*V$51</f>
        <v>0</v>
      </c>
      <c r="W54" s="970">
        <f t="shared" si="78"/>
        <v>0</v>
      </c>
      <c r="X54" s="970">
        <f t="shared" si="78"/>
        <v>0</v>
      </c>
      <c r="Y54" s="286">
        <f t="shared" si="74"/>
        <v>0</v>
      </c>
      <c r="Z54" s="970">
        <f t="shared" ref="Z54:AC54" si="79">Z64*Z$51</f>
        <v>0</v>
      </c>
      <c r="AA54" s="970">
        <f t="shared" si="79"/>
        <v>0</v>
      </c>
      <c r="AB54" s="970">
        <f t="shared" si="79"/>
        <v>0</v>
      </c>
      <c r="AC54" s="970">
        <f t="shared" si="79"/>
        <v>0</v>
      </c>
      <c r="AD54" s="286">
        <f t="shared" si="76"/>
        <v>0</v>
      </c>
      <c r="AE54" s="286">
        <f t="shared" ref="AE54:AG54" si="80">AE64*AE$51</f>
        <v>0</v>
      </c>
      <c r="AF54" s="286">
        <f t="shared" si="80"/>
        <v>0</v>
      </c>
      <c r="AG54" s="286">
        <f t="shared" si="80"/>
        <v>0</v>
      </c>
    </row>
    <row r="55" spans="3:33" hidden="1" outlineLevel="1">
      <c r="C55" s="28" t="str">
        <f t="shared" si="69"/>
        <v>Segment 4 D&amp;A</v>
      </c>
      <c r="D55" s="23"/>
      <c r="E55" s="23"/>
      <c r="F55" s="287">
        <v>0</v>
      </c>
      <c r="G55" s="287">
        <v>0</v>
      </c>
      <c r="H55" s="287">
        <v>0</v>
      </c>
      <c r="I55" s="287">
        <v>0</v>
      </c>
      <c r="J55" s="966">
        <f t="shared" si="70"/>
        <v>0</v>
      </c>
      <c r="K55" s="287">
        <v>0</v>
      </c>
      <c r="L55" s="287">
        <v>0</v>
      </c>
      <c r="M55" s="287">
        <v>0</v>
      </c>
      <c r="N55" s="287">
        <v>0</v>
      </c>
      <c r="O55" s="966">
        <f t="shared" si="71"/>
        <v>0</v>
      </c>
      <c r="P55" s="287">
        <v>0</v>
      </c>
      <c r="Q55" s="287">
        <v>0</v>
      </c>
      <c r="R55" s="287">
        <v>0</v>
      </c>
      <c r="S55" s="287">
        <v>0</v>
      </c>
      <c r="T55" s="966">
        <f t="shared" si="72"/>
        <v>0</v>
      </c>
      <c r="U55" s="287">
        <v>0</v>
      </c>
      <c r="V55" s="970">
        <f t="shared" ref="U55:X55" si="81">V65*V$51</f>
        <v>0</v>
      </c>
      <c r="W55" s="970">
        <f t="shared" si="81"/>
        <v>0</v>
      </c>
      <c r="X55" s="970">
        <f t="shared" si="81"/>
        <v>0</v>
      </c>
      <c r="Y55" s="286">
        <f t="shared" si="74"/>
        <v>0</v>
      </c>
      <c r="Z55" s="970">
        <f t="shared" ref="Z55:AC55" si="82">Z65*Z$51</f>
        <v>0</v>
      </c>
      <c r="AA55" s="970">
        <f t="shared" si="82"/>
        <v>0</v>
      </c>
      <c r="AB55" s="970">
        <f t="shared" si="82"/>
        <v>0</v>
      </c>
      <c r="AC55" s="970">
        <f t="shared" si="82"/>
        <v>0</v>
      </c>
      <c r="AD55" s="286">
        <f t="shared" si="76"/>
        <v>0</v>
      </c>
      <c r="AE55" s="286">
        <f t="shared" ref="AE55:AG55" si="83">AE65*AE$51</f>
        <v>0</v>
      </c>
      <c r="AF55" s="286">
        <f t="shared" si="83"/>
        <v>0</v>
      </c>
      <c r="AG55" s="286">
        <f t="shared" si="83"/>
        <v>0</v>
      </c>
    </row>
    <row r="56" spans="3:33" hidden="1" outlineLevel="1">
      <c r="C56" s="28" t="str">
        <f t="shared" si="69"/>
        <v>Segment 5 D&amp;A</v>
      </c>
      <c r="D56" s="23"/>
      <c r="E56" s="23"/>
      <c r="F56" s="287">
        <v>0</v>
      </c>
      <c r="G56" s="287">
        <v>0</v>
      </c>
      <c r="H56" s="287">
        <v>0</v>
      </c>
      <c r="I56" s="287">
        <v>0</v>
      </c>
      <c r="J56" s="966">
        <f t="shared" si="70"/>
        <v>0</v>
      </c>
      <c r="K56" s="287">
        <v>0</v>
      </c>
      <c r="L56" s="287">
        <v>0</v>
      </c>
      <c r="M56" s="287">
        <v>0</v>
      </c>
      <c r="N56" s="287">
        <v>0</v>
      </c>
      <c r="O56" s="966">
        <f t="shared" si="71"/>
        <v>0</v>
      </c>
      <c r="P56" s="287">
        <v>0</v>
      </c>
      <c r="Q56" s="287">
        <v>0</v>
      </c>
      <c r="R56" s="287">
        <v>0</v>
      </c>
      <c r="S56" s="287">
        <v>0</v>
      </c>
      <c r="T56" s="966">
        <f t="shared" si="72"/>
        <v>0</v>
      </c>
      <c r="U56" s="287">
        <v>0</v>
      </c>
      <c r="V56" s="970">
        <f t="shared" ref="U56:X56" si="84">V66*V$51</f>
        <v>0</v>
      </c>
      <c r="W56" s="970">
        <f t="shared" si="84"/>
        <v>0</v>
      </c>
      <c r="X56" s="970">
        <f t="shared" si="84"/>
        <v>0</v>
      </c>
      <c r="Y56" s="286">
        <f t="shared" si="74"/>
        <v>0</v>
      </c>
      <c r="Z56" s="970">
        <f t="shared" ref="Z56:AC56" si="85">Z66*Z$51</f>
        <v>0</v>
      </c>
      <c r="AA56" s="970">
        <f t="shared" si="85"/>
        <v>0</v>
      </c>
      <c r="AB56" s="970">
        <f t="shared" si="85"/>
        <v>0</v>
      </c>
      <c r="AC56" s="970">
        <f t="shared" si="85"/>
        <v>0</v>
      </c>
      <c r="AD56" s="286">
        <f t="shared" si="76"/>
        <v>0</v>
      </c>
      <c r="AE56" s="286">
        <f t="shared" ref="AE56:AG56" si="86">AE66*AE$51</f>
        <v>0</v>
      </c>
      <c r="AF56" s="286">
        <f t="shared" si="86"/>
        <v>0</v>
      </c>
      <c r="AG56" s="286">
        <f t="shared" si="86"/>
        <v>0</v>
      </c>
    </row>
    <row r="57" spans="3:33" hidden="1" outlineLevel="1">
      <c r="C57" s="28" t="str">
        <f t="shared" si="69"/>
        <v>Segment 6 D&amp;A</v>
      </c>
      <c r="D57" s="23"/>
      <c r="E57" s="23"/>
      <c r="F57" s="287">
        <v>0</v>
      </c>
      <c r="G57" s="287">
        <v>0</v>
      </c>
      <c r="H57" s="287">
        <v>0</v>
      </c>
      <c r="I57" s="287">
        <v>0</v>
      </c>
      <c r="J57" s="966">
        <f t="shared" si="70"/>
        <v>0</v>
      </c>
      <c r="K57" s="287">
        <v>0</v>
      </c>
      <c r="L57" s="287">
        <v>0</v>
      </c>
      <c r="M57" s="287">
        <v>0</v>
      </c>
      <c r="N57" s="287">
        <v>0</v>
      </c>
      <c r="O57" s="966">
        <f t="shared" si="71"/>
        <v>0</v>
      </c>
      <c r="P57" s="287">
        <v>0</v>
      </c>
      <c r="Q57" s="287">
        <v>0</v>
      </c>
      <c r="R57" s="287">
        <v>0</v>
      </c>
      <c r="S57" s="287">
        <v>0</v>
      </c>
      <c r="T57" s="966">
        <f t="shared" si="72"/>
        <v>0</v>
      </c>
      <c r="U57" s="287">
        <v>0</v>
      </c>
      <c r="V57" s="970">
        <f t="shared" ref="U57:X57" si="87">V67*V$51</f>
        <v>0</v>
      </c>
      <c r="W57" s="970">
        <f t="shared" si="87"/>
        <v>0</v>
      </c>
      <c r="X57" s="970">
        <f t="shared" si="87"/>
        <v>0</v>
      </c>
      <c r="Y57" s="286">
        <f t="shared" si="74"/>
        <v>0</v>
      </c>
      <c r="Z57" s="970">
        <f t="shared" ref="Z57:AC57" si="88">Z67*Z$51</f>
        <v>0</v>
      </c>
      <c r="AA57" s="970">
        <f t="shared" si="88"/>
        <v>0</v>
      </c>
      <c r="AB57" s="970">
        <f t="shared" si="88"/>
        <v>0</v>
      </c>
      <c r="AC57" s="970">
        <f t="shared" si="88"/>
        <v>0</v>
      </c>
      <c r="AD57" s="286">
        <f t="shared" si="76"/>
        <v>0</v>
      </c>
      <c r="AE57" s="286">
        <f t="shared" ref="AE57:AG57" si="89">AE67*AE$51</f>
        <v>0</v>
      </c>
      <c r="AF57" s="286">
        <f t="shared" si="89"/>
        <v>0</v>
      </c>
      <c r="AG57" s="286">
        <f t="shared" si="89"/>
        <v>0</v>
      </c>
    </row>
    <row r="58" spans="3:33" collapsed="1">
      <c r="C58" s="28"/>
      <c r="D58" s="23"/>
      <c r="E58" s="23"/>
      <c r="F58" s="962"/>
      <c r="G58" s="962"/>
      <c r="H58" s="962"/>
      <c r="I58" s="962"/>
      <c r="J58" s="286"/>
      <c r="K58" s="962"/>
      <c r="L58" s="962"/>
      <c r="M58" s="962"/>
      <c r="N58" s="913"/>
      <c r="O58" s="293"/>
      <c r="P58" s="913"/>
      <c r="Q58" s="913"/>
      <c r="R58" s="962"/>
      <c r="S58" s="913"/>
      <c r="T58" s="293"/>
      <c r="U58" s="913"/>
      <c r="V58" s="915"/>
      <c r="W58" s="915"/>
      <c r="X58" s="294"/>
      <c r="Y58" s="286"/>
      <c r="Z58" s="915"/>
      <c r="AA58" s="915"/>
      <c r="AB58" s="915"/>
      <c r="AC58" s="294"/>
      <c r="AD58" s="293"/>
      <c r="AE58" s="293"/>
      <c r="AF58" s="293"/>
      <c r="AG58" s="293"/>
    </row>
    <row r="59" spans="3:33">
      <c r="C59" s="114" t="s">
        <v>774</v>
      </c>
      <c r="D59" s="23"/>
      <c r="E59" s="23"/>
      <c r="F59" s="967">
        <f>F51-Model!F61</f>
        <v>0</v>
      </c>
      <c r="G59" s="967">
        <f>G51-Model!G61</f>
        <v>0</v>
      </c>
      <c r="H59" s="967">
        <f>H51-Model!H61</f>
        <v>0</v>
      </c>
      <c r="I59" s="967">
        <f>I51-Model!I61</f>
        <v>0</v>
      </c>
      <c r="J59" s="914">
        <f>J51-Model!J61</f>
        <v>0</v>
      </c>
      <c r="K59" s="967">
        <f>K51-Model!K61</f>
        <v>0</v>
      </c>
      <c r="L59" s="967">
        <f>L51-Model!L61</f>
        <v>0</v>
      </c>
      <c r="M59" s="967">
        <f>M51-Model!M61</f>
        <v>0</v>
      </c>
      <c r="N59" s="967">
        <f>N51-Model!N61</f>
        <v>0</v>
      </c>
      <c r="O59" s="914">
        <f>O51-Model!O61</f>
        <v>0</v>
      </c>
      <c r="P59" s="967">
        <f>P51-Model!P61</f>
        <v>0</v>
      </c>
      <c r="Q59" s="967">
        <f>Q51-Model!Q61</f>
        <v>0</v>
      </c>
      <c r="R59" s="967">
        <f>R51-Model!R61</f>
        <v>0</v>
      </c>
      <c r="S59" s="967">
        <f>S51-Model!S61</f>
        <v>0</v>
      </c>
      <c r="T59" s="914">
        <f>T51-Model!T61</f>
        <v>0</v>
      </c>
      <c r="U59" s="967">
        <f>U51-Model!U61</f>
        <v>0</v>
      </c>
      <c r="V59" s="963">
        <f t="shared" ref="U59:X59" si="90">V51-SUM(V52:V57)</f>
        <v>0</v>
      </c>
      <c r="W59" s="963">
        <f t="shared" si="90"/>
        <v>0</v>
      </c>
      <c r="X59" s="963">
        <f t="shared" si="90"/>
        <v>0</v>
      </c>
      <c r="Y59" s="914">
        <f t="shared" ref="Y59:AG59" si="91">Y51-SUM(Y52:Y57)</f>
        <v>0</v>
      </c>
      <c r="Z59" s="963">
        <f t="shared" si="91"/>
        <v>0</v>
      </c>
      <c r="AA59" s="963">
        <f t="shared" si="91"/>
        <v>0</v>
      </c>
      <c r="AB59" s="963">
        <f t="shared" si="91"/>
        <v>0</v>
      </c>
      <c r="AC59" s="963">
        <f t="shared" si="91"/>
        <v>0</v>
      </c>
      <c r="AD59" s="914">
        <f t="shared" si="91"/>
        <v>0</v>
      </c>
      <c r="AE59" s="914">
        <f t="shared" si="91"/>
        <v>0</v>
      </c>
      <c r="AF59" s="914">
        <f t="shared" si="91"/>
        <v>0</v>
      </c>
      <c r="AG59" s="914">
        <f t="shared" si="91"/>
        <v>0</v>
      </c>
    </row>
    <row r="60" spans="3:33">
      <c r="C60" s="28"/>
      <c r="D60" s="23"/>
      <c r="E60" s="23"/>
      <c r="F60" s="962"/>
      <c r="G60" s="962"/>
      <c r="H60" s="962"/>
      <c r="I60" s="962"/>
      <c r="J60" s="286"/>
      <c r="K60" s="962"/>
      <c r="L60" s="962"/>
      <c r="M60" s="962"/>
      <c r="N60" s="913"/>
      <c r="O60" s="293"/>
      <c r="P60" s="913"/>
      <c r="Q60" s="913"/>
      <c r="R60" s="962"/>
      <c r="S60" s="913"/>
      <c r="T60" s="293"/>
      <c r="U60" s="913"/>
      <c r="V60" s="915"/>
      <c r="W60" s="915"/>
      <c r="X60" s="294"/>
      <c r="Y60" s="286"/>
      <c r="Z60" s="915"/>
      <c r="AA60" s="915"/>
      <c r="AB60" s="915"/>
      <c r="AC60" s="294"/>
      <c r="AD60" s="293"/>
      <c r="AE60" s="293"/>
      <c r="AF60" s="293"/>
      <c r="AG60" s="293"/>
    </row>
    <row r="61" spans="3:33" ht="15" customHeight="1">
      <c r="C61" s="461" t="s">
        <v>777</v>
      </c>
      <c r="D61" s="23"/>
      <c r="E61" s="23"/>
      <c r="F61" s="727"/>
      <c r="G61" s="727"/>
      <c r="H61" s="727"/>
      <c r="I61" s="727"/>
      <c r="J61" s="728"/>
      <c r="K61" s="727"/>
      <c r="L61" s="727"/>
      <c r="M61" s="727"/>
      <c r="N61" s="727"/>
      <c r="O61" s="728"/>
      <c r="P61" s="727"/>
      <c r="Q61" s="727"/>
      <c r="R61" s="727"/>
      <c r="S61" s="727"/>
      <c r="T61" s="728"/>
      <c r="U61" s="727"/>
      <c r="V61" s="729"/>
      <c r="W61" s="729"/>
      <c r="X61" s="729"/>
      <c r="Y61" s="862"/>
      <c r="Z61" s="729"/>
      <c r="AA61" s="729"/>
      <c r="AB61" s="729"/>
      <c r="AC61" s="729"/>
      <c r="AD61" s="862"/>
      <c r="AE61" s="728"/>
      <c r="AF61" s="728"/>
      <c r="AG61" s="728"/>
    </row>
    <row r="62" spans="3:33" ht="15" customHeight="1">
      <c r="C62" s="959" t="str">
        <f t="shared" ref="C62:C67" si="92">C16</f>
        <v>Investment Banking &amp; Equities</v>
      </c>
      <c r="D62" s="23"/>
      <c r="E62" s="23"/>
      <c r="F62" s="292">
        <f t="shared" ref="F62:S62" si="93">IFERROR(F52/F$51,"N/A")</f>
        <v>1</v>
      </c>
      <c r="G62" s="292">
        <f t="shared" si="93"/>
        <v>1</v>
      </c>
      <c r="H62" s="292">
        <f t="shared" si="93"/>
        <v>1</v>
      </c>
      <c r="I62" s="292">
        <f t="shared" si="93"/>
        <v>1</v>
      </c>
      <c r="J62" s="293">
        <f t="shared" si="93"/>
        <v>1</v>
      </c>
      <c r="K62" s="292">
        <f t="shared" si="93"/>
        <v>1</v>
      </c>
      <c r="L62" s="292">
        <f t="shared" si="93"/>
        <v>1</v>
      </c>
      <c r="M62" s="292">
        <f t="shared" si="93"/>
        <v>1</v>
      </c>
      <c r="N62" s="292">
        <f t="shared" si="93"/>
        <v>1</v>
      </c>
      <c r="O62" s="293">
        <f t="shared" si="93"/>
        <v>1</v>
      </c>
      <c r="P62" s="292">
        <f t="shared" si="93"/>
        <v>1</v>
      </c>
      <c r="Q62" s="292">
        <f t="shared" si="93"/>
        <v>1</v>
      </c>
      <c r="R62" s="292">
        <f t="shared" si="93"/>
        <v>1</v>
      </c>
      <c r="S62" s="292">
        <f t="shared" si="93"/>
        <v>1</v>
      </c>
      <c r="T62" s="293">
        <f t="shared" ref="T62:U62" si="94">IFERROR(T52/T$51,"N/A")</f>
        <v>1</v>
      </c>
      <c r="U62" s="292">
        <f t="shared" si="94"/>
        <v>1</v>
      </c>
      <c r="V62" s="61">
        <f>Drivers!V83</f>
        <v>1</v>
      </c>
      <c r="W62" s="61">
        <f>Drivers!W83</f>
        <v>1</v>
      </c>
      <c r="X62" s="61">
        <f>Drivers!X83</f>
        <v>1</v>
      </c>
      <c r="Y62" s="971">
        <f>Y52/Y$51</f>
        <v>1</v>
      </c>
      <c r="Z62" s="61">
        <f>Drivers!Z83</f>
        <v>1</v>
      </c>
      <c r="AA62" s="61">
        <f>Drivers!AA83</f>
        <v>1</v>
      </c>
      <c r="AB62" s="61">
        <f>Drivers!AB83</f>
        <v>1</v>
      </c>
      <c r="AC62" s="61">
        <f>Drivers!AC83</f>
        <v>1</v>
      </c>
      <c r="AD62" s="971">
        <f>AD52/AD$51</f>
        <v>1</v>
      </c>
      <c r="AE62" s="62">
        <f>Drivers!AE83</f>
        <v>1</v>
      </c>
      <c r="AF62" s="62">
        <f>Drivers!AF83</f>
        <v>1</v>
      </c>
      <c r="AG62" s="62">
        <f>Drivers!AG83</f>
        <v>1</v>
      </c>
    </row>
    <row r="63" spans="3:33">
      <c r="C63" s="959" t="str">
        <f t="shared" si="92"/>
        <v>Investment Management</v>
      </c>
      <c r="D63" s="23"/>
      <c r="E63" s="23"/>
      <c r="F63" s="292">
        <f t="shared" ref="F63:S63" si="95">IFERROR(F53/F$51,"N/A")</f>
        <v>0</v>
      </c>
      <c r="G63" s="292">
        <f t="shared" si="95"/>
        <v>0</v>
      </c>
      <c r="H63" s="292">
        <f t="shared" si="95"/>
        <v>0</v>
      </c>
      <c r="I63" s="292">
        <f t="shared" si="95"/>
        <v>0</v>
      </c>
      <c r="J63" s="293">
        <f t="shared" si="95"/>
        <v>0</v>
      </c>
      <c r="K63" s="292">
        <f t="shared" si="95"/>
        <v>0</v>
      </c>
      <c r="L63" s="292">
        <f t="shared" si="95"/>
        <v>0</v>
      </c>
      <c r="M63" s="292">
        <f t="shared" si="95"/>
        <v>0</v>
      </c>
      <c r="N63" s="292">
        <f t="shared" si="95"/>
        <v>0</v>
      </c>
      <c r="O63" s="293">
        <f t="shared" si="95"/>
        <v>0</v>
      </c>
      <c r="P63" s="292">
        <f t="shared" si="95"/>
        <v>0</v>
      </c>
      <c r="Q63" s="292">
        <f t="shared" si="95"/>
        <v>0</v>
      </c>
      <c r="R63" s="292">
        <f t="shared" si="95"/>
        <v>0</v>
      </c>
      <c r="S63" s="292">
        <f t="shared" si="95"/>
        <v>0</v>
      </c>
      <c r="T63" s="293">
        <f t="shared" ref="T63:U63" si="96">IFERROR(T53/T$51,"N/A")</f>
        <v>0</v>
      </c>
      <c r="U63" s="292">
        <f t="shared" si="96"/>
        <v>0</v>
      </c>
      <c r="V63" s="61">
        <f>Drivers!V84</f>
        <v>0</v>
      </c>
      <c r="W63" s="61">
        <f>Drivers!W84</f>
        <v>0</v>
      </c>
      <c r="X63" s="61">
        <f>Drivers!X84</f>
        <v>0</v>
      </c>
      <c r="Y63" s="971">
        <f t="shared" ref="Y63:Y67" si="97">Y53/Y$51</f>
        <v>0</v>
      </c>
      <c r="Z63" s="61">
        <f>Drivers!Z84</f>
        <v>0</v>
      </c>
      <c r="AA63" s="61">
        <f>Drivers!AA84</f>
        <v>0</v>
      </c>
      <c r="AB63" s="61">
        <f>Drivers!AB84</f>
        <v>0</v>
      </c>
      <c r="AC63" s="61">
        <f>Drivers!AC84</f>
        <v>0</v>
      </c>
      <c r="AD63" s="971">
        <f t="shared" ref="AD63:AD67" si="98">AD53/AD$51</f>
        <v>0</v>
      </c>
      <c r="AE63" s="62">
        <f>Drivers!AE84</f>
        <v>0</v>
      </c>
      <c r="AF63" s="62">
        <f>Drivers!AF84</f>
        <v>0</v>
      </c>
      <c r="AG63" s="62">
        <f>Drivers!AG84</f>
        <v>0</v>
      </c>
    </row>
    <row r="64" spans="3:33" hidden="1" outlineLevel="1">
      <c r="C64" s="959" t="str">
        <f t="shared" si="92"/>
        <v>Segment 3</v>
      </c>
      <c r="D64" s="23"/>
      <c r="E64" s="23"/>
      <c r="F64" s="292">
        <f t="shared" ref="F64:S64" si="99">IFERROR(F54/F$51,"N/A")</f>
        <v>0</v>
      </c>
      <c r="G64" s="292">
        <f t="shared" si="99"/>
        <v>0</v>
      </c>
      <c r="H64" s="292">
        <f t="shared" si="99"/>
        <v>0</v>
      </c>
      <c r="I64" s="292">
        <f t="shared" si="99"/>
        <v>0</v>
      </c>
      <c r="J64" s="293">
        <f t="shared" si="99"/>
        <v>0</v>
      </c>
      <c r="K64" s="292">
        <f t="shared" si="99"/>
        <v>0</v>
      </c>
      <c r="L64" s="292">
        <f t="shared" si="99"/>
        <v>0</v>
      </c>
      <c r="M64" s="292">
        <f t="shared" si="99"/>
        <v>0</v>
      </c>
      <c r="N64" s="292">
        <f t="shared" si="99"/>
        <v>0</v>
      </c>
      <c r="O64" s="293">
        <f t="shared" si="99"/>
        <v>0</v>
      </c>
      <c r="P64" s="292">
        <f t="shared" si="99"/>
        <v>0</v>
      </c>
      <c r="Q64" s="292">
        <f t="shared" si="99"/>
        <v>0</v>
      </c>
      <c r="R64" s="292">
        <f t="shared" si="99"/>
        <v>0</v>
      </c>
      <c r="S64" s="292">
        <f t="shared" si="99"/>
        <v>0</v>
      </c>
      <c r="T64" s="293">
        <f t="shared" ref="T64:U64" si="100">IFERROR(T54/T$51,"N/A")</f>
        <v>0</v>
      </c>
      <c r="U64" s="292">
        <f t="shared" si="100"/>
        <v>0</v>
      </c>
      <c r="V64" s="61">
        <f>Drivers!V85</f>
        <v>0</v>
      </c>
      <c r="W64" s="61">
        <f>Drivers!W85</f>
        <v>0</v>
      </c>
      <c r="X64" s="61">
        <f>Drivers!X85</f>
        <v>0</v>
      </c>
      <c r="Y64" s="971">
        <f t="shared" si="97"/>
        <v>0</v>
      </c>
      <c r="Z64" s="61">
        <f>Drivers!Z85</f>
        <v>0</v>
      </c>
      <c r="AA64" s="61">
        <f>Drivers!AA85</f>
        <v>0</v>
      </c>
      <c r="AB64" s="61">
        <f>Drivers!AB85</f>
        <v>0</v>
      </c>
      <c r="AC64" s="61">
        <f>Drivers!AC85</f>
        <v>0</v>
      </c>
      <c r="AD64" s="971">
        <f t="shared" si="98"/>
        <v>0</v>
      </c>
      <c r="AE64" s="62">
        <f>Drivers!AE85</f>
        <v>0</v>
      </c>
      <c r="AF64" s="62">
        <f>Drivers!AF85</f>
        <v>0</v>
      </c>
      <c r="AG64" s="62">
        <f>Drivers!AG85</f>
        <v>0</v>
      </c>
    </row>
    <row r="65" spans="3:33" hidden="1" outlineLevel="1">
      <c r="C65" s="959" t="str">
        <f t="shared" si="92"/>
        <v>Segment 4</v>
      </c>
      <c r="D65" s="23"/>
      <c r="E65" s="23"/>
      <c r="F65" s="292">
        <f t="shared" ref="F65:S65" si="101">IFERROR(F55/F$51,"N/A")</f>
        <v>0</v>
      </c>
      <c r="G65" s="292">
        <f t="shared" si="101"/>
        <v>0</v>
      </c>
      <c r="H65" s="292">
        <f t="shared" si="101"/>
        <v>0</v>
      </c>
      <c r="I65" s="292">
        <f t="shared" si="101"/>
        <v>0</v>
      </c>
      <c r="J65" s="293">
        <f t="shared" si="101"/>
        <v>0</v>
      </c>
      <c r="K65" s="292">
        <f t="shared" si="101"/>
        <v>0</v>
      </c>
      <c r="L65" s="292">
        <f t="shared" si="101"/>
        <v>0</v>
      </c>
      <c r="M65" s="292">
        <f t="shared" si="101"/>
        <v>0</v>
      </c>
      <c r="N65" s="292">
        <f t="shared" si="101"/>
        <v>0</v>
      </c>
      <c r="O65" s="293">
        <f t="shared" si="101"/>
        <v>0</v>
      </c>
      <c r="P65" s="292">
        <f t="shared" si="101"/>
        <v>0</v>
      </c>
      <c r="Q65" s="292">
        <f t="shared" si="101"/>
        <v>0</v>
      </c>
      <c r="R65" s="292">
        <f t="shared" si="101"/>
        <v>0</v>
      </c>
      <c r="S65" s="292">
        <f t="shared" si="101"/>
        <v>0</v>
      </c>
      <c r="T65" s="293">
        <f t="shared" ref="T65:U65" si="102">IFERROR(T55/T$51,"N/A")</f>
        <v>0</v>
      </c>
      <c r="U65" s="292">
        <f t="shared" si="102"/>
        <v>0</v>
      </c>
      <c r="V65" s="61">
        <f>Drivers!V86</f>
        <v>0</v>
      </c>
      <c r="W65" s="61">
        <f>Drivers!W86</f>
        <v>0</v>
      </c>
      <c r="X65" s="61">
        <f>Drivers!X86</f>
        <v>0</v>
      </c>
      <c r="Y65" s="971">
        <f t="shared" si="97"/>
        <v>0</v>
      </c>
      <c r="Z65" s="61">
        <f>Drivers!Z86</f>
        <v>0</v>
      </c>
      <c r="AA65" s="61">
        <f>Drivers!AA86</f>
        <v>0</v>
      </c>
      <c r="AB65" s="61">
        <f>Drivers!AB86</f>
        <v>0</v>
      </c>
      <c r="AC65" s="61">
        <f>Drivers!AC86</f>
        <v>0</v>
      </c>
      <c r="AD65" s="971">
        <f t="shared" si="98"/>
        <v>0</v>
      </c>
      <c r="AE65" s="62">
        <f>Drivers!AE86</f>
        <v>0</v>
      </c>
      <c r="AF65" s="62">
        <f>Drivers!AF86</f>
        <v>0</v>
      </c>
      <c r="AG65" s="62">
        <f>Drivers!AG86</f>
        <v>0</v>
      </c>
    </row>
    <row r="66" spans="3:33" hidden="1" outlineLevel="1">
      <c r="C66" s="959" t="str">
        <f t="shared" si="92"/>
        <v>Segment 5</v>
      </c>
      <c r="D66" s="23"/>
      <c r="E66" s="23"/>
      <c r="F66" s="292">
        <f t="shared" ref="F66:S66" si="103">IFERROR(F56/F$51,"N/A")</f>
        <v>0</v>
      </c>
      <c r="G66" s="292">
        <f t="shared" si="103"/>
        <v>0</v>
      </c>
      <c r="H66" s="292">
        <f t="shared" si="103"/>
        <v>0</v>
      </c>
      <c r="I66" s="292">
        <f t="shared" si="103"/>
        <v>0</v>
      </c>
      <c r="J66" s="293">
        <f t="shared" si="103"/>
        <v>0</v>
      </c>
      <c r="K66" s="292">
        <f t="shared" si="103"/>
        <v>0</v>
      </c>
      <c r="L66" s="292">
        <f t="shared" si="103"/>
        <v>0</v>
      </c>
      <c r="M66" s="292">
        <f t="shared" si="103"/>
        <v>0</v>
      </c>
      <c r="N66" s="292">
        <f t="shared" si="103"/>
        <v>0</v>
      </c>
      <c r="O66" s="293">
        <f t="shared" si="103"/>
        <v>0</v>
      </c>
      <c r="P66" s="292">
        <f t="shared" si="103"/>
        <v>0</v>
      </c>
      <c r="Q66" s="292">
        <f t="shared" si="103"/>
        <v>0</v>
      </c>
      <c r="R66" s="292">
        <f t="shared" si="103"/>
        <v>0</v>
      </c>
      <c r="S66" s="292">
        <f t="shared" si="103"/>
        <v>0</v>
      </c>
      <c r="T66" s="293">
        <f t="shared" ref="T66:U66" si="104">IFERROR(T56/T$51,"N/A")</f>
        <v>0</v>
      </c>
      <c r="U66" s="292">
        <f t="shared" si="104"/>
        <v>0</v>
      </c>
      <c r="V66" s="61">
        <f>Drivers!V87</f>
        <v>0</v>
      </c>
      <c r="W66" s="61">
        <f>Drivers!W87</f>
        <v>0</v>
      </c>
      <c r="X66" s="61">
        <f>Drivers!X87</f>
        <v>0</v>
      </c>
      <c r="Y66" s="971">
        <f t="shared" si="97"/>
        <v>0</v>
      </c>
      <c r="Z66" s="61">
        <f>Drivers!Z87</f>
        <v>0</v>
      </c>
      <c r="AA66" s="61">
        <f>Drivers!AA87</f>
        <v>0</v>
      </c>
      <c r="AB66" s="61">
        <f>Drivers!AB87</f>
        <v>0</v>
      </c>
      <c r="AC66" s="61">
        <f>Drivers!AC87</f>
        <v>0</v>
      </c>
      <c r="AD66" s="971">
        <f t="shared" si="98"/>
        <v>0</v>
      </c>
      <c r="AE66" s="62">
        <f>Drivers!AE87</f>
        <v>0</v>
      </c>
      <c r="AF66" s="62">
        <f>Drivers!AF87</f>
        <v>0</v>
      </c>
      <c r="AG66" s="62">
        <f>Drivers!AG87</f>
        <v>0</v>
      </c>
    </row>
    <row r="67" spans="3:33" hidden="1" outlineLevel="1">
      <c r="C67" s="959" t="str">
        <f t="shared" si="92"/>
        <v>Segment 6</v>
      </c>
      <c r="D67" s="23"/>
      <c r="E67" s="23"/>
      <c r="F67" s="292">
        <f t="shared" ref="F67:S67" si="105">IFERROR(F57/F$51,"N/A")</f>
        <v>0</v>
      </c>
      <c r="G67" s="292">
        <f t="shared" si="105"/>
        <v>0</v>
      </c>
      <c r="H67" s="292">
        <f t="shared" si="105"/>
        <v>0</v>
      </c>
      <c r="I67" s="292">
        <f t="shared" si="105"/>
        <v>0</v>
      </c>
      <c r="J67" s="293">
        <f t="shared" si="105"/>
        <v>0</v>
      </c>
      <c r="K67" s="292">
        <f t="shared" si="105"/>
        <v>0</v>
      </c>
      <c r="L67" s="292">
        <f t="shared" si="105"/>
        <v>0</v>
      </c>
      <c r="M67" s="292">
        <f t="shared" si="105"/>
        <v>0</v>
      </c>
      <c r="N67" s="292">
        <f t="shared" si="105"/>
        <v>0</v>
      </c>
      <c r="O67" s="293">
        <f t="shared" si="105"/>
        <v>0</v>
      </c>
      <c r="P67" s="292">
        <f t="shared" si="105"/>
        <v>0</v>
      </c>
      <c r="Q67" s="292">
        <f t="shared" si="105"/>
        <v>0</v>
      </c>
      <c r="R67" s="292">
        <f t="shared" si="105"/>
        <v>0</v>
      </c>
      <c r="S67" s="292">
        <f t="shared" si="105"/>
        <v>0</v>
      </c>
      <c r="T67" s="293">
        <f t="shared" ref="T67:U67" si="106">IFERROR(T57/T$51,"N/A")</f>
        <v>0</v>
      </c>
      <c r="U67" s="292">
        <f t="shared" si="106"/>
        <v>0</v>
      </c>
      <c r="V67" s="61">
        <f>Drivers!V88</f>
        <v>0</v>
      </c>
      <c r="W67" s="61">
        <f>Drivers!W88</f>
        <v>0</v>
      </c>
      <c r="X67" s="61">
        <f>Drivers!X88</f>
        <v>0</v>
      </c>
      <c r="Y67" s="971">
        <f t="shared" si="97"/>
        <v>0</v>
      </c>
      <c r="Z67" s="61">
        <f>Drivers!Z88</f>
        <v>0</v>
      </c>
      <c r="AA67" s="61">
        <f>Drivers!AA88</f>
        <v>0</v>
      </c>
      <c r="AB67" s="61">
        <f>Drivers!AB88</f>
        <v>0</v>
      </c>
      <c r="AC67" s="61">
        <f>Drivers!AC88</f>
        <v>0</v>
      </c>
      <c r="AD67" s="971">
        <f t="shared" si="98"/>
        <v>0</v>
      </c>
      <c r="AE67" s="62">
        <f>Drivers!AE88</f>
        <v>0</v>
      </c>
      <c r="AF67" s="62">
        <f>Drivers!AF88</f>
        <v>0</v>
      </c>
      <c r="AG67" s="62">
        <f>Drivers!AG88</f>
        <v>0</v>
      </c>
    </row>
    <row r="68" spans="3:33" collapsed="1">
      <c r="C68" s="23"/>
      <c r="D68" s="23"/>
      <c r="E68" s="23"/>
      <c r="F68" s="268"/>
      <c r="G68" s="268"/>
      <c r="H68" s="268"/>
      <c r="I68" s="268"/>
      <c r="J68" s="269"/>
      <c r="K68" s="268"/>
      <c r="L68" s="268"/>
      <c r="M68" s="268"/>
      <c r="N68" s="964"/>
      <c r="O68" s="293"/>
      <c r="P68" s="964"/>
      <c r="Q68" s="964"/>
      <c r="R68" s="268"/>
      <c r="S68" s="964"/>
      <c r="T68" s="293"/>
      <c r="U68" s="964"/>
      <c r="V68" s="861"/>
      <c r="W68" s="861"/>
      <c r="X68" s="294"/>
      <c r="Y68" s="269"/>
      <c r="Z68" s="861"/>
      <c r="AA68" s="861"/>
      <c r="AB68" s="861"/>
      <c r="AC68" s="294"/>
      <c r="AD68" s="293"/>
      <c r="AE68" s="293"/>
      <c r="AF68" s="293"/>
      <c r="AG68" s="293"/>
    </row>
    <row r="69" spans="3:33">
      <c r="C69" s="23" t="s">
        <v>775</v>
      </c>
      <c r="D69" s="23"/>
      <c r="E69" s="23"/>
      <c r="F69" s="964">
        <f t="shared" ref="F69:P69" si="107">F51+F33</f>
        <v>113477</v>
      </c>
      <c r="G69" s="964">
        <f t="shared" si="107"/>
        <v>63668</v>
      </c>
      <c r="H69" s="964">
        <f t="shared" si="107"/>
        <v>82674</v>
      </c>
      <c r="I69" s="964">
        <f t="shared" si="107"/>
        <v>123664</v>
      </c>
      <c r="J69" s="862">
        <f t="shared" si="107"/>
        <v>383483</v>
      </c>
      <c r="K69" s="964">
        <f t="shared" si="107"/>
        <v>90413</v>
      </c>
      <c r="L69" s="964">
        <f t="shared" si="107"/>
        <v>114682</v>
      </c>
      <c r="M69" s="964">
        <f t="shared" si="107"/>
        <v>127889</v>
      </c>
      <c r="N69" s="964">
        <f t="shared" si="107"/>
        <v>218398</v>
      </c>
      <c r="O69" s="862">
        <f t="shared" si="107"/>
        <v>551382</v>
      </c>
      <c r="P69" s="964">
        <f t="shared" si="107"/>
        <v>117160</v>
      </c>
      <c r="Q69" s="964">
        <f>Q51+Q33</f>
        <v>156839</v>
      </c>
      <c r="R69" s="964">
        <f t="shared" ref="R69:S69" si="108">R51+R33</f>
        <v>224062</v>
      </c>
      <c r="S69" s="964">
        <f t="shared" si="108"/>
        <v>324438</v>
      </c>
      <c r="T69" s="862">
        <f t="shared" ref="T69:AG69" si="109">T51+T33</f>
        <v>822499</v>
      </c>
      <c r="U69" s="964">
        <f t="shared" si="109"/>
        <v>343164</v>
      </c>
      <c r="V69" s="965">
        <f t="shared" ref="U69:X69" si="110">V51+V33</f>
        <v>1517464.1883</v>
      </c>
      <c r="W69" s="965">
        <f t="shared" si="110"/>
        <v>1693037.507334928</v>
      </c>
      <c r="X69" s="965">
        <f t="shared" si="110"/>
        <v>2087966.4129212729</v>
      </c>
      <c r="Y69" s="862">
        <f t="shared" si="109"/>
        <v>5641632.1085562008</v>
      </c>
      <c r="Z69" s="965">
        <f t="shared" si="109"/>
        <v>1544480.3027985974</v>
      </c>
      <c r="AA69" s="965">
        <f t="shared" si="109"/>
        <v>1705718.9249502418</v>
      </c>
      <c r="AB69" s="965">
        <f t="shared" si="109"/>
        <v>1896138.5723808757</v>
      </c>
      <c r="AC69" s="965">
        <f t="shared" si="109"/>
        <v>2414439.4211166324</v>
      </c>
      <c r="AD69" s="862">
        <f t="shared" si="109"/>
        <v>7560777.2212463468</v>
      </c>
      <c r="AE69" s="862">
        <f t="shared" si="109"/>
        <v>7821362.3004707703</v>
      </c>
      <c r="AF69" s="862">
        <f t="shared" si="109"/>
        <v>7662761.076043386</v>
      </c>
      <c r="AG69" s="862">
        <f t="shared" si="109"/>
        <v>7271001.1319817379</v>
      </c>
    </row>
    <row r="70" spans="3:33">
      <c r="C70" s="28" t="str">
        <f t="shared" ref="C70:C75" si="111">C16&amp;" EBITDA"</f>
        <v>Investment Banking &amp; Equities EBITDA</v>
      </c>
      <c r="D70" s="23"/>
      <c r="E70" s="23"/>
      <c r="F70" s="964">
        <f t="shared" ref="F70:P70" si="112">F52+F34</f>
        <v>109383</v>
      </c>
      <c r="G70" s="964">
        <f t="shared" si="112"/>
        <v>59854</v>
      </c>
      <c r="H70" s="964">
        <f t="shared" si="112"/>
        <v>79060</v>
      </c>
      <c r="I70" s="964">
        <f t="shared" si="112"/>
        <v>118316</v>
      </c>
      <c r="J70" s="300">
        <f t="shared" si="112"/>
        <v>366613</v>
      </c>
      <c r="K70" s="964">
        <f t="shared" si="112"/>
        <v>85183</v>
      </c>
      <c r="L70" s="964">
        <f t="shared" si="112"/>
        <v>110081</v>
      </c>
      <c r="M70" s="964">
        <f t="shared" si="112"/>
        <v>122283</v>
      </c>
      <c r="N70" s="964">
        <f t="shared" si="112"/>
        <v>213920</v>
      </c>
      <c r="O70" s="300">
        <f t="shared" si="112"/>
        <v>531467</v>
      </c>
      <c r="P70" s="964">
        <f t="shared" si="112"/>
        <v>111378</v>
      </c>
      <c r="Q70" s="964">
        <f>Q52+Q34</f>
        <v>149019</v>
      </c>
      <c r="R70" s="964">
        <f t="shared" ref="R70:S70" si="113">R52+R34</f>
        <v>221607</v>
      </c>
      <c r="S70" s="964">
        <f t="shared" si="113"/>
        <v>321495</v>
      </c>
      <c r="T70" s="300">
        <f t="shared" ref="T70:AG70" si="114">T52+T34</f>
        <v>803499</v>
      </c>
      <c r="U70" s="964">
        <f t="shared" si="114"/>
        <v>339378</v>
      </c>
      <c r="V70" s="965">
        <f t="shared" ref="U70:X70" si="115">V52+V34</f>
        <v>1511898.5024999999</v>
      </c>
      <c r="W70" s="965">
        <f t="shared" si="115"/>
        <v>1688316.270414928</v>
      </c>
      <c r="X70" s="965">
        <f t="shared" si="115"/>
        <v>2082495.6796402228</v>
      </c>
      <c r="Y70" s="300">
        <f t="shared" si="114"/>
        <v>5622088.4525551507</v>
      </c>
      <c r="Z70" s="965">
        <f t="shared" si="114"/>
        <v>1538750.2162360754</v>
      </c>
      <c r="AA70" s="965">
        <f t="shared" si="114"/>
        <v>1699724.8451139466</v>
      </c>
      <c r="AB70" s="965">
        <f t="shared" si="114"/>
        <v>1891103.5453183877</v>
      </c>
      <c r="AC70" s="965">
        <f t="shared" si="114"/>
        <v>2408690.049589654</v>
      </c>
      <c r="AD70" s="300">
        <f t="shared" si="114"/>
        <v>7538268.6562580634</v>
      </c>
      <c r="AE70" s="300">
        <f t="shared" si="114"/>
        <v>7800493.8481224161</v>
      </c>
      <c r="AF70" s="300">
        <f t="shared" si="114"/>
        <v>7641259.0634870464</v>
      </c>
      <c r="AG70" s="300">
        <f t="shared" si="114"/>
        <v>7248537.6722925222</v>
      </c>
    </row>
    <row r="71" spans="3:33">
      <c r="C71" s="28" t="str">
        <f t="shared" si="111"/>
        <v>Investment Management EBITDA</v>
      </c>
      <c r="D71" s="23"/>
      <c r="E71" s="23"/>
      <c r="F71" s="964">
        <f t="shared" ref="F71:P71" si="116">F53+F35</f>
        <v>4094</v>
      </c>
      <c r="G71" s="964">
        <f t="shared" si="116"/>
        <v>3814</v>
      </c>
      <c r="H71" s="964">
        <f t="shared" si="116"/>
        <v>3614</v>
      </c>
      <c r="I71" s="964">
        <f t="shared" si="116"/>
        <v>5348</v>
      </c>
      <c r="J71" s="300">
        <f t="shared" si="116"/>
        <v>16870</v>
      </c>
      <c r="K71" s="964">
        <f t="shared" si="116"/>
        <v>5230</v>
      </c>
      <c r="L71" s="964">
        <f t="shared" si="116"/>
        <v>4601</v>
      </c>
      <c r="M71" s="964">
        <f t="shared" si="116"/>
        <v>5606</v>
      </c>
      <c r="N71" s="964">
        <f t="shared" si="116"/>
        <v>4478</v>
      </c>
      <c r="O71" s="300">
        <f t="shared" si="116"/>
        <v>19915</v>
      </c>
      <c r="P71" s="964">
        <f t="shared" si="116"/>
        <v>5782</v>
      </c>
      <c r="Q71" s="964">
        <f>Q53+Q35</f>
        <v>7820</v>
      </c>
      <c r="R71" s="964">
        <f t="shared" ref="R71:S71" si="117">R53+R35</f>
        <v>2455</v>
      </c>
      <c r="S71" s="964">
        <f t="shared" si="117"/>
        <v>2943</v>
      </c>
      <c r="T71" s="300">
        <f t="shared" ref="T71:AG71" si="118">T53+T35</f>
        <v>19000</v>
      </c>
      <c r="U71" s="964">
        <f t="shared" si="118"/>
        <v>3786</v>
      </c>
      <c r="V71" s="965">
        <f t="shared" ref="U71:X71" si="119">V53+V35</f>
        <v>5565.6857999999993</v>
      </c>
      <c r="W71" s="965">
        <f t="shared" si="119"/>
        <v>4721.2369199999994</v>
      </c>
      <c r="X71" s="965">
        <f t="shared" si="119"/>
        <v>5470.7332810499993</v>
      </c>
      <c r="Y71" s="300">
        <f t="shared" si="118"/>
        <v>19543.656001049996</v>
      </c>
      <c r="Z71" s="965">
        <f t="shared" si="118"/>
        <v>5730.0865625219994</v>
      </c>
      <c r="AA71" s="965">
        <f t="shared" si="118"/>
        <v>5994.0798362953337</v>
      </c>
      <c r="AB71" s="965">
        <f t="shared" si="118"/>
        <v>5035.0270624880795</v>
      </c>
      <c r="AC71" s="965">
        <f t="shared" si="118"/>
        <v>5749.3715269785762</v>
      </c>
      <c r="AD71" s="300">
        <f t="shared" si="118"/>
        <v>22508.564988283986</v>
      </c>
      <c r="AE71" s="300">
        <f t="shared" si="118"/>
        <v>20868.452348353869</v>
      </c>
      <c r="AF71" s="300">
        <f t="shared" si="118"/>
        <v>21502.012556339861</v>
      </c>
      <c r="AG71" s="300">
        <f t="shared" si="118"/>
        <v>22463.459689216197</v>
      </c>
    </row>
    <row r="72" spans="3:33" hidden="1" outlineLevel="1">
      <c r="C72" s="28" t="str">
        <f t="shared" si="111"/>
        <v>Segment 3 EBITDA</v>
      </c>
      <c r="D72" s="23"/>
      <c r="E72" s="23"/>
      <c r="F72" s="964">
        <f t="shared" ref="F72:S72" si="120">F54+F36</f>
        <v>0</v>
      </c>
      <c r="G72" s="964">
        <f t="shared" si="120"/>
        <v>0</v>
      </c>
      <c r="H72" s="964">
        <f t="shared" si="120"/>
        <v>0</v>
      </c>
      <c r="I72" s="964">
        <f t="shared" si="120"/>
        <v>0</v>
      </c>
      <c r="J72" s="300">
        <f t="shared" si="120"/>
        <v>0</v>
      </c>
      <c r="K72" s="964">
        <f t="shared" si="120"/>
        <v>0</v>
      </c>
      <c r="L72" s="964">
        <f t="shared" si="120"/>
        <v>0</v>
      </c>
      <c r="M72" s="964">
        <f t="shared" si="120"/>
        <v>0</v>
      </c>
      <c r="N72" s="964">
        <f t="shared" si="120"/>
        <v>0</v>
      </c>
      <c r="O72" s="300">
        <f t="shared" si="120"/>
        <v>0</v>
      </c>
      <c r="P72" s="964">
        <f t="shared" si="120"/>
        <v>0</v>
      </c>
      <c r="Q72" s="964">
        <f t="shared" si="120"/>
        <v>0</v>
      </c>
      <c r="R72" s="964">
        <f t="shared" si="120"/>
        <v>0</v>
      </c>
      <c r="S72" s="964">
        <f t="shared" si="120"/>
        <v>0</v>
      </c>
      <c r="T72" s="300">
        <f t="shared" ref="T72:AG72" si="121">T54+T36</f>
        <v>0</v>
      </c>
      <c r="U72" s="964">
        <f t="shared" si="121"/>
        <v>0</v>
      </c>
      <c r="V72" s="965">
        <f t="shared" ref="U72:X72" si="122">V54+V36</f>
        <v>0</v>
      </c>
      <c r="W72" s="965">
        <f t="shared" si="122"/>
        <v>0</v>
      </c>
      <c r="X72" s="965">
        <f t="shared" si="122"/>
        <v>0</v>
      </c>
      <c r="Y72" s="300">
        <f t="shared" si="121"/>
        <v>0</v>
      </c>
      <c r="Z72" s="965">
        <f t="shared" si="121"/>
        <v>0</v>
      </c>
      <c r="AA72" s="965">
        <f t="shared" si="121"/>
        <v>0</v>
      </c>
      <c r="AB72" s="965">
        <f t="shared" si="121"/>
        <v>0</v>
      </c>
      <c r="AC72" s="965">
        <f t="shared" si="121"/>
        <v>0</v>
      </c>
      <c r="AD72" s="300">
        <f t="shared" si="121"/>
        <v>0</v>
      </c>
      <c r="AE72" s="300">
        <f t="shared" si="121"/>
        <v>0</v>
      </c>
      <c r="AF72" s="300">
        <f t="shared" si="121"/>
        <v>0</v>
      </c>
      <c r="AG72" s="300">
        <f t="shared" si="121"/>
        <v>0</v>
      </c>
    </row>
    <row r="73" spans="3:33" hidden="1" outlineLevel="1">
      <c r="C73" s="28" t="str">
        <f t="shared" si="111"/>
        <v>Segment 4 EBITDA</v>
      </c>
      <c r="D73" s="23"/>
      <c r="E73" s="23"/>
      <c r="F73" s="964">
        <f t="shared" ref="F73:S73" si="123">F55+F37</f>
        <v>0</v>
      </c>
      <c r="G73" s="964">
        <f t="shared" si="123"/>
        <v>0</v>
      </c>
      <c r="H73" s="964">
        <f t="shared" si="123"/>
        <v>0</v>
      </c>
      <c r="I73" s="964">
        <f t="shared" si="123"/>
        <v>0</v>
      </c>
      <c r="J73" s="300">
        <f t="shared" si="123"/>
        <v>0</v>
      </c>
      <c r="K73" s="964">
        <f t="shared" si="123"/>
        <v>0</v>
      </c>
      <c r="L73" s="964">
        <f t="shared" si="123"/>
        <v>0</v>
      </c>
      <c r="M73" s="964">
        <f t="shared" si="123"/>
        <v>0</v>
      </c>
      <c r="N73" s="964">
        <f t="shared" si="123"/>
        <v>0</v>
      </c>
      <c r="O73" s="300">
        <f t="shared" si="123"/>
        <v>0</v>
      </c>
      <c r="P73" s="964">
        <f t="shared" si="123"/>
        <v>0</v>
      </c>
      <c r="Q73" s="964">
        <f t="shared" si="123"/>
        <v>0</v>
      </c>
      <c r="R73" s="964">
        <f t="shared" si="123"/>
        <v>0</v>
      </c>
      <c r="S73" s="964">
        <f t="shared" si="123"/>
        <v>0</v>
      </c>
      <c r="T73" s="300">
        <f t="shared" ref="T73:AG73" si="124">T55+T37</f>
        <v>0</v>
      </c>
      <c r="U73" s="964">
        <f t="shared" si="124"/>
        <v>0</v>
      </c>
      <c r="V73" s="965">
        <f t="shared" ref="U73:X73" si="125">V55+V37</f>
        <v>0</v>
      </c>
      <c r="W73" s="965">
        <f t="shared" si="125"/>
        <v>0</v>
      </c>
      <c r="X73" s="965">
        <f t="shared" si="125"/>
        <v>0</v>
      </c>
      <c r="Y73" s="300">
        <f t="shared" si="124"/>
        <v>0</v>
      </c>
      <c r="Z73" s="965">
        <f t="shared" si="124"/>
        <v>0</v>
      </c>
      <c r="AA73" s="965">
        <f t="shared" si="124"/>
        <v>0</v>
      </c>
      <c r="AB73" s="965">
        <f t="shared" si="124"/>
        <v>0</v>
      </c>
      <c r="AC73" s="965">
        <f t="shared" si="124"/>
        <v>0</v>
      </c>
      <c r="AD73" s="300">
        <f t="shared" si="124"/>
        <v>0</v>
      </c>
      <c r="AE73" s="300">
        <f t="shared" si="124"/>
        <v>0</v>
      </c>
      <c r="AF73" s="300">
        <f t="shared" si="124"/>
        <v>0</v>
      </c>
      <c r="AG73" s="300">
        <f t="shared" si="124"/>
        <v>0</v>
      </c>
    </row>
    <row r="74" spans="3:33" hidden="1" outlineLevel="1">
      <c r="C74" s="28" t="str">
        <f t="shared" si="111"/>
        <v>Segment 5 EBITDA</v>
      </c>
      <c r="D74" s="23"/>
      <c r="E74" s="23"/>
      <c r="F74" s="964">
        <f t="shared" ref="F74:S74" si="126">F56+F38</f>
        <v>0</v>
      </c>
      <c r="G74" s="964">
        <f t="shared" si="126"/>
        <v>0</v>
      </c>
      <c r="H74" s="964">
        <f t="shared" si="126"/>
        <v>0</v>
      </c>
      <c r="I74" s="964">
        <f t="shared" si="126"/>
        <v>0</v>
      </c>
      <c r="J74" s="300">
        <f t="shared" si="126"/>
        <v>0</v>
      </c>
      <c r="K74" s="964">
        <f t="shared" si="126"/>
        <v>0</v>
      </c>
      <c r="L74" s="964">
        <f t="shared" si="126"/>
        <v>0</v>
      </c>
      <c r="M74" s="964">
        <f t="shared" si="126"/>
        <v>0</v>
      </c>
      <c r="N74" s="964">
        <f t="shared" si="126"/>
        <v>0</v>
      </c>
      <c r="O74" s="300">
        <f t="shared" si="126"/>
        <v>0</v>
      </c>
      <c r="P74" s="964">
        <f t="shared" si="126"/>
        <v>0</v>
      </c>
      <c r="Q74" s="964">
        <f t="shared" si="126"/>
        <v>0</v>
      </c>
      <c r="R74" s="964">
        <f t="shared" si="126"/>
        <v>0</v>
      </c>
      <c r="S74" s="964">
        <f t="shared" si="126"/>
        <v>0</v>
      </c>
      <c r="T74" s="300">
        <f t="shared" ref="T74:AG74" si="127">T56+T38</f>
        <v>0</v>
      </c>
      <c r="U74" s="964">
        <f t="shared" si="127"/>
        <v>0</v>
      </c>
      <c r="V74" s="965">
        <f t="shared" ref="U74:X74" si="128">V56+V38</f>
        <v>0</v>
      </c>
      <c r="W74" s="965">
        <f t="shared" si="128"/>
        <v>0</v>
      </c>
      <c r="X74" s="965">
        <f t="shared" si="128"/>
        <v>0</v>
      </c>
      <c r="Y74" s="300">
        <f t="shared" si="127"/>
        <v>0</v>
      </c>
      <c r="Z74" s="965">
        <f t="shared" si="127"/>
        <v>0</v>
      </c>
      <c r="AA74" s="965">
        <f t="shared" si="127"/>
        <v>0</v>
      </c>
      <c r="AB74" s="965">
        <f t="shared" si="127"/>
        <v>0</v>
      </c>
      <c r="AC74" s="965">
        <f t="shared" si="127"/>
        <v>0</v>
      </c>
      <c r="AD74" s="300">
        <f t="shared" si="127"/>
        <v>0</v>
      </c>
      <c r="AE74" s="300">
        <f t="shared" si="127"/>
        <v>0</v>
      </c>
      <c r="AF74" s="300">
        <f t="shared" si="127"/>
        <v>0</v>
      </c>
      <c r="AG74" s="300">
        <f t="shared" si="127"/>
        <v>0</v>
      </c>
    </row>
    <row r="75" spans="3:33" hidden="1" outlineLevel="1">
      <c r="C75" s="28" t="str">
        <f t="shared" si="111"/>
        <v>Segment 6 EBITDA</v>
      </c>
      <c r="D75" s="23"/>
      <c r="E75" s="23"/>
      <c r="F75" s="964">
        <f t="shared" ref="F75:S75" si="129">F57+F39</f>
        <v>0</v>
      </c>
      <c r="G75" s="964">
        <f t="shared" si="129"/>
        <v>0</v>
      </c>
      <c r="H75" s="964">
        <f t="shared" si="129"/>
        <v>0</v>
      </c>
      <c r="I75" s="964">
        <f t="shared" si="129"/>
        <v>0</v>
      </c>
      <c r="J75" s="300">
        <f t="shared" si="129"/>
        <v>0</v>
      </c>
      <c r="K75" s="964">
        <f t="shared" si="129"/>
        <v>0</v>
      </c>
      <c r="L75" s="964">
        <f t="shared" si="129"/>
        <v>0</v>
      </c>
      <c r="M75" s="964">
        <f t="shared" si="129"/>
        <v>0</v>
      </c>
      <c r="N75" s="964">
        <f t="shared" si="129"/>
        <v>0</v>
      </c>
      <c r="O75" s="300">
        <f t="shared" si="129"/>
        <v>0</v>
      </c>
      <c r="P75" s="964">
        <f t="shared" si="129"/>
        <v>0</v>
      </c>
      <c r="Q75" s="964">
        <f t="shared" si="129"/>
        <v>0</v>
      </c>
      <c r="R75" s="964">
        <f t="shared" si="129"/>
        <v>0</v>
      </c>
      <c r="S75" s="964">
        <f t="shared" si="129"/>
        <v>0</v>
      </c>
      <c r="T75" s="300">
        <f t="shared" ref="T75:AG75" si="130">T57+T39</f>
        <v>0</v>
      </c>
      <c r="U75" s="964">
        <f t="shared" si="130"/>
        <v>0</v>
      </c>
      <c r="V75" s="965">
        <f t="shared" ref="U75:X75" si="131">V57+V39</f>
        <v>0</v>
      </c>
      <c r="W75" s="965">
        <f t="shared" si="131"/>
        <v>0</v>
      </c>
      <c r="X75" s="965">
        <f t="shared" si="131"/>
        <v>0</v>
      </c>
      <c r="Y75" s="300">
        <f t="shared" si="130"/>
        <v>0</v>
      </c>
      <c r="Z75" s="965">
        <f t="shared" si="130"/>
        <v>0</v>
      </c>
      <c r="AA75" s="965">
        <f t="shared" si="130"/>
        <v>0</v>
      </c>
      <c r="AB75" s="965">
        <f t="shared" si="130"/>
        <v>0</v>
      </c>
      <c r="AC75" s="965">
        <f t="shared" si="130"/>
        <v>0</v>
      </c>
      <c r="AD75" s="300">
        <f t="shared" si="130"/>
        <v>0</v>
      </c>
      <c r="AE75" s="300">
        <f t="shared" si="130"/>
        <v>0</v>
      </c>
      <c r="AF75" s="300">
        <f t="shared" si="130"/>
        <v>0</v>
      </c>
      <c r="AG75" s="300">
        <f t="shared" si="130"/>
        <v>0</v>
      </c>
    </row>
    <row r="76" spans="3:33" collapsed="1">
      <c r="C76" s="23"/>
      <c r="D76" s="23"/>
      <c r="E76" s="23"/>
      <c r="F76" s="268"/>
      <c r="G76" s="268"/>
      <c r="H76" s="268"/>
      <c r="I76" s="268"/>
      <c r="J76" s="269"/>
      <c r="K76" s="268"/>
      <c r="L76" s="268"/>
      <c r="M76" s="268"/>
      <c r="N76" s="296"/>
      <c r="O76" s="293"/>
      <c r="P76" s="296"/>
      <c r="Q76" s="296"/>
      <c r="R76" s="268"/>
      <c r="S76" s="296"/>
      <c r="T76" s="293"/>
      <c r="U76" s="296"/>
      <c r="V76" s="298"/>
      <c r="W76" s="298"/>
      <c r="X76" s="294"/>
      <c r="Y76" s="269"/>
      <c r="Z76" s="298"/>
      <c r="AA76" s="298"/>
      <c r="AB76" s="298"/>
      <c r="AC76" s="294"/>
      <c r="AD76" s="293"/>
      <c r="AE76" s="293"/>
      <c r="AF76" s="293"/>
      <c r="AG76" s="293"/>
    </row>
    <row r="77" spans="3:33">
      <c r="C77" s="23" t="s">
        <v>776</v>
      </c>
      <c r="D77" s="23"/>
      <c r="E77" s="23"/>
      <c r="F77" s="296"/>
      <c r="G77" s="296"/>
      <c r="H77" s="296"/>
      <c r="I77" s="296"/>
      <c r="J77" s="269"/>
      <c r="K77" s="296"/>
      <c r="L77" s="296"/>
      <c r="M77" s="296"/>
      <c r="N77" s="292"/>
      <c r="O77" s="293"/>
      <c r="P77" s="292"/>
      <c r="Q77" s="292"/>
      <c r="R77" s="296"/>
      <c r="S77" s="292"/>
      <c r="T77" s="293"/>
      <c r="U77" s="292"/>
      <c r="V77" s="294"/>
      <c r="W77" s="294"/>
      <c r="X77" s="294"/>
      <c r="Y77" s="269"/>
      <c r="Z77" s="294"/>
      <c r="AA77" s="294"/>
      <c r="AB77" s="294"/>
      <c r="AC77" s="294"/>
      <c r="AD77" s="293"/>
      <c r="AE77" s="293"/>
      <c r="AF77" s="293"/>
      <c r="AG77" s="293"/>
    </row>
    <row r="78" spans="3:33">
      <c r="C78" s="28" t="str">
        <f t="shared" ref="C78:C83" si="132">C16</f>
        <v>Investment Banking &amp; Equities</v>
      </c>
      <c r="D78" s="23"/>
      <c r="E78" s="23"/>
      <c r="F78" s="292">
        <f>IFERROR(F70/F$69,"N/A")</f>
        <v>0.96392220449959021</v>
      </c>
      <c r="G78" s="292">
        <f t="shared" ref="G78:J78" si="133">IFERROR(G70/G$69,"N/A")</f>
        <v>0.94009549538229564</v>
      </c>
      <c r="H78" s="292">
        <f t="shared" si="133"/>
        <v>0.9562861359072985</v>
      </c>
      <c r="I78" s="292">
        <f t="shared" si="133"/>
        <v>0.95675378444818215</v>
      </c>
      <c r="J78" s="293">
        <f t="shared" si="133"/>
        <v>0.95600848016730855</v>
      </c>
      <c r="K78" s="292">
        <f>IFERROR(K70/K$69,"N/A")</f>
        <v>0.94215433621271283</v>
      </c>
      <c r="L78" s="292">
        <f t="shared" ref="L78:S78" si="134">IFERROR(L70/L$69,"N/A")</f>
        <v>0.95988036483493488</v>
      </c>
      <c r="M78" s="292">
        <f t="shared" si="134"/>
        <v>0.95616511193300435</v>
      </c>
      <c r="N78" s="292">
        <f t="shared" si="134"/>
        <v>0.97949614923213579</v>
      </c>
      <c r="O78" s="293">
        <f t="shared" si="134"/>
        <v>0.96388166461727076</v>
      </c>
      <c r="P78" s="292">
        <f t="shared" si="134"/>
        <v>0.95064868555821103</v>
      </c>
      <c r="Q78" s="292">
        <f t="shared" si="134"/>
        <v>0.95013995243529992</v>
      </c>
      <c r="R78" s="292">
        <f t="shared" si="134"/>
        <v>0.98904321125402794</v>
      </c>
      <c r="S78" s="292">
        <f t="shared" si="134"/>
        <v>0.99092892941024169</v>
      </c>
      <c r="T78" s="293">
        <f t="shared" ref="T78:U78" si="135">IFERROR(T70/T$69,"N/A")</f>
        <v>0.97689966796312211</v>
      </c>
      <c r="U78" s="292">
        <f t="shared" si="135"/>
        <v>0.98896737420009095</v>
      </c>
      <c r="V78" s="294">
        <f t="shared" ref="V78:X78" si="136">IFERROR(V70/V$69,"N/A")</f>
        <v>0.99633224570114221</v>
      </c>
      <c r="W78" s="294">
        <f t="shared" si="136"/>
        <v>0.99721138078775828</v>
      </c>
      <c r="X78" s="294">
        <f t="shared" si="136"/>
        <v>0.99737987486427238</v>
      </c>
      <c r="Y78" s="293">
        <f t="shared" ref="Y78:AG83" si="137">IFERROR(Y70/Y$69,"N/A")</f>
        <v>0.99653581523484847</v>
      </c>
      <c r="Z78" s="294">
        <f>IFERROR(Z70/Z$69,"N/A")</f>
        <v>0.99628995814829169</v>
      </c>
      <c r="AA78" s="294">
        <f t="shared" ref="AA78:AD78" si="138">IFERROR(AA70/AA$69,"N/A")</f>
        <v>0.99648589240078345</v>
      </c>
      <c r="AB78" s="294">
        <f t="shared" si="138"/>
        <v>0.997344589084454</v>
      </c>
      <c r="AC78" s="294">
        <f t="shared" si="138"/>
        <v>0.99761875511280396</v>
      </c>
      <c r="AD78" s="293">
        <f t="shared" si="138"/>
        <v>0.9970229826472029</v>
      </c>
      <c r="AE78" s="293">
        <f>IFERROR(AE70/AE$69,"N/A")</f>
        <v>0.99733186476387903</v>
      </c>
      <c r="AF78" s="293">
        <f t="shared" ref="AF78:AG78" si="139">IFERROR(AF70/AF$69,"N/A")</f>
        <v>0.99719396020012119</v>
      </c>
      <c r="AG78" s="293">
        <f t="shared" si="139"/>
        <v>0.99691054102709331</v>
      </c>
    </row>
    <row r="79" spans="3:33">
      <c r="C79" s="28" t="str">
        <f t="shared" si="132"/>
        <v>Investment Management</v>
      </c>
      <c r="D79" s="23"/>
      <c r="E79" s="23"/>
      <c r="F79" s="292">
        <f t="shared" ref="F79:S79" si="140">IFERROR(F71/F$69,"N/A")</f>
        <v>3.6077795500409772E-2</v>
      </c>
      <c r="G79" s="292">
        <f t="shared" si="140"/>
        <v>5.9904504617704343E-2</v>
      </c>
      <c r="H79" s="292">
        <f t="shared" si="140"/>
        <v>4.3713864092701456E-2</v>
      </c>
      <c r="I79" s="292">
        <f t="shared" si="140"/>
        <v>4.3246215551817832E-2</v>
      </c>
      <c r="J79" s="293">
        <f t="shared" si="140"/>
        <v>4.3991519832691409E-2</v>
      </c>
      <c r="K79" s="292">
        <f t="shared" si="140"/>
        <v>5.7845663787287227E-2</v>
      </c>
      <c r="L79" s="292">
        <f t="shared" si="140"/>
        <v>4.0119635165065136E-2</v>
      </c>
      <c r="M79" s="292">
        <f t="shared" si="140"/>
        <v>4.3834888066995599E-2</v>
      </c>
      <c r="N79" s="292">
        <f t="shared" si="140"/>
        <v>2.0503850767864176E-2</v>
      </c>
      <c r="O79" s="293">
        <f t="shared" si="140"/>
        <v>3.6118335382729218E-2</v>
      </c>
      <c r="P79" s="292">
        <f t="shared" si="140"/>
        <v>4.9351314441789008E-2</v>
      </c>
      <c r="Q79" s="292">
        <f t="shared" si="140"/>
        <v>4.9860047564700104E-2</v>
      </c>
      <c r="R79" s="292">
        <f t="shared" si="140"/>
        <v>1.0956788745972097E-2</v>
      </c>
      <c r="S79" s="292">
        <f t="shared" si="140"/>
        <v>9.0710705897582896E-3</v>
      </c>
      <c r="T79" s="293">
        <f t="shared" ref="T79:V83" si="141">IFERROR(T71/T$69,"N/A")</f>
        <v>2.3100332036877856E-2</v>
      </c>
      <c r="U79" s="292">
        <f t="shared" si="141"/>
        <v>1.1032625799909081E-2</v>
      </c>
      <c r="V79" s="294">
        <f t="shared" si="141"/>
        <v>3.667754298857742E-3</v>
      </c>
      <c r="W79" s="294">
        <f t="shared" ref="W79:X79" si="142">IFERROR(W71/W$69,"N/A")</f>
        <v>2.7886192122417125E-3</v>
      </c>
      <c r="X79" s="294">
        <f t="shared" si="142"/>
        <v>2.6201251357275898E-3</v>
      </c>
      <c r="Y79" s="293">
        <f t="shared" si="137"/>
        <v>3.4641847651515128E-3</v>
      </c>
      <c r="Z79" s="294">
        <f t="shared" si="137"/>
        <v>3.7100418517083617E-3</v>
      </c>
      <c r="AA79" s="294">
        <f t="shared" si="137"/>
        <v>3.51410759921667E-3</v>
      </c>
      <c r="AB79" s="294">
        <f t="shared" si="137"/>
        <v>2.6554109155460491E-3</v>
      </c>
      <c r="AC79" s="294">
        <f t="shared" si="137"/>
        <v>2.3812448871960521E-3</v>
      </c>
      <c r="AD79" s="293">
        <f t="shared" si="137"/>
        <v>2.9770173527971758E-3</v>
      </c>
      <c r="AE79" s="293">
        <f t="shared" si="137"/>
        <v>2.6681352361209235E-3</v>
      </c>
      <c r="AF79" s="293">
        <f t="shared" si="137"/>
        <v>2.8060397998788027E-3</v>
      </c>
      <c r="AG79" s="293">
        <f t="shared" si="137"/>
        <v>3.089458972906761E-3</v>
      </c>
    </row>
    <row r="80" spans="3:33" hidden="1" outlineLevel="1">
      <c r="C80" s="28" t="str">
        <f t="shared" si="132"/>
        <v>Segment 3</v>
      </c>
      <c r="D80" s="23"/>
      <c r="E80" s="23"/>
      <c r="F80" s="292">
        <f t="shared" ref="F80:S80" si="143">IFERROR(F72/F$69,"N/A")</f>
        <v>0</v>
      </c>
      <c r="G80" s="292">
        <f t="shared" si="143"/>
        <v>0</v>
      </c>
      <c r="H80" s="292">
        <f t="shared" si="143"/>
        <v>0</v>
      </c>
      <c r="I80" s="292">
        <f t="shared" si="143"/>
        <v>0</v>
      </c>
      <c r="J80" s="293">
        <f t="shared" si="143"/>
        <v>0</v>
      </c>
      <c r="K80" s="292">
        <f t="shared" si="143"/>
        <v>0</v>
      </c>
      <c r="L80" s="292">
        <f t="shared" si="143"/>
        <v>0</v>
      </c>
      <c r="M80" s="292">
        <f t="shared" si="143"/>
        <v>0</v>
      </c>
      <c r="N80" s="292">
        <f t="shared" si="143"/>
        <v>0</v>
      </c>
      <c r="O80" s="293">
        <f t="shared" si="143"/>
        <v>0</v>
      </c>
      <c r="P80" s="292">
        <f t="shared" si="143"/>
        <v>0</v>
      </c>
      <c r="Q80" s="292">
        <f t="shared" si="143"/>
        <v>0</v>
      </c>
      <c r="R80" s="292">
        <f t="shared" si="143"/>
        <v>0</v>
      </c>
      <c r="S80" s="292">
        <f t="shared" si="143"/>
        <v>0</v>
      </c>
      <c r="T80" s="293">
        <f t="shared" si="141"/>
        <v>0</v>
      </c>
      <c r="U80" s="292">
        <f t="shared" si="141"/>
        <v>0</v>
      </c>
      <c r="V80" s="294">
        <f t="shared" si="141"/>
        <v>0</v>
      </c>
      <c r="W80" s="294">
        <f t="shared" ref="W80:X80" si="144">IFERROR(W72/W$69,"N/A")</f>
        <v>0</v>
      </c>
      <c r="X80" s="294">
        <f t="shared" si="144"/>
        <v>0</v>
      </c>
      <c r="Y80" s="293">
        <f t="shared" si="137"/>
        <v>0</v>
      </c>
      <c r="Z80" s="294">
        <f t="shared" si="137"/>
        <v>0</v>
      </c>
      <c r="AA80" s="294">
        <f t="shared" si="137"/>
        <v>0</v>
      </c>
      <c r="AB80" s="294">
        <f t="shared" si="137"/>
        <v>0</v>
      </c>
      <c r="AC80" s="294">
        <f t="shared" si="137"/>
        <v>0</v>
      </c>
      <c r="AD80" s="293">
        <f t="shared" si="137"/>
        <v>0</v>
      </c>
      <c r="AE80" s="293">
        <f t="shared" si="137"/>
        <v>0</v>
      </c>
      <c r="AF80" s="293">
        <f t="shared" si="137"/>
        <v>0</v>
      </c>
      <c r="AG80" s="293">
        <f t="shared" si="137"/>
        <v>0</v>
      </c>
    </row>
    <row r="81" spans="3:33" hidden="1" outlineLevel="1">
      <c r="C81" s="28" t="str">
        <f t="shared" si="132"/>
        <v>Segment 4</v>
      </c>
      <c r="D81" s="23"/>
      <c r="E81" s="23"/>
      <c r="F81" s="292">
        <f t="shared" ref="F81:S81" si="145">IFERROR(F73/F$69,"N/A")</f>
        <v>0</v>
      </c>
      <c r="G81" s="292">
        <f t="shared" si="145"/>
        <v>0</v>
      </c>
      <c r="H81" s="292">
        <f t="shared" si="145"/>
        <v>0</v>
      </c>
      <c r="I81" s="292">
        <f t="shared" si="145"/>
        <v>0</v>
      </c>
      <c r="J81" s="293">
        <f t="shared" si="145"/>
        <v>0</v>
      </c>
      <c r="K81" s="292">
        <f t="shared" si="145"/>
        <v>0</v>
      </c>
      <c r="L81" s="292">
        <f t="shared" si="145"/>
        <v>0</v>
      </c>
      <c r="M81" s="292">
        <f t="shared" si="145"/>
        <v>0</v>
      </c>
      <c r="N81" s="292">
        <f t="shared" si="145"/>
        <v>0</v>
      </c>
      <c r="O81" s="293">
        <f t="shared" si="145"/>
        <v>0</v>
      </c>
      <c r="P81" s="292">
        <f t="shared" si="145"/>
        <v>0</v>
      </c>
      <c r="Q81" s="292">
        <f t="shared" si="145"/>
        <v>0</v>
      </c>
      <c r="R81" s="292">
        <f t="shared" si="145"/>
        <v>0</v>
      </c>
      <c r="S81" s="292">
        <f t="shared" si="145"/>
        <v>0</v>
      </c>
      <c r="T81" s="293">
        <f t="shared" si="141"/>
        <v>0</v>
      </c>
      <c r="U81" s="292">
        <f t="shared" si="141"/>
        <v>0</v>
      </c>
      <c r="V81" s="294">
        <f t="shared" si="141"/>
        <v>0</v>
      </c>
      <c r="W81" s="294">
        <f t="shared" ref="W81:X81" si="146">IFERROR(W73/W$69,"N/A")</f>
        <v>0</v>
      </c>
      <c r="X81" s="294">
        <f t="shared" si="146"/>
        <v>0</v>
      </c>
      <c r="Y81" s="293">
        <f t="shared" si="137"/>
        <v>0</v>
      </c>
      <c r="Z81" s="294">
        <f t="shared" si="137"/>
        <v>0</v>
      </c>
      <c r="AA81" s="294">
        <f t="shared" si="137"/>
        <v>0</v>
      </c>
      <c r="AB81" s="294">
        <f t="shared" si="137"/>
        <v>0</v>
      </c>
      <c r="AC81" s="294">
        <f t="shared" si="137"/>
        <v>0</v>
      </c>
      <c r="AD81" s="293">
        <f t="shared" si="137"/>
        <v>0</v>
      </c>
      <c r="AE81" s="293">
        <f t="shared" si="137"/>
        <v>0</v>
      </c>
      <c r="AF81" s="293">
        <f t="shared" si="137"/>
        <v>0</v>
      </c>
      <c r="AG81" s="293">
        <f t="shared" si="137"/>
        <v>0</v>
      </c>
    </row>
    <row r="82" spans="3:33" hidden="1" outlineLevel="1">
      <c r="C82" s="28" t="str">
        <f t="shared" si="132"/>
        <v>Segment 5</v>
      </c>
      <c r="D82" s="23"/>
      <c r="E82" s="23"/>
      <c r="F82" s="292">
        <f t="shared" ref="F82:S82" si="147">IFERROR(F74/F$69,"N/A")</f>
        <v>0</v>
      </c>
      <c r="G82" s="292">
        <f t="shared" si="147"/>
        <v>0</v>
      </c>
      <c r="H82" s="292">
        <f t="shared" si="147"/>
        <v>0</v>
      </c>
      <c r="I82" s="292">
        <f t="shared" si="147"/>
        <v>0</v>
      </c>
      <c r="J82" s="293">
        <f t="shared" si="147"/>
        <v>0</v>
      </c>
      <c r="K82" s="292">
        <f t="shared" si="147"/>
        <v>0</v>
      </c>
      <c r="L82" s="292">
        <f t="shared" si="147"/>
        <v>0</v>
      </c>
      <c r="M82" s="292">
        <f t="shared" si="147"/>
        <v>0</v>
      </c>
      <c r="N82" s="292">
        <f t="shared" si="147"/>
        <v>0</v>
      </c>
      <c r="O82" s="293">
        <f t="shared" si="147"/>
        <v>0</v>
      </c>
      <c r="P82" s="292">
        <f t="shared" si="147"/>
        <v>0</v>
      </c>
      <c r="Q82" s="292">
        <f t="shared" si="147"/>
        <v>0</v>
      </c>
      <c r="R82" s="292">
        <f t="shared" si="147"/>
        <v>0</v>
      </c>
      <c r="S82" s="292">
        <f t="shared" si="147"/>
        <v>0</v>
      </c>
      <c r="T82" s="293">
        <f t="shared" si="141"/>
        <v>0</v>
      </c>
      <c r="U82" s="292">
        <f t="shared" si="141"/>
        <v>0</v>
      </c>
      <c r="V82" s="294">
        <f t="shared" si="141"/>
        <v>0</v>
      </c>
      <c r="W82" s="294">
        <f t="shared" ref="W82:X82" si="148">IFERROR(W74/W$69,"N/A")</f>
        <v>0</v>
      </c>
      <c r="X82" s="294">
        <f t="shared" si="148"/>
        <v>0</v>
      </c>
      <c r="Y82" s="293">
        <f t="shared" si="137"/>
        <v>0</v>
      </c>
      <c r="Z82" s="294">
        <f t="shared" si="137"/>
        <v>0</v>
      </c>
      <c r="AA82" s="294">
        <f t="shared" si="137"/>
        <v>0</v>
      </c>
      <c r="AB82" s="294">
        <f t="shared" si="137"/>
        <v>0</v>
      </c>
      <c r="AC82" s="294">
        <f t="shared" si="137"/>
        <v>0</v>
      </c>
      <c r="AD82" s="293">
        <f t="shared" si="137"/>
        <v>0</v>
      </c>
      <c r="AE82" s="293">
        <f t="shared" si="137"/>
        <v>0</v>
      </c>
      <c r="AF82" s="293">
        <f t="shared" si="137"/>
        <v>0</v>
      </c>
      <c r="AG82" s="293">
        <f t="shared" si="137"/>
        <v>0</v>
      </c>
    </row>
    <row r="83" spans="3:33" hidden="1" outlineLevel="1">
      <c r="C83" s="28" t="str">
        <f t="shared" si="132"/>
        <v>Segment 6</v>
      </c>
      <c r="D83" s="23"/>
      <c r="E83" s="23"/>
      <c r="F83" s="292">
        <f t="shared" ref="F83:S83" si="149">IFERROR(F75/F$69,"N/A")</f>
        <v>0</v>
      </c>
      <c r="G83" s="292">
        <f t="shared" si="149"/>
        <v>0</v>
      </c>
      <c r="H83" s="292">
        <f t="shared" si="149"/>
        <v>0</v>
      </c>
      <c r="I83" s="292">
        <f t="shared" si="149"/>
        <v>0</v>
      </c>
      <c r="J83" s="293">
        <f t="shared" si="149"/>
        <v>0</v>
      </c>
      <c r="K83" s="292">
        <f t="shared" si="149"/>
        <v>0</v>
      </c>
      <c r="L83" s="292">
        <f t="shared" si="149"/>
        <v>0</v>
      </c>
      <c r="M83" s="292">
        <f t="shared" si="149"/>
        <v>0</v>
      </c>
      <c r="N83" s="292">
        <f t="shared" si="149"/>
        <v>0</v>
      </c>
      <c r="O83" s="293">
        <f t="shared" si="149"/>
        <v>0</v>
      </c>
      <c r="P83" s="292">
        <f t="shared" si="149"/>
        <v>0</v>
      </c>
      <c r="Q83" s="292">
        <f t="shared" si="149"/>
        <v>0</v>
      </c>
      <c r="R83" s="292">
        <f t="shared" si="149"/>
        <v>0</v>
      </c>
      <c r="S83" s="292">
        <f t="shared" si="149"/>
        <v>0</v>
      </c>
      <c r="T83" s="293">
        <f t="shared" si="141"/>
        <v>0</v>
      </c>
      <c r="U83" s="292">
        <f t="shared" si="141"/>
        <v>0</v>
      </c>
      <c r="V83" s="294">
        <f t="shared" si="141"/>
        <v>0</v>
      </c>
      <c r="W83" s="294">
        <f t="shared" ref="W83:X83" si="150">IFERROR(W75/W$69,"N/A")</f>
        <v>0</v>
      </c>
      <c r="X83" s="294">
        <f t="shared" si="150"/>
        <v>0</v>
      </c>
      <c r="Y83" s="293">
        <f t="shared" si="137"/>
        <v>0</v>
      </c>
      <c r="Z83" s="294">
        <f t="shared" si="137"/>
        <v>0</v>
      </c>
      <c r="AA83" s="294">
        <f t="shared" si="137"/>
        <v>0</v>
      </c>
      <c r="AB83" s="294">
        <f t="shared" si="137"/>
        <v>0</v>
      </c>
      <c r="AC83" s="294">
        <f t="shared" si="137"/>
        <v>0</v>
      </c>
      <c r="AD83" s="293">
        <f t="shared" si="137"/>
        <v>0</v>
      </c>
      <c r="AE83" s="293">
        <f t="shared" si="137"/>
        <v>0</v>
      </c>
      <c r="AF83" s="293">
        <f t="shared" si="137"/>
        <v>0</v>
      </c>
      <c r="AG83" s="293">
        <f t="shared" si="137"/>
        <v>0</v>
      </c>
    </row>
    <row r="84" spans="3:33" hidden="1" outlineLevel="1">
      <c r="C84" s="28"/>
      <c r="D84" s="23"/>
      <c r="E84" s="23"/>
      <c r="F84" s="292"/>
      <c r="G84" s="292"/>
      <c r="H84" s="292"/>
      <c r="I84" s="292"/>
      <c r="J84" s="293"/>
      <c r="K84" s="292"/>
      <c r="L84" s="292"/>
      <c r="M84" s="292"/>
      <c r="N84" s="292"/>
      <c r="O84" s="293"/>
      <c r="P84" s="292"/>
      <c r="Q84" s="292"/>
      <c r="R84" s="292"/>
      <c r="S84" s="292"/>
      <c r="T84" s="293"/>
      <c r="U84" s="292"/>
      <c r="V84" s="294"/>
      <c r="W84" s="294"/>
      <c r="X84" s="294"/>
      <c r="Y84" s="293"/>
      <c r="Z84" s="294"/>
      <c r="AA84" s="294"/>
      <c r="AB84" s="294"/>
      <c r="AC84" s="294"/>
      <c r="AD84" s="293"/>
      <c r="AE84" s="293"/>
      <c r="AF84" s="293"/>
      <c r="AG84" s="293"/>
    </row>
    <row r="85" spans="3:33" collapsed="1">
      <c r="C85" s="23"/>
      <c r="D85" s="23"/>
      <c r="E85" s="23"/>
      <c r="F85" s="268"/>
      <c r="G85" s="268"/>
      <c r="H85" s="268"/>
      <c r="I85" s="268"/>
      <c r="J85" s="269"/>
      <c r="K85" s="268"/>
      <c r="L85" s="268"/>
      <c r="M85" s="268"/>
      <c r="N85" s="268"/>
      <c r="O85" s="269"/>
      <c r="P85" s="268"/>
      <c r="Q85" s="268"/>
      <c r="R85" s="268"/>
      <c r="S85" s="268"/>
      <c r="T85" s="269"/>
      <c r="U85" s="268"/>
      <c r="V85" s="272"/>
      <c r="W85" s="272"/>
      <c r="X85" s="272"/>
      <c r="Y85" s="269"/>
      <c r="Z85" s="272"/>
      <c r="AA85" s="272"/>
      <c r="AB85" s="272"/>
      <c r="AC85" s="272"/>
      <c r="AD85" s="269"/>
      <c r="AE85" s="269"/>
      <c r="AF85" s="269"/>
      <c r="AG85" s="269"/>
    </row>
    <row r="86" spans="3:33">
      <c r="C86" s="568" t="s">
        <v>55</v>
      </c>
      <c r="D86" s="409"/>
      <c r="E86" s="409"/>
      <c r="F86" s="730"/>
      <c r="G86" s="730"/>
      <c r="H86" s="730"/>
      <c r="I86" s="730"/>
      <c r="J86" s="730"/>
      <c r="K86" s="730"/>
      <c r="L86" s="730"/>
      <c r="M86" s="730"/>
      <c r="N86" s="730"/>
      <c r="O86" s="730"/>
      <c r="P86" s="730"/>
      <c r="Q86" s="730"/>
      <c r="R86" s="730"/>
      <c r="S86" s="730"/>
      <c r="T86" s="730"/>
      <c r="U86" s="730"/>
      <c r="V86" s="730"/>
      <c r="W86" s="730"/>
      <c r="X86" s="730"/>
      <c r="Y86" s="730"/>
      <c r="Z86" s="730"/>
      <c r="AA86" s="730"/>
      <c r="AB86" s="730"/>
      <c r="AC86" s="730"/>
      <c r="AD86" s="730"/>
      <c r="AE86" s="730"/>
      <c r="AF86" s="730"/>
      <c r="AG86" s="731"/>
    </row>
    <row r="87" spans="3:33">
      <c r="C87" s="23"/>
      <c r="D87" s="23"/>
      <c r="E87" s="23"/>
      <c r="F87" s="268"/>
      <c r="G87" s="268"/>
      <c r="H87" s="268"/>
      <c r="I87" s="268"/>
      <c r="J87" s="269"/>
      <c r="K87" s="268"/>
      <c r="L87" s="268"/>
      <c r="M87" s="268"/>
      <c r="N87" s="268"/>
      <c r="O87" s="269"/>
      <c r="P87" s="268"/>
      <c r="Q87" s="268"/>
      <c r="R87" s="268"/>
      <c r="S87" s="268"/>
      <c r="T87" s="269"/>
      <c r="U87" s="268"/>
      <c r="V87" s="272"/>
      <c r="W87" s="272"/>
      <c r="X87" s="272"/>
      <c r="Y87" s="269"/>
      <c r="Z87" s="272"/>
      <c r="AA87" s="272"/>
      <c r="AB87" s="272"/>
      <c r="AC87" s="272"/>
      <c r="AD87" s="269"/>
      <c r="AE87" s="269"/>
      <c r="AF87" s="269"/>
      <c r="AG87" s="269"/>
    </row>
    <row r="88" spans="3:33" hidden="1" outlineLevel="1">
      <c r="C88" s="23" t="s">
        <v>53</v>
      </c>
      <c r="D88" s="23"/>
      <c r="E88" s="23"/>
      <c r="F88" s="732">
        <f>SUM(F89:F93)</f>
        <v>549468</v>
      </c>
      <c r="G88" s="732">
        <f>SUM(G89:G93)</f>
        <v>479379</v>
      </c>
      <c r="H88" s="732">
        <f>SUM(H89:H93)</f>
        <v>564216</v>
      </c>
      <c r="I88" s="732">
        <f>SUM(I89:I93)</f>
        <v>751640</v>
      </c>
      <c r="J88" s="728">
        <f t="shared" ref="J88:J93" si="151">SUM(F88:I88)</f>
        <v>2344703</v>
      </c>
      <c r="K88" s="732">
        <f>SUM(K89:K93)</f>
        <v>552310</v>
      </c>
      <c r="L88" s="732">
        <f>SUM(L89:L93)</f>
        <v>671629</v>
      </c>
      <c r="M88" s="732">
        <f>SUM(M89:M93)</f>
        <v>712226</v>
      </c>
      <c r="N88" s="732">
        <f>SUM(N89:N93)</f>
        <v>0</v>
      </c>
      <c r="O88" s="728">
        <f t="shared" ref="O88:O93" si="152">SUM(K88:N88)</f>
        <v>1936165</v>
      </c>
      <c r="P88" s="732">
        <f>SUM(P89:P93)</f>
        <v>687697</v>
      </c>
      <c r="Q88" s="732">
        <f>SUM(Q89:Q93)</f>
        <v>687697</v>
      </c>
      <c r="R88" s="732">
        <f>SUM(R89:R93)</f>
        <v>712226</v>
      </c>
      <c r="S88" s="732">
        <f>SUM(S89:S93)</f>
        <v>0</v>
      </c>
      <c r="T88" s="728">
        <f t="shared" ref="T88:T93" si="153">SUM(P88:S88)</f>
        <v>2087620</v>
      </c>
      <c r="U88" s="732">
        <f>SUM(U89:U93)</f>
        <v>1385108</v>
      </c>
      <c r="V88" s="733">
        <f>SUM(V89:V93)</f>
        <v>0</v>
      </c>
      <c r="W88" s="733">
        <f>SUM(W89:W93)</f>
        <v>0</v>
      </c>
      <c r="X88" s="733">
        <f>SUM(X89:X93)</f>
        <v>0</v>
      </c>
      <c r="Y88" s="728">
        <f t="shared" ref="Y88:Y93" si="154">SUM(U88:X88)</f>
        <v>1385108</v>
      </c>
      <c r="Z88" s="733">
        <f>SUM(Z89:Z93)</f>
        <v>0</v>
      </c>
      <c r="AA88" s="733">
        <f>SUM(AA89:AA93)</f>
        <v>0</v>
      </c>
      <c r="AB88" s="733">
        <f>SUM(AB89:AB93)</f>
        <v>0</v>
      </c>
      <c r="AC88" s="733">
        <f>SUM(AC89:AC93)</f>
        <v>0</v>
      </c>
      <c r="AD88" s="728">
        <f t="shared" ref="AD88:AD93" si="155">SUM(Z88:AC88)</f>
        <v>0</v>
      </c>
      <c r="AE88" s="734">
        <f>SUM(AE89:AE93)</f>
        <v>0</v>
      </c>
      <c r="AF88" s="734">
        <f>SUM(AF89:AF93)</f>
        <v>0</v>
      </c>
      <c r="AG88" s="734">
        <f>SUM(AG89:AG93)</f>
        <v>0</v>
      </c>
    </row>
    <row r="89" spans="3:33" hidden="1" outlineLevel="1">
      <c r="C89" s="840" t="s">
        <v>854</v>
      </c>
      <c r="D89" s="23"/>
      <c r="E89" s="23"/>
      <c r="F89" s="287">
        <v>395188</v>
      </c>
      <c r="G89" s="287">
        <v>344238</v>
      </c>
      <c r="H89" s="287">
        <v>417553</v>
      </c>
      <c r="I89" s="287">
        <f>1719337-SUM(F89:H89)</f>
        <v>562358</v>
      </c>
      <c r="J89" s="286">
        <f t="shared" si="151"/>
        <v>1719337</v>
      </c>
      <c r="K89" s="287">
        <v>455236</v>
      </c>
      <c r="L89" s="287">
        <v>534510</v>
      </c>
      <c r="M89" s="287">
        <v>502176</v>
      </c>
      <c r="N89" s="287">
        <v>0</v>
      </c>
      <c r="O89" s="286">
        <f t="shared" si="152"/>
        <v>1491922</v>
      </c>
      <c r="P89" s="287">
        <v>559801</v>
      </c>
      <c r="Q89" s="287">
        <v>559801</v>
      </c>
      <c r="R89" s="287">
        <v>502176</v>
      </c>
      <c r="S89" s="287">
        <v>0</v>
      </c>
      <c r="T89" s="286">
        <f t="shared" si="153"/>
        <v>1621778</v>
      </c>
      <c r="U89" s="287">
        <v>1151978</v>
      </c>
      <c r="V89" s="288">
        <v>0</v>
      </c>
      <c r="W89" s="288">
        <v>0</v>
      </c>
      <c r="X89" s="288">
        <v>0</v>
      </c>
      <c r="Y89" s="286">
        <f t="shared" si="154"/>
        <v>1151978</v>
      </c>
      <c r="Z89" s="288">
        <v>0</v>
      </c>
      <c r="AA89" s="288">
        <v>0</v>
      </c>
      <c r="AB89" s="288">
        <v>0</v>
      </c>
      <c r="AC89" s="288">
        <v>0</v>
      </c>
      <c r="AD89" s="286">
        <f t="shared" si="155"/>
        <v>0</v>
      </c>
      <c r="AE89" s="295">
        <v>0</v>
      </c>
      <c r="AF89" s="295">
        <v>0</v>
      </c>
      <c r="AG89" s="295">
        <v>0</v>
      </c>
    </row>
    <row r="90" spans="3:33" hidden="1" outlineLevel="1">
      <c r="C90" s="840" t="s">
        <v>855</v>
      </c>
      <c r="D90" s="23"/>
      <c r="E90" s="23"/>
      <c r="F90" s="287">
        <v>152527</v>
      </c>
      <c r="G90" s="287">
        <v>127545</v>
      </c>
      <c r="H90" s="287">
        <v>145065</v>
      </c>
      <c r="I90" s="287">
        <f>609723-SUM(F90:H90)</f>
        <v>184586</v>
      </c>
      <c r="J90" s="286">
        <f t="shared" si="151"/>
        <v>609723</v>
      </c>
      <c r="K90" s="287">
        <v>96928</v>
      </c>
      <c r="L90" s="287">
        <v>136755</v>
      </c>
      <c r="M90" s="287">
        <v>209222</v>
      </c>
      <c r="N90" s="287">
        <v>0</v>
      </c>
      <c r="O90" s="286">
        <f t="shared" si="152"/>
        <v>442905</v>
      </c>
      <c r="P90" s="287">
        <v>72657</v>
      </c>
      <c r="Q90" s="287">
        <v>72657</v>
      </c>
      <c r="R90" s="287">
        <v>209222</v>
      </c>
      <c r="S90" s="287">
        <v>0</v>
      </c>
      <c r="T90" s="286">
        <f t="shared" si="153"/>
        <v>354536</v>
      </c>
      <c r="U90" s="287">
        <v>219006</v>
      </c>
      <c r="V90" s="288">
        <v>0</v>
      </c>
      <c r="W90" s="288">
        <v>0</v>
      </c>
      <c r="X90" s="288">
        <v>0</v>
      </c>
      <c r="Y90" s="286">
        <f t="shared" si="154"/>
        <v>219006</v>
      </c>
      <c r="Z90" s="288">
        <v>0</v>
      </c>
      <c r="AA90" s="288">
        <v>0</v>
      </c>
      <c r="AB90" s="288">
        <v>0</v>
      </c>
      <c r="AC90" s="288">
        <v>0</v>
      </c>
      <c r="AD90" s="286">
        <f t="shared" si="155"/>
        <v>0</v>
      </c>
      <c r="AE90" s="295">
        <v>0</v>
      </c>
      <c r="AF90" s="295">
        <v>0</v>
      </c>
      <c r="AG90" s="295">
        <v>0</v>
      </c>
    </row>
    <row r="91" spans="3:33" hidden="1" outlineLevel="1">
      <c r="C91" s="840" t="s">
        <v>856</v>
      </c>
      <c r="D91" s="23"/>
      <c r="E91" s="23"/>
      <c r="F91" s="287">
        <v>1753</v>
      </c>
      <c r="G91" s="287">
        <v>7596</v>
      </c>
      <c r="H91" s="287">
        <v>1598</v>
      </c>
      <c r="I91" s="287">
        <f>15643-SUM(F91:H91)</f>
        <v>4696</v>
      </c>
      <c r="J91" s="286">
        <f t="shared" si="151"/>
        <v>15643</v>
      </c>
      <c r="K91" s="287">
        <v>146</v>
      </c>
      <c r="L91" s="287">
        <v>364</v>
      </c>
      <c r="M91" s="287">
        <v>828</v>
      </c>
      <c r="N91" s="287">
        <v>0</v>
      </c>
      <c r="O91" s="286">
        <f t="shared" si="152"/>
        <v>1338</v>
      </c>
      <c r="P91" s="287">
        <f>587905-P89</f>
        <v>28104</v>
      </c>
      <c r="Q91" s="287">
        <f>587905-Q89</f>
        <v>28104</v>
      </c>
      <c r="R91" s="287">
        <v>828</v>
      </c>
      <c r="S91" s="287">
        <v>0</v>
      </c>
      <c r="T91" s="286">
        <f t="shared" si="153"/>
        <v>57036</v>
      </c>
      <c r="U91" s="287">
        <v>0</v>
      </c>
      <c r="V91" s="288">
        <v>0</v>
      </c>
      <c r="W91" s="288">
        <v>0</v>
      </c>
      <c r="X91" s="288">
        <v>0</v>
      </c>
      <c r="Y91" s="286">
        <f t="shared" si="154"/>
        <v>0</v>
      </c>
      <c r="Z91" s="288">
        <v>0</v>
      </c>
      <c r="AA91" s="288">
        <v>0</v>
      </c>
      <c r="AB91" s="288">
        <v>0</v>
      </c>
      <c r="AC91" s="288">
        <v>0</v>
      </c>
      <c r="AD91" s="286">
        <f t="shared" si="155"/>
        <v>0</v>
      </c>
      <c r="AE91" s="295">
        <v>0</v>
      </c>
      <c r="AF91" s="295">
        <v>0</v>
      </c>
      <c r="AG91" s="295">
        <v>0</v>
      </c>
    </row>
    <row r="92" spans="3:33" hidden="1" outlineLevel="1">
      <c r="C92" s="840" t="s">
        <v>56</v>
      </c>
      <c r="D92" s="23"/>
      <c r="E92" s="23"/>
      <c r="F92" s="287">
        <v>0</v>
      </c>
      <c r="G92" s="287">
        <v>0</v>
      </c>
      <c r="H92" s="287">
        <v>0</v>
      </c>
      <c r="I92" s="287">
        <v>0</v>
      </c>
      <c r="J92" s="286">
        <f t="shared" si="151"/>
        <v>0</v>
      </c>
      <c r="K92" s="287">
        <v>0</v>
      </c>
      <c r="L92" s="287">
        <v>0</v>
      </c>
      <c r="M92" s="287">
        <v>0</v>
      </c>
      <c r="N92" s="287">
        <v>0</v>
      </c>
      <c r="O92" s="286">
        <f t="shared" si="152"/>
        <v>0</v>
      </c>
      <c r="P92" s="287">
        <v>0</v>
      </c>
      <c r="Q92" s="287">
        <v>0</v>
      </c>
      <c r="R92" s="287">
        <v>0</v>
      </c>
      <c r="S92" s="287">
        <v>0</v>
      </c>
      <c r="T92" s="286">
        <f t="shared" si="153"/>
        <v>0</v>
      </c>
      <c r="U92" s="287">
        <v>0</v>
      </c>
      <c r="V92" s="288">
        <v>0</v>
      </c>
      <c r="W92" s="288">
        <v>0</v>
      </c>
      <c r="X92" s="288">
        <v>0</v>
      </c>
      <c r="Y92" s="286">
        <f t="shared" si="154"/>
        <v>0</v>
      </c>
      <c r="Z92" s="288">
        <v>0</v>
      </c>
      <c r="AA92" s="288">
        <v>0</v>
      </c>
      <c r="AB92" s="288">
        <v>0</v>
      </c>
      <c r="AC92" s="288">
        <v>0</v>
      </c>
      <c r="AD92" s="286">
        <f t="shared" si="155"/>
        <v>0</v>
      </c>
      <c r="AE92" s="295">
        <v>0</v>
      </c>
      <c r="AF92" s="295">
        <v>0</v>
      </c>
      <c r="AG92" s="295">
        <v>0</v>
      </c>
    </row>
    <row r="93" spans="3:33" hidden="1" outlineLevel="1">
      <c r="C93" s="840" t="s">
        <v>57</v>
      </c>
      <c r="D93" s="23"/>
      <c r="E93" s="23"/>
      <c r="F93" s="287">
        <v>0</v>
      </c>
      <c r="G93" s="287">
        <v>0</v>
      </c>
      <c r="H93" s="287">
        <v>0</v>
      </c>
      <c r="I93" s="287">
        <v>0</v>
      </c>
      <c r="J93" s="286">
        <f t="shared" si="151"/>
        <v>0</v>
      </c>
      <c r="K93" s="287">
        <v>0</v>
      </c>
      <c r="L93" s="287">
        <v>0</v>
      </c>
      <c r="M93" s="287">
        <v>0</v>
      </c>
      <c r="N93" s="287">
        <v>0</v>
      </c>
      <c r="O93" s="286">
        <f t="shared" si="152"/>
        <v>0</v>
      </c>
      <c r="P93" s="287">
        <v>27135</v>
      </c>
      <c r="Q93" s="287">
        <v>27135</v>
      </c>
      <c r="R93" s="287">
        <v>0</v>
      </c>
      <c r="S93" s="287">
        <v>0</v>
      </c>
      <c r="T93" s="286">
        <f t="shared" si="153"/>
        <v>54270</v>
      </c>
      <c r="U93" s="287">
        <v>14124</v>
      </c>
      <c r="V93" s="288">
        <v>0</v>
      </c>
      <c r="W93" s="288">
        <v>0</v>
      </c>
      <c r="X93" s="288">
        <v>0</v>
      </c>
      <c r="Y93" s="286">
        <f t="shared" si="154"/>
        <v>14124</v>
      </c>
      <c r="Z93" s="288">
        <v>0</v>
      </c>
      <c r="AA93" s="288">
        <v>0</v>
      </c>
      <c r="AB93" s="288">
        <v>0</v>
      </c>
      <c r="AC93" s="288">
        <v>0</v>
      </c>
      <c r="AD93" s="286">
        <f t="shared" si="155"/>
        <v>0</v>
      </c>
      <c r="AE93" s="295">
        <v>0</v>
      </c>
      <c r="AF93" s="295">
        <v>0</v>
      </c>
      <c r="AG93" s="295">
        <v>0</v>
      </c>
    </row>
    <row r="94" spans="3:33" hidden="1" outlineLevel="1">
      <c r="C94" s="23"/>
      <c r="D94" s="23"/>
      <c r="E94" s="23"/>
      <c r="F94" s="299"/>
      <c r="G94" s="299"/>
      <c r="H94" s="299"/>
      <c r="I94" s="299"/>
      <c r="J94" s="300"/>
      <c r="K94" s="299"/>
      <c r="L94" s="299"/>
      <c r="M94" s="299"/>
      <c r="N94" s="299"/>
      <c r="O94" s="300"/>
      <c r="P94" s="299"/>
      <c r="Q94" s="299"/>
      <c r="R94" s="299"/>
      <c r="S94" s="299"/>
      <c r="T94" s="300"/>
      <c r="U94" s="299"/>
      <c r="V94" s="301"/>
      <c r="W94" s="301"/>
      <c r="X94" s="301"/>
      <c r="Y94" s="300"/>
      <c r="Z94" s="301"/>
      <c r="AA94" s="301"/>
      <c r="AB94" s="301"/>
      <c r="AC94" s="301"/>
      <c r="AD94" s="300"/>
      <c r="AE94" s="302"/>
      <c r="AF94" s="302"/>
      <c r="AG94" s="302"/>
    </row>
    <row r="95" spans="3:33" hidden="1" outlineLevel="1">
      <c r="C95" s="23" t="s">
        <v>54</v>
      </c>
      <c r="D95" s="23"/>
      <c r="E95" s="23"/>
      <c r="F95" s="296"/>
      <c r="G95" s="296"/>
      <c r="H95" s="296"/>
      <c r="I95" s="296"/>
      <c r="J95" s="269"/>
      <c r="K95" s="296"/>
      <c r="L95" s="296"/>
      <c r="M95" s="296"/>
      <c r="N95" s="296"/>
      <c r="O95" s="269"/>
      <c r="P95" s="296"/>
      <c r="Q95" s="296"/>
      <c r="R95" s="296"/>
      <c r="S95" s="296"/>
      <c r="T95" s="269"/>
      <c r="U95" s="296"/>
      <c r="V95" s="298"/>
      <c r="W95" s="298"/>
      <c r="X95" s="298"/>
      <c r="Y95" s="269"/>
      <c r="Z95" s="298"/>
      <c r="AA95" s="298"/>
      <c r="AB95" s="298"/>
      <c r="AC95" s="298"/>
      <c r="AD95" s="269"/>
      <c r="AE95" s="297"/>
      <c r="AF95" s="297"/>
      <c r="AG95" s="297"/>
    </row>
    <row r="96" spans="3:33" hidden="1" outlineLevel="1">
      <c r="C96" s="28" t="str">
        <f>C$89</f>
        <v xml:space="preserve">United States </v>
      </c>
      <c r="D96" s="23"/>
      <c r="E96" s="23"/>
      <c r="F96" s="292">
        <f t="shared" ref="F96:S96" si="156">IFERROR(F89/F$88,"N/A")</f>
        <v>0.71921931759447322</v>
      </c>
      <c r="G96" s="292">
        <f t="shared" si="156"/>
        <v>0.71809153091812528</v>
      </c>
      <c r="H96" s="292">
        <f t="shared" si="156"/>
        <v>0.74005877181788537</v>
      </c>
      <c r="I96" s="292">
        <f t="shared" si="156"/>
        <v>0.74817465808099626</v>
      </c>
      <c r="J96" s="293">
        <f t="shared" si="156"/>
        <v>0.73328562295523148</v>
      </c>
      <c r="K96" s="292">
        <f t="shared" si="156"/>
        <v>0.82424001013923343</v>
      </c>
      <c r="L96" s="292">
        <f t="shared" si="156"/>
        <v>0.79584115635268882</v>
      </c>
      <c r="M96" s="292">
        <f t="shared" si="156"/>
        <v>0.70507956744067191</v>
      </c>
      <c r="N96" s="292" t="str">
        <f t="shared" si="156"/>
        <v>N/A</v>
      </c>
      <c r="O96" s="293">
        <f t="shared" si="156"/>
        <v>0.77055519545080098</v>
      </c>
      <c r="P96" s="292">
        <f t="shared" si="156"/>
        <v>0.8140227454823854</v>
      </c>
      <c r="Q96" s="292">
        <f t="shared" si="156"/>
        <v>0.8140227454823854</v>
      </c>
      <c r="R96" s="292">
        <f t="shared" si="156"/>
        <v>0.70507956744067191</v>
      </c>
      <c r="S96" s="292" t="str">
        <f t="shared" si="156"/>
        <v>N/A</v>
      </c>
      <c r="T96" s="293">
        <f t="shared" ref="T96:AG96" si="157">IFERROR(T89/T$88,"N/A")</f>
        <v>0.77685498318659529</v>
      </c>
      <c r="U96" s="292">
        <f t="shared" si="157"/>
        <v>0.83168821492620071</v>
      </c>
      <c r="V96" s="294" t="str">
        <f t="shared" ref="U96:X96" si="158">IFERROR(V89/V$88,"N/A")</f>
        <v>N/A</v>
      </c>
      <c r="W96" s="294" t="str">
        <f t="shared" si="158"/>
        <v>N/A</v>
      </c>
      <c r="X96" s="294" t="str">
        <f t="shared" si="158"/>
        <v>N/A</v>
      </c>
      <c r="Y96" s="293">
        <f t="shared" si="157"/>
        <v>0.83168821492620071</v>
      </c>
      <c r="Z96" s="294" t="str">
        <f t="shared" si="157"/>
        <v>N/A</v>
      </c>
      <c r="AA96" s="294" t="str">
        <f t="shared" si="157"/>
        <v>N/A</v>
      </c>
      <c r="AB96" s="294" t="str">
        <f t="shared" si="157"/>
        <v>N/A</v>
      </c>
      <c r="AC96" s="294" t="str">
        <f t="shared" si="157"/>
        <v>N/A</v>
      </c>
      <c r="AD96" s="293" t="str">
        <f t="shared" si="157"/>
        <v>N/A</v>
      </c>
      <c r="AE96" s="293" t="str">
        <f t="shared" si="157"/>
        <v>N/A</v>
      </c>
      <c r="AF96" s="293" t="str">
        <f t="shared" si="157"/>
        <v>N/A</v>
      </c>
      <c r="AG96" s="293" t="str">
        <f t="shared" si="157"/>
        <v>N/A</v>
      </c>
    </row>
    <row r="97" spans="3:33" hidden="1" outlineLevel="1">
      <c r="C97" s="28" t="str">
        <f>C$90</f>
        <v xml:space="preserve">Europe and Other </v>
      </c>
      <c r="D97" s="23"/>
      <c r="E97" s="23"/>
      <c r="F97" s="292">
        <f t="shared" ref="F97:S97" si="159">IFERROR(F90/F$88,"N/A")</f>
        <v>0.27759032373131831</v>
      </c>
      <c r="G97" s="292">
        <f t="shared" si="159"/>
        <v>0.26606296896609988</v>
      </c>
      <c r="H97" s="292">
        <f t="shared" si="159"/>
        <v>0.25710897953975076</v>
      </c>
      <c r="I97" s="292">
        <f t="shared" si="159"/>
        <v>0.2455776701612474</v>
      </c>
      <c r="J97" s="293">
        <f t="shared" si="159"/>
        <v>0.26004274315339726</v>
      </c>
      <c r="K97" s="292">
        <f t="shared" si="159"/>
        <v>0.17549564556136951</v>
      </c>
      <c r="L97" s="292">
        <f t="shared" si="159"/>
        <v>0.20361687777031665</v>
      </c>
      <c r="M97" s="292">
        <f t="shared" si="159"/>
        <v>0.2937578802234122</v>
      </c>
      <c r="N97" s="292" t="str">
        <f t="shared" si="159"/>
        <v>N/A</v>
      </c>
      <c r="O97" s="293">
        <f t="shared" si="159"/>
        <v>0.22875374774360657</v>
      </c>
      <c r="P97" s="292">
        <f t="shared" si="159"/>
        <v>0.10565263480864392</v>
      </c>
      <c r="Q97" s="292">
        <f t="shared" si="159"/>
        <v>0.10565263480864392</v>
      </c>
      <c r="R97" s="292">
        <f t="shared" si="159"/>
        <v>0.2937578802234122</v>
      </c>
      <c r="S97" s="292" t="str">
        <f t="shared" si="159"/>
        <v>N/A</v>
      </c>
      <c r="T97" s="293">
        <f t="shared" ref="T97:AG97" si="160">IFERROR(T90/T$88,"N/A")</f>
        <v>0.16982784223182379</v>
      </c>
      <c r="U97" s="292">
        <f t="shared" si="160"/>
        <v>0.15811474628693215</v>
      </c>
      <c r="V97" s="294" t="str">
        <f t="shared" ref="U97:X97" si="161">IFERROR(V90/V$88,"N/A")</f>
        <v>N/A</v>
      </c>
      <c r="W97" s="294" t="str">
        <f t="shared" si="161"/>
        <v>N/A</v>
      </c>
      <c r="X97" s="294" t="str">
        <f t="shared" si="161"/>
        <v>N/A</v>
      </c>
      <c r="Y97" s="293">
        <f t="shared" si="160"/>
        <v>0.15811474628693215</v>
      </c>
      <c r="Z97" s="294" t="str">
        <f t="shared" si="160"/>
        <v>N/A</v>
      </c>
      <c r="AA97" s="294" t="str">
        <f t="shared" si="160"/>
        <v>N/A</v>
      </c>
      <c r="AB97" s="294" t="str">
        <f t="shared" si="160"/>
        <v>N/A</v>
      </c>
      <c r="AC97" s="294" t="str">
        <f t="shared" si="160"/>
        <v>N/A</v>
      </c>
      <c r="AD97" s="293" t="str">
        <f t="shared" si="160"/>
        <v>N/A</v>
      </c>
      <c r="AE97" s="293" t="str">
        <f t="shared" si="160"/>
        <v>N/A</v>
      </c>
      <c r="AF97" s="293" t="str">
        <f t="shared" si="160"/>
        <v>N/A</v>
      </c>
      <c r="AG97" s="293" t="str">
        <f t="shared" si="160"/>
        <v>N/A</v>
      </c>
    </row>
    <row r="98" spans="3:33" hidden="1" outlineLevel="1">
      <c r="C98" s="28" t="str">
        <f>C$91</f>
        <v>Latin America</v>
      </c>
      <c r="D98" s="23"/>
      <c r="E98" s="23"/>
      <c r="F98" s="292">
        <f t="shared" ref="F98:S98" si="162">IFERROR(F91/F$88,"N/A")</f>
        <v>3.1903586742085071E-3</v>
      </c>
      <c r="G98" s="292">
        <f t="shared" si="162"/>
        <v>1.5845500115774784E-2</v>
      </c>
      <c r="H98" s="292">
        <f t="shared" si="162"/>
        <v>2.8322486423639172E-3</v>
      </c>
      <c r="I98" s="292">
        <f t="shared" si="162"/>
        <v>6.2476717577563731E-3</v>
      </c>
      <c r="J98" s="293">
        <f t="shared" si="162"/>
        <v>6.6716338913713168E-3</v>
      </c>
      <c r="K98" s="292">
        <f t="shared" si="162"/>
        <v>2.6434429939707773E-4</v>
      </c>
      <c r="L98" s="292">
        <f t="shared" si="162"/>
        <v>5.4196587699459071E-4</v>
      </c>
      <c r="M98" s="292">
        <f t="shared" si="162"/>
        <v>1.1625523359158469E-3</v>
      </c>
      <c r="N98" s="292" t="str">
        <f t="shared" si="162"/>
        <v>N/A</v>
      </c>
      <c r="O98" s="293">
        <f t="shared" si="162"/>
        <v>6.9105680559249853E-4</v>
      </c>
      <c r="P98" s="292">
        <f t="shared" si="162"/>
        <v>4.0866835248663295E-2</v>
      </c>
      <c r="Q98" s="292">
        <f t="shared" si="162"/>
        <v>4.0866835248663295E-2</v>
      </c>
      <c r="R98" s="292">
        <f t="shared" si="162"/>
        <v>1.1625523359158469E-3</v>
      </c>
      <c r="S98" s="292" t="str">
        <f t="shared" si="162"/>
        <v>N/A</v>
      </c>
      <c r="T98" s="293">
        <f t="shared" ref="T98:AG98" si="163">IFERROR(T91/T$88,"N/A")</f>
        <v>2.7321064178346635E-2</v>
      </c>
      <c r="U98" s="292">
        <f t="shared" si="163"/>
        <v>0</v>
      </c>
      <c r="V98" s="294" t="str">
        <f t="shared" ref="U98:X98" si="164">IFERROR(V91/V$88,"N/A")</f>
        <v>N/A</v>
      </c>
      <c r="W98" s="294" t="str">
        <f t="shared" si="164"/>
        <v>N/A</v>
      </c>
      <c r="X98" s="294" t="str">
        <f t="shared" si="164"/>
        <v>N/A</v>
      </c>
      <c r="Y98" s="293">
        <f t="shared" si="163"/>
        <v>0</v>
      </c>
      <c r="Z98" s="294" t="str">
        <f t="shared" si="163"/>
        <v>N/A</v>
      </c>
      <c r="AA98" s="294" t="str">
        <f t="shared" si="163"/>
        <v>N/A</v>
      </c>
      <c r="AB98" s="294" t="str">
        <f t="shared" si="163"/>
        <v>N/A</v>
      </c>
      <c r="AC98" s="294" t="str">
        <f t="shared" si="163"/>
        <v>N/A</v>
      </c>
      <c r="AD98" s="293" t="str">
        <f t="shared" si="163"/>
        <v>N/A</v>
      </c>
      <c r="AE98" s="293" t="str">
        <f t="shared" si="163"/>
        <v>N/A</v>
      </c>
      <c r="AF98" s="293" t="str">
        <f t="shared" si="163"/>
        <v>N/A</v>
      </c>
      <c r="AG98" s="293" t="str">
        <f t="shared" si="163"/>
        <v>N/A</v>
      </c>
    </row>
    <row r="99" spans="3:33" hidden="1" outlineLevel="1">
      <c r="C99" s="28" t="str">
        <f>C$92</f>
        <v>Middle East &amp; Africa</v>
      </c>
      <c r="D99" s="23"/>
      <c r="E99" s="23"/>
      <c r="F99" s="292">
        <f t="shared" ref="F99:S99" si="165">IFERROR(F92/F$88,"N/A")</f>
        <v>0</v>
      </c>
      <c r="G99" s="292">
        <f t="shared" si="165"/>
        <v>0</v>
      </c>
      <c r="H99" s="292">
        <f t="shared" si="165"/>
        <v>0</v>
      </c>
      <c r="I99" s="292">
        <f t="shared" si="165"/>
        <v>0</v>
      </c>
      <c r="J99" s="293">
        <f t="shared" si="165"/>
        <v>0</v>
      </c>
      <c r="K99" s="292">
        <f t="shared" si="165"/>
        <v>0</v>
      </c>
      <c r="L99" s="292">
        <f t="shared" si="165"/>
        <v>0</v>
      </c>
      <c r="M99" s="292">
        <f t="shared" si="165"/>
        <v>0</v>
      </c>
      <c r="N99" s="292" t="str">
        <f t="shared" si="165"/>
        <v>N/A</v>
      </c>
      <c r="O99" s="293">
        <f t="shared" si="165"/>
        <v>0</v>
      </c>
      <c r="P99" s="292">
        <f t="shared" si="165"/>
        <v>0</v>
      </c>
      <c r="Q99" s="292">
        <f t="shared" si="165"/>
        <v>0</v>
      </c>
      <c r="R99" s="292">
        <f t="shared" si="165"/>
        <v>0</v>
      </c>
      <c r="S99" s="292" t="str">
        <f t="shared" si="165"/>
        <v>N/A</v>
      </c>
      <c r="T99" s="293">
        <f t="shared" ref="T99:AG99" si="166">IFERROR(T92/T$88,"N/A")</f>
        <v>0</v>
      </c>
      <c r="U99" s="292">
        <f t="shared" si="166"/>
        <v>0</v>
      </c>
      <c r="V99" s="294" t="str">
        <f t="shared" ref="U99:X99" si="167">IFERROR(V92/V$88,"N/A")</f>
        <v>N/A</v>
      </c>
      <c r="W99" s="294" t="str">
        <f t="shared" si="167"/>
        <v>N/A</v>
      </c>
      <c r="X99" s="294" t="str">
        <f t="shared" si="167"/>
        <v>N/A</v>
      </c>
      <c r="Y99" s="293">
        <f t="shared" si="166"/>
        <v>0</v>
      </c>
      <c r="Z99" s="294" t="str">
        <f t="shared" si="166"/>
        <v>N/A</v>
      </c>
      <c r="AA99" s="294" t="str">
        <f t="shared" si="166"/>
        <v>N/A</v>
      </c>
      <c r="AB99" s="294" t="str">
        <f t="shared" si="166"/>
        <v>N/A</v>
      </c>
      <c r="AC99" s="294" t="str">
        <f t="shared" si="166"/>
        <v>N/A</v>
      </c>
      <c r="AD99" s="293" t="str">
        <f t="shared" si="166"/>
        <v>N/A</v>
      </c>
      <c r="AE99" s="293" t="str">
        <f t="shared" si="166"/>
        <v>N/A</v>
      </c>
      <c r="AF99" s="293" t="str">
        <f t="shared" si="166"/>
        <v>N/A</v>
      </c>
      <c r="AG99" s="293" t="str">
        <f t="shared" si="166"/>
        <v>N/A</v>
      </c>
    </row>
    <row r="100" spans="3:33" hidden="1" outlineLevel="1">
      <c r="C100" s="28" t="str">
        <f>C$93</f>
        <v>Asia Pacific</v>
      </c>
      <c r="D100" s="23"/>
      <c r="E100" s="23"/>
      <c r="F100" s="292">
        <f t="shared" ref="F100:S100" si="168">IFERROR(F93/F$88,"N/A")</f>
        <v>0</v>
      </c>
      <c r="G100" s="292">
        <f t="shared" si="168"/>
        <v>0</v>
      </c>
      <c r="H100" s="292">
        <f t="shared" si="168"/>
        <v>0</v>
      </c>
      <c r="I100" s="292">
        <f t="shared" si="168"/>
        <v>0</v>
      </c>
      <c r="J100" s="293">
        <f t="shared" si="168"/>
        <v>0</v>
      </c>
      <c r="K100" s="292">
        <f t="shared" si="168"/>
        <v>0</v>
      </c>
      <c r="L100" s="292">
        <f t="shared" si="168"/>
        <v>0</v>
      </c>
      <c r="M100" s="292">
        <f t="shared" si="168"/>
        <v>0</v>
      </c>
      <c r="N100" s="292" t="str">
        <f t="shared" si="168"/>
        <v>N/A</v>
      </c>
      <c r="O100" s="293">
        <f t="shared" si="168"/>
        <v>0</v>
      </c>
      <c r="P100" s="292">
        <f t="shared" si="168"/>
        <v>3.9457784460307371E-2</v>
      </c>
      <c r="Q100" s="292">
        <f t="shared" si="168"/>
        <v>3.9457784460307371E-2</v>
      </c>
      <c r="R100" s="292">
        <f t="shared" si="168"/>
        <v>0</v>
      </c>
      <c r="S100" s="292" t="str">
        <f t="shared" si="168"/>
        <v>N/A</v>
      </c>
      <c r="T100" s="293">
        <f t="shared" ref="T100:AG100" si="169">IFERROR(T93/T$88,"N/A")</f>
        <v>2.5996110403234306E-2</v>
      </c>
      <c r="U100" s="292">
        <f t="shared" si="169"/>
        <v>1.0197038786867162E-2</v>
      </c>
      <c r="V100" s="294" t="str">
        <f t="shared" ref="U100:X100" si="170">IFERROR(V93/V$88,"N/A")</f>
        <v>N/A</v>
      </c>
      <c r="W100" s="294" t="str">
        <f t="shared" si="170"/>
        <v>N/A</v>
      </c>
      <c r="X100" s="294" t="str">
        <f t="shared" si="170"/>
        <v>N/A</v>
      </c>
      <c r="Y100" s="293">
        <f t="shared" si="169"/>
        <v>1.0197038786867162E-2</v>
      </c>
      <c r="Z100" s="294" t="str">
        <f t="shared" si="169"/>
        <v>N/A</v>
      </c>
      <c r="AA100" s="294" t="str">
        <f t="shared" si="169"/>
        <v>N/A</v>
      </c>
      <c r="AB100" s="294" t="str">
        <f t="shared" si="169"/>
        <v>N/A</v>
      </c>
      <c r="AC100" s="294" t="str">
        <f t="shared" si="169"/>
        <v>N/A</v>
      </c>
      <c r="AD100" s="293" t="str">
        <f t="shared" si="169"/>
        <v>N/A</v>
      </c>
      <c r="AE100" s="293" t="str">
        <f t="shared" si="169"/>
        <v>N/A</v>
      </c>
      <c r="AF100" s="293" t="str">
        <f t="shared" si="169"/>
        <v>N/A</v>
      </c>
      <c r="AG100" s="293" t="str">
        <f t="shared" si="169"/>
        <v>N/A</v>
      </c>
    </row>
    <row r="101" spans="3:33" hidden="1" outlineLevel="1">
      <c r="C101" s="23"/>
      <c r="D101" s="23"/>
      <c r="E101" s="23"/>
      <c r="F101" s="296"/>
      <c r="G101" s="296"/>
      <c r="H101" s="296"/>
      <c r="I101" s="296"/>
      <c r="J101" s="269"/>
      <c r="K101" s="296"/>
      <c r="L101" s="296"/>
      <c r="M101" s="296"/>
      <c r="N101" s="296"/>
      <c r="O101" s="269"/>
      <c r="P101" s="296"/>
      <c r="Q101" s="296"/>
      <c r="R101" s="296"/>
      <c r="S101" s="296"/>
      <c r="T101" s="269"/>
      <c r="U101" s="296"/>
      <c r="V101" s="298"/>
      <c r="W101" s="298"/>
      <c r="X101" s="298"/>
      <c r="Y101" s="269"/>
      <c r="Z101" s="298"/>
      <c r="AA101" s="298"/>
      <c r="AB101" s="298"/>
      <c r="AC101" s="298"/>
      <c r="AD101" s="269"/>
      <c r="AE101" s="297"/>
      <c r="AF101" s="297"/>
      <c r="AG101" s="297"/>
    </row>
    <row r="102" spans="3:33" hidden="1" outlineLevel="1">
      <c r="C102" s="23" t="str">
        <f>'Segment Analysis'!C9</f>
        <v>Investment Management Revenue</v>
      </c>
      <c r="D102" s="23"/>
      <c r="E102" s="23"/>
      <c r="F102" s="268"/>
      <c r="G102" s="268"/>
      <c r="H102" s="268"/>
      <c r="I102" s="268"/>
      <c r="J102" s="269"/>
      <c r="K102" s="268"/>
      <c r="L102" s="268"/>
      <c r="M102" s="268"/>
      <c r="N102" s="268"/>
      <c r="O102" s="269"/>
      <c r="P102" s="268"/>
      <c r="Q102" s="268"/>
      <c r="R102" s="268"/>
      <c r="S102" s="268"/>
      <c r="T102" s="269"/>
      <c r="U102" s="268"/>
      <c r="V102" s="272"/>
      <c r="W102" s="272"/>
      <c r="X102" s="272"/>
      <c r="Y102" s="269"/>
      <c r="Z102" s="272"/>
      <c r="AA102" s="272"/>
      <c r="AB102" s="272"/>
      <c r="AC102" s="272"/>
      <c r="AD102" s="269"/>
      <c r="AE102" s="269"/>
      <c r="AF102" s="269"/>
      <c r="AG102" s="269"/>
    </row>
    <row r="103" spans="3:33" hidden="1" outlineLevel="1">
      <c r="C103" s="28" t="str">
        <f>C$89</f>
        <v xml:space="preserve">United States </v>
      </c>
      <c r="D103" s="23"/>
      <c r="E103" s="23"/>
      <c r="F103" s="287">
        <v>0</v>
      </c>
      <c r="G103" s="287">
        <v>0</v>
      </c>
      <c r="H103" s="287">
        <v>0</v>
      </c>
      <c r="I103" s="287">
        <v>0</v>
      </c>
      <c r="J103" s="286">
        <f>SUM(F103:I103)</f>
        <v>0</v>
      </c>
      <c r="K103" s="287">
        <v>0</v>
      </c>
      <c r="L103" s="287">
        <v>0</v>
      </c>
      <c r="M103" s="287">
        <v>0</v>
      </c>
      <c r="N103" s="287">
        <v>0</v>
      </c>
      <c r="O103" s="286">
        <f>SUM(K103:N103)</f>
        <v>0</v>
      </c>
      <c r="P103" s="287">
        <v>0</v>
      </c>
      <c r="Q103" s="287">
        <v>0</v>
      </c>
      <c r="R103" s="287">
        <v>0</v>
      </c>
      <c r="S103" s="287">
        <v>0</v>
      </c>
      <c r="T103" s="286">
        <f>SUM(P103:S103)</f>
        <v>0</v>
      </c>
      <c r="U103" s="287">
        <v>0</v>
      </c>
      <c r="V103" s="288">
        <v>0</v>
      </c>
      <c r="W103" s="288">
        <v>0</v>
      </c>
      <c r="X103" s="288">
        <v>0</v>
      </c>
      <c r="Y103" s="286">
        <f>SUM(U103:X103)</f>
        <v>0</v>
      </c>
      <c r="Z103" s="288">
        <v>0</v>
      </c>
      <c r="AA103" s="288">
        <v>0</v>
      </c>
      <c r="AB103" s="288">
        <v>0</v>
      </c>
      <c r="AC103" s="288">
        <v>0</v>
      </c>
      <c r="AD103" s="286">
        <f>SUM(Z103:AC103)</f>
        <v>0</v>
      </c>
      <c r="AE103" s="295">
        <v>0</v>
      </c>
      <c r="AF103" s="295">
        <v>0</v>
      </c>
      <c r="AG103" s="295">
        <v>0</v>
      </c>
    </row>
    <row r="104" spans="3:33" hidden="1" outlineLevel="1">
      <c r="C104" s="28" t="str">
        <f>C$90</f>
        <v xml:space="preserve">Europe and Other </v>
      </c>
      <c r="D104" s="23"/>
      <c r="E104" s="23"/>
      <c r="F104" s="287">
        <v>0</v>
      </c>
      <c r="G104" s="287">
        <v>0</v>
      </c>
      <c r="H104" s="287">
        <v>0</v>
      </c>
      <c r="I104" s="287">
        <v>0</v>
      </c>
      <c r="J104" s="286">
        <f>SUM(F104:I104)</f>
        <v>0</v>
      </c>
      <c r="K104" s="287">
        <v>0</v>
      </c>
      <c r="L104" s="287">
        <v>0</v>
      </c>
      <c r="M104" s="287">
        <v>0</v>
      </c>
      <c r="N104" s="287">
        <v>0</v>
      </c>
      <c r="O104" s="286">
        <f>SUM(K104:N104)</f>
        <v>0</v>
      </c>
      <c r="P104" s="287">
        <v>0</v>
      </c>
      <c r="Q104" s="287">
        <v>0</v>
      </c>
      <c r="R104" s="287">
        <v>0</v>
      </c>
      <c r="S104" s="287">
        <v>0</v>
      </c>
      <c r="T104" s="286">
        <f>SUM(P104:S104)</f>
        <v>0</v>
      </c>
      <c r="U104" s="287">
        <v>0</v>
      </c>
      <c r="V104" s="288">
        <v>0</v>
      </c>
      <c r="W104" s="288">
        <v>0</v>
      </c>
      <c r="X104" s="288">
        <v>0</v>
      </c>
      <c r="Y104" s="286">
        <f>SUM(U104:X104)</f>
        <v>0</v>
      </c>
      <c r="Z104" s="288">
        <v>0</v>
      </c>
      <c r="AA104" s="288">
        <v>0</v>
      </c>
      <c r="AB104" s="288">
        <v>0</v>
      </c>
      <c r="AC104" s="288">
        <v>0</v>
      </c>
      <c r="AD104" s="286">
        <f>SUM(Z104:AC104)</f>
        <v>0</v>
      </c>
      <c r="AE104" s="295">
        <v>0</v>
      </c>
      <c r="AF104" s="295">
        <v>0</v>
      </c>
      <c r="AG104" s="295">
        <v>0</v>
      </c>
    </row>
    <row r="105" spans="3:33" hidden="1" outlineLevel="1">
      <c r="C105" s="28" t="str">
        <f>C$91</f>
        <v>Latin America</v>
      </c>
      <c r="D105" s="23"/>
      <c r="E105" s="23"/>
      <c r="F105" s="287">
        <v>0</v>
      </c>
      <c r="G105" s="287">
        <v>0</v>
      </c>
      <c r="H105" s="287">
        <v>0</v>
      </c>
      <c r="I105" s="287">
        <v>0</v>
      </c>
      <c r="J105" s="286">
        <f>SUM(F105:I105)</f>
        <v>0</v>
      </c>
      <c r="K105" s="287">
        <v>0</v>
      </c>
      <c r="L105" s="287">
        <v>0</v>
      </c>
      <c r="M105" s="287">
        <v>0</v>
      </c>
      <c r="N105" s="287">
        <v>0</v>
      </c>
      <c r="O105" s="286">
        <f>SUM(K105:N105)</f>
        <v>0</v>
      </c>
      <c r="P105" s="287">
        <v>0</v>
      </c>
      <c r="Q105" s="287">
        <v>0</v>
      </c>
      <c r="R105" s="287">
        <v>0</v>
      </c>
      <c r="S105" s="287">
        <v>0</v>
      </c>
      <c r="T105" s="286">
        <f>SUM(P105:S105)</f>
        <v>0</v>
      </c>
      <c r="U105" s="287">
        <v>0</v>
      </c>
      <c r="V105" s="288">
        <v>0</v>
      </c>
      <c r="W105" s="288">
        <v>0</v>
      </c>
      <c r="X105" s="288">
        <v>0</v>
      </c>
      <c r="Y105" s="286">
        <f>SUM(U105:X105)</f>
        <v>0</v>
      </c>
      <c r="Z105" s="288">
        <v>0</v>
      </c>
      <c r="AA105" s="288">
        <v>0</v>
      </c>
      <c r="AB105" s="288">
        <v>0</v>
      </c>
      <c r="AC105" s="288">
        <v>0</v>
      </c>
      <c r="AD105" s="286">
        <f>SUM(Z105:AC105)</f>
        <v>0</v>
      </c>
      <c r="AE105" s="295">
        <v>0</v>
      </c>
      <c r="AF105" s="295">
        <v>0</v>
      </c>
      <c r="AG105" s="295">
        <v>0</v>
      </c>
    </row>
    <row r="106" spans="3:33" hidden="1" outlineLevel="1">
      <c r="C106" s="28" t="str">
        <f>C$92</f>
        <v>Middle East &amp; Africa</v>
      </c>
      <c r="D106" s="23"/>
      <c r="E106" s="23"/>
      <c r="F106" s="287">
        <v>0</v>
      </c>
      <c r="G106" s="287">
        <v>0</v>
      </c>
      <c r="H106" s="287">
        <v>0</v>
      </c>
      <c r="I106" s="287">
        <v>0</v>
      </c>
      <c r="J106" s="286">
        <f>SUM(F106:I106)</f>
        <v>0</v>
      </c>
      <c r="K106" s="287">
        <v>0</v>
      </c>
      <c r="L106" s="287">
        <v>0</v>
      </c>
      <c r="M106" s="287">
        <v>0</v>
      </c>
      <c r="N106" s="287">
        <v>0</v>
      </c>
      <c r="O106" s="286">
        <f>SUM(K106:N106)</f>
        <v>0</v>
      </c>
      <c r="P106" s="287">
        <v>0</v>
      </c>
      <c r="Q106" s="287">
        <v>0</v>
      </c>
      <c r="R106" s="287">
        <v>0</v>
      </c>
      <c r="S106" s="287">
        <v>0</v>
      </c>
      <c r="T106" s="286">
        <f>SUM(P106:S106)</f>
        <v>0</v>
      </c>
      <c r="U106" s="287">
        <v>0</v>
      </c>
      <c r="V106" s="288">
        <v>0</v>
      </c>
      <c r="W106" s="288">
        <v>0</v>
      </c>
      <c r="X106" s="288">
        <v>0</v>
      </c>
      <c r="Y106" s="286">
        <f>SUM(U106:X106)</f>
        <v>0</v>
      </c>
      <c r="Z106" s="288">
        <v>0</v>
      </c>
      <c r="AA106" s="288">
        <v>0</v>
      </c>
      <c r="AB106" s="288">
        <v>0</v>
      </c>
      <c r="AC106" s="288">
        <v>0</v>
      </c>
      <c r="AD106" s="286">
        <f>SUM(Z106:AC106)</f>
        <v>0</v>
      </c>
      <c r="AE106" s="295">
        <v>0</v>
      </c>
      <c r="AF106" s="295">
        <v>0</v>
      </c>
      <c r="AG106" s="295">
        <v>0</v>
      </c>
    </row>
    <row r="107" spans="3:33" hidden="1" outlineLevel="1">
      <c r="C107" s="28" t="str">
        <f>C$93</f>
        <v>Asia Pacific</v>
      </c>
      <c r="D107" s="23"/>
      <c r="E107" s="23"/>
      <c r="F107" s="287">
        <v>0</v>
      </c>
      <c r="G107" s="287">
        <v>0</v>
      </c>
      <c r="H107" s="287">
        <v>0</v>
      </c>
      <c r="I107" s="287">
        <v>0</v>
      </c>
      <c r="J107" s="286">
        <f>SUM(F107:I107)</f>
        <v>0</v>
      </c>
      <c r="K107" s="287">
        <v>0</v>
      </c>
      <c r="L107" s="287">
        <v>0</v>
      </c>
      <c r="M107" s="287">
        <v>0</v>
      </c>
      <c r="N107" s="287">
        <v>0</v>
      </c>
      <c r="O107" s="286">
        <f>SUM(K107:N107)</f>
        <v>0</v>
      </c>
      <c r="P107" s="287">
        <v>0</v>
      </c>
      <c r="Q107" s="287">
        <v>0</v>
      </c>
      <c r="R107" s="287">
        <v>0</v>
      </c>
      <c r="S107" s="287">
        <v>0</v>
      </c>
      <c r="T107" s="286">
        <f>SUM(P107:S107)</f>
        <v>0</v>
      </c>
      <c r="U107" s="287">
        <v>0</v>
      </c>
      <c r="V107" s="288">
        <v>0</v>
      </c>
      <c r="W107" s="288">
        <v>0</v>
      </c>
      <c r="X107" s="288">
        <v>0</v>
      </c>
      <c r="Y107" s="286">
        <f>SUM(U107:X107)</f>
        <v>0</v>
      </c>
      <c r="Z107" s="288">
        <v>0</v>
      </c>
      <c r="AA107" s="288">
        <v>0</v>
      </c>
      <c r="AB107" s="288">
        <v>0</v>
      </c>
      <c r="AC107" s="288">
        <v>0</v>
      </c>
      <c r="AD107" s="286">
        <f>SUM(Z107:AC107)</f>
        <v>0</v>
      </c>
      <c r="AE107" s="295">
        <v>0</v>
      </c>
      <c r="AF107" s="295">
        <v>0</v>
      </c>
      <c r="AG107" s="295">
        <v>0</v>
      </c>
    </row>
    <row r="108" spans="3:33" hidden="1" outlineLevel="1">
      <c r="C108" s="23"/>
      <c r="D108" s="23"/>
      <c r="E108" s="23"/>
      <c r="F108" s="303"/>
      <c r="G108" s="303"/>
      <c r="H108" s="303"/>
      <c r="I108" s="303"/>
      <c r="J108" s="269"/>
      <c r="K108" s="303"/>
      <c r="L108" s="303"/>
      <c r="M108" s="303"/>
      <c r="N108" s="303"/>
      <c r="O108" s="269"/>
      <c r="P108" s="303"/>
      <c r="Q108" s="303"/>
      <c r="R108" s="303"/>
      <c r="S108" s="303"/>
      <c r="T108" s="269"/>
      <c r="U108" s="303"/>
      <c r="V108" s="304"/>
      <c r="W108" s="304"/>
      <c r="X108" s="304"/>
      <c r="Y108" s="269"/>
      <c r="Z108" s="304"/>
      <c r="AA108" s="304"/>
      <c r="AB108" s="304"/>
      <c r="AC108" s="304"/>
      <c r="AD108" s="269"/>
      <c r="AE108" s="305"/>
      <c r="AF108" s="305"/>
      <c r="AG108" s="305"/>
    </row>
    <row r="109" spans="3:33" hidden="1" outlineLevel="1">
      <c r="C109" s="23" t="str">
        <f>'Segment Analysis'!C8</f>
        <v>Investment Banking &amp; Equities Revenue</v>
      </c>
      <c r="D109" s="23"/>
      <c r="E109" s="23"/>
      <c r="F109" s="303"/>
      <c r="G109" s="303"/>
      <c r="H109" s="303"/>
      <c r="I109" s="303"/>
      <c r="J109" s="269"/>
      <c r="K109" s="303"/>
      <c r="L109" s="303"/>
      <c r="M109" s="303"/>
      <c r="N109" s="303"/>
      <c r="O109" s="269"/>
      <c r="P109" s="303"/>
      <c r="Q109" s="303"/>
      <c r="R109" s="303"/>
      <c r="S109" s="303"/>
      <c r="T109" s="269"/>
      <c r="U109" s="303"/>
      <c r="V109" s="304"/>
      <c r="W109" s="304"/>
      <c r="X109" s="304"/>
      <c r="Y109" s="269"/>
      <c r="Z109" s="304"/>
      <c r="AA109" s="304"/>
      <c r="AB109" s="304"/>
      <c r="AC109" s="304"/>
      <c r="AD109" s="269"/>
      <c r="AE109" s="305"/>
      <c r="AF109" s="305"/>
      <c r="AG109" s="305"/>
    </row>
    <row r="110" spans="3:33" hidden="1" outlineLevel="1">
      <c r="C110" s="28" t="str">
        <f>C$89</f>
        <v xml:space="preserve">United States </v>
      </c>
      <c r="D110" s="23"/>
      <c r="E110" s="23"/>
      <c r="F110" s="287">
        <v>0</v>
      </c>
      <c r="G110" s="287">
        <v>0</v>
      </c>
      <c r="H110" s="287">
        <v>0</v>
      </c>
      <c r="I110" s="287">
        <v>0</v>
      </c>
      <c r="J110" s="286">
        <f>SUM(F110:I110)</f>
        <v>0</v>
      </c>
      <c r="K110" s="287">
        <v>0</v>
      </c>
      <c r="L110" s="287">
        <v>0</v>
      </c>
      <c r="M110" s="287">
        <v>0</v>
      </c>
      <c r="N110" s="287">
        <v>0</v>
      </c>
      <c r="O110" s="286">
        <f>SUM(K110:N110)</f>
        <v>0</v>
      </c>
      <c r="P110" s="287">
        <v>0</v>
      </c>
      <c r="Q110" s="287">
        <v>0</v>
      </c>
      <c r="R110" s="287">
        <v>0</v>
      </c>
      <c r="S110" s="287">
        <v>0</v>
      </c>
      <c r="T110" s="286">
        <f>SUM(P110:S110)</f>
        <v>0</v>
      </c>
      <c r="U110" s="287">
        <v>0</v>
      </c>
      <c r="V110" s="288">
        <v>0</v>
      </c>
      <c r="W110" s="288">
        <v>0</v>
      </c>
      <c r="X110" s="288">
        <v>0</v>
      </c>
      <c r="Y110" s="286">
        <f>SUM(U110:X110)</f>
        <v>0</v>
      </c>
      <c r="Z110" s="288">
        <v>0</v>
      </c>
      <c r="AA110" s="288">
        <v>0</v>
      </c>
      <c r="AB110" s="288">
        <v>0</v>
      </c>
      <c r="AC110" s="288">
        <v>0</v>
      </c>
      <c r="AD110" s="286">
        <f>SUM(Z110:AC110)</f>
        <v>0</v>
      </c>
      <c r="AE110" s="295">
        <v>0</v>
      </c>
      <c r="AF110" s="295">
        <v>0</v>
      </c>
      <c r="AG110" s="295">
        <v>0</v>
      </c>
    </row>
    <row r="111" spans="3:33" hidden="1" outlineLevel="1">
      <c r="C111" s="28" t="str">
        <f>C$90</f>
        <v xml:space="preserve">Europe and Other </v>
      </c>
      <c r="D111" s="23"/>
      <c r="E111" s="23"/>
      <c r="F111" s="287">
        <v>0</v>
      </c>
      <c r="G111" s="287">
        <v>0</v>
      </c>
      <c r="H111" s="287">
        <v>0</v>
      </c>
      <c r="I111" s="287">
        <v>0</v>
      </c>
      <c r="J111" s="286">
        <f>SUM(F111:I111)</f>
        <v>0</v>
      </c>
      <c r="K111" s="287">
        <v>0</v>
      </c>
      <c r="L111" s="287">
        <v>0</v>
      </c>
      <c r="M111" s="287">
        <v>0</v>
      </c>
      <c r="N111" s="287">
        <v>0</v>
      </c>
      <c r="O111" s="286">
        <f>SUM(K111:N111)</f>
        <v>0</v>
      </c>
      <c r="P111" s="287">
        <v>0</v>
      </c>
      <c r="Q111" s="287">
        <v>0</v>
      </c>
      <c r="R111" s="287">
        <v>0</v>
      </c>
      <c r="S111" s="287">
        <v>0</v>
      </c>
      <c r="T111" s="286">
        <f>SUM(P111:S111)</f>
        <v>0</v>
      </c>
      <c r="U111" s="287">
        <v>0</v>
      </c>
      <c r="V111" s="288">
        <v>0</v>
      </c>
      <c r="W111" s="288">
        <v>0</v>
      </c>
      <c r="X111" s="288">
        <v>0</v>
      </c>
      <c r="Y111" s="286">
        <f>SUM(U111:X111)</f>
        <v>0</v>
      </c>
      <c r="Z111" s="288">
        <v>0</v>
      </c>
      <c r="AA111" s="288">
        <v>0</v>
      </c>
      <c r="AB111" s="288">
        <v>0</v>
      </c>
      <c r="AC111" s="288">
        <v>0</v>
      </c>
      <c r="AD111" s="286">
        <f>SUM(Z111:AC111)</f>
        <v>0</v>
      </c>
      <c r="AE111" s="295">
        <v>0</v>
      </c>
      <c r="AF111" s="295">
        <v>0</v>
      </c>
      <c r="AG111" s="295">
        <v>0</v>
      </c>
    </row>
    <row r="112" spans="3:33" hidden="1" outlineLevel="1">
      <c r="C112" s="28" t="str">
        <f>C$91</f>
        <v>Latin America</v>
      </c>
      <c r="D112" s="23"/>
      <c r="E112" s="23"/>
      <c r="F112" s="287">
        <v>0</v>
      </c>
      <c r="G112" s="287">
        <v>0</v>
      </c>
      <c r="H112" s="287">
        <v>0</v>
      </c>
      <c r="I112" s="287">
        <v>0</v>
      </c>
      <c r="J112" s="286">
        <f>SUM(F112:I112)</f>
        <v>0</v>
      </c>
      <c r="K112" s="287">
        <v>0</v>
      </c>
      <c r="L112" s="287">
        <v>0</v>
      </c>
      <c r="M112" s="287">
        <v>0</v>
      </c>
      <c r="N112" s="287">
        <v>0</v>
      </c>
      <c r="O112" s="286">
        <f>SUM(K112:N112)</f>
        <v>0</v>
      </c>
      <c r="P112" s="287">
        <v>0</v>
      </c>
      <c r="Q112" s="287">
        <v>0</v>
      </c>
      <c r="R112" s="287">
        <v>0</v>
      </c>
      <c r="S112" s="287">
        <v>0</v>
      </c>
      <c r="T112" s="286">
        <f>SUM(P112:S112)</f>
        <v>0</v>
      </c>
      <c r="U112" s="287">
        <v>0</v>
      </c>
      <c r="V112" s="288">
        <v>0</v>
      </c>
      <c r="W112" s="288">
        <v>0</v>
      </c>
      <c r="X112" s="288">
        <v>0</v>
      </c>
      <c r="Y112" s="286">
        <f>SUM(U112:X112)</f>
        <v>0</v>
      </c>
      <c r="Z112" s="288">
        <v>0</v>
      </c>
      <c r="AA112" s="288">
        <v>0</v>
      </c>
      <c r="AB112" s="288">
        <v>0</v>
      </c>
      <c r="AC112" s="288">
        <v>0</v>
      </c>
      <c r="AD112" s="286">
        <f>SUM(Z112:AC112)</f>
        <v>0</v>
      </c>
      <c r="AE112" s="295">
        <v>0</v>
      </c>
      <c r="AF112" s="295">
        <v>0</v>
      </c>
      <c r="AG112" s="295">
        <v>0</v>
      </c>
    </row>
    <row r="113" spans="3:33" hidden="1" outlineLevel="1">
      <c r="C113" s="28" t="str">
        <f>C$92</f>
        <v>Middle East &amp; Africa</v>
      </c>
      <c r="D113" s="23"/>
      <c r="E113" s="23"/>
      <c r="F113" s="287">
        <v>0</v>
      </c>
      <c r="G113" s="287">
        <v>0</v>
      </c>
      <c r="H113" s="287">
        <v>0</v>
      </c>
      <c r="I113" s="287">
        <v>0</v>
      </c>
      <c r="J113" s="286">
        <f>SUM(F113:I113)</f>
        <v>0</v>
      </c>
      <c r="K113" s="287">
        <v>0</v>
      </c>
      <c r="L113" s="287">
        <v>0</v>
      </c>
      <c r="M113" s="287">
        <v>0</v>
      </c>
      <c r="N113" s="287">
        <v>0</v>
      </c>
      <c r="O113" s="286">
        <f>SUM(K113:N113)</f>
        <v>0</v>
      </c>
      <c r="P113" s="287">
        <v>0</v>
      </c>
      <c r="Q113" s="287">
        <v>0</v>
      </c>
      <c r="R113" s="287">
        <v>0</v>
      </c>
      <c r="S113" s="287">
        <v>0</v>
      </c>
      <c r="T113" s="286">
        <f>SUM(P113:S113)</f>
        <v>0</v>
      </c>
      <c r="U113" s="287">
        <v>0</v>
      </c>
      <c r="V113" s="288">
        <v>0</v>
      </c>
      <c r="W113" s="288">
        <v>0</v>
      </c>
      <c r="X113" s="288">
        <v>0</v>
      </c>
      <c r="Y113" s="286">
        <f>SUM(U113:X113)</f>
        <v>0</v>
      </c>
      <c r="Z113" s="288">
        <v>0</v>
      </c>
      <c r="AA113" s="288">
        <v>0</v>
      </c>
      <c r="AB113" s="288">
        <v>0</v>
      </c>
      <c r="AC113" s="288">
        <v>0</v>
      </c>
      <c r="AD113" s="286">
        <f>SUM(Z113:AC113)</f>
        <v>0</v>
      </c>
      <c r="AE113" s="295">
        <v>0</v>
      </c>
      <c r="AF113" s="295">
        <v>0</v>
      </c>
      <c r="AG113" s="295">
        <v>0</v>
      </c>
    </row>
    <row r="114" spans="3:33" hidden="1" outlineLevel="1">
      <c r="C114" s="28" t="str">
        <f>C$93</f>
        <v>Asia Pacific</v>
      </c>
      <c r="D114" s="23"/>
      <c r="E114" s="23"/>
      <c r="F114" s="287">
        <v>0</v>
      </c>
      <c r="G114" s="287">
        <v>0</v>
      </c>
      <c r="H114" s="287">
        <v>0</v>
      </c>
      <c r="I114" s="287">
        <v>0</v>
      </c>
      <c r="J114" s="286">
        <f>SUM(F114:I114)</f>
        <v>0</v>
      </c>
      <c r="K114" s="287">
        <v>0</v>
      </c>
      <c r="L114" s="287">
        <v>0</v>
      </c>
      <c r="M114" s="287">
        <v>0</v>
      </c>
      <c r="N114" s="287">
        <v>0</v>
      </c>
      <c r="O114" s="286">
        <f>SUM(K114:N114)</f>
        <v>0</v>
      </c>
      <c r="P114" s="287">
        <v>0</v>
      </c>
      <c r="Q114" s="287">
        <v>0</v>
      </c>
      <c r="R114" s="287">
        <v>0</v>
      </c>
      <c r="S114" s="287">
        <v>0</v>
      </c>
      <c r="T114" s="286">
        <f>SUM(P114:S114)</f>
        <v>0</v>
      </c>
      <c r="U114" s="287">
        <v>0</v>
      </c>
      <c r="V114" s="288">
        <v>0</v>
      </c>
      <c r="W114" s="288">
        <v>0</v>
      </c>
      <c r="X114" s="288">
        <v>0</v>
      </c>
      <c r="Y114" s="286">
        <f>SUM(U114:X114)</f>
        <v>0</v>
      </c>
      <c r="Z114" s="288">
        <v>0</v>
      </c>
      <c r="AA114" s="288">
        <v>0</v>
      </c>
      <c r="AB114" s="288">
        <v>0</v>
      </c>
      <c r="AC114" s="288">
        <v>0</v>
      </c>
      <c r="AD114" s="286">
        <f>SUM(Z114:AC114)</f>
        <v>0</v>
      </c>
      <c r="AE114" s="295">
        <v>0</v>
      </c>
      <c r="AF114" s="295">
        <v>0</v>
      </c>
      <c r="AG114" s="295">
        <v>0</v>
      </c>
    </row>
    <row r="115" spans="3:33" hidden="1" outlineLevel="1">
      <c r="C115" s="28"/>
      <c r="D115" s="23"/>
      <c r="E115" s="23"/>
      <c r="F115" s="303"/>
      <c r="G115" s="303"/>
      <c r="H115" s="303"/>
      <c r="I115" s="303"/>
      <c r="J115" s="269"/>
      <c r="K115" s="303"/>
      <c r="L115" s="303"/>
      <c r="M115" s="303"/>
      <c r="N115" s="303"/>
      <c r="O115" s="269"/>
      <c r="P115" s="303"/>
      <c r="Q115" s="303"/>
      <c r="R115" s="303"/>
      <c r="S115" s="303"/>
      <c r="T115" s="269"/>
      <c r="U115" s="303"/>
      <c r="V115" s="304"/>
      <c r="W115" s="304"/>
      <c r="X115" s="304"/>
      <c r="Y115" s="269"/>
      <c r="Z115" s="304"/>
      <c r="AA115" s="304"/>
      <c r="AB115" s="304"/>
      <c r="AC115" s="304"/>
      <c r="AD115" s="269"/>
      <c r="AE115" s="305"/>
      <c r="AF115" s="305"/>
      <c r="AG115" s="305"/>
    </row>
    <row r="116" spans="3:33" hidden="1" outlineLevel="1">
      <c r="C116" s="23" t="str">
        <f>'Segment Analysis'!C10</f>
        <v>Segment 3 Revenue</v>
      </c>
      <c r="D116" s="23"/>
      <c r="E116" s="23"/>
      <c r="F116" s="303"/>
      <c r="G116" s="303"/>
      <c r="H116" s="303"/>
      <c r="I116" s="303"/>
      <c r="J116" s="269"/>
      <c r="K116" s="303"/>
      <c r="L116" s="303"/>
      <c r="M116" s="303"/>
      <c r="N116" s="303"/>
      <c r="O116" s="269"/>
      <c r="P116" s="303"/>
      <c r="Q116" s="303"/>
      <c r="R116" s="303"/>
      <c r="S116" s="303"/>
      <c r="T116" s="269"/>
      <c r="U116" s="303"/>
      <c r="V116" s="304"/>
      <c r="W116" s="304"/>
      <c r="X116" s="304"/>
      <c r="Y116" s="269"/>
      <c r="Z116" s="304"/>
      <c r="AA116" s="304"/>
      <c r="AB116" s="304"/>
      <c r="AC116" s="304"/>
      <c r="AD116" s="269"/>
      <c r="AE116" s="305"/>
      <c r="AF116" s="305"/>
      <c r="AG116" s="305"/>
    </row>
    <row r="117" spans="3:33" hidden="1" outlineLevel="1">
      <c r="C117" s="28" t="str">
        <f>C$89</f>
        <v xml:space="preserve">United States </v>
      </c>
      <c r="D117" s="23"/>
      <c r="E117" s="23"/>
      <c r="F117" s="287">
        <v>0</v>
      </c>
      <c r="G117" s="287">
        <v>0</v>
      </c>
      <c r="H117" s="287">
        <v>0</v>
      </c>
      <c r="I117" s="287">
        <v>0</v>
      </c>
      <c r="J117" s="286">
        <f>SUM(F117:I117)</f>
        <v>0</v>
      </c>
      <c r="K117" s="287">
        <v>0</v>
      </c>
      <c r="L117" s="287">
        <v>0</v>
      </c>
      <c r="M117" s="287">
        <v>0</v>
      </c>
      <c r="N117" s="287">
        <v>0</v>
      </c>
      <c r="O117" s="286">
        <f>SUM(K117:N117)</f>
        <v>0</v>
      </c>
      <c r="P117" s="287">
        <v>0</v>
      </c>
      <c r="Q117" s="287">
        <v>0</v>
      </c>
      <c r="R117" s="287">
        <v>0</v>
      </c>
      <c r="S117" s="287">
        <v>0</v>
      </c>
      <c r="T117" s="286">
        <f>SUM(P117:S117)</f>
        <v>0</v>
      </c>
      <c r="U117" s="287">
        <v>0</v>
      </c>
      <c r="V117" s="288">
        <v>0</v>
      </c>
      <c r="W117" s="288">
        <v>0</v>
      </c>
      <c r="X117" s="288">
        <v>0</v>
      </c>
      <c r="Y117" s="286">
        <f>SUM(U117:X117)</f>
        <v>0</v>
      </c>
      <c r="Z117" s="288">
        <v>0</v>
      </c>
      <c r="AA117" s="288">
        <v>0</v>
      </c>
      <c r="AB117" s="288">
        <v>0</v>
      </c>
      <c r="AC117" s="288">
        <v>0</v>
      </c>
      <c r="AD117" s="286">
        <f>SUM(Z117:AC117)</f>
        <v>0</v>
      </c>
      <c r="AE117" s="295">
        <v>0</v>
      </c>
      <c r="AF117" s="295">
        <v>0</v>
      </c>
      <c r="AG117" s="295">
        <v>0</v>
      </c>
    </row>
    <row r="118" spans="3:33" hidden="1" outlineLevel="1">
      <c r="C118" s="28" t="str">
        <f>C$90</f>
        <v xml:space="preserve">Europe and Other </v>
      </c>
      <c r="D118" s="23"/>
      <c r="E118" s="23"/>
      <c r="F118" s="287">
        <v>0</v>
      </c>
      <c r="G118" s="287">
        <v>0</v>
      </c>
      <c r="H118" s="287">
        <v>0</v>
      </c>
      <c r="I118" s="287">
        <v>0</v>
      </c>
      <c r="J118" s="286">
        <f>SUM(F118:I118)</f>
        <v>0</v>
      </c>
      <c r="K118" s="287">
        <v>0</v>
      </c>
      <c r="L118" s="287">
        <v>0</v>
      </c>
      <c r="M118" s="287">
        <v>0</v>
      </c>
      <c r="N118" s="287">
        <v>0</v>
      </c>
      <c r="O118" s="286">
        <f>SUM(K118:N118)</f>
        <v>0</v>
      </c>
      <c r="P118" s="287">
        <v>0</v>
      </c>
      <c r="Q118" s="287">
        <v>0</v>
      </c>
      <c r="R118" s="287">
        <v>0</v>
      </c>
      <c r="S118" s="287">
        <v>0</v>
      </c>
      <c r="T118" s="286">
        <f>SUM(P118:S118)</f>
        <v>0</v>
      </c>
      <c r="U118" s="287">
        <v>0</v>
      </c>
      <c r="V118" s="288">
        <v>0</v>
      </c>
      <c r="W118" s="288">
        <v>0</v>
      </c>
      <c r="X118" s="288">
        <v>0</v>
      </c>
      <c r="Y118" s="286">
        <f>SUM(U118:X118)</f>
        <v>0</v>
      </c>
      <c r="Z118" s="288">
        <v>0</v>
      </c>
      <c r="AA118" s="288">
        <v>0</v>
      </c>
      <c r="AB118" s="288">
        <v>0</v>
      </c>
      <c r="AC118" s="288">
        <v>0</v>
      </c>
      <c r="AD118" s="286">
        <f>SUM(Z118:AC118)</f>
        <v>0</v>
      </c>
      <c r="AE118" s="295">
        <v>0</v>
      </c>
      <c r="AF118" s="295">
        <v>0</v>
      </c>
      <c r="AG118" s="295">
        <v>0</v>
      </c>
    </row>
    <row r="119" spans="3:33" hidden="1" outlineLevel="1">
      <c r="C119" s="28" t="str">
        <f>C$91</f>
        <v>Latin America</v>
      </c>
      <c r="D119" s="23"/>
      <c r="E119" s="23"/>
      <c r="F119" s="287">
        <v>0</v>
      </c>
      <c r="G119" s="287">
        <v>0</v>
      </c>
      <c r="H119" s="287">
        <v>0</v>
      </c>
      <c r="I119" s="287">
        <v>0</v>
      </c>
      <c r="J119" s="286">
        <f>SUM(F119:I119)</f>
        <v>0</v>
      </c>
      <c r="K119" s="287">
        <v>0</v>
      </c>
      <c r="L119" s="287">
        <v>0</v>
      </c>
      <c r="M119" s="287">
        <v>0</v>
      </c>
      <c r="N119" s="287">
        <v>0</v>
      </c>
      <c r="O119" s="286">
        <f>SUM(K119:N119)</f>
        <v>0</v>
      </c>
      <c r="P119" s="287">
        <v>0</v>
      </c>
      <c r="Q119" s="287">
        <v>0</v>
      </c>
      <c r="R119" s="287">
        <v>0</v>
      </c>
      <c r="S119" s="287">
        <v>0</v>
      </c>
      <c r="T119" s="286">
        <f>SUM(P119:S119)</f>
        <v>0</v>
      </c>
      <c r="U119" s="287">
        <v>0</v>
      </c>
      <c r="V119" s="288">
        <v>0</v>
      </c>
      <c r="W119" s="288">
        <v>0</v>
      </c>
      <c r="X119" s="288">
        <v>0</v>
      </c>
      <c r="Y119" s="286">
        <f>SUM(U119:X119)</f>
        <v>0</v>
      </c>
      <c r="Z119" s="288">
        <v>0</v>
      </c>
      <c r="AA119" s="288">
        <v>0</v>
      </c>
      <c r="AB119" s="288">
        <v>0</v>
      </c>
      <c r="AC119" s="288">
        <v>0</v>
      </c>
      <c r="AD119" s="286">
        <f>SUM(Z119:AC119)</f>
        <v>0</v>
      </c>
      <c r="AE119" s="295">
        <v>0</v>
      </c>
      <c r="AF119" s="295">
        <v>0</v>
      </c>
      <c r="AG119" s="295">
        <v>0</v>
      </c>
    </row>
    <row r="120" spans="3:33" hidden="1" outlineLevel="1">
      <c r="C120" s="28" t="str">
        <f>C$92</f>
        <v>Middle East &amp; Africa</v>
      </c>
      <c r="D120" s="23"/>
      <c r="E120" s="23"/>
      <c r="F120" s="287">
        <v>0</v>
      </c>
      <c r="G120" s="287">
        <v>0</v>
      </c>
      <c r="H120" s="287">
        <v>0</v>
      </c>
      <c r="I120" s="287">
        <v>0</v>
      </c>
      <c r="J120" s="286">
        <f>SUM(F120:I120)</f>
        <v>0</v>
      </c>
      <c r="K120" s="287">
        <v>0</v>
      </c>
      <c r="L120" s="287">
        <v>0</v>
      </c>
      <c r="M120" s="287">
        <v>0</v>
      </c>
      <c r="N120" s="287">
        <v>0</v>
      </c>
      <c r="O120" s="286">
        <f>SUM(K120:N120)</f>
        <v>0</v>
      </c>
      <c r="P120" s="287">
        <v>0</v>
      </c>
      <c r="Q120" s="287">
        <v>0</v>
      </c>
      <c r="R120" s="287">
        <v>0</v>
      </c>
      <c r="S120" s="287">
        <v>0</v>
      </c>
      <c r="T120" s="286">
        <f>SUM(P120:S120)</f>
        <v>0</v>
      </c>
      <c r="U120" s="287">
        <v>0</v>
      </c>
      <c r="V120" s="288">
        <v>0</v>
      </c>
      <c r="W120" s="288">
        <v>0</v>
      </c>
      <c r="X120" s="288">
        <v>0</v>
      </c>
      <c r="Y120" s="286">
        <f>SUM(U120:X120)</f>
        <v>0</v>
      </c>
      <c r="Z120" s="288">
        <v>0</v>
      </c>
      <c r="AA120" s="288">
        <v>0</v>
      </c>
      <c r="AB120" s="288">
        <v>0</v>
      </c>
      <c r="AC120" s="288">
        <v>0</v>
      </c>
      <c r="AD120" s="286">
        <f>SUM(Z120:AC120)</f>
        <v>0</v>
      </c>
      <c r="AE120" s="295">
        <v>0</v>
      </c>
      <c r="AF120" s="295">
        <v>0</v>
      </c>
      <c r="AG120" s="295">
        <v>0</v>
      </c>
    </row>
    <row r="121" spans="3:33" hidden="1" outlineLevel="1">
      <c r="C121" s="28" t="str">
        <f>C$93</f>
        <v>Asia Pacific</v>
      </c>
      <c r="D121" s="23"/>
      <c r="E121" s="23"/>
      <c r="F121" s="287">
        <v>0</v>
      </c>
      <c r="G121" s="287">
        <v>0</v>
      </c>
      <c r="H121" s="287">
        <v>0</v>
      </c>
      <c r="I121" s="287">
        <v>0</v>
      </c>
      <c r="J121" s="286">
        <f>SUM(F121:I121)</f>
        <v>0</v>
      </c>
      <c r="K121" s="287">
        <v>0</v>
      </c>
      <c r="L121" s="287">
        <v>0</v>
      </c>
      <c r="M121" s="287">
        <v>0</v>
      </c>
      <c r="N121" s="287">
        <v>0</v>
      </c>
      <c r="O121" s="286">
        <f>SUM(K121:N121)</f>
        <v>0</v>
      </c>
      <c r="P121" s="287">
        <v>0</v>
      </c>
      <c r="Q121" s="287">
        <v>0</v>
      </c>
      <c r="R121" s="287">
        <v>0</v>
      </c>
      <c r="S121" s="287">
        <v>0</v>
      </c>
      <c r="T121" s="286">
        <f>SUM(P121:S121)</f>
        <v>0</v>
      </c>
      <c r="U121" s="287">
        <v>0</v>
      </c>
      <c r="V121" s="288">
        <v>0</v>
      </c>
      <c r="W121" s="288">
        <v>0</v>
      </c>
      <c r="X121" s="288">
        <v>0</v>
      </c>
      <c r="Y121" s="286">
        <f>SUM(U121:X121)</f>
        <v>0</v>
      </c>
      <c r="Z121" s="288">
        <v>0</v>
      </c>
      <c r="AA121" s="288">
        <v>0</v>
      </c>
      <c r="AB121" s="288">
        <v>0</v>
      </c>
      <c r="AC121" s="288">
        <v>0</v>
      </c>
      <c r="AD121" s="286">
        <f>SUM(Z121:AC121)</f>
        <v>0</v>
      </c>
      <c r="AE121" s="295">
        <v>0</v>
      </c>
      <c r="AF121" s="295">
        <v>0</v>
      </c>
      <c r="AG121" s="295">
        <v>0</v>
      </c>
    </row>
    <row r="122" spans="3:33" hidden="1" outlineLevel="1">
      <c r="C122" s="23"/>
      <c r="D122" s="23"/>
      <c r="E122" s="23"/>
      <c r="F122" s="303"/>
      <c r="G122" s="303"/>
      <c r="H122" s="303"/>
      <c r="I122" s="303"/>
      <c r="J122" s="269"/>
      <c r="K122" s="303"/>
      <c r="L122" s="303"/>
      <c r="M122" s="303"/>
      <c r="N122" s="303"/>
      <c r="O122" s="269"/>
      <c r="P122" s="303"/>
      <c r="Q122" s="303"/>
      <c r="R122" s="303"/>
      <c r="S122" s="303"/>
      <c r="T122" s="269"/>
      <c r="U122" s="303"/>
      <c r="V122" s="304"/>
      <c r="W122" s="304"/>
      <c r="X122" s="304"/>
      <c r="Y122" s="269"/>
      <c r="Z122" s="304"/>
      <c r="AA122" s="304"/>
      <c r="AB122" s="304"/>
      <c r="AC122" s="304"/>
      <c r="AD122" s="269"/>
      <c r="AE122" s="305"/>
      <c r="AF122" s="305"/>
      <c r="AG122" s="305"/>
    </row>
    <row r="123" spans="3:33" hidden="1" outlineLevel="1">
      <c r="C123" s="23" t="str">
        <f>'Segment Analysis'!C11</f>
        <v>Segment 4 Revenue</v>
      </c>
      <c r="D123" s="23"/>
      <c r="E123" s="23"/>
      <c r="F123" s="303"/>
      <c r="G123" s="303"/>
      <c r="H123" s="303"/>
      <c r="I123" s="303"/>
      <c r="J123" s="269"/>
      <c r="K123" s="303"/>
      <c r="L123" s="303"/>
      <c r="M123" s="303"/>
      <c r="N123" s="303"/>
      <c r="O123" s="269"/>
      <c r="P123" s="303"/>
      <c r="Q123" s="303"/>
      <c r="R123" s="303"/>
      <c r="S123" s="303"/>
      <c r="T123" s="269"/>
      <c r="U123" s="303"/>
      <c r="V123" s="304"/>
      <c r="W123" s="304"/>
      <c r="X123" s="304"/>
      <c r="Y123" s="269"/>
      <c r="Z123" s="304"/>
      <c r="AA123" s="304"/>
      <c r="AB123" s="304"/>
      <c r="AC123" s="304"/>
      <c r="AD123" s="269"/>
      <c r="AE123" s="305"/>
      <c r="AF123" s="305"/>
      <c r="AG123" s="305"/>
    </row>
    <row r="124" spans="3:33" hidden="1" outlineLevel="1">
      <c r="C124" s="28" t="str">
        <f>C$89</f>
        <v xml:space="preserve">United States </v>
      </c>
      <c r="D124" s="23"/>
      <c r="E124" s="23"/>
      <c r="F124" s="287">
        <v>0</v>
      </c>
      <c r="G124" s="287">
        <v>0</v>
      </c>
      <c r="H124" s="287">
        <v>0</v>
      </c>
      <c r="I124" s="287">
        <v>0</v>
      </c>
      <c r="J124" s="286">
        <f>SUM(F124:I124)</f>
        <v>0</v>
      </c>
      <c r="K124" s="287">
        <v>0</v>
      </c>
      <c r="L124" s="287">
        <v>0</v>
      </c>
      <c r="M124" s="287">
        <v>0</v>
      </c>
      <c r="N124" s="287">
        <v>0</v>
      </c>
      <c r="O124" s="286">
        <f>SUM(K124:N124)</f>
        <v>0</v>
      </c>
      <c r="P124" s="287">
        <v>0</v>
      </c>
      <c r="Q124" s="287">
        <v>0</v>
      </c>
      <c r="R124" s="287">
        <v>0</v>
      </c>
      <c r="S124" s="287">
        <v>0</v>
      </c>
      <c r="T124" s="286">
        <f>SUM(P124:S124)</f>
        <v>0</v>
      </c>
      <c r="U124" s="287">
        <v>0</v>
      </c>
      <c r="V124" s="288">
        <v>0</v>
      </c>
      <c r="W124" s="288">
        <v>0</v>
      </c>
      <c r="X124" s="288">
        <v>0</v>
      </c>
      <c r="Y124" s="286">
        <f>SUM(U124:X124)</f>
        <v>0</v>
      </c>
      <c r="Z124" s="288">
        <v>0</v>
      </c>
      <c r="AA124" s="288">
        <v>0</v>
      </c>
      <c r="AB124" s="288">
        <v>0</v>
      </c>
      <c r="AC124" s="288">
        <v>0</v>
      </c>
      <c r="AD124" s="286">
        <f>SUM(Z124:AC124)</f>
        <v>0</v>
      </c>
      <c r="AE124" s="295">
        <v>0</v>
      </c>
      <c r="AF124" s="295">
        <v>0</v>
      </c>
      <c r="AG124" s="295">
        <v>0</v>
      </c>
    </row>
    <row r="125" spans="3:33" hidden="1" outlineLevel="1">
      <c r="C125" s="28" t="str">
        <f>C$90</f>
        <v xml:space="preserve">Europe and Other </v>
      </c>
      <c r="D125" s="23"/>
      <c r="E125" s="23"/>
      <c r="F125" s="287">
        <v>0</v>
      </c>
      <c r="G125" s="287">
        <v>0</v>
      </c>
      <c r="H125" s="287">
        <v>0</v>
      </c>
      <c r="I125" s="287">
        <v>0</v>
      </c>
      <c r="J125" s="286">
        <f>SUM(F125:I125)</f>
        <v>0</v>
      </c>
      <c r="K125" s="287">
        <v>0</v>
      </c>
      <c r="L125" s="287">
        <v>0</v>
      </c>
      <c r="M125" s="287">
        <v>0</v>
      </c>
      <c r="N125" s="287">
        <v>0</v>
      </c>
      <c r="O125" s="286">
        <f>SUM(K125:N125)</f>
        <v>0</v>
      </c>
      <c r="P125" s="287">
        <v>0</v>
      </c>
      <c r="Q125" s="287">
        <v>0</v>
      </c>
      <c r="R125" s="287">
        <v>0</v>
      </c>
      <c r="S125" s="287">
        <v>0</v>
      </c>
      <c r="T125" s="286">
        <f>SUM(P125:S125)</f>
        <v>0</v>
      </c>
      <c r="U125" s="287">
        <v>0</v>
      </c>
      <c r="V125" s="288">
        <v>0</v>
      </c>
      <c r="W125" s="288">
        <v>0</v>
      </c>
      <c r="X125" s="288">
        <v>0</v>
      </c>
      <c r="Y125" s="286">
        <f>SUM(U125:X125)</f>
        <v>0</v>
      </c>
      <c r="Z125" s="288">
        <v>0</v>
      </c>
      <c r="AA125" s="288">
        <v>0</v>
      </c>
      <c r="AB125" s="288">
        <v>0</v>
      </c>
      <c r="AC125" s="288">
        <v>0</v>
      </c>
      <c r="AD125" s="286">
        <f>SUM(Z125:AC125)</f>
        <v>0</v>
      </c>
      <c r="AE125" s="295">
        <v>0</v>
      </c>
      <c r="AF125" s="295">
        <v>0</v>
      </c>
      <c r="AG125" s="295">
        <v>0</v>
      </c>
    </row>
    <row r="126" spans="3:33" hidden="1" outlineLevel="1">
      <c r="C126" s="28" t="str">
        <f>C$91</f>
        <v>Latin America</v>
      </c>
      <c r="D126" s="23"/>
      <c r="E126" s="23"/>
      <c r="F126" s="287">
        <v>0</v>
      </c>
      <c r="G126" s="287">
        <v>0</v>
      </c>
      <c r="H126" s="287">
        <v>0</v>
      </c>
      <c r="I126" s="287">
        <v>0</v>
      </c>
      <c r="J126" s="286">
        <f>SUM(F126:I126)</f>
        <v>0</v>
      </c>
      <c r="K126" s="287">
        <v>0</v>
      </c>
      <c r="L126" s="287">
        <v>0</v>
      </c>
      <c r="M126" s="287">
        <v>0</v>
      </c>
      <c r="N126" s="287">
        <v>0</v>
      </c>
      <c r="O126" s="286">
        <f>SUM(K126:N126)</f>
        <v>0</v>
      </c>
      <c r="P126" s="287">
        <v>0</v>
      </c>
      <c r="Q126" s="287">
        <v>0</v>
      </c>
      <c r="R126" s="287">
        <v>0</v>
      </c>
      <c r="S126" s="287">
        <v>0</v>
      </c>
      <c r="T126" s="286">
        <f>SUM(P126:S126)</f>
        <v>0</v>
      </c>
      <c r="U126" s="287">
        <v>0</v>
      </c>
      <c r="V126" s="288">
        <v>0</v>
      </c>
      <c r="W126" s="288">
        <v>0</v>
      </c>
      <c r="X126" s="288">
        <v>0</v>
      </c>
      <c r="Y126" s="286">
        <f>SUM(U126:X126)</f>
        <v>0</v>
      </c>
      <c r="Z126" s="288">
        <v>0</v>
      </c>
      <c r="AA126" s="288">
        <v>0</v>
      </c>
      <c r="AB126" s="288">
        <v>0</v>
      </c>
      <c r="AC126" s="288">
        <v>0</v>
      </c>
      <c r="AD126" s="286">
        <f>SUM(Z126:AC126)</f>
        <v>0</v>
      </c>
      <c r="AE126" s="295">
        <v>0</v>
      </c>
      <c r="AF126" s="295">
        <v>0</v>
      </c>
      <c r="AG126" s="295">
        <v>0</v>
      </c>
    </row>
    <row r="127" spans="3:33" hidden="1" outlineLevel="1">
      <c r="C127" s="28" t="str">
        <f>C$92</f>
        <v>Middle East &amp; Africa</v>
      </c>
      <c r="D127" s="23"/>
      <c r="E127" s="23"/>
      <c r="F127" s="287">
        <v>0</v>
      </c>
      <c r="G127" s="287">
        <v>0</v>
      </c>
      <c r="H127" s="287">
        <v>0</v>
      </c>
      <c r="I127" s="287">
        <v>0</v>
      </c>
      <c r="J127" s="286">
        <f>SUM(F127:I127)</f>
        <v>0</v>
      </c>
      <c r="K127" s="287">
        <v>0</v>
      </c>
      <c r="L127" s="287">
        <v>0</v>
      </c>
      <c r="M127" s="287">
        <v>0</v>
      </c>
      <c r="N127" s="287">
        <v>0</v>
      </c>
      <c r="O127" s="286">
        <f>SUM(K127:N127)</f>
        <v>0</v>
      </c>
      <c r="P127" s="287">
        <v>0</v>
      </c>
      <c r="Q127" s="287">
        <v>0</v>
      </c>
      <c r="R127" s="287">
        <v>0</v>
      </c>
      <c r="S127" s="287">
        <v>0</v>
      </c>
      <c r="T127" s="286">
        <f>SUM(P127:S127)</f>
        <v>0</v>
      </c>
      <c r="U127" s="287">
        <v>0</v>
      </c>
      <c r="V127" s="288">
        <v>0</v>
      </c>
      <c r="W127" s="288">
        <v>0</v>
      </c>
      <c r="X127" s="288">
        <v>0</v>
      </c>
      <c r="Y127" s="286">
        <f>SUM(U127:X127)</f>
        <v>0</v>
      </c>
      <c r="Z127" s="288">
        <v>0</v>
      </c>
      <c r="AA127" s="288">
        <v>0</v>
      </c>
      <c r="AB127" s="288">
        <v>0</v>
      </c>
      <c r="AC127" s="288">
        <v>0</v>
      </c>
      <c r="AD127" s="286">
        <f>SUM(Z127:AC127)</f>
        <v>0</v>
      </c>
      <c r="AE127" s="295">
        <v>0</v>
      </c>
      <c r="AF127" s="295">
        <v>0</v>
      </c>
      <c r="AG127" s="295">
        <v>0</v>
      </c>
    </row>
    <row r="128" spans="3:33" hidden="1" outlineLevel="1">
      <c r="C128" s="28" t="str">
        <f>C$93</f>
        <v>Asia Pacific</v>
      </c>
      <c r="D128" s="23"/>
      <c r="E128" s="23"/>
      <c r="F128" s="287">
        <v>0</v>
      </c>
      <c r="G128" s="287">
        <v>0</v>
      </c>
      <c r="H128" s="287">
        <v>0</v>
      </c>
      <c r="I128" s="287">
        <v>0</v>
      </c>
      <c r="J128" s="286">
        <f>SUM(F128:I128)</f>
        <v>0</v>
      </c>
      <c r="K128" s="287">
        <v>0</v>
      </c>
      <c r="L128" s="287">
        <v>0</v>
      </c>
      <c r="M128" s="287">
        <v>0</v>
      </c>
      <c r="N128" s="287">
        <v>0</v>
      </c>
      <c r="O128" s="286">
        <f>SUM(K128:N128)</f>
        <v>0</v>
      </c>
      <c r="P128" s="287">
        <v>0</v>
      </c>
      <c r="Q128" s="287">
        <v>0</v>
      </c>
      <c r="R128" s="287">
        <v>0</v>
      </c>
      <c r="S128" s="287">
        <v>0</v>
      </c>
      <c r="T128" s="286">
        <f>SUM(P128:S128)</f>
        <v>0</v>
      </c>
      <c r="U128" s="287">
        <v>0</v>
      </c>
      <c r="V128" s="288">
        <v>0</v>
      </c>
      <c r="W128" s="288">
        <v>0</v>
      </c>
      <c r="X128" s="288">
        <v>0</v>
      </c>
      <c r="Y128" s="286">
        <f>SUM(U128:X128)</f>
        <v>0</v>
      </c>
      <c r="Z128" s="288">
        <v>0</v>
      </c>
      <c r="AA128" s="288">
        <v>0</v>
      </c>
      <c r="AB128" s="288">
        <v>0</v>
      </c>
      <c r="AC128" s="288">
        <v>0</v>
      </c>
      <c r="AD128" s="286">
        <f>SUM(Z128:AC128)</f>
        <v>0</v>
      </c>
      <c r="AE128" s="295">
        <v>0</v>
      </c>
      <c r="AF128" s="295">
        <v>0</v>
      </c>
      <c r="AG128" s="295">
        <v>0</v>
      </c>
    </row>
    <row r="129" spans="3:33" hidden="1" outlineLevel="1">
      <c r="C129" s="23"/>
      <c r="D129" s="23"/>
      <c r="E129" s="23"/>
      <c r="F129" s="303"/>
      <c r="G129" s="303"/>
      <c r="H129" s="303"/>
      <c r="I129" s="303"/>
      <c r="J129" s="269"/>
      <c r="K129" s="303"/>
      <c r="L129" s="303"/>
      <c r="M129" s="303"/>
      <c r="N129" s="303"/>
      <c r="O129" s="269"/>
      <c r="P129" s="303"/>
      <c r="Q129" s="303"/>
      <c r="R129" s="303"/>
      <c r="S129" s="303"/>
      <c r="T129" s="269"/>
      <c r="U129" s="303"/>
      <c r="V129" s="304"/>
      <c r="W129" s="304"/>
      <c r="X129" s="304"/>
      <c r="Y129" s="269"/>
      <c r="Z129" s="304"/>
      <c r="AA129" s="304"/>
      <c r="AB129" s="304"/>
      <c r="AC129" s="304"/>
      <c r="AD129" s="269"/>
      <c r="AE129" s="305"/>
      <c r="AF129" s="305"/>
      <c r="AG129" s="305"/>
    </row>
    <row r="130" spans="3:33" hidden="1" outlineLevel="1">
      <c r="C130" s="23" t="str">
        <f>'Segment Analysis'!C12</f>
        <v>Segment 5 Revenue</v>
      </c>
      <c r="D130" s="23"/>
      <c r="E130" s="23"/>
      <c r="F130" s="303"/>
      <c r="G130" s="303"/>
      <c r="H130" s="303"/>
      <c r="I130" s="303"/>
      <c r="J130" s="269"/>
      <c r="K130" s="303"/>
      <c r="L130" s="303"/>
      <c r="M130" s="303"/>
      <c r="N130" s="303"/>
      <c r="O130" s="269"/>
      <c r="P130" s="303"/>
      <c r="Q130" s="303"/>
      <c r="R130" s="303"/>
      <c r="S130" s="303"/>
      <c r="T130" s="269"/>
      <c r="U130" s="303"/>
      <c r="V130" s="304"/>
      <c r="W130" s="304"/>
      <c r="X130" s="304"/>
      <c r="Y130" s="269"/>
      <c r="Z130" s="304"/>
      <c r="AA130" s="304"/>
      <c r="AB130" s="304"/>
      <c r="AC130" s="304"/>
      <c r="AD130" s="269"/>
      <c r="AE130" s="305"/>
      <c r="AF130" s="305"/>
      <c r="AG130" s="305"/>
    </row>
    <row r="131" spans="3:33" hidden="1" outlineLevel="1">
      <c r="C131" s="28" t="str">
        <f>C$89</f>
        <v xml:space="preserve">United States </v>
      </c>
      <c r="D131" s="23"/>
      <c r="E131" s="23"/>
      <c r="F131" s="287">
        <v>0</v>
      </c>
      <c r="G131" s="287">
        <v>0</v>
      </c>
      <c r="H131" s="287">
        <v>0</v>
      </c>
      <c r="I131" s="287">
        <v>0</v>
      </c>
      <c r="J131" s="286">
        <f>SUM(F131:I131)</f>
        <v>0</v>
      </c>
      <c r="K131" s="287">
        <v>0</v>
      </c>
      <c r="L131" s="287">
        <v>0</v>
      </c>
      <c r="M131" s="287">
        <v>0</v>
      </c>
      <c r="N131" s="287">
        <v>0</v>
      </c>
      <c r="O131" s="286">
        <f>SUM(K131:N131)</f>
        <v>0</v>
      </c>
      <c r="P131" s="287">
        <v>0</v>
      </c>
      <c r="Q131" s="287">
        <v>0</v>
      </c>
      <c r="R131" s="287">
        <v>0</v>
      </c>
      <c r="S131" s="287">
        <v>0</v>
      </c>
      <c r="T131" s="286">
        <f>SUM(P131:S131)</f>
        <v>0</v>
      </c>
      <c r="U131" s="287">
        <v>0</v>
      </c>
      <c r="V131" s="288">
        <v>0</v>
      </c>
      <c r="W131" s="288">
        <v>0</v>
      </c>
      <c r="X131" s="288">
        <v>0</v>
      </c>
      <c r="Y131" s="286">
        <f>SUM(U131:X131)</f>
        <v>0</v>
      </c>
      <c r="Z131" s="288">
        <v>0</v>
      </c>
      <c r="AA131" s="288">
        <v>0</v>
      </c>
      <c r="AB131" s="288">
        <v>0</v>
      </c>
      <c r="AC131" s="288">
        <v>0</v>
      </c>
      <c r="AD131" s="286">
        <f>SUM(Z131:AC131)</f>
        <v>0</v>
      </c>
      <c r="AE131" s="295">
        <v>0</v>
      </c>
      <c r="AF131" s="295">
        <v>0</v>
      </c>
      <c r="AG131" s="295">
        <v>0</v>
      </c>
    </row>
    <row r="132" spans="3:33" hidden="1" outlineLevel="1">
      <c r="C132" s="28" t="str">
        <f>C$90</f>
        <v xml:space="preserve">Europe and Other </v>
      </c>
      <c r="D132" s="23"/>
      <c r="E132" s="23"/>
      <c r="F132" s="287">
        <v>0</v>
      </c>
      <c r="G132" s="287">
        <v>0</v>
      </c>
      <c r="H132" s="287">
        <v>0</v>
      </c>
      <c r="I132" s="287">
        <v>0</v>
      </c>
      <c r="J132" s="286">
        <f>SUM(F132:I132)</f>
        <v>0</v>
      </c>
      <c r="K132" s="287">
        <v>0</v>
      </c>
      <c r="L132" s="287">
        <v>0</v>
      </c>
      <c r="M132" s="287">
        <v>0</v>
      </c>
      <c r="N132" s="287">
        <v>0</v>
      </c>
      <c r="O132" s="286">
        <f>SUM(K132:N132)</f>
        <v>0</v>
      </c>
      <c r="P132" s="287">
        <v>0</v>
      </c>
      <c r="Q132" s="287">
        <v>0</v>
      </c>
      <c r="R132" s="287">
        <v>0</v>
      </c>
      <c r="S132" s="287">
        <v>0</v>
      </c>
      <c r="T132" s="286">
        <f>SUM(P132:S132)</f>
        <v>0</v>
      </c>
      <c r="U132" s="287">
        <v>0</v>
      </c>
      <c r="V132" s="288">
        <v>0</v>
      </c>
      <c r="W132" s="288">
        <v>0</v>
      </c>
      <c r="X132" s="288">
        <v>0</v>
      </c>
      <c r="Y132" s="286">
        <f>SUM(U132:X132)</f>
        <v>0</v>
      </c>
      <c r="Z132" s="288">
        <v>0</v>
      </c>
      <c r="AA132" s="288">
        <v>0</v>
      </c>
      <c r="AB132" s="288">
        <v>0</v>
      </c>
      <c r="AC132" s="288">
        <v>0</v>
      </c>
      <c r="AD132" s="286">
        <f>SUM(Z132:AC132)</f>
        <v>0</v>
      </c>
      <c r="AE132" s="295">
        <v>0</v>
      </c>
      <c r="AF132" s="295">
        <v>0</v>
      </c>
      <c r="AG132" s="295">
        <v>0</v>
      </c>
    </row>
    <row r="133" spans="3:33" hidden="1" outlineLevel="1">
      <c r="C133" s="28" t="str">
        <f>C$91</f>
        <v>Latin America</v>
      </c>
      <c r="D133" s="23"/>
      <c r="E133" s="23"/>
      <c r="F133" s="287">
        <v>0</v>
      </c>
      <c r="G133" s="287">
        <v>0</v>
      </c>
      <c r="H133" s="287">
        <v>0</v>
      </c>
      <c r="I133" s="287">
        <v>0</v>
      </c>
      <c r="J133" s="286">
        <f>SUM(F133:I133)</f>
        <v>0</v>
      </c>
      <c r="K133" s="287">
        <v>0</v>
      </c>
      <c r="L133" s="287">
        <v>0</v>
      </c>
      <c r="M133" s="287">
        <v>0</v>
      </c>
      <c r="N133" s="287">
        <v>0</v>
      </c>
      <c r="O133" s="286">
        <f>SUM(K133:N133)</f>
        <v>0</v>
      </c>
      <c r="P133" s="287">
        <v>0</v>
      </c>
      <c r="Q133" s="287">
        <v>0</v>
      </c>
      <c r="R133" s="287">
        <v>0</v>
      </c>
      <c r="S133" s="287">
        <v>0</v>
      </c>
      <c r="T133" s="286">
        <f>SUM(P133:S133)</f>
        <v>0</v>
      </c>
      <c r="U133" s="287">
        <v>0</v>
      </c>
      <c r="V133" s="288">
        <v>0</v>
      </c>
      <c r="W133" s="288">
        <v>0</v>
      </c>
      <c r="X133" s="288">
        <v>0</v>
      </c>
      <c r="Y133" s="286">
        <f>SUM(U133:X133)</f>
        <v>0</v>
      </c>
      <c r="Z133" s="288">
        <v>0</v>
      </c>
      <c r="AA133" s="288">
        <v>0</v>
      </c>
      <c r="AB133" s="288">
        <v>0</v>
      </c>
      <c r="AC133" s="288">
        <v>0</v>
      </c>
      <c r="AD133" s="286">
        <f>SUM(Z133:AC133)</f>
        <v>0</v>
      </c>
      <c r="AE133" s="295">
        <v>0</v>
      </c>
      <c r="AF133" s="295">
        <v>0</v>
      </c>
      <c r="AG133" s="295">
        <v>0</v>
      </c>
    </row>
    <row r="134" spans="3:33" hidden="1" outlineLevel="1">
      <c r="C134" s="28" t="str">
        <f>C$92</f>
        <v>Middle East &amp; Africa</v>
      </c>
      <c r="D134" s="23"/>
      <c r="E134" s="23"/>
      <c r="F134" s="287">
        <v>0</v>
      </c>
      <c r="G134" s="287">
        <v>0</v>
      </c>
      <c r="H134" s="287">
        <v>0</v>
      </c>
      <c r="I134" s="287">
        <v>0</v>
      </c>
      <c r="J134" s="286">
        <f>SUM(F134:I134)</f>
        <v>0</v>
      </c>
      <c r="K134" s="287">
        <v>0</v>
      </c>
      <c r="L134" s="287">
        <v>0</v>
      </c>
      <c r="M134" s="287">
        <v>0</v>
      </c>
      <c r="N134" s="287">
        <v>0</v>
      </c>
      <c r="O134" s="286">
        <f>SUM(K134:N134)</f>
        <v>0</v>
      </c>
      <c r="P134" s="287">
        <v>0</v>
      </c>
      <c r="Q134" s="287">
        <v>0</v>
      </c>
      <c r="R134" s="287">
        <v>0</v>
      </c>
      <c r="S134" s="287">
        <v>0</v>
      </c>
      <c r="T134" s="286">
        <f>SUM(P134:S134)</f>
        <v>0</v>
      </c>
      <c r="U134" s="287">
        <v>0</v>
      </c>
      <c r="V134" s="288">
        <v>0</v>
      </c>
      <c r="W134" s="288">
        <v>0</v>
      </c>
      <c r="X134" s="288">
        <v>0</v>
      </c>
      <c r="Y134" s="286">
        <f>SUM(U134:X134)</f>
        <v>0</v>
      </c>
      <c r="Z134" s="288">
        <v>0</v>
      </c>
      <c r="AA134" s="288">
        <v>0</v>
      </c>
      <c r="AB134" s="288">
        <v>0</v>
      </c>
      <c r="AC134" s="288">
        <v>0</v>
      </c>
      <c r="AD134" s="286">
        <f>SUM(Z134:AC134)</f>
        <v>0</v>
      </c>
      <c r="AE134" s="295">
        <v>0</v>
      </c>
      <c r="AF134" s="295">
        <v>0</v>
      </c>
      <c r="AG134" s="295">
        <v>0</v>
      </c>
    </row>
    <row r="135" spans="3:33" hidden="1" outlineLevel="1">
      <c r="C135" s="28" t="str">
        <f>C$93</f>
        <v>Asia Pacific</v>
      </c>
      <c r="D135" s="23"/>
      <c r="E135" s="23"/>
      <c r="F135" s="287">
        <v>0</v>
      </c>
      <c r="G135" s="287">
        <v>0</v>
      </c>
      <c r="H135" s="287">
        <v>0</v>
      </c>
      <c r="I135" s="287">
        <v>0</v>
      </c>
      <c r="J135" s="286">
        <f>SUM(F135:I135)</f>
        <v>0</v>
      </c>
      <c r="K135" s="287">
        <v>0</v>
      </c>
      <c r="L135" s="287">
        <v>0</v>
      </c>
      <c r="M135" s="287">
        <v>0</v>
      </c>
      <c r="N135" s="287">
        <v>0</v>
      </c>
      <c r="O135" s="286">
        <f>SUM(K135:N135)</f>
        <v>0</v>
      </c>
      <c r="P135" s="287">
        <v>0</v>
      </c>
      <c r="Q135" s="287">
        <v>0</v>
      </c>
      <c r="R135" s="287">
        <v>0</v>
      </c>
      <c r="S135" s="287">
        <v>0</v>
      </c>
      <c r="T135" s="286">
        <f>SUM(P135:S135)</f>
        <v>0</v>
      </c>
      <c r="U135" s="287">
        <v>0</v>
      </c>
      <c r="V135" s="288">
        <v>0</v>
      </c>
      <c r="W135" s="288">
        <v>0</v>
      </c>
      <c r="X135" s="288">
        <v>0</v>
      </c>
      <c r="Y135" s="286">
        <f>SUM(U135:X135)</f>
        <v>0</v>
      </c>
      <c r="Z135" s="288">
        <v>0</v>
      </c>
      <c r="AA135" s="288">
        <v>0</v>
      </c>
      <c r="AB135" s="288">
        <v>0</v>
      </c>
      <c r="AC135" s="288">
        <v>0</v>
      </c>
      <c r="AD135" s="286">
        <f>SUM(Z135:AC135)</f>
        <v>0</v>
      </c>
      <c r="AE135" s="295">
        <v>0</v>
      </c>
      <c r="AF135" s="295">
        <v>0</v>
      </c>
      <c r="AG135" s="295">
        <v>0</v>
      </c>
    </row>
    <row r="136" spans="3:33" hidden="1" outlineLevel="1">
      <c r="C136" s="23"/>
      <c r="D136" s="23"/>
      <c r="E136" s="23"/>
      <c r="F136" s="303"/>
      <c r="G136" s="303"/>
      <c r="H136" s="303"/>
      <c r="I136" s="303"/>
      <c r="J136" s="269"/>
      <c r="K136" s="303"/>
      <c r="L136" s="303"/>
      <c r="M136" s="303"/>
      <c r="N136" s="303"/>
      <c r="O136" s="269"/>
      <c r="P136" s="303"/>
      <c r="Q136" s="303"/>
      <c r="R136" s="303"/>
      <c r="S136" s="303"/>
      <c r="T136" s="269"/>
      <c r="U136" s="303"/>
      <c r="V136" s="304"/>
      <c r="W136" s="304"/>
      <c r="X136" s="304"/>
      <c r="Y136" s="269"/>
      <c r="Z136" s="304"/>
      <c r="AA136" s="304"/>
      <c r="AB136" s="304"/>
      <c r="AC136" s="304"/>
      <c r="AD136" s="269"/>
      <c r="AE136" s="305"/>
      <c r="AF136" s="305"/>
      <c r="AG136" s="305"/>
    </row>
    <row r="137" spans="3:33" hidden="1" outlineLevel="1">
      <c r="C137" s="23" t="str">
        <f>'Segment Analysis'!C13</f>
        <v>Segment 6 Revenue</v>
      </c>
      <c r="D137" s="23"/>
      <c r="E137" s="23"/>
      <c r="F137" s="303"/>
      <c r="G137" s="303"/>
      <c r="H137" s="303"/>
      <c r="I137" s="303"/>
      <c r="J137" s="269"/>
      <c r="K137" s="303"/>
      <c r="L137" s="303"/>
      <c r="M137" s="303"/>
      <c r="N137" s="303"/>
      <c r="O137" s="269"/>
      <c r="P137" s="303"/>
      <c r="Q137" s="303"/>
      <c r="R137" s="303"/>
      <c r="S137" s="303"/>
      <c r="T137" s="269"/>
      <c r="U137" s="303"/>
      <c r="V137" s="304"/>
      <c r="W137" s="304"/>
      <c r="X137" s="304"/>
      <c r="Y137" s="269"/>
      <c r="Z137" s="304"/>
      <c r="AA137" s="304"/>
      <c r="AB137" s="304"/>
      <c r="AC137" s="304"/>
      <c r="AD137" s="269"/>
      <c r="AE137" s="305"/>
      <c r="AF137" s="305"/>
      <c r="AG137" s="305"/>
    </row>
    <row r="138" spans="3:33" hidden="1" outlineLevel="1">
      <c r="C138" s="28" t="str">
        <f>C$89</f>
        <v xml:space="preserve">United States </v>
      </c>
      <c r="D138" s="23"/>
      <c r="E138" s="23"/>
      <c r="F138" s="287">
        <v>0</v>
      </c>
      <c r="G138" s="287">
        <v>0</v>
      </c>
      <c r="H138" s="287">
        <v>0</v>
      </c>
      <c r="I138" s="287">
        <v>0</v>
      </c>
      <c r="J138" s="286">
        <f>SUM(F138:I138)</f>
        <v>0</v>
      </c>
      <c r="K138" s="287">
        <v>0</v>
      </c>
      <c r="L138" s="287">
        <v>0</v>
      </c>
      <c r="M138" s="287">
        <v>0</v>
      </c>
      <c r="N138" s="287">
        <v>0</v>
      </c>
      <c r="O138" s="286">
        <f>SUM(K138:N138)</f>
        <v>0</v>
      </c>
      <c r="P138" s="287">
        <v>0</v>
      </c>
      <c r="Q138" s="287">
        <v>0</v>
      </c>
      <c r="R138" s="287">
        <v>0</v>
      </c>
      <c r="S138" s="287">
        <v>0</v>
      </c>
      <c r="T138" s="286">
        <f>SUM(P138:S138)</f>
        <v>0</v>
      </c>
      <c r="U138" s="287">
        <v>0</v>
      </c>
      <c r="V138" s="288">
        <v>0</v>
      </c>
      <c r="W138" s="288">
        <v>0</v>
      </c>
      <c r="X138" s="288">
        <v>0</v>
      </c>
      <c r="Y138" s="286">
        <f>SUM(U138:X138)</f>
        <v>0</v>
      </c>
      <c r="Z138" s="288">
        <v>0</v>
      </c>
      <c r="AA138" s="288">
        <v>0</v>
      </c>
      <c r="AB138" s="288">
        <v>0</v>
      </c>
      <c r="AC138" s="288">
        <v>0</v>
      </c>
      <c r="AD138" s="286">
        <f>SUM(Z138:AC138)</f>
        <v>0</v>
      </c>
      <c r="AE138" s="295">
        <v>0</v>
      </c>
      <c r="AF138" s="295">
        <v>0</v>
      </c>
      <c r="AG138" s="295">
        <v>0</v>
      </c>
    </row>
    <row r="139" spans="3:33" hidden="1" outlineLevel="1">
      <c r="C139" s="28" t="str">
        <f>C$90</f>
        <v xml:space="preserve">Europe and Other </v>
      </c>
      <c r="D139" s="23"/>
      <c r="E139" s="23"/>
      <c r="F139" s="287">
        <v>0</v>
      </c>
      <c r="G139" s="287">
        <v>0</v>
      </c>
      <c r="H139" s="287">
        <v>0</v>
      </c>
      <c r="I139" s="287">
        <v>0</v>
      </c>
      <c r="J139" s="286">
        <f>SUM(F139:I139)</f>
        <v>0</v>
      </c>
      <c r="K139" s="287">
        <v>0</v>
      </c>
      <c r="L139" s="287">
        <v>0</v>
      </c>
      <c r="M139" s="287">
        <v>0</v>
      </c>
      <c r="N139" s="287">
        <v>0</v>
      </c>
      <c r="O139" s="286">
        <f>SUM(K139:N139)</f>
        <v>0</v>
      </c>
      <c r="P139" s="287">
        <v>0</v>
      </c>
      <c r="Q139" s="287">
        <v>0</v>
      </c>
      <c r="R139" s="287">
        <v>0</v>
      </c>
      <c r="S139" s="287">
        <v>0</v>
      </c>
      <c r="T139" s="286">
        <f>SUM(P139:S139)</f>
        <v>0</v>
      </c>
      <c r="U139" s="287">
        <v>0</v>
      </c>
      <c r="V139" s="288">
        <v>0</v>
      </c>
      <c r="W139" s="288">
        <v>0</v>
      </c>
      <c r="X139" s="288">
        <v>0</v>
      </c>
      <c r="Y139" s="286">
        <f>SUM(U139:X139)</f>
        <v>0</v>
      </c>
      <c r="Z139" s="288">
        <v>0</v>
      </c>
      <c r="AA139" s="288">
        <v>0</v>
      </c>
      <c r="AB139" s="288">
        <v>0</v>
      </c>
      <c r="AC139" s="288">
        <v>0</v>
      </c>
      <c r="AD139" s="286">
        <f>SUM(Z139:AC139)</f>
        <v>0</v>
      </c>
      <c r="AE139" s="295">
        <v>0</v>
      </c>
      <c r="AF139" s="295">
        <v>0</v>
      </c>
      <c r="AG139" s="295">
        <v>0</v>
      </c>
    </row>
    <row r="140" spans="3:33" hidden="1" outlineLevel="1">
      <c r="C140" s="28" t="str">
        <f>C$91</f>
        <v>Latin America</v>
      </c>
      <c r="D140" s="23"/>
      <c r="E140" s="23"/>
      <c r="F140" s="287">
        <v>0</v>
      </c>
      <c r="G140" s="287">
        <v>0</v>
      </c>
      <c r="H140" s="287">
        <v>0</v>
      </c>
      <c r="I140" s="287">
        <v>0</v>
      </c>
      <c r="J140" s="286">
        <f>SUM(F140:I140)</f>
        <v>0</v>
      </c>
      <c r="K140" s="287">
        <v>0</v>
      </c>
      <c r="L140" s="287">
        <v>0</v>
      </c>
      <c r="M140" s="287">
        <v>0</v>
      </c>
      <c r="N140" s="287">
        <v>0</v>
      </c>
      <c r="O140" s="286">
        <f>SUM(K140:N140)</f>
        <v>0</v>
      </c>
      <c r="P140" s="287">
        <v>0</v>
      </c>
      <c r="Q140" s="287">
        <v>0</v>
      </c>
      <c r="R140" s="287">
        <v>0</v>
      </c>
      <c r="S140" s="287">
        <v>0</v>
      </c>
      <c r="T140" s="286">
        <f>SUM(P140:S140)</f>
        <v>0</v>
      </c>
      <c r="U140" s="287">
        <v>0</v>
      </c>
      <c r="V140" s="288">
        <v>0</v>
      </c>
      <c r="W140" s="288">
        <v>0</v>
      </c>
      <c r="X140" s="288">
        <v>0</v>
      </c>
      <c r="Y140" s="286">
        <f>SUM(U140:X140)</f>
        <v>0</v>
      </c>
      <c r="Z140" s="288">
        <v>0</v>
      </c>
      <c r="AA140" s="288">
        <v>0</v>
      </c>
      <c r="AB140" s="288">
        <v>0</v>
      </c>
      <c r="AC140" s="288">
        <v>0</v>
      </c>
      <c r="AD140" s="286">
        <f>SUM(Z140:AC140)</f>
        <v>0</v>
      </c>
      <c r="AE140" s="295">
        <v>0</v>
      </c>
      <c r="AF140" s="295">
        <v>0</v>
      </c>
      <c r="AG140" s="295">
        <v>0</v>
      </c>
    </row>
    <row r="141" spans="3:33" hidden="1" outlineLevel="1">
      <c r="C141" s="28" t="str">
        <f>C$92</f>
        <v>Middle East &amp; Africa</v>
      </c>
      <c r="D141" s="23"/>
      <c r="E141" s="23"/>
      <c r="F141" s="287">
        <v>0</v>
      </c>
      <c r="G141" s="287">
        <v>0</v>
      </c>
      <c r="H141" s="287">
        <v>0</v>
      </c>
      <c r="I141" s="287">
        <v>0</v>
      </c>
      <c r="J141" s="286">
        <f>SUM(F141:I141)</f>
        <v>0</v>
      </c>
      <c r="K141" s="287">
        <v>0</v>
      </c>
      <c r="L141" s="287">
        <v>0</v>
      </c>
      <c r="M141" s="287">
        <v>0</v>
      </c>
      <c r="N141" s="287">
        <v>0</v>
      </c>
      <c r="O141" s="286">
        <f>SUM(K141:N141)</f>
        <v>0</v>
      </c>
      <c r="P141" s="287">
        <v>0</v>
      </c>
      <c r="Q141" s="287">
        <v>0</v>
      </c>
      <c r="R141" s="287">
        <v>0</v>
      </c>
      <c r="S141" s="287">
        <v>0</v>
      </c>
      <c r="T141" s="286">
        <f>SUM(P141:S141)</f>
        <v>0</v>
      </c>
      <c r="U141" s="287">
        <v>0</v>
      </c>
      <c r="V141" s="288">
        <v>0</v>
      </c>
      <c r="W141" s="288">
        <v>0</v>
      </c>
      <c r="X141" s="288">
        <v>0</v>
      </c>
      <c r="Y141" s="286">
        <f>SUM(U141:X141)</f>
        <v>0</v>
      </c>
      <c r="Z141" s="288">
        <v>0</v>
      </c>
      <c r="AA141" s="288">
        <v>0</v>
      </c>
      <c r="AB141" s="288">
        <v>0</v>
      </c>
      <c r="AC141" s="288">
        <v>0</v>
      </c>
      <c r="AD141" s="286">
        <f>SUM(Z141:AC141)</f>
        <v>0</v>
      </c>
      <c r="AE141" s="295">
        <v>0</v>
      </c>
      <c r="AF141" s="295">
        <v>0</v>
      </c>
      <c r="AG141" s="295">
        <v>0</v>
      </c>
    </row>
    <row r="142" spans="3:33" hidden="1" outlineLevel="1">
      <c r="C142" s="28" t="str">
        <f>C$93</f>
        <v>Asia Pacific</v>
      </c>
      <c r="D142" s="23"/>
      <c r="E142" s="23"/>
      <c r="F142" s="287">
        <v>0</v>
      </c>
      <c r="G142" s="287">
        <v>0</v>
      </c>
      <c r="H142" s="287">
        <v>0</v>
      </c>
      <c r="I142" s="287">
        <v>0</v>
      </c>
      <c r="J142" s="286">
        <f>SUM(F142:I142)</f>
        <v>0</v>
      </c>
      <c r="K142" s="287">
        <v>0</v>
      </c>
      <c r="L142" s="287">
        <v>0</v>
      </c>
      <c r="M142" s="287">
        <v>0</v>
      </c>
      <c r="N142" s="287">
        <v>0</v>
      </c>
      <c r="O142" s="286">
        <f>SUM(K142:N142)</f>
        <v>0</v>
      </c>
      <c r="P142" s="287">
        <v>0</v>
      </c>
      <c r="Q142" s="287">
        <v>0</v>
      </c>
      <c r="R142" s="287">
        <v>0</v>
      </c>
      <c r="S142" s="287">
        <v>0</v>
      </c>
      <c r="T142" s="286">
        <f>SUM(P142:S142)</f>
        <v>0</v>
      </c>
      <c r="U142" s="287">
        <v>0</v>
      </c>
      <c r="V142" s="288">
        <v>0</v>
      </c>
      <c r="W142" s="288">
        <v>0</v>
      </c>
      <c r="X142" s="288">
        <v>0</v>
      </c>
      <c r="Y142" s="286">
        <f>SUM(U142:X142)</f>
        <v>0</v>
      </c>
      <c r="Z142" s="288">
        <v>0</v>
      </c>
      <c r="AA142" s="288">
        <v>0</v>
      </c>
      <c r="AB142" s="288">
        <v>0</v>
      </c>
      <c r="AC142" s="288">
        <v>0</v>
      </c>
      <c r="AD142" s="286">
        <f>SUM(Z142:AC142)</f>
        <v>0</v>
      </c>
      <c r="AE142" s="295">
        <v>0</v>
      </c>
      <c r="AF142" s="295">
        <v>0</v>
      </c>
      <c r="AG142" s="295">
        <v>0</v>
      </c>
    </row>
    <row r="143" spans="3:33" collapsed="1">
      <c r="C143" s="23"/>
      <c r="D143" s="23"/>
      <c r="E143" s="23"/>
      <c r="F143" s="303"/>
      <c r="G143" s="303"/>
      <c r="H143" s="303"/>
      <c r="I143" s="303"/>
      <c r="J143" s="269"/>
      <c r="K143" s="303"/>
      <c r="L143" s="303"/>
      <c r="M143" s="303"/>
      <c r="N143" s="303"/>
      <c r="O143" s="269"/>
      <c r="P143" s="303"/>
      <c r="Q143" s="303"/>
      <c r="R143" s="303"/>
      <c r="S143" s="303"/>
      <c r="T143" s="269"/>
      <c r="U143" s="303"/>
      <c r="V143" s="304"/>
      <c r="W143" s="304"/>
      <c r="X143" s="304"/>
      <c r="Y143" s="269"/>
      <c r="Z143" s="304"/>
      <c r="AA143" s="304"/>
      <c r="AB143" s="304"/>
      <c r="AC143" s="304"/>
      <c r="AD143" s="269"/>
      <c r="AE143" s="305"/>
      <c r="AF143" s="305"/>
      <c r="AG143" s="305"/>
    </row>
    <row r="144" spans="3:33">
      <c r="C144" s="568" t="s">
        <v>64</v>
      </c>
      <c r="D144" s="409"/>
      <c r="E144" s="409"/>
      <c r="F144" s="730"/>
      <c r="G144" s="730"/>
      <c r="H144" s="730"/>
      <c r="I144" s="730"/>
      <c r="J144" s="730"/>
      <c r="K144" s="730"/>
      <c r="L144" s="730"/>
      <c r="M144" s="730"/>
      <c r="N144" s="730"/>
      <c r="O144" s="730"/>
      <c r="P144" s="730"/>
      <c r="Q144" s="730"/>
      <c r="R144" s="730"/>
      <c r="S144" s="730"/>
      <c r="T144" s="730"/>
      <c r="U144" s="730"/>
      <c r="V144" s="730"/>
      <c r="W144" s="730"/>
      <c r="X144" s="730"/>
      <c r="Y144" s="730"/>
      <c r="Z144" s="730"/>
      <c r="AA144" s="730"/>
      <c r="AB144" s="730"/>
      <c r="AC144" s="730"/>
      <c r="AD144" s="730"/>
      <c r="AE144" s="730"/>
      <c r="AF144" s="730"/>
      <c r="AG144" s="731"/>
    </row>
    <row r="145" spans="3:33">
      <c r="C145" s="23"/>
      <c r="D145" s="23"/>
      <c r="E145" s="23"/>
      <c r="F145" s="268"/>
      <c r="G145" s="268"/>
      <c r="H145" s="268"/>
      <c r="I145" s="268"/>
      <c r="J145" s="269"/>
      <c r="K145" s="268"/>
      <c r="L145" s="268"/>
      <c r="M145" s="268"/>
      <c r="N145" s="268"/>
      <c r="O145" s="269"/>
      <c r="P145" s="268"/>
      <c r="Q145" s="268"/>
      <c r="R145" s="268"/>
      <c r="S145" s="268"/>
      <c r="T145" s="269"/>
      <c r="U145" s="268"/>
      <c r="V145" s="272"/>
      <c r="W145" s="272"/>
      <c r="X145" s="272"/>
      <c r="Y145" s="269"/>
      <c r="Z145" s="272"/>
      <c r="AA145" s="272"/>
      <c r="AB145" s="272"/>
      <c r="AC145" s="272"/>
      <c r="AD145" s="269"/>
      <c r="AE145" s="269"/>
      <c r="AF145" s="269"/>
      <c r="AG145" s="269"/>
    </row>
    <row r="146" spans="3:33" hidden="1" outlineLevel="1">
      <c r="C146" s="23" t="s">
        <v>357</v>
      </c>
      <c r="D146" s="23"/>
      <c r="E146" s="23"/>
      <c r="F146" s="292">
        <f>IFERROR(Model!F62/Model!F28,"N/A")</f>
        <v>0.20413871604715486</v>
      </c>
      <c r="G146" s="292">
        <f>IFERROR(Model!G62/Model!G28,"N/A")</f>
        <v>0.13472795869737889</v>
      </c>
      <c r="H146" s="292">
        <f>IFERROR(Model!H62/Model!H28,"N/A")</f>
        <v>0.15121412803532008</v>
      </c>
      <c r="I146" s="292">
        <f>IFERROR(Model!I62/Model!I28,"N/A")</f>
        <v>0.16216823027393992</v>
      </c>
      <c r="J146" s="293">
        <f>IFERROR(Model!J62/Model!J28,"N/A")</f>
        <v>0.16383738095998387</v>
      </c>
      <c r="K146" s="292">
        <f>IFERROR(Model!K62/Model!K28,"N/A")</f>
        <v>0.16171028182761457</v>
      </c>
      <c r="L146" s="292">
        <f>IFERROR(Model!L62/Model!L28,"N/A")</f>
        <v>0.17142885985696835</v>
      </c>
      <c r="M146" s="292">
        <f ca="1">IFERROR(Model!M62/Model!M28,"N/A")</f>
        <v>0.1788778743804339</v>
      </c>
      <c r="N146" s="292">
        <f>IFERROR(Model!N62/Model!N28,"N/A")</f>
        <v>0.22724381715627473</v>
      </c>
      <c r="O146" s="293">
        <f ca="1">IFERROR(Model!O62/Model!O28,"N/A")</f>
        <v>0.18961333430784874</v>
      </c>
      <c r="P146" s="292" t="str">
        <f>IFERROR([14]Model!P62/[14]Model!P28,"N/A")</f>
        <v>N/A</v>
      </c>
      <c r="Q146" s="292" t="str">
        <f>IFERROR([14]Model!Q62/[14]Model!Q28,"N/A")</f>
        <v>N/A</v>
      </c>
      <c r="R146" s="292">
        <f>IFERROR(Model!R62/Model!R28,"N/A")</f>
        <v>0.22100700386426692</v>
      </c>
      <c r="S146" s="292">
        <f>IFERROR(Model!S62/Model!S28,"N/A")</f>
        <v>0.25688651285862757</v>
      </c>
      <c r="T146" s="293">
        <f>IFERROR(Model!T62/Model!T28,"N/A")</f>
        <v>0.21823316196247297</v>
      </c>
      <c r="U146" s="292" t="str">
        <f>IFERROR([14]Model!U62/[14]Model!U28,"N/A")</f>
        <v>N/A</v>
      </c>
      <c r="V146" s="294">
        <f>IFERROR(Model!V62/Model!V28,"N/A")</f>
        <v>0.21000000000000002</v>
      </c>
      <c r="W146" s="294">
        <f>IFERROR(Model!W62/Model!W28,"N/A")</f>
        <v>0.22050000000000003</v>
      </c>
      <c r="X146" s="294">
        <f>IFERROR(Model!X62/Model!X28,"N/A")</f>
        <v>0.24550000000000002</v>
      </c>
      <c r="Y146" s="293">
        <f>IFERROR(Model!Y62/Model!Y28,"N/A")</f>
        <v>0.23229448827676821</v>
      </c>
      <c r="Z146" s="294">
        <f ca="1">IFERROR(Model!Z62/Model!Z28,"N/A")</f>
        <v>0.20494872414991602</v>
      </c>
      <c r="AA146" s="294">
        <f ca="1">IFERROR(Model!AA62/Model!AA28,"N/A")</f>
        <v>0.21551143022591532</v>
      </c>
      <c r="AB146" s="294">
        <f ca="1">IFERROR(Model!AB62/Model!AB28,"N/A")</f>
        <v>0.22855827845998819</v>
      </c>
      <c r="AC146" s="294">
        <f ca="1">IFERROR(Model!AC62/Model!AC28,"N/A")</f>
        <v>0.24960681215573505</v>
      </c>
      <c r="AD146" s="293">
        <f ca="1">IFERROR(Model!AD62/Model!AD28,"N/A")</f>
        <v>0.22747707416430354</v>
      </c>
      <c r="AE146" s="293">
        <f ca="1">IFERROR(Model!AE62/Model!AE28,"N/A")</f>
        <v>0.23018625260453726</v>
      </c>
      <c r="AF146" s="293">
        <f ca="1">IFERROR(Model!AF62/Model!AF28,"N/A")</f>
        <v>0.2150822713146491</v>
      </c>
      <c r="AG146" s="293">
        <f ca="1">IFERROR(Model!AG62/Model!AG28,"N/A")</f>
        <v>0.27981607532926883</v>
      </c>
    </row>
    <row r="147" spans="3:33" hidden="1" outlineLevel="1">
      <c r="C147" s="23" t="str">
        <f t="shared" ref="C147:C152" si="171">C16</f>
        <v>Investment Banking &amp; Equities</v>
      </c>
      <c r="D147" s="23"/>
      <c r="E147" s="23"/>
      <c r="F147" s="292"/>
      <c r="G147" s="292"/>
      <c r="H147" s="292"/>
      <c r="I147" s="292"/>
      <c r="J147" s="293"/>
      <c r="K147" s="292"/>
      <c r="L147" s="292"/>
      <c r="M147" s="292"/>
      <c r="N147" s="292"/>
      <c r="O147" s="293"/>
      <c r="P147" s="292"/>
      <c r="Q147" s="292"/>
      <c r="R147" s="292"/>
      <c r="S147" s="292"/>
      <c r="T147" s="293"/>
      <c r="U147" s="292"/>
      <c r="V147" s="294"/>
      <c r="W147" s="294"/>
      <c r="X147" s="294"/>
      <c r="Y147" s="293"/>
      <c r="Z147" s="294"/>
      <c r="AA147" s="294"/>
      <c r="AB147" s="294"/>
      <c r="AC147" s="294"/>
      <c r="AD147" s="293"/>
      <c r="AE147" s="293"/>
      <c r="AF147" s="293"/>
      <c r="AG147" s="293"/>
    </row>
    <row r="148" spans="3:33" hidden="1" outlineLevel="1">
      <c r="C148" s="23" t="str">
        <f t="shared" si="171"/>
        <v>Investment Management</v>
      </c>
      <c r="D148" s="23"/>
      <c r="E148" s="23"/>
      <c r="F148" s="292"/>
      <c r="G148" s="292"/>
      <c r="H148" s="292"/>
      <c r="I148" s="292"/>
      <c r="J148" s="293"/>
      <c r="K148" s="292"/>
      <c r="L148" s="292"/>
      <c r="M148" s="292"/>
      <c r="N148" s="292"/>
      <c r="O148" s="293"/>
      <c r="P148" s="292"/>
      <c r="Q148" s="292"/>
      <c r="R148" s="292"/>
      <c r="S148" s="292"/>
      <c r="T148" s="293"/>
      <c r="U148" s="292"/>
      <c r="V148" s="294"/>
      <c r="W148" s="294"/>
      <c r="X148" s="294"/>
      <c r="Y148" s="293"/>
      <c r="Z148" s="294"/>
      <c r="AA148" s="294"/>
      <c r="AB148" s="294"/>
      <c r="AC148" s="294"/>
      <c r="AD148" s="293"/>
      <c r="AE148" s="293"/>
      <c r="AF148" s="293"/>
      <c r="AG148" s="293"/>
    </row>
    <row r="149" spans="3:33" hidden="1" outlineLevel="1">
      <c r="C149" s="23" t="str">
        <f t="shared" si="171"/>
        <v>Segment 3</v>
      </c>
      <c r="D149" s="23"/>
      <c r="E149" s="23"/>
      <c r="F149" s="292"/>
      <c r="G149" s="292"/>
      <c r="H149" s="292"/>
      <c r="I149" s="292"/>
      <c r="J149" s="293"/>
      <c r="K149" s="292"/>
      <c r="L149" s="292"/>
      <c r="M149" s="292"/>
      <c r="N149" s="292"/>
      <c r="O149" s="293"/>
      <c r="P149" s="292"/>
      <c r="Q149" s="292"/>
      <c r="R149" s="292"/>
      <c r="S149" s="292"/>
      <c r="T149" s="293"/>
      <c r="U149" s="292"/>
      <c r="V149" s="294"/>
      <c r="W149" s="294"/>
      <c r="X149" s="294"/>
      <c r="Y149" s="293"/>
      <c r="Z149" s="294"/>
      <c r="AA149" s="294"/>
      <c r="AB149" s="294"/>
      <c r="AC149" s="294"/>
      <c r="AD149" s="293"/>
      <c r="AE149" s="293"/>
      <c r="AF149" s="293"/>
      <c r="AG149" s="293"/>
    </row>
    <row r="150" spans="3:33" hidden="1" outlineLevel="1">
      <c r="C150" s="23" t="str">
        <f t="shared" si="171"/>
        <v>Segment 4</v>
      </c>
      <c r="D150" s="23"/>
      <c r="E150" s="23"/>
      <c r="F150" s="292"/>
      <c r="G150" s="292"/>
      <c r="H150" s="292"/>
      <c r="I150" s="292"/>
      <c r="J150" s="293"/>
      <c r="K150" s="292"/>
      <c r="L150" s="292"/>
      <c r="M150" s="292"/>
      <c r="N150" s="292"/>
      <c r="O150" s="293"/>
      <c r="P150" s="292"/>
      <c r="Q150" s="292"/>
      <c r="R150" s="292"/>
      <c r="S150" s="292"/>
      <c r="T150" s="293"/>
      <c r="U150" s="292"/>
      <c r="V150" s="294"/>
      <c r="W150" s="294"/>
      <c r="X150" s="294"/>
      <c r="Y150" s="293"/>
      <c r="Z150" s="294"/>
      <c r="AA150" s="294"/>
      <c r="AB150" s="294"/>
      <c r="AC150" s="294"/>
      <c r="AD150" s="293"/>
      <c r="AE150" s="293"/>
      <c r="AF150" s="293"/>
      <c r="AG150" s="293"/>
    </row>
    <row r="151" spans="3:33" hidden="1" outlineLevel="1">
      <c r="C151" s="23" t="str">
        <f t="shared" si="171"/>
        <v>Segment 5</v>
      </c>
      <c r="D151" s="23"/>
      <c r="E151" s="23"/>
      <c r="F151" s="292"/>
      <c r="G151" s="292"/>
      <c r="H151" s="292"/>
      <c r="I151" s="292"/>
      <c r="J151" s="293"/>
      <c r="K151" s="292"/>
      <c r="L151" s="292"/>
      <c r="M151" s="292"/>
      <c r="N151" s="292"/>
      <c r="O151" s="293"/>
      <c r="P151" s="292"/>
      <c r="Q151" s="292"/>
      <c r="R151" s="292"/>
      <c r="S151" s="292"/>
      <c r="T151" s="293"/>
      <c r="U151" s="292"/>
      <c r="V151" s="294"/>
      <c r="W151" s="294"/>
      <c r="X151" s="294"/>
      <c r="Y151" s="293"/>
      <c r="Z151" s="294"/>
      <c r="AA151" s="294"/>
      <c r="AB151" s="294"/>
      <c r="AC151" s="294"/>
      <c r="AD151" s="293"/>
      <c r="AE151" s="293"/>
      <c r="AF151" s="293"/>
      <c r="AG151" s="293"/>
    </row>
    <row r="152" spans="3:33" hidden="1" outlineLevel="1">
      <c r="C152" s="23" t="str">
        <f t="shared" si="171"/>
        <v>Segment 6</v>
      </c>
      <c r="D152" s="23"/>
      <c r="E152" s="23"/>
      <c r="F152" s="268"/>
      <c r="G152" s="268"/>
      <c r="H152" s="268"/>
      <c r="I152" s="268"/>
      <c r="J152" s="269"/>
      <c r="K152" s="268"/>
      <c r="L152" s="268"/>
      <c r="M152" s="268"/>
      <c r="N152" s="268"/>
      <c r="O152" s="269"/>
      <c r="P152" s="268"/>
      <c r="Q152" s="268"/>
      <c r="R152" s="268"/>
      <c r="S152" s="268"/>
      <c r="T152" s="269"/>
      <c r="U152" s="268"/>
      <c r="V152" s="272"/>
      <c r="W152" s="272"/>
      <c r="X152" s="272"/>
      <c r="Y152" s="269"/>
      <c r="Z152" s="272"/>
      <c r="AA152" s="272"/>
      <c r="AB152" s="272"/>
      <c r="AC152" s="272"/>
      <c r="AD152" s="269"/>
      <c r="AE152" s="269"/>
      <c r="AF152" s="269"/>
      <c r="AG152" s="269"/>
    </row>
    <row r="153" spans="3:33" collapsed="1">
      <c r="C153" s="23"/>
      <c r="D153" s="23"/>
      <c r="E153" s="23"/>
      <c r="F153" s="268"/>
      <c r="G153" s="268"/>
      <c r="H153" s="268"/>
      <c r="I153" s="268"/>
      <c r="J153" s="269"/>
      <c r="K153" s="268"/>
      <c r="L153" s="268"/>
      <c r="M153" s="268"/>
      <c r="N153" s="268"/>
      <c r="O153" s="269"/>
      <c r="P153" s="268"/>
      <c r="Q153" s="268"/>
      <c r="R153" s="268"/>
      <c r="S153" s="268"/>
      <c r="T153" s="269"/>
      <c r="U153" s="268"/>
      <c r="V153" s="272"/>
      <c r="W153" s="272"/>
      <c r="X153" s="272"/>
      <c r="Y153" s="269"/>
      <c r="Z153" s="272"/>
      <c r="AA153" s="272"/>
      <c r="AB153" s="272"/>
      <c r="AC153" s="272"/>
      <c r="AD153" s="269"/>
      <c r="AE153" s="269"/>
      <c r="AF153" s="269"/>
      <c r="AG153" s="269"/>
    </row>
    <row r="154" spans="3:33">
      <c r="C154" s="23" t="s">
        <v>499</v>
      </c>
      <c r="D154" s="23"/>
      <c r="E154" s="23"/>
      <c r="F154" s="292">
        <f>IFERROR(Model!F37/Model!F28,"N/A")</f>
        <v>0.19273347515416941</v>
      </c>
      <c r="G154" s="292">
        <f>IFERROR(Model!G37/Model!G28,"N/A")</f>
        <v>0.12290905480540111</v>
      </c>
      <c r="H154" s="292">
        <f>IFERROR(Model!H37/Model!H28,"N/A")</f>
        <v>0.14103314043774068</v>
      </c>
      <c r="I154" s="292">
        <f>IFERROR(Model!I37/Model!I28,"N/A")</f>
        <v>0.15458909009726668</v>
      </c>
      <c r="J154" s="293">
        <f>IFERROR(Model!J37/Model!J28,"N/A")</f>
        <v>0.15386958347968982</v>
      </c>
      <c r="K154" s="292">
        <f>IFERROR(Model!K37/Model!K28,"N/A")</f>
        <v>0.15095307203552802</v>
      </c>
      <c r="L154" s="292">
        <f>IFERROR(Model!L37/Model!L28,"N/A")</f>
        <v>0.1621429076178266</v>
      </c>
      <c r="M154" s="292">
        <f ca="1">IFERROR(Model!M37/Model!M28,"N/A")</f>
        <v>0.1708932585791284</v>
      </c>
      <c r="N154" s="292">
        <f>IFERROR(Model!N37/Model!N28,"N/A")</f>
        <v>0.22128174370230469</v>
      </c>
      <c r="O154" s="293">
        <f ca="1">IFERROR(Model!O37/Model!O28,"N/A")</f>
        <v>0.18144742906478892</v>
      </c>
      <c r="P154" s="292" t="str">
        <f>IFERROR([14]Model!P37/[14]Model!P28,"N/A")</f>
        <v>N/A</v>
      </c>
      <c r="Q154" s="292">
        <f>IFERROR(Model!Q37/Model!Q28,"N/A")</f>
        <v>0.18447687461219034</v>
      </c>
      <c r="R154" s="292">
        <f>IFERROR(Model!R37/Model!R28,"N/A")</f>
        <v>0.21349644453027455</v>
      </c>
      <c r="S154" s="292">
        <f>IFERROR(Model!S37/Model!S28,"N/A")</f>
        <v>0.24742256913497626</v>
      </c>
      <c r="T154" s="293">
        <f>IFERROR(Model!T37/Model!T28,"N/A")</f>
        <v>0.20984236423747527</v>
      </c>
      <c r="U154" s="292" t="str">
        <f>IFERROR([14]Model!U37/[14]Model!U28,"N/A")</f>
        <v>N/A</v>
      </c>
      <c r="V154" s="294">
        <f>IFERROR(Model!V37/Model!V28,"N/A")</f>
        <v>0.204540131888758</v>
      </c>
      <c r="W154" s="294">
        <f>IFERROR(Model!W37/Model!W28,"N/A")</f>
        <v>0.21530490647379988</v>
      </c>
      <c r="X154" s="294">
        <f>IFERROR(Model!X37/Model!X28,"N/A")</f>
        <v>0.24110394872289251</v>
      </c>
      <c r="Y154" s="293">
        <f>IFERROR(Model!Y37/Model!Y28,"N/A")</f>
        <v>0.22652642932905109</v>
      </c>
      <c r="Z154" s="294">
        <f>IFERROR(Model!Z37/Model!Z28,"N/A")</f>
        <v>0.20478149050405736</v>
      </c>
      <c r="AA154" s="294">
        <f>IFERROR(Model!AA37/Model!AA28,"N/A")</f>
        <v>0.21511078421766947</v>
      </c>
      <c r="AB154" s="294">
        <f>IFERROR(Model!AB37/Model!AB28,"N/A")</f>
        <v>0.22795740648741769</v>
      </c>
      <c r="AC154" s="294">
        <f>IFERROR(Model!AC37/Model!AC28,"N/A")</f>
        <v>0.24894361460760864</v>
      </c>
      <c r="AD154" s="293">
        <f>IFERROR(Model!AD37/Model!AD28,"N/A")</f>
        <v>0.22699041548818169</v>
      </c>
      <c r="AE154" s="293">
        <f>IFERROR(Model!AE37/Model!AE28,"N/A")</f>
        <v>0.22783399783116465</v>
      </c>
      <c r="AF154" s="293">
        <f>IFERROR(Model!AF37/Model!AF28,"N/A")</f>
        <v>0.21123862624809245</v>
      </c>
      <c r="AG154" s="293">
        <f>IFERROR(Model!AG37/Model!AG28,"N/A")</f>
        <v>0.2745806362746166</v>
      </c>
    </row>
    <row r="155" spans="3:33" hidden="1" outlineLevel="1">
      <c r="C155" s="23" t="str">
        <f t="shared" ref="C155:C160" si="172">C16</f>
        <v>Investment Banking &amp; Equities</v>
      </c>
      <c r="D155" s="23"/>
      <c r="E155" s="23"/>
      <c r="F155" s="292">
        <f t="shared" ref="F155:S155" si="173">IFERROR(F34/F8,"N/A")</f>
        <v>0.18530634756700931</v>
      </c>
      <c r="G155" s="292">
        <f t="shared" si="173"/>
        <v>0.11177282963466778</v>
      </c>
      <c r="H155" s="292">
        <f t="shared" si="173"/>
        <v>0.13247659873226922</v>
      </c>
      <c r="I155" s="292">
        <f t="shared" si="173"/>
        <v>0.14661237593720025</v>
      </c>
      <c r="J155" s="293">
        <f t="shared" si="173"/>
        <v>0.14527728387316671</v>
      </c>
      <c r="K155" s="292">
        <f t="shared" si="173"/>
        <v>0.14044163723367895</v>
      </c>
      <c r="L155" s="292">
        <f t="shared" si="173"/>
        <v>0.154687243473978</v>
      </c>
      <c r="M155" s="292">
        <f t="shared" si="173"/>
        <v>0.16328715232717197</v>
      </c>
      <c r="N155" s="292">
        <f t="shared" si="173"/>
        <v>0.21811869480993232</v>
      </c>
      <c r="O155" s="293">
        <f t="shared" si="173"/>
        <v>0.17491837988689971</v>
      </c>
      <c r="P155" s="292">
        <f t="shared" si="173"/>
        <v>0.15809177548394063</v>
      </c>
      <c r="Q155" s="292">
        <f t="shared" si="173"/>
        <v>0.18087416996734423</v>
      </c>
      <c r="R155" s="292">
        <f t="shared" si="173"/>
        <v>0.21585384818905781</v>
      </c>
      <c r="S155" s="292">
        <f t="shared" si="173"/>
        <v>0.2485241817195443</v>
      </c>
      <c r="T155" s="293">
        <f t="shared" ref="T155:AG155" si="174">IFERROR(T34/T8,"N/A")</f>
        <v>0.20896027260660824</v>
      </c>
      <c r="U155" s="292">
        <f t="shared" si="174"/>
        <v>0.23996212746749457</v>
      </c>
      <c r="V155" s="294">
        <f t="shared" ref="U155:X155" si="175">IFERROR(V34/V8,"N/A")</f>
        <v>1</v>
      </c>
      <c r="W155" s="294">
        <f t="shared" si="175"/>
        <v>1</v>
      </c>
      <c r="X155" s="294">
        <f t="shared" si="175"/>
        <v>1</v>
      </c>
      <c r="Y155" s="293">
        <f t="shared" si="174"/>
        <v>0.84354168483277747</v>
      </c>
      <c r="Z155" s="294">
        <f t="shared" si="174"/>
        <v>1</v>
      </c>
      <c r="AA155" s="294">
        <f t="shared" si="174"/>
        <v>1</v>
      </c>
      <c r="AB155" s="294">
        <f t="shared" si="174"/>
        <v>1</v>
      </c>
      <c r="AC155" s="294">
        <f t="shared" si="174"/>
        <v>1</v>
      </c>
      <c r="AD155" s="293">
        <f t="shared" si="174"/>
        <v>1</v>
      </c>
      <c r="AE155" s="293">
        <f t="shared" si="174"/>
        <v>1</v>
      </c>
      <c r="AF155" s="293">
        <f t="shared" si="174"/>
        <v>1</v>
      </c>
      <c r="AG155" s="293">
        <f t="shared" si="174"/>
        <v>1</v>
      </c>
    </row>
    <row r="156" spans="3:33" hidden="1" outlineLevel="1">
      <c r="C156" s="23" t="str">
        <f t="shared" si="172"/>
        <v>Investment Management</v>
      </c>
      <c r="D156" s="23"/>
      <c r="E156" s="23"/>
      <c r="F156" s="292">
        <f t="shared" ref="F156:S156" si="176">IFERROR(F35/F9,"N/A")</f>
        <v>0.23621047772905607</v>
      </c>
      <c r="G156" s="292">
        <f t="shared" si="176"/>
        <v>0.22209282012461423</v>
      </c>
      <c r="H156" s="292">
        <f t="shared" si="176"/>
        <v>0.20558621081972808</v>
      </c>
      <c r="I156" s="292">
        <f t="shared" si="176"/>
        <v>0.29840419596027229</v>
      </c>
      <c r="J156" s="293">
        <f t="shared" si="176"/>
        <v>0.24097934462760334</v>
      </c>
      <c r="K156" s="292">
        <f t="shared" si="176"/>
        <v>0.27400848745219258</v>
      </c>
      <c r="L156" s="292">
        <f t="shared" si="176"/>
        <v>0.23946080982616841</v>
      </c>
      <c r="M156" s="292">
        <f t="shared" si="176"/>
        <v>0.26138853918963023</v>
      </c>
      <c r="N156" s="292">
        <f t="shared" si="176"/>
        <v>0.209683461322345</v>
      </c>
      <c r="O156" s="293">
        <f t="shared" si="176"/>
        <v>0.245548924837246</v>
      </c>
      <c r="P156" s="292">
        <f t="shared" si="176"/>
        <v>0.17896496223845487</v>
      </c>
      <c r="Q156" s="292">
        <f t="shared" si="176"/>
        <v>0.1569713758079409</v>
      </c>
      <c r="R156" s="292">
        <f t="shared" si="176"/>
        <v>4.4046935553322807E-2</v>
      </c>
      <c r="S156" s="292">
        <f t="shared" si="176"/>
        <v>5.5735469575592299E-2</v>
      </c>
      <c r="T156" s="293">
        <f t="shared" ref="T156:AG156" si="177">IFERROR(T35/T9,"N/A")</f>
        <v>9.9651220727453915E-2</v>
      </c>
      <c r="U156" s="292">
        <f t="shared" si="177"/>
        <v>9.9621092516577206E-2</v>
      </c>
      <c r="V156" s="294">
        <f t="shared" ref="U156:X156" si="178">IFERROR(V35/V9,"N/A")</f>
        <v>0.14499999999999999</v>
      </c>
      <c r="W156" s="294">
        <f t="shared" si="178"/>
        <v>0.12</v>
      </c>
      <c r="X156" s="294">
        <f t="shared" si="178"/>
        <v>0.13500000000000001</v>
      </c>
      <c r="Y156" s="293">
        <f t="shared" si="177"/>
        <v>0.12507489072366787</v>
      </c>
      <c r="Z156" s="294">
        <f t="shared" si="177"/>
        <v>0.14000000000000001</v>
      </c>
      <c r="AA156" s="294">
        <f t="shared" si="177"/>
        <v>0.14499999999999999</v>
      </c>
      <c r="AB156" s="294">
        <f t="shared" si="177"/>
        <v>0.11999999999999998</v>
      </c>
      <c r="AC156" s="294">
        <f t="shared" si="177"/>
        <v>0.13500000000000001</v>
      </c>
      <c r="AD156" s="293">
        <f t="shared" si="177"/>
        <v>0.13493197449577243</v>
      </c>
      <c r="AE156" s="293">
        <f t="shared" si="177"/>
        <v>0.13900000000000001</v>
      </c>
      <c r="AF156" s="293">
        <f t="shared" si="177"/>
        <v>0.14000000000000001</v>
      </c>
      <c r="AG156" s="293">
        <f t="shared" si="177"/>
        <v>0.14199999999999999</v>
      </c>
    </row>
    <row r="157" spans="3:33" hidden="1" outlineLevel="1">
      <c r="C157" s="23" t="str">
        <f t="shared" si="172"/>
        <v>Segment 3</v>
      </c>
      <c r="D157" s="23"/>
      <c r="E157" s="23"/>
      <c r="F157" s="292" t="str">
        <f t="shared" ref="F157:S157" si="179">IFERROR(F36/F10,"N/A")</f>
        <v>N/A</v>
      </c>
      <c r="G157" s="292" t="str">
        <f t="shared" si="179"/>
        <v>N/A</v>
      </c>
      <c r="H157" s="292" t="str">
        <f t="shared" si="179"/>
        <v>N/A</v>
      </c>
      <c r="I157" s="292" t="str">
        <f t="shared" si="179"/>
        <v>N/A</v>
      </c>
      <c r="J157" s="293" t="str">
        <f t="shared" si="179"/>
        <v>N/A</v>
      </c>
      <c r="K157" s="292" t="str">
        <f t="shared" si="179"/>
        <v>N/A</v>
      </c>
      <c r="L157" s="292" t="str">
        <f t="shared" si="179"/>
        <v>N/A</v>
      </c>
      <c r="M157" s="292" t="str">
        <f t="shared" si="179"/>
        <v>N/A</v>
      </c>
      <c r="N157" s="292" t="str">
        <f t="shared" si="179"/>
        <v>N/A</v>
      </c>
      <c r="O157" s="293" t="str">
        <f t="shared" si="179"/>
        <v>N/A</v>
      </c>
      <c r="P157" s="292" t="str">
        <f t="shared" si="179"/>
        <v>N/A</v>
      </c>
      <c r="Q157" s="292" t="str">
        <f t="shared" si="179"/>
        <v>N/A</v>
      </c>
      <c r="R157" s="292" t="str">
        <f t="shared" si="179"/>
        <v>N/A</v>
      </c>
      <c r="S157" s="292" t="str">
        <f t="shared" si="179"/>
        <v>N/A</v>
      </c>
      <c r="T157" s="293" t="str">
        <f t="shared" ref="T157:AG157" si="180">IFERROR(T36/T10,"N/A")</f>
        <v>N/A</v>
      </c>
      <c r="U157" s="292" t="str">
        <f t="shared" si="180"/>
        <v>N/A</v>
      </c>
      <c r="V157" s="294" t="str">
        <f t="shared" ref="U157:X157" si="181">IFERROR(V36/V10,"N/A")</f>
        <v>N/A</v>
      </c>
      <c r="W157" s="294" t="str">
        <f t="shared" si="181"/>
        <v>N/A</v>
      </c>
      <c r="X157" s="294" t="str">
        <f t="shared" si="181"/>
        <v>N/A</v>
      </c>
      <c r="Y157" s="293" t="str">
        <f t="shared" si="180"/>
        <v>N/A</v>
      </c>
      <c r="Z157" s="294" t="str">
        <f t="shared" si="180"/>
        <v>N/A</v>
      </c>
      <c r="AA157" s="294" t="str">
        <f t="shared" si="180"/>
        <v>N/A</v>
      </c>
      <c r="AB157" s="294" t="str">
        <f t="shared" si="180"/>
        <v>N/A</v>
      </c>
      <c r="AC157" s="294" t="str">
        <f t="shared" si="180"/>
        <v>N/A</v>
      </c>
      <c r="AD157" s="293" t="str">
        <f t="shared" si="180"/>
        <v>N/A</v>
      </c>
      <c r="AE157" s="293" t="str">
        <f t="shared" si="180"/>
        <v>N/A</v>
      </c>
      <c r="AF157" s="293" t="str">
        <f t="shared" si="180"/>
        <v>N/A</v>
      </c>
      <c r="AG157" s="293" t="str">
        <f t="shared" si="180"/>
        <v>N/A</v>
      </c>
    </row>
    <row r="158" spans="3:33" hidden="1" outlineLevel="1">
      <c r="C158" s="23" t="str">
        <f t="shared" si="172"/>
        <v>Segment 4</v>
      </c>
      <c r="D158" s="23"/>
      <c r="E158" s="23"/>
      <c r="F158" s="292" t="str">
        <f t="shared" ref="F158:S158" si="182">IFERROR(F37/F11,"N/A")</f>
        <v>N/A</v>
      </c>
      <c r="G158" s="292" t="str">
        <f t="shared" si="182"/>
        <v>N/A</v>
      </c>
      <c r="H158" s="292" t="str">
        <f t="shared" si="182"/>
        <v>N/A</v>
      </c>
      <c r="I158" s="292" t="str">
        <f t="shared" si="182"/>
        <v>N/A</v>
      </c>
      <c r="J158" s="293" t="str">
        <f t="shared" si="182"/>
        <v>N/A</v>
      </c>
      <c r="K158" s="292" t="str">
        <f t="shared" si="182"/>
        <v>N/A</v>
      </c>
      <c r="L158" s="292" t="str">
        <f t="shared" si="182"/>
        <v>N/A</v>
      </c>
      <c r="M158" s="292" t="str">
        <f t="shared" si="182"/>
        <v>N/A</v>
      </c>
      <c r="N158" s="292" t="str">
        <f t="shared" si="182"/>
        <v>N/A</v>
      </c>
      <c r="O158" s="293" t="str">
        <f t="shared" si="182"/>
        <v>N/A</v>
      </c>
      <c r="P158" s="292" t="str">
        <f t="shared" si="182"/>
        <v>N/A</v>
      </c>
      <c r="Q158" s="292" t="str">
        <f t="shared" si="182"/>
        <v>N/A</v>
      </c>
      <c r="R158" s="292" t="str">
        <f t="shared" si="182"/>
        <v>N/A</v>
      </c>
      <c r="S158" s="292" t="str">
        <f t="shared" si="182"/>
        <v>N/A</v>
      </c>
      <c r="T158" s="293" t="str">
        <f t="shared" ref="T158:AG158" si="183">IFERROR(T37/T11,"N/A")</f>
        <v>N/A</v>
      </c>
      <c r="U158" s="292" t="str">
        <f t="shared" si="183"/>
        <v>N/A</v>
      </c>
      <c r="V158" s="294" t="str">
        <f t="shared" ref="U158:X158" si="184">IFERROR(V37/V11,"N/A")</f>
        <v>N/A</v>
      </c>
      <c r="W158" s="294" t="str">
        <f t="shared" si="184"/>
        <v>N/A</v>
      </c>
      <c r="X158" s="294" t="str">
        <f t="shared" si="184"/>
        <v>N/A</v>
      </c>
      <c r="Y158" s="293" t="str">
        <f t="shared" si="183"/>
        <v>N/A</v>
      </c>
      <c r="Z158" s="294" t="str">
        <f t="shared" si="183"/>
        <v>N/A</v>
      </c>
      <c r="AA158" s="294" t="str">
        <f t="shared" si="183"/>
        <v>N/A</v>
      </c>
      <c r="AB158" s="294" t="str">
        <f t="shared" si="183"/>
        <v>N/A</v>
      </c>
      <c r="AC158" s="294" t="str">
        <f t="shared" si="183"/>
        <v>N/A</v>
      </c>
      <c r="AD158" s="293" t="str">
        <f t="shared" si="183"/>
        <v>N/A</v>
      </c>
      <c r="AE158" s="293" t="str">
        <f t="shared" si="183"/>
        <v>N/A</v>
      </c>
      <c r="AF158" s="293" t="str">
        <f t="shared" si="183"/>
        <v>N/A</v>
      </c>
      <c r="AG158" s="293" t="str">
        <f t="shared" si="183"/>
        <v>N/A</v>
      </c>
    </row>
    <row r="159" spans="3:33" hidden="1" outlineLevel="1">
      <c r="C159" s="23" t="str">
        <f t="shared" si="172"/>
        <v>Segment 5</v>
      </c>
      <c r="D159" s="23"/>
      <c r="E159" s="23"/>
      <c r="F159" s="292" t="str">
        <f t="shared" ref="F159:S159" si="185">IFERROR(F38/F12,"N/A")</f>
        <v>N/A</v>
      </c>
      <c r="G159" s="292" t="str">
        <f t="shared" si="185"/>
        <v>N/A</v>
      </c>
      <c r="H159" s="292" t="str">
        <f t="shared" si="185"/>
        <v>N/A</v>
      </c>
      <c r="I159" s="292" t="str">
        <f t="shared" si="185"/>
        <v>N/A</v>
      </c>
      <c r="J159" s="293" t="str">
        <f t="shared" si="185"/>
        <v>N/A</v>
      </c>
      <c r="K159" s="292" t="str">
        <f t="shared" si="185"/>
        <v>N/A</v>
      </c>
      <c r="L159" s="292" t="str">
        <f t="shared" si="185"/>
        <v>N/A</v>
      </c>
      <c r="M159" s="292" t="str">
        <f t="shared" si="185"/>
        <v>N/A</v>
      </c>
      <c r="N159" s="292" t="str">
        <f t="shared" si="185"/>
        <v>N/A</v>
      </c>
      <c r="O159" s="293" t="str">
        <f t="shared" si="185"/>
        <v>N/A</v>
      </c>
      <c r="P159" s="292" t="str">
        <f t="shared" si="185"/>
        <v>N/A</v>
      </c>
      <c r="Q159" s="292" t="str">
        <f t="shared" si="185"/>
        <v>N/A</v>
      </c>
      <c r="R159" s="292" t="str">
        <f t="shared" si="185"/>
        <v>N/A</v>
      </c>
      <c r="S159" s="292" t="str">
        <f t="shared" si="185"/>
        <v>N/A</v>
      </c>
      <c r="T159" s="293" t="str">
        <f t="shared" ref="T159:AG159" si="186">IFERROR(T38/T12,"N/A")</f>
        <v>N/A</v>
      </c>
      <c r="U159" s="292" t="str">
        <f t="shared" si="186"/>
        <v>N/A</v>
      </c>
      <c r="V159" s="294" t="str">
        <f t="shared" ref="U159:X159" si="187">IFERROR(V38/V12,"N/A")</f>
        <v>N/A</v>
      </c>
      <c r="W159" s="294" t="str">
        <f t="shared" si="187"/>
        <v>N/A</v>
      </c>
      <c r="X159" s="294" t="str">
        <f t="shared" si="187"/>
        <v>N/A</v>
      </c>
      <c r="Y159" s="293" t="str">
        <f t="shared" si="186"/>
        <v>N/A</v>
      </c>
      <c r="Z159" s="294" t="str">
        <f t="shared" si="186"/>
        <v>N/A</v>
      </c>
      <c r="AA159" s="294" t="str">
        <f t="shared" si="186"/>
        <v>N/A</v>
      </c>
      <c r="AB159" s="294" t="str">
        <f t="shared" si="186"/>
        <v>N/A</v>
      </c>
      <c r="AC159" s="294" t="str">
        <f t="shared" si="186"/>
        <v>N/A</v>
      </c>
      <c r="AD159" s="293" t="str">
        <f t="shared" si="186"/>
        <v>N/A</v>
      </c>
      <c r="AE159" s="293" t="str">
        <f t="shared" si="186"/>
        <v>N/A</v>
      </c>
      <c r="AF159" s="293" t="str">
        <f t="shared" si="186"/>
        <v>N/A</v>
      </c>
      <c r="AG159" s="293" t="str">
        <f t="shared" si="186"/>
        <v>N/A</v>
      </c>
    </row>
    <row r="160" spans="3:33" hidden="1" outlineLevel="1">
      <c r="C160" s="23" t="str">
        <f t="shared" si="172"/>
        <v>Segment 6</v>
      </c>
      <c r="D160" s="23"/>
      <c r="E160" s="23"/>
      <c r="F160" s="292" t="str">
        <f t="shared" ref="F160:S160" si="188">IFERROR(F39/F13,"N/A")</f>
        <v>N/A</v>
      </c>
      <c r="G160" s="292" t="str">
        <f t="shared" si="188"/>
        <v>N/A</v>
      </c>
      <c r="H160" s="292" t="str">
        <f t="shared" si="188"/>
        <v>N/A</v>
      </c>
      <c r="I160" s="292" t="str">
        <f t="shared" si="188"/>
        <v>N/A</v>
      </c>
      <c r="J160" s="293" t="str">
        <f t="shared" si="188"/>
        <v>N/A</v>
      </c>
      <c r="K160" s="292" t="str">
        <f t="shared" si="188"/>
        <v>N/A</v>
      </c>
      <c r="L160" s="292" t="str">
        <f t="shared" si="188"/>
        <v>N/A</v>
      </c>
      <c r="M160" s="292" t="str">
        <f t="shared" si="188"/>
        <v>N/A</v>
      </c>
      <c r="N160" s="292" t="str">
        <f t="shared" si="188"/>
        <v>N/A</v>
      </c>
      <c r="O160" s="293" t="str">
        <f t="shared" si="188"/>
        <v>N/A</v>
      </c>
      <c r="P160" s="292" t="str">
        <f t="shared" si="188"/>
        <v>N/A</v>
      </c>
      <c r="Q160" s="292" t="str">
        <f t="shared" si="188"/>
        <v>N/A</v>
      </c>
      <c r="R160" s="292" t="str">
        <f t="shared" si="188"/>
        <v>N/A</v>
      </c>
      <c r="S160" s="292" t="str">
        <f t="shared" si="188"/>
        <v>N/A</v>
      </c>
      <c r="T160" s="293" t="str">
        <f t="shared" ref="T160:AG160" si="189">IFERROR(T39/T13,"N/A")</f>
        <v>N/A</v>
      </c>
      <c r="U160" s="292" t="str">
        <f t="shared" si="189"/>
        <v>N/A</v>
      </c>
      <c r="V160" s="294" t="str">
        <f t="shared" ref="U160:X160" si="190">IFERROR(V39/V13,"N/A")</f>
        <v>N/A</v>
      </c>
      <c r="W160" s="294" t="str">
        <f t="shared" si="190"/>
        <v>N/A</v>
      </c>
      <c r="X160" s="294" t="str">
        <f t="shared" si="190"/>
        <v>N/A</v>
      </c>
      <c r="Y160" s="293" t="str">
        <f t="shared" si="189"/>
        <v>N/A</v>
      </c>
      <c r="Z160" s="294" t="str">
        <f t="shared" si="189"/>
        <v>N/A</v>
      </c>
      <c r="AA160" s="294" t="str">
        <f t="shared" si="189"/>
        <v>N/A</v>
      </c>
      <c r="AB160" s="294" t="str">
        <f t="shared" si="189"/>
        <v>N/A</v>
      </c>
      <c r="AC160" s="294" t="str">
        <f t="shared" si="189"/>
        <v>N/A</v>
      </c>
      <c r="AD160" s="293" t="str">
        <f t="shared" si="189"/>
        <v>N/A</v>
      </c>
      <c r="AE160" s="293" t="str">
        <f t="shared" si="189"/>
        <v>N/A</v>
      </c>
      <c r="AF160" s="293" t="str">
        <f t="shared" si="189"/>
        <v>N/A</v>
      </c>
      <c r="AG160" s="293" t="str">
        <f t="shared" si="189"/>
        <v>N/A</v>
      </c>
    </row>
    <row r="161" spans="3:33" collapsed="1">
      <c r="C161" s="23"/>
      <c r="D161" s="23"/>
      <c r="E161" s="23"/>
      <c r="F161" s="268"/>
      <c r="G161" s="268"/>
      <c r="H161" s="268"/>
      <c r="I161" s="268"/>
      <c r="J161" s="269"/>
      <c r="K161" s="268"/>
      <c r="L161" s="268"/>
      <c r="M161" s="268"/>
      <c r="N161" s="268"/>
      <c r="O161" s="269"/>
      <c r="P161" s="268"/>
      <c r="Q161" s="268"/>
      <c r="R161" s="268"/>
      <c r="S161" s="268"/>
      <c r="T161" s="269"/>
      <c r="U161" s="268"/>
      <c r="V161" s="272"/>
      <c r="W161" s="272"/>
      <c r="X161" s="272"/>
      <c r="Y161" s="269"/>
      <c r="Z161" s="272"/>
      <c r="AA161" s="272"/>
      <c r="AB161" s="272"/>
      <c r="AC161" s="272"/>
      <c r="AD161" s="269"/>
      <c r="AE161" s="269"/>
      <c r="AF161" s="269"/>
      <c r="AG161" s="269"/>
    </row>
    <row r="162" spans="3:33" hidden="1" outlineLevel="1">
      <c r="C162" s="23" t="s">
        <v>65</v>
      </c>
      <c r="D162" s="23"/>
      <c r="E162" s="23"/>
      <c r="F162" s="292">
        <f>IFERROR((Model!F37-Model!D37)/('Segment Analysis'!F7-'Segment Analysis'!D7),"N/A")</f>
        <v>0.19273347515416941</v>
      </c>
      <c r="G162" s="292">
        <f>IFERROR((Model!G37-Model!F37)/('Segment Analysis'!G7-'Segment Analysis'!F7),"N/A")</f>
        <v>0.67632092856946391</v>
      </c>
      <c r="H162" s="292">
        <f>IFERROR((Model!H37-Model!G37)/('Segment Analysis'!H7-'Segment Analysis'!G7),"N/A")</f>
        <v>0.26994237613694144</v>
      </c>
      <c r="I162" s="292">
        <f>IFERROR((Model!I37-Model!H37)/('Segment Analysis'!I7-'Segment Analysis'!H7),"N/A")</f>
        <v>0.19098455670642786</v>
      </c>
      <c r="J162" s="293"/>
      <c r="K162" s="292">
        <f>IFERROR((Model!K37-Model!I37)/('Segment Analysis'!K7-'Segment Analysis'!I7),"N/A")</f>
        <v>0.16504954633750524</v>
      </c>
      <c r="L162" s="292">
        <f>IFERROR((Model!L37-Model!K37)/('Segment Analysis'!L7-'Segment Analysis'!K7),"N/A")</f>
        <v>0.22252559726962456</v>
      </c>
      <c r="M162" s="292">
        <f ca="1">IFERROR((Model!M37-Model!L37)/('Segment Analysis'!M7-'Segment Analysis'!L7),"N/A")</f>
        <v>0.30570800097762568</v>
      </c>
      <c r="N162" s="292">
        <f ca="1">IFERROR((Model!N37-Model!M37)/('Segment Analysis'!N7-'Segment Analysis'!M7),"N/A")</f>
        <v>0.37560398996287925</v>
      </c>
      <c r="O162" s="293"/>
      <c r="P162" s="292" t="str">
        <f>IFERROR(([14]Model!P37-[14]Model!O37)/('[14]Segment Analysis'!P7-'[14]Segment Analysis'!O7),"N/A")</f>
        <v>N/A</v>
      </c>
      <c r="Q162" s="292" t="str">
        <f>IFERROR(([14]Model!Q37-[14]Model!P37)/('[14]Segment Analysis'!Q7-'[14]Segment Analysis'!P7),"N/A")</f>
        <v>N/A</v>
      </c>
      <c r="R162" s="292">
        <f>IFERROR((Model!R37-Model!Q37)/('Segment Analysis'!R7-'Segment Analysis'!Q7),"N/A")</f>
        <v>0.33044327110803351</v>
      </c>
      <c r="S162" s="292">
        <f>IFERROR((Model!S37-Model!R37)/('Segment Analysis'!S7-'Segment Analysis'!R7),"N/A")</f>
        <v>0.38878398941975989</v>
      </c>
      <c r="T162" s="293"/>
      <c r="U162" s="292" t="str">
        <f>IFERROR(([14]Model!U37-[14]Model!T37)/('[14]Segment Analysis'!U7-'[14]Segment Analysis'!T7),"N/A")</f>
        <v>N/A</v>
      </c>
      <c r="V162" s="294">
        <f>IFERROR((Model!V37-Model!U37)/('Segment Analysis'!V7-'Segment Analysis'!U7),"N/A")</f>
        <v>-0.17146201142270279</v>
      </c>
      <c r="W162" s="294">
        <f>IFERROR((Model!W37-Model!V37)/('Segment Analysis'!W7-'Segment Analysis'!V7),"N/A")</f>
        <v>0.30914853605199077</v>
      </c>
      <c r="X162" s="294">
        <f>IFERROR((Model!X37-Model!W37)/('Segment Analysis'!X7-'Segment Analysis'!W7),"N/A")</f>
        <v>0.3533621521388875</v>
      </c>
      <c r="Y162" s="293"/>
      <c r="Z162" s="294">
        <f>IFERROR((Model!Z37-Model!X37)/('Segment Analysis'!Z7-'Segment Analysis'!X7),"N/A")</f>
        <v>0.34596256662988856</v>
      </c>
      <c r="AA162" s="294">
        <f>IFERROR((Model!AA37-Model!Z37)/('Segment Analysis'!AA7-'Segment Analysis'!Z7),"N/A")</f>
        <v>0.31586151658446854</v>
      </c>
      <c r="AB162" s="294">
        <f>IFERROR((Model!AB37-Model!AA37)/('Segment Analysis'!AB7-'Segment Analysis'!AA7),"N/A")</f>
        <v>0.34404890323410653</v>
      </c>
      <c r="AC162" s="294">
        <f>IFERROR((Model!AC37-Model!AB37)/('Segment Analysis'!AC7-'Segment Analysis'!AB7),"N/A")</f>
        <v>0.32686504973379543</v>
      </c>
      <c r="AD162" s="293"/>
      <c r="AE162" s="293">
        <f>IFERROR((Model!AE37-Model!AD37)/('Segment Analysis'!AE7-'Segment Analysis'!AD7),"N/A")</f>
        <v>0.25585544101065244</v>
      </c>
      <c r="AF162" s="293">
        <f>IFERROR((Model!AF37-Model!AE37)/('Segment Analysis'!AF7-'Segment Analysis'!AE7),"N/A")</f>
        <v>0.99610612468014892</v>
      </c>
      <c r="AG162" s="293">
        <f>IFERROR((Model!AG37-Model!AF37)/('Segment Analysis'!AG7-'Segment Analysis'!AF7),"N/A")</f>
        <v>-0.95894739008188434</v>
      </c>
    </row>
    <row r="163" spans="3:33" hidden="1" outlineLevel="1">
      <c r="C163" s="23" t="str">
        <f t="shared" ref="C163:C168" si="191">C16</f>
        <v>Investment Banking &amp; Equities</v>
      </c>
      <c r="D163" s="23"/>
      <c r="E163" s="23"/>
      <c r="F163" s="292"/>
      <c r="G163" s="292"/>
      <c r="H163" s="292"/>
      <c r="I163" s="292"/>
      <c r="J163" s="293"/>
      <c r="K163" s="292"/>
      <c r="L163" s="292"/>
      <c r="M163" s="292"/>
      <c r="N163" s="292"/>
      <c r="O163" s="293"/>
      <c r="P163" s="292"/>
      <c r="Q163" s="292"/>
      <c r="R163" s="292"/>
      <c r="S163" s="292"/>
      <c r="T163" s="293"/>
      <c r="U163" s="292"/>
      <c r="V163" s="294"/>
      <c r="W163" s="294"/>
      <c r="X163" s="294"/>
      <c r="Y163" s="293"/>
      <c r="Z163" s="294"/>
      <c r="AA163" s="294"/>
      <c r="AB163" s="294"/>
      <c r="AC163" s="294"/>
      <c r="AD163" s="293"/>
      <c r="AE163" s="293"/>
      <c r="AF163" s="293"/>
      <c r="AG163" s="293"/>
    </row>
    <row r="164" spans="3:33" hidden="1" outlineLevel="1">
      <c r="C164" s="23" t="str">
        <f t="shared" si="191"/>
        <v>Investment Management</v>
      </c>
      <c r="D164" s="23"/>
      <c r="E164" s="23"/>
      <c r="F164" s="292"/>
      <c r="G164" s="292"/>
      <c r="H164" s="292"/>
      <c r="I164" s="292"/>
      <c r="J164" s="293"/>
      <c r="K164" s="292"/>
      <c r="L164" s="292"/>
      <c r="M164" s="292"/>
      <c r="N164" s="292"/>
      <c r="O164" s="293"/>
      <c r="P164" s="292"/>
      <c r="Q164" s="292"/>
      <c r="R164" s="292"/>
      <c r="S164" s="292"/>
      <c r="T164" s="293"/>
      <c r="U164" s="292"/>
      <c r="V164" s="294"/>
      <c r="W164" s="294"/>
      <c r="X164" s="294"/>
      <c r="Y164" s="293"/>
      <c r="Z164" s="294"/>
      <c r="AA164" s="294"/>
      <c r="AB164" s="294"/>
      <c r="AC164" s="294"/>
      <c r="AD164" s="293"/>
      <c r="AE164" s="293"/>
      <c r="AF164" s="293"/>
      <c r="AG164" s="293"/>
    </row>
    <row r="165" spans="3:33" hidden="1" outlineLevel="1">
      <c r="C165" s="23" t="str">
        <f t="shared" si="191"/>
        <v>Segment 3</v>
      </c>
      <c r="D165" s="23"/>
      <c r="E165" s="23"/>
      <c r="F165" s="292"/>
      <c r="G165" s="292"/>
      <c r="H165" s="292"/>
      <c r="I165" s="292"/>
      <c r="J165" s="293"/>
      <c r="K165" s="292"/>
      <c r="L165" s="292"/>
      <c r="M165" s="292"/>
      <c r="N165" s="292"/>
      <c r="O165" s="293"/>
      <c r="P165" s="292"/>
      <c r="Q165" s="292"/>
      <c r="R165" s="292"/>
      <c r="S165" s="292"/>
      <c r="T165" s="293"/>
      <c r="U165" s="292"/>
      <c r="V165" s="294"/>
      <c r="W165" s="294"/>
      <c r="X165" s="294"/>
      <c r="Y165" s="293"/>
      <c r="Z165" s="294"/>
      <c r="AA165" s="294"/>
      <c r="AB165" s="294"/>
      <c r="AC165" s="294"/>
      <c r="AD165" s="293"/>
      <c r="AE165" s="293"/>
      <c r="AF165" s="293"/>
      <c r="AG165" s="293"/>
    </row>
    <row r="166" spans="3:33" hidden="1" outlineLevel="1">
      <c r="C166" s="23" t="str">
        <f t="shared" si="191"/>
        <v>Segment 4</v>
      </c>
      <c r="D166" s="23"/>
      <c r="E166" s="23"/>
      <c r="F166" s="292"/>
      <c r="G166" s="292"/>
      <c r="H166" s="292"/>
      <c r="I166" s="292"/>
      <c r="J166" s="293"/>
      <c r="K166" s="292"/>
      <c r="L166" s="292"/>
      <c r="M166" s="292"/>
      <c r="N166" s="292"/>
      <c r="O166" s="293"/>
      <c r="P166" s="292"/>
      <c r="Q166" s="292"/>
      <c r="R166" s="292"/>
      <c r="S166" s="292"/>
      <c r="T166" s="293"/>
      <c r="U166" s="292"/>
      <c r="V166" s="294"/>
      <c r="W166" s="294"/>
      <c r="X166" s="294"/>
      <c r="Y166" s="293"/>
      <c r="Z166" s="294"/>
      <c r="AA166" s="294"/>
      <c r="AB166" s="294"/>
      <c r="AC166" s="294"/>
      <c r="AD166" s="293"/>
      <c r="AE166" s="293"/>
      <c r="AF166" s="293"/>
      <c r="AG166" s="293"/>
    </row>
    <row r="167" spans="3:33" hidden="1" outlineLevel="1">
      <c r="C167" s="23" t="str">
        <f t="shared" si="191"/>
        <v>Segment 5</v>
      </c>
      <c r="D167" s="23"/>
      <c r="E167" s="23"/>
      <c r="F167" s="292"/>
      <c r="G167" s="292"/>
      <c r="H167" s="292"/>
      <c r="I167" s="292"/>
      <c r="J167" s="293"/>
      <c r="K167" s="292"/>
      <c r="L167" s="292"/>
      <c r="M167" s="292"/>
      <c r="N167" s="292"/>
      <c r="O167" s="293"/>
      <c r="P167" s="292"/>
      <c r="Q167" s="292"/>
      <c r="R167" s="292"/>
      <c r="S167" s="292"/>
      <c r="T167" s="293"/>
      <c r="U167" s="292"/>
      <c r="V167" s="294"/>
      <c r="W167" s="294"/>
      <c r="X167" s="294"/>
      <c r="Y167" s="293"/>
      <c r="Z167" s="294"/>
      <c r="AA167" s="294"/>
      <c r="AB167" s="294"/>
      <c r="AC167" s="294"/>
      <c r="AD167" s="293"/>
      <c r="AE167" s="293"/>
      <c r="AF167" s="293"/>
      <c r="AG167" s="293"/>
    </row>
    <row r="168" spans="3:33" hidden="1" outlineLevel="1">
      <c r="C168" s="23" t="str">
        <f t="shared" si="191"/>
        <v>Segment 6</v>
      </c>
      <c r="D168" s="23"/>
      <c r="E168" s="23"/>
      <c r="F168" s="292"/>
      <c r="G168" s="292"/>
      <c r="H168" s="292"/>
      <c r="I168" s="292"/>
      <c r="J168" s="293"/>
      <c r="K168" s="292"/>
      <c r="L168" s="292"/>
      <c r="M168" s="292"/>
      <c r="N168" s="292"/>
      <c r="O168" s="293"/>
      <c r="P168" s="292"/>
      <c r="Q168" s="292"/>
      <c r="R168" s="292"/>
      <c r="S168" s="292"/>
      <c r="T168" s="293"/>
      <c r="U168" s="292"/>
      <c r="V168" s="294"/>
      <c r="W168" s="294"/>
      <c r="X168" s="294"/>
      <c r="Y168" s="293"/>
      <c r="Z168" s="294"/>
      <c r="AA168" s="294"/>
      <c r="AB168" s="294"/>
      <c r="AC168" s="294"/>
      <c r="AD168" s="293"/>
      <c r="AE168" s="293"/>
      <c r="AF168" s="293"/>
      <c r="AG168" s="293"/>
    </row>
    <row r="169" spans="3:33" collapsed="1">
      <c r="C169" s="23"/>
      <c r="D169" s="23"/>
      <c r="E169" s="23"/>
      <c r="F169" s="268"/>
      <c r="G169" s="268"/>
      <c r="H169" s="268"/>
      <c r="I169" s="268"/>
      <c r="J169" s="269"/>
      <c r="K169" s="268"/>
      <c r="L169" s="268"/>
      <c r="M169" s="268"/>
      <c r="N169" s="268"/>
      <c r="O169" s="269"/>
      <c r="P169" s="268"/>
      <c r="Q169" s="268"/>
      <c r="R169" s="268"/>
      <c r="S169" s="268"/>
      <c r="T169" s="269"/>
      <c r="U169" s="268"/>
      <c r="V169" s="272"/>
      <c r="W169" s="272"/>
      <c r="X169" s="272"/>
      <c r="Y169" s="269"/>
      <c r="Z169" s="272"/>
      <c r="AA169" s="272"/>
      <c r="AB169" s="272"/>
      <c r="AC169" s="272"/>
      <c r="AD169" s="269"/>
      <c r="AE169" s="269"/>
      <c r="AF169" s="269"/>
      <c r="AG169" s="269"/>
    </row>
    <row r="170" spans="3:33">
      <c r="C170" s="568" t="s">
        <v>67</v>
      </c>
      <c r="D170" s="409"/>
      <c r="E170" s="409"/>
      <c r="F170" s="730"/>
      <c r="G170" s="730"/>
      <c r="H170" s="730"/>
      <c r="I170" s="730"/>
      <c r="J170" s="730"/>
      <c r="K170" s="730"/>
      <c r="L170" s="730"/>
      <c r="M170" s="730"/>
      <c r="N170" s="730"/>
      <c r="O170" s="730"/>
      <c r="P170" s="730"/>
      <c r="Q170" s="730"/>
      <c r="R170" s="730"/>
      <c r="S170" s="730"/>
      <c r="T170" s="730"/>
      <c r="U170" s="730"/>
      <c r="V170" s="730"/>
      <c r="W170" s="730"/>
      <c r="X170" s="730"/>
      <c r="Y170" s="730"/>
      <c r="Z170" s="730"/>
      <c r="AA170" s="730"/>
      <c r="AB170" s="730"/>
      <c r="AC170" s="730"/>
      <c r="AD170" s="730"/>
      <c r="AE170" s="730"/>
      <c r="AF170" s="730"/>
      <c r="AG170" s="731"/>
    </row>
    <row r="171" spans="3:33">
      <c r="C171" s="23"/>
      <c r="D171" s="23"/>
      <c r="E171" s="23"/>
      <c r="F171" s="268"/>
      <c r="G171" s="268"/>
      <c r="H171" s="268"/>
      <c r="I171" s="268"/>
      <c r="J171" s="269"/>
      <c r="K171" s="268"/>
      <c r="L171" s="268"/>
      <c r="M171" s="268"/>
      <c r="N171" s="268"/>
      <c r="O171" s="269"/>
      <c r="P171" s="268"/>
      <c r="Q171" s="268"/>
      <c r="R171" s="268"/>
      <c r="S171" s="268"/>
      <c r="T171" s="269"/>
      <c r="U171" s="268"/>
      <c r="V171" s="272"/>
      <c r="W171" s="272"/>
      <c r="X171" s="272"/>
      <c r="Y171" s="269"/>
      <c r="Z171" s="272"/>
      <c r="AA171" s="272"/>
      <c r="AB171" s="272"/>
      <c r="AC171" s="272"/>
      <c r="AD171" s="269"/>
      <c r="AE171" s="269"/>
      <c r="AF171" s="269"/>
      <c r="AG171" s="269"/>
    </row>
    <row r="172" spans="3:33">
      <c r="C172" s="23" t="s">
        <v>68</v>
      </c>
      <c r="D172" s="23"/>
      <c r="E172" s="23"/>
      <c r="F172" s="292" t="str">
        <f>IFERROR('Segment Analysis'!F7/'Segment Analysis'!A7-1,"N/A")</f>
        <v>N/A</v>
      </c>
      <c r="G172" s="292" t="str">
        <f>IFERROR('Segment Analysis'!G7/'Segment Analysis'!B7-1,"N/A")</f>
        <v>N/A</v>
      </c>
      <c r="H172" s="292" t="str">
        <f>IFERROR('Segment Analysis'!H7/'Segment Analysis'!C7-1,"N/A")</f>
        <v>N/A</v>
      </c>
      <c r="I172" s="292" t="str">
        <f>IFERROR('Segment Analysis'!I7/'Segment Analysis'!D7-1,"N/A")</f>
        <v>N/A</v>
      </c>
      <c r="J172" s="293" t="str">
        <f>IFERROR('Segment Analysis'!J7/'Segment Analysis'!E7-1,"N/A")</f>
        <v>N/A</v>
      </c>
      <c r="K172" s="292">
        <f>IFERROR('Segment Analysis'!K7/'Segment Analysis'!F7-1,"N/A")</f>
        <v>1.5076850466932967E-2</v>
      </c>
      <c r="L172" s="292">
        <f>IFERROR('Segment Analysis'!L7/'Segment Analysis'!G7-1,"N/A")</f>
        <v>0.37691223193010326</v>
      </c>
      <c r="M172" s="292">
        <f>IFERROR('Segment Analysis'!M7/'Segment Analysis'!H7-1,"N/A")</f>
        <v>0.28554118703908737</v>
      </c>
      <c r="N172" s="292">
        <f>IFERROR('Segment Analysis'!N7/'Segment Analysis'!I7-1,"N/A")</f>
        <v>0.24250331072064624</v>
      </c>
      <c r="O172" s="293">
        <f>IFERROR('Segment Analysis'!O7/'Segment Analysis'!J7-1,"N/A")</f>
        <v>0.22667650837240938</v>
      </c>
      <c r="P172" s="292" t="str">
        <f>IFERROR('[14]Segment Analysis'!P7/'[14]Segment Analysis'!K7-1,"N/A")</f>
        <v>N/A</v>
      </c>
      <c r="Q172" s="292">
        <f>IFERROR('Segment Analysis'!Q7/'Segment Analysis'!L7-1,"N/A")</f>
        <v>0.20857266881353542</v>
      </c>
      <c r="R172" s="292">
        <f>IFERROR('Segment Analysis'!R7/'Segment Analysis'!M7-1,"N/A")</f>
        <v>0.41652988813954117</v>
      </c>
      <c r="S172" s="292">
        <f>IFERROR('Segment Analysis'!S7/'Segment Analysis'!N7-1,"N/A")</f>
        <v>0.32413976161915214</v>
      </c>
      <c r="T172" s="293">
        <f>IFERROR('Segment Analysis'!T7/'Segment Analysis'!O7-1,"N/A")</f>
        <v>0.2949320859535951</v>
      </c>
      <c r="U172" s="292" t="str">
        <f>IFERROR('[14]Segment Analysis'!U7/'[14]Segment Analysis'!P7-1,"N/A")</f>
        <v>N/A</v>
      </c>
      <c r="V172" s="294">
        <f>IFERROR('Segment Analysis'!V7/'Segment Analysis'!Q7-1,"N/A")</f>
        <v>0.83984555331487765</v>
      </c>
      <c r="W172" s="294">
        <f>IFERROR('Segment Analysis'!W7/'Segment Analysis'!R7-1,"N/A")</f>
        <v>0.64315564278332382</v>
      </c>
      <c r="X172" s="294">
        <f>IFERROR('Segment Analysis'!X7/'Segment Analysis'!S7-1,"N/A")</f>
        <v>0.62966996476899761</v>
      </c>
      <c r="Y172" s="293">
        <f>IFERROR('Segment Analysis'!Y7/'Segment Analysis'!T7-1,"N/A")</f>
        <v>0.74604253051787106</v>
      </c>
      <c r="Z172" s="294">
        <f>IFERROR('Segment Analysis'!Z7/'Segment Analysis'!U7-1,"N/A")</f>
        <v>0.12099365501676407</v>
      </c>
      <c r="AA172" s="294">
        <f>IFERROR('Segment Analysis'!AA7/'Segment Analysis'!V7-1,"N/A")</f>
        <v>0.12258258355505247</v>
      </c>
      <c r="AB172" s="294">
        <f>IFERROR('Segment Analysis'!AB7/'Segment Analysis'!W7-1,"N/A")</f>
        <v>0.1185037373409894</v>
      </c>
      <c r="AC172" s="294">
        <f>IFERROR('Segment Analysis'!AC7/'Segment Analysis'!X7-1,"N/A")</f>
        <v>0.15443433094072812</v>
      </c>
      <c r="AD172" s="293">
        <f>IFERROR('Segment Analysis'!AD7/'Segment Analysis'!Y7-1,"N/A")</f>
        <v>0.13115705124247157</v>
      </c>
      <c r="AE172" s="293">
        <f>IFERROR('Segment Analysis'!AE7/'Segment Analysis'!Z7-1,"N/A")</f>
        <v>4.0283285373782034</v>
      </c>
      <c r="AF172" s="293">
        <f>IFERROR('Segment Analysis'!AF7/'Segment Analysis'!AA7-1,"N/A")</f>
        <v>3.4643127958110345</v>
      </c>
      <c r="AG172" s="293">
        <f>IFERROR('Segment Analysis'!AG7/'Segment Analysis'!AB7-1,"N/A")</f>
        <v>2.8131121525843987</v>
      </c>
    </row>
    <row r="173" spans="3:33">
      <c r="C173" s="28" t="str">
        <f>'Segment Analysis'!C16</f>
        <v>Investment Banking &amp; Equities</v>
      </c>
      <c r="D173" s="23"/>
      <c r="E173" s="23"/>
      <c r="F173" s="292" t="str">
        <f>IFERROR('Segment Analysis'!F8/'Segment Analysis'!A8-1,"N/A")</f>
        <v>N/A</v>
      </c>
      <c r="G173" s="292" t="str">
        <f>IFERROR('Segment Analysis'!G8/'Segment Analysis'!B8-1,"N/A")</f>
        <v>N/A</v>
      </c>
      <c r="H173" s="292" t="str">
        <f>IFERROR('Segment Analysis'!H8/'Segment Analysis'!C8-1,"N/A")</f>
        <v>N/A</v>
      </c>
      <c r="I173" s="292" t="str">
        <f>IFERROR('Segment Analysis'!I8/'Segment Analysis'!D8-1,"N/A")</f>
        <v>N/A</v>
      </c>
      <c r="J173" s="293" t="str">
        <f>IFERROR('Segment Analysis'!J8/'Segment Analysis'!E8-1,"N/A")</f>
        <v>N/A</v>
      </c>
      <c r="K173" s="292">
        <f>IFERROR('Segment Analysis'!K8/'Segment Analysis'!F8-1,"N/A")</f>
        <v>1.2467308687102552E-2</v>
      </c>
      <c r="L173" s="292">
        <f>IFERROR('Segment Analysis'!L8/'Segment Analysis'!G8-1,"N/A")</f>
        <v>0.38935315171095253</v>
      </c>
      <c r="M173" s="292">
        <f>IFERROR('Segment Analysis'!M8/'Segment Analysis'!H8-1,"N/A")</f>
        <v>0.28976134597324488</v>
      </c>
      <c r="N173" s="292">
        <f>IFERROR('Segment Analysis'!N8/'Segment Analysis'!I8-1,"N/A")</f>
        <v>0.24500127243897185</v>
      </c>
      <c r="O173" s="293">
        <f>IFERROR('Segment Analysis'!O8/'Segment Analysis'!J8-1,"N/A")</f>
        <v>0.23028825400274955</v>
      </c>
      <c r="P173" s="292" t="str">
        <f>IFERROR('[14]Segment Analysis'!P8/'[14]Segment Analysis'!K8-1,"N/A")</f>
        <v>N/A</v>
      </c>
      <c r="Q173" s="292">
        <f>IFERROR('Segment Analysis'!Q8/'Segment Analysis'!L8-1,"N/A")</f>
        <v>0.17643318756436477</v>
      </c>
      <c r="R173" s="292">
        <f>IFERROR('Segment Analysis'!R8/'Segment Analysis'!M8-1,"N/A")</f>
        <v>0.38929956858756265</v>
      </c>
      <c r="S173" s="292">
        <f>IFERROR('Segment Analysis'!S8/'Segment Analysis'!N8-1,"N/A")</f>
        <v>0.3042518889364092</v>
      </c>
      <c r="T173" s="293">
        <f>IFERROR('Segment Analysis'!T8/'Segment Analysis'!O8-1,"N/A")</f>
        <v>0.27287666090849405</v>
      </c>
      <c r="U173" s="292" t="str">
        <f>IFERROR('[14]Segment Analysis'!U8/'[14]Segment Analysis'!P8-1,"N/A")</f>
        <v>N/A</v>
      </c>
      <c r="V173" s="294">
        <f>IFERROR('Segment Analysis'!V8/'Segment Analysis'!Q8-1,"N/A")</f>
        <v>0.90743233188111971</v>
      </c>
      <c r="W173" s="294">
        <f>IFERROR('Segment Analysis'!W8/'Segment Analysis'!R8-1,"N/A")</f>
        <v>0.6959088463991201</v>
      </c>
      <c r="X173" s="294">
        <f>IFERROR('Segment Analysis'!X8/'Segment Analysis'!S8-1,"N/A")</f>
        <v>0.66626102580675006</v>
      </c>
      <c r="Y173" s="293">
        <f>IFERROR('Segment Analysis'!Y8/'Segment Analysis'!T8-1,"N/A")</f>
        <v>0.79392366514941859</v>
      </c>
      <c r="Z173" s="294">
        <f>IFERROR('Segment Analysis'!Z8/'Segment Analysis'!U8-1,"N/A")</f>
        <v>0.12222161546562504</v>
      </c>
      <c r="AA173" s="294">
        <f>IFERROR('Segment Analysis'!AA8/'Segment Analysis'!V8-1,"N/A")</f>
        <v>0.12374706396875013</v>
      </c>
      <c r="AB173" s="294">
        <f>IFERROR('Segment Analysis'!AB8/'Segment Analysis'!W8-1,"N/A")</f>
        <v>0.11972290259375007</v>
      </c>
      <c r="AC173" s="294">
        <f>IFERROR('Segment Analysis'!AC8/'Segment Analysis'!X8-1,"N/A")</f>
        <v>0.15645743281249991</v>
      </c>
      <c r="AD173" s="293">
        <f>IFERROR('Segment Analysis'!AD8/'Segment Analysis'!Y8-1,"N/A")</f>
        <v>0.13265821275720824</v>
      </c>
      <c r="AE173" s="293">
        <f>IFERROR('Segment Analysis'!AE8/'Segment Analysis'!Z8-1,"N/A")</f>
        <v>4.0647399898749992</v>
      </c>
      <c r="AF173" s="293">
        <f>IFERROR('Segment Analysis'!AF8/'Segment Analysis'!AA8-1,"N/A")</f>
        <v>3.482638651672171</v>
      </c>
      <c r="AG173" s="293">
        <f>IFERROR('Segment Analysis'!AG8/'Segment Analysis'!AB8-1,"N/A")</f>
        <v>2.8140690055108228</v>
      </c>
    </row>
    <row r="174" spans="3:33">
      <c r="C174" s="28" t="str">
        <f>'Segment Analysis'!C17</f>
        <v>Investment Management</v>
      </c>
      <c r="D174" s="23"/>
      <c r="E174" s="23"/>
      <c r="F174" s="292" t="str">
        <f>IFERROR('Segment Analysis'!F9/'Segment Analysis'!A9-1,"N/A")</f>
        <v>N/A</v>
      </c>
      <c r="G174" s="292" t="str">
        <f>IFERROR('Segment Analysis'!G9/'Segment Analysis'!B9-1,"N/A")</f>
        <v>N/A</v>
      </c>
      <c r="H174" s="292" t="str">
        <f>IFERROR('Segment Analysis'!H9/'Segment Analysis'!C9-1,"N/A")</f>
        <v>N/A</v>
      </c>
      <c r="I174" s="292" t="str">
        <f>IFERROR('Segment Analysis'!I9/'Segment Analysis'!D9-1,"N/A")</f>
        <v>N/A</v>
      </c>
      <c r="J174" s="293" t="str">
        <f>IFERROR('Segment Analysis'!J9/'Segment Analysis'!E9-1,"N/A")</f>
        <v>N/A</v>
      </c>
      <c r="K174" s="292">
        <f>IFERROR('Segment Analysis'!K9/'Segment Analysis'!F9-1,"N/A")</f>
        <v>0.10125778906069693</v>
      </c>
      <c r="L174" s="292">
        <f>IFERROR('Segment Analysis'!L9/'Segment Analysis'!G9-1,"N/A")</f>
        <v>0.11884935654806972</v>
      </c>
      <c r="M174" s="292">
        <f>IFERROR('Segment Analysis'!M9/'Segment Analysis'!H9-1,"N/A")</f>
        <v>0.22003526935548101</v>
      </c>
      <c r="N174" s="292">
        <f>IFERROR('Segment Analysis'!N9/'Segment Analysis'!I9-1,"N/A")</f>
        <v>0.19160807945541802</v>
      </c>
      <c r="O174" s="293">
        <f>IFERROR('Segment Analysis'!O9/'Segment Analysis'!J9-1,"N/A")</f>
        <v>0.15852926891980679</v>
      </c>
      <c r="P174" s="292" t="str">
        <f>IFERROR('[14]Segment Analysis'!P9/'[14]Segment Analysis'!K9-1,"N/A")</f>
        <v>N/A</v>
      </c>
      <c r="Q174" s="292">
        <f>IFERROR('Segment Analysis'!Q9/'Segment Analysis'!L9-1,"N/A")</f>
        <v>1.5927969189132924</v>
      </c>
      <c r="R174" s="292">
        <f>IFERROR('Segment Analysis'!R9/'Segment Analysis'!M9-1,"N/A")</f>
        <v>1.5987783839231593</v>
      </c>
      <c r="S174" s="292">
        <f>IFERROR('Segment Analysis'!S9/'Segment Analysis'!N9-1,"N/A")</f>
        <v>1.4725135793219706</v>
      </c>
      <c r="T174" s="293">
        <f>IFERROR('Segment Analysis'!T9/'Segment Analysis'!O9-1,"N/A")</f>
        <v>1.3508704872755968</v>
      </c>
      <c r="U174" s="292" t="str">
        <f>IFERROR('[14]Segment Analysis'!U9/'[14]Segment Analysis'!P9-1,"N/A")</f>
        <v>N/A</v>
      </c>
      <c r="V174" s="294">
        <f>IFERROR('Segment Analysis'!V9/'Segment Analysis'!Q9-1,"N/A")</f>
        <v>-0.22951463326508492</v>
      </c>
      <c r="W174" s="294">
        <f>IFERROR('Segment Analysis'!W9/'Segment Analysis'!R9-1,"N/A")</f>
        <v>-0.29410720180852601</v>
      </c>
      <c r="X174" s="294">
        <f>IFERROR('Segment Analysis'!X9/'Segment Analysis'!S9-1,"N/A")</f>
        <v>-0.2325445480370435</v>
      </c>
      <c r="Y174" s="293">
        <f>IFERROR('Segment Analysis'!Y9/'Segment Analysis'!T9-1,"N/A")</f>
        <v>-0.18047029486271737</v>
      </c>
      <c r="Z174" s="294">
        <f>IFERROR('Segment Analysis'!Z9/'Segment Analysis'!U9-1,"N/A")</f>
        <v>7.6970574999999819E-2</v>
      </c>
      <c r="AA174" s="294">
        <f>IFERROR('Segment Analysis'!AA9/'Segment Analysis'!V9-1,"N/A")</f>
        <v>7.6970574999999819E-2</v>
      </c>
      <c r="AB174" s="294">
        <f>IFERROR('Segment Analysis'!AB9/'Segment Analysis'!W9-1,"N/A")</f>
        <v>6.6463544999999735E-2</v>
      </c>
      <c r="AC174" s="294">
        <f>IFERROR('Segment Analysis'!AC9/'Segment Analysis'!X9-1,"N/A")</f>
        <v>5.0932522499999688E-2</v>
      </c>
      <c r="AD174" s="293">
        <f>IFERROR('Segment Analysis'!AD9/'Segment Analysis'!Y9-1,"N/A")</f>
        <v>6.7572196533045581E-2</v>
      </c>
      <c r="AE174" s="293">
        <f>IFERROR('Segment Analysis'!AE9/'Segment Analysis'!Z9-1,"N/A")</f>
        <v>2.6681095249999993</v>
      </c>
      <c r="AF174" s="293">
        <f>IFERROR('Segment Analysis'!AF9/'Segment Analysis'!AA9-1,"N/A")</f>
        <v>2.7153228159158407</v>
      </c>
      <c r="AG174" s="293">
        <f>IFERROR('Segment Analysis'!AG9/'Segment Analysis'!AB9-1,"N/A")</f>
        <v>2.7702290644269127</v>
      </c>
    </row>
    <row r="175" spans="3:33" hidden="1" outlineLevel="1">
      <c r="C175" s="28" t="str">
        <f>'Segment Analysis'!C18</f>
        <v>Segment 3</v>
      </c>
      <c r="D175" s="23"/>
      <c r="E175" s="23"/>
      <c r="F175" s="292" t="str">
        <f>IFERROR('Segment Analysis'!F10/'Segment Analysis'!A10-1,"N/A")</f>
        <v>N/A</v>
      </c>
      <c r="G175" s="292" t="str">
        <f>IFERROR('Segment Analysis'!G10/'Segment Analysis'!B10-1,"N/A")</f>
        <v>N/A</v>
      </c>
      <c r="H175" s="292" t="str">
        <f>IFERROR('Segment Analysis'!H10/'Segment Analysis'!C10-1,"N/A")</f>
        <v>N/A</v>
      </c>
      <c r="I175" s="292" t="str">
        <f>IFERROR('Segment Analysis'!I10/'Segment Analysis'!D10-1,"N/A")</f>
        <v>N/A</v>
      </c>
      <c r="J175" s="293" t="str">
        <f>IFERROR('Segment Analysis'!J10/'Segment Analysis'!E10-1,"N/A")</f>
        <v>N/A</v>
      </c>
      <c r="K175" s="292" t="str">
        <f>IFERROR('Segment Analysis'!K10/'Segment Analysis'!F10-1,"N/A")</f>
        <v>N/A</v>
      </c>
      <c r="L175" s="292" t="str">
        <f>IFERROR('Segment Analysis'!L10/'Segment Analysis'!G10-1,"N/A")</f>
        <v>N/A</v>
      </c>
      <c r="M175" s="292" t="str">
        <f>IFERROR('Segment Analysis'!M10/'Segment Analysis'!H10-1,"N/A")</f>
        <v>N/A</v>
      </c>
      <c r="N175" s="292" t="str">
        <f>IFERROR('Segment Analysis'!N10/'Segment Analysis'!I10-1,"N/A")</f>
        <v>N/A</v>
      </c>
      <c r="O175" s="293" t="str">
        <f>IFERROR('Segment Analysis'!O10/'Segment Analysis'!J10-1,"N/A")</f>
        <v>N/A</v>
      </c>
      <c r="P175" s="292" t="str">
        <f>IFERROR('[14]Segment Analysis'!P10/'[14]Segment Analysis'!K10-1,"N/A")</f>
        <v>N/A</v>
      </c>
      <c r="Q175" s="292" t="str">
        <f>IFERROR('Segment Analysis'!Q10/'Segment Analysis'!L10-1,"N/A")</f>
        <v>N/A</v>
      </c>
      <c r="R175" s="292" t="str">
        <f>IFERROR('Segment Analysis'!R10/'Segment Analysis'!M10-1,"N/A")</f>
        <v>N/A</v>
      </c>
      <c r="S175" s="292" t="str">
        <f>IFERROR('Segment Analysis'!S10/'Segment Analysis'!N10-1,"N/A")</f>
        <v>N/A</v>
      </c>
      <c r="T175" s="293" t="str">
        <f>IFERROR('Segment Analysis'!T10/'Segment Analysis'!O10-1,"N/A")</f>
        <v>N/A</v>
      </c>
      <c r="U175" s="292" t="str">
        <f>IFERROR('[14]Segment Analysis'!U10/'[14]Segment Analysis'!P10-1,"N/A")</f>
        <v>N/A</v>
      </c>
      <c r="V175" s="294" t="str">
        <f>IFERROR('Segment Analysis'!V10/'Segment Analysis'!Q10-1,"N/A")</f>
        <v>N/A</v>
      </c>
      <c r="W175" s="294" t="str">
        <f>IFERROR('Segment Analysis'!W10/'Segment Analysis'!R10-1,"N/A")</f>
        <v>N/A</v>
      </c>
      <c r="X175" s="294" t="str">
        <f>IFERROR('Segment Analysis'!X10/'Segment Analysis'!S10-1,"N/A")</f>
        <v>N/A</v>
      </c>
      <c r="Y175" s="293" t="str">
        <f>IFERROR('Segment Analysis'!Y10/'Segment Analysis'!T10-1,"N/A")</f>
        <v>N/A</v>
      </c>
      <c r="Z175" s="294" t="str">
        <f>IFERROR('Segment Analysis'!Z10/'Segment Analysis'!U10-1,"N/A")</f>
        <v>N/A</v>
      </c>
      <c r="AA175" s="294" t="str">
        <f>IFERROR('Segment Analysis'!AA10/'Segment Analysis'!V10-1,"N/A")</f>
        <v>N/A</v>
      </c>
      <c r="AB175" s="294" t="str">
        <f>IFERROR('Segment Analysis'!AB10/'Segment Analysis'!W10-1,"N/A")</f>
        <v>N/A</v>
      </c>
      <c r="AC175" s="294" t="str">
        <f>IFERROR('Segment Analysis'!AC10/'Segment Analysis'!X10-1,"N/A")</f>
        <v>N/A</v>
      </c>
      <c r="AD175" s="293" t="str">
        <f>IFERROR('Segment Analysis'!AD10/'Segment Analysis'!Y10-1,"N/A")</f>
        <v>N/A</v>
      </c>
      <c r="AE175" s="293" t="str">
        <f>IFERROR('Segment Analysis'!AE10/'Segment Analysis'!Z10-1,"N/A")</f>
        <v>N/A</v>
      </c>
      <c r="AF175" s="293" t="str">
        <f>IFERROR('Segment Analysis'!AF10/'Segment Analysis'!AA10-1,"N/A")</f>
        <v>N/A</v>
      </c>
      <c r="AG175" s="293" t="str">
        <f>IFERROR('Segment Analysis'!AG10/'Segment Analysis'!AB10-1,"N/A")</f>
        <v>N/A</v>
      </c>
    </row>
    <row r="176" spans="3:33" hidden="1" outlineLevel="1">
      <c r="C176" s="28" t="str">
        <f>'Segment Analysis'!C19</f>
        <v>Segment 4</v>
      </c>
      <c r="D176" s="23"/>
      <c r="E176" s="23"/>
      <c r="F176" s="292" t="str">
        <f>IFERROR('Segment Analysis'!F11/'Segment Analysis'!A11-1,"N/A")</f>
        <v>N/A</v>
      </c>
      <c r="G176" s="292" t="str">
        <f>IFERROR('Segment Analysis'!G11/'Segment Analysis'!B11-1,"N/A")</f>
        <v>N/A</v>
      </c>
      <c r="H176" s="292" t="str">
        <f>IFERROR('Segment Analysis'!H11/'Segment Analysis'!C11-1,"N/A")</f>
        <v>N/A</v>
      </c>
      <c r="I176" s="292" t="str">
        <f>IFERROR('Segment Analysis'!I11/'Segment Analysis'!D11-1,"N/A")</f>
        <v>N/A</v>
      </c>
      <c r="J176" s="293" t="str">
        <f>IFERROR('Segment Analysis'!J11/'Segment Analysis'!E11-1,"N/A")</f>
        <v>N/A</v>
      </c>
      <c r="K176" s="292" t="str">
        <f>IFERROR('Segment Analysis'!K11/'Segment Analysis'!F11-1,"N/A")</f>
        <v>N/A</v>
      </c>
      <c r="L176" s="292" t="str">
        <f>IFERROR('Segment Analysis'!L11/'Segment Analysis'!G11-1,"N/A")</f>
        <v>N/A</v>
      </c>
      <c r="M176" s="292" t="str">
        <f>IFERROR('Segment Analysis'!M11/'Segment Analysis'!H11-1,"N/A")</f>
        <v>N/A</v>
      </c>
      <c r="N176" s="292" t="str">
        <f>IFERROR('Segment Analysis'!N11/'Segment Analysis'!I11-1,"N/A")</f>
        <v>N/A</v>
      </c>
      <c r="O176" s="293" t="str">
        <f>IFERROR('Segment Analysis'!O11/'Segment Analysis'!J11-1,"N/A")</f>
        <v>N/A</v>
      </c>
      <c r="P176" s="292" t="str">
        <f>IFERROR('[14]Segment Analysis'!P11/'[14]Segment Analysis'!K11-1,"N/A")</f>
        <v>N/A</v>
      </c>
      <c r="Q176" s="292" t="str">
        <f>IFERROR('Segment Analysis'!Q11/'Segment Analysis'!L11-1,"N/A")</f>
        <v>N/A</v>
      </c>
      <c r="R176" s="292" t="str">
        <f>IFERROR('Segment Analysis'!R11/'Segment Analysis'!M11-1,"N/A")</f>
        <v>N/A</v>
      </c>
      <c r="S176" s="292" t="str">
        <f>IFERROR('Segment Analysis'!S11/'Segment Analysis'!N11-1,"N/A")</f>
        <v>N/A</v>
      </c>
      <c r="T176" s="293" t="str">
        <f>IFERROR('Segment Analysis'!T11/'Segment Analysis'!O11-1,"N/A")</f>
        <v>N/A</v>
      </c>
      <c r="U176" s="292" t="str">
        <f>IFERROR('[14]Segment Analysis'!U11/'[14]Segment Analysis'!P11-1,"N/A")</f>
        <v>N/A</v>
      </c>
      <c r="V176" s="294" t="str">
        <f>IFERROR('Segment Analysis'!V11/'Segment Analysis'!Q11-1,"N/A")</f>
        <v>N/A</v>
      </c>
      <c r="W176" s="294" t="str">
        <f>IFERROR('Segment Analysis'!W11/'Segment Analysis'!R11-1,"N/A")</f>
        <v>N/A</v>
      </c>
      <c r="X176" s="294" t="str">
        <f>IFERROR('Segment Analysis'!X11/'Segment Analysis'!S11-1,"N/A")</f>
        <v>N/A</v>
      </c>
      <c r="Y176" s="293" t="str">
        <f>IFERROR('Segment Analysis'!Y11/'Segment Analysis'!T11-1,"N/A")</f>
        <v>N/A</v>
      </c>
      <c r="Z176" s="294" t="str">
        <f>IFERROR('Segment Analysis'!Z11/'Segment Analysis'!U11-1,"N/A")</f>
        <v>N/A</v>
      </c>
      <c r="AA176" s="294" t="str">
        <f>IFERROR('Segment Analysis'!AA11/'Segment Analysis'!V11-1,"N/A")</f>
        <v>N/A</v>
      </c>
      <c r="AB176" s="294" t="str">
        <f>IFERROR('Segment Analysis'!AB11/'Segment Analysis'!W11-1,"N/A")</f>
        <v>N/A</v>
      </c>
      <c r="AC176" s="294" t="str">
        <f>IFERROR('Segment Analysis'!AC11/'Segment Analysis'!X11-1,"N/A")</f>
        <v>N/A</v>
      </c>
      <c r="AD176" s="293" t="str">
        <f>IFERROR('Segment Analysis'!AD11/'Segment Analysis'!Y11-1,"N/A")</f>
        <v>N/A</v>
      </c>
      <c r="AE176" s="293" t="str">
        <f>IFERROR('Segment Analysis'!AE11/'Segment Analysis'!Z11-1,"N/A")</f>
        <v>N/A</v>
      </c>
      <c r="AF176" s="293" t="str">
        <f>IFERROR('Segment Analysis'!AF11/'Segment Analysis'!AA11-1,"N/A")</f>
        <v>N/A</v>
      </c>
      <c r="AG176" s="293" t="str">
        <f>IFERROR('Segment Analysis'!AG11/'Segment Analysis'!AB11-1,"N/A")</f>
        <v>N/A</v>
      </c>
    </row>
    <row r="177" spans="3:33" hidden="1" outlineLevel="1">
      <c r="C177" s="28" t="str">
        <f>'Segment Analysis'!C20</f>
        <v>Segment 5</v>
      </c>
      <c r="D177" s="23"/>
      <c r="E177" s="23"/>
      <c r="F177" s="292" t="str">
        <f>IFERROR('Segment Analysis'!F12/'Segment Analysis'!A12-1,"N/A")</f>
        <v>N/A</v>
      </c>
      <c r="G177" s="292" t="str">
        <f>IFERROR('Segment Analysis'!G12/'Segment Analysis'!B12-1,"N/A")</f>
        <v>N/A</v>
      </c>
      <c r="H177" s="292" t="str">
        <f>IFERROR('Segment Analysis'!H12/'Segment Analysis'!C12-1,"N/A")</f>
        <v>N/A</v>
      </c>
      <c r="I177" s="292" t="str">
        <f>IFERROR('Segment Analysis'!I12/'Segment Analysis'!D12-1,"N/A")</f>
        <v>N/A</v>
      </c>
      <c r="J177" s="293" t="str">
        <f>IFERROR('Segment Analysis'!J12/'Segment Analysis'!E12-1,"N/A")</f>
        <v>N/A</v>
      </c>
      <c r="K177" s="292" t="str">
        <f>IFERROR('Segment Analysis'!K12/'Segment Analysis'!F12-1,"N/A")</f>
        <v>N/A</v>
      </c>
      <c r="L177" s="292" t="str">
        <f>IFERROR('Segment Analysis'!L12/'Segment Analysis'!G12-1,"N/A")</f>
        <v>N/A</v>
      </c>
      <c r="M177" s="292" t="str">
        <f>IFERROR('Segment Analysis'!M12/'Segment Analysis'!H12-1,"N/A")</f>
        <v>N/A</v>
      </c>
      <c r="N177" s="292" t="str">
        <f>IFERROR('Segment Analysis'!N12/'Segment Analysis'!I12-1,"N/A")</f>
        <v>N/A</v>
      </c>
      <c r="O177" s="293" t="str">
        <f>IFERROR('Segment Analysis'!O12/'Segment Analysis'!J12-1,"N/A")</f>
        <v>N/A</v>
      </c>
      <c r="P177" s="292" t="str">
        <f>IFERROR('[14]Segment Analysis'!P12/'[14]Segment Analysis'!K12-1,"N/A")</f>
        <v>N/A</v>
      </c>
      <c r="Q177" s="292" t="str">
        <f>IFERROR('Segment Analysis'!Q12/'Segment Analysis'!L12-1,"N/A")</f>
        <v>N/A</v>
      </c>
      <c r="R177" s="292" t="str">
        <f>IFERROR('Segment Analysis'!R12/'Segment Analysis'!M12-1,"N/A")</f>
        <v>N/A</v>
      </c>
      <c r="S177" s="292" t="str">
        <f>IFERROR('Segment Analysis'!S12/'Segment Analysis'!N12-1,"N/A")</f>
        <v>N/A</v>
      </c>
      <c r="T177" s="293" t="str">
        <f>IFERROR('Segment Analysis'!T12/'Segment Analysis'!O12-1,"N/A")</f>
        <v>N/A</v>
      </c>
      <c r="U177" s="292" t="str">
        <f>IFERROR('[14]Segment Analysis'!U12/'[14]Segment Analysis'!P12-1,"N/A")</f>
        <v>N/A</v>
      </c>
      <c r="V177" s="294" t="str">
        <f>IFERROR('Segment Analysis'!V12/'Segment Analysis'!Q12-1,"N/A")</f>
        <v>N/A</v>
      </c>
      <c r="W177" s="294" t="str">
        <f>IFERROR('Segment Analysis'!W12/'Segment Analysis'!R12-1,"N/A")</f>
        <v>N/A</v>
      </c>
      <c r="X177" s="294" t="str">
        <f>IFERROR('Segment Analysis'!X12/'Segment Analysis'!S12-1,"N/A")</f>
        <v>N/A</v>
      </c>
      <c r="Y177" s="293" t="str">
        <f>IFERROR('Segment Analysis'!Y12/'Segment Analysis'!T12-1,"N/A")</f>
        <v>N/A</v>
      </c>
      <c r="Z177" s="294" t="str">
        <f>IFERROR('Segment Analysis'!Z12/'Segment Analysis'!U12-1,"N/A")</f>
        <v>N/A</v>
      </c>
      <c r="AA177" s="294" t="str">
        <f>IFERROR('Segment Analysis'!AA12/'Segment Analysis'!V12-1,"N/A")</f>
        <v>N/A</v>
      </c>
      <c r="AB177" s="294" t="str">
        <f>IFERROR('Segment Analysis'!AB12/'Segment Analysis'!W12-1,"N/A")</f>
        <v>N/A</v>
      </c>
      <c r="AC177" s="294" t="str">
        <f>IFERROR('Segment Analysis'!AC12/'Segment Analysis'!X12-1,"N/A")</f>
        <v>N/A</v>
      </c>
      <c r="AD177" s="293" t="str">
        <f>IFERROR('Segment Analysis'!AD12/'Segment Analysis'!Y12-1,"N/A")</f>
        <v>N/A</v>
      </c>
      <c r="AE177" s="293" t="str">
        <f>IFERROR('Segment Analysis'!AE12/'Segment Analysis'!Z12-1,"N/A")</f>
        <v>N/A</v>
      </c>
      <c r="AF177" s="293" t="str">
        <f>IFERROR('Segment Analysis'!AF12/'Segment Analysis'!AA12-1,"N/A")</f>
        <v>N/A</v>
      </c>
      <c r="AG177" s="293" t="str">
        <f>IFERROR('Segment Analysis'!AG12/'Segment Analysis'!AB12-1,"N/A")</f>
        <v>N/A</v>
      </c>
    </row>
    <row r="178" spans="3:33" hidden="1" outlineLevel="1">
      <c r="C178" s="28" t="str">
        <f>'Segment Analysis'!C21</f>
        <v>Segment 6</v>
      </c>
      <c r="D178" s="23"/>
      <c r="E178" s="23"/>
      <c r="F178" s="292" t="str">
        <f>IFERROR('Segment Analysis'!F13/'Segment Analysis'!A13-1,"N/A")</f>
        <v>N/A</v>
      </c>
      <c r="G178" s="292" t="str">
        <f>IFERROR('Segment Analysis'!G13/'Segment Analysis'!B13-1,"N/A")</f>
        <v>N/A</v>
      </c>
      <c r="H178" s="292" t="str">
        <f>IFERROR('Segment Analysis'!H13/'Segment Analysis'!C13-1,"N/A")</f>
        <v>N/A</v>
      </c>
      <c r="I178" s="292" t="str">
        <f>IFERROR('Segment Analysis'!I13/'Segment Analysis'!D13-1,"N/A")</f>
        <v>N/A</v>
      </c>
      <c r="J178" s="293" t="str">
        <f>IFERROR('Segment Analysis'!J13/'Segment Analysis'!E13-1,"N/A")</f>
        <v>N/A</v>
      </c>
      <c r="K178" s="292" t="str">
        <f>IFERROR('Segment Analysis'!K13/'Segment Analysis'!F13-1,"N/A")</f>
        <v>N/A</v>
      </c>
      <c r="L178" s="292" t="str">
        <f>IFERROR('Segment Analysis'!L13/'Segment Analysis'!G13-1,"N/A")</f>
        <v>N/A</v>
      </c>
      <c r="M178" s="292" t="str">
        <f>IFERROR('Segment Analysis'!M13/'Segment Analysis'!H13-1,"N/A")</f>
        <v>N/A</v>
      </c>
      <c r="N178" s="292" t="str">
        <f>IFERROR('Segment Analysis'!N13/'Segment Analysis'!I13-1,"N/A")</f>
        <v>N/A</v>
      </c>
      <c r="O178" s="293" t="str">
        <f>IFERROR('Segment Analysis'!O13/'Segment Analysis'!J13-1,"N/A")</f>
        <v>N/A</v>
      </c>
      <c r="P178" s="292" t="str">
        <f>IFERROR('[14]Segment Analysis'!P13/'[14]Segment Analysis'!K13-1,"N/A")</f>
        <v>N/A</v>
      </c>
      <c r="Q178" s="292" t="str">
        <f>IFERROR('Segment Analysis'!Q13/'Segment Analysis'!L13-1,"N/A")</f>
        <v>N/A</v>
      </c>
      <c r="R178" s="292" t="str">
        <f>IFERROR('Segment Analysis'!R13/'Segment Analysis'!M13-1,"N/A")</f>
        <v>N/A</v>
      </c>
      <c r="S178" s="292" t="str">
        <f>IFERROR('Segment Analysis'!S13/'Segment Analysis'!N13-1,"N/A")</f>
        <v>N/A</v>
      </c>
      <c r="T178" s="293" t="str">
        <f>IFERROR('Segment Analysis'!T13/'Segment Analysis'!O13-1,"N/A")</f>
        <v>N/A</v>
      </c>
      <c r="U178" s="292" t="str">
        <f>IFERROR('[14]Segment Analysis'!U13/'[14]Segment Analysis'!P13-1,"N/A")</f>
        <v>N/A</v>
      </c>
      <c r="V178" s="294" t="str">
        <f>IFERROR('Segment Analysis'!V13/'Segment Analysis'!Q13-1,"N/A")</f>
        <v>N/A</v>
      </c>
      <c r="W178" s="294" t="str">
        <f>IFERROR('Segment Analysis'!W13/'Segment Analysis'!R13-1,"N/A")</f>
        <v>N/A</v>
      </c>
      <c r="X178" s="294" t="str">
        <f>IFERROR('Segment Analysis'!X13/'Segment Analysis'!S13-1,"N/A")</f>
        <v>N/A</v>
      </c>
      <c r="Y178" s="293" t="str">
        <f>IFERROR('Segment Analysis'!Y13/'Segment Analysis'!T13-1,"N/A")</f>
        <v>N/A</v>
      </c>
      <c r="Z178" s="294" t="str">
        <f>IFERROR('Segment Analysis'!Z13/'Segment Analysis'!U13-1,"N/A")</f>
        <v>N/A</v>
      </c>
      <c r="AA178" s="294" t="str">
        <f>IFERROR('Segment Analysis'!AA13/'Segment Analysis'!V13-1,"N/A")</f>
        <v>N/A</v>
      </c>
      <c r="AB178" s="294" t="str">
        <f>IFERROR('Segment Analysis'!AB13/'Segment Analysis'!W13-1,"N/A")</f>
        <v>N/A</v>
      </c>
      <c r="AC178" s="294" t="str">
        <f>IFERROR('Segment Analysis'!AC13/'Segment Analysis'!X13-1,"N/A")</f>
        <v>N/A</v>
      </c>
      <c r="AD178" s="293" t="str">
        <f>IFERROR('Segment Analysis'!AD13/'Segment Analysis'!Y13-1,"N/A")</f>
        <v>N/A</v>
      </c>
      <c r="AE178" s="293" t="str">
        <f>IFERROR('Segment Analysis'!AE13/'Segment Analysis'!Z13-1,"N/A")</f>
        <v>N/A</v>
      </c>
      <c r="AF178" s="293" t="str">
        <f>IFERROR('Segment Analysis'!AF13/'Segment Analysis'!AA13-1,"N/A")</f>
        <v>N/A</v>
      </c>
      <c r="AG178" s="293" t="str">
        <f>IFERROR('Segment Analysis'!AG13/'Segment Analysis'!AB13-1,"N/A")</f>
        <v>N/A</v>
      </c>
    </row>
    <row r="179" spans="3:33" collapsed="1">
      <c r="C179" s="23"/>
      <c r="D179" s="23"/>
      <c r="E179" s="23"/>
      <c r="F179" s="268"/>
      <c r="G179" s="268"/>
      <c r="H179" s="268"/>
      <c r="I179" s="268"/>
      <c r="J179" s="269"/>
      <c r="K179" s="268"/>
      <c r="L179" s="268"/>
      <c r="M179" s="268"/>
      <c r="N179" s="268"/>
      <c r="O179" s="269"/>
      <c r="P179" s="268"/>
      <c r="Q179" s="268"/>
      <c r="R179" s="268"/>
      <c r="S179" s="268"/>
      <c r="T179" s="269"/>
      <c r="U179" s="268"/>
      <c r="V179" s="272"/>
      <c r="W179" s="272"/>
      <c r="X179" s="272"/>
      <c r="Y179" s="269"/>
      <c r="Z179" s="272"/>
      <c r="AA179" s="272"/>
      <c r="AB179" s="272"/>
      <c r="AC179" s="272"/>
      <c r="AD179" s="269"/>
      <c r="AE179" s="269"/>
      <c r="AF179" s="269"/>
      <c r="AG179" s="269"/>
    </row>
    <row r="180" spans="3:33">
      <c r="C180" s="28" t="str">
        <f>C89</f>
        <v xml:space="preserve">United States </v>
      </c>
      <c r="D180" s="23"/>
      <c r="E180" s="23"/>
      <c r="F180" s="292" t="str">
        <f t="shared" ref="F180:F184" si="192">IFERROR(F89/A89-1,"N/A")</f>
        <v>N/A</v>
      </c>
      <c r="G180" s="292" t="str">
        <f t="shared" ref="G180:G184" si="193">IFERROR(G89/B89-1,"N/A")</f>
        <v>N/A</v>
      </c>
      <c r="H180" s="292" t="str">
        <f t="shared" ref="H180:H184" si="194">IFERROR(H89/C89-1,"N/A")</f>
        <v>N/A</v>
      </c>
      <c r="I180" s="292" t="str">
        <f t="shared" ref="I180:I184" si="195">IFERROR(I89/D89-1,"N/A")</f>
        <v>N/A</v>
      </c>
      <c r="J180" s="293" t="str">
        <f t="shared" ref="J180:J184" si="196">IFERROR(J89/E89-1,"N/A")</f>
        <v>N/A</v>
      </c>
      <c r="K180" s="292">
        <f t="shared" ref="K180:K184" si="197">IFERROR(K89/F89-1,"N/A")</f>
        <v>0.15194793364170978</v>
      </c>
      <c r="L180" s="292">
        <f t="shared" ref="L180:L184" si="198">IFERROR(L89/G89-1,"N/A")</f>
        <v>0.55273386436128491</v>
      </c>
      <c r="M180" s="292">
        <f t="shared" ref="M180:M184" si="199">IFERROR(M89/H89-1,"N/A")</f>
        <v>0.2026640929414949</v>
      </c>
      <c r="N180" s="292">
        <f t="shared" ref="N180:N184" si="200">IFERROR(N89/I89-1,"N/A")</f>
        <v>-1</v>
      </c>
      <c r="O180" s="293">
        <f t="shared" ref="O180:O184" si="201">IFERROR(O89/J89-1,"N/A")</f>
        <v>-0.13226900834449562</v>
      </c>
      <c r="P180" s="292">
        <f t="shared" ref="P180:P184" si="202">IFERROR(P89/K89-1,"N/A")</f>
        <v>0.22969404880106148</v>
      </c>
      <c r="Q180" s="292">
        <f t="shared" ref="Q180:Q184" si="203">IFERROR(Q89/L89-1,"N/A")</f>
        <v>4.731623355970882E-2</v>
      </c>
      <c r="R180" s="292">
        <f t="shared" ref="R180:R184" si="204">IFERROR(R89/M89-1,"N/A")</f>
        <v>0</v>
      </c>
      <c r="S180" s="292" t="str">
        <f t="shared" ref="S180:S184" si="205">IFERROR(S89/N89-1,"N/A")</f>
        <v>N/A</v>
      </c>
      <c r="T180" s="293">
        <f t="shared" ref="T180:U184" si="206">IFERROR(T89/O89-1,"N/A")</f>
        <v>8.7039402864224735E-2</v>
      </c>
      <c r="U180" s="292">
        <f t="shared" si="206"/>
        <v>1.0578348377369817</v>
      </c>
      <c r="V180" s="294">
        <f t="shared" ref="V180:V184" si="207">IFERROR(V89/Q89-1,"N/A")</f>
        <v>-1</v>
      </c>
      <c r="W180" s="294">
        <f t="shared" ref="W180:W184" si="208">IFERROR(W89/R89-1,"N/A")</f>
        <v>-1</v>
      </c>
      <c r="X180" s="294" t="str">
        <f t="shared" ref="X180:X184" si="209">IFERROR(X89/S89-1,"N/A")</f>
        <v>N/A</v>
      </c>
      <c r="Y180" s="293">
        <f t="shared" ref="Y180:AD184" si="210">IFERROR(Y89/T89-1,"N/A")</f>
        <v>-0.28968206499286586</v>
      </c>
      <c r="Z180" s="294">
        <f t="shared" si="210"/>
        <v>-1</v>
      </c>
      <c r="AA180" s="294" t="str">
        <f t="shared" si="210"/>
        <v>N/A</v>
      </c>
      <c r="AB180" s="294" t="str">
        <f t="shared" si="210"/>
        <v>N/A</v>
      </c>
      <c r="AC180" s="294" t="str">
        <f t="shared" si="210"/>
        <v>N/A</v>
      </c>
      <c r="AD180" s="293">
        <f t="shared" si="210"/>
        <v>-1</v>
      </c>
      <c r="AE180" s="293" t="str">
        <f t="shared" ref="AE180:AG184" si="211">IFERROR(AE89/Z89-1,"N/A")</f>
        <v>N/A</v>
      </c>
      <c r="AF180" s="293" t="str">
        <f t="shared" si="211"/>
        <v>N/A</v>
      </c>
      <c r="AG180" s="293" t="str">
        <f t="shared" si="211"/>
        <v>N/A</v>
      </c>
    </row>
    <row r="181" spans="3:33">
      <c r="C181" s="28" t="str">
        <f>C90</f>
        <v xml:space="preserve">Europe and Other </v>
      </c>
      <c r="D181" s="23"/>
      <c r="E181" s="23"/>
      <c r="F181" s="292" t="str">
        <f t="shared" si="192"/>
        <v>N/A</v>
      </c>
      <c r="G181" s="292" t="str">
        <f t="shared" si="193"/>
        <v>N/A</v>
      </c>
      <c r="H181" s="292" t="str">
        <f t="shared" si="194"/>
        <v>N/A</v>
      </c>
      <c r="I181" s="292" t="str">
        <f t="shared" si="195"/>
        <v>N/A</v>
      </c>
      <c r="J181" s="293" t="str">
        <f t="shared" si="196"/>
        <v>N/A</v>
      </c>
      <c r="K181" s="292">
        <f t="shared" si="197"/>
        <v>-0.36451906875504014</v>
      </c>
      <c r="L181" s="292">
        <f t="shared" si="198"/>
        <v>7.2209808302951872E-2</v>
      </c>
      <c r="M181" s="292">
        <f t="shared" si="199"/>
        <v>0.44226381277358429</v>
      </c>
      <c r="N181" s="292">
        <f t="shared" si="200"/>
        <v>-1</v>
      </c>
      <c r="O181" s="293">
        <f t="shared" si="201"/>
        <v>-0.27359637081100763</v>
      </c>
      <c r="P181" s="292">
        <f t="shared" si="202"/>
        <v>-0.2504023605150214</v>
      </c>
      <c r="Q181" s="292">
        <f t="shared" si="203"/>
        <v>-0.46870681145113524</v>
      </c>
      <c r="R181" s="292">
        <f t="shared" si="204"/>
        <v>0</v>
      </c>
      <c r="S181" s="292" t="str">
        <f t="shared" si="205"/>
        <v>N/A</v>
      </c>
      <c r="T181" s="293">
        <f t="shared" si="206"/>
        <v>-0.19952134204852057</v>
      </c>
      <c r="U181" s="292">
        <f t="shared" si="206"/>
        <v>2.0142450142450143</v>
      </c>
      <c r="V181" s="294">
        <f t="shared" si="207"/>
        <v>-1</v>
      </c>
      <c r="W181" s="294">
        <f t="shared" si="208"/>
        <v>-1</v>
      </c>
      <c r="X181" s="294" t="str">
        <f t="shared" si="209"/>
        <v>N/A</v>
      </c>
      <c r="Y181" s="293">
        <f t="shared" si="210"/>
        <v>-0.38227429654534373</v>
      </c>
      <c r="Z181" s="294">
        <f t="shared" si="210"/>
        <v>-1</v>
      </c>
      <c r="AA181" s="294" t="str">
        <f t="shared" si="210"/>
        <v>N/A</v>
      </c>
      <c r="AB181" s="294" t="str">
        <f t="shared" si="210"/>
        <v>N/A</v>
      </c>
      <c r="AC181" s="294" t="str">
        <f t="shared" si="210"/>
        <v>N/A</v>
      </c>
      <c r="AD181" s="293">
        <f t="shared" si="210"/>
        <v>-1</v>
      </c>
      <c r="AE181" s="293" t="str">
        <f t="shared" si="211"/>
        <v>N/A</v>
      </c>
      <c r="AF181" s="293" t="str">
        <f t="shared" si="211"/>
        <v>N/A</v>
      </c>
      <c r="AG181" s="293" t="str">
        <f t="shared" si="211"/>
        <v>N/A</v>
      </c>
    </row>
    <row r="182" spans="3:33" hidden="1" outlineLevel="1">
      <c r="C182" s="28" t="str">
        <f>C91</f>
        <v>Latin America</v>
      </c>
      <c r="D182" s="23"/>
      <c r="E182" s="23"/>
      <c r="F182" s="292" t="str">
        <f t="shared" si="192"/>
        <v>N/A</v>
      </c>
      <c r="G182" s="292" t="str">
        <f t="shared" si="193"/>
        <v>N/A</v>
      </c>
      <c r="H182" s="292" t="str">
        <f t="shared" si="194"/>
        <v>N/A</v>
      </c>
      <c r="I182" s="292" t="str">
        <f t="shared" si="195"/>
        <v>N/A</v>
      </c>
      <c r="J182" s="293" t="str">
        <f t="shared" si="196"/>
        <v>N/A</v>
      </c>
      <c r="K182" s="292">
        <f t="shared" si="197"/>
        <v>-0.91671420422133487</v>
      </c>
      <c r="L182" s="292">
        <f t="shared" si="198"/>
        <v>-0.95208004212743547</v>
      </c>
      <c r="M182" s="292">
        <f t="shared" si="199"/>
        <v>-0.48185231539424278</v>
      </c>
      <c r="N182" s="292">
        <f t="shared" si="200"/>
        <v>-1</v>
      </c>
      <c r="O182" s="293">
        <f t="shared" si="201"/>
        <v>-0.91446653455219584</v>
      </c>
      <c r="P182" s="292">
        <f t="shared" si="202"/>
        <v>191.49315068493149</v>
      </c>
      <c r="Q182" s="292">
        <f t="shared" si="203"/>
        <v>76.208791208791212</v>
      </c>
      <c r="R182" s="292">
        <f t="shared" si="204"/>
        <v>0</v>
      </c>
      <c r="S182" s="292" t="str">
        <f t="shared" si="205"/>
        <v>N/A</v>
      </c>
      <c r="T182" s="293">
        <f t="shared" si="206"/>
        <v>41.627802690582961</v>
      </c>
      <c r="U182" s="292">
        <f t="shared" si="206"/>
        <v>-1</v>
      </c>
      <c r="V182" s="294">
        <f t="shared" si="207"/>
        <v>-1</v>
      </c>
      <c r="W182" s="294">
        <f t="shared" si="208"/>
        <v>-1</v>
      </c>
      <c r="X182" s="294" t="str">
        <f t="shared" si="209"/>
        <v>N/A</v>
      </c>
      <c r="Y182" s="293">
        <f t="shared" si="210"/>
        <v>-1</v>
      </c>
      <c r="Z182" s="294" t="str">
        <f t="shared" si="210"/>
        <v>N/A</v>
      </c>
      <c r="AA182" s="294" t="str">
        <f t="shared" si="210"/>
        <v>N/A</v>
      </c>
      <c r="AB182" s="294" t="str">
        <f t="shared" si="210"/>
        <v>N/A</v>
      </c>
      <c r="AC182" s="294" t="str">
        <f t="shared" si="210"/>
        <v>N/A</v>
      </c>
      <c r="AD182" s="293" t="str">
        <f t="shared" si="210"/>
        <v>N/A</v>
      </c>
      <c r="AE182" s="293" t="str">
        <f t="shared" si="211"/>
        <v>N/A</v>
      </c>
      <c r="AF182" s="293" t="str">
        <f t="shared" si="211"/>
        <v>N/A</v>
      </c>
      <c r="AG182" s="293" t="str">
        <f t="shared" si="211"/>
        <v>N/A</v>
      </c>
    </row>
    <row r="183" spans="3:33" hidden="1" outlineLevel="1">
      <c r="C183" s="28" t="str">
        <f>C92</f>
        <v>Middle East &amp; Africa</v>
      </c>
      <c r="D183" s="23"/>
      <c r="E183" s="23"/>
      <c r="F183" s="292" t="str">
        <f t="shared" si="192"/>
        <v>N/A</v>
      </c>
      <c r="G183" s="292" t="str">
        <f t="shared" si="193"/>
        <v>N/A</v>
      </c>
      <c r="H183" s="292" t="str">
        <f t="shared" si="194"/>
        <v>N/A</v>
      </c>
      <c r="I183" s="292" t="str">
        <f t="shared" si="195"/>
        <v>N/A</v>
      </c>
      <c r="J183" s="293" t="str">
        <f t="shared" si="196"/>
        <v>N/A</v>
      </c>
      <c r="K183" s="292" t="str">
        <f t="shared" si="197"/>
        <v>N/A</v>
      </c>
      <c r="L183" s="292" t="str">
        <f t="shared" si="198"/>
        <v>N/A</v>
      </c>
      <c r="M183" s="292" t="str">
        <f t="shared" si="199"/>
        <v>N/A</v>
      </c>
      <c r="N183" s="292" t="str">
        <f t="shared" si="200"/>
        <v>N/A</v>
      </c>
      <c r="O183" s="293" t="str">
        <f t="shared" si="201"/>
        <v>N/A</v>
      </c>
      <c r="P183" s="292" t="str">
        <f t="shared" si="202"/>
        <v>N/A</v>
      </c>
      <c r="Q183" s="292" t="str">
        <f t="shared" si="203"/>
        <v>N/A</v>
      </c>
      <c r="R183" s="292" t="str">
        <f t="shared" si="204"/>
        <v>N/A</v>
      </c>
      <c r="S183" s="292" t="str">
        <f t="shared" si="205"/>
        <v>N/A</v>
      </c>
      <c r="T183" s="293" t="str">
        <f t="shared" si="206"/>
        <v>N/A</v>
      </c>
      <c r="U183" s="292" t="str">
        <f t="shared" si="206"/>
        <v>N/A</v>
      </c>
      <c r="V183" s="294" t="str">
        <f t="shared" si="207"/>
        <v>N/A</v>
      </c>
      <c r="W183" s="294" t="str">
        <f t="shared" si="208"/>
        <v>N/A</v>
      </c>
      <c r="X183" s="294" t="str">
        <f t="shared" si="209"/>
        <v>N/A</v>
      </c>
      <c r="Y183" s="293" t="str">
        <f t="shared" si="210"/>
        <v>N/A</v>
      </c>
      <c r="Z183" s="294" t="str">
        <f t="shared" si="210"/>
        <v>N/A</v>
      </c>
      <c r="AA183" s="294" t="str">
        <f t="shared" si="210"/>
        <v>N/A</v>
      </c>
      <c r="AB183" s="294" t="str">
        <f t="shared" si="210"/>
        <v>N/A</v>
      </c>
      <c r="AC183" s="294" t="str">
        <f t="shared" si="210"/>
        <v>N/A</v>
      </c>
      <c r="AD183" s="293" t="str">
        <f t="shared" si="210"/>
        <v>N/A</v>
      </c>
      <c r="AE183" s="293" t="str">
        <f t="shared" si="211"/>
        <v>N/A</v>
      </c>
      <c r="AF183" s="293" t="str">
        <f t="shared" si="211"/>
        <v>N/A</v>
      </c>
      <c r="AG183" s="293" t="str">
        <f t="shared" si="211"/>
        <v>N/A</v>
      </c>
    </row>
    <row r="184" spans="3:33" hidden="1" outlineLevel="1">
      <c r="C184" s="28" t="str">
        <f>C93</f>
        <v>Asia Pacific</v>
      </c>
      <c r="D184" s="23"/>
      <c r="E184" s="23"/>
      <c r="F184" s="292" t="str">
        <f t="shared" si="192"/>
        <v>N/A</v>
      </c>
      <c r="G184" s="292" t="str">
        <f t="shared" si="193"/>
        <v>N/A</v>
      </c>
      <c r="H184" s="292" t="str">
        <f t="shared" si="194"/>
        <v>N/A</v>
      </c>
      <c r="I184" s="292" t="str">
        <f t="shared" si="195"/>
        <v>N/A</v>
      </c>
      <c r="J184" s="293" t="str">
        <f t="shared" si="196"/>
        <v>N/A</v>
      </c>
      <c r="K184" s="292" t="str">
        <f t="shared" si="197"/>
        <v>N/A</v>
      </c>
      <c r="L184" s="292" t="str">
        <f t="shared" si="198"/>
        <v>N/A</v>
      </c>
      <c r="M184" s="292" t="str">
        <f t="shared" si="199"/>
        <v>N/A</v>
      </c>
      <c r="N184" s="292" t="str">
        <f t="shared" si="200"/>
        <v>N/A</v>
      </c>
      <c r="O184" s="293" t="str">
        <f t="shared" si="201"/>
        <v>N/A</v>
      </c>
      <c r="P184" s="292" t="str">
        <f t="shared" si="202"/>
        <v>N/A</v>
      </c>
      <c r="Q184" s="292" t="str">
        <f t="shared" si="203"/>
        <v>N/A</v>
      </c>
      <c r="R184" s="292" t="str">
        <f t="shared" si="204"/>
        <v>N/A</v>
      </c>
      <c r="S184" s="292" t="str">
        <f t="shared" si="205"/>
        <v>N/A</v>
      </c>
      <c r="T184" s="293" t="str">
        <f t="shared" si="206"/>
        <v>N/A</v>
      </c>
      <c r="U184" s="292">
        <f t="shared" si="206"/>
        <v>-0.47949143173023767</v>
      </c>
      <c r="V184" s="294">
        <f t="shared" si="207"/>
        <v>-1</v>
      </c>
      <c r="W184" s="294" t="str">
        <f t="shared" si="208"/>
        <v>N/A</v>
      </c>
      <c r="X184" s="294" t="str">
        <f t="shared" si="209"/>
        <v>N/A</v>
      </c>
      <c r="Y184" s="293">
        <f t="shared" si="210"/>
        <v>-0.73974571586511884</v>
      </c>
      <c r="Z184" s="294">
        <f t="shared" si="210"/>
        <v>-1</v>
      </c>
      <c r="AA184" s="294" t="str">
        <f t="shared" si="210"/>
        <v>N/A</v>
      </c>
      <c r="AB184" s="294" t="str">
        <f t="shared" si="210"/>
        <v>N/A</v>
      </c>
      <c r="AC184" s="294" t="str">
        <f t="shared" si="210"/>
        <v>N/A</v>
      </c>
      <c r="AD184" s="293">
        <f t="shared" si="210"/>
        <v>-1</v>
      </c>
      <c r="AE184" s="293" t="str">
        <f t="shared" si="211"/>
        <v>N/A</v>
      </c>
      <c r="AF184" s="293" t="str">
        <f t="shared" si="211"/>
        <v>N/A</v>
      </c>
      <c r="AG184" s="293" t="str">
        <f t="shared" si="211"/>
        <v>N/A</v>
      </c>
    </row>
    <row r="185" spans="3:33" hidden="1" outlineLevel="1">
      <c r="C185" s="23"/>
      <c r="D185" s="23"/>
      <c r="E185" s="23"/>
      <c r="F185" s="268"/>
      <c r="G185" s="268"/>
      <c r="H185" s="268"/>
      <c r="I185" s="268"/>
      <c r="J185" s="269"/>
      <c r="K185" s="268"/>
      <c r="L185" s="268"/>
      <c r="M185" s="268"/>
      <c r="N185" s="268"/>
      <c r="O185" s="269"/>
      <c r="P185" s="268"/>
      <c r="Q185" s="268"/>
      <c r="R185" s="268"/>
      <c r="S185" s="268"/>
      <c r="T185" s="269"/>
      <c r="U185" s="268"/>
      <c r="V185" s="272"/>
      <c r="W185" s="272"/>
      <c r="X185" s="272"/>
      <c r="Y185" s="269"/>
      <c r="Z185" s="272"/>
      <c r="AA185" s="272"/>
      <c r="AB185" s="272"/>
      <c r="AC185" s="272"/>
      <c r="AD185" s="269"/>
      <c r="AE185" s="269"/>
      <c r="AF185" s="269"/>
      <c r="AG185" s="269"/>
    </row>
    <row r="186" spans="3:33" hidden="1" outlineLevel="1">
      <c r="C186" s="23" t="s">
        <v>69</v>
      </c>
      <c r="D186" s="23"/>
      <c r="E186" s="23"/>
      <c r="F186" s="292" t="str">
        <f>IFERROR(Model!F37/Model!A37-1,"N/A")</f>
        <v>N/A</v>
      </c>
      <c r="G186" s="292" t="str">
        <f>IFERROR(Model!G37/Model!B37-1,"N/A")</f>
        <v>N/A</v>
      </c>
      <c r="H186" s="292" t="str">
        <f>IFERROR(Model!H37/Model!C37-1,"N/A")</f>
        <v>N/A</v>
      </c>
      <c r="I186" s="292" t="str">
        <f>IFERROR(Model!I37/Model!D37-1,"N/A")</f>
        <v>N/A</v>
      </c>
      <c r="J186" s="293" t="str">
        <f>IFERROR(Model!J37/Model!E37-1,"N/A")</f>
        <v>N/A</v>
      </c>
      <c r="K186" s="292">
        <f>IFERROR(Model!K37/Model!F37-1,"N/A")</f>
        <v>-0.20496961512491563</v>
      </c>
      <c r="L186" s="292">
        <f>IFERROR(Model!L37/Model!G37-1,"N/A")</f>
        <v>0.81643698402184284</v>
      </c>
      <c r="M186" s="292">
        <f ca="1">IFERROR(Model!M37/Model!H37-1,"N/A")</f>
        <v>0.55772126897913843</v>
      </c>
      <c r="N186" s="292">
        <f>IFERROR(Model!N37/Model!I37-1,"N/A")</f>
        <v>0.77854270944449011</v>
      </c>
      <c r="O186" s="293">
        <f ca="1">IFERROR(Model!O37/Model!J37-1,"N/A")</f>
        <v>0.44653214563179122</v>
      </c>
      <c r="P186" s="292" t="str">
        <f>IFERROR([14]Model!P37/[14]Model!K37-1,"N/A")</f>
        <v>N/A</v>
      </c>
      <c r="Q186" s="292">
        <f>IFERROR(Model!Q37/Model!L37-1,"N/A")</f>
        <v>0.37504447132488972</v>
      </c>
      <c r="R186" s="292">
        <f ca="1">IFERROR(Model!R37/Model!M37-1,"N/A")</f>
        <v>0.76966661647819579</v>
      </c>
      <c r="S186" s="292">
        <f>IFERROR(Model!S37/Model!N37-1,"N/A")</f>
        <v>0.48056525690769591</v>
      </c>
      <c r="T186" s="293">
        <f ca="1">IFERROR(Model!T37/Model!O37-1,"N/A")</f>
        <v>0.49757762809877826</v>
      </c>
      <c r="U186" s="292" t="str">
        <f>IFERROR([14]Model!U37/[14]Model!P37-1,"N/A")</f>
        <v>N/A</v>
      </c>
      <c r="V186" s="294">
        <f>IFERROR(Model!V37/Model!Q37-1,"N/A")</f>
        <v>1.0399426915762717</v>
      </c>
      <c r="W186" s="294">
        <f>IFERROR(Model!W37/Model!R37-1,"N/A")</f>
        <v>0.65707430289872049</v>
      </c>
      <c r="X186" s="294">
        <f>IFERROR(Model!X37/Model!S37-1,"N/A")</f>
        <v>0.58805182968799086</v>
      </c>
      <c r="Y186" s="293">
        <f>IFERROR(Model!Y37/Model!T37-1,"N/A")</f>
        <v>0.88486620102728608</v>
      </c>
      <c r="Z186" s="294">
        <f>IFERROR(Model!Z37/Model!U37-1,"N/A")</f>
        <v>-5.3375080804681452E-2</v>
      </c>
      <c r="AA186" s="294">
        <f>IFERROR(Model!AA37/Model!V37-1,"N/A")</f>
        <v>0.1805977519803148</v>
      </c>
      <c r="AB186" s="294">
        <f>IFERROR(Model!AB37/Model!W37-1,"N/A")</f>
        <v>0.1842331662876564</v>
      </c>
      <c r="AC186" s="294">
        <f>IFERROR(Model!AC37/Model!X37-1,"N/A")</f>
        <v>0.19197158194122066</v>
      </c>
      <c r="AD186" s="293">
        <f>IFERROR(Model!AD37/Model!Y37-1,"N/A")</f>
        <v>0.13347396065182404</v>
      </c>
      <c r="AE186" s="293">
        <f>IFERROR(Model!AE37/Model!Z37-1,"N/A")</f>
        <v>4.5943737408079404</v>
      </c>
      <c r="AF186" s="293">
        <f>IFERROR(Model!AF37/Model!AA37-1,"N/A")</f>
        <v>3.3839517649410418</v>
      </c>
      <c r="AG186" s="293">
        <f>IFERROR(Model!AG37/Model!AB37-1,"N/A")</f>
        <v>3.5929929506409239</v>
      </c>
    </row>
    <row r="187" spans="3:33" collapsed="1">
      <c r="C187" s="23"/>
      <c r="D187" s="23"/>
      <c r="E187" s="23"/>
      <c r="F187" s="268"/>
      <c r="G187" s="268"/>
      <c r="H187" s="268"/>
      <c r="I187" s="268"/>
      <c r="J187" s="269"/>
      <c r="K187" s="268"/>
      <c r="L187" s="268"/>
      <c r="M187" s="268"/>
      <c r="N187" s="268"/>
      <c r="O187" s="269"/>
      <c r="P187" s="268"/>
      <c r="Q187" s="268"/>
      <c r="R187" s="268"/>
      <c r="S187" s="268"/>
      <c r="T187" s="269"/>
      <c r="U187" s="268"/>
      <c r="V187" s="272"/>
      <c r="W187" s="272"/>
      <c r="X187" s="272"/>
      <c r="Y187" s="269"/>
      <c r="Z187" s="272"/>
      <c r="AA187" s="272"/>
      <c r="AB187" s="272"/>
      <c r="AC187" s="272"/>
      <c r="AD187" s="269"/>
      <c r="AE187" s="269"/>
      <c r="AF187" s="269"/>
      <c r="AG187" s="269"/>
    </row>
    <row r="188" spans="3:33">
      <c r="C188" s="23" t="s">
        <v>70</v>
      </c>
      <c r="D188" s="23"/>
      <c r="E188" s="23"/>
      <c r="F188" s="292" t="str">
        <f>IFERROR(Model!F62/Model!A62-1,"N/A")</f>
        <v>N/A</v>
      </c>
      <c r="G188" s="292" t="str">
        <f>IFERROR(Model!G62/Model!B62-1,"N/A")</f>
        <v>N/A</v>
      </c>
      <c r="H188" s="292" t="str">
        <f>IFERROR(Model!H62/Model!C62-1,"N/A")</f>
        <v>N/A</v>
      </c>
      <c r="I188" s="292" t="str">
        <f>IFERROR(Model!I62/Model!D62-1,"N/A")</f>
        <v>N/A</v>
      </c>
      <c r="J188" s="293" t="str">
        <f>IFERROR(Model!J62/Model!E62-1,"N/A")</f>
        <v>N/A</v>
      </c>
      <c r="K188" s="292">
        <f>IFERROR(Model!K62/Model!F62-1,"N/A")</f>
        <v>-0.19589793281653745</v>
      </c>
      <c r="L188" s="292">
        <f>IFERROR(Model!L62/Model!G62-1,"N/A")</f>
        <v>0.75199339710238911</v>
      </c>
      <c r="M188" s="292">
        <f ca="1">IFERROR(Model!M62/Model!H62-1,"N/A")</f>
        <v>0.52072347970250288</v>
      </c>
      <c r="N188" s="292">
        <f>IFERROR(Model!N62/Model!I62-1,"N/A")</f>
        <v>0.74110055144902032</v>
      </c>
      <c r="O188" s="293">
        <f ca="1">IFERROR(Model!O62/Model!J62-1,"N/A")</f>
        <v>0.4196651674162919</v>
      </c>
      <c r="P188" s="292" t="str">
        <f>IFERROR([14]Model!P62/[14]Model!K62-1,"N/A")</f>
        <v>N/A</v>
      </c>
      <c r="Q188" s="292">
        <f>IFERROR(Model!Q62/Model!L62-1,"N/A")</f>
        <v>0.35482161334555951</v>
      </c>
      <c r="R188" s="292">
        <f ca="1">IFERROR(Model!R62/Model!M62-1,"N/A")</f>
        <v>0.7501495226630932</v>
      </c>
      <c r="S188" s="292">
        <f>IFERROR(Model!S62/Model!N62-1,"N/A")</f>
        <v>0.49686645012601582</v>
      </c>
      <c r="T188" s="293">
        <f ca="1">IFERROR(Model!T62/Model!O62-1,"N/A")</f>
        <v>0.49038634163513151</v>
      </c>
      <c r="U188" s="292" t="str">
        <f>IFERROR([14]Model!U62/[14]Model!P62-1,"N/A")</f>
        <v>N/A</v>
      </c>
      <c r="V188" s="294">
        <f>IFERROR(Model!V62/Model!Q62-1,"N/A")</f>
        <v>1.0105152790455079</v>
      </c>
      <c r="W188" s="294">
        <f>IFERROR(Model!W62/Model!R62-1,"N/A")</f>
        <v>0.63938614115705539</v>
      </c>
      <c r="X188" s="294">
        <f>IFERROR(Model!X62/Model!S62-1,"N/A")</f>
        <v>0.55743472827227514</v>
      </c>
      <c r="Y188" s="293">
        <f>IFERROR(Model!Y62/Model!T62-1,"N/A")</f>
        <v>0.85854456072935403</v>
      </c>
      <c r="Z188" s="294">
        <f ca="1">IFERROR(Model!Z62/Model!U62-1,"N/A")</f>
        <v>-8.6073317796767634E-2</v>
      </c>
      <c r="AA188" s="294">
        <f ca="1">IFERROR(Model!AA62/Model!V62-1,"N/A")</f>
        <v>0.1520446577554877</v>
      </c>
      <c r="AB188" s="294">
        <f ca="1">IFERROR(Model!AB62/Model!W62-1,"N/A")</f>
        <v>0.15937999391255908</v>
      </c>
      <c r="AC188" s="294">
        <f ca="1">IFERROR(Model!AC62/Model!X62-1,"N/A")</f>
        <v>0.17374612297048464</v>
      </c>
      <c r="AD188" s="293">
        <f ca="1">IFERROR(Model!AD62/Model!Y62-1,"N/A")</f>
        <v>0.10769867311867865</v>
      </c>
      <c r="AE188" s="293">
        <f ca="1">IFERROR(Model!AE62/Model!Z62-1,"N/A")</f>
        <v>4.6475204111877702</v>
      </c>
      <c r="AF188" s="293">
        <f ca="1">IFERROR(Model!AF62/Model!AA62-1,"N/A")</f>
        <v>3.4554227818707357</v>
      </c>
      <c r="AG188" s="293">
        <f ca="1">IFERROR(Model!AG62/Model!AB62-1,"N/A")</f>
        <v>3.6682626615657341</v>
      </c>
    </row>
    <row r="189" spans="3:33">
      <c r="C189" s="23"/>
      <c r="D189" s="23"/>
      <c r="E189" s="23"/>
      <c r="F189" s="268"/>
      <c r="G189" s="268"/>
      <c r="H189" s="268"/>
      <c r="I189" s="268"/>
      <c r="J189" s="269"/>
      <c r="K189" s="268"/>
      <c r="L189" s="268"/>
      <c r="M189" s="268"/>
      <c r="N189" s="268"/>
      <c r="O189" s="269"/>
      <c r="P189" s="268"/>
      <c r="Q189" s="268"/>
      <c r="R189" s="268"/>
      <c r="S189" s="268"/>
      <c r="T189" s="269"/>
      <c r="U189" s="268"/>
      <c r="V189" s="272"/>
      <c r="W189" s="272"/>
      <c r="X189" s="272"/>
      <c r="Y189" s="269"/>
      <c r="Z189" s="272"/>
      <c r="AA189" s="272"/>
      <c r="AB189" s="272"/>
      <c r="AC189" s="272"/>
      <c r="AD189" s="269"/>
      <c r="AE189" s="269"/>
      <c r="AF189" s="269"/>
      <c r="AG189" s="269"/>
    </row>
    <row r="190" spans="3:33">
      <c r="C190" s="568" t="s">
        <v>71</v>
      </c>
      <c r="D190" s="409"/>
      <c r="E190" s="409"/>
      <c r="F190" s="730"/>
      <c r="G190" s="730"/>
      <c r="H190" s="730"/>
      <c r="I190" s="730"/>
      <c r="J190" s="730"/>
      <c r="K190" s="730"/>
      <c r="L190" s="730"/>
      <c r="M190" s="730"/>
      <c r="N190" s="730"/>
      <c r="O190" s="730"/>
      <c r="P190" s="730"/>
      <c r="Q190" s="730"/>
      <c r="R190" s="730"/>
      <c r="S190" s="730"/>
      <c r="T190" s="730"/>
      <c r="U190" s="730"/>
      <c r="V190" s="730"/>
      <c r="W190" s="730"/>
      <c r="X190" s="730"/>
      <c r="Y190" s="730"/>
      <c r="Z190" s="730"/>
      <c r="AA190" s="730"/>
      <c r="AB190" s="730"/>
      <c r="AC190" s="730"/>
      <c r="AD190" s="730"/>
      <c r="AE190" s="730"/>
      <c r="AF190" s="730"/>
      <c r="AG190" s="731"/>
    </row>
    <row r="191" spans="3:33">
      <c r="C191" s="23"/>
      <c r="D191" s="23"/>
      <c r="E191" s="23"/>
      <c r="F191" s="268"/>
      <c r="G191" s="268"/>
      <c r="H191" s="268"/>
      <c r="I191" s="268"/>
      <c r="J191" s="269"/>
      <c r="K191" s="268"/>
      <c r="L191" s="268"/>
      <c r="M191" s="268"/>
      <c r="N191" s="268"/>
      <c r="O191" s="269"/>
      <c r="P191" s="268"/>
      <c r="Q191" s="268"/>
      <c r="R191" s="268"/>
      <c r="S191" s="268"/>
      <c r="T191" s="269"/>
      <c r="U191" s="268"/>
      <c r="V191" s="272"/>
      <c r="W191" s="272"/>
      <c r="X191" s="272"/>
      <c r="Y191" s="269"/>
      <c r="Z191" s="272"/>
      <c r="AA191" s="272"/>
      <c r="AB191" s="272"/>
      <c r="AC191" s="272"/>
      <c r="AD191" s="269"/>
      <c r="AE191" s="269"/>
      <c r="AF191" s="269"/>
      <c r="AG191" s="269"/>
    </row>
    <row r="192" spans="3:33">
      <c r="C192" s="23" t="s">
        <v>68</v>
      </c>
      <c r="D192" s="23"/>
      <c r="E192" s="23"/>
      <c r="F192" s="292" t="str">
        <f>IFERROR('Segment Analysis'!F7/'Segment Analysis'!D7-1,"N/A")</f>
        <v>N/A</v>
      </c>
      <c r="G192" s="292">
        <f>IFERROR('Segment Analysis'!G7/'Segment Analysis'!F7-1,"N/A")</f>
        <v>-0.12617080272212722</v>
      </c>
      <c r="H192" s="292">
        <f>IFERROR('Segment Analysis'!H7/'Segment Analysis'!G7-1,"N/A")</f>
        <v>0.14059571088165201</v>
      </c>
      <c r="I192" s="292">
        <f>IFERROR('Segment Analysis'!I7/'Segment Analysis'!H7-1,"N/A")</f>
        <v>0.37246258730788773</v>
      </c>
      <c r="J192" s="293"/>
      <c r="K192" s="292">
        <f>IFERROR('Segment Analysis'!K7/'Segment Analysis'!I7-1,"N/A")</f>
        <v>-0.25793811869884875</v>
      </c>
      <c r="L192" s="292">
        <f>IFERROR('Segment Analysis'!L7/'Segment Analysis'!K7-1,"N/A")</f>
        <v>0.18531528898142402</v>
      </c>
      <c r="M192" s="292">
        <f>IFERROR('Segment Analysis'!M7/'Segment Analysis'!L7-1,"N/A")</f>
        <v>6.4906484303005607E-2</v>
      </c>
      <c r="N192" s="292">
        <f>IFERROR('Segment Analysis'!N7/'Segment Analysis'!M7-1,"N/A")</f>
        <v>0.32651472061970144</v>
      </c>
      <c r="O192" s="293"/>
      <c r="P192" s="292" t="str">
        <f>IFERROR('[14]Segment Analysis'!P7/'[14]Segment Analysis'!O7-1,"N/A")</f>
        <v>N/A</v>
      </c>
      <c r="Q192" s="292">
        <f>IFERROR('Segment Analysis'!Q7/'Segment Analysis'!P7-1,"N/A")</f>
        <v>0.19887499964235755</v>
      </c>
      <c r="R192" s="292">
        <f>IFERROR('Segment Analysis'!R7/'Segment Analysis'!Q7-1,"N/A")</f>
        <v>0.24814328671662444</v>
      </c>
      <c r="S192" s="292">
        <f>IFERROR('Segment Analysis'!S7/'Segment Analysis'!R7-1,"N/A")</f>
        <v>0.23999564051036626</v>
      </c>
      <c r="T192" s="293"/>
      <c r="U192" s="292" t="str">
        <f>IFERROR('[14]Segment Analysis'!U7/'[14]Segment Analysis'!T7-1,"N/A")</f>
        <v>N/A</v>
      </c>
      <c r="V192" s="294">
        <f>IFERROR('Segment Analysis'!V7/'Segment Analysis'!U7-1,"N/A")</f>
        <v>0.10096272570117582</v>
      </c>
      <c r="W192" s="294">
        <f>IFERROR('Segment Analysis'!W7/'Segment Analysis'!V7-1,"N/A")</f>
        <v>0.1147096998850905</v>
      </c>
      <c r="X192" s="294">
        <f>IFERROR('Segment Analysis'!X7/'Segment Analysis'!W7-1,"N/A")</f>
        <v>0.22981877015694963</v>
      </c>
      <c r="Y192" s="293"/>
      <c r="Z192" s="294">
        <f>IFERROR('Segment Analysis'!Z7/'Segment Analysis'!X7-1,"N/A")</f>
        <v>-0.25727568605909934</v>
      </c>
      <c r="AA192" s="294">
        <f>IFERROR('Segment Analysis'!AA7/'Segment Analysis'!Z7-1,"N/A")</f>
        <v>0.1025232618260945</v>
      </c>
      <c r="AB192" s="294">
        <f>IFERROR('Segment Analysis'!AB7/'Segment Analysis'!AA7-1,"N/A")</f>
        <v>0.11065945938985955</v>
      </c>
      <c r="AC192" s="294">
        <f>IFERROR('Segment Analysis'!AC7/'Segment Analysis'!AB7-1,"N/A")</f>
        <v>0.26932522593052433</v>
      </c>
      <c r="AD192" s="293"/>
      <c r="AE192" s="293">
        <f>IFERROR('Segment Analysis'!AE7/'Segment Analysis'!AD7-1,"N/A")</f>
        <v>3.01048856612951E-2</v>
      </c>
      <c r="AF192" s="293">
        <f>IFERROR('Segment Analysis'!AF7/'Segment Analysis'!AE7-1,"N/A")</f>
        <v>-2.1144169705364368E-2</v>
      </c>
      <c r="AG192" s="293">
        <f>IFERROR('Segment Analysis'!AG7/'Segment Analysis'!AF7-1,"N/A")</f>
        <v>-5.1350280393400394E-2</v>
      </c>
    </row>
    <row r="193" spans="3:33">
      <c r="C193" s="28" t="str">
        <f>'Segment Analysis'!C16</f>
        <v>Investment Banking &amp; Equities</v>
      </c>
      <c r="D193" s="23"/>
      <c r="E193" s="23"/>
      <c r="F193" s="292" t="str">
        <f>IFERROR('Segment Analysis'!F8/'Segment Analysis'!D8-1,"N/A")</f>
        <v>N/A</v>
      </c>
      <c r="G193" s="292">
        <f>IFERROR('Segment Analysis'!G8/'Segment Analysis'!F8-1,"N/A")</f>
        <v>-0.13079228782414187</v>
      </c>
      <c r="H193" s="292">
        <f>IFERROR('Segment Analysis'!H8/'Segment Analysis'!G8-1,"N/A")</f>
        <v>0.14597321698883969</v>
      </c>
      <c r="I193" s="292">
        <f>IFERROR('Segment Analysis'!I8/'Segment Analysis'!H8-1,"N/A")</f>
        <v>0.38651493465016173</v>
      </c>
      <c r="J193" s="293"/>
      <c r="K193" s="292">
        <f>IFERROR('Segment Analysis'!K8/'Segment Analysis'!I8-1,"N/A")</f>
        <v>-0.26690810380491881</v>
      </c>
      <c r="L193" s="292">
        <f>IFERROR('Segment Analysis'!L8/'Segment Analysis'!K8-1,"N/A")</f>
        <v>0.19276589381337583</v>
      </c>
      <c r="M193" s="292">
        <f>IFERROR('Segment Analysis'!M8/'Segment Analysis'!L8-1,"N/A")</f>
        <v>6.3827405561110995E-2</v>
      </c>
      <c r="N193" s="292">
        <f>IFERROR('Segment Analysis'!N8/'Segment Analysis'!M8-1,"N/A")</f>
        <v>0.3383971098874119</v>
      </c>
      <c r="O193" s="293"/>
      <c r="P193" s="292" t="str">
        <f>IFERROR('[14]Segment Analysis'!P8/'[14]Segment Analysis'!O8-1,"N/A")</f>
        <v>N/A</v>
      </c>
      <c r="Q193" s="292">
        <f>IFERROR('Segment Analysis'!Q8/'Segment Analysis'!P8-1,"N/A")</f>
        <v>0.1822490603167175</v>
      </c>
      <c r="R193" s="292">
        <f>IFERROR('Segment Analysis'!R8/'Segment Analysis'!Q8-1,"N/A")</f>
        <v>0.25631865134441822</v>
      </c>
      <c r="S193" s="292">
        <f>IFERROR('Segment Analysis'!S8/'Segment Analysis'!R8-1,"N/A")</f>
        <v>0.2564654867721341</v>
      </c>
      <c r="T193" s="293"/>
      <c r="U193" s="292" t="str">
        <f>IFERROR('[14]Segment Analysis'!U8/'[14]Segment Analysis'!T8-1,"N/A")</f>
        <v>N/A</v>
      </c>
      <c r="V193" s="294">
        <f>IFERROR('Segment Analysis'!V8/'Segment Analysis'!U8-1,"N/A")</f>
        <v>0.10349999999999993</v>
      </c>
      <c r="W193" s="294">
        <f>IFERROR('Segment Analysis'!W8/'Segment Analysis'!V8-1,"N/A")</f>
        <v>0.11699999999999999</v>
      </c>
      <c r="X193" s="294">
        <f>IFERROR('Segment Analysis'!X8/'Segment Analysis'!W8-1,"N/A")</f>
        <v>0.23449999999999993</v>
      </c>
      <c r="Y193" s="293"/>
      <c r="Z193" s="294">
        <f>IFERROR('Segment Analysis'!Z8/'Segment Analysis'!X8-1,"N/A")</f>
        <v>-0.26249999999999996</v>
      </c>
      <c r="AA193" s="294">
        <f>IFERROR('Segment Analysis'!AA8/'Segment Analysis'!Z8-1,"N/A")</f>
        <v>0.10499999999999998</v>
      </c>
      <c r="AB193" s="294">
        <f>IFERROR('Segment Analysis'!AB8/'Segment Analysis'!AA8-1,"N/A")</f>
        <v>0.11299999999999999</v>
      </c>
      <c r="AC193" s="294">
        <f>IFERROR('Segment Analysis'!AC8/'Segment Analysis'!AB8-1,"N/A")</f>
        <v>0.27499999999999991</v>
      </c>
      <c r="AD193" s="293"/>
      <c r="AE193" s="293">
        <f>IFERROR('Segment Analysis'!AE8/'Segment Analysis'!AD8-1,"N/A")</f>
        <v>3.2999999999999918E-2</v>
      </c>
      <c r="AF193" s="293">
        <f>IFERROR('Segment Analysis'!AF8/'Segment Analysis'!AE8-1,"N/A")</f>
        <v>-2.200000000000002E-2</v>
      </c>
      <c r="AG193" s="293">
        <f>IFERROR('Segment Analysis'!AG8/'Segment Analysis'!AF8-1,"N/A")</f>
        <v>-5.3000000000000158E-2</v>
      </c>
    </row>
    <row r="194" spans="3:33">
      <c r="C194" s="28" t="str">
        <f>'Segment Analysis'!C17</f>
        <v>Investment Management</v>
      </c>
      <c r="D194" s="23"/>
      <c r="E194" s="23"/>
      <c r="F194" s="292" t="str">
        <f>IFERROR('Segment Analysis'!F9/'Segment Analysis'!D9-1,"N/A")</f>
        <v>N/A</v>
      </c>
      <c r="G194" s="292">
        <f>IFERROR('Segment Analysis'!G9/'Segment Analysis'!F9-1,"N/A")</f>
        <v>-9.1737825986614174E-3</v>
      </c>
      <c r="H194" s="292">
        <f>IFERROR('Segment Analysis'!H9/'Segment Analysis'!G9-1,"N/A")</f>
        <v>2.3641763232981949E-2</v>
      </c>
      <c r="I194" s="292">
        <f>IFERROR('Segment Analysis'!I9/'Segment Analysis'!H9-1,"N/A")</f>
        <v>1.9511917628989073E-2</v>
      </c>
      <c r="J194" s="293"/>
      <c r="K194" s="292">
        <f>IFERROR('Segment Analysis'!K9/'Segment Analysis'!I9-1,"N/A")</f>
        <v>6.5003905814083218E-2</v>
      </c>
      <c r="L194" s="292">
        <f>IFERROR('Segment Analysis'!L9/'Segment Analysis'!K9-1,"N/A")</f>
        <v>6.6537433855504702E-3</v>
      </c>
      <c r="M194" s="292">
        <f>IFERROR('Segment Analysis'!M9/'Segment Analysis'!L9-1,"N/A")</f>
        <v>0.11621734152180707</v>
      </c>
      <c r="N194" s="292">
        <f>IFERROR('Segment Analysis'!N9/'Segment Analysis'!M9-1,"N/A")</f>
        <v>-4.2430176714691736E-3</v>
      </c>
      <c r="O194" s="293"/>
      <c r="P194" s="292" t="str">
        <f>IFERROR('[14]Segment Analysis'!P9/'[14]Segment Analysis'!O9-1,"N/A")</f>
        <v>N/A</v>
      </c>
      <c r="Q194" s="292">
        <f>IFERROR('Segment Analysis'!Q9/'Segment Analysis'!P9-1,"N/A")</f>
        <v>0.54197102884734427</v>
      </c>
      <c r="R194" s="292">
        <f>IFERROR('Segment Analysis'!R9/'Segment Analysis'!Q9-1,"N/A")</f>
        <v>0.11879240435184069</v>
      </c>
      <c r="S194" s="292">
        <f>IFERROR('Segment Analysis'!S9/'Segment Analysis'!R9-1,"N/A")</f>
        <v>-5.2623080235395414E-2</v>
      </c>
      <c r="T194" s="293"/>
      <c r="U194" s="292" t="str">
        <f>IFERROR('[14]Segment Analysis'!U9/'[14]Segment Analysis'!T9-1,"N/A")</f>
        <v>N/A</v>
      </c>
      <c r="V194" s="294">
        <f>IFERROR('Segment Analysis'!V9/'Segment Analysis'!U9-1,"N/A")</f>
        <v>1.0000000000000009E-2</v>
      </c>
      <c r="W194" s="294">
        <f>IFERROR('Segment Analysis'!W9/'Segment Analysis'!V9-1,"N/A")</f>
        <v>2.4999999999999911E-2</v>
      </c>
      <c r="X194" s="294">
        <f>IFERROR('Segment Analysis'!X9/'Segment Analysis'!W9-1,"N/A")</f>
        <v>3.0000000000000027E-2</v>
      </c>
      <c r="Y194" s="293"/>
      <c r="Z194" s="294">
        <f>IFERROR('Segment Analysis'!Z9/'Segment Analysis'!X9-1,"N/A")</f>
        <v>1.0000000000000009E-2</v>
      </c>
      <c r="AA194" s="294">
        <f>IFERROR('Segment Analysis'!AA9/'Segment Analysis'!Z9-1,"N/A")</f>
        <v>1.0000000000000009E-2</v>
      </c>
      <c r="AB194" s="294">
        <f>IFERROR('Segment Analysis'!AB9/'Segment Analysis'!AA9-1,"N/A")</f>
        <v>1.4999999999999902E-2</v>
      </c>
      <c r="AC194" s="294">
        <f>IFERROR('Segment Analysis'!AC9/'Segment Analysis'!AB9-1,"N/A")</f>
        <v>1.4999999999999902E-2</v>
      </c>
      <c r="AD194" s="293"/>
      <c r="AE194" s="293">
        <f>IFERROR('Segment Analysis'!AE9/'Segment Analysis'!AD9-1,"N/A")</f>
        <v>-0.10000000000000009</v>
      </c>
      <c r="AF194" s="293">
        <f>IFERROR('Segment Analysis'!AF9/'Segment Analysis'!AE9-1,"N/A")</f>
        <v>2.2999999999999909E-2</v>
      </c>
      <c r="AG194" s="293">
        <f>IFERROR('Segment Analysis'!AG9/'Segment Analysis'!AF9-1,"N/A")</f>
        <v>3.0000000000000027E-2</v>
      </c>
    </row>
    <row r="195" spans="3:33" hidden="1" outlineLevel="1">
      <c r="C195" s="28" t="str">
        <f>'Segment Analysis'!C18</f>
        <v>Segment 3</v>
      </c>
      <c r="D195" s="23"/>
      <c r="E195" s="23"/>
      <c r="F195" s="292" t="str">
        <f>IFERROR('Segment Analysis'!F10/'Segment Analysis'!D10-1,"N/A")</f>
        <v>N/A</v>
      </c>
      <c r="G195" s="292" t="str">
        <f>IFERROR('Segment Analysis'!G10/'Segment Analysis'!F10-1,"N/A")</f>
        <v>N/A</v>
      </c>
      <c r="H195" s="292" t="str">
        <f>IFERROR('Segment Analysis'!H10/'Segment Analysis'!G10-1,"N/A")</f>
        <v>N/A</v>
      </c>
      <c r="I195" s="292" t="str">
        <f>IFERROR('Segment Analysis'!I10/'Segment Analysis'!H10-1,"N/A")</f>
        <v>N/A</v>
      </c>
      <c r="J195" s="293"/>
      <c r="K195" s="292" t="str">
        <f>IFERROR('Segment Analysis'!K10/'Segment Analysis'!I10-1,"N/A")</f>
        <v>N/A</v>
      </c>
      <c r="L195" s="292" t="str">
        <f>IFERROR('Segment Analysis'!L10/'Segment Analysis'!K10-1,"N/A")</f>
        <v>N/A</v>
      </c>
      <c r="M195" s="292" t="str">
        <f>IFERROR('Segment Analysis'!M10/'Segment Analysis'!L10-1,"N/A")</f>
        <v>N/A</v>
      </c>
      <c r="N195" s="292" t="str">
        <f>IFERROR('Segment Analysis'!N10/'Segment Analysis'!M10-1,"N/A")</f>
        <v>N/A</v>
      </c>
      <c r="O195" s="293"/>
      <c r="P195" s="292" t="str">
        <f>IFERROR('[14]Segment Analysis'!P10/'[14]Segment Analysis'!O10-1,"N/A")</f>
        <v>N/A</v>
      </c>
      <c r="Q195" s="292" t="str">
        <f>IFERROR('Segment Analysis'!Q10/'Segment Analysis'!P10-1,"N/A")</f>
        <v>N/A</v>
      </c>
      <c r="R195" s="292" t="str">
        <f>IFERROR('Segment Analysis'!R10/'Segment Analysis'!Q10-1,"N/A")</f>
        <v>N/A</v>
      </c>
      <c r="S195" s="292" t="str">
        <f>IFERROR('Segment Analysis'!S10/'Segment Analysis'!R10-1,"N/A")</f>
        <v>N/A</v>
      </c>
      <c r="T195" s="293"/>
      <c r="U195" s="292" t="str">
        <f>IFERROR('[14]Segment Analysis'!U10/'[14]Segment Analysis'!T10-1,"N/A")</f>
        <v>N/A</v>
      </c>
      <c r="V195" s="294" t="str">
        <f>IFERROR('Segment Analysis'!V10/'Segment Analysis'!U10-1,"N/A")</f>
        <v>N/A</v>
      </c>
      <c r="W195" s="294" t="str">
        <f>IFERROR('Segment Analysis'!W10/'Segment Analysis'!V10-1,"N/A")</f>
        <v>N/A</v>
      </c>
      <c r="X195" s="294" t="str">
        <f>IFERROR('Segment Analysis'!X10/'Segment Analysis'!W10-1,"N/A")</f>
        <v>N/A</v>
      </c>
      <c r="Y195" s="293"/>
      <c r="Z195" s="294" t="str">
        <f>IFERROR('Segment Analysis'!Z10/'Segment Analysis'!X10-1,"N/A")</f>
        <v>N/A</v>
      </c>
      <c r="AA195" s="294" t="str">
        <f>IFERROR('Segment Analysis'!AA10/'Segment Analysis'!Z10-1,"N/A")</f>
        <v>N/A</v>
      </c>
      <c r="AB195" s="294" t="str">
        <f>IFERROR('Segment Analysis'!AB10/'Segment Analysis'!AA10-1,"N/A")</f>
        <v>N/A</v>
      </c>
      <c r="AC195" s="294" t="str">
        <f>IFERROR('Segment Analysis'!AC10/'Segment Analysis'!AB10-1,"N/A")</f>
        <v>N/A</v>
      </c>
      <c r="AD195" s="293"/>
      <c r="AE195" s="293" t="str">
        <f>IFERROR('Segment Analysis'!AE10/'Segment Analysis'!AD10-1,"N/A")</f>
        <v>N/A</v>
      </c>
      <c r="AF195" s="293" t="str">
        <f>IFERROR('Segment Analysis'!AF10/'Segment Analysis'!AE10-1,"N/A")</f>
        <v>N/A</v>
      </c>
      <c r="AG195" s="293" t="str">
        <f>IFERROR('Segment Analysis'!AG10/'Segment Analysis'!AF10-1,"N/A")</f>
        <v>N/A</v>
      </c>
    </row>
    <row r="196" spans="3:33" hidden="1" outlineLevel="1">
      <c r="C196" s="28" t="str">
        <f>'Segment Analysis'!C19</f>
        <v>Segment 4</v>
      </c>
      <c r="D196" s="23"/>
      <c r="E196" s="23"/>
      <c r="F196" s="292" t="str">
        <f>IFERROR('Segment Analysis'!F11/'Segment Analysis'!D11-1,"N/A")</f>
        <v>N/A</v>
      </c>
      <c r="G196" s="292" t="str">
        <f>IFERROR('Segment Analysis'!G11/'Segment Analysis'!F11-1,"N/A")</f>
        <v>N/A</v>
      </c>
      <c r="H196" s="292" t="str">
        <f>IFERROR('Segment Analysis'!H11/'Segment Analysis'!G11-1,"N/A")</f>
        <v>N/A</v>
      </c>
      <c r="I196" s="292" t="str">
        <f>IFERROR('Segment Analysis'!I11/'Segment Analysis'!H11-1,"N/A")</f>
        <v>N/A</v>
      </c>
      <c r="J196" s="293"/>
      <c r="K196" s="292" t="str">
        <f>IFERROR('Segment Analysis'!K11/'Segment Analysis'!I11-1,"N/A")</f>
        <v>N/A</v>
      </c>
      <c r="L196" s="292" t="str">
        <f>IFERROR('Segment Analysis'!L11/'Segment Analysis'!K11-1,"N/A")</f>
        <v>N/A</v>
      </c>
      <c r="M196" s="292" t="str">
        <f>IFERROR('Segment Analysis'!M11/'Segment Analysis'!L11-1,"N/A")</f>
        <v>N/A</v>
      </c>
      <c r="N196" s="292" t="str">
        <f>IFERROR('Segment Analysis'!N11/'Segment Analysis'!M11-1,"N/A")</f>
        <v>N/A</v>
      </c>
      <c r="O196" s="293"/>
      <c r="P196" s="292" t="str">
        <f>IFERROR('[14]Segment Analysis'!P11/'[14]Segment Analysis'!O11-1,"N/A")</f>
        <v>N/A</v>
      </c>
      <c r="Q196" s="292" t="str">
        <f>IFERROR('Segment Analysis'!Q11/'Segment Analysis'!P11-1,"N/A")</f>
        <v>N/A</v>
      </c>
      <c r="R196" s="292" t="str">
        <f>IFERROR('Segment Analysis'!R11/'Segment Analysis'!Q11-1,"N/A")</f>
        <v>N/A</v>
      </c>
      <c r="S196" s="292" t="str">
        <f>IFERROR('Segment Analysis'!S11/'Segment Analysis'!R11-1,"N/A")</f>
        <v>N/A</v>
      </c>
      <c r="T196" s="293"/>
      <c r="U196" s="292" t="str">
        <f>IFERROR('[14]Segment Analysis'!U11/'[14]Segment Analysis'!T11-1,"N/A")</f>
        <v>N/A</v>
      </c>
      <c r="V196" s="294" t="str">
        <f>IFERROR('Segment Analysis'!V11/'Segment Analysis'!U11-1,"N/A")</f>
        <v>N/A</v>
      </c>
      <c r="W196" s="294" t="str">
        <f>IFERROR('Segment Analysis'!W11/'Segment Analysis'!V11-1,"N/A")</f>
        <v>N/A</v>
      </c>
      <c r="X196" s="294" t="str">
        <f>IFERROR('Segment Analysis'!X11/'Segment Analysis'!W11-1,"N/A")</f>
        <v>N/A</v>
      </c>
      <c r="Y196" s="293"/>
      <c r="Z196" s="294" t="str">
        <f>IFERROR('Segment Analysis'!Z11/'Segment Analysis'!X11-1,"N/A")</f>
        <v>N/A</v>
      </c>
      <c r="AA196" s="294" t="str">
        <f>IFERROR('Segment Analysis'!AA11/'Segment Analysis'!Z11-1,"N/A")</f>
        <v>N/A</v>
      </c>
      <c r="AB196" s="294" t="str">
        <f>IFERROR('Segment Analysis'!AB11/'Segment Analysis'!AA11-1,"N/A")</f>
        <v>N/A</v>
      </c>
      <c r="AC196" s="294" t="str">
        <f>IFERROR('Segment Analysis'!AC11/'Segment Analysis'!AB11-1,"N/A")</f>
        <v>N/A</v>
      </c>
      <c r="AD196" s="293"/>
      <c r="AE196" s="293" t="str">
        <f>IFERROR('Segment Analysis'!AE11/'Segment Analysis'!AD11-1,"N/A")</f>
        <v>N/A</v>
      </c>
      <c r="AF196" s="293" t="str">
        <f>IFERROR('Segment Analysis'!AF11/'Segment Analysis'!AE11-1,"N/A")</f>
        <v>N/A</v>
      </c>
      <c r="AG196" s="293" t="str">
        <f>IFERROR('Segment Analysis'!AG11/'Segment Analysis'!AF11-1,"N/A")</f>
        <v>N/A</v>
      </c>
    </row>
    <row r="197" spans="3:33" hidden="1" outlineLevel="1">
      <c r="C197" s="28" t="str">
        <f>'Segment Analysis'!C20</f>
        <v>Segment 5</v>
      </c>
      <c r="D197" s="23"/>
      <c r="E197" s="23"/>
      <c r="F197" s="292" t="str">
        <f>IFERROR('Segment Analysis'!F12/'Segment Analysis'!D12-1,"N/A")</f>
        <v>N/A</v>
      </c>
      <c r="G197" s="292" t="str">
        <f>IFERROR('Segment Analysis'!G12/'Segment Analysis'!F12-1,"N/A")</f>
        <v>N/A</v>
      </c>
      <c r="H197" s="292" t="str">
        <f>IFERROR('Segment Analysis'!H12/'Segment Analysis'!G12-1,"N/A")</f>
        <v>N/A</v>
      </c>
      <c r="I197" s="292" t="str">
        <f>IFERROR('Segment Analysis'!I12/'Segment Analysis'!H12-1,"N/A")</f>
        <v>N/A</v>
      </c>
      <c r="J197" s="293"/>
      <c r="K197" s="292" t="str">
        <f>IFERROR('Segment Analysis'!K12/'Segment Analysis'!I12-1,"N/A")</f>
        <v>N/A</v>
      </c>
      <c r="L197" s="292" t="str">
        <f>IFERROR('Segment Analysis'!L12/'Segment Analysis'!K12-1,"N/A")</f>
        <v>N/A</v>
      </c>
      <c r="M197" s="292" t="str">
        <f>IFERROR('Segment Analysis'!M12/'Segment Analysis'!L12-1,"N/A")</f>
        <v>N/A</v>
      </c>
      <c r="N197" s="292" t="str">
        <f>IFERROR('Segment Analysis'!N12/'Segment Analysis'!M12-1,"N/A")</f>
        <v>N/A</v>
      </c>
      <c r="O197" s="293"/>
      <c r="P197" s="292" t="str">
        <f>IFERROR('[14]Segment Analysis'!P12/'[14]Segment Analysis'!O12-1,"N/A")</f>
        <v>N/A</v>
      </c>
      <c r="Q197" s="292" t="str">
        <f>IFERROR('Segment Analysis'!Q12/'Segment Analysis'!P12-1,"N/A")</f>
        <v>N/A</v>
      </c>
      <c r="R197" s="292" t="str">
        <f>IFERROR('Segment Analysis'!R12/'Segment Analysis'!Q12-1,"N/A")</f>
        <v>N/A</v>
      </c>
      <c r="S197" s="292" t="str">
        <f>IFERROR('Segment Analysis'!S12/'Segment Analysis'!R12-1,"N/A")</f>
        <v>N/A</v>
      </c>
      <c r="T197" s="293"/>
      <c r="U197" s="292" t="str">
        <f>IFERROR('[14]Segment Analysis'!U12/'[14]Segment Analysis'!T12-1,"N/A")</f>
        <v>N/A</v>
      </c>
      <c r="V197" s="294" t="str">
        <f>IFERROR('Segment Analysis'!V12/'Segment Analysis'!U12-1,"N/A")</f>
        <v>N/A</v>
      </c>
      <c r="W197" s="294" t="str">
        <f>IFERROR('Segment Analysis'!W12/'Segment Analysis'!V12-1,"N/A")</f>
        <v>N/A</v>
      </c>
      <c r="X197" s="294" t="str">
        <f>IFERROR('Segment Analysis'!X12/'Segment Analysis'!W12-1,"N/A")</f>
        <v>N/A</v>
      </c>
      <c r="Y197" s="293"/>
      <c r="Z197" s="294" t="str">
        <f>IFERROR('Segment Analysis'!Z12/'Segment Analysis'!X12-1,"N/A")</f>
        <v>N/A</v>
      </c>
      <c r="AA197" s="294" t="str">
        <f>IFERROR('Segment Analysis'!AA12/'Segment Analysis'!Z12-1,"N/A")</f>
        <v>N/A</v>
      </c>
      <c r="AB197" s="294" t="str">
        <f>IFERROR('Segment Analysis'!AB12/'Segment Analysis'!AA12-1,"N/A")</f>
        <v>N/A</v>
      </c>
      <c r="AC197" s="294" t="str">
        <f>IFERROR('Segment Analysis'!AC12/'Segment Analysis'!AB12-1,"N/A")</f>
        <v>N/A</v>
      </c>
      <c r="AD197" s="293"/>
      <c r="AE197" s="293" t="str">
        <f>IFERROR('Segment Analysis'!AE12/'Segment Analysis'!AD12-1,"N/A")</f>
        <v>N/A</v>
      </c>
      <c r="AF197" s="293" t="str">
        <f>IFERROR('Segment Analysis'!AF12/'Segment Analysis'!AE12-1,"N/A")</f>
        <v>N/A</v>
      </c>
      <c r="AG197" s="293" t="str">
        <f>IFERROR('Segment Analysis'!AG12/'Segment Analysis'!AF12-1,"N/A")</f>
        <v>N/A</v>
      </c>
    </row>
    <row r="198" spans="3:33" hidden="1" outlineLevel="1">
      <c r="C198" s="28" t="str">
        <f>'Segment Analysis'!C21</f>
        <v>Segment 6</v>
      </c>
      <c r="D198" s="23"/>
      <c r="E198" s="23"/>
      <c r="F198" s="292" t="str">
        <f>IFERROR('Segment Analysis'!F13/'Segment Analysis'!D13-1,"N/A")</f>
        <v>N/A</v>
      </c>
      <c r="G198" s="292" t="str">
        <f>IFERROR('Segment Analysis'!G13/'Segment Analysis'!F13-1,"N/A")</f>
        <v>N/A</v>
      </c>
      <c r="H198" s="292" t="str">
        <f>IFERROR('Segment Analysis'!H13/'Segment Analysis'!G13-1,"N/A")</f>
        <v>N/A</v>
      </c>
      <c r="I198" s="292" t="str">
        <f>IFERROR('Segment Analysis'!I13/'Segment Analysis'!H13-1,"N/A")</f>
        <v>N/A</v>
      </c>
      <c r="J198" s="293"/>
      <c r="K198" s="292" t="str">
        <f>IFERROR('Segment Analysis'!K13/'Segment Analysis'!I13-1,"N/A")</f>
        <v>N/A</v>
      </c>
      <c r="L198" s="292" t="str">
        <f>IFERROR('Segment Analysis'!L13/'Segment Analysis'!K13-1,"N/A")</f>
        <v>N/A</v>
      </c>
      <c r="M198" s="292" t="str">
        <f>IFERROR('Segment Analysis'!M13/'Segment Analysis'!L13-1,"N/A")</f>
        <v>N/A</v>
      </c>
      <c r="N198" s="292" t="str">
        <f>IFERROR('Segment Analysis'!N13/'Segment Analysis'!M13-1,"N/A")</f>
        <v>N/A</v>
      </c>
      <c r="O198" s="293"/>
      <c r="P198" s="292" t="str">
        <f>IFERROR('[14]Segment Analysis'!P13/'[14]Segment Analysis'!O13-1,"N/A")</f>
        <v>N/A</v>
      </c>
      <c r="Q198" s="292" t="str">
        <f>IFERROR('Segment Analysis'!Q13/'Segment Analysis'!P13-1,"N/A")</f>
        <v>N/A</v>
      </c>
      <c r="R198" s="292" t="str">
        <f>IFERROR('Segment Analysis'!R13/'Segment Analysis'!Q13-1,"N/A")</f>
        <v>N/A</v>
      </c>
      <c r="S198" s="292" t="str">
        <f>IFERROR('Segment Analysis'!S13/'Segment Analysis'!R13-1,"N/A")</f>
        <v>N/A</v>
      </c>
      <c r="T198" s="293"/>
      <c r="U198" s="292" t="str">
        <f>IFERROR('[14]Segment Analysis'!U13/'[14]Segment Analysis'!T13-1,"N/A")</f>
        <v>N/A</v>
      </c>
      <c r="V198" s="294" t="str">
        <f>IFERROR('Segment Analysis'!V13/'Segment Analysis'!U13-1,"N/A")</f>
        <v>N/A</v>
      </c>
      <c r="W198" s="294" t="str">
        <f>IFERROR('Segment Analysis'!W13/'Segment Analysis'!V13-1,"N/A")</f>
        <v>N/A</v>
      </c>
      <c r="X198" s="294" t="str">
        <f>IFERROR('Segment Analysis'!X13/'Segment Analysis'!W13-1,"N/A")</f>
        <v>N/A</v>
      </c>
      <c r="Y198" s="293"/>
      <c r="Z198" s="294" t="str">
        <f>IFERROR('Segment Analysis'!Z13/'Segment Analysis'!X13-1,"N/A")</f>
        <v>N/A</v>
      </c>
      <c r="AA198" s="294" t="str">
        <f>IFERROR('Segment Analysis'!AA13/'Segment Analysis'!Z13-1,"N/A")</f>
        <v>N/A</v>
      </c>
      <c r="AB198" s="294" t="str">
        <f>IFERROR('Segment Analysis'!AB13/'Segment Analysis'!AA13-1,"N/A")</f>
        <v>N/A</v>
      </c>
      <c r="AC198" s="294" t="str">
        <f>IFERROR('Segment Analysis'!AC13/'Segment Analysis'!AB13-1,"N/A")</f>
        <v>N/A</v>
      </c>
      <c r="AD198" s="293"/>
      <c r="AE198" s="293" t="str">
        <f>IFERROR('Segment Analysis'!AE13/'Segment Analysis'!AD13-1,"N/A")</f>
        <v>N/A</v>
      </c>
      <c r="AF198" s="293" t="str">
        <f>IFERROR('Segment Analysis'!AF13/'Segment Analysis'!AE13-1,"N/A")</f>
        <v>N/A</v>
      </c>
      <c r="AG198" s="293" t="str">
        <f>IFERROR('Segment Analysis'!AG13/'Segment Analysis'!AF13-1,"N/A")</f>
        <v>N/A</v>
      </c>
    </row>
    <row r="199" spans="3:33" collapsed="1">
      <c r="C199" s="23"/>
      <c r="D199" s="23"/>
      <c r="E199" s="23"/>
      <c r="F199" s="268"/>
      <c r="G199" s="268"/>
      <c r="H199" s="268"/>
      <c r="I199" s="268"/>
      <c r="J199" s="269"/>
      <c r="K199" s="268"/>
      <c r="L199" s="268"/>
      <c r="M199" s="268"/>
      <c r="N199" s="268"/>
      <c r="O199" s="269"/>
      <c r="P199" s="268"/>
      <c r="Q199" s="268"/>
      <c r="R199" s="268"/>
      <c r="S199" s="268"/>
      <c r="T199" s="269"/>
      <c r="U199" s="268"/>
      <c r="V199" s="272"/>
      <c r="W199" s="272"/>
      <c r="X199" s="272"/>
      <c r="Y199" s="269"/>
      <c r="Z199" s="272"/>
      <c r="AA199" s="272"/>
      <c r="AB199" s="272"/>
      <c r="AC199" s="272"/>
      <c r="AD199" s="269"/>
      <c r="AE199" s="269"/>
      <c r="AF199" s="269"/>
      <c r="AG199" s="269"/>
    </row>
    <row r="200" spans="3:33">
      <c r="C200" s="28" t="str">
        <f>C89</f>
        <v xml:space="preserve">United States </v>
      </c>
      <c r="D200" s="23"/>
      <c r="E200" s="23"/>
      <c r="F200" s="292" t="str">
        <f>IFERROR(F88/D88-1,"N/A")</f>
        <v>N/A</v>
      </c>
      <c r="G200" s="292">
        <f t="shared" ref="G200:G204" si="212">IFERROR(G88/F88-1,"N/A")</f>
        <v>-0.12755792876018257</v>
      </c>
      <c r="H200" s="292">
        <f t="shared" ref="H200:H204" si="213">IFERROR(H88/G88-1,"N/A")</f>
        <v>0.17697270844154622</v>
      </c>
      <c r="I200" s="292">
        <f t="shared" ref="I200:I204" si="214">IFERROR(I88/H88-1,"N/A")</f>
        <v>0.33218483701277535</v>
      </c>
      <c r="J200" s="293"/>
      <c r="K200" s="292">
        <f>IFERROR(K88/I88-1,"N/A")</f>
        <v>-0.26519344366984199</v>
      </c>
      <c r="L200" s="292">
        <f t="shared" ref="L200:L204" si="215">IFERROR(L88/K88-1,"N/A")</f>
        <v>0.21603628397095842</v>
      </c>
      <c r="M200" s="292">
        <f t="shared" ref="M200:M204" si="216">IFERROR(M88/L88-1,"N/A")</f>
        <v>6.0445573374586337E-2</v>
      </c>
      <c r="N200" s="292">
        <f t="shared" ref="N200:N204" si="217">IFERROR(N88/M88-1,"N/A")</f>
        <v>-1</v>
      </c>
      <c r="O200" s="293"/>
      <c r="P200" s="292">
        <f t="shared" ref="P200:P204" si="218">IFERROR(P88/O88-1,"N/A")</f>
        <v>-0.64481487889720146</v>
      </c>
      <c r="Q200" s="292">
        <f t="shared" ref="Q200:Q204" si="219">IFERROR(Q88/P88-1,"N/A")</f>
        <v>0</v>
      </c>
      <c r="R200" s="292">
        <f t="shared" ref="R200:R204" si="220">IFERROR(R88/Q88-1,"N/A")</f>
        <v>3.5668324858186162E-2</v>
      </c>
      <c r="S200" s="292">
        <f t="shared" ref="S200:S204" si="221">IFERROR(S88/R88-1,"N/A")</f>
        <v>-1</v>
      </c>
      <c r="T200" s="293"/>
      <c r="U200" s="292">
        <f t="shared" ref="U200:U204" si="222">IFERROR(U88/T88-1,"N/A")</f>
        <v>-0.33651335013077088</v>
      </c>
      <c r="V200" s="294">
        <f t="shared" ref="V200:V204" si="223">IFERROR(V88/U88-1,"N/A")</f>
        <v>-1</v>
      </c>
      <c r="W200" s="294" t="str">
        <f t="shared" ref="W200:W204" si="224">IFERROR(W88/V88-1,"N/A")</f>
        <v>N/A</v>
      </c>
      <c r="X200" s="294" t="str">
        <f t="shared" ref="X200:X204" si="225">IFERROR(X88/W88-1,"N/A")</f>
        <v>N/A</v>
      </c>
      <c r="Y200" s="293"/>
      <c r="Z200" s="294" t="str">
        <f>IFERROR(Z88/X88-1,"N/A")</f>
        <v>N/A</v>
      </c>
      <c r="AA200" s="294" t="str">
        <f t="shared" ref="AA200:AC204" si="226">IFERROR(AA88/Z88-1,"N/A")</f>
        <v>N/A</v>
      </c>
      <c r="AB200" s="294" t="str">
        <f t="shared" si="226"/>
        <v>N/A</v>
      </c>
      <c r="AC200" s="294" t="str">
        <f t="shared" si="226"/>
        <v>N/A</v>
      </c>
      <c r="AD200" s="293"/>
      <c r="AE200" s="293" t="str">
        <f t="shared" ref="AE200:AG204" si="227">IFERROR(AE88/AD88-1,"N/A")</f>
        <v>N/A</v>
      </c>
      <c r="AF200" s="293" t="str">
        <f t="shared" si="227"/>
        <v>N/A</v>
      </c>
      <c r="AG200" s="293" t="str">
        <f t="shared" si="227"/>
        <v>N/A</v>
      </c>
    </row>
    <row r="201" spans="3:33">
      <c r="C201" s="28" t="str">
        <f>C90</f>
        <v xml:space="preserve">Europe and Other </v>
      </c>
      <c r="D201" s="23"/>
      <c r="E201" s="23"/>
      <c r="F201" s="292" t="str">
        <f>IFERROR(F89/D89-1,"N/A")</f>
        <v>N/A</v>
      </c>
      <c r="G201" s="292">
        <f t="shared" si="212"/>
        <v>-0.12892597953379148</v>
      </c>
      <c r="H201" s="292">
        <f t="shared" si="213"/>
        <v>0.21297764918457585</v>
      </c>
      <c r="I201" s="292">
        <f t="shared" si="214"/>
        <v>0.34679429916681226</v>
      </c>
      <c r="J201" s="293"/>
      <c r="K201" s="292">
        <f>IFERROR(K89/I89-1,"N/A")</f>
        <v>-0.19048719854612184</v>
      </c>
      <c r="L201" s="292">
        <f t="shared" si="215"/>
        <v>0.17413824917185816</v>
      </c>
      <c r="M201" s="292">
        <f t="shared" si="216"/>
        <v>-6.0492787786945001E-2</v>
      </c>
      <c r="N201" s="292">
        <f t="shared" si="217"/>
        <v>-1</v>
      </c>
      <c r="O201" s="293"/>
      <c r="P201" s="292">
        <f t="shared" si="218"/>
        <v>-0.62477864124263871</v>
      </c>
      <c r="Q201" s="292">
        <f t="shared" si="219"/>
        <v>0</v>
      </c>
      <c r="R201" s="292">
        <f t="shared" si="220"/>
        <v>-0.10293836559777492</v>
      </c>
      <c r="S201" s="292">
        <f t="shared" si="221"/>
        <v>-1</v>
      </c>
      <c r="T201" s="293"/>
      <c r="U201" s="292">
        <f t="shared" si="222"/>
        <v>-0.28968206499286586</v>
      </c>
      <c r="V201" s="294">
        <f t="shared" si="223"/>
        <v>-1</v>
      </c>
      <c r="W201" s="294" t="str">
        <f t="shared" si="224"/>
        <v>N/A</v>
      </c>
      <c r="X201" s="294" t="str">
        <f t="shared" si="225"/>
        <v>N/A</v>
      </c>
      <c r="Y201" s="293"/>
      <c r="Z201" s="294" t="str">
        <f>IFERROR(Z89/X89-1,"N/A")</f>
        <v>N/A</v>
      </c>
      <c r="AA201" s="294" t="str">
        <f t="shared" si="226"/>
        <v>N/A</v>
      </c>
      <c r="AB201" s="294" t="str">
        <f t="shared" si="226"/>
        <v>N/A</v>
      </c>
      <c r="AC201" s="294" t="str">
        <f t="shared" si="226"/>
        <v>N/A</v>
      </c>
      <c r="AD201" s="293"/>
      <c r="AE201" s="293" t="str">
        <f t="shared" si="227"/>
        <v>N/A</v>
      </c>
      <c r="AF201" s="293" t="str">
        <f t="shared" si="227"/>
        <v>N/A</v>
      </c>
      <c r="AG201" s="293" t="str">
        <f t="shared" si="227"/>
        <v>N/A</v>
      </c>
    </row>
    <row r="202" spans="3:33">
      <c r="C202" s="28" t="str">
        <f>C91</f>
        <v>Latin America</v>
      </c>
      <c r="D202" s="23"/>
      <c r="E202" s="23"/>
      <c r="F202" s="292" t="str">
        <f>IFERROR(F90/D90-1,"N/A")</f>
        <v>N/A</v>
      </c>
      <c r="G202" s="292">
        <f t="shared" si="212"/>
        <v>-0.16378739501858686</v>
      </c>
      <c r="H202" s="292">
        <f t="shared" si="213"/>
        <v>0.13736328354698335</v>
      </c>
      <c r="I202" s="292">
        <f t="shared" si="214"/>
        <v>0.27243649398545489</v>
      </c>
      <c r="J202" s="293"/>
      <c r="K202" s="292">
        <f>IFERROR(K90/I90-1,"N/A")</f>
        <v>-0.47488975328573135</v>
      </c>
      <c r="L202" s="292">
        <f t="shared" si="215"/>
        <v>0.41089262132717064</v>
      </c>
      <c r="M202" s="292">
        <f t="shared" si="216"/>
        <v>0.52990384263829471</v>
      </c>
      <c r="N202" s="292">
        <f t="shared" si="217"/>
        <v>-1</v>
      </c>
      <c r="O202" s="293"/>
      <c r="P202" s="292">
        <f t="shared" si="218"/>
        <v>-0.83595353405357808</v>
      </c>
      <c r="Q202" s="292">
        <f t="shared" si="219"/>
        <v>0</v>
      </c>
      <c r="R202" s="292">
        <f t="shared" si="220"/>
        <v>1.8795848989085706</v>
      </c>
      <c r="S202" s="292">
        <f t="shared" si="221"/>
        <v>-1</v>
      </c>
      <c r="T202" s="293"/>
      <c r="U202" s="292">
        <f t="shared" si="222"/>
        <v>-0.38227429654534373</v>
      </c>
      <c r="V202" s="294">
        <f t="shared" si="223"/>
        <v>-1</v>
      </c>
      <c r="W202" s="294" t="str">
        <f t="shared" si="224"/>
        <v>N/A</v>
      </c>
      <c r="X202" s="294" t="str">
        <f t="shared" si="225"/>
        <v>N/A</v>
      </c>
      <c r="Y202" s="293"/>
      <c r="Z202" s="294" t="str">
        <f>IFERROR(Z90/X90-1,"N/A")</f>
        <v>N/A</v>
      </c>
      <c r="AA202" s="294" t="str">
        <f t="shared" si="226"/>
        <v>N/A</v>
      </c>
      <c r="AB202" s="294" t="str">
        <f t="shared" si="226"/>
        <v>N/A</v>
      </c>
      <c r="AC202" s="294" t="str">
        <f t="shared" si="226"/>
        <v>N/A</v>
      </c>
      <c r="AD202" s="293"/>
      <c r="AE202" s="293" t="str">
        <f t="shared" si="227"/>
        <v>N/A</v>
      </c>
      <c r="AF202" s="293" t="str">
        <f t="shared" si="227"/>
        <v>N/A</v>
      </c>
      <c r="AG202" s="293" t="str">
        <f t="shared" si="227"/>
        <v>N/A</v>
      </c>
    </row>
    <row r="203" spans="3:33">
      <c r="C203" s="28" t="str">
        <f>C92</f>
        <v>Middle East &amp; Africa</v>
      </c>
      <c r="D203" s="23"/>
      <c r="E203" s="23"/>
      <c r="F203" s="292" t="str">
        <f>IFERROR(F91/D91-1,"N/A")</f>
        <v>N/A</v>
      </c>
      <c r="G203" s="292">
        <f t="shared" si="212"/>
        <v>3.333143183114661</v>
      </c>
      <c r="H203" s="292">
        <f t="shared" si="213"/>
        <v>-0.78962611901000523</v>
      </c>
      <c r="I203" s="292">
        <f t="shared" si="214"/>
        <v>1.9386733416770965</v>
      </c>
      <c r="J203" s="293"/>
      <c r="K203" s="292">
        <f>IFERROR(K91/I91-1,"N/A")</f>
        <v>-0.96890971039182283</v>
      </c>
      <c r="L203" s="292">
        <f t="shared" si="215"/>
        <v>1.493150684931507</v>
      </c>
      <c r="M203" s="292">
        <f t="shared" si="216"/>
        <v>1.2747252747252746</v>
      </c>
      <c r="N203" s="292">
        <f t="shared" si="217"/>
        <v>-1</v>
      </c>
      <c r="O203" s="293"/>
      <c r="P203" s="292">
        <f t="shared" si="218"/>
        <v>20.004484304932735</v>
      </c>
      <c r="Q203" s="292">
        <f t="shared" si="219"/>
        <v>0</v>
      </c>
      <c r="R203" s="292">
        <f t="shared" si="220"/>
        <v>-0.97053800170794191</v>
      </c>
      <c r="S203" s="292">
        <f t="shared" si="221"/>
        <v>-1</v>
      </c>
      <c r="T203" s="293"/>
      <c r="U203" s="292">
        <f t="shared" si="222"/>
        <v>-1</v>
      </c>
      <c r="V203" s="294" t="str">
        <f t="shared" si="223"/>
        <v>N/A</v>
      </c>
      <c r="W203" s="294" t="str">
        <f t="shared" si="224"/>
        <v>N/A</v>
      </c>
      <c r="X203" s="294" t="str">
        <f t="shared" si="225"/>
        <v>N/A</v>
      </c>
      <c r="Y203" s="293"/>
      <c r="Z203" s="294" t="str">
        <f>IFERROR(Z91/X91-1,"N/A")</f>
        <v>N/A</v>
      </c>
      <c r="AA203" s="294" t="str">
        <f t="shared" si="226"/>
        <v>N/A</v>
      </c>
      <c r="AB203" s="294" t="str">
        <f t="shared" si="226"/>
        <v>N/A</v>
      </c>
      <c r="AC203" s="294" t="str">
        <f t="shared" si="226"/>
        <v>N/A</v>
      </c>
      <c r="AD203" s="293"/>
      <c r="AE203" s="293" t="str">
        <f t="shared" si="227"/>
        <v>N/A</v>
      </c>
      <c r="AF203" s="293" t="str">
        <f t="shared" si="227"/>
        <v>N/A</v>
      </c>
      <c r="AG203" s="293" t="str">
        <f t="shared" si="227"/>
        <v>N/A</v>
      </c>
    </row>
    <row r="204" spans="3:33">
      <c r="C204" s="28" t="str">
        <f>C93</f>
        <v>Asia Pacific</v>
      </c>
      <c r="D204" s="23"/>
      <c r="E204" s="23"/>
      <c r="F204" s="292" t="str">
        <f>IFERROR(F92/D92-1,"N/A")</f>
        <v>N/A</v>
      </c>
      <c r="G204" s="292" t="str">
        <f t="shared" si="212"/>
        <v>N/A</v>
      </c>
      <c r="H204" s="292" t="str">
        <f t="shared" si="213"/>
        <v>N/A</v>
      </c>
      <c r="I204" s="292" t="str">
        <f t="shared" si="214"/>
        <v>N/A</v>
      </c>
      <c r="J204" s="293"/>
      <c r="K204" s="292" t="str">
        <f>IFERROR(K92/I92-1,"N/A")</f>
        <v>N/A</v>
      </c>
      <c r="L204" s="292" t="str">
        <f t="shared" si="215"/>
        <v>N/A</v>
      </c>
      <c r="M204" s="292" t="str">
        <f t="shared" si="216"/>
        <v>N/A</v>
      </c>
      <c r="N204" s="292" t="str">
        <f t="shared" si="217"/>
        <v>N/A</v>
      </c>
      <c r="O204" s="293"/>
      <c r="P204" s="292" t="str">
        <f t="shared" si="218"/>
        <v>N/A</v>
      </c>
      <c r="Q204" s="292" t="str">
        <f t="shared" si="219"/>
        <v>N/A</v>
      </c>
      <c r="R204" s="292" t="str">
        <f t="shared" si="220"/>
        <v>N/A</v>
      </c>
      <c r="S204" s="292" t="str">
        <f t="shared" si="221"/>
        <v>N/A</v>
      </c>
      <c r="T204" s="293"/>
      <c r="U204" s="292" t="str">
        <f t="shared" si="222"/>
        <v>N/A</v>
      </c>
      <c r="V204" s="294" t="str">
        <f t="shared" si="223"/>
        <v>N/A</v>
      </c>
      <c r="W204" s="294" t="str">
        <f t="shared" si="224"/>
        <v>N/A</v>
      </c>
      <c r="X204" s="294" t="str">
        <f t="shared" si="225"/>
        <v>N/A</v>
      </c>
      <c r="Y204" s="293"/>
      <c r="Z204" s="294" t="str">
        <f>IFERROR(Z92/X92-1,"N/A")</f>
        <v>N/A</v>
      </c>
      <c r="AA204" s="294" t="str">
        <f t="shared" si="226"/>
        <v>N/A</v>
      </c>
      <c r="AB204" s="294" t="str">
        <f t="shared" si="226"/>
        <v>N/A</v>
      </c>
      <c r="AC204" s="294" t="str">
        <f t="shared" si="226"/>
        <v>N/A</v>
      </c>
      <c r="AD204" s="293"/>
      <c r="AE204" s="293" t="str">
        <f t="shared" si="227"/>
        <v>N/A</v>
      </c>
      <c r="AF204" s="293" t="str">
        <f t="shared" si="227"/>
        <v>N/A</v>
      </c>
      <c r="AG204" s="293" t="str">
        <f t="shared" si="227"/>
        <v>N/A</v>
      </c>
    </row>
    <row r="205" spans="3:33">
      <c r="C205" s="23"/>
      <c r="D205" s="23"/>
      <c r="E205" s="23"/>
      <c r="F205" s="268"/>
      <c r="G205" s="268"/>
      <c r="H205" s="268"/>
      <c r="I205" s="268"/>
      <c r="J205" s="269"/>
      <c r="K205" s="268"/>
      <c r="L205" s="268"/>
      <c r="M205" s="268"/>
      <c r="N205" s="268"/>
      <c r="O205" s="269"/>
      <c r="P205" s="268"/>
      <c r="Q205" s="268"/>
      <c r="R205" s="268"/>
      <c r="S205" s="268"/>
      <c r="T205" s="269"/>
      <c r="U205" s="268"/>
      <c r="V205" s="272"/>
      <c r="W205" s="272"/>
      <c r="X205" s="272"/>
      <c r="Y205" s="269"/>
      <c r="Z205" s="272"/>
      <c r="AA205" s="272"/>
      <c r="AB205" s="272"/>
      <c r="AC205" s="272"/>
      <c r="AD205" s="269"/>
      <c r="AE205" s="269"/>
      <c r="AF205" s="269"/>
      <c r="AG205" s="269"/>
    </row>
    <row r="206" spans="3:33">
      <c r="C206" s="23" t="s">
        <v>69</v>
      </c>
      <c r="D206" s="23"/>
      <c r="E206" s="23"/>
      <c r="F206" s="292" t="str">
        <f>IFERROR(Model!F37/Model!E37-1,"N/A")</f>
        <v>N/A</v>
      </c>
      <c r="G206" s="292">
        <f>IFERROR(Model!G37/Model!F37-1,"N/A")</f>
        <v>-0.44274589241503493</v>
      </c>
      <c r="H206" s="292">
        <f>IFERROR(Model!H37/Model!G37-1,"N/A")</f>
        <v>0.30878717870009864</v>
      </c>
      <c r="I206" s="292">
        <f>IFERROR(Model!I37/Model!H37-1,"N/A")</f>
        <v>0.50438217504011851</v>
      </c>
      <c r="J206" s="293"/>
      <c r="K206" s="292">
        <f>IFERROR(Model!K37/Model!J37-1,"N/A")</f>
        <v>-0.76504581590626097</v>
      </c>
      <c r="L206" s="292">
        <f>IFERROR(Model!L37/Model!K37-1,"N/A")</f>
        <v>0.27318023282148851</v>
      </c>
      <c r="M206" s="292">
        <f ca="1">IFERROR(Model!M37/Model!L37-1,"N/A")</f>
        <v>0.12237619183150694</v>
      </c>
      <c r="N206" s="292">
        <f ca="1">IFERROR(Model!N37/Model!M37-1,"N/A")</f>
        <v>0.71764230412628471</v>
      </c>
      <c r="O206" s="293"/>
      <c r="P206" s="292" t="str">
        <f>IFERROR([14]Model!P37/[14]Model!O37-1,"N/A")</f>
        <v>N/A</v>
      </c>
      <c r="Q206" s="292">
        <f>IFERROR(Model!Q37/Model!P37-1,"N/A")</f>
        <v>0.3399464364648066</v>
      </c>
      <c r="R206" s="292">
        <f>IFERROR(Model!R37/Model!Q37-1,"N/A")</f>
        <v>0.4444854106430185</v>
      </c>
      <c r="S206" s="292">
        <f>IFERROR(Model!S37/Model!R37-1,"N/A")</f>
        <v>0.43703988966307827</v>
      </c>
      <c r="T206" s="293"/>
      <c r="U206" s="292" t="str">
        <f>IFERROR([14]Model!U37/[14]Model!T37-1,"N/A")</f>
        <v>N/A</v>
      </c>
      <c r="V206" s="294">
        <f>IFERROR(Model!V37/Model!U37-1,"N/A")</f>
        <v>-7.1386001952199019E-2</v>
      </c>
      <c r="W206" s="294">
        <f>IFERROR(Model!W37/Model!V37-1,"N/A")</f>
        <v>0.17337593098710657</v>
      </c>
      <c r="X206" s="294">
        <f>IFERROR(Model!X37/Model!W37-1,"N/A")</f>
        <v>0.37718255730718453</v>
      </c>
      <c r="Y206" s="293"/>
      <c r="Z206" s="294">
        <f>IFERROR(Model!Z37/Model!Y37-1,"N/A")</f>
        <v>-0.79051519405320914</v>
      </c>
      <c r="AA206" s="294">
        <f>IFERROR(Model!AA37/Model!Z37-1,"N/A")</f>
        <v>0.15813515609183004</v>
      </c>
      <c r="AB206" s="294">
        <f>IFERROR(Model!AB37/Model!AA37-1,"N/A")</f>
        <v>0.17698910714320681</v>
      </c>
      <c r="AC206" s="294">
        <f>IFERROR(Model!AC37/Model!AB37-1,"N/A")</f>
        <v>0.38618180793000723</v>
      </c>
      <c r="AD206" s="293"/>
      <c r="AE206" s="293">
        <f>IFERROR(Model!AE37/Model!AD37-1,"N/A")</f>
        <v>3.3933145506960694E-2</v>
      </c>
      <c r="AF206" s="293">
        <f>IFERROR(Model!AF37/Model!AE37-1,"N/A")</f>
        <v>-9.2443784269622853E-2</v>
      </c>
      <c r="AG206" s="293">
        <f>IFERROR(Model!AG37/Model!AF37-1,"N/A")</f>
        <v>0.23311180458724912</v>
      </c>
    </row>
    <row r="207" spans="3:33">
      <c r="C207" s="23"/>
      <c r="D207" s="23"/>
      <c r="E207" s="23"/>
      <c r="F207" s="268"/>
      <c r="G207" s="268"/>
      <c r="H207" s="268"/>
      <c r="I207" s="268"/>
      <c r="J207" s="269"/>
      <c r="K207" s="268"/>
      <c r="L207" s="268"/>
      <c r="M207" s="268"/>
      <c r="N207" s="268"/>
      <c r="O207" s="269"/>
      <c r="P207" s="268"/>
      <c r="Q207" s="268"/>
      <c r="R207" s="268"/>
      <c r="S207" s="268"/>
      <c r="T207" s="269"/>
      <c r="U207" s="268"/>
      <c r="V207" s="272"/>
      <c r="W207" s="272"/>
      <c r="X207" s="272"/>
      <c r="Y207" s="269"/>
      <c r="Z207" s="272"/>
      <c r="AA207" s="272"/>
      <c r="AB207" s="272"/>
      <c r="AC207" s="272"/>
      <c r="AD207" s="269"/>
      <c r="AE207" s="269"/>
      <c r="AF207" s="269"/>
      <c r="AG207" s="269"/>
    </row>
    <row r="208" spans="3:33">
      <c r="C208" s="23" t="s">
        <v>70</v>
      </c>
      <c r="D208" s="23"/>
      <c r="E208" s="23"/>
      <c r="F208" s="292" t="str">
        <f>IFERROR(Model!F62/Model!D62-1,"N/A")</f>
        <v>N/A</v>
      </c>
      <c r="G208" s="292">
        <f>IFERROR(Model!G62/Model!F62-1,"N/A")</f>
        <v>-0.42328811369509045</v>
      </c>
      <c r="H208" s="292">
        <f>IFERROR(Model!H62/Model!G62-1,"N/A")</f>
        <v>0.28016625152913077</v>
      </c>
      <c r="I208" s="292">
        <f>IFERROR(Model!I62/Model!H62-1,"N/A")</f>
        <v>0.47188514587027108</v>
      </c>
      <c r="J208" s="293"/>
      <c r="K208" s="292">
        <f>IFERROR(Model!K62/Model!I62-1,"N/A")</f>
        <v>-0.26003363447925221</v>
      </c>
      <c r="L208" s="292">
        <f>IFERROR(Model!L62/Model!K62-1,"N/A")</f>
        <v>0.25655119924736525</v>
      </c>
      <c r="M208" s="292">
        <f ca="1">IFERROR(Model!M62/Model!L62-1,"N/A")</f>
        <v>0.11117934567724674</v>
      </c>
      <c r="N208" s="292">
        <f ca="1">IFERROR(Model!N62/Model!M62-1,"N/A")</f>
        <v>0.68518476458697686</v>
      </c>
      <c r="O208" s="293"/>
      <c r="P208" s="292" t="str">
        <f>IFERROR([14]Model!P62/[14]Model!O62-1,"N/A")</f>
        <v>N/A</v>
      </c>
      <c r="Q208" s="292">
        <f>IFERROR(Model!Q62/Model!P62-1,"N/A")</f>
        <v>0.32711181429383696</v>
      </c>
      <c r="R208" s="292">
        <f>IFERROR(Model!R62/Model!Q62-1,"N/A")</f>
        <v>0.43541406652633663</v>
      </c>
      <c r="S208" s="292">
        <f>IFERROR(Model!S62/Model!R62-1,"N/A")</f>
        <v>0.44130344505389929</v>
      </c>
      <c r="T208" s="293"/>
      <c r="U208" s="292" t="str">
        <f>IFERROR([14]Model!U62/[14]Model!T62-1,"N/A")</f>
        <v>N/A</v>
      </c>
      <c r="V208" s="294">
        <f>IFERROR(Model!V62/Model!U62-1,"N/A")</f>
        <v>-8.0281560622629922E-2</v>
      </c>
      <c r="W208" s="294">
        <f>IFERROR(Model!W62/Model!V62-1,"N/A")</f>
        <v>0.17044518487934512</v>
      </c>
      <c r="X208" s="294">
        <f>IFERROR(Model!X62/Model!W62-1,"N/A")</f>
        <v>0.3692540048686217</v>
      </c>
      <c r="Y208" s="293"/>
      <c r="Z208" s="294">
        <f ca="1">IFERROR(Model!Z62/Model!X62-1,"N/A")</f>
        <v>-0.37995763528590931</v>
      </c>
      <c r="AA208" s="294">
        <f ca="1">IFERROR(Model!AA62/Model!Z62-1,"N/A")</f>
        <v>0.15934542163667453</v>
      </c>
      <c r="AB208" s="294">
        <f ca="1">IFERROR(Model!AB62/Model!AA62-1,"N/A")</f>
        <v>0.17789768147026974</v>
      </c>
      <c r="AC208" s="294">
        <f ca="1">IFERROR(Model!AC62/Model!AB62-1,"N/A")</f>
        <v>0.38622072833315246</v>
      </c>
      <c r="AD208" s="293"/>
      <c r="AE208" s="293">
        <f ca="1">IFERROR(Model!AE62/Model!AD62-1,"N/A")</f>
        <v>4.2373101953708359E-2</v>
      </c>
      <c r="AF208" s="293">
        <f ca="1">IFERROR(Model!AF62/Model!AE62-1,"N/A")</f>
        <v>-8.5373114653124915E-2</v>
      </c>
      <c r="AG208" s="293">
        <f ca="1">IFERROR(Model!AG62/Model!AF62-1,"N/A")</f>
        <v>0.23416699935347296</v>
      </c>
    </row>
    <row r="209" spans="3:33">
      <c r="C209" s="56"/>
      <c r="D209" s="163"/>
      <c r="E209" s="163"/>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row>
    <row r="210" spans="3:33">
      <c r="C210" s="577" t="s">
        <v>235</v>
      </c>
      <c r="D210" s="147"/>
      <c r="E210" s="147"/>
      <c r="F210" s="578"/>
      <c r="G210" s="578"/>
      <c r="H210" s="578"/>
      <c r="I210" s="578"/>
      <c r="J210" s="578"/>
      <c r="K210" s="578"/>
      <c r="L210" s="578"/>
      <c r="M210" s="578"/>
      <c r="N210" s="578"/>
      <c r="O210" s="578"/>
      <c r="P210" s="578"/>
      <c r="Q210" s="578"/>
      <c r="R210" s="578"/>
      <c r="S210" s="578"/>
      <c r="T210" s="578"/>
      <c r="U210" s="578"/>
      <c r="V210" s="578"/>
      <c r="W210" s="578"/>
      <c r="X210" s="578"/>
      <c r="Y210" s="578"/>
      <c r="Z210" s="578"/>
      <c r="AA210" s="578"/>
      <c r="AB210" s="578"/>
      <c r="AC210" s="578"/>
      <c r="AD210" s="578"/>
      <c r="AE210" s="578"/>
      <c r="AF210" s="578"/>
      <c r="AG210" s="744"/>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pageSetUpPr autoPageBreaks="0"/>
  </sheetPr>
  <dimension ref="A1:AI175"/>
  <sheetViews>
    <sheetView showGridLines="0" zoomScale="80" zoomScaleNormal="80" workbookViewId="0"/>
  </sheetViews>
  <sheetFormatPr defaultColWidth="8.7109375" defaultRowHeight="12.75" outlineLevelRow="1" outlineLevelCol="1"/>
  <cols>
    <col min="1" max="2" width="1.7109375" style="23" customWidth="1"/>
    <col min="3" max="3" width="51.28515625" style="23" bestFit="1" customWidth="1"/>
    <col min="4" max="5" width="1.7109375" style="23" customWidth="1"/>
    <col min="6" max="6" width="13.140625" style="23" hidden="1" customWidth="1" outlineLevel="1"/>
    <col min="7" max="8" width="13.42578125" style="23" hidden="1" customWidth="1" outlineLevel="1"/>
    <col min="9" max="9" width="14.85546875" style="23" hidden="1" customWidth="1" outlineLevel="1"/>
    <col min="10" max="10" width="13.140625" style="23" bestFit="1" customWidth="1" collapsed="1"/>
    <col min="11" max="14" width="12.7109375" style="23" hidden="1" customWidth="1" outlineLevel="1"/>
    <col min="15" max="15" width="12.7109375" style="23" customWidth="1" collapsed="1"/>
    <col min="16" max="19" width="12.7109375" style="23" hidden="1" customWidth="1" outlineLevel="1"/>
    <col min="20" max="20" width="14.5703125" style="23" bestFit="1" customWidth="1" collapsed="1"/>
    <col min="21" max="21" width="12.7109375" style="1068" hidden="1" customWidth="1" outlineLevel="1"/>
    <col min="22" max="24" width="12.85546875" style="23" hidden="1" customWidth="1" outlineLevel="1"/>
    <col min="25" max="25" width="12.7109375" style="23" collapsed="1"/>
    <col min="26" max="29" width="12.85546875" style="23" hidden="1" customWidth="1" outlineLevel="1"/>
    <col min="30" max="30" width="12.7109375" style="23" collapsed="1"/>
    <col min="31" max="33" width="12.7109375" style="23"/>
    <col min="34" max="35" width="1.7109375" style="23" customWidth="1"/>
    <col min="36" max="16384" width="8.7109375" style="23"/>
  </cols>
  <sheetData>
    <row r="1" spans="1:35" s="2" customFormat="1" ht="20.25">
      <c r="C1" s="508" t="str">
        <f ca="1">Company_Name&amp;" - "&amp;MID(CELL("filename",A1),FIND("]",CELL("filename",A1))+1,255)&amp;": "&amp;Case_Scenario&amp;" Case"</f>
        <v>Evercore Inc. - Drivers: Base Case</v>
      </c>
    </row>
    <row r="2" spans="1:35" s="3" customFormat="1" ht="15">
      <c r="C2" s="4" t="str">
        <f>Cover!C2</f>
        <v>$ in Thousands Except Per Share Data</v>
      </c>
    </row>
    <row r="3" spans="1:35">
      <c r="A3" s="588"/>
    </row>
    <row r="4" spans="1:35">
      <c r="A4" s="22" t="s">
        <v>1</v>
      </c>
      <c r="C4" s="519" t="s">
        <v>240</v>
      </c>
      <c r="D4" s="520"/>
      <c r="E4" s="520"/>
      <c r="F4" s="574" t="str">
        <f>Model!F$25</f>
        <v>1Q23</v>
      </c>
      <c r="G4" s="521" t="str">
        <f>Model!G$25</f>
        <v>2Q23</v>
      </c>
      <c r="H4" s="521" t="str">
        <f>Model!H$25</f>
        <v>3Q23</v>
      </c>
      <c r="I4" s="521" t="str">
        <f>Model!I$25</f>
        <v>4Q23</v>
      </c>
      <c r="J4" s="521">
        <f>Model!J$25</f>
        <v>2023</v>
      </c>
      <c r="K4" s="521" t="str">
        <f>Model!K$25</f>
        <v>1Q24</v>
      </c>
      <c r="L4" s="521" t="str">
        <f>Model!L$25</f>
        <v>2Q24</v>
      </c>
      <c r="M4" s="521" t="str">
        <f>Model!M$25</f>
        <v>3Q24</v>
      </c>
      <c r="N4" s="521" t="str">
        <f>Model!N$25</f>
        <v>4Q24</v>
      </c>
      <c r="O4" s="521">
        <f>Model!O$25</f>
        <v>2024</v>
      </c>
      <c r="P4" s="521" t="str">
        <f>Model!P$25</f>
        <v>1Q25</v>
      </c>
      <c r="Q4" s="521" t="str">
        <f>Model!Q$25</f>
        <v>2Q25</v>
      </c>
      <c r="R4" s="521" t="str">
        <f>Model!R$25</f>
        <v>3Q25</v>
      </c>
      <c r="S4" s="521" t="str">
        <f>Model!S$25</f>
        <v>4Q25</v>
      </c>
      <c r="T4" s="521">
        <f>Model!T$25</f>
        <v>2025</v>
      </c>
      <c r="U4" s="521" t="str">
        <f>Model!U$25</f>
        <v>1Q26</v>
      </c>
      <c r="V4" s="521" t="str">
        <f>Model!V$25</f>
        <v>2Q26e</v>
      </c>
      <c r="W4" s="521" t="str">
        <f>Model!W$25</f>
        <v>3Q26e</v>
      </c>
      <c r="X4" s="521" t="str">
        <f>Model!X$25</f>
        <v>4Q26e</v>
      </c>
      <c r="Y4" s="521" t="str">
        <f>Model!Y$25</f>
        <v>2026e</v>
      </c>
      <c r="Z4" s="521" t="str">
        <f>Model!Z$25</f>
        <v>1Q27e</v>
      </c>
      <c r="AA4" s="521" t="str">
        <f>Model!AA$25</f>
        <v>2Q27e</v>
      </c>
      <c r="AB4" s="521" t="str">
        <f>Model!AB$25</f>
        <v>3Q27e</v>
      </c>
      <c r="AC4" s="521" t="str">
        <f>Model!AC$25</f>
        <v>4Q27e</v>
      </c>
      <c r="AD4" s="521" t="str">
        <f>Model!AD$25</f>
        <v>2027e</v>
      </c>
      <c r="AE4" s="521" t="str">
        <f>Model!AE$25</f>
        <v>2028e</v>
      </c>
      <c r="AF4" s="521" t="str">
        <f>Model!AF$25</f>
        <v>2029e</v>
      </c>
      <c r="AG4" s="524" t="str">
        <f>Model!AG$25</f>
        <v>2030e</v>
      </c>
      <c r="AH4" s="22" t="s">
        <v>1</v>
      </c>
      <c r="AI4" s="22"/>
    </row>
    <row r="5" spans="1:35">
      <c r="A5" s="22"/>
      <c r="C5" s="709" t="str">
        <f>IF(Cover!$F$37="Bottom Up","Operating Margins","Gross Margin")</f>
        <v>Gross Margin</v>
      </c>
      <c r="D5" s="710"/>
      <c r="E5" s="710"/>
      <c r="F5" s="711"/>
      <c r="G5" s="712"/>
      <c r="H5" s="712"/>
      <c r="I5" s="712"/>
      <c r="J5" s="712"/>
      <c r="K5" s="712"/>
      <c r="L5" s="712"/>
      <c r="M5" s="712"/>
      <c r="N5" s="712"/>
      <c r="O5" s="712"/>
      <c r="P5" s="712"/>
      <c r="Q5" s="712"/>
      <c r="R5" s="712"/>
      <c r="S5" s="712"/>
      <c r="T5" s="712"/>
      <c r="U5" s="712"/>
      <c r="V5" s="712"/>
      <c r="W5" s="712"/>
      <c r="X5" s="712"/>
      <c r="Y5" s="712"/>
      <c r="Z5" s="712"/>
      <c r="AA5" s="712"/>
      <c r="AB5" s="712"/>
      <c r="AC5" s="712"/>
      <c r="AD5" s="712"/>
      <c r="AE5" s="712"/>
      <c r="AF5" s="712"/>
      <c r="AG5" s="713"/>
    </row>
    <row r="6" spans="1:35">
      <c r="F6" s="77"/>
      <c r="G6" s="77"/>
      <c r="H6" s="77"/>
      <c r="I6" s="77"/>
      <c r="J6" s="78"/>
      <c r="K6" s="77"/>
      <c r="L6" s="77"/>
      <c r="M6" s="77"/>
      <c r="N6" s="77"/>
      <c r="O6" s="78"/>
      <c r="P6" s="77"/>
      <c r="Q6" s="77"/>
      <c r="R6" s="77"/>
      <c r="S6" s="77"/>
      <c r="T6" s="78"/>
      <c r="U6" s="77"/>
      <c r="V6" s="110"/>
      <c r="W6" s="110"/>
      <c r="X6" s="110"/>
      <c r="Y6" s="714"/>
      <c r="Z6" s="110"/>
      <c r="AA6" s="110"/>
      <c r="AB6" s="110"/>
      <c r="AC6" s="110"/>
      <c r="AD6" s="714"/>
      <c r="AE6" s="714"/>
      <c r="AF6" s="714"/>
      <c r="AG6" s="714"/>
    </row>
    <row r="7" spans="1:35">
      <c r="C7" s="23" t="str">
        <f>IF($C$5="Operating Margins",'Segment Analysis'!C16,"Total Company")</f>
        <v>Total Company</v>
      </c>
      <c r="F7" s="292">
        <f>IF($C$5="Operating Margins",'Segment Analysis'!F155,Model!F67)</f>
        <v>1</v>
      </c>
      <c r="G7" s="292">
        <f>IF($C$5="Operating Margins",'Segment Analysis'!G155,Model!G67)</f>
        <v>1</v>
      </c>
      <c r="H7" s="292">
        <f>IF($C$5="Operating Margins",'Segment Analysis'!H155,Model!H67)</f>
        <v>1</v>
      </c>
      <c r="I7" s="292">
        <f>IF($C$5="Operating Margins",'Segment Analysis'!I155,Model!I67)</f>
        <v>1</v>
      </c>
      <c r="J7" s="293">
        <f>IF($C$5="Operating Margins",'Segment Analysis'!J155,Model!J67)</f>
        <v>1</v>
      </c>
      <c r="K7" s="292">
        <f>IF($C$5="Operating Margins",'Segment Analysis'!K155,Model!K67)</f>
        <v>1</v>
      </c>
      <c r="L7" s="292">
        <f>IF($C$5="Operating Margins",'Segment Analysis'!L155,Model!L67)</f>
        <v>1</v>
      </c>
      <c r="M7" s="292">
        <f>IF($C$5="Operating Margins",'Segment Analysis'!M155,Model!M67)</f>
        <v>1</v>
      </c>
      <c r="N7" s="292">
        <f>IF($C$5="Operating Margins",'Segment Analysis'!N155,Model!N67)</f>
        <v>1</v>
      </c>
      <c r="O7" s="293">
        <f>IF($C$5="Operating Margins",'Segment Analysis'!O155,Model!O67)</f>
        <v>1</v>
      </c>
      <c r="P7" s="292">
        <f>IF($C$5="Operating Margins",'Segment Analysis'!P155,Model!P67)</f>
        <v>1</v>
      </c>
      <c r="Q7" s="292">
        <f>IF($C$5="Operating Margins",'Segment Analysis'!Q155,Model!Q67)</f>
        <v>1</v>
      </c>
      <c r="R7" s="292">
        <f>IF($C$5="Operating Margins",'Segment Analysis'!R155,Model!R67)</f>
        <v>1</v>
      </c>
      <c r="S7" s="292">
        <f>IF($C$5="Operating Margins",'Segment Analysis'!S155,Model!S67)</f>
        <v>1</v>
      </c>
      <c r="T7" s="293">
        <f>IF($C$5="Operating Margins",'Segment Analysis'!T155,Model!T67)</f>
        <v>1</v>
      </c>
      <c r="U7" s="292">
        <f>IF($C$5="Operating Margins",'Segment Analysis'!U155,Model!U67)</f>
        <v>1</v>
      </c>
      <c r="V7" s="60">
        <f>IF(Case_Scenario="Bull",V8,IF(Case_Scenario="Base",V9,IF(Case_Scenario="bear",V10,"N/A")))</f>
        <v>1</v>
      </c>
      <c r="W7" s="60">
        <f>IF(Case_Scenario="Bull",W8,IF(Case_Scenario="Base",W9,IF(Case_Scenario="bear",W10,"N/A")))</f>
        <v>1</v>
      </c>
      <c r="X7" s="60">
        <f>IF(Case_Scenario="Bull",X8,IF(Case_Scenario="Base",X9,IF(Case_Scenario="bear",X10,"N/A")))</f>
        <v>1</v>
      </c>
      <c r="Y7" s="293">
        <f>IF($C$5="Operating Margins",'Segment Analysis'!Y155,Model!Y67)</f>
        <v>1</v>
      </c>
      <c r="Z7" s="60">
        <f>IF(Case_Scenario="Bull",Z8,IF(Case_Scenario="Base",Z9,IF(Case_Scenario="bear",Z10,"N/A")))</f>
        <v>1</v>
      </c>
      <c r="AA7" s="60">
        <f>IF(Case_Scenario="Bull",AA8,IF(Case_Scenario="Base",AA9,IF(Case_Scenario="bear",AA10,"N/A")))</f>
        <v>1</v>
      </c>
      <c r="AB7" s="60">
        <f>IF(Case_Scenario="Bull",AB8,IF(Case_Scenario="Base",AB9,IF(Case_Scenario="bear",AB10,"N/A")))</f>
        <v>1</v>
      </c>
      <c r="AC7" s="60">
        <f>IF(Case_Scenario="Bull",AC8,IF(Case_Scenario="Base",AC9,IF(Case_Scenario="bear",AC10,"N/A")))</f>
        <v>1</v>
      </c>
      <c r="AD7" s="293">
        <f>IF($C$5="Operating Margins",'Segment Analysis'!AD155,Model!AD67)</f>
        <v>1</v>
      </c>
      <c r="AE7" s="59">
        <f>IF(Case_Scenario="Bull",AE8,IF(Case_Scenario="Base",AE9,IF(Case_Scenario="bear",AE10,"N/A")))</f>
        <v>1</v>
      </c>
      <c r="AF7" s="59">
        <f>IF(Case_Scenario="Bull",AF8,IF(Case_Scenario="Base",AF9,IF(Case_Scenario="bear",AF10,"N/A")))</f>
        <v>1</v>
      </c>
      <c r="AG7" s="59">
        <f>IF(Case_Scenario="Bull",AG8,IF(Case_Scenario="Base",AG9,IF(Case_Scenario="bear",AG10,"N/A")))</f>
        <v>1</v>
      </c>
    </row>
    <row r="8" spans="1:35">
      <c r="C8" s="28" t="str">
        <f>IF(C7="","","Bull Case")</f>
        <v>Bull Case</v>
      </c>
      <c r="F8" s="292"/>
      <c r="G8" s="292"/>
      <c r="H8" s="292"/>
      <c r="I8" s="292"/>
      <c r="J8" s="293"/>
      <c r="K8" s="292"/>
      <c r="L8" s="292"/>
      <c r="M8" s="292"/>
      <c r="N8" s="292"/>
      <c r="O8" s="293"/>
      <c r="P8" s="292"/>
      <c r="Q8" s="292"/>
      <c r="R8" s="292"/>
      <c r="S8" s="292"/>
      <c r="T8" s="293"/>
      <c r="U8" s="292"/>
      <c r="V8" s="270">
        <v>1</v>
      </c>
      <c r="W8" s="270">
        <v>1</v>
      </c>
      <c r="X8" s="270">
        <v>1</v>
      </c>
      <c r="Y8" s="293"/>
      <c r="Z8" s="270">
        <v>1</v>
      </c>
      <c r="AA8" s="270">
        <v>1</v>
      </c>
      <c r="AB8" s="270">
        <v>1</v>
      </c>
      <c r="AC8" s="270">
        <v>1</v>
      </c>
      <c r="AD8" s="293"/>
      <c r="AE8" s="271">
        <v>1</v>
      </c>
      <c r="AF8" s="271">
        <v>1</v>
      </c>
      <c r="AG8" s="271">
        <v>1</v>
      </c>
    </row>
    <row r="9" spans="1:35" ht="15">
      <c r="C9" s="28" t="str">
        <f>IF(C7="","","Base Case")</f>
        <v>Base Case</v>
      </c>
      <c r="F9" s="292"/>
      <c r="G9" s="292"/>
      <c r="H9" s="292"/>
      <c r="I9" s="292"/>
      <c r="J9" s="293"/>
      <c r="K9" s="292"/>
      <c r="L9" s="292"/>
      <c r="M9" s="292"/>
      <c r="N9" s="292"/>
      <c r="O9" s="293"/>
      <c r="P9" s="292"/>
      <c r="Q9" s="292"/>
      <c r="R9" s="292"/>
      <c r="S9" s="292"/>
      <c r="T9" s="293"/>
      <c r="U9" s="292"/>
      <c r="V9" s="270">
        <v>1</v>
      </c>
      <c r="W9" s="270">
        <v>1</v>
      </c>
      <c r="X9" s="270">
        <v>1</v>
      </c>
      <c r="Y9" s="293"/>
      <c r="Z9" s="270">
        <v>1</v>
      </c>
      <c r="AA9" s="270">
        <v>1</v>
      </c>
      <c r="AB9" s="270">
        <v>1</v>
      </c>
      <c r="AC9" s="270">
        <v>1</v>
      </c>
      <c r="AD9" s="293"/>
      <c r="AE9" s="271">
        <v>1</v>
      </c>
      <c r="AF9" s="271">
        <v>1</v>
      </c>
      <c r="AG9" s="271">
        <v>1</v>
      </c>
      <c r="AH9"/>
    </row>
    <row r="10" spans="1:35" ht="15">
      <c r="C10" s="28" t="str">
        <f>IF(C7="","","Bear Case")</f>
        <v>Bear Case</v>
      </c>
      <c r="F10" s="292"/>
      <c r="G10" s="292"/>
      <c r="H10" s="292"/>
      <c r="I10" s="292"/>
      <c r="J10" s="293"/>
      <c r="K10" s="292"/>
      <c r="L10" s="292"/>
      <c r="M10" s="292"/>
      <c r="N10" s="292"/>
      <c r="O10" s="293"/>
      <c r="P10" s="292"/>
      <c r="Q10" s="292"/>
      <c r="R10" s="292"/>
      <c r="S10" s="292"/>
      <c r="T10" s="293"/>
      <c r="U10" s="292"/>
      <c r="V10" s="270">
        <v>1</v>
      </c>
      <c r="W10" s="270">
        <v>1</v>
      </c>
      <c r="X10" s="270">
        <v>1</v>
      </c>
      <c r="Y10" s="293"/>
      <c r="Z10" s="270">
        <v>1</v>
      </c>
      <c r="AA10" s="270">
        <v>1</v>
      </c>
      <c r="AB10" s="270">
        <v>1</v>
      </c>
      <c r="AC10" s="270">
        <v>1</v>
      </c>
      <c r="AD10" s="293"/>
      <c r="AE10" s="271">
        <v>1</v>
      </c>
      <c r="AF10" s="271">
        <v>1</v>
      </c>
      <c r="AG10" s="271">
        <v>1</v>
      </c>
      <c r="AH10"/>
    </row>
    <row r="11" spans="1:35">
      <c r="C11" s="922"/>
      <c r="F11" s="292"/>
      <c r="G11" s="292"/>
      <c r="H11" s="292"/>
      <c r="I11" s="292"/>
      <c r="J11" s="293"/>
      <c r="K11" s="292"/>
      <c r="L11" s="292"/>
      <c r="M11" s="292"/>
      <c r="N11" s="292"/>
      <c r="O11" s="293"/>
      <c r="P11" s="292"/>
      <c r="Q11" s="292"/>
      <c r="R11" s="292"/>
      <c r="S11" s="292"/>
      <c r="T11" s="293"/>
      <c r="U11" s="292"/>
      <c r="V11" s="270"/>
      <c r="W11" s="270"/>
      <c r="X11" s="270"/>
      <c r="Y11" s="293"/>
      <c r="Z11" s="270"/>
      <c r="AA11" s="270"/>
      <c r="AB11" s="270"/>
      <c r="AC11" s="270"/>
      <c r="AD11" s="293"/>
      <c r="AE11" s="271"/>
      <c r="AF11" s="271"/>
      <c r="AG11" s="271"/>
    </row>
    <row r="12" spans="1:35" hidden="1" outlineLevel="1">
      <c r="A12" s="22" t="s">
        <v>1</v>
      </c>
      <c r="C12" s="23" t="str">
        <f>IF($C$5="Operating Margins",'Segment Analysis'!C17,"")</f>
        <v/>
      </c>
      <c r="F12" s="292">
        <f>'Segment Analysis'!F156</f>
        <v>0.23621047772905607</v>
      </c>
      <c r="G12" s="292">
        <f>'Segment Analysis'!G156</f>
        <v>0.22209282012461423</v>
      </c>
      <c r="H12" s="292">
        <f>'Segment Analysis'!H156</f>
        <v>0.20558621081972808</v>
      </c>
      <c r="I12" s="292">
        <f>'Segment Analysis'!I156</f>
        <v>0.29840419596027229</v>
      </c>
      <c r="J12" s="293">
        <f>'Segment Analysis'!J156</f>
        <v>0.24097934462760334</v>
      </c>
      <c r="K12" s="292">
        <f>'Segment Analysis'!K156</f>
        <v>0.27400848745219258</v>
      </c>
      <c r="L12" s="292">
        <f>'Segment Analysis'!L156</f>
        <v>0.23946080982616841</v>
      </c>
      <c r="M12" s="292">
        <f>'Segment Analysis'!M156</f>
        <v>0.26138853918963023</v>
      </c>
      <c r="N12" s="292">
        <f>'Segment Analysis'!N156</f>
        <v>0.209683461322345</v>
      </c>
      <c r="O12" s="293">
        <f>'Segment Analysis'!O156</f>
        <v>0.245548924837246</v>
      </c>
      <c r="P12" s="292">
        <f>'Segment Analysis'!P156</f>
        <v>0.17896496223845487</v>
      </c>
      <c r="Q12" s="292">
        <f>'Segment Analysis'!Q156</f>
        <v>0.1569713758079409</v>
      </c>
      <c r="R12" s="292">
        <f>'Segment Analysis'!R156</f>
        <v>4.4046935553322807E-2</v>
      </c>
      <c r="S12" s="292">
        <f>'Segment Analysis'!S156</f>
        <v>5.5735469575592299E-2</v>
      </c>
      <c r="T12" s="293">
        <f>'Segment Analysis'!T156</f>
        <v>9.9651220727453915E-2</v>
      </c>
      <c r="U12" s="292">
        <f>'Segment Analysis'!U156</f>
        <v>9.9621092516577206E-2</v>
      </c>
      <c r="V12" s="60">
        <f>IF(Case_Scenario="Bull",V13,IF(Case_Scenario="Base",V14,IF(Case_Scenario="bear",V15,"N/A")))</f>
        <v>0.14499999999999999</v>
      </c>
      <c r="W12" s="60">
        <f>IF(Case_Scenario="Bull",W13,IF(Case_Scenario="Base",W14,IF(Case_Scenario="bear",W15,"N/A")))</f>
        <v>0.12</v>
      </c>
      <c r="X12" s="60">
        <f>IF(Case_Scenario="Bull",X13,IF(Case_Scenario="Base",X14,IF(Case_Scenario="bear",X15,"N/A")))</f>
        <v>0.13500000000000001</v>
      </c>
      <c r="Y12" s="293">
        <f>'Segment Analysis'!Y156</f>
        <v>0.12507489072366787</v>
      </c>
      <c r="Z12" s="60">
        <f>IF(Case_Scenario="Bull",Z13,IF(Case_Scenario="Base",Z14,IF(Case_Scenario="bear",Z15,"N/A")))</f>
        <v>0.14000000000000001</v>
      </c>
      <c r="AA12" s="60">
        <f>IF(Case_Scenario="Bull",AA13,IF(Case_Scenario="Base",AA14,IF(Case_Scenario="bear",AA15,"N/A")))</f>
        <v>0.14499999999999999</v>
      </c>
      <c r="AB12" s="60">
        <f>IF(Case_Scenario="Bull",AB13,IF(Case_Scenario="Base",AB14,IF(Case_Scenario="bear",AB15,"N/A")))</f>
        <v>0.12</v>
      </c>
      <c r="AC12" s="60">
        <f>IF(Case_Scenario="Bull",AC13,IF(Case_Scenario="Base",AC14,IF(Case_Scenario="bear",AC15,"N/A")))</f>
        <v>0.13500000000000001</v>
      </c>
      <c r="AD12" s="293">
        <f>'Segment Analysis'!AD156</f>
        <v>0.13493197449577243</v>
      </c>
      <c r="AE12" s="59">
        <f>IF(Case_Scenario="Bull",AE13,IF(Case_Scenario="Base",AE14,IF(Case_Scenario="bear",AE15,"N/A")))</f>
        <v>0.13900000000000001</v>
      </c>
      <c r="AF12" s="59">
        <f>IF(Case_Scenario="Bull",AF13,IF(Case_Scenario="Base",AF14,IF(Case_Scenario="bear",AF15,"N/A")))</f>
        <v>0.14000000000000001</v>
      </c>
      <c r="AG12" s="59">
        <f>IF(Case_Scenario="Bull",AG13,IF(Case_Scenario="Base",AG14,IF(Case_Scenario="bear",AG15,"N/A")))</f>
        <v>0.14199999999999999</v>
      </c>
      <c r="AH12" s="22" t="s">
        <v>1</v>
      </c>
      <c r="AI12" s="22"/>
    </row>
    <row r="13" spans="1:35" hidden="1" outlineLevel="1">
      <c r="C13" s="28" t="str">
        <f>IF(C12="","","Bull Case")</f>
        <v/>
      </c>
      <c r="F13" s="292"/>
      <c r="G13" s="292"/>
      <c r="H13" s="292"/>
      <c r="I13" s="292"/>
      <c r="J13" s="293"/>
      <c r="K13" s="292"/>
      <c r="L13" s="292"/>
      <c r="M13" s="292"/>
      <c r="N13" s="292"/>
      <c r="O13" s="293"/>
      <c r="P13" s="292"/>
      <c r="Q13" s="292"/>
      <c r="R13" s="292"/>
      <c r="S13" s="292"/>
      <c r="T13" s="293"/>
      <c r="U13" s="292"/>
      <c r="V13" s="270">
        <v>0.15</v>
      </c>
      <c r="W13" s="270">
        <v>0.15</v>
      </c>
      <c r="X13" s="270">
        <v>0.15</v>
      </c>
      <c r="Y13" s="293"/>
      <c r="Z13" s="270">
        <v>0.14499999999999999</v>
      </c>
      <c r="AA13" s="270">
        <v>0.15</v>
      </c>
      <c r="AB13" s="270">
        <v>0.15</v>
      </c>
      <c r="AC13" s="270">
        <v>0.15</v>
      </c>
      <c r="AD13" s="293"/>
      <c r="AE13" s="271">
        <v>0.15</v>
      </c>
      <c r="AF13" s="271">
        <v>0.15</v>
      </c>
      <c r="AG13" s="271">
        <v>0.15</v>
      </c>
    </row>
    <row r="14" spans="1:35" hidden="1" outlineLevel="1">
      <c r="C14" s="28" t="str">
        <f>IF(C12="","","Base Case")</f>
        <v/>
      </c>
      <c r="F14" s="292"/>
      <c r="G14" s="292"/>
      <c r="H14" s="292"/>
      <c r="I14" s="292"/>
      <c r="J14" s="293"/>
      <c r="K14" s="292"/>
      <c r="L14" s="292"/>
      <c r="M14" s="292"/>
      <c r="N14" s="292"/>
      <c r="O14" s="293"/>
      <c r="P14" s="292"/>
      <c r="Q14" s="292"/>
      <c r="R14" s="292"/>
      <c r="S14" s="292"/>
      <c r="T14" s="293"/>
      <c r="U14" s="292"/>
      <c r="V14" s="270">
        <v>0.14499999999999999</v>
      </c>
      <c r="W14" s="270">
        <v>0.12</v>
      </c>
      <c r="X14" s="270">
        <v>0.13500000000000001</v>
      </c>
      <c r="Y14" s="293"/>
      <c r="Z14" s="270">
        <v>0.14000000000000001</v>
      </c>
      <c r="AA14" s="270">
        <v>0.14499999999999999</v>
      </c>
      <c r="AB14" s="270">
        <v>0.12</v>
      </c>
      <c r="AC14" s="270">
        <v>0.13500000000000001</v>
      </c>
      <c r="AD14" s="293"/>
      <c r="AE14" s="271">
        <v>0.13900000000000001</v>
      </c>
      <c r="AF14" s="271">
        <v>0.14000000000000001</v>
      </c>
      <c r="AG14" s="271">
        <v>0.14199999999999999</v>
      </c>
    </row>
    <row r="15" spans="1:35" hidden="1" outlineLevel="1">
      <c r="C15" s="28" t="str">
        <f>IF(C12="","","Bear Case")</f>
        <v/>
      </c>
      <c r="F15" s="292"/>
      <c r="G15" s="292"/>
      <c r="H15" s="292"/>
      <c r="I15" s="292"/>
      <c r="J15" s="293"/>
      <c r="K15" s="292"/>
      <c r="L15" s="292"/>
      <c r="M15" s="292"/>
      <c r="N15" s="292"/>
      <c r="O15" s="293"/>
      <c r="P15" s="292"/>
      <c r="Q15" s="292"/>
      <c r="R15" s="292"/>
      <c r="S15" s="292"/>
      <c r="T15" s="293"/>
      <c r="U15" s="292"/>
      <c r="V15" s="270">
        <v>0.08</v>
      </c>
      <c r="W15" s="270">
        <v>0.08</v>
      </c>
      <c r="X15" s="270">
        <v>0.08</v>
      </c>
      <c r="Y15" s="293"/>
      <c r="Z15" s="270">
        <v>0.08</v>
      </c>
      <c r="AA15" s="270">
        <v>0.08</v>
      </c>
      <c r="AB15" s="270">
        <v>0.08</v>
      </c>
      <c r="AC15" s="270">
        <v>0.08</v>
      </c>
      <c r="AD15" s="293"/>
      <c r="AE15" s="271">
        <v>8.5000000000000006E-2</v>
      </c>
      <c r="AF15" s="271">
        <v>0.09</v>
      </c>
      <c r="AG15" s="271">
        <v>0.105</v>
      </c>
    </row>
    <row r="16" spans="1:35" hidden="1" outlineLevel="1">
      <c r="C16" s="28"/>
      <c r="F16" s="292"/>
      <c r="G16" s="292"/>
      <c r="H16" s="292"/>
      <c r="I16" s="292"/>
      <c r="J16" s="293"/>
      <c r="K16" s="292"/>
      <c r="L16" s="292"/>
      <c r="M16" s="292"/>
      <c r="N16" s="292"/>
      <c r="O16" s="293"/>
      <c r="P16" s="292"/>
      <c r="Q16" s="292"/>
      <c r="R16" s="292"/>
      <c r="S16" s="292"/>
      <c r="T16" s="293"/>
      <c r="U16" s="292"/>
      <c r="V16" s="270"/>
      <c r="W16" s="270"/>
      <c r="X16" s="270"/>
      <c r="Y16" s="293"/>
      <c r="Z16" s="270"/>
      <c r="AA16" s="270"/>
      <c r="AB16" s="270"/>
      <c r="AC16" s="270"/>
      <c r="AD16" s="293"/>
      <c r="AE16" s="271"/>
      <c r="AF16" s="271"/>
      <c r="AG16" s="271"/>
    </row>
    <row r="17" spans="1:35" hidden="1" outlineLevel="1">
      <c r="C17" s="23" t="str">
        <f>IF($C$5="Operating Margins",'Segment Analysis'!C18,"")</f>
        <v/>
      </c>
      <c r="F17" s="292" t="str">
        <f>'Segment Analysis'!F157</f>
        <v>N/A</v>
      </c>
      <c r="G17" s="292" t="str">
        <f>'Segment Analysis'!G157</f>
        <v>N/A</v>
      </c>
      <c r="H17" s="292" t="str">
        <f>'Segment Analysis'!H157</f>
        <v>N/A</v>
      </c>
      <c r="I17" s="292" t="str">
        <f>'Segment Analysis'!I157</f>
        <v>N/A</v>
      </c>
      <c r="J17" s="293" t="str">
        <f>'Segment Analysis'!J157</f>
        <v>N/A</v>
      </c>
      <c r="K17" s="292" t="str">
        <f>'Segment Analysis'!K157</f>
        <v>N/A</v>
      </c>
      <c r="L17" s="292" t="str">
        <f>'Segment Analysis'!L157</f>
        <v>N/A</v>
      </c>
      <c r="M17" s="292" t="str">
        <f>'Segment Analysis'!M157</f>
        <v>N/A</v>
      </c>
      <c r="N17" s="292" t="str">
        <f>'Segment Analysis'!N157</f>
        <v>N/A</v>
      </c>
      <c r="O17" s="293" t="str">
        <f>'Segment Analysis'!O157</f>
        <v>N/A</v>
      </c>
      <c r="P17" s="292" t="str">
        <f>'Segment Analysis'!P157</f>
        <v>N/A</v>
      </c>
      <c r="Q17" s="292" t="str">
        <f>'Segment Analysis'!Q157</f>
        <v>N/A</v>
      </c>
      <c r="R17" s="292" t="str">
        <f>'Segment Analysis'!R157</f>
        <v>N/A</v>
      </c>
      <c r="S17" s="292" t="str">
        <f>'Segment Analysis'!S157</f>
        <v>N/A</v>
      </c>
      <c r="T17" s="293" t="str">
        <f>'Segment Analysis'!T157</f>
        <v>N/A</v>
      </c>
      <c r="U17" s="292" t="str">
        <f>'Segment Analysis'!U157</f>
        <v>N/A</v>
      </c>
      <c r="V17" s="60">
        <f>IF(Case_Scenario="Bull",V18,IF(Case_Scenario="Base",V19,IF(Case_Scenario="bear",V20,"N/A")))</f>
        <v>0.14499999999999999</v>
      </c>
      <c r="W17" s="60">
        <f>IF(Case_Scenario="Bull",W18,IF(Case_Scenario="Base",W19,IF(Case_Scenario="bear",W20,"N/A")))</f>
        <v>0.12</v>
      </c>
      <c r="X17" s="60">
        <f>IF(Case_Scenario="Bull",X18,IF(Case_Scenario="Base",X19,IF(Case_Scenario="bear",X20,"N/A")))</f>
        <v>0.13500000000000001</v>
      </c>
      <c r="Y17" s="293" t="str">
        <f>'Segment Analysis'!Y157</f>
        <v>N/A</v>
      </c>
      <c r="Z17" s="60">
        <f>IF(Case_Scenario="Bull",Z18,IF(Case_Scenario="Base",Z19,IF(Case_Scenario="bear",Z20,"N/A")))</f>
        <v>0.14000000000000001</v>
      </c>
      <c r="AA17" s="60">
        <f>IF(Case_Scenario="Bull",AA18,IF(Case_Scenario="Base",AA19,IF(Case_Scenario="bear",AA20,"N/A")))</f>
        <v>0.14499999999999999</v>
      </c>
      <c r="AB17" s="60">
        <f>IF(Case_Scenario="Bull",AB18,IF(Case_Scenario="Base",AB19,IF(Case_Scenario="bear",AB20,"N/A")))</f>
        <v>0.12</v>
      </c>
      <c r="AC17" s="60">
        <f>IF(Case_Scenario="Bull",AC18,IF(Case_Scenario="Base",AC19,IF(Case_Scenario="bear",AC20,"N/A")))</f>
        <v>0.13500000000000001</v>
      </c>
      <c r="AD17" s="293" t="str">
        <f>'Segment Analysis'!AD157</f>
        <v>N/A</v>
      </c>
      <c r="AE17" s="59">
        <f>IF(Case_Scenario="Bull",AE18,IF(Case_Scenario="Base",AE19,IF(Case_Scenario="bear",AE20,"N/A")))</f>
        <v>0.13900000000000001</v>
      </c>
      <c r="AF17" s="59">
        <f>IF(Case_Scenario="Bull",AF18,IF(Case_Scenario="Base",AF19,IF(Case_Scenario="bear",AF20,"N/A")))</f>
        <v>0.14000000000000001</v>
      </c>
      <c r="AG17" s="59">
        <f>IF(Case_Scenario="Bull",AG18,IF(Case_Scenario="Base",AG19,IF(Case_Scenario="bear",AG20,"N/A")))</f>
        <v>0.14199999999999999</v>
      </c>
    </row>
    <row r="18" spans="1:35" hidden="1" outlineLevel="1">
      <c r="C18" s="28" t="str">
        <f>IF(C17="","","Bull Case")</f>
        <v/>
      </c>
      <c r="F18" s="292"/>
      <c r="G18" s="292"/>
      <c r="H18" s="292"/>
      <c r="I18" s="292"/>
      <c r="J18" s="293"/>
      <c r="K18" s="292"/>
      <c r="L18" s="292"/>
      <c r="M18" s="292"/>
      <c r="N18" s="292"/>
      <c r="O18" s="293"/>
      <c r="P18" s="292"/>
      <c r="Q18" s="292"/>
      <c r="R18" s="292"/>
      <c r="S18" s="292"/>
      <c r="T18" s="293"/>
      <c r="U18" s="292"/>
      <c r="V18" s="270">
        <v>0.15</v>
      </c>
      <c r="W18" s="270">
        <v>0.15</v>
      </c>
      <c r="X18" s="270">
        <v>0.15</v>
      </c>
      <c r="Y18" s="293"/>
      <c r="Z18" s="270">
        <v>0.14499999999999999</v>
      </c>
      <c r="AA18" s="270">
        <v>0.15</v>
      </c>
      <c r="AB18" s="270">
        <v>0.15</v>
      </c>
      <c r="AC18" s="270">
        <v>0.15</v>
      </c>
      <c r="AD18" s="293"/>
      <c r="AE18" s="271">
        <v>0.15</v>
      </c>
      <c r="AF18" s="271">
        <v>0.15</v>
      </c>
      <c r="AG18" s="271">
        <v>0.15</v>
      </c>
    </row>
    <row r="19" spans="1:35" hidden="1" outlineLevel="1">
      <c r="C19" s="28" t="str">
        <f>IF(C17="","","Base Case")</f>
        <v/>
      </c>
      <c r="F19" s="292"/>
      <c r="G19" s="292"/>
      <c r="H19" s="292"/>
      <c r="I19" s="292"/>
      <c r="J19" s="293"/>
      <c r="K19" s="292"/>
      <c r="L19" s="292"/>
      <c r="M19" s="292"/>
      <c r="N19" s="292"/>
      <c r="O19" s="293"/>
      <c r="P19" s="292"/>
      <c r="Q19" s="292"/>
      <c r="R19" s="292"/>
      <c r="S19" s="292"/>
      <c r="T19" s="293"/>
      <c r="U19" s="292"/>
      <c r="V19" s="270">
        <v>0.14499999999999999</v>
      </c>
      <c r="W19" s="270">
        <v>0.12</v>
      </c>
      <c r="X19" s="270">
        <v>0.13500000000000001</v>
      </c>
      <c r="Y19" s="293"/>
      <c r="Z19" s="270">
        <v>0.14000000000000001</v>
      </c>
      <c r="AA19" s="270">
        <v>0.14499999999999999</v>
      </c>
      <c r="AB19" s="270">
        <v>0.12</v>
      </c>
      <c r="AC19" s="270">
        <v>0.13500000000000001</v>
      </c>
      <c r="AD19" s="293"/>
      <c r="AE19" s="271">
        <v>0.13900000000000001</v>
      </c>
      <c r="AF19" s="271">
        <v>0.14000000000000001</v>
      </c>
      <c r="AG19" s="271">
        <v>0.14199999999999999</v>
      </c>
    </row>
    <row r="20" spans="1:35" hidden="1" outlineLevel="1">
      <c r="C20" s="28" t="str">
        <f>IF(C17="","","Bear Case")</f>
        <v/>
      </c>
      <c r="F20" s="292"/>
      <c r="G20" s="292"/>
      <c r="H20" s="292"/>
      <c r="I20" s="292"/>
      <c r="J20" s="293"/>
      <c r="K20" s="292"/>
      <c r="L20" s="292"/>
      <c r="M20" s="292"/>
      <c r="N20" s="292"/>
      <c r="O20" s="293"/>
      <c r="P20" s="292"/>
      <c r="Q20" s="292"/>
      <c r="R20" s="292"/>
      <c r="S20" s="292"/>
      <c r="T20" s="293"/>
      <c r="U20" s="292"/>
      <c r="V20" s="270">
        <v>0.08</v>
      </c>
      <c r="W20" s="270">
        <v>0.08</v>
      </c>
      <c r="X20" s="270">
        <v>0.08</v>
      </c>
      <c r="Y20" s="293"/>
      <c r="Z20" s="270">
        <v>0.08</v>
      </c>
      <c r="AA20" s="270">
        <v>0.08</v>
      </c>
      <c r="AB20" s="270">
        <v>0.08</v>
      </c>
      <c r="AC20" s="270">
        <v>0.08</v>
      </c>
      <c r="AD20" s="293"/>
      <c r="AE20" s="271">
        <v>8.5000000000000006E-2</v>
      </c>
      <c r="AF20" s="271">
        <v>0.09</v>
      </c>
      <c r="AG20" s="271">
        <v>0.105</v>
      </c>
    </row>
    <row r="21" spans="1:35" hidden="1" outlineLevel="1">
      <c r="C21" s="28"/>
      <c r="F21" s="292"/>
      <c r="G21" s="292"/>
      <c r="H21" s="292"/>
      <c r="I21" s="292"/>
      <c r="J21" s="293"/>
      <c r="K21" s="292"/>
      <c r="L21" s="292"/>
      <c r="M21" s="292"/>
      <c r="N21" s="292"/>
      <c r="O21" s="293"/>
      <c r="P21" s="292"/>
      <c r="Q21" s="292"/>
      <c r="R21" s="292"/>
      <c r="S21" s="292"/>
      <c r="T21" s="293"/>
      <c r="U21" s="292"/>
      <c r="V21" s="270"/>
      <c r="W21" s="270"/>
      <c r="X21" s="270"/>
      <c r="Y21" s="293"/>
      <c r="Z21" s="270"/>
      <c r="AA21" s="270"/>
      <c r="AB21" s="270"/>
      <c r="AC21" s="270"/>
      <c r="AD21" s="293"/>
      <c r="AE21" s="271"/>
      <c r="AF21" s="271"/>
      <c r="AG21" s="271"/>
    </row>
    <row r="22" spans="1:35" hidden="1" outlineLevel="1">
      <c r="C22" s="23" t="str">
        <f>IF($C$5="Operating Margins",'Segment Analysis'!C19,"")</f>
        <v/>
      </c>
      <c r="F22" s="292" t="str">
        <f>'Segment Analysis'!F158</f>
        <v>N/A</v>
      </c>
      <c r="G22" s="292" t="str">
        <f>'Segment Analysis'!G158</f>
        <v>N/A</v>
      </c>
      <c r="H22" s="292" t="str">
        <f>'Segment Analysis'!H158</f>
        <v>N/A</v>
      </c>
      <c r="I22" s="292" t="str">
        <f>'Segment Analysis'!I158</f>
        <v>N/A</v>
      </c>
      <c r="J22" s="293" t="str">
        <f>'Segment Analysis'!J158</f>
        <v>N/A</v>
      </c>
      <c r="K22" s="292" t="str">
        <f>'Segment Analysis'!K158</f>
        <v>N/A</v>
      </c>
      <c r="L22" s="292" t="str">
        <f>'Segment Analysis'!L158</f>
        <v>N/A</v>
      </c>
      <c r="M22" s="292" t="str">
        <f>'Segment Analysis'!M158</f>
        <v>N/A</v>
      </c>
      <c r="N22" s="292" t="str">
        <f>'Segment Analysis'!N158</f>
        <v>N/A</v>
      </c>
      <c r="O22" s="293" t="str">
        <f>'Segment Analysis'!O158</f>
        <v>N/A</v>
      </c>
      <c r="P22" s="292" t="str">
        <f>'Segment Analysis'!P158</f>
        <v>N/A</v>
      </c>
      <c r="Q22" s="292" t="str">
        <f>'Segment Analysis'!Q158</f>
        <v>N/A</v>
      </c>
      <c r="R22" s="292" t="str">
        <f>'Segment Analysis'!R158</f>
        <v>N/A</v>
      </c>
      <c r="S22" s="292" t="str">
        <f>'Segment Analysis'!S158</f>
        <v>N/A</v>
      </c>
      <c r="T22" s="293" t="str">
        <f>'Segment Analysis'!T158</f>
        <v>N/A</v>
      </c>
      <c r="U22" s="292" t="str">
        <f>'Segment Analysis'!U158</f>
        <v>N/A</v>
      </c>
      <c r="V22" s="60">
        <f>IF(Case_Scenario="Bull",V23,IF(Case_Scenario="Base",V24,IF(Case_Scenario="bear",V25,"N/A")))</f>
        <v>0.14499999999999999</v>
      </c>
      <c r="W22" s="60">
        <f>IF(Case_Scenario="Bull",W23,IF(Case_Scenario="Base",W24,IF(Case_Scenario="bear",W25,"N/A")))</f>
        <v>0.12</v>
      </c>
      <c r="X22" s="60">
        <f>IF(Case_Scenario="Bull",X23,IF(Case_Scenario="Base",X24,IF(Case_Scenario="bear",X25,"N/A")))</f>
        <v>0.13500000000000001</v>
      </c>
      <c r="Y22" s="293" t="str">
        <f>'Segment Analysis'!Y158</f>
        <v>N/A</v>
      </c>
      <c r="Z22" s="60">
        <f>IF(Case_Scenario="Bull",Z23,IF(Case_Scenario="Base",Z24,IF(Case_Scenario="bear",Z25,"N/A")))</f>
        <v>0.14000000000000001</v>
      </c>
      <c r="AA22" s="60">
        <f>IF(Case_Scenario="Bull",AA23,IF(Case_Scenario="Base",AA24,IF(Case_Scenario="bear",AA25,"N/A")))</f>
        <v>0.14499999999999999</v>
      </c>
      <c r="AB22" s="60">
        <f>IF(Case_Scenario="Bull",AB23,IF(Case_Scenario="Base",AB24,IF(Case_Scenario="bear",AB25,"N/A")))</f>
        <v>0.12</v>
      </c>
      <c r="AC22" s="60">
        <f>IF(Case_Scenario="Bull",AC23,IF(Case_Scenario="Base",AC24,IF(Case_Scenario="bear",AC25,"N/A")))</f>
        <v>0.13500000000000001</v>
      </c>
      <c r="AD22" s="293" t="str">
        <f>'Segment Analysis'!AD158</f>
        <v>N/A</v>
      </c>
      <c r="AE22" s="59">
        <f>IF(Case_Scenario="Bull",AE23,IF(Case_Scenario="Base",AE24,IF(Case_Scenario="bear",AE25,"N/A")))</f>
        <v>0.13900000000000001</v>
      </c>
      <c r="AF22" s="59">
        <f>IF(Case_Scenario="Bull",AF23,IF(Case_Scenario="Base",AF24,IF(Case_Scenario="bear",AF25,"N/A")))</f>
        <v>0.14000000000000001</v>
      </c>
      <c r="AG22" s="59">
        <f>IF(Case_Scenario="Bull",AG23,IF(Case_Scenario="Base",AG24,IF(Case_Scenario="bear",AG25,"N/A")))</f>
        <v>0.14199999999999999</v>
      </c>
    </row>
    <row r="23" spans="1:35" hidden="1" outlineLevel="1">
      <c r="C23" s="28" t="str">
        <f>IF(C22="","","Bull Case")</f>
        <v/>
      </c>
      <c r="F23" s="292"/>
      <c r="G23" s="292"/>
      <c r="H23" s="292"/>
      <c r="I23" s="292"/>
      <c r="J23" s="293"/>
      <c r="K23" s="292"/>
      <c r="L23" s="292"/>
      <c r="M23" s="292"/>
      <c r="N23" s="292"/>
      <c r="O23" s="293"/>
      <c r="P23" s="292"/>
      <c r="Q23" s="292"/>
      <c r="R23" s="292"/>
      <c r="S23" s="292"/>
      <c r="T23" s="293"/>
      <c r="U23" s="292"/>
      <c r="V23" s="270">
        <v>0.15</v>
      </c>
      <c r="W23" s="270">
        <v>0.15</v>
      </c>
      <c r="X23" s="270">
        <v>0.15</v>
      </c>
      <c r="Y23" s="293"/>
      <c r="Z23" s="270">
        <v>0.14499999999999999</v>
      </c>
      <c r="AA23" s="270">
        <v>0.15</v>
      </c>
      <c r="AB23" s="270">
        <v>0.15</v>
      </c>
      <c r="AC23" s="270">
        <v>0.15</v>
      </c>
      <c r="AD23" s="293"/>
      <c r="AE23" s="271">
        <v>0.15</v>
      </c>
      <c r="AF23" s="271">
        <v>0.15</v>
      </c>
      <c r="AG23" s="271">
        <v>0.15</v>
      </c>
    </row>
    <row r="24" spans="1:35" hidden="1" outlineLevel="1">
      <c r="C24" s="28" t="str">
        <f>IF(C22="","","Base Case")</f>
        <v/>
      </c>
      <c r="F24" s="292"/>
      <c r="G24" s="292"/>
      <c r="H24" s="292"/>
      <c r="I24" s="292"/>
      <c r="J24" s="293"/>
      <c r="K24" s="292"/>
      <c r="L24" s="292"/>
      <c r="M24" s="292"/>
      <c r="N24" s="292"/>
      <c r="O24" s="293"/>
      <c r="P24" s="292"/>
      <c r="Q24" s="292"/>
      <c r="R24" s="292"/>
      <c r="S24" s="292"/>
      <c r="T24" s="293"/>
      <c r="U24" s="292"/>
      <c r="V24" s="270">
        <v>0.14499999999999999</v>
      </c>
      <c r="W24" s="270">
        <v>0.12</v>
      </c>
      <c r="X24" s="270">
        <v>0.13500000000000001</v>
      </c>
      <c r="Y24" s="293"/>
      <c r="Z24" s="270">
        <v>0.14000000000000001</v>
      </c>
      <c r="AA24" s="270">
        <v>0.14499999999999999</v>
      </c>
      <c r="AB24" s="270">
        <v>0.12</v>
      </c>
      <c r="AC24" s="270">
        <v>0.13500000000000001</v>
      </c>
      <c r="AD24" s="293"/>
      <c r="AE24" s="271">
        <v>0.13900000000000001</v>
      </c>
      <c r="AF24" s="271">
        <v>0.14000000000000001</v>
      </c>
      <c r="AG24" s="271">
        <v>0.14199999999999999</v>
      </c>
    </row>
    <row r="25" spans="1:35" hidden="1" outlineLevel="1">
      <c r="C25" s="28" t="str">
        <f>IF(C22="","","Bear Case")</f>
        <v/>
      </c>
      <c r="F25" s="292"/>
      <c r="G25" s="292"/>
      <c r="H25" s="292"/>
      <c r="I25" s="292"/>
      <c r="J25" s="293"/>
      <c r="K25" s="292"/>
      <c r="L25" s="292"/>
      <c r="M25" s="292"/>
      <c r="N25" s="292"/>
      <c r="O25" s="293"/>
      <c r="P25" s="292"/>
      <c r="Q25" s="292"/>
      <c r="R25" s="292"/>
      <c r="S25" s="292"/>
      <c r="T25" s="293"/>
      <c r="U25" s="292"/>
      <c r="V25" s="270">
        <v>0.08</v>
      </c>
      <c r="W25" s="270">
        <v>0.08</v>
      </c>
      <c r="X25" s="270">
        <v>0.08</v>
      </c>
      <c r="Y25" s="293"/>
      <c r="Z25" s="270">
        <v>0.08</v>
      </c>
      <c r="AA25" s="270">
        <v>0.08</v>
      </c>
      <c r="AB25" s="270">
        <v>0.08</v>
      </c>
      <c r="AC25" s="270">
        <v>0.08</v>
      </c>
      <c r="AD25" s="293"/>
      <c r="AE25" s="271">
        <v>8.5000000000000006E-2</v>
      </c>
      <c r="AF25" s="271">
        <v>0.09</v>
      </c>
      <c r="AG25" s="271">
        <v>0.105</v>
      </c>
    </row>
    <row r="26" spans="1:35" hidden="1" outlineLevel="1">
      <c r="C26" s="28"/>
      <c r="F26" s="292"/>
      <c r="G26" s="292"/>
      <c r="H26" s="292"/>
      <c r="I26" s="292"/>
      <c r="J26" s="293"/>
      <c r="K26" s="292"/>
      <c r="L26" s="292"/>
      <c r="M26" s="292"/>
      <c r="N26" s="292"/>
      <c r="O26" s="293"/>
      <c r="P26" s="292"/>
      <c r="Q26" s="292"/>
      <c r="R26" s="292"/>
      <c r="S26" s="292"/>
      <c r="T26" s="293"/>
      <c r="U26" s="292"/>
      <c r="V26" s="270"/>
      <c r="W26" s="270"/>
      <c r="X26" s="270"/>
      <c r="Y26" s="293"/>
      <c r="Z26" s="270"/>
      <c r="AA26" s="270"/>
      <c r="AB26" s="270"/>
      <c r="AC26" s="270"/>
      <c r="AD26" s="293"/>
      <c r="AE26" s="271"/>
      <c r="AF26" s="271"/>
      <c r="AG26" s="271"/>
    </row>
    <row r="27" spans="1:35" hidden="1" outlineLevel="1">
      <c r="C27" s="23" t="str">
        <f>IF($C$5="Operating Margins",'Segment Analysis'!C20,"")</f>
        <v/>
      </c>
      <c r="F27" s="292" t="str">
        <f>'Segment Analysis'!F159</f>
        <v>N/A</v>
      </c>
      <c r="G27" s="292" t="str">
        <f>'Segment Analysis'!G159</f>
        <v>N/A</v>
      </c>
      <c r="H27" s="292" t="str">
        <f>'Segment Analysis'!H159</f>
        <v>N/A</v>
      </c>
      <c r="I27" s="292" t="str">
        <f>'Segment Analysis'!I159</f>
        <v>N/A</v>
      </c>
      <c r="J27" s="293" t="str">
        <f>'Segment Analysis'!J159</f>
        <v>N/A</v>
      </c>
      <c r="K27" s="292" t="str">
        <f>'Segment Analysis'!K159</f>
        <v>N/A</v>
      </c>
      <c r="L27" s="292" t="str">
        <f>'Segment Analysis'!L159</f>
        <v>N/A</v>
      </c>
      <c r="M27" s="292" t="str">
        <f>'Segment Analysis'!M159</f>
        <v>N/A</v>
      </c>
      <c r="N27" s="292" t="str">
        <f>'Segment Analysis'!N159</f>
        <v>N/A</v>
      </c>
      <c r="O27" s="293" t="str">
        <f>'Segment Analysis'!O159</f>
        <v>N/A</v>
      </c>
      <c r="P27" s="292" t="str">
        <f>'Segment Analysis'!P159</f>
        <v>N/A</v>
      </c>
      <c r="Q27" s="292" t="str">
        <f>'Segment Analysis'!Q159</f>
        <v>N/A</v>
      </c>
      <c r="R27" s="292" t="str">
        <f>'Segment Analysis'!R159</f>
        <v>N/A</v>
      </c>
      <c r="S27" s="292" t="str">
        <f>'Segment Analysis'!S159</f>
        <v>N/A</v>
      </c>
      <c r="T27" s="293" t="str">
        <f>'Segment Analysis'!T159</f>
        <v>N/A</v>
      </c>
      <c r="U27" s="292" t="str">
        <f>'Segment Analysis'!U159</f>
        <v>N/A</v>
      </c>
      <c r="V27" s="60">
        <f>IF(Case_Scenario="Bull",V28,IF(Case_Scenario="Base",V29,IF(Case_Scenario="bear",V30,"N/A")))</f>
        <v>0.14499999999999999</v>
      </c>
      <c r="W27" s="60">
        <f>IF(Case_Scenario="Bull",W28,IF(Case_Scenario="Base",W29,IF(Case_Scenario="bear",W30,"N/A")))</f>
        <v>0.12</v>
      </c>
      <c r="X27" s="60">
        <f>IF(Case_Scenario="Bull",X28,IF(Case_Scenario="Base",X29,IF(Case_Scenario="bear",X30,"N/A")))</f>
        <v>0.13500000000000001</v>
      </c>
      <c r="Y27" s="293" t="str">
        <f>'Segment Analysis'!Y159</f>
        <v>N/A</v>
      </c>
      <c r="Z27" s="60">
        <f>IF(Case_Scenario="Bull",Z28,IF(Case_Scenario="Base",Z29,IF(Case_Scenario="bear",Z30,"N/A")))</f>
        <v>0.14000000000000001</v>
      </c>
      <c r="AA27" s="60">
        <f>IF(Case_Scenario="Bull",AA28,IF(Case_Scenario="Base",AA29,IF(Case_Scenario="bear",AA30,"N/A")))</f>
        <v>0.14499999999999999</v>
      </c>
      <c r="AB27" s="60">
        <f>IF(Case_Scenario="Bull",AB28,IF(Case_Scenario="Base",AB29,IF(Case_Scenario="bear",AB30,"N/A")))</f>
        <v>0.12</v>
      </c>
      <c r="AC27" s="60">
        <f>IF(Case_Scenario="Bull",AC28,IF(Case_Scenario="Base",AC29,IF(Case_Scenario="bear",AC30,"N/A")))</f>
        <v>0.13500000000000001</v>
      </c>
      <c r="AD27" s="293" t="str">
        <f>'Segment Analysis'!AD159</f>
        <v>N/A</v>
      </c>
      <c r="AE27" s="59">
        <f>IF(Case_Scenario="Bull",AE28,IF(Case_Scenario="Base",AE29,IF(Case_Scenario="bear",AE30,"N/A")))</f>
        <v>0.13900000000000001</v>
      </c>
      <c r="AF27" s="59">
        <f>IF(Case_Scenario="Bull",AF28,IF(Case_Scenario="Base",AF29,IF(Case_Scenario="bear",AF30,"N/A")))</f>
        <v>0.14000000000000001</v>
      </c>
      <c r="AG27" s="59">
        <f>IF(Case_Scenario="Bull",AG28,IF(Case_Scenario="Base",AG29,IF(Case_Scenario="bear",AG30,"N/A")))</f>
        <v>0.14199999999999999</v>
      </c>
    </row>
    <row r="28" spans="1:35" hidden="1" outlineLevel="1">
      <c r="C28" s="28" t="str">
        <f>IF(C27="","","Bull Case")</f>
        <v/>
      </c>
      <c r="F28" s="292"/>
      <c r="G28" s="292"/>
      <c r="H28" s="292"/>
      <c r="I28" s="292"/>
      <c r="J28" s="293"/>
      <c r="K28" s="292"/>
      <c r="L28" s="292"/>
      <c r="M28" s="292"/>
      <c r="N28" s="292"/>
      <c r="O28" s="293"/>
      <c r="P28" s="292"/>
      <c r="Q28" s="292"/>
      <c r="R28" s="292"/>
      <c r="S28" s="292"/>
      <c r="T28" s="293"/>
      <c r="U28" s="292"/>
      <c r="V28" s="270">
        <v>0.15</v>
      </c>
      <c r="W28" s="270">
        <v>0.15</v>
      </c>
      <c r="X28" s="270">
        <v>0.15</v>
      </c>
      <c r="Y28" s="293"/>
      <c r="Z28" s="270">
        <v>0.14499999999999999</v>
      </c>
      <c r="AA28" s="270">
        <v>0.15</v>
      </c>
      <c r="AB28" s="270">
        <v>0.15</v>
      </c>
      <c r="AC28" s="270">
        <v>0.15</v>
      </c>
      <c r="AD28" s="293"/>
      <c r="AE28" s="271">
        <v>0.15</v>
      </c>
      <c r="AF28" s="271">
        <v>0.15</v>
      </c>
      <c r="AG28" s="271">
        <v>0.15</v>
      </c>
    </row>
    <row r="29" spans="1:35" hidden="1" outlineLevel="1">
      <c r="A29" s="22" t="s">
        <v>1</v>
      </c>
      <c r="C29" s="28" t="str">
        <f>IF(C27="","","Base Case")</f>
        <v/>
      </c>
      <c r="F29" s="292"/>
      <c r="G29" s="292"/>
      <c r="H29" s="292"/>
      <c r="I29" s="292"/>
      <c r="J29" s="293"/>
      <c r="K29" s="292"/>
      <c r="L29" s="292"/>
      <c r="M29" s="292"/>
      <c r="N29" s="292"/>
      <c r="O29" s="293"/>
      <c r="P29" s="292"/>
      <c r="Q29" s="292"/>
      <c r="R29" s="292"/>
      <c r="S29" s="292"/>
      <c r="T29" s="293"/>
      <c r="U29" s="292"/>
      <c r="V29" s="270">
        <v>0.14499999999999999</v>
      </c>
      <c r="W29" s="270">
        <v>0.12</v>
      </c>
      <c r="X29" s="270">
        <v>0.13500000000000001</v>
      </c>
      <c r="Y29" s="293"/>
      <c r="Z29" s="270">
        <v>0.14000000000000001</v>
      </c>
      <c r="AA29" s="270">
        <v>0.14499999999999999</v>
      </c>
      <c r="AB29" s="270">
        <v>0.12</v>
      </c>
      <c r="AC29" s="270">
        <v>0.13500000000000001</v>
      </c>
      <c r="AD29" s="293"/>
      <c r="AE29" s="271">
        <v>0.13900000000000001</v>
      </c>
      <c r="AF29" s="271">
        <v>0.14000000000000001</v>
      </c>
      <c r="AG29" s="271">
        <v>0.14199999999999999</v>
      </c>
      <c r="AH29" s="22" t="s">
        <v>1</v>
      </c>
      <c r="AI29" s="22"/>
    </row>
    <row r="30" spans="1:35" hidden="1" outlineLevel="1">
      <c r="C30" s="28" t="str">
        <f>IF(C27="","","Bear Case")</f>
        <v/>
      </c>
      <c r="F30" s="292"/>
      <c r="G30" s="292"/>
      <c r="H30" s="292"/>
      <c r="I30" s="292"/>
      <c r="J30" s="293"/>
      <c r="K30" s="292"/>
      <c r="L30" s="292"/>
      <c r="M30" s="292"/>
      <c r="N30" s="292"/>
      <c r="O30" s="293"/>
      <c r="P30" s="292"/>
      <c r="Q30" s="292"/>
      <c r="R30" s="292"/>
      <c r="S30" s="292"/>
      <c r="T30" s="293"/>
      <c r="U30" s="292"/>
      <c r="V30" s="270">
        <v>0.08</v>
      </c>
      <c r="W30" s="270">
        <v>0.08</v>
      </c>
      <c r="X30" s="270">
        <v>0.08</v>
      </c>
      <c r="Y30" s="293"/>
      <c r="Z30" s="270">
        <v>0.08</v>
      </c>
      <c r="AA30" s="270">
        <v>0.08</v>
      </c>
      <c r="AB30" s="270">
        <v>0.08</v>
      </c>
      <c r="AC30" s="270">
        <v>0.08</v>
      </c>
      <c r="AD30" s="293"/>
      <c r="AE30" s="271">
        <v>8.5000000000000006E-2</v>
      </c>
      <c r="AF30" s="271">
        <v>0.09</v>
      </c>
      <c r="AG30" s="271">
        <v>0.105</v>
      </c>
    </row>
    <row r="31" spans="1:35" hidden="1" outlineLevel="1">
      <c r="C31" s="28"/>
      <c r="F31" s="292"/>
      <c r="G31" s="292"/>
      <c r="H31" s="292"/>
      <c r="I31" s="292"/>
      <c r="J31" s="293"/>
      <c r="K31" s="292"/>
      <c r="L31" s="292"/>
      <c r="M31" s="292"/>
      <c r="N31" s="292"/>
      <c r="O31" s="293"/>
      <c r="P31" s="292"/>
      <c r="Q31" s="292"/>
      <c r="R31" s="292"/>
      <c r="S31" s="292"/>
      <c r="T31" s="293"/>
      <c r="U31" s="292"/>
      <c r="V31" s="270"/>
      <c r="W31" s="270"/>
      <c r="X31" s="270"/>
      <c r="Y31" s="293"/>
      <c r="Z31" s="270"/>
      <c r="AA31" s="270"/>
      <c r="AB31" s="270"/>
      <c r="AC31" s="270"/>
      <c r="AD31" s="293"/>
      <c r="AE31" s="271"/>
      <c r="AF31" s="271"/>
      <c r="AG31" s="271"/>
    </row>
    <row r="32" spans="1:35" hidden="1" outlineLevel="1">
      <c r="C32" s="23" t="str">
        <f>IF($C$5="Operating Margins",'Segment Analysis'!C21,"")</f>
        <v/>
      </c>
      <c r="F32" s="292" t="str">
        <f>'Segment Analysis'!F160</f>
        <v>N/A</v>
      </c>
      <c r="G32" s="292" t="str">
        <f>'Segment Analysis'!G160</f>
        <v>N/A</v>
      </c>
      <c r="H32" s="292" t="str">
        <f>'Segment Analysis'!H160</f>
        <v>N/A</v>
      </c>
      <c r="I32" s="292" t="str">
        <f>'Segment Analysis'!I160</f>
        <v>N/A</v>
      </c>
      <c r="J32" s="293" t="str">
        <f>'Segment Analysis'!J160</f>
        <v>N/A</v>
      </c>
      <c r="K32" s="292" t="str">
        <f>'Segment Analysis'!K160</f>
        <v>N/A</v>
      </c>
      <c r="L32" s="292" t="str">
        <f>'Segment Analysis'!L160</f>
        <v>N/A</v>
      </c>
      <c r="M32" s="292" t="str">
        <f>'Segment Analysis'!M160</f>
        <v>N/A</v>
      </c>
      <c r="N32" s="292" t="str">
        <f>'Segment Analysis'!N160</f>
        <v>N/A</v>
      </c>
      <c r="O32" s="293" t="str">
        <f>'Segment Analysis'!O160</f>
        <v>N/A</v>
      </c>
      <c r="P32" s="292" t="str">
        <f>'Segment Analysis'!P160</f>
        <v>N/A</v>
      </c>
      <c r="Q32" s="292" t="str">
        <f>'Segment Analysis'!Q160</f>
        <v>N/A</v>
      </c>
      <c r="R32" s="292" t="str">
        <f>'Segment Analysis'!R160</f>
        <v>N/A</v>
      </c>
      <c r="S32" s="292" t="str">
        <f>'Segment Analysis'!S160</f>
        <v>N/A</v>
      </c>
      <c r="T32" s="293" t="str">
        <f>'Segment Analysis'!T160</f>
        <v>N/A</v>
      </c>
      <c r="U32" s="292" t="str">
        <f>'Segment Analysis'!U160</f>
        <v>N/A</v>
      </c>
      <c r="V32" s="60">
        <f>IF(Case_Scenario="Bull",V33,IF(Case_Scenario="Base",V34,IF(Case_Scenario="bear",V35,"N/A")))</f>
        <v>0.14499999999999999</v>
      </c>
      <c r="W32" s="60">
        <f>IF(Case_Scenario="Bull",W33,IF(Case_Scenario="Base",W34,IF(Case_Scenario="bear",W35,"N/A")))</f>
        <v>0.12</v>
      </c>
      <c r="X32" s="60">
        <f>IF(Case_Scenario="Bull",X33,IF(Case_Scenario="Base",X34,IF(Case_Scenario="bear",X35,"N/A")))</f>
        <v>0.13500000000000001</v>
      </c>
      <c r="Y32" s="293" t="str">
        <f>'Segment Analysis'!Y160</f>
        <v>N/A</v>
      </c>
      <c r="Z32" s="60">
        <f>IF(Case_Scenario="Bull",Z33,IF(Case_Scenario="Base",Z34,IF(Case_Scenario="bear",Z35,"N/A")))</f>
        <v>0.14000000000000001</v>
      </c>
      <c r="AA32" s="60">
        <f>IF(Case_Scenario="Bull",AA33,IF(Case_Scenario="Base",AA34,IF(Case_Scenario="bear",AA35,"N/A")))</f>
        <v>0.14499999999999999</v>
      </c>
      <c r="AB32" s="60">
        <f>IF(Case_Scenario="Bull",AB33,IF(Case_Scenario="Base",AB34,IF(Case_Scenario="bear",AB35,"N/A")))</f>
        <v>0.12</v>
      </c>
      <c r="AC32" s="60">
        <f>IF(Case_Scenario="Bull",AC33,IF(Case_Scenario="Base",AC34,IF(Case_Scenario="bear",AC35,"N/A")))</f>
        <v>0.13500000000000001</v>
      </c>
      <c r="AD32" s="293" t="str">
        <f>'Segment Analysis'!AD160</f>
        <v>N/A</v>
      </c>
      <c r="AE32" s="59">
        <f>IF(Case_Scenario="Bull",AE33,IF(Case_Scenario="Base",AE34,IF(Case_Scenario="bear",AE35,"N/A")))</f>
        <v>0.13900000000000001</v>
      </c>
      <c r="AF32" s="59">
        <f>IF(Case_Scenario="Bull",AF33,IF(Case_Scenario="Base",AF34,IF(Case_Scenario="bear",AF35,"N/A")))</f>
        <v>0.14000000000000001</v>
      </c>
      <c r="AG32" s="59">
        <f>IF(Case_Scenario="Bull",AG33,IF(Case_Scenario="Base",AG34,IF(Case_Scenario="bear",AG35,"N/A")))</f>
        <v>0.14199999999999999</v>
      </c>
    </row>
    <row r="33" spans="1:35" hidden="1" outlineLevel="1">
      <c r="C33" s="28" t="str">
        <f>IF(C32="","","Bull Case")</f>
        <v/>
      </c>
      <c r="F33" s="292"/>
      <c r="G33" s="292"/>
      <c r="H33" s="292"/>
      <c r="I33" s="292"/>
      <c r="J33" s="293"/>
      <c r="K33" s="292"/>
      <c r="L33" s="292"/>
      <c r="M33" s="292"/>
      <c r="N33" s="292"/>
      <c r="O33" s="293"/>
      <c r="P33" s="292"/>
      <c r="Q33" s="292"/>
      <c r="R33" s="292"/>
      <c r="S33" s="292"/>
      <c r="T33" s="293"/>
      <c r="U33" s="292"/>
      <c r="V33" s="270">
        <v>0.15</v>
      </c>
      <c r="W33" s="270">
        <v>0.15</v>
      </c>
      <c r="X33" s="270">
        <v>0.15</v>
      </c>
      <c r="Y33" s="293"/>
      <c r="Z33" s="270">
        <v>0.14499999999999999</v>
      </c>
      <c r="AA33" s="270">
        <v>0.15</v>
      </c>
      <c r="AB33" s="270">
        <v>0.15</v>
      </c>
      <c r="AC33" s="270">
        <v>0.15</v>
      </c>
      <c r="AD33" s="293"/>
      <c r="AE33" s="271">
        <v>0.15</v>
      </c>
      <c r="AF33" s="271">
        <v>0.15</v>
      </c>
      <c r="AG33" s="271">
        <v>0.15</v>
      </c>
    </row>
    <row r="34" spans="1:35" hidden="1" outlineLevel="1">
      <c r="C34" s="28" t="str">
        <f>IF(C32="","","Base Case")</f>
        <v/>
      </c>
      <c r="F34" s="292"/>
      <c r="G34" s="292"/>
      <c r="H34" s="292"/>
      <c r="I34" s="292"/>
      <c r="J34" s="293"/>
      <c r="K34" s="292"/>
      <c r="L34" s="292"/>
      <c r="M34" s="292"/>
      <c r="N34" s="292"/>
      <c r="O34" s="293"/>
      <c r="P34" s="292"/>
      <c r="Q34" s="292"/>
      <c r="R34" s="292"/>
      <c r="S34" s="292"/>
      <c r="T34" s="293"/>
      <c r="U34" s="292"/>
      <c r="V34" s="270">
        <v>0.14499999999999999</v>
      </c>
      <c r="W34" s="270">
        <v>0.12</v>
      </c>
      <c r="X34" s="270">
        <v>0.13500000000000001</v>
      </c>
      <c r="Y34" s="293"/>
      <c r="Z34" s="270">
        <v>0.14000000000000001</v>
      </c>
      <c r="AA34" s="270">
        <v>0.14499999999999999</v>
      </c>
      <c r="AB34" s="270">
        <v>0.12</v>
      </c>
      <c r="AC34" s="270">
        <v>0.13500000000000001</v>
      </c>
      <c r="AD34" s="293"/>
      <c r="AE34" s="271">
        <v>0.13900000000000001</v>
      </c>
      <c r="AF34" s="271">
        <v>0.14000000000000001</v>
      </c>
      <c r="AG34" s="271">
        <v>0.14199999999999999</v>
      </c>
    </row>
    <row r="35" spans="1:35" hidden="1" outlineLevel="1">
      <c r="C35" s="28" t="str">
        <f>IF(C32="","","Bear Case")</f>
        <v/>
      </c>
      <c r="F35" s="292"/>
      <c r="G35" s="292"/>
      <c r="H35" s="292"/>
      <c r="I35" s="292"/>
      <c r="J35" s="293"/>
      <c r="K35" s="292"/>
      <c r="L35" s="292"/>
      <c r="M35" s="292"/>
      <c r="N35" s="292"/>
      <c r="O35" s="293"/>
      <c r="P35" s="292"/>
      <c r="Q35" s="292"/>
      <c r="R35" s="292"/>
      <c r="S35" s="292"/>
      <c r="T35" s="293"/>
      <c r="U35" s="292"/>
      <c r="V35" s="270">
        <v>0.08</v>
      </c>
      <c r="W35" s="270">
        <v>0.08</v>
      </c>
      <c r="X35" s="270">
        <v>0.08</v>
      </c>
      <c r="Y35" s="293"/>
      <c r="Z35" s="270">
        <v>0.08</v>
      </c>
      <c r="AA35" s="270">
        <v>0.08</v>
      </c>
      <c r="AB35" s="270">
        <v>0.08</v>
      </c>
      <c r="AC35" s="270">
        <v>0.08</v>
      </c>
      <c r="AD35" s="293"/>
      <c r="AE35" s="271">
        <v>8.5000000000000006E-2</v>
      </c>
      <c r="AF35" s="271">
        <v>0.09</v>
      </c>
      <c r="AG35" s="271">
        <v>0.105</v>
      </c>
    </row>
    <row r="36" spans="1:35" hidden="1" outlineLevel="1">
      <c r="C36" s="28"/>
      <c r="F36" s="292"/>
      <c r="G36" s="292"/>
      <c r="H36" s="292"/>
      <c r="I36" s="292"/>
      <c r="J36" s="293"/>
      <c r="K36" s="292"/>
      <c r="L36" s="292"/>
      <c r="M36" s="292"/>
      <c r="N36" s="292"/>
      <c r="O36" s="293"/>
      <c r="P36" s="292"/>
      <c r="Q36" s="292"/>
      <c r="R36" s="292"/>
      <c r="S36" s="292"/>
      <c r="T36" s="293"/>
      <c r="U36" s="292"/>
      <c r="V36" s="270"/>
      <c r="W36" s="270"/>
      <c r="X36" s="270"/>
      <c r="Y36" s="293"/>
      <c r="Z36" s="270"/>
      <c r="AA36" s="270"/>
      <c r="AB36" s="270"/>
      <c r="AC36" s="270"/>
      <c r="AD36" s="293"/>
      <c r="AE36" s="271"/>
      <c r="AF36" s="271"/>
      <c r="AG36" s="271"/>
    </row>
    <row r="37" spans="1:35" hidden="1" outlineLevel="1">
      <c r="F37" s="292"/>
      <c r="G37" s="292"/>
      <c r="H37" s="292"/>
      <c r="I37" s="292"/>
      <c r="J37" s="293"/>
      <c r="K37" s="292"/>
      <c r="L37" s="292"/>
      <c r="M37" s="292"/>
      <c r="N37" s="292"/>
      <c r="O37" s="293"/>
      <c r="P37" s="292"/>
      <c r="Q37" s="292"/>
      <c r="R37" s="292"/>
      <c r="S37" s="292"/>
      <c r="T37" s="293"/>
      <c r="U37" s="292"/>
      <c r="V37" s="60"/>
      <c r="W37" s="60"/>
      <c r="X37" s="60"/>
      <c r="Y37" s="293"/>
      <c r="Z37" s="60"/>
      <c r="AA37" s="60"/>
      <c r="AB37" s="60"/>
      <c r="AC37" s="60"/>
      <c r="AD37" s="293"/>
      <c r="AE37" s="269"/>
      <c r="AF37" s="269"/>
      <c r="AG37" s="269"/>
    </row>
    <row r="38" spans="1:35" collapsed="1">
      <c r="C38" s="543" t="s">
        <v>239</v>
      </c>
      <c r="D38" s="544"/>
      <c r="E38" s="544"/>
      <c r="F38" s="715"/>
      <c r="G38" s="716"/>
      <c r="H38" s="716"/>
      <c r="I38" s="716"/>
      <c r="J38" s="716"/>
      <c r="K38" s="716"/>
      <c r="L38" s="716"/>
      <c r="M38" s="716"/>
      <c r="N38" s="716"/>
      <c r="O38" s="716"/>
      <c r="P38" s="716"/>
      <c r="Q38" s="716"/>
      <c r="R38" s="716"/>
      <c r="S38" s="716"/>
      <c r="T38" s="716"/>
      <c r="U38" s="716"/>
      <c r="V38" s="716"/>
      <c r="W38" s="716"/>
      <c r="X38" s="716"/>
      <c r="Y38" s="716"/>
      <c r="Z38" s="716"/>
      <c r="AA38" s="716"/>
      <c r="AB38" s="716"/>
      <c r="AC38" s="716"/>
      <c r="AD38" s="716"/>
      <c r="AE38" s="716"/>
      <c r="AF38" s="716"/>
      <c r="AG38" s="717"/>
    </row>
    <row r="39" spans="1:35">
      <c r="F39" s="292"/>
      <c r="G39" s="292"/>
      <c r="H39" s="292"/>
      <c r="I39" s="292"/>
      <c r="J39" s="293"/>
      <c r="K39" s="292"/>
      <c r="L39" s="292"/>
      <c r="M39" s="292"/>
      <c r="N39" s="292"/>
      <c r="O39" s="293"/>
      <c r="P39" s="292"/>
      <c r="Q39" s="292"/>
      <c r="R39" s="292"/>
      <c r="S39" s="292"/>
      <c r="T39" s="293"/>
      <c r="U39" s="292"/>
      <c r="V39" s="60"/>
      <c r="W39" s="60"/>
      <c r="X39" s="60"/>
      <c r="Y39" s="293"/>
      <c r="Z39" s="60"/>
      <c r="AA39" s="60"/>
      <c r="AB39" s="60"/>
      <c r="AC39" s="60"/>
      <c r="AD39" s="293"/>
      <c r="AE39" s="269"/>
      <c r="AF39" s="269"/>
      <c r="AG39" s="269"/>
    </row>
    <row r="40" spans="1:35">
      <c r="C40" s="23" t="str">
        <f>Model!C68</f>
        <v>SG&amp;A as % of Revenue</v>
      </c>
      <c r="F40" s="292">
        <f>Model!F68</f>
        <v>-0.13572288717608805</v>
      </c>
      <c r="G40" s="292">
        <f>Model!G68</f>
        <v>-0.17317116759332804</v>
      </c>
      <c r="H40" s="292">
        <f>Model!H68</f>
        <v>-0.14884819743595101</v>
      </c>
      <c r="I40" s="292">
        <f>Model!I68</f>
        <v>-0.11493401391263756</v>
      </c>
      <c r="J40" s="293">
        <f>Model!J68</f>
        <v>-0.1398205894706849</v>
      </c>
      <c r="K40" s="292">
        <f>Model!K68</f>
        <v>-0.16220942456705351</v>
      </c>
      <c r="L40" s="292">
        <f>Model!L68</f>
        <v>-0.1443728340830068</v>
      </c>
      <c r="M40" s="292">
        <f>Model!M68</f>
        <v>-0.13307602719319628</v>
      </c>
      <c r="N40" s="292">
        <f>Model!N68</f>
        <v>-0.10978892830708761</v>
      </c>
      <c r="O40" s="293">
        <f>Model!O68</f>
        <v>-0.13376559099521051</v>
      </c>
      <c r="P40" s="292">
        <f>Model!P68</f>
        <v>-0.15285928053766548</v>
      </c>
      <c r="Q40" s="292">
        <f>Model!Q68</f>
        <v>-0.13774402176507089</v>
      </c>
      <c r="R40" s="292">
        <f>Model!R68</f>
        <v>-0.11124729204947638</v>
      </c>
      <c r="S40" s="292">
        <f>Model!S68</f>
        <v>-9.957148188011361E-2</v>
      </c>
      <c r="T40" s="293">
        <f>Model!T68</f>
        <v>-0.12056388469940342</v>
      </c>
      <c r="U40" s="292">
        <f>Model!U68</f>
        <v>-9.1894929484337029E-2</v>
      </c>
      <c r="V40" s="60">
        <f>IF(Case_Scenario="Bull",V41,IF(Case_Scenario="Base",V42,IF(Case_Scenario="bear",V43,"N/A")))</f>
        <v>-0.13</v>
      </c>
      <c r="W40" s="60">
        <f>IF(Case_Scenario="Bull",W41,IF(Case_Scenario="Base",W42,IF(Case_Scenario="bear",W43,"N/A")))</f>
        <v>-0.125</v>
      </c>
      <c r="X40" s="60">
        <f>IF(Case_Scenario="Bull",X41,IF(Case_Scenario="Base",X42,IF(Case_Scenario="bear",X43,"N/A")))</f>
        <v>-0.105</v>
      </c>
      <c r="Y40" s="293">
        <f>Model!Y68</f>
        <v>-0.11305456176147226</v>
      </c>
      <c r="Z40" s="60">
        <f>IF(Case_Scenario="Bull",Z41,IF(Case_Scenario="Base",Z42,IF(Case_Scenario="bear",Z43,"N/A")))</f>
        <v>-0.15</v>
      </c>
      <c r="AA40" s="60">
        <f>IF(Case_Scenario="Bull",AA41,IF(Case_Scenario="Base",AA42,IF(Case_Scenario="bear",AA43,"N/A")))</f>
        <v>-0.14499999999999999</v>
      </c>
      <c r="AB40" s="60">
        <f>IF(Case_Scenario="Bull",AB41,IF(Case_Scenario="Base",AB42,IF(Case_Scenario="bear",AB43,"N/A")))</f>
        <v>-0.13500000000000001</v>
      </c>
      <c r="AC40" s="60">
        <f>IF(Case_Scenario="Bull",AC41,IF(Case_Scenario="Base",AC42,IF(Case_Scenario="bear",AC43,"N/A")))</f>
        <v>-0.11749999999999999</v>
      </c>
      <c r="AD40" s="293">
        <f>Model!AD68</f>
        <v>-0.13475919904306044</v>
      </c>
      <c r="AE40" s="59">
        <f>IF(Case_Scenario="Bull",AE41,IF(Case_Scenario="Base",AE42,IF(Case_Scenario="bear",AE43,"N/A")))</f>
        <v>-0.15</v>
      </c>
      <c r="AF40" s="59">
        <f>IF(Case_Scenario="Bull",AF41,IF(Case_Scenario="Base",AF42,IF(Case_Scenario="bear",AF43,"N/A")))</f>
        <v>-0.16500000000000001</v>
      </c>
      <c r="AG40" s="59">
        <f>IF(Case_Scenario="Bull",AG41,IF(Case_Scenario="Base",AG42,IF(Case_Scenario="bear",AG43,"N/A")))</f>
        <v>-0.12</v>
      </c>
    </row>
    <row r="41" spans="1:35">
      <c r="C41" s="28" t="s">
        <v>217</v>
      </c>
      <c r="F41" s="292"/>
      <c r="G41" s="292"/>
      <c r="H41" s="292"/>
      <c r="I41" s="292"/>
      <c r="J41" s="293"/>
      <c r="K41" s="292"/>
      <c r="L41" s="292"/>
      <c r="M41" s="292"/>
      <c r="N41" s="292"/>
      <c r="O41" s="293"/>
      <c r="P41" s="292"/>
      <c r="Q41" s="292"/>
      <c r="R41" s="292"/>
      <c r="S41" s="292"/>
      <c r="T41" s="293"/>
      <c r="U41" s="292"/>
      <c r="V41" s="270">
        <f t="shared" ref="U41:X41" si="0">V42+3%</f>
        <v>-0.1</v>
      </c>
      <c r="W41" s="270">
        <f t="shared" si="0"/>
        <v>-9.5000000000000001E-2</v>
      </c>
      <c r="X41" s="270">
        <f t="shared" si="0"/>
        <v>-7.4999999999999997E-2</v>
      </c>
      <c r="Y41" s="293"/>
      <c r="Z41" s="270">
        <f t="shared" ref="Z41:AC41" si="1">Z42+3%</f>
        <v>-0.12</v>
      </c>
      <c r="AA41" s="270">
        <f t="shared" si="1"/>
        <v>-0.11499999999999999</v>
      </c>
      <c r="AB41" s="270">
        <f t="shared" si="1"/>
        <v>-0.10500000000000001</v>
      </c>
      <c r="AC41" s="270">
        <f t="shared" si="1"/>
        <v>-8.7499999999999994E-2</v>
      </c>
      <c r="AD41" s="293"/>
      <c r="AE41" s="271">
        <f t="shared" ref="AE41:AG41" si="2">AE42+3%</f>
        <v>-0.12</v>
      </c>
      <c r="AF41" s="271">
        <f t="shared" si="2"/>
        <v>-0.13500000000000001</v>
      </c>
      <c r="AG41" s="271">
        <f t="shared" si="2"/>
        <v>-0.09</v>
      </c>
    </row>
    <row r="42" spans="1:35">
      <c r="C42" s="28" t="s">
        <v>218</v>
      </c>
      <c r="F42" s="292"/>
      <c r="G42" s="292"/>
      <c r="H42" s="292"/>
      <c r="I42" s="292"/>
      <c r="J42" s="293"/>
      <c r="K42" s="292"/>
      <c r="L42" s="292"/>
      <c r="M42" s="292"/>
      <c r="N42" s="292"/>
      <c r="O42" s="293"/>
      <c r="P42" s="292"/>
      <c r="Q42" s="292"/>
      <c r="R42" s="292"/>
      <c r="S42" s="292"/>
      <c r="T42" s="293"/>
      <c r="U42" s="292"/>
      <c r="V42" s="270">
        <v>-0.13</v>
      </c>
      <c r="W42" s="270">
        <v>-0.125</v>
      </c>
      <c r="X42" s="270">
        <v>-0.105</v>
      </c>
      <c r="Y42" s="293"/>
      <c r="Z42" s="270">
        <v>-0.15</v>
      </c>
      <c r="AA42" s="270">
        <v>-0.14499999999999999</v>
      </c>
      <c r="AB42" s="270">
        <v>-0.13500000000000001</v>
      </c>
      <c r="AC42" s="270">
        <v>-0.11749999999999999</v>
      </c>
      <c r="AD42" s="293"/>
      <c r="AE42" s="271">
        <v>-0.15</v>
      </c>
      <c r="AF42" s="271">
        <v>-0.16500000000000001</v>
      </c>
      <c r="AG42" s="271">
        <v>-0.12</v>
      </c>
    </row>
    <row r="43" spans="1:35">
      <c r="A43" s="22" t="s">
        <v>1</v>
      </c>
      <c r="C43" s="28" t="s">
        <v>219</v>
      </c>
      <c r="F43" s="292"/>
      <c r="G43" s="292"/>
      <c r="H43" s="292"/>
      <c r="I43" s="292"/>
      <c r="J43" s="293"/>
      <c r="K43" s="292"/>
      <c r="L43" s="292"/>
      <c r="M43" s="292"/>
      <c r="N43" s="292"/>
      <c r="O43" s="293"/>
      <c r="P43" s="292"/>
      <c r="Q43" s="292"/>
      <c r="R43" s="292"/>
      <c r="S43" s="292"/>
      <c r="T43" s="293"/>
      <c r="U43" s="292"/>
      <c r="V43" s="270">
        <f t="shared" ref="U43:X43" si="3">V42-2%</f>
        <v>-0.15</v>
      </c>
      <c r="W43" s="270">
        <f t="shared" si="3"/>
        <v>-0.14499999999999999</v>
      </c>
      <c r="X43" s="270">
        <f t="shared" si="3"/>
        <v>-0.125</v>
      </c>
      <c r="Y43" s="293"/>
      <c r="Z43" s="270">
        <f t="shared" ref="Z43:AC43" si="4">Z42-2%</f>
        <v>-0.16999999999999998</v>
      </c>
      <c r="AA43" s="270">
        <f t="shared" si="4"/>
        <v>-0.16499999999999998</v>
      </c>
      <c r="AB43" s="270">
        <f t="shared" si="4"/>
        <v>-0.155</v>
      </c>
      <c r="AC43" s="270">
        <f t="shared" si="4"/>
        <v>-0.13749999999999998</v>
      </c>
      <c r="AD43" s="293"/>
      <c r="AE43" s="271">
        <f>AE42-1%</f>
        <v>-0.16</v>
      </c>
      <c r="AF43" s="271">
        <f t="shared" ref="AF43:AG43" si="5">AF42-1%</f>
        <v>-0.17500000000000002</v>
      </c>
      <c r="AG43" s="271">
        <f t="shared" si="5"/>
        <v>-0.13</v>
      </c>
      <c r="AH43" s="22" t="s">
        <v>1</v>
      </c>
      <c r="AI43" s="22"/>
    </row>
    <row r="44" spans="1:35">
      <c r="A44" s="22"/>
      <c r="F44" s="292"/>
      <c r="G44" s="292"/>
      <c r="H44" s="292"/>
      <c r="I44" s="292"/>
      <c r="J44" s="293"/>
      <c r="K44" s="292"/>
      <c r="L44" s="292"/>
      <c r="M44" s="292"/>
      <c r="N44" s="292"/>
      <c r="O44" s="293"/>
      <c r="P44" s="292"/>
      <c r="Q44" s="292"/>
      <c r="R44" s="292"/>
      <c r="S44" s="292"/>
      <c r="T44" s="293"/>
      <c r="U44" s="292"/>
      <c r="V44" s="60"/>
      <c r="W44" s="60"/>
      <c r="X44" s="60"/>
      <c r="Y44" s="293"/>
      <c r="Z44" s="60"/>
      <c r="AA44" s="60"/>
      <c r="AB44" s="60"/>
      <c r="AC44" s="60"/>
      <c r="AD44" s="293"/>
      <c r="AE44" s="269"/>
      <c r="AF44" s="269"/>
      <c r="AG44" s="269"/>
    </row>
    <row r="45" spans="1:35">
      <c r="A45" s="22"/>
      <c r="C45" s="23" t="s">
        <v>1078</v>
      </c>
      <c r="F45" s="292">
        <f>Model!F69</f>
        <v>0.63658352911780736</v>
      </c>
      <c r="G45" s="292">
        <f>Model!G69</f>
        <v>0.67191024622716444</v>
      </c>
      <c r="H45" s="292">
        <f>Model!H69</f>
        <v>0.68197644863197326</v>
      </c>
      <c r="I45" s="292">
        <f>Model!I69</f>
        <v>0.71021807628103328</v>
      </c>
      <c r="J45" s="293">
        <f>Model!J69</f>
        <v>0.67830599844596029</v>
      </c>
      <c r="K45" s="292">
        <f>Model!K69</f>
        <v>0.66274019107594317</v>
      </c>
      <c r="L45" s="292">
        <f>Model!L69</f>
        <v>0.66184943172395094</v>
      </c>
      <c r="M45" s="292">
        <f>Model!M69</f>
        <v>0.66088404972779724</v>
      </c>
      <c r="N45" s="292">
        <f>Model!N69</f>
        <v>0.65275107832878176</v>
      </c>
      <c r="O45" s="293">
        <f>Model!O69</f>
        <v>0.65881113791028523</v>
      </c>
      <c r="P45" s="292">
        <f>Model!P69</f>
        <v>0.65781191436034914</v>
      </c>
      <c r="Q45" s="292">
        <f>Model!Q69</f>
        <v>0.65463581690611428</v>
      </c>
      <c r="R45" s="292">
        <f>Model!R69</f>
        <v>0.65072266188907391</v>
      </c>
      <c r="S45" s="292">
        <f>Model!S69</f>
        <v>0.62585079119340525</v>
      </c>
      <c r="T45" s="293">
        <f>Model!T69</f>
        <v>0.64453089159925403</v>
      </c>
      <c r="U45" s="292">
        <f>Model!U69</f>
        <v>0.64554802712519876</v>
      </c>
      <c r="V45" s="60">
        <f>IF(Case_Scenario="Bull",V46,IF(Case_Scenario="Base",V47,IF(Case_Scenario="bear",V48,"N/A")))</f>
        <v>0.64</v>
      </c>
      <c r="W45" s="60">
        <f>IF(Case_Scenario="Bull",W46,IF(Case_Scenario="Base",W47,IF(Case_Scenario="bear",W48,"N/A")))</f>
        <v>0.63749999999999996</v>
      </c>
      <c r="X45" s="60">
        <f>IF(Case_Scenario="Bull",X46,IF(Case_Scenario="Base",X47,IF(Case_Scenario="bear",X48,"N/A")))</f>
        <v>0.63249999999999995</v>
      </c>
      <c r="Y45" s="293">
        <f>Model!Y69</f>
        <v>0.6381726457808079</v>
      </c>
      <c r="Z45" s="60">
        <f>IF(Case_Scenario="Bull",Z46,IF(Case_Scenario="Base",Z47,IF(Case_Scenario="bear",Z48,"N/A")))</f>
        <v>0.625</v>
      </c>
      <c r="AA45" s="60">
        <f>IF(Case_Scenario="Bull",AA46,IF(Case_Scenario="Base",AA47,IF(Case_Scenario="bear",AA48,"N/A")))</f>
        <v>0.62</v>
      </c>
      <c r="AB45" s="60">
        <f>IF(Case_Scenario="Bull",AB46,IF(Case_Scenario="Base",AB47,IF(Case_Scenario="bear",AB48,"N/A")))</f>
        <v>0.61750000000000005</v>
      </c>
      <c r="AC45" s="60">
        <f>IF(Case_Scenario="Bull",AC46,IF(Case_Scenario="Base",AC47,IF(Case_Scenario="bear",AC48,"N/A")))</f>
        <v>0.61499999999999999</v>
      </c>
      <c r="AD45" s="293">
        <f>Model!AD69</f>
        <v>0.61880506208223063</v>
      </c>
      <c r="AE45" s="59">
        <f>IF(Case_Scenario="Bull",AE46,IF(Case_Scenario="Base",AE47,IF(Case_Scenario="bear",AE48,"N/A")))</f>
        <v>0.6</v>
      </c>
      <c r="AF45" s="59">
        <f>IF(Case_Scenario="Bull",AF46,IF(Case_Scenario="Base",AF47,IF(Case_Scenario="bear",AF48,"N/A")))</f>
        <v>0.6</v>
      </c>
      <c r="AG45" s="59">
        <f>IF(Case_Scenario="Bull",AG46,IF(Case_Scenario="Base",AG47,IF(Case_Scenario="bear",AG48,"N/A")))</f>
        <v>0.57999999999999996</v>
      </c>
    </row>
    <row r="46" spans="1:35">
      <c r="A46" s="22"/>
      <c r="C46" s="28" t="s">
        <v>217</v>
      </c>
      <c r="F46" s="292"/>
      <c r="G46" s="292"/>
      <c r="H46" s="292"/>
      <c r="I46" s="292"/>
      <c r="J46" s="293"/>
      <c r="K46" s="292"/>
      <c r="L46" s="292"/>
      <c r="M46" s="292"/>
      <c r="N46" s="292"/>
      <c r="O46" s="293"/>
      <c r="P46" s="292"/>
      <c r="Q46" s="292"/>
      <c r="R46" s="292"/>
      <c r="S46" s="292"/>
      <c r="U46" s="292"/>
      <c r="V46" s="270">
        <f t="shared" ref="U46:X46" si="6">V47-0.2%</f>
        <v>0.63800000000000001</v>
      </c>
      <c r="W46" s="270">
        <f t="shared" si="6"/>
        <v>0.63549999999999995</v>
      </c>
      <c r="X46" s="270">
        <f t="shared" si="6"/>
        <v>0.63049999999999995</v>
      </c>
      <c r="Y46" s="293"/>
      <c r="Z46" s="270">
        <f t="shared" ref="Z46" si="7">Z47-0.2%</f>
        <v>0.623</v>
      </c>
      <c r="AA46" s="270">
        <f t="shared" ref="AA46" si="8">AA47-0.2%</f>
        <v>0.61799999999999999</v>
      </c>
      <c r="AB46" s="270">
        <f t="shared" ref="AB46" si="9">AB47-0.2%</f>
        <v>0.61550000000000005</v>
      </c>
      <c r="AC46" s="270">
        <f t="shared" ref="AC46" si="10">AC47-0.2%</f>
        <v>0.61299999999999999</v>
      </c>
      <c r="AD46" s="293"/>
      <c r="AE46" s="271">
        <f t="shared" ref="AE46" si="11">AE47-0.2%</f>
        <v>0.59799999999999998</v>
      </c>
      <c r="AF46" s="271">
        <f t="shared" ref="AF46" si="12">AF47-0.2%</f>
        <v>0.59799999999999998</v>
      </c>
      <c r="AG46" s="271">
        <f t="shared" ref="AG46" si="13">AG47-0.2%</f>
        <v>0.57799999999999996</v>
      </c>
    </row>
    <row r="47" spans="1:35">
      <c r="A47" s="22"/>
      <c r="C47" s="28" t="s">
        <v>218</v>
      </c>
      <c r="F47" s="292"/>
      <c r="G47" s="292"/>
      <c r="H47" s="292"/>
      <c r="I47" s="292"/>
      <c r="J47" s="293"/>
      <c r="K47" s="292"/>
      <c r="L47" s="292"/>
      <c r="M47" s="292"/>
      <c r="N47" s="292"/>
      <c r="O47" s="293"/>
      <c r="P47" s="292"/>
      <c r="Q47" s="292"/>
      <c r="R47" s="292"/>
      <c r="S47" s="292"/>
      <c r="T47" s="293"/>
      <c r="U47" s="292"/>
      <c r="V47" s="270">
        <v>0.64</v>
      </c>
      <c r="W47" s="270">
        <v>0.63749999999999996</v>
      </c>
      <c r="X47" s="270">
        <v>0.63249999999999995</v>
      </c>
      <c r="Y47" s="293"/>
      <c r="Z47" s="270">
        <v>0.625</v>
      </c>
      <c r="AA47" s="270">
        <v>0.62</v>
      </c>
      <c r="AB47" s="270">
        <v>0.61750000000000005</v>
      </c>
      <c r="AC47" s="270">
        <v>0.61499999999999999</v>
      </c>
      <c r="AD47" s="293"/>
      <c r="AE47" s="271">
        <v>0.6</v>
      </c>
      <c r="AF47" s="271">
        <v>0.6</v>
      </c>
      <c r="AG47" s="271">
        <v>0.57999999999999996</v>
      </c>
    </row>
    <row r="48" spans="1:35">
      <c r="A48" s="22"/>
      <c r="C48" s="28" t="s">
        <v>219</v>
      </c>
      <c r="F48" s="292"/>
      <c r="G48" s="292"/>
      <c r="H48" s="292"/>
      <c r="I48" s="292"/>
      <c r="J48" s="293"/>
      <c r="K48" s="292"/>
      <c r="L48" s="292"/>
      <c r="M48" s="292"/>
      <c r="N48" s="292"/>
      <c r="O48" s="293"/>
      <c r="P48" s="292"/>
      <c r="Q48" s="292"/>
      <c r="R48" s="292"/>
      <c r="S48" s="292"/>
      <c r="T48" s="293"/>
      <c r="U48" s="292"/>
      <c r="V48" s="270">
        <f t="shared" ref="U48:X48" si="14">V47+0.2%</f>
        <v>0.64200000000000002</v>
      </c>
      <c r="W48" s="270">
        <f t="shared" si="14"/>
        <v>0.63949999999999996</v>
      </c>
      <c r="X48" s="270">
        <f t="shared" si="14"/>
        <v>0.63449999999999995</v>
      </c>
      <c r="Y48" s="293"/>
      <c r="Z48" s="270">
        <f t="shared" ref="Z48" si="15">Z47+0.2%</f>
        <v>0.627</v>
      </c>
      <c r="AA48" s="270">
        <f t="shared" ref="AA48" si="16">AA47+0.2%</f>
        <v>0.622</v>
      </c>
      <c r="AB48" s="270">
        <f t="shared" ref="AB48" si="17">AB47+0.2%</f>
        <v>0.61950000000000005</v>
      </c>
      <c r="AC48" s="270">
        <f t="shared" ref="AC48" si="18">AC47+0.2%</f>
        <v>0.61699999999999999</v>
      </c>
      <c r="AD48" s="293"/>
      <c r="AE48" s="271">
        <f t="shared" ref="AE48" si="19">AE47+0.2%</f>
        <v>0.60199999999999998</v>
      </c>
      <c r="AF48" s="271">
        <f t="shared" ref="AF48" si="20">AF47+0.2%</f>
        <v>0.60199999999999998</v>
      </c>
      <c r="AG48" s="271">
        <f t="shared" ref="AG48" si="21">AG47+0.2%</f>
        <v>0.58199999999999996</v>
      </c>
    </row>
    <row r="49" spans="1:35">
      <c r="A49" s="22"/>
      <c r="C49" s="28"/>
      <c r="F49" s="292"/>
      <c r="G49" s="292"/>
      <c r="H49" s="292"/>
      <c r="I49" s="292"/>
      <c r="J49" s="293"/>
      <c r="K49" s="292"/>
      <c r="L49" s="292"/>
      <c r="M49" s="292"/>
      <c r="N49" s="292"/>
      <c r="O49" s="293"/>
      <c r="P49" s="292"/>
      <c r="Q49" s="292"/>
      <c r="R49" s="292"/>
      <c r="S49" s="292"/>
      <c r="T49" s="293"/>
      <c r="U49" s="292"/>
      <c r="V49" s="60"/>
      <c r="W49" s="60"/>
      <c r="X49" s="60"/>
      <c r="Y49" s="293"/>
      <c r="Z49" s="60"/>
      <c r="AA49" s="60"/>
      <c r="AB49" s="60"/>
      <c r="AC49" s="60"/>
      <c r="AD49" s="293"/>
      <c r="AE49" s="269"/>
      <c r="AF49" s="269"/>
      <c r="AG49" s="269"/>
    </row>
    <row r="50" spans="1:35">
      <c r="C50" s="23" t="str">
        <f>Model!C70</f>
        <v>R&amp;D as a % of Revenue</v>
      </c>
      <c r="F50" s="292">
        <f>Model!F70</f>
        <v>0</v>
      </c>
      <c r="G50" s="292">
        <f>Model!G70</f>
        <v>0</v>
      </c>
      <c r="H50" s="292">
        <f>Model!H70</f>
        <v>0</v>
      </c>
      <c r="I50" s="292">
        <f>Model!I70</f>
        <v>0</v>
      </c>
      <c r="J50" s="293">
        <f>Model!J70</f>
        <v>0</v>
      </c>
      <c r="K50" s="292">
        <f>Model!K70</f>
        <v>0</v>
      </c>
      <c r="L50" s="292">
        <f>Model!L70</f>
        <v>0</v>
      </c>
      <c r="M50" s="292">
        <f ca="1">Model!M70</f>
        <v>0</v>
      </c>
      <c r="N50" s="292">
        <f>Model!N70</f>
        <v>0</v>
      </c>
      <c r="O50" s="293">
        <f ca="1">Model!O70</f>
        <v>0</v>
      </c>
      <c r="P50" s="292">
        <f>Model!P70</f>
        <v>0</v>
      </c>
      <c r="Q50" s="292">
        <f>Model!Q70</f>
        <v>0</v>
      </c>
      <c r="R50" s="292">
        <f>Model!R70</f>
        <v>0</v>
      </c>
      <c r="S50" s="292">
        <f>Model!S70</f>
        <v>0</v>
      </c>
      <c r="T50" s="293">
        <f>Model!T70</f>
        <v>0</v>
      </c>
      <c r="U50" s="292">
        <f>Model!U70</f>
        <v>0</v>
      </c>
      <c r="V50" s="60">
        <f>IF(Case_Scenario="Bull",V51,IF(Case_Scenario="Base",V52,IF(Case_Scenario="bear",V53,"N/A")))</f>
        <v>0</v>
      </c>
      <c r="W50" s="60">
        <f>IF(Case_Scenario="Bull",W51,IF(Case_Scenario="Base",W52,IF(Case_Scenario="bear",W53,"N/A")))</f>
        <v>0</v>
      </c>
      <c r="X50" s="60">
        <f>IF(Case_Scenario="Bull",X51,IF(Case_Scenario="Base",X52,IF(Case_Scenario="bear",X53,"N/A")))</f>
        <v>0</v>
      </c>
      <c r="Y50" s="293">
        <f>Model!Y70</f>
        <v>0</v>
      </c>
      <c r="Z50" s="60">
        <f>IF(Case_Scenario="Bull",Z51,IF(Case_Scenario="Base",Z52,IF(Case_Scenario="bear",Z53,"N/A")))</f>
        <v>0</v>
      </c>
      <c r="AA50" s="60">
        <f>IF(Case_Scenario="Bull",AA51,IF(Case_Scenario="Base",AA52,IF(Case_Scenario="bear",AA53,"N/A")))</f>
        <v>0</v>
      </c>
      <c r="AB50" s="60">
        <f>IF(Case_Scenario="Bull",AB51,IF(Case_Scenario="Base",AB52,IF(Case_Scenario="bear",AB53,"N/A")))</f>
        <v>0</v>
      </c>
      <c r="AC50" s="60">
        <f>IF(Case_Scenario="Bull",AC51,IF(Case_Scenario="Base",AC52,IF(Case_Scenario="bear",AC53,"N/A")))</f>
        <v>0</v>
      </c>
      <c r="AD50" s="293">
        <f>Model!AD70</f>
        <v>0</v>
      </c>
      <c r="AE50" s="59">
        <f>IF(Case_Scenario="Bull",AE51,IF(Case_Scenario="Base",AE52,IF(Case_Scenario="bear",AE53,"N/A")))</f>
        <v>0</v>
      </c>
      <c r="AF50" s="59">
        <f>IF(Case_Scenario="Bull",AF51,IF(Case_Scenario="Base",AF52,IF(Case_Scenario="bear",AF53,"N/A")))</f>
        <v>0</v>
      </c>
      <c r="AG50" s="59">
        <f>IF(Case_Scenario="Bull",AG51,IF(Case_Scenario="Base",AG52,IF(Case_Scenario="bear",AG53,"N/A")))</f>
        <v>0</v>
      </c>
    </row>
    <row r="51" spans="1:35">
      <c r="C51" s="28" t="s">
        <v>217</v>
      </c>
      <c r="F51" s="292"/>
      <c r="G51" s="292"/>
      <c r="H51" s="292"/>
      <c r="I51" s="292"/>
      <c r="J51" s="293"/>
      <c r="K51" s="292"/>
      <c r="L51" s="292"/>
      <c r="M51" s="292"/>
      <c r="N51" s="292"/>
      <c r="O51" s="293"/>
      <c r="P51" s="292"/>
      <c r="Q51" s="292"/>
      <c r="R51" s="292"/>
      <c r="S51" s="292"/>
      <c r="T51" s="293"/>
      <c r="U51" s="292"/>
      <c r="V51" s="270">
        <v>0</v>
      </c>
      <c r="W51" s="270">
        <v>0</v>
      </c>
      <c r="X51" s="270">
        <v>0</v>
      </c>
      <c r="Y51" s="293"/>
      <c r="Z51" s="270">
        <v>0</v>
      </c>
      <c r="AA51" s="270">
        <v>0</v>
      </c>
      <c r="AB51" s="270">
        <v>0</v>
      </c>
      <c r="AC51" s="270">
        <v>0</v>
      </c>
      <c r="AD51" s="293"/>
      <c r="AE51" s="271">
        <v>0</v>
      </c>
      <c r="AF51" s="271">
        <v>0</v>
      </c>
      <c r="AG51" s="271">
        <v>0</v>
      </c>
    </row>
    <row r="52" spans="1:35">
      <c r="C52" s="28" t="s">
        <v>218</v>
      </c>
      <c r="F52" s="292"/>
      <c r="G52" s="292"/>
      <c r="H52" s="292"/>
      <c r="I52" s="292"/>
      <c r="J52" s="293"/>
      <c r="K52" s="292"/>
      <c r="L52" s="292"/>
      <c r="M52" s="292"/>
      <c r="N52" s="292"/>
      <c r="O52" s="293"/>
      <c r="P52" s="292"/>
      <c r="Q52" s="292"/>
      <c r="R52" s="292"/>
      <c r="S52" s="292"/>
      <c r="T52" s="293"/>
      <c r="U52" s="292"/>
      <c r="V52" s="270">
        <v>0</v>
      </c>
      <c r="W52" s="270">
        <v>0</v>
      </c>
      <c r="X52" s="270">
        <v>0</v>
      </c>
      <c r="Y52" s="293"/>
      <c r="Z52" s="270">
        <v>0</v>
      </c>
      <c r="AA52" s="270">
        <v>0</v>
      </c>
      <c r="AB52" s="270">
        <v>0</v>
      </c>
      <c r="AC52" s="270">
        <v>0</v>
      </c>
      <c r="AD52" s="293"/>
      <c r="AE52" s="271">
        <v>0</v>
      </c>
      <c r="AF52" s="271">
        <v>0</v>
      </c>
      <c r="AG52" s="271">
        <v>0</v>
      </c>
    </row>
    <row r="53" spans="1:35">
      <c r="C53" s="28" t="s">
        <v>219</v>
      </c>
      <c r="F53" s="292"/>
      <c r="G53" s="292"/>
      <c r="H53" s="292"/>
      <c r="I53" s="292"/>
      <c r="J53" s="293"/>
      <c r="K53" s="292"/>
      <c r="L53" s="292"/>
      <c r="M53" s="292"/>
      <c r="N53" s="292"/>
      <c r="O53" s="293"/>
      <c r="P53" s="292"/>
      <c r="Q53" s="292"/>
      <c r="R53" s="292"/>
      <c r="S53" s="292"/>
      <c r="T53" s="293"/>
      <c r="U53" s="292"/>
      <c r="V53" s="270">
        <v>0</v>
      </c>
      <c r="W53" s="270">
        <v>0</v>
      </c>
      <c r="X53" s="270">
        <v>0</v>
      </c>
      <c r="Y53" s="293"/>
      <c r="Z53" s="270">
        <v>0</v>
      </c>
      <c r="AA53" s="270">
        <v>0</v>
      </c>
      <c r="AB53" s="270">
        <v>0</v>
      </c>
      <c r="AC53" s="270">
        <v>0</v>
      </c>
      <c r="AD53" s="293"/>
      <c r="AE53" s="271">
        <v>0</v>
      </c>
      <c r="AF53" s="271">
        <v>0</v>
      </c>
      <c r="AG53" s="271">
        <v>0</v>
      </c>
    </row>
    <row r="54" spans="1:35">
      <c r="F54" s="292"/>
      <c r="G54" s="292"/>
      <c r="H54" s="292"/>
      <c r="I54" s="292"/>
      <c r="J54" s="293"/>
      <c r="K54" s="292"/>
      <c r="L54" s="292"/>
      <c r="M54" s="292"/>
      <c r="N54" s="292"/>
      <c r="O54" s="293"/>
      <c r="P54" s="292"/>
      <c r="Q54" s="292"/>
      <c r="R54" s="292"/>
      <c r="S54" s="292"/>
      <c r="T54" s="293"/>
      <c r="U54" s="292"/>
      <c r="V54" s="60"/>
      <c r="W54" s="60"/>
      <c r="X54" s="60"/>
      <c r="Y54" s="293"/>
      <c r="Z54" s="60"/>
      <c r="AA54" s="60"/>
      <c r="AB54" s="60"/>
      <c r="AC54" s="60"/>
      <c r="AD54" s="293"/>
      <c r="AE54" s="269"/>
      <c r="AF54" s="269"/>
      <c r="AG54" s="269"/>
    </row>
    <row r="55" spans="1:35">
      <c r="C55" s="23" t="str">
        <f>Model!C71</f>
        <v>Other Operating Income as a % of Revenue</v>
      </c>
      <c r="F55" s="292">
        <f>Model!F71</f>
        <v>-2.3554867658949808E-2</v>
      </c>
      <c r="G55" s="292">
        <f>Model!G71</f>
        <v>-2.0190627482128673E-2</v>
      </c>
      <c r="H55" s="292">
        <f>Model!H71</f>
        <v>-1.7961225896755594E-2</v>
      </c>
      <c r="I55" s="292">
        <f>Model!I71</f>
        <v>-1.267967953238925E-2</v>
      </c>
      <c r="J55" s="293">
        <f>Model!J71</f>
        <v>-1.8036031123370939E-2</v>
      </c>
      <c r="K55" s="292">
        <f>Model!K71</f>
        <v>-1.3340102529388739E-2</v>
      </c>
      <c r="L55" s="292">
        <f>Model!L71</f>
        <v>-2.2348874336073885E-2</v>
      </c>
      <c r="M55" s="292">
        <f>Model!M71</f>
        <v>-2.7162048698572628E-2</v>
      </c>
      <c r="N55" s="292">
        <f>Model!N71</f>
        <v>-1.0216176207855849E-2</v>
      </c>
      <c r="O55" s="293">
        <f>Model!O71</f>
        <v>-1.7809936786655548E-2</v>
      </c>
      <c r="P55" s="292">
        <f>Model!P71</f>
        <v>-1.5724826972541638E-2</v>
      </c>
      <c r="Q55" s="292">
        <f>Model!Q71</f>
        <v>-1.5446756718056417E-2</v>
      </c>
      <c r="R55" s="292">
        <f>Model!R71</f>
        <v>-1.7023042197182776E-2</v>
      </c>
      <c r="S55" s="292">
        <f>Model!S71</f>
        <v>-1.7691214067853584E-2</v>
      </c>
      <c r="T55" s="293">
        <f>Model!T71</f>
        <v>-1.6672061738869572E-2</v>
      </c>
      <c r="U55" s="292">
        <f>Model!U71</f>
        <v>-1.1173399768220503E-2</v>
      </c>
      <c r="V55" s="60">
        <f>IF(Case_Scenario="Bull",V56,IF(Case_Scenario="Base",V57,IF(Case_Scenario="bear",V58,"N/A")))</f>
        <v>-0.02</v>
      </c>
      <c r="W55" s="60">
        <f>IF(Case_Scenario="Bull",W56,IF(Case_Scenario="Base",W57,IF(Case_Scenario="bear",W58,"N/A")))</f>
        <v>-1.7000000000000001E-2</v>
      </c>
      <c r="X55" s="60">
        <f>IF(Case_Scenario="Bull",X56,IF(Case_Scenario="Base",X57,IF(Case_Scenario="bear",X58,"N/A")))</f>
        <v>-1.7000000000000001E-2</v>
      </c>
      <c r="Y55" s="293">
        <f>Model!Y71</f>
        <v>-1.647830418095169E-2</v>
      </c>
      <c r="Z55" s="60">
        <f>IF(Case_Scenario="Bull",Z56,IF(Case_Scenario="Base",Z57,IF(Case_Scenario="bear",Z58,"N/A")))</f>
        <v>-1.4E-2</v>
      </c>
      <c r="AA55" s="60">
        <f>IF(Case_Scenario="Bull",AA56,IF(Case_Scenario="Base",AA57,IF(Case_Scenario="bear",AA58,"N/A")))</f>
        <v>-1.4E-2</v>
      </c>
      <c r="AB55" s="60">
        <f>IF(Case_Scenario="Bull",AB56,IF(Case_Scenario="Base",AB57,IF(Case_Scenario="bear",AB58,"N/A")))</f>
        <v>-1.4E-2</v>
      </c>
      <c r="AC55" s="60">
        <f>IF(Case_Scenario="Bull",AC56,IF(Case_Scenario="Base",AC57,IF(Case_Scenario="bear",AC58,"N/A")))</f>
        <v>-1.4E-2</v>
      </c>
      <c r="AD55" s="293">
        <f>Model!AD71</f>
        <v>-1.4000000000000002E-2</v>
      </c>
      <c r="AE55" s="59">
        <f>IF(Case_Scenario="Bull",AE56,IF(Case_Scenario="Base",AE57,IF(Case_Scenario="bear",AE58,"N/A")))</f>
        <v>-1.4999999999999999E-2</v>
      </c>
      <c r="AF55" s="59">
        <f>IF(Case_Scenario="Bull",AF56,IF(Case_Scenario="Base",AF57,IF(Case_Scenario="bear",AF58,"N/A")))</f>
        <v>-1.4999999999999999E-2</v>
      </c>
      <c r="AG55" s="59">
        <f>IF(Case_Scenario="Bull",AG56,IF(Case_Scenario="Base",AG57,IF(Case_Scenario="bear",AG58,"N/A")))</f>
        <v>-1.4999999999999999E-2</v>
      </c>
    </row>
    <row r="56" spans="1:35">
      <c r="C56" s="28" t="s">
        <v>217</v>
      </c>
      <c r="F56" s="292"/>
      <c r="G56" s="292"/>
      <c r="H56" s="292"/>
      <c r="I56" s="292"/>
      <c r="J56" s="293"/>
      <c r="K56" s="292"/>
      <c r="L56" s="292"/>
      <c r="M56" s="292"/>
      <c r="N56" s="292"/>
      <c r="O56" s="293"/>
      <c r="P56" s="292"/>
      <c r="Q56" s="292"/>
      <c r="R56" s="292"/>
      <c r="S56" s="292"/>
      <c r="T56" s="293"/>
      <c r="U56" s="292"/>
      <c r="V56" s="270">
        <f t="shared" ref="U56:X56" si="22">V57+0.002</f>
        <v>-1.8000000000000002E-2</v>
      </c>
      <c r="W56" s="270">
        <f t="shared" si="22"/>
        <v>-1.5000000000000001E-2</v>
      </c>
      <c r="X56" s="270">
        <f t="shared" si="22"/>
        <v>-1.5000000000000001E-2</v>
      </c>
      <c r="Y56" s="293"/>
      <c r="Z56" s="270">
        <f t="shared" ref="Z56:AC56" si="23">Z57+0.002</f>
        <v>-1.2E-2</v>
      </c>
      <c r="AA56" s="270">
        <f t="shared" si="23"/>
        <v>-1.2E-2</v>
      </c>
      <c r="AB56" s="270">
        <f t="shared" si="23"/>
        <v>-1.2E-2</v>
      </c>
      <c r="AC56" s="270">
        <f t="shared" si="23"/>
        <v>-1.2E-2</v>
      </c>
      <c r="AD56" s="293"/>
      <c r="AE56" s="271">
        <f t="shared" ref="AE56" si="24">AE57+0.002</f>
        <v>-1.2999999999999999E-2</v>
      </c>
      <c r="AF56" s="271">
        <f t="shared" ref="AF56" si="25">AF57+0.002</f>
        <v>-1.2999999999999999E-2</v>
      </c>
      <c r="AG56" s="271">
        <f t="shared" ref="AG56" si="26">AG57+0.002</f>
        <v>-1.2999999999999999E-2</v>
      </c>
    </row>
    <row r="57" spans="1:35">
      <c r="C57" s="28" t="s">
        <v>218</v>
      </c>
      <c r="F57" s="292"/>
      <c r="G57" s="292"/>
      <c r="H57" s="292"/>
      <c r="I57" s="292"/>
      <c r="J57" s="293"/>
      <c r="K57" s="292"/>
      <c r="L57" s="292"/>
      <c r="M57" s="292"/>
      <c r="N57" s="292"/>
      <c r="O57" s="293"/>
      <c r="P57" s="292"/>
      <c r="Q57" s="292"/>
      <c r="R57" s="292"/>
      <c r="S57" s="292"/>
      <c r="T57" s="293"/>
      <c r="U57" s="292"/>
      <c r="V57" s="270">
        <v>-0.02</v>
      </c>
      <c r="W57" s="270">
        <v>-1.7000000000000001E-2</v>
      </c>
      <c r="X57" s="270">
        <v>-1.7000000000000001E-2</v>
      </c>
      <c r="Y57" s="293"/>
      <c r="Z57" s="270">
        <v>-1.4E-2</v>
      </c>
      <c r="AA57" s="270">
        <v>-1.4E-2</v>
      </c>
      <c r="AB57" s="270">
        <v>-1.4E-2</v>
      </c>
      <c r="AC57" s="270">
        <v>-1.4E-2</v>
      </c>
      <c r="AD57" s="293"/>
      <c r="AE57" s="271">
        <v>-1.4999999999999999E-2</v>
      </c>
      <c r="AF57" s="271">
        <v>-1.4999999999999999E-2</v>
      </c>
      <c r="AG57" s="271">
        <v>-1.4999999999999999E-2</v>
      </c>
    </row>
    <row r="58" spans="1:35">
      <c r="C58" s="28" t="s">
        <v>219</v>
      </c>
      <c r="F58" s="292"/>
      <c r="G58" s="292"/>
      <c r="H58" s="292"/>
      <c r="I58" s="292"/>
      <c r="J58" s="293"/>
      <c r="K58" s="292"/>
      <c r="L58" s="292"/>
      <c r="M58" s="292"/>
      <c r="N58" s="292"/>
      <c r="O58" s="293"/>
      <c r="P58" s="292"/>
      <c r="Q58" s="292"/>
      <c r="R58" s="292"/>
      <c r="S58" s="292"/>
      <c r="T58" s="293"/>
      <c r="U58" s="292"/>
      <c r="V58" s="270">
        <f t="shared" ref="U58:X58" si="27">V57-0.2%</f>
        <v>-2.1999999999999999E-2</v>
      </c>
      <c r="W58" s="270">
        <f t="shared" si="27"/>
        <v>-1.9000000000000003E-2</v>
      </c>
      <c r="X58" s="270">
        <f t="shared" si="27"/>
        <v>-1.9000000000000003E-2</v>
      </c>
      <c r="Y58" s="293"/>
      <c r="Z58" s="270">
        <f t="shared" ref="Z58:AC58" si="28">Z57-0.2%</f>
        <v>-1.6E-2</v>
      </c>
      <c r="AA58" s="270">
        <f t="shared" si="28"/>
        <v>-1.6E-2</v>
      </c>
      <c r="AB58" s="270">
        <f t="shared" si="28"/>
        <v>-1.6E-2</v>
      </c>
      <c r="AC58" s="270">
        <f t="shared" si="28"/>
        <v>-1.6E-2</v>
      </c>
      <c r="AD58" s="293"/>
      <c r="AE58" s="271">
        <v>-0.02</v>
      </c>
      <c r="AF58" s="271">
        <v>-0.02</v>
      </c>
      <c r="AG58" s="271">
        <v>-0.02</v>
      </c>
    </row>
    <row r="59" spans="1:35">
      <c r="F59" s="292"/>
      <c r="G59" s="292"/>
      <c r="H59" s="292"/>
      <c r="I59" s="292"/>
      <c r="J59" s="293"/>
      <c r="K59" s="292"/>
      <c r="L59" s="292"/>
      <c r="M59" s="292"/>
      <c r="N59" s="292"/>
      <c r="O59" s="293"/>
      <c r="P59" s="292"/>
      <c r="Q59" s="292"/>
      <c r="R59" s="292"/>
      <c r="S59" s="292"/>
      <c r="T59" s="293"/>
      <c r="U59" s="292"/>
      <c r="V59" s="60"/>
      <c r="W59" s="60"/>
      <c r="X59" s="60"/>
      <c r="Y59" s="293"/>
      <c r="Z59" s="60"/>
      <c r="AA59" s="60"/>
      <c r="AB59" s="60"/>
      <c r="AC59" s="60"/>
      <c r="AD59" s="293"/>
      <c r="AE59" s="269"/>
      <c r="AF59" s="269"/>
      <c r="AG59" s="269"/>
    </row>
    <row r="60" spans="1:35">
      <c r="C60" s="543" t="s">
        <v>241</v>
      </c>
      <c r="D60" s="544"/>
      <c r="E60" s="544"/>
      <c r="F60" s="715"/>
      <c r="G60" s="716"/>
      <c r="H60" s="716"/>
      <c r="I60" s="716"/>
      <c r="J60" s="716"/>
      <c r="K60" s="716"/>
      <c r="L60" s="716"/>
      <c r="M60" s="716"/>
      <c r="N60" s="716"/>
      <c r="O60" s="716"/>
      <c r="P60" s="716"/>
      <c r="Q60" s="716"/>
      <c r="R60" s="716"/>
      <c r="S60" s="716"/>
      <c r="T60" s="716"/>
      <c r="U60" s="716"/>
      <c r="V60" s="716"/>
      <c r="W60" s="716"/>
      <c r="X60" s="716"/>
      <c r="Y60" s="716"/>
      <c r="Z60" s="716"/>
      <c r="AA60" s="716"/>
      <c r="AB60" s="716"/>
      <c r="AC60" s="716"/>
      <c r="AD60" s="716"/>
      <c r="AE60" s="716"/>
      <c r="AF60" s="716"/>
      <c r="AG60" s="717"/>
    </row>
    <row r="61" spans="1:35">
      <c r="A61" s="22" t="s">
        <v>1</v>
      </c>
      <c r="F61" s="292"/>
      <c r="G61" s="292"/>
      <c r="H61" s="292"/>
      <c r="I61" s="292"/>
      <c r="J61" s="293"/>
      <c r="K61" s="292"/>
      <c r="L61" s="292"/>
      <c r="M61" s="292"/>
      <c r="N61" s="292"/>
      <c r="O61" s="293"/>
      <c r="P61" s="292"/>
      <c r="Q61" s="292"/>
      <c r="R61" s="292"/>
      <c r="S61" s="292"/>
      <c r="T61" s="293"/>
      <c r="U61" s="292"/>
      <c r="V61" s="60"/>
      <c r="W61" s="60"/>
      <c r="X61" s="60"/>
      <c r="Y61" s="293"/>
      <c r="Z61" s="60"/>
      <c r="AA61" s="60"/>
      <c r="AB61" s="60"/>
      <c r="AC61" s="60"/>
      <c r="AD61" s="293"/>
      <c r="AE61" s="269"/>
      <c r="AF61" s="269"/>
      <c r="AG61" s="269"/>
      <c r="AH61" s="22" t="s">
        <v>1</v>
      </c>
      <c r="AI61" s="22"/>
    </row>
    <row r="62" spans="1:35">
      <c r="C62" s="23" t="str">
        <f>Model!C72</f>
        <v>Other Non-Operating Income as a % of Revenue</v>
      </c>
      <c r="F62" s="292">
        <f>Model!F72</f>
        <v>2.5472225210562299E-3</v>
      </c>
      <c r="G62" s="292">
        <f>Model!G72</f>
        <v>3.0619539316918188E-3</v>
      </c>
      <c r="H62" s="292">
        <f>Model!H72</f>
        <v>2.8969157596395569E-3</v>
      </c>
      <c r="I62" s="292">
        <f>Model!I72</f>
        <v>2.5128496552284016E-3</v>
      </c>
      <c r="J62" s="293">
        <f>Model!J72</f>
        <v>2.7244821846294171E-3</v>
      </c>
      <c r="K62" s="292">
        <f>Model!K72</f>
        <v>3.9743385931354201E-3</v>
      </c>
      <c r="L62" s="292">
        <f>Model!L72</f>
        <v>2.6780576654893981E-3</v>
      </c>
      <c r="M62" s="292">
        <f>Model!M72</f>
        <v>1.451748327510089E-3</v>
      </c>
      <c r="N62" s="292">
        <f>Model!N72</f>
        <v>9.9742221995354884E-4</v>
      </c>
      <c r="O62" s="293">
        <f>Model!O72</f>
        <v>2.0795224607448835E-3</v>
      </c>
      <c r="P62" s="292">
        <f>Model!P72</f>
        <v>1.2574711525531385E-3</v>
      </c>
      <c r="Q62" s="292">
        <f>Model!Q72</f>
        <v>9.725072788888358E-4</v>
      </c>
      <c r="R62" s="292">
        <f>Model!R72</f>
        <v>1.0344227595951794E-3</v>
      </c>
      <c r="S62" s="292">
        <f>Model!S72</f>
        <v>8.4500874306491457E-4</v>
      </c>
      <c r="T62" s="293">
        <f>Model!T72</f>
        <v>9.9791653995119699E-4</v>
      </c>
      <c r="U62" s="292">
        <f>Model!U72</f>
        <v>7.5046288064926816E-4</v>
      </c>
      <c r="V62" s="60">
        <f>IF(Case_Scenario="Bull",V63,IF(Case_Scenario="Base",V64,IF(Case_Scenario="bear",V65,"N/A")))</f>
        <v>1E-3</v>
      </c>
      <c r="W62" s="60">
        <f>IF(Case_Scenario="Bull",W63,IF(Case_Scenario="Base",W64,IF(Case_Scenario="bear",W65,"N/A")))</f>
        <v>1E-3</v>
      </c>
      <c r="X62" s="60">
        <f>IF(Case_Scenario="Bull",X63,IF(Case_Scenario="Base",X64,IF(Case_Scenario="bear",X65,"N/A")))</f>
        <v>1E-3</v>
      </c>
      <c r="Y62" s="293">
        <f>Model!Y72</f>
        <v>9.484162737102154E-4</v>
      </c>
      <c r="Z62" s="60">
        <f>IF(Case_Scenario="Bull",Z63,IF(Case_Scenario="Base",Z64,IF(Case_Scenario="bear",Z65,"N/A")))</f>
        <v>1E-3</v>
      </c>
      <c r="AA62" s="60">
        <f>IF(Case_Scenario="Bull",AA63,IF(Case_Scenario="Base",AA64,IF(Case_Scenario="bear",AA65,"N/A")))</f>
        <v>1E-3</v>
      </c>
      <c r="AB62" s="60">
        <f>IF(Case_Scenario="Bull",AB63,IF(Case_Scenario="Base",AB64,IF(Case_Scenario="bear",AB65,"N/A")))</f>
        <v>1E-3</v>
      </c>
      <c r="AC62" s="60">
        <f>IF(Case_Scenario="Bull",AC63,IF(Case_Scenario="Base",AC64,IF(Case_Scenario="bear",AC65,"N/A")))</f>
        <v>1E-3</v>
      </c>
      <c r="AD62" s="293">
        <f>Model!AD72</f>
        <v>1.0000000000000002E-3</v>
      </c>
      <c r="AE62" s="59">
        <f>IF(Case_Scenario="Bull",AE63,IF(Case_Scenario="Base",AE64,IF(Case_Scenario="bear",AE65,"N/A")))</f>
        <v>2E-3</v>
      </c>
      <c r="AF62" s="59">
        <f>IF(Case_Scenario="Bull",AF63,IF(Case_Scenario="Base",AF64,IF(Case_Scenario="bear",AF65,"N/A")))</f>
        <v>2E-3</v>
      </c>
      <c r="AG62" s="59">
        <f>IF(Case_Scenario="Bull",AG63,IF(Case_Scenario="Base",AG64,IF(Case_Scenario="bear",AG65,"N/A")))</f>
        <v>2E-3</v>
      </c>
    </row>
    <row r="63" spans="1:35">
      <c r="C63" s="28" t="s">
        <v>217</v>
      </c>
      <c r="F63" s="292"/>
      <c r="G63" s="292"/>
      <c r="H63" s="292"/>
      <c r="I63" s="292"/>
      <c r="J63" s="293"/>
      <c r="K63" s="292"/>
      <c r="L63" s="292"/>
      <c r="M63" s="292"/>
      <c r="N63" s="292"/>
      <c r="O63" s="293"/>
      <c r="P63" s="292"/>
      <c r="Q63" s="292"/>
      <c r="R63" s="292"/>
      <c r="S63" s="292"/>
      <c r="T63" s="293"/>
      <c r="U63" s="292"/>
      <c r="V63" s="270">
        <f t="shared" ref="U63:X63" si="29">V64+0.002</f>
        <v>3.0000000000000001E-3</v>
      </c>
      <c r="W63" s="270">
        <f t="shared" si="29"/>
        <v>3.0000000000000001E-3</v>
      </c>
      <c r="X63" s="270">
        <f t="shared" si="29"/>
        <v>3.0000000000000001E-3</v>
      </c>
      <c r="Y63" s="293"/>
      <c r="Z63" s="270">
        <f t="shared" ref="Z63:AC63" si="30">Z64+0.002</f>
        <v>3.0000000000000001E-3</v>
      </c>
      <c r="AA63" s="270">
        <f t="shared" si="30"/>
        <v>3.0000000000000001E-3</v>
      </c>
      <c r="AB63" s="270">
        <f t="shared" si="30"/>
        <v>3.0000000000000001E-3</v>
      </c>
      <c r="AC63" s="270">
        <f t="shared" si="30"/>
        <v>3.0000000000000001E-3</v>
      </c>
      <c r="AD63" s="293"/>
      <c r="AE63" s="271">
        <f t="shared" ref="AE63:AG63" si="31">AE64+0.002</f>
        <v>4.0000000000000001E-3</v>
      </c>
      <c r="AF63" s="271">
        <f t="shared" si="31"/>
        <v>4.0000000000000001E-3</v>
      </c>
      <c r="AG63" s="271">
        <f t="shared" si="31"/>
        <v>4.0000000000000001E-3</v>
      </c>
    </row>
    <row r="64" spans="1:35">
      <c r="C64" s="28" t="s">
        <v>218</v>
      </c>
      <c r="F64" s="292"/>
      <c r="G64" s="292"/>
      <c r="H64" s="292"/>
      <c r="I64" s="292"/>
      <c r="J64" s="293"/>
      <c r="K64" s="292"/>
      <c r="L64" s="292"/>
      <c r="M64" s="292"/>
      <c r="N64" s="292"/>
      <c r="O64" s="293"/>
      <c r="P64" s="292"/>
      <c r="Q64" s="292"/>
      <c r="R64" s="292"/>
      <c r="S64" s="292"/>
      <c r="T64" s="293"/>
      <c r="U64" s="292"/>
      <c r="V64" s="270">
        <v>1E-3</v>
      </c>
      <c r="W64" s="270">
        <v>1E-3</v>
      </c>
      <c r="X64" s="270">
        <v>1E-3</v>
      </c>
      <c r="Y64" s="293"/>
      <c r="Z64" s="270">
        <v>1E-3</v>
      </c>
      <c r="AA64" s="270">
        <v>1E-3</v>
      </c>
      <c r="AB64" s="270">
        <v>1E-3</v>
      </c>
      <c r="AC64" s="270">
        <v>1E-3</v>
      </c>
      <c r="AD64" s="293"/>
      <c r="AE64" s="271">
        <v>2E-3</v>
      </c>
      <c r="AF64" s="271">
        <v>2E-3</v>
      </c>
      <c r="AG64" s="271">
        <v>2E-3</v>
      </c>
    </row>
    <row r="65" spans="1:35">
      <c r="C65" s="28" t="s">
        <v>219</v>
      </c>
      <c r="F65" s="292"/>
      <c r="G65" s="292"/>
      <c r="H65" s="292"/>
      <c r="I65" s="292"/>
      <c r="J65" s="293"/>
      <c r="K65" s="292"/>
      <c r="L65" s="292"/>
      <c r="M65" s="292"/>
      <c r="N65" s="292"/>
      <c r="O65" s="293"/>
      <c r="P65" s="292"/>
      <c r="Q65" s="292"/>
      <c r="R65" s="292"/>
      <c r="S65" s="292"/>
      <c r="T65" s="293"/>
      <c r="U65" s="292"/>
      <c r="V65" s="270">
        <f t="shared" ref="U65:X65" si="32">V64-0.001</f>
        <v>0</v>
      </c>
      <c r="W65" s="270">
        <f t="shared" si="32"/>
        <v>0</v>
      </c>
      <c r="X65" s="270">
        <f t="shared" si="32"/>
        <v>0</v>
      </c>
      <c r="Y65" s="293"/>
      <c r="Z65" s="270">
        <f t="shared" ref="Z65:AC65" si="33">Z64-0.001</f>
        <v>0</v>
      </c>
      <c r="AA65" s="270">
        <f t="shared" si="33"/>
        <v>0</v>
      </c>
      <c r="AB65" s="270">
        <f t="shared" si="33"/>
        <v>0</v>
      </c>
      <c r="AC65" s="270">
        <f t="shared" si="33"/>
        <v>0</v>
      </c>
      <c r="AD65" s="293"/>
      <c r="AE65" s="271">
        <f t="shared" ref="AE65:AG65" si="34">AE64-0.001</f>
        <v>1E-3</v>
      </c>
      <c r="AF65" s="271">
        <f t="shared" si="34"/>
        <v>1E-3</v>
      </c>
      <c r="AG65" s="271">
        <f t="shared" si="34"/>
        <v>1E-3</v>
      </c>
    </row>
    <row r="66" spans="1:35">
      <c r="C66" s="28"/>
      <c r="F66" s="292"/>
      <c r="G66" s="292"/>
      <c r="H66" s="292"/>
      <c r="I66" s="292"/>
      <c r="J66" s="293"/>
      <c r="K66" s="292"/>
      <c r="L66" s="292"/>
      <c r="M66" s="292"/>
      <c r="N66" s="292"/>
      <c r="O66" s="293"/>
      <c r="P66" s="292"/>
      <c r="Q66" s="292"/>
      <c r="R66" s="292"/>
      <c r="S66" s="292"/>
      <c r="T66" s="293"/>
      <c r="U66" s="292"/>
      <c r="V66" s="270"/>
      <c r="W66" s="270"/>
      <c r="X66" s="270"/>
      <c r="Y66" s="293"/>
      <c r="Z66" s="270"/>
      <c r="AA66" s="270"/>
      <c r="AB66" s="270"/>
      <c r="AC66" s="270"/>
      <c r="AD66" s="293"/>
      <c r="AE66" s="271"/>
      <c r="AF66" s="271"/>
      <c r="AG66" s="271"/>
    </row>
    <row r="67" spans="1:35">
      <c r="C67" s="23" t="str">
        <f>Model!C41</f>
        <v>Goodwill Impairment</v>
      </c>
      <c r="F67" s="718">
        <f>Model!F41</f>
        <v>0</v>
      </c>
      <c r="G67" s="718">
        <f>Model!G41</f>
        <v>0</v>
      </c>
      <c r="H67" s="718">
        <f>Model!H41</f>
        <v>0</v>
      </c>
      <c r="I67" s="718">
        <f>Model!I41</f>
        <v>0</v>
      </c>
      <c r="J67" s="719">
        <f>Model!J41</f>
        <v>0</v>
      </c>
      <c r="K67" s="718">
        <f>Model!K41</f>
        <v>0</v>
      </c>
      <c r="L67" s="718">
        <f>Model!L41</f>
        <v>0</v>
      </c>
      <c r="M67" s="718">
        <f>Model!M41</f>
        <v>0</v>
      </c>
      <c r="N67" s="718">
        <f>Model!N41</f>
        <v>0</v>
      </c>
      <c r="O67" s="719">
        <f>Model!O41</f>
        <v>0</v>
      </c>
      <c r="P67" s="718">
        <f>Model!P41</f>
        <v>0</v>
      </c>
      <c r="Q67" s="718">
        <f>Model!Q41</f>
        <v>0</v>
      </c>
      <c r="R67" s="718">
        <f>Model!R41</f>
        <v>0</v>
      </c>
      <c r="S67" s="718">
        <f>Model!S41</f>
        <v>0</v>
      </c>
      <c r="T67" s="719">
        <f>Model!T41</f>
        <v>0</v>
      </c>
      <c r="U67" s="718">
        <f>Model!U41</f>
        <v>0</v>
      </c>
      <c r="V67" s="721">
        <v>0</v>
      </c>
      <c r="W67" s="721">
        <v>0</v>
      </c>
      <c r="X67" s="721">
        <v>0</v>
      </c>
      <c r="Y67" s="719">
        <f>Model!Y41</f>
        <v>0</v>
      </c>
      <c r="Z67" s="721">
        <v>0</v>
      </c>
      <c r="AA67" s="721">
        <v>0</v>
      </c>
      <c r="AB67" s="721">
        <v>0</v>
      </c>
      <c r="AC67" s="721">
        <v>0</v>
      </c>
      <c r="AD67" s="719">
        <f>Model!AD41</f>
        <v>0</v>
      </c>
      <c r="AE67" s="722">
        <v>0</v>
      </c>
      <c r="AF67" s="722">
        <v>0</v>
      </c>
      <c r="AG67" s="722">
        <v>0</v>
      </c>
    </row>
    <row r="68" spans="1:35">
      <c r="F68" s="292"/>
      <c r="G68" s="292"/>
      <c r="H68" s="292"/>
      <c r="I68" s="292"/>
      <c r="J68" s="293"/>
      <c r="K68" s="292"/>
      <c r="L68" s="292"/>
      <c r="M68" s="292"/>
      <c r="N68" s="292"/>
      <c r="O68" s="293"/>
      <c r="P68" s="292"/>
      <c r="Q68" s="292"/>
      <c r="R68" s="292"/>
      <c r="S68" s="292"/>
      <c r="T68" s="293"/>
      <c r="U68" s="292"/>
      <c r="V68" s="60"/>
      <c r="W68" s="60"/>
      <c r="X68" s="60"/>
      <c r="Y68" s="293"/>
      <c r="Z68" s="60"/>
      <c r="AA68" s="60"/>
      <c r="AB68" s="60"/>
      <c r="AC68" s="60"/>
      <c r="AD68" s="293"/>
      <c r="AE68" s="269"/>
      <c r="AF68" s="269"/>
      <c r="AG68" s="269"/>
    </row>
    <row r="69" spans="1:35">
      <c r="C69" s="23" t="str">
        <f>Model!C73</f>
        <v>Tax Rate</v>
      </c>
      <c r="F69" s="292">
        <f>Model!F73</f>
        <v>0.14884841102867899</v>
      </c>
      <c r="G69" s="292">
        <f>Model!G73</f>
        <v>0.28851800600762767</v>
      </c>
      <c r="H69" s="292">
        <f>Model!H73</f>
        <v>0.25120397502866609</v>
      </c>
      <c r="I69" s="292">
        <f>Model!I73</f>
        <v>0.23081808306175317</v>
      </c>
      <c r="J69" s="293">
        <f>Model!J73</f>
        <v>0.22025479100030071</v>
      </c>
      <c r="K69" s="292">
        <f>Model!K73</f>
        <v>-7.7262999595118287E-2</v>
      </c>
      <c r="L69" s="292">
        <f>Model!L73</f>
        <v>0.25764759309718438</v>
      </c>
      <c r="M69" s="292">
        <f ca="1">Model!M73</f>
        <v>0.28416690366879294</v>
      </c>
      <c r="N69" s="292">
        <f>Model!N73</f>
        <v>0.2751258575877491</v>
      </c>
      <c r="O69" s="293">
        <f ca="1">Model!O73</f>
        <v>0.21646643971152313</v>
      </c>
      <c r="P69" s="292">
        <f>Model!P73</f>
        <v>-0.37235305140858266</v>
      </c>
      <c r="Q69" s="292">
        <f>Model!Q73</f>
        <v>0.29275019179386791</v>
      </c>
      <c r="R69" s="292">
        <f>Model!R73</f>
        <v>0.27518316704097789</v>
      </c>
      <c r="S69" s="292">
        <f>Model!S73</f>
        <v>0.2897761915858762</v>
      </c>
      <c r="T69" s="293">
        <f>Model!T73</f>
        <v>0.19287515715268314</v>
      </c>
      <c r="U69" s="292">
        <f>Model!U73</f>
        <v>2.7295442420662071E-2</v>
      </c>
      <c r="V69" s="60">
        <f>IF(Case_Scenario="Bull",V70,IF(Case_Scenario="Base",V71,IF(Case_Scenario="bear",V72,"N/A")))</f>
        <v>0.25</v>
      </c>
      <c r="W69" s="60">
        <f>IF(Case_Scenario="Bull",W70,IF(Case_Scenario="Base",W71,IF(Case_Scenario="bear",W72,"N/A")))</f>
        <v>0.23499999999999999</v>
      </c>
      <c r="X69" s="60">
        <f>IF(Case_Scenario="Bull",X70,IF(Case_Scenario="Base",X71,IF(Case_Scenario="bear",X72,"N/A")))</f>
        <v>0.25</v>
      </c>
      <c r="Y69" s="293">
        <f ca="1">Model!Y73</f>
        <v>0.19727948690413882</v>
      </c>
      <c r="Z69" s="60">
        <f>IF(Case_Scenario="Bull",Z70,IF(Case_Scenario="Base",Z71,IF(Case_Scenario="bear",Z72,"N/A")))</f>
        <v>0.09</v>
      </c>
      <c r="AA69" s="60">
        <f>IF(Case_Scenario="Bull",AA70,IF(Case_Scenario="Base",AA71,IF(Case_Scenario="bear",AA72,"N/A")))</f>
        <v>0.252</v>
      </c>
      <c r="AB69" s="60">
        <f>IF(Case_Scenario="Bull",AB70,IF(Case_Scenario="Base",AB71,IF(Case_Scenario="bear",AB72,"N/A")))</f>
        <v>0.252</v>
      </c>
      <c r="AC69" s="60">
        <f>IF(Case_Scenario="Bull",AC70,IF(Case_Scenario="Base",AC71,IF(Case_Scenario="bear",AC72,"N/A")))</f>
        <v>0.252</v>
      </c>
      <c r="AD69" s="293">
        <f ca="1">Model!AD73</f>
        <v>0.22219412682665401</v>
      </c>
      <c r="AE69" s="59">
        <f>IF(Case_Scenario="Bull",AE70,IF(Case_Scenario="Base",AE71,IF(Case_Scenario="bear",AE72,"N/A")))</f>
        <v>0.24</v>
      </c>
      <c r="AF69" s="59">
        <f>IF(Case_Scenario="Bull",AF70,IF(Case_Scenario="Base",AF71,IF(Case_Scenario="bear",AF72,"N/A")))</f>
        <v>0.24</v>
      </c>
      <c r="AG69" s="59">
        <f>IF(Case_Scenario="Bull",AG70,IF(Case_Scenario="Base",AG71,IF(Case_Scenario="bear",AG72,"N/A")))</f>
        <v>0.24</v>
      </c>
    </row>
    <row r="70" spans="1:35">
      <c r="A70" s="22" t="s">
        <v>1</v>
      </c>
      <c r="C70" s="28" t="s">
        <v>217</v>
      </c>
      <c r="F70" s="292"/>
      <c r="G70" s="292"/>
      <c r="H70" s="292"/>
      <c r="I70" s="292"/>
      <c r="J70" s="293"/>
      <c r="K70" s="292"/>
      <c r="L70" s="292"/>
      <c r="M70" s="292"/>
      <c r="N70" s="292"/>
      <c r="O70" s="293"/>
      <c r="P70" s="292"/>
      <c r="Q70" s="292"/>
      <c r="R70" s="292"/>
      <c r="S70" s="292"/>
      <c r="T70" s="293"/>
      <c r="U70" s="292"/>
      <c r="V70" s="270">
        <v>0.216</v>
      </c>
      <c r="W70" s="270">
        <v>0.216</v>
      </c>
      <c r="X70" s="270">
        <v>0.216</v>
      </c>
      <c r="Y70" s="293"/>
      <c r="Z70" s="270">
        <v>0.216</v>
      </c>
      <c r="AA70" s="270">
        <v>0.216</v>
      </c>
      <c r="AB70" s="270">
        <v>0.216</v>
      </c>
      <c r="AC70" s="270">
        <v>0.216</v>
      </c>
      <c r="AD70" s="293"/>
      <c r="AE70" s="271">
        <v>0.216</v>
      </c>
      <c r="AF70" s="271">
        <v>0.216</v>
      </c>
      <c r="AG70" s="271">
        <v>0.216</v>
      </c>
      <c r="AH70" s="22" t="s">
        <v>1</v>
      </c>
      <c r="AI70" s="22"/>
    </row>
    <row r="71" spans="1:35">
      <c r="C71" s="28" t="s">
        <v>218</v>
      </c>
      <c r="F71" s="292"/>
      <c r="G71" s="292"/>
      <c r="H71" s="292"/>
      <c r="I71" s="292"/>
      <c r="J71" s="293"/>
      <c r="K71" s="292"/>
      <c r="L71" s="292"/>
      <c r="M71" s="292"/>
      <c r="N71" s="292"/>
      <c r="O71" s="293"/>
      <c r="P71" s="292"/>
      <c r="Q71" s="292"/>
      <c r="R71" s="292"/>
      <c r="S71" s="292"/>
      <c r="T71" s="293"/>
      <c r="U71" s="292"/>
      <c r="V71" s="270">
        <v>0.25</v>
      </c>
      <c r="W71" s="270">
        <v>0.23499999999999999</v>
      </c>
      <c r="X71" s="270">
        <v>0.25</v>
      </c>
      <c r="Y71" s="293"/>
      <c r="Z71" s="270">
        <v>0.09</v>
      </c>
      <c r="AA71" s="270">
        <v>0.252</v>
      </c>
      <c r="AB71" s="270">
        <v>0.252</v>
      </c>
      <c r="AC71" s="270">
        <v>0.252</v>
      </c>
      <c r="AD71" s="293"/>
      <c r="AE71" s="271">
        <v>0.24</v>
      </c>
      <c r="AF71" s="271">
        <v>0.24</v>
      </c>
      <c r="AG71" s="271">
        <v>0.24</v>
      </c>
    </row>
    <row r="72" spans="1:35">
      <c r="C72" s="28" t="s">
        <v>219</v>
      </c>
      <c r="F72" s="292"/>
      <c r="G72" s="292"/>
      <c r="H72" s="292"/>
      <c r="I72" s="292"/>
      <c r="J72" s="293"/>
      <c r="K72" s="292"/>
      <c r="L72" s="292"/>
      <c r="M72" s="292"/>
      <c r="N72" s="292"/>
      <c r="O72" s="293"/>
      <c r="P72" s="292"/>
      <c r="Q72" s="292"/>
      <c r="R72" s="292"/>
      <c r="S72" s="292"/>
      <c r="T72" s="293"/>
      <c r="U72" s="292"/>
      <c r="V72" s="270">
        <f t="shared" ref="U72:X72" si="35">V71+1.4%</f>
        <v>0.26400000000000001</v>
      </c>
      <c r="W72" s="270">
        <f t="shared" si="35"/>
        <v>0.249</v>
      </c>
      <c r="X72" s="270">
        <f t="shared" si="35"/>
        <v>0.26400000000000001</v>
      </c>
      <c r="Y72" s="293"/>
      <c r="Z72" s="270">
        <f t="shared" ref="Z72:AC72" si="36">Z71+1.4%</f>
        <v>0.104</v>
      </c>
      <c r="AA72" s="270">
        <f t="shared" si="36"/>
        <v>0.26600000000000001</v>
      </c>
      <c r="AB72" s="270">
        <f t="shared" si="36"/>
        <v>0.26600000000000001</v>
      </c>
      <c r="AC72" s="270">
        <f t="shared" si="36"/>
        <v>0.26600000000000001</v>
      </c>
      <c r="AD72" s="293"/>
      <c r="AE72" s="271">
        <v>0.25</v>
      </c>
      <c r="AF72" s="271">
        <v>0.25</v>
      </c>
      <c r="AG72" s="271">
        <v>0.25</v>
      </c>
    </row>
    <row r="73" spans="1:35">
      <c r="F73" s="292"/>
      <c r="G73" s="292"/>
      <c r="H73" s="292"/>
      <c r="I73" s="292"/>
      <c r="J73" s="293"/>
      <c r="K73" s="292"/>
      <c r="L73" s="292"/>
      <c r="M73" s="292"/>
      <c r="N73" s="292"/>
      <c r="O73" s="293"/>
      <c r="P73" s="292"/>
      <c r="Q73" s="292"/>
      <c r="R73" s="292"/>
      <c r="S73" s="292"/>
      <c r="T73" s="293"/>
      <c r="U73" s="292"/>
      <c r="V73" s="60"/>
      <c r="W73" s="60"/>
      <c r="X73" s="60"/>
      <c r="Y73" s="293"/>
      <c r="Z73" s="60"/>
      <c r="AA73" s="60"/>
      <c r="AB73" s="60"/>
      <c r="AC73" s="60"/>
      <c r="AD73" s="293"/>
      <c r="AE73" s="269"/>
      <c r="AF73" s="269"/>
      <c r="AG73" s="269"/>
    </row>
    <row r="74" spans="1:35">
      <c r="C74" s="519" t="s">
        <v>242</v>
      </c>
      <c r="D74" s="520"/>
      <c r="E74" s="520"/>
      <c r="F74" s="574" t="str">
        <f>Model!F$25</f>
        <v>1Q23</v>
      </c>
      <c r="G74" s="521" t="str">
        <f>Model!G$25</f>
        <v>2Q23</v>
      </c>
      <c r="H74" s="521" t="str">
        <f>Model!H$25</f>
        <v>3Q23</v>
      </c>
      <c r="I74" s="521" t="str">
        <f>Model!I$25</f>
        <v>4Q23</v>
      </c>
      <c r="J74" s="521">
        <f>Model!J$25</f>
        <v>2023</v>
      </c>
      <c r="K74" s="521" t="str">
        <f>Model!K$25</f>
        <v>1Q24</v>
      </c>
      <c r="L74" s="521" t="str">
        <f>Model!L$25</f>
        <v>2Q24</v>
      </c>
      <c r="M74" s="521" t="str">
        <f>Model!M$25</f>
        <v>3Q24</v>
      </c>
      <c r="N74" s="521" t="str">
        <f>Model!N$25</f>
        <v>4Q24</v>
      </c>
      <c r="O74" s="521">
        <f>Model!O$25</f>
        <v>2024</v>
      </c>
      <c r="P74" s="521" t="str">
        <f>Model!P$25</f>
        <v>1Q25</v>
      </c>
      <c r="Q74" s="521" t="str">
        <f>Model!Q$25</f>
        <v>2Q25</v>
      </c>
      <c r="R74" s="521" t="str">
        <f>Model!R$25</f>
        <v>3Q25</v>
      </c>
      <c r="S74" s="521" t="str">
        <f>Model!S$25</f>
        <v>4Q25</v>
      </c>
      <c r="T74" s="521">
        <f>Model!T$25</f>
        <v>2025</v>
      </c>
      <c r="U74" s="521" t="str">
        <f>Model!U$25</f>
        <v>1Q26</v>
      </c>
      <c r="V74" s="521" t="str">
        <f>Model!V$25</f>
        <v>2Q26e</v>
      </c>
      <c r="W74" s="521" t="str">
        <f>Model!W$25</f>
        <v>3Q26e</v>
      </c>
      <c r="X74" s="521" t="str">
        <f>Model!X$25</f>
        <v>4Q26e</v>
      </c>
      <c r="Y74" s="521" t="str">
        <f>Model!Y$25</f>
        <v>2026e</v>
      </c>
      <c r="Z74" s="521" t="str">
        <f>Model!Z$25</f>
        <v>1Q27e</v>
      </c>
      <c r="AA74" s="521" t="str">
        <f>Model!AA$25</f>
        <v>2Q27e</v>
      </c>
      <c r="AB74" s="521" t="str">
        <f>Model!AB$25</f>
        <v>3Q27e</v>
      </c>
      <c r="AC74" s="521" t="str">
        <f>Model!AC$25</f>
        <v>4Q27e</v>
      </c>
      <c r="AD74" s="521" t="str">
        <f>Model!AD$25</f>
        <v>2027e</v>
      </c>
      <c r="AE74" s="521" t="str">
        <f>Model!AE$25</f>
        <v>2028e</v>
      </c>
      <c r="AF74" s="521" t="str">
        <f>Model!AF$25</f>
        <v>2029e</v>
      </c>
      <c r="AG74" s="524" t="str">
        <f>Model!AG$25</f>
        <v>2030e</v>
      </c>
    </row>
    <row r="75" spans="1:35">
      <c r="C75" s="709" t="s">
        <v>243</v>
      </c>
      <c r="D75" s="710"/>
      <c r="E75" s="710"/>
      <c r="F75" s="723"/>
      <c r="G75" s="724"/>
      <c r="H75" s="724"/>
      <c r="I75" s="724"/>
      <c r="J75" s="724"/>
      <c r="K75" s="724"/>
      <c r="L75" s="724"/>
      <c r="M75" s="724"/>
      <c r="N75" s="724"/>
      <c r="O75" s="724"/>
      <c r="P75" s="724"/>
      <c r="Q75" s="724"/>
      <c r="R75" s="724"/>
      <c r="S75" s="724"/>
      <c r="T75" s="724"/>
      <c r="U75" s="724"/>
      <c r="V75" s="724"/>
      <c r="W75" s="724"/>
      <c r="X75" s="724"/>
      <c r="Y75" s="724"/>
      <c r="Z75" s="724"/>
      <c r="AA75" s="724"/>
      <c r="AB75" s="724"/>
      <c r="AC75" s="724"/>
      <c r="AD75" s="724"/>
      <c r="AE75" s="724"/>
      <c r="AF75" s="724"/>
      <c r="AG75" s="725"/>
    </row>
    <row r="76" spans="1:35">
      <c r="F76" s="292"/>
      <c r="G76" s="292"/>
      <c r="H76" s="292"/>
      <c r="I76" s="292"/>
      <c r="J76" s="293"/>
      <c r="K76" s="292"/>
      <c r="L76" s="292"/>
      <c r="M76" s="292"/>
      <c r="N76" s="292"/>
      <c r="O76" s="293"/>
      <c r="P76" s="292"/>
      <c r="Q76" s="292"/>
      <c r="R76" s="292"/>
      <c r="S76" s="292"/>
      <c r="T76" s="293"/>
      <c r="U76" s="292"/>
      <c r="V76" s="60"/>
      <c r="W76" s="60"/>
      <c r="X76" s="60"/>
      <c r="Y76" s="293"/>
      <c r="Z76" s="60"/>
      <c r="AA76" s="60"/>
      <c r="AB76" s="60"/>
      <c r="AC76" s="60"/>
      <c r="AD76" s="293"/>
      <c r="AE76" s="269"/>
      <c r="AF76" s="269"/>
      <c r="AG76" s="269"/>
    </row>
    <row r="77" spans="1:35">
      <c r="C77" s="23" t="str">
        <f>Model!C203</f>
        <v>Depreciation as a % of Avg. PP&amp;E</v>
      </c>
      <c r="F77" s="292"/>
      <c r="G77" s="292">
        <f>Model!G203</f>
        <v>0.16685530866620177</v>
      </c>
      <c r="H77" s="292">
        <f>Model!H203</f>
        <v>0.16359872433279249</v>
      </c>
      <c r="I77" s="292">
        <f>Model!I203</f>
        <v>0.17044644130651831</v>
      </c>
      <c r="J77" s="293">
        <f>Model!J203</f>
        <v>0.17651152675076121</v>
      </c>
      <c r="K77" s="292">
        <f>Model!K203</f>
        <v>0.18599427357532095</v>
      </c>
      <c r="L77" s="292">
        <f>Model!L203</f>
        <v>0.1926957276403452</v>
      </c>
      <c r="M77" s="292">
        <f>Model!M203</f>
        <v>0.17370489171064407</v>
      </c>
      <c r="N77" s="292">
        <f>Model!N203</f>
        <v>0.16584489668416699</v>
      </c>
      <c r="O77" s="293">
        <f>Model!O203</f>
        <v>0.173104677816453</v>
      </c>
      <c r="P77" s="292">
        <f>Model!P203</f>
        <v>0.15625571970192181</v>
      </c>
      <c r="Q77" s="292">
        <f>Model!Q203</f>
        <v>0.14997384177178399</v>
      </c>
      <c r="R77" s="292">
        <f>Model!R203</f>
        <v>0.16903575280457661</v>
      </c>
      <c r="S77" s="292">
        <f>Model!S203</f>
        <v>0.25909538245591818</v>
      </c>
      <c r="T77" s="293">
        <f>Model!T203</f>
        <v>0.19447464309181053</v>
      </c>
      <c r="U77" s="292">
        <f>Model!U203</f>
        <v>0.26383906199040674</v>
      </c>
      <c r="V77" s="60">
        <f>IF(Case_Scenario="Bull",V78,IF(Case_Scenario="Base",V79,IF(Case_Scenario="bear",V80,"N/A")))</f>
        <v>0.18</v>
      </c>
      <c r="W77" s="60">
        <f>IF(Case_Scenario="Bull",W78,IF(Case_Scenario="Base",W79,IF(Case_Scenario="bear",W80,"N/A")))</f>
        <v>0.17699999999999999</v>
      </c>
      <c r="X77" s="60">
        <f>IF(Case_Scenario="Bull",X78,IF(Case_Scenario="Base",X79,IF(Case_Scenario="bear",X80,"N/A")))</f>
        <v>0.17</v>
      </c>
      <c r="Y77" s="293">
        <f>Model!Y203</f>
        <v>0.18128549615673203</v>
      </c>
      <c r="Z77" s="60">
        <f>IF(Case_Scenario="Bull",Z78,IF(Case_Scenario="Base",Z79,IF(Case_Scenario="bear",Z80,"N/A")))</f>
        <v>0.16200000000000001</v>
      </c>
      <c r="AA77" s="60">
        <f>IF(Case_Scenario="Bull",AA78,IF(Case_Scenario="Base",AA79,IF(Case_Scenario="bear",AA80,"N/A")))</f>
        <v>0.16</v>
      </c>
      <c r="AB77" s="60">
        <f>IF(Case_Scenario="Bull",AB78,IF(Case_Scenario="Base",AB79,IF(Case_Scenario="bear",AB80,"N/A")))</f>
        <v>0.1575</v>
      </c>
      <c r="AC77" s="60">
        <f>IF(Case_Scenario="Bull",AC78,IF(Case_Scenario="Base",AC79,IF(Case_Scenario="bear",AC80,"N/A")))</f>
        <v>0.154</v>
      </c>
      <c r="AD77" s="293">
        <f>Model!AD203</f>
        <v>0.15028922435446776</v>
      </c>
      <c r="AE77" s="59">
        <f>IF(Case_Scenario="Bull",AE78,IF(Case_Scenario="Base",AE79,IF(Case_Scenario="bear",AE80,"N/A")))</f>
        <v>0.18</v>
      </c>
      <c r="AF77" s="59">
        <f>IF(Case_Scenario="Bull",AF78,IF(Case_Scenario="Base",AF79,IF(Case_Scenario="bear",AF80,"N/A")))</f>
        <v>0.18</v>
      </c>
      <c r="AG77" s="59">
        <f>IF(Case_Scenario="Bull",AG78,IF(Case_Scenario="Base",AG79,IF(Case_Scenario="bear",AG80,"N/A")))</f>
        <v>0.18</v>
      </c>
    </row>
    <row r="78" spans="1:35">
      <c r="C78" s="28" t="s">
        <v>217</v>
      </c>
      <c r="F78" s="292"/>
      <c r="G78" s="292"/>
      <c r="H78" s="292"/>
      <c r="I78" s="292"/>
      <c r="J78" s="293"/>
      <c r="K78" s="292"/>
      <c r="L78" s="292"/>
      <c r="M78" s="292"/>
      <c r="N78" s="292"/>
      <c r="O78" s="293"/>
      <c r="P78" s="292"/>
      <c r="Q78" s="292"/>
      <c r="R78" s="292"/>
      <c r="S78" s="292"/>
      <c r="T78" s="293"/>
      <c r="U78" s="292"/>
      <c r="V78" s="270">
        <f t="shared" ref="U78:X78" si="37">V79+0.02</f>
        <v>0.19999999999999998</v>
      </c>
      <c r="W78" s="270">
        <f t="shared" si="37"/>
        <v>0.19699999999999998</v>
      </c>
      <c r="X78" s="270">
        <f t="shared" si="37"/>
        <v>0.19</v>
      </c>
      <c r="Y78" s="293"/>
      <c r="Z78" s="270">
        <f t="shared" ref="Z78" si="38">Z79+0.02</f>
        <v>0.182</v>
      </c>
      <c r="AA78" s="270">
        <f t="shared" ref="AA78" si="39">AA79+0.02</f>
        <v>0.18</v>
      </c>
      <c r="AB78" s="270">
        <f t="shared" ref="AB78" si="40">AB79+0.02</f>
        <v>0.17749999999999999</v>
      </c>
      <c r="AC78" s="270">
        <f t="shared" ref="AC78" si="41">AC79+0.02</f>
        <v>0.17399999999999999</v>
      </c>
      <c r="AD78" s="293"/>
      <c r="AE78" s="271">
        <f t="shared" ref="AE78" si="42">AE79+0.02</f>
        <v>0.19999999999999998</v>
      </c>
      <c r="AF78" s="271">
        <f t="shared" ref="AF78" si="43">AF79+0.02</f>
        <v>0.19999999999999998</v>
      </c>
      <c r="AG78" s="271">
        <f t="shared" ref="AG78" si="44">AG79+0.02</f>
        <v>0.19999999999999998</v>
      </c>
    </row>
    <row r="79" spans="1:35">
      <c r="C79" s="28" t="s">
        <v>218</v>
      </c>
      <c r="F79" s="292"/>
      <c r="G79" s="292"/>
      <c r="H79" s="292"/>
      <c r="I79" s="292"/>
      <c r="J79" s="293"/>
      <c r="K79" s="292"/>
      <c r="L79" s="292"/>
      <c r="M79" s="292"/>
      <c r="N79" s="292"/>
      <c r="O79" s="293"/>
      <c r="P79" s="292"/>
      <c r="Q79" s="292"/>
      <c r="R79" s="292"/>
      <c r="S79" s="292"/>
      <c r="T79" s="293"/>
      <c r="U79" s="292"/>
      <c r="V79" s="270">
        <v>0.18</v>
      </c>
      <c r="W79" s="270">
        <v>0.17699999999999999</v>
      </c>
      <c r="X79" s="270">
        <v>0.17</v>
      </c>
      <c r="Y79" s="293"/>
      <c r="Z79" s="270">
        <v>0.16200000000000001</v>
      </c>
      <c r="AA79" s="270">
        <v>0.16</v>
      </c>
      <c r="AB79" s="270">
        <v>0.1575</v>
      </c>
      <c r="AC79" s="270">
        <v>0.154</v>
      </c>
      <c r="AD79" s="293"/>
      <c r="AE79" s="271">
        <v>0.18</v>
      </c>
      <c r="AF79" s="271">
        <v>0.18</v>
      </c>
      <c r="AG79" s="271">
        <v>0.18</v>
      </c>
    </row>
    <row r="80" spans="1:35">
      <c r="C80" s="28" t="s">
        <v>219</v>
      </c>
      <c r="F80" s="292"/>
      <c r="G80" s="292"/>
      <c r="H80" s="292"/>
      <c r="I80" s="292"/>
      <c r="J80" s="293"/>
      <c r="K80" s="292"/>
      <c r="L80" s="292"/>
      <c r="M80" s="292"/>
      <c r="N80" s="292"/>
      <c r="O80" s="293"/>
      <c r="P80" s="292"/>
      <c r="Q80" s="292"/>
      <c r="R80" s="292"/>
      <c r="S80" s="292"/>
      <c r="T80" s="293"/>
      <c r="U80" s="292"/>
      <c r="V80" s="270">
        <f t="shared" ref="U80:X80" si="45">V79-0.02</f>
        <v>0.16</v>
      </c>
      <c r="W80" s="270">
        <f t="shared" si="45"/>
        <v>0.157</v>
      </c>
      <c r="X80" s="270">
        <f t="shared" si="45"/>
        <v>0.15000000000000002</v>
      </c>
      <c r="Y80" s="293"/>
      <c r="Z80" s="270">
        <f t="shared" ref="Z80" si="46">Z79-0.02</f>
        <v>0.14200000000000002</v>
      </c>
      <c r="AA80" s="270">
        <f t="shared" ref="AA80" si="47">AA79-0.02</f>
        <v>0.14000000000000001</v>
      </c>
      <c r="AB80" s="270">
        <f t="shared" ref="AB80" si="48">AB79-0.02</f>
        <v>0.13750000000000001</v>
      </c>
      <c r="AC80" s="270">
        <f t="shared" ref="AC80" si="49">AC79-0.02</f>
        <v>0.13400000000000001</v>
      </c>
      <c r="AD80" s="293"/>
      <c r="AE80" s="271">
        <f t="shared" ref="AE80" si="50">AE79-0.02</f>
        <v>0.16</v>
      </c>
      <c r="AF80" s="271">
        <f t="shared" ref="AF80" si="51">AF79-0.02</f>
        <v>0.16</v>
      </c>
      <c r="AG80" s="271">
        <f t="shared" ref="AG80" si="52">AG79-0.02</f>
        <v>0.16</v>
      </c>
    </row>
    <row r="81" spans="1:35">
      <c r="C81" s="28"/>
      <c r="F81" s="292"/>
      <c r="G81" s="292"/>
      <c r="H81" s="292"/>
      <c r="I81" s="292"/>
      <c r="J81" s="293"/>
      <c r="K81" s="292"/>
      <c r="L81" s="292"/>
      <c r="M81" s="292"/>
      <c r="N81" s="292"/>
      <c r="O81" s="293"/>
      <c r="P81" s="292"/>
      <c r="Q81" s="292"/>
      <c r="R81" s="292"/>
      <c r="S81" s="292"/>
      <c r="T81" s="293"/>
      <c r="U81" s="292"/>
      <c r="V81" s="270"/>
      <c r="W81" s="270"/>
      <c r="X81" s="270"/>
      <c r="Y81" s="293"/>
      <c r="Z81" s="270"/>
      <c r="AA81" s="270"/>
      <c r="AB81" s="270"/>
      <c r="AC81" s="270"/>
      <c r="AD81" s="293"/>
      <c r="AE81" s="271"/>
      <c r="AF81" s="271"/>
      <c r="AG81" s="271"/>
    </row>
    <row r="82" spans="1:35">
      <c r="C82" s="968" t="str">
        <f>'Segment Analysis'!C61</f>
        <v>Segment D&amp;A Mix</v>
      </c>
      <c r="F82" s="292"/>
      <c r="G82" s="292"/>
      <c r="H82" s="292"/>
      <c r="I82" s="292"/>
      <c r="J82" s="293"/>
      <c r="K82" s="292"/>
      <c r="L82" s="292"/>
      <c r="M82" s="292"/>
      <c r="N82" s="292"/>
      <c r="O82" s="293"/>
      <c r="P82" s="292"/>
      <c r="Q82" s="292"/>
      <c r="R82" s="292"/>
      <c r="S82" s="292"/>
      <c r="T82" s="293"/>
      <c r="U82" s="292"/>
      <c r="V82" s="270"/>
      <c r="W82" s="270"/>
      <c r="X82" s="270"/>
      <c r="Y82" s="293"/>
      <c r="Z82" s="270"/>
      <c r="AA82" s="270"/>
      <c r="AB82" s="270"/>
      <c r="AC82" s="270"/>
      <c r="AD82" s="293"/>
      <c r="AE82" s="271"/>
      <c r="AF82" s="271"/>
      <c r="AG82" s="271"/>
    </row>
    <row r="83" spans="1:35">
      <c r="C83" s="959" t="str">
        <f>'Segment Analysis'!C62</f>
        <v>Investment Banking &amp; Equities</v>
      </c>
      <c r="F83" s="969">
        <f>'Segment Analysis'!F62</f>
        <v>1</v>
      </c>
      <c r="G83" s="969">
        <f>'Segment Analysis'!G62</f>
        <v>1</v>
      </c>
      <c r="H83" s="969">
        <f>'Segment Analysis'!H62</f>
        <v>1</v>
      </c>
      <c r="I83" s="969">
        <f>'Segment Analysis'!I62</f>
        <v>1</v>
      </c>
      <c r="J83" s="62">
        <f>'Segment Analysis'!J62</f>
        <v>1</v>
      </c>
      <c r="K83" s="969">
        <f>'Segment Analysis'!K62</f>
        <v>1</v>
      </c>
      <c r="L83" s="969">
        <f>'Segment Analysis'!L62</f>
        <v>1</v>
      </c>
      <c r="M83" s="969">
        <f>'Segment Analysis'!M62</f>
        <v>1</v>
      </c>
      <c r="N83" s="969">
        <f>'Segment Analysis'!N62</f>
        <v>1</v>
      </c>
      <c r="O83" s="62">
        <f>'Segment Analysis'!O62</f>
        <v>1</v>
      </c>
      <c r="P83" s="969">
        <f>'Segment Analysis'!P62</f>
        <v>1</v>
      </c>
      <c r="Q83" s="969">
        <f>'Segment Analysis'!Q62</f>
        <v>1</v>
      </c>
      <c r="R83" s="969">
        <f>'Segment Analysis'!R62</f>
        <v>1</v>
      </c>
      <c r="S83" s="969">
        <f>'Segment Analysis'!S62</f>
        <v>1</v>
      </c>
      <c r="T83" s="62">
        <f>'Segment Analysis'!T62</f>
        <v>1</v>
      </c>
      <c r="U83" s="969">
        <f>'Segment Analysis'!U62</f>
        <v>1</v>
      </c>
      <c r="V83" s="270">
        <v>1</v>
      </c>
      <c r="W83" s="270">
        <v>1</v>
      </c>
      <c r="X83" s="270">
        <v>1</v>
      </c>
      <c r="Y83" s="62">
        <f>'Segment Analysis'!Y62</f>
        <v>1</v>
      </c>
      <c r="Z83" s="270">
        <v>1</v>
      </c>
      <c r="AA83" s="270">
        <v>1</v>
      </c>
      <c r="AB83" s="270">
        <v>1</v>
      </c>
      <c r="AC83" s="270">
        <v>1</v>
      </c>
      <c r="AD83" s="62">
        <f>'Segment Analysis'!AD62</f>
        <v>1</v>
      </c>
      <c r="AE83" s="271">
        <v>1</v>
      </c>
      <c r="AF83" s="271">
        <v>1</v>
      </c>
      <c r="AG83" s="271">
        <v>1</v>
      </c>
    </row>
    <row r="84" spans="1:35" hidden="1" outlineLevel="1">
      <c r="C84" s="959" t="str">
        <f>'Segment Analysis'!C63</f>
        <v>Investment Management</v>
      </c>
      <c r="F84" s="969">
        <f>'Segment Analysis'!F63</f>
        <v>0</v>
      </c>
      <c r="G84" s="969">
        <f>'Segment Analysis'!G63</f>
        <v>0</v>
      </c>
      <c r="H84" s="969">
        <f>'Segment Analysis'!H63</f>
        <v>0</v>
      </c>
      <c r="I84" s="969">
        <f>'Segment Analysis'!I63</f>
        <v>0</v>
      </c>
      <c r="J84" s="62">
        <f>'Segment Analysis'!J63</f>
        <v>0</v>
      </c>
      <c r="K84" s="969">
        <f>'Segment Analysis'!K63</f>
        <v>0</v>
      </c>
      <c r="L84" s="969">
        <f>'Segment Analysis'!L63</f>
        <v>0</v>
      </c>
      <c r="M84" s="969">
        <f>'Segment Analysis'!M63</f>
        <v>0</v>
      </c>
      <c r="N84" s="969">
        <f>'Segment Analysis'!N63</f>
        <v>0</v>
      </c>
      <c r="O84" s="62">
        <f>'Segment Analysis'!O63</f>
        <v>0</v>
      </c>
      <c r="P84" s="969">
        <f>'Segment Analysis'!P63</f>
        <v>0</v>
      </c>
      <c r="Q84" s="969">
        <f>'Segment Analysis'!Q63</f>
        <v>0</v>
      </c>
      <c r="R84" s="969">
        <f>'Segment Analysis'!R63</f>
        <v>0</v>
      </c>
      <c r="S84" s="969">
        <f>'Segment Analysis'!S63</f>
        <v>0</v>
      </c>
      <c r="T84" s="62">
        <f>'Segment Analysis'!T63</f>
        <v>0</v>
      </c>
      <c r="U84" s="969">
        <f>'Segment Analysis'!U63</f>
        <v>0</v>
      </c>
      <c r="V84" s="270">
        <v>0</v>
      </c>
      <c r="W84" s="270">
        <v>0</v>
      </c>
      <c r="X84" s="270">
        <v>0</v>
      </c>
      <c r="Y84" s="62">
        <f>'Segment Analysis'!Y63</f>
        <v>0</v>
      </c>
      <c r="Z84" s="270">
        <v>0</v>
      </c>
      <c r="AA84" s="270">
        <v>0</v>
      </c>
      <c r="AB84" s="270">
        <v>0</v>
      </c>
      <c r="AC84" s="270">
        <v>0</v>
      </c>
      <c r="AD84" s="62">
        <f>'Segment Analysis'!AD63</f>
        <v>0</v>
      </c>
      <c r="AE84" s="271">
        <v>0</v>
      </c>
      <c r="AF84" s="271">
        <v>0</v>
      </c>
      <c r="AG84" s="271">
        <v>0</v>
      </c>
    </row>
    <row r="85" spans="1:35" hidden="1" outlineLevel="1">
      <c r="C85" s="959" t="str">
        <f>'Segment Analysis'!C64</f>
        <v>Segment 3</v>
      </c>
      <c r="F85" s="969">
        <f>'Segment Analysis'!F64</f>
        <v>0</v>
      </c>
      <c r="G85" s="969">
        <f>'Segment Analysis'!G64</f>
        <v>0</v>
      </c>
      <c r="H85" s="969">
        <f>'Segment Analysis'!H64</f>
        <v>0</v>
      </c>
      <c r="I85" s="969">
        <f>'Segment Analysis'!I64</f>
        <v>0</v>
      </c>
      <c r="J85" s="62">
        <f>'Segment Analysis'!J64</f>
        <v>0</v>
      </c>
      <c r="K85" s="969">
        <f>'Segment Analysis'!K64</f>
        <v>0</v>
      </c>
      <c r="L85" s="969">
        <f>'Segment Analysis'!L64</f>
        <v>0</v>
      </c>
      <c r="M85" s="969">
        <f>'Segment Analysis'!M64</f>
        <v>0</v>
      </c>
      <c r="N85" s="969">
        <f>'Segment Analysis'!N64</f>
        <v>0</v>
      </c>
      <c r="O85" s="62">
        <f>'Segment Analysis'!O64</f>
        <v>0</v>
      </c>
      <c r="P85" s="969">
        <f>'Segment Analysis'!P64</f>
        <v>0</v>
      </c>
      <c r="Q85" s="969">
        <f>'Segment Analysis'!Q64</f>
        <v>0</v>
      </c>
      <c r="R85" s="969">
        <f>'Segment Analysis'!R64</f>
        <v>0</v>
      </c>
      <c r="S85" s="969">
        <f>'Segment Analysis'!S64</f>
        <v>0</v>
      </c>
      <c r="T85" s="62">
        <f>'Segment Analysis'!T64</f>
        <v>0</v>
      </c>
      <c r="U85" s="969">
        <f>'Segment Analysis'!U64</f>
        <v>0</v>
      </c>
      <c r="V85" s="270">
        <v>0</v>
      </c>
      <c r="W85" s="270">
        <v>0</v>
      </c>
      <c r="X85" s="270">
        <v>0</v>
      </c>
      <c r="Y85" s="62">
        <f>'Segment Analysis'!Y64</f>
        <v>0</v>
      </c>
      <c r="Z85" s="270">
        <v>0</v>
      </c>
      <c r="AA85" s="270">
        <v>0</v>
      </c>
      <c r="AB85" s="270">
        <v>0</v>
      </c>
      <c r="AC85" s="270">
        <v>0</v>
      </c>
      <c r="AD85" s="62">
        <f>'Segment Analysis'!AD64</f>
        <v>0</v>
      </c>
      <c r="AE85" s="271">
        <v>0</v>
      </c>
      <c r="AF85" s="271">
        <v>0</v>
      </c>
      <c r="AG85" s="271">
        <v>0</v>
      </c>
    </row>
    <row r="86" spans="1:35" hidden="1" outlineLevel="1">
      <c r="C86" s="959" t="str">
        <f>'Segment Analysis'!C65</f>
        <v>Segment 4</v>
      </c>
      <c r="F86" s="969">
        <f>'Segment Analysis'!F65</f>
        <v>0</v>
      </c>
      <c r="G86" s="969">
        <f>'Segment Analysis'!G65</f>
        <v>0</v>
      </c>
      <c r="H86" s="969">
        <f>'Segment Analysis'!H65</f>
        <v>0</v>
      </c>
      <c r="I86" s="969">
        <f>'Segment Analysis'!I65</f>
        <v>0</v>
      </c>
      <c r="J86" s="62">
        <f>'Segment Analysis'!J65</f>
        <v>0</v>
      </c>
      <c r="K86" s="969">
        <f>'Segment Analysis'!K65</f>
        <v>0</v>
      </c>
      <c r="L86" s="969">
        <f>'Segment Analysis'!L65</f>
        <v>0</v>
      </c>
      <c r="M86" s="969">
        <f>'Segment Analysis'!M65</f>
        <v>0</v>
      </c>
      <c r="N86" s="969">
        <f>'Segment Analysis'!N65</f>
        <v>0</v>
      </c>
      <c r="O86" s="62">
        <f>'Segment Analysis'!O65</f>
        <v>0</v>
      </c>
      <c r="P86" s="969">
        <f>'Segment Analysis'!P65</f>
        <v>0</v>
      </c>
      <c r="Q86" s="969">
        <f>'Segment Analysis'!Q65</f>
        <v>0</v>
      </c>
      <c r="R86" s="969">
        <f>'Segment Analysis'!R65</f>
        <v>0</v>
      </c>
      <c r="S86" s="969">
        <f>'Segment Analysis'!S65</f>
        <v>0</v>
      </c>
      <c r="T86" s="62">
        <f>'Segment Analysis'!T65</f>
        <v>0</v>
      </c>
      <c r="U86" s="969">
        <f>'Segment Analysis'!U65</f>
        <v>0</v>
      </c>
      <c r="V86" s="270">
        <v>0</v>
      </c>
      <c r="W86" s="270">
        <v>0</v>
      </c>
      <c r="X86" s="270">
        <v>0</v>
      </c>
      <c r="Y86" s="62">
        <f>'Segment Analysis'!Y65</f>
        <v>0</v>
      </c>
      <c r="Z86" s="270">
        <v>0</v>
      </c>
      <c r="AA86" s="270">
        <v>0</v>
      </c>
      <c r="AB86" s="270">
        <v>0</v>
      </c>
      <c r="AC86" s="270">
        <v>0</v>
      </c>
      <c r="AD86" s="62">
        <f>'Segment Analysis'!AD65</f>
        <v>0</v>
      </c>
      <c r="AE86" s="271">
        <v>0</v>
      </c>
      <c r="AF86" s="271">
        <v>0</v>
      </c>
      <c r="AG86" s="271">
        <v>0</v>
      </c>
    </row>
    <row r="87" spans="1:35" hidden="1" outlineLevel="1">
      <c r="C87" s="959" t="str">
        <f>'Segment Analysis'!C66</f>
        <v>Segment 5</v>
      </c>
      <c r="F87" s="969">
        <f>'Segment Analysis'!F66</f>
        <v>0</v>
      </c>
      <c r="G87" s="969">
        <f>'Segment Analysis'!G66</f>
        <v>0</v>
      </c>
      <c r="H87" s="969">
        <f>'Segment Analysis'!H66</f>
        <v>0</v>
      </c>
      <c r="I87" s="969">
        <f>'Segment Analysis'!I66</f>
        <v>0</v>
      </c>
      <c r="J87" s="62">
        <f>'Segment Analysis'!J66</f>
        <v>0</v>
      </c>
      <c r="K87" s="969">
        <f>'Segment Analysis'!K66</f>
        <v>0</v>
      </c>
      <c r="L87" s="969">
        <f>'Segment Analysis'!L66</f>
        <v>0</v>
      </c>
      <c r="M87" s="969">
        <f>'Segment Analysis'!M66</f>
        <v>0</v>
      </c>
      <c r="N87" s="969">
        <f>'Segment Analysis'!N66</f>
        <v>0</v>
      </c>
      <c r="O87" s="62">
        <f>'Segment Analysis'!O66</f>
        <v>0</v>
      </c>
      <c r="P87" s="969">
        <f>'Segment Analysis'!P66</f>
        <v>0</v>
      </c>
      <c r="Q87" s="969">
        <f>'Segment Analysis'!Q66</f>
        <v>0</v>
      </c>
      <c r="R87" s="969">
        <f>'Segment Analysis'!R66</f>
        <v>0</v>
      </c>
      <c r="S87" s="969">
        <f>'Segment Analysis'!S66</f>
        <v>0</v>
      </c>
      <c r="T87" s="62">
        <f>'Segment Analysis'!T66</f>
        <v>0</v>
      </c>
      <c r="U87" s="969">
        <f>'Segment Analysis'!U66</f>
        <v>0</v>
      </c>
      <c r="V87" s="270">
        <v>0</v>
      </c>
      <c r="W87" s="270">
        <v>0</v>
      </c>
      <c r="X87" s="270">
        <v>0</v>
      </c>
      <c r="Y87" s="62">
        <f>'Segment Analysis'!Y66</f>
        <v>0</v>
      </c>
      <c r="Z87" s="270">
        <v>0</v>
      </c>
      <c r="AA87" s="270">
        <v>0</v>
      </c>
      <c r="AB87" s="270">
        <v>0</v>
      </c>
      <c r="AC87" s="270">
        <v>0</v>
      </c>
      <c r="AD87" s="62">
        <f>'Segment Analysis'!AD66</f>
        <v>0</v>
      </c>
      <c r="AE87" s="271">
        <v>0</v>
      </c>
      <c r="AF87" s="271">
        <v>0</v>
      </c>
      <c r="AG87" s="271">
        <v>0</v>
      </c>
    </row>
    <row r="88" spans="1:35" hidden="1" outlineLevel="1">
      <c r="C88" s="959" t="str">
        <f>'Segment Analysis'!C67</f>
        <v>Segment 6</v>
      </c>
      <c r="F88" s="969">
        <f>'Segment Analysis'!F67</f>
        <v>0</v>
      </c>
      <c r="G88" s="969">
        <f>'Segment Analysis'!G67</f>
        <v>0</v>
      </c>
      <c r="H88" s="969">
        <f>'Segment Analysis'!H67</f>
        <v>0</v>
      </c>
      <c r="I88" s="969">
        <f>'Segment Analysis'!I67</f>
        <v>0</v>
      </c>
      <c r="J88" s="62">
        <f>'Segment Analysis'!J67</f>
        <v>0</v>
      </c>
      <c r="K88" s="969">
        <f>'Segment Analysis'!K67</f>
        <v>0</v>
      </c>
      <c r="L88" s="969">
        <f>'Segment Analysis'!L67</f>
        <v>0</v>
      </c>
      <c r="M88" s="969">
        <f>'Segment Analysis'!M67</f>
        <v>0</v>
      </c>
      <c r="N88" s="969">
        <f>'Segment Analysis'!N67</f>
        <v>0</v>
      </c>
      <c r="O88" s="62">
        <f>'Segment Analysis'!O67</f>
        <v>0</v>
      </c>
      <c r="P88" s="969">
        <f>'Segment Analysis'!P67</f>
        <v>0</v>
      </c>
      <c r="Q88" s="969">
        <f>'Segment Analysis'!Q67</f>
        <v>0</v>
      </c>
      <c r="R88" s="969">
        <f>'Segment Analysis'!R67</f>
        <v>0</v>
      </c>
      <c r="S88" s="969">
        <f>'Segment Analysis'!S67</f>
        <v>0</v>
      </c>
      <c r="T88" s="62">
        <f>'Segment Analysis'!T67</f>
        <v>0</v>
      </c>
      <c r="U88" s="969">
        <f>'Segment Analysis'!U67</f>
        <v>0</v>
      </c>
      <c r="V88" s="270">
        <v>0</v>
      </c>
      <c r="W88" s="270">
        <v>0</v>
      </c>
      <c r="X88" s="270">
        <v>0</v>
      </c>
      <c r="Y88" s="62">
        <f>'Segment Analysis'!Y67</f>
        <v>0</v>
      </c>
      <c r="Z88" s="270">
        <v>0</v>
      </c>
      <c r="AA88" s="270">
        <v>0</v>
      </c>
      <c r="AB88" s="270">
        <v>0</v>
      </c>
      <c r="AC88" s="270">
        <v>0</v>
      </c>
      <c r="AD88" s="62">
        <f>'Segment Analysis'!AD67</f>
        <v>0</v>
      </c>
      <c r="AE88" s="271">
        <v>0</v>
      </c>
      <c r="AF88" s="271">
        <v>0</v>
      </c>
      <c r="AG88" s="271">
        <v>0</v>
      </c>
    </row>
    <row r="89" spans="1:35" collapsed="1">
      <c r="A89" s="22" t="s">
        <v>1</v>
      </c>
      <c r="F89" s="292"/>
      <c r="G89" s="292"/>
      <c r="H89" s="292"/>
      <c r="I89" s="292"/>
      <c r="J89" s="293"/>
      <c r="K89" s="292"/>
      <c r="L89" s="292"/>
      <c r="M89" s="292"/>
      <c r="N89" s="292"/>
      <c r="O89" s="293"/>
      <c r="P89" s="292"/>
      <c r="Q89" s="292"/>
      <c r="R89" s="292"/>
      <c r="S89" s="292"/>
      <c r="T89" s="293"/>
      <c r="U89" s="292"/>
      <c r="V89" s="270"/>
      <c r="W89" s="270"/>
      <c r="X89" s="270"/>
      <c r="Y89" s="293"/>
      <c r="Z89" s="270"/>
      <c r="AA89" s="270"/>
      <c r="AB89" s="270"/>
      <c r="AC89" s="270"/>
      <c r="AD89" s="293"/>
      <c r="AE89" s="271"/>
      <c r="AF89" s="271"/>
      <c r="AG89" s="271"/>
      <c r="AH89" s="22" t="s">
        <v>1</v>
      </c>
      <c r="AI89" s="22"/>
    </row>
    <row r="90" spans="1:35" hidden="1" outlineLevel="1">
      <c r="A90" s="22"/>
      <c r="C90" s="23" t="str">
        <f>Model!C216</f>
        <v>Amortization as a % of Avg. Intangibles</v>
      </c>
      <c r="F90" s="292"/>
      <c r="G90" s="292" t="e">
        <f>Model!G216</f>
        <v>#DIV/0!</v>
      </c>
      <c r="H90" s="292" t="e">
        <f>Model!H216</f>
        <v>#DIV/0!</v>
      </c>
      <c r="I90" s="292" t="e">
        <f>Model!I216</f>
        <v>#DIV/0!</v>
      </c>
      <c r="J90" s="293" t="e">
        <f>Model!J216</f>
        <v>#DIV/0!</v>
      </c>
      <c r="K90" s="292" t="e">
        <f>Model!K216</f>
        <v>#DIV/0!</v>
      </c>
      <c r="L90" s="292" t="e">
        <f>Model!L216</f>
        <v>#DIV/0!</v>
      </c>
      <c r="M90" s="292" t="e">
        <f>Model!M216</f>
        <v>#DIV/0!</v>
      </c>
      <c r="N90" s="292" t="e">
        <f>Model!N216</f>
        <v>#DIV/0!</v>
      </c>
      <c r="O90" s="293" t="e">
        <f>Model!O216</f>
        <v>#DIV/0!</v>
      </c>
      <c r="P90" s="292" t="e">
        <f>Model!P216</f>
        <v>#DIV/0!</v>
      </c>
      <c r="Q90" s="292" t="e">
        <f>Model!Q216</f>
        <v>#DIV/0!</v>
      </c>
      <c r="R90" s="292" t="e">
        <f>Model!R216</f>
        <v>#DIV/0!</v>
      </c>
      <c r="S90" s="292" t="e">
        <f>Model!S216</f>
        <v>#DIV/0!</v>
      </c>
      <c r="T90" s="293" t="e">
        <f>Model!T216</f>
        <v>#DIV/0!</v>
      </c>
      <c r="U90" s="292">
        <f>Model!U216</f>
        <v>0</v>
      </c>
      <c r="V90" s="60">
        <f>IF(Case_Scenario="Bull",V91,IF(Case_Scenario="Base",V92,IF(Case_Scenario="bear",V93,"N/A")))</f>
        <v>0</v>
      </c>
      <c r="W90" s="60">
        <f>IF(Case_Scenario="Bull",W91,IF(Case_Scenario="Base",W92,IF(Case_Scenario="bear",W93,"N/A")))</f>
        <v>0</v>
      </c>
      <c r="X90" s="60">
        <f>IF(Case_Scenario="Bull",X91,IF(Case_Scenario="Base",X92,IF(Case_Scenario="bear",X93,"N/A")))</f>
        <v>0</v>
      </c>
      <c r="Y90" s="293">
        <f>Model!Y216</f>
        <v>0</v>
      </c>
      <c r="Z90" s="60">
        <f>IF(Case_Scenario="Bull",Z91,IF(Case_Scenario="Base",Z92,IF(Case_Scenario="bear",Z93,"N/A")))</f>
        <v>0</v>
      </c>
      <c r="AA90" s="60">
        <f>IF(Case_Scenario="Bull",AA91,IF(Case_Scenario="Base",AA92,IF(Case_Scenario="bear",AA93,"N/A")))</f>
        <v>0</v>
      </c>
      <c r="AB90" s="60">
        <f>IF(Case_Scenario="Bull",AB91,IF(Case_Scenario="Base",AB92,IF(Case_Scenario="bear",AB93,"N/A")))</f>
        <v>0</v>
      </c>
      <c r="AC90" s="60">
        <f>IF(Case_Scenario="Bull",AC91,IF(Case_Scenario="Base",AC92,IF(Case_Scenario="bear",AC93,"N/A")))</f>
        <v>0</v>
      </c>
      <c r="AD90" s="293">
        <f>Model!AD216</f>
        <v>0</v>
      </c>
      <c r="AE90" s="59">
        <f>IF(Case_Scenario="Bull",AE91,IF(Case_Scenario="Base",AE92,IF(Case_Scenario="bear",AE93,"N/A")))</f>
        <v>0</v>
      </c>
      <c r="AF90" s="59">
        <f>IF(Case_Scenario="Bull",AF91,IF(Case_Scenario="Base",AF92,IF(Case_Scenario="bear",AF93,"N/A")))</f>
        <v>0</v>
      </c>
      <c r="AG90" s="59">
        <f>IF(Case_Scenario="Bull",AG91,IF(Case_Scenario="Base",AG92,IF(Case_Scenario="bear",AG93,"N/A")))</f>
        <v>0</v>
      </c>
    </row>
    <row r="91" spans="1:35" hidden="1" outlineLevel="1">
      <c r="C91" s="28" t="s">
        <v>217</v>
      </c>
      <c r="F91" s="292"/>
      <c r="G91" s="292"/>
      <c r="H91" s="292"/>
      <c r="I91" s="292"/>
      <c r="J91" s="293"/>
      <c r="K91" s="292"/>
      <c r="L91" s="292"/>
      <c r="M91" s="292"/>
      <c r="N91" s="292"/>
      <c r="O91" s="293"/>
      <c r="P91" s="292"/>
      <c r="Q91" s="292"/>
      <c r="R91" s="292"/>
      <c r="S91" s="292"/>
      <c r="T91" s="293"/>
      <c r="U91" s="292"/>
      <c r="V91" s="270">
        <v>0</v>
      </c>
      <c r="W91" s="270">
        <v>0</v>
      </c>
      <c r="X91" s="270">
        <v>0</v>
      </c>
      <c r="Y91" s="293"/>
      <c r="Z91" s="270">
        <v>0</v>
      </c>
      <c r="AA91" s="270">
        <v>0</v>
      </c>
      <c r="AB91" s="270">
        <v>0</v>
      </c>
      <c r="AC91" s="270">
        <v>0</v>
      </c>
      <c r="AD91" s="293"/>
      <c r="AE91" s="271">
        <v>0</v>
      </c>
      <c r="AF91" s="271">
        <v>0</v>
      </c>
      <c r="AG91" s="271">
        <v>0</v>
      </c>
    </row>
    <row r="92" spans="1:35" hidden="1" outlineLevel="1">
      <c r="C92" s="28" t="s">
        <v>218</v>
      </c>
      <c r="F92" s="292"/>
      <c r="G92" s="292"/>
      <c r="H92" s="292"/>
      <c r="I92" s="292"/>
      <c r="J92" s="293"/>
      <c r="K92" s="292"/>
      <c r="L92" s="292"/>
      <c r="M92" s="292"/>
      <c r="N92" s="292"/>
      <c r="O92" s="293"/>
      <c r="P92" s="292"/>
      <c r="Q92" s="292"/>
      <c r="R92" s="292"/>
      <c r="S92" s="292"/>
      <c r="T92" s="293"/>
      <c r="U92" s="292"/>
      <c r="V92" s="270">
        <v>0</v>
      </c>
      <c r="W92" s="270">
        <v>0</v>
      </c>
      <c r="X92" s="270">
        <v>0</v>
      </c>
      <c r="Y92" s="293"/>
      <c r="Z92" s="270">
        <v>0</v>
      </c>
      <c r="AA92" s="270">
        <v>0</v>
      </c>
      <c r="AB92" s="270">
        <v>0</v>
      </c>
      <c r="AC92" s="270">
        <v>0</v>
      </c>
      <c r="AD92" s="293"/>
      <c r="AE92" s="271">
        <v>0</v>
      </c>
      <c r="AF92" s="271">
        <v>0</v>
      </c>
      <c r="AG92" s="271">
        <v>0</v>
      </c>
    </row>
    <row r="93" spans="1:35" hidden="1" outlineLevel="1">
      <c r="C93" s="28" t="s">
        <v>219</v>
      </c>
      <c r="F93" s="292"/>
      <c r="G93" s="292"/>
      <c r="H93" s="292"/>
      <c r="I93" s="292"/>
      <c r="J93" s="293"/>
      <c r="K93" s="292"/>
      <c r="L93" s="292"/>
      <c r="M93" s="292"/>
      <c r="N93" s="292"/>
      <c r="O93" s="293"/>
      <c r="P93" s="292"/>
      <c r="Q93" s="292"/>
      <c r="R93" s="292"/>
      <c r="S93" s="292"/>
      <c r="T93" s="293"/>
      <c r="U93" s="292"/>
      <c r="V93" s="270">
        <v>0</v>
      </c>
      <c r="W93" s="270">
        <v>0</v>
      </c>
      <c r="X93" s="270">
        <v>0</v>
      </c>
      <c r="Y93" s="293"/>
      <c r="Z93" s="270">
        <v>0</v>
      </c>
      <c r="AA93" s="270">
        <v>0</v>
      </c>
      <c r="AB93" s="270">
        <v>0</v>
      </c>
      <c r="AC93" s="270">
        <v>0</v>
      </c>
      <c r="AD93" s="293"/>
      <c r="AE93" s="271">
        <v>0</v>
      </c>
      <c r="AF93" s="271">
        <v>0</v>
      </c>
      <c r="AG93" s="271">
        <v>0</v>
      </c>
    </row>
    <row r="94" spans="1:35" hidden="1" outlineLevel="1">
      <c r="F94" s="292"/>
      <c r="G94" s="292"/>
      <c r="H94" s="292"/>
      <c r="I94" s="292"/>
      <c r="J94" s="293"/>
      <c r="K94" s="292"/>
      <c r="L94" s="292"/>
      <c r="M94" s="292"/>
      <c r="N94" s="292"/>
      <c r="O94" s="293"/>
      <c r="P94" s="292"/>
      <c r="Q94" s="292"/>
      <c r="R94" s="292"/>
      <c r="S94" s="292"/>
      <c r="T94" s="293"/>
      <c r="U94" s="292"/>
      <c r="V94" s="270"/>
      <c r="W94" s="270"/>
      <c r="X94" s="270"/>
      <c r="Y94" s="293"/>
      <c r="Z94" s="270"/>
      <c r="AA94" s="270"/>
      <c r="AB94" s="270"/>
      <c r="AC94" s="270"/>
      <c r="AD94" s="293"/>
      <c r="AE94" s="271"/>
      <c r="AF94" s="271"/>
      <c r="AG94" s="271"/>
    </row>
    <row r="95" spans="1:35" collapsed="1">
      <c r="C95" s="543" t="s">
        <v>244</v>
      </c>
      <c r="D95" s="544"/>
      <c r="E95" s="544"/>
      <c r="F95" s="715"/>
      <c r="G95" s="716"/>
      <c r="H95" s="716"/>
      <c r="I95" s="716"/>
      <c r="J95" s="716"/>
      <c r="K95" s="716"/>
      <c r="L95" s="716"/>
      <c r="M95" s="716"/>
      <c r="N95" s="716"/>
      <c r="O95" s="716"/>
      <c r="P95" s="716"/>
      <c r="Q95" s="716"/>
      <c r="R95" s="716"/>
      <c r="S95" s="716"/>
      <c r="T95" s="716"/>
      <c r="U95" s="716"/>
      <c r="V95" s="716"/>
      <c r="W95" s="716"/>
      <c r="X95" s="716"/>
      <c r="Y95" s="716"/>
      <c r="Z95" s="716"/>
      <c r="AA95" s="716"/>
      <c r="AB95" s="716"/>
      <c r="AC95" s="716"/>
      <c r="AD95" s="716"/>
      <c r="AE95" s="716"/>
      <c r="AF95" s="716"/>
      <c r="AG95" s="717"/>
    </row>
    <row r="96" spans="1:35">
      <c r="F96" s="292"/>
      <c r="G96" s="292"/>
      <c r="H96" s="292"/>
      <c r="I96" s="292"/>
      <c r="J96" s="293"/>
      <c r="K96" s="292"/>
      <c r="L96" s="292"/>
      <c r="M96" s="292"/>
      <c r="N96" s="292"/>
      <c r="O96" s="293"/>
      <c r="P96" s="292"/>
      <c r="Q96" s="292"/>
      <c r="R96" s="292"/>
      <c r="S96" s="292"/>
      <c r="T96" s="293"/>
      <c r="U96" s="292"/>
      <c r="V96" s="60"/>
      <c r="W96" s="60"/>
      <c r="X96" s="60"/>
      <c r="Y96" s="293"/>
      <c r="Z96" s="60"/>
      <c r="AA96" s="60"/>
      <c r="AB96" s="60"/>
      <c r="AC96" s="60"/>
      <c r="AD96" s="293"/>
      <c r="AE96" s="269"/>
      <c r="AF96" s="269"/>
      <c r="AG96" s="269"/>
    </row>
    <row r="97" spans="1:35">
      <c r="C97" s="23" t="str">
        <f>Model!C202</f>
        <v>Capex as a % of Sales</v>
      </c>
      <c r="F97" s="292">
        <f>Model!F202</f>
        <v>8.4294325662746354E-3</v>
      </c>
      <c r="G97" s="292">
        <f>Model!G202</f>
        <v>2.4571088165210486E-2</v>
      </c>
      <c r="H97" s="292">
        <f>Model!H202</f>
        <v>3.2308270833768568E-2</v>
      </c>
      <c r="I97" s="292">
        <f>Model!I202</f>
        <v>2.5430393684007572E-2</v>
      </c>
      <c r="J97" s="293">
        <f>Model!J202</f>
        <v>2.2859449470373765E-2</v>
      </c>
      <c r="K97" s="292">
        <f>Model!K202</f>
        <v>1.888879202328877E-3</v>
      </c>
      <c r="L97" s="292">
        <f>Model!L202</f>
        <v>1.2861022219081558E-2</v>
      </c>
      <c r="M97" s="292">
        <f>Model!M202</f>
        <v>2.2709298231358848E-2</v>
      </c>
      <c r="N97" s="292">
        <f>Model!N202</f>
        <v>1.2250835864321992E-2</v>
      </c>
      <c r="O97" s="293">
        <f>Model!O202</f>
        <v>1.2946370614221717E-2</v>
      </c>
      <c r="P97" s="292">
        <f>Model!P202</f>
        <v>2.8125008941063373E-2</v>
      </c>
      <c r="Q97" s="292">
        <f>Model!Q202</f>
        <v>3.1079662068636341E-2</v>
      </c>
      <c r="R97" s="292">
        <f>Model!R202</f>
        <v>1.8579456478717851E-2</v>
      </c>
      <c r="S97" s="292">
        <f>Model!S202</f>
        <v>6.8325433221179495E-3</v>
      </c>
      <c r="T97" s="293">
        <f>Model!T202</f>
        <v>1.9072267507610659E-2</v>
      </c>
      <c r="U97" s="292">
        <f>Model!U202</f>
        <v>2.2156863165125398E-3</v>
      </c>
      <c r="V97" s="60">
        <f>IF(Case_Scenario="Bull",V98,IF(Case_Scenario="Base",V99,IF(Case_Scenario="bear",V100,"N/A")))</f>
        <v>1.4999999999999999E-2</v>
      </c>
      <c r="W97" s="60">
        <f>IF(Case_Scenario="Bull",W98,IF(Case_Scenario="Base",W99,IF(Case_Scenario="bear",W100,"N/A")))</f>
        <v>1.4999999999999999E-2</v>
      </c>
      <c r="X97" s="60">
        <f>IF(Case_Scenario="Bull",X98,IF(Case_Scenario="Base",X99,IF(Case_Scenario="bear",X100,"N/A")))</f>
        <v>1.4999999999999999E-2</v>
      </c>
      <c r="Y97" s="293">
        <f>Model!Y202</f>
        <v>1.2357256749746824E-2</v>
      </c>
      <c r="Z97" s="60">
        <f>IF(Case_Scenario="Bull",Z98,IF(Case_Scenario="Base",Z99,IF(Case_Scenario="bear",Z100,"N/A")))</f>
        <v>1.4999999999999999E-2</v>
      </c>
      <c r="AA97" s="60">
        <f>IF(Case_Scenario="Bull",AA98,IF(Case_Scenario="Base",AA99,IF(Case_Scenario="bear",AA100,"N/A")))</f>
        <v>1.4999999999999999E-2</v>
      </c>
      <c r="AB97" s="60">
        <f>IF(Case_Scenario="Bull",AB98,IF(Case_Scenario="Base",AB99,IF(Case_Scenario="bear",AB100,"N/A")))</f>
        <v>1.4999999999999999E-2</v>
      </c>
      <c r="AC97" s="60">
        <f>IF(Case_Scenario="Bull",AC98,IF(Case_Scenario="Base",AC99,IF(Case_Scenario="bear",AC100,"N/A")))</f>
        <v>1.4999999999999999E-2</v>
      </c>
      <c r="AD97" s="293">
        <f>Model!AD202</f>
        <v>1.4999999999999999E-2</v>
      </c>
      <c r="AE97" s="59">
        <f>IF(Case_Scenario="Bull",AE98,IF(Case_Scenario="Base",AE99,IF(Case_Scenario="bear",AE100,"N/A")))</f>
        <v>1.4999999999999999E-2</v>
      </c>
      <c r="AF97" s="59">
        <f>IF(Case_Scenario="Bull",AF98,IF(Case_Scenario="Base",AF99,IF(Case_Scenario="bear",AF100,"N/A")))</f>
        <v>1.4999999999999999E-2</v>
      </c>
      <c r="AG97" s="59">
        <f>IF(Case_Scenario="Bull",AG98,IF(Case_Scenario="Base",AG99,IF(Case_Scenario="bear",AG100,"N/A")))</f>
        <v>1.4999999999999999E-2</v>
      </c>
    </row>
    <row r="98" spans="1:35">
      <c r="C98" s="28" t="s">
        <v>217</v>
      </c>
      <c r="F98" s="292"/>
      <c r="G98" s="292"/>
      <c r="H98" s="292"/>
      <c r="I98" s="292"/>
      <c r="J98" s="293"/>
      <c r="K98" s="292"/>
      <c r="L98" s="292"/>
      <c r="M98" s="292"/>
      <c r="N98" s="292"/>
      <c r="O98" s="293"/>
      <c r="P98" s="292"/>
      <c r="Q98" s="292"/>
      <c r="R98" s="292"/>
      <c r="S98" s="292"/>
      <c r="T98" s="293"/>
      <c r="U98" s="292"/>
      <c r="V98" s="270">
        <f t="shared" ref="U98:X98" si="53">V99-0.002</f>
        <v>1.2999999999999999E-2</v>
      </c>
      <c r="W98" s="270">
        <f t="shared" si="53"/>
        <v>1.2999999999999999E-2</v>
      </c>
      <c r="X98" s="270">
        <f t="shared" si="53"/>
        <v>1.2999999999999999E-2</v>
      </c>
      <c r="Y98" s="293"/>
      <c r="Z98" s="270">
        <f t="shared" ref="Z98:AC98" si="54">Z99-0.002</f>
        <v>1.2999999999999999E-2</v>
      </c>
      <c r="AA98" s="270">
        <f t="shared" si="54"/>
        <v>1.2999999999999999E-2</v>
      </c>
      <c r="AB98" s="270">
        <f t="shared" si="54"/>
        <v>1.2999999999999999E-2</v>
      </c>
      <c r="AC98" s="270">
        <f t="shared" si="54"/>
        <v>1.2999999999999999E-2</v>
      </c>
      <c r="AD98" s="293"/>
      <c r="AE98" s="271">
        <v>1.4999999999999999E-2</v>
      </c>
      <c r="AF98" s="271">
        <v>1.4999999999999999E-2</v>
      </c>
      <c r="AG98" s="271">
        <v>1.4999999999999999E-2</v>
      </c>
    </row>
    <row r="99" spans="1:35">
      <c r="C99" s="28" t="s">
        <v>218</v>
      </c>
      <c r="F99" s="292"/>
      <c r="G99" s="292"/>
      <c r="H99" s="292"/>
      <c r="I99" s="292"/>
      <c r="J99" s="293"/>
      <c r="K99" s="292"/>
      <c r="L99" s="292"/>
      <c r="M99" s="292"/>
      <c r="N99" s="292"/>
      <c r="O99" s="293"/>
      <c r="P99" s="292"/>
      <c r="Q99" s="292"/>
      <c r="R99" s="292"/>
      <c r="S99" s="292"/>
      <c r="T99" s="293"/>
      <c r="U99" s="292"/>
      <c r="V99" s="270">
        <v>1.4999999999999999E-2</v>
      </c>
      <c r="W99" s="270">
        <v>1.4999999999999999E-2</v>
      </c>
      <c r="X99" s="270">
        <v>1.4999999999999999E-2</v>
      </c>
      <c r="Y99" s="293"/>
      <c r="Z99" s="270">
        <v>1.4999999999999999E-2</v>
      </c>
      <c r="AA99" s="270">
        <v>1.4999999999999999E-2</v>
      </c>
      <c r="AB99" s="270">
        <v>1.4999999999999999E-2</v>
      </c>
      <c r="AC99" s="270">
        <v>1.4999999999999999E-2</v>
      </c>
      <c r="AD99" s="293"/>
      <c r="AE99" s="271">
        <v>1.4999999999999999E-2</v>
      </c>
      <c r="AF99" s="271">
        <v>1.4999999999999999E-2</v>
      </c>
      <c r="AG99" s="271">
        <v>1.4999999999999999E-2</v>
      </c>
    </row>
    <row r="100" spans="1:35">
      <c r="C100" s="28" t="s">
        <v>219</v>
      </c>
      <c r="F100" s="292"/>
      <c r="G100" s="292"/>
      <c r="H100" s="292"/>
      <c r="I100" s="292"/>
      <c r="J100" s="293"/>
      <c r="K100" s="292"/>
      <c r="L100" s="292"/>
      <c r="M100" s="292"/>
      <c r="N100" s="292"/>
      <c r="O100" s="293"/>
      <c r="P100" s="292"/>
      <c r="Q100" s="292"/>
      <c r="R100" s="292"/>
      <c r="S100" s="292"/>
      <c r="T100" s="293"/>
      <c r="U100" s="292"/>
      <c r="V100" s="270">
        <f t="shared" ref="U100:X100" si="55">V99+0.002</f>
        <v>1.7000000000000001E-2</v>
      </c>
      <c r="W100" s="270">
        <f t="shared" si="55"/>
        <v>1.7000000000000001E-2</v>
      </c>
      <c r="X100" s="270">
        <f t="shared" si="55"/>
        <v>1.7000000000000001E-2</v>
      </c>
      <c r="Y100" s="293"/>
      <c r="Z100" s="270">
        <f t="shared" ref="Z100" si="56">Z99+0.002</f>
        <v>1.7000000000000001E-2</v>
      </c>
      <c r="AA100" s="270">
        <f t="shared" ref="AA100" si="57">AA99+0.002</f>
        <v>1.7000000000000001E-2</v>
      </c>
      <c r="AB100" s="270">
        <f t="shared" ref="AB100" si="58">AB99+0.002</f>
        <v>1.7000000000000001E-2</v>
      </c>
      <c r="AC100" s="270">
        <f t="shared" ref="AC100" si="59">AC99+0.002</f>
        <v>1.7000000000000001E-2</v>
      </c>
      <c r="AD100" s="293"/>
      <c r="AE100" s="271">
        <f t="shared" ref="AE100" si="60">AE99+0.002</f>
        <v>1.7000000000000001E-2</v>
      </c>
      <c r="AF100" s="271">
        <f t="shared" ref="AF100" si="61">AF99+0.002</f>
        <v>1.7000000000000001E-2</v>
      </c>
      <c r="AG100" s="271">
        <f t="shared" ref="AG100" si="62">AG99+0.002</f>
        <v>1.7000000000000001E-2</v>
      </c>
    </row>
    <row r="101" spans="1:35">
      <c r="F101" s="292"/>
      <c r="G101" s="292"/>
      <c r="H101" s="292"/>
      <c r="I101" s="292"/>
      <c r="J101" s="293"/>
      <c r="K101" s="292"/>
      <c r="L101" s="292"/>
      <c r="M101" s="292"/>
      <c r="N101" s="292"/>
      <c r="O101" s="293"/>
      <c r="P101" s="292"/>
      <c r="Q101" s="292"/>
      <c r="R101" s="292"/>
      <c r="S101" s="292"/>
      <c r="T101" s="293"/>
      <c r="U101" s="292"/>
      <c r="V101" s="270"/>
      <c r="W101" s="270"/>
      <c r="X101" s="270"/>
      <c r="Y101" s="293"/>
      <c r="Z101" s="270"/>
      <c r="AA101" s="270"/>
      <c r="AB101" s="270"/>
      <c r="AC101" s="270"/>
      <c r="AD101" s="293"/>
      <c r="AE101" s="271"/>
      <c r="AF101" s="271"/>
      <c r="AG101" s="271"/>
    </row>
    <row r="102" spans="1:35">
      <c r="C102" s="23" t="str">
        <f>Model!C86</f>
        <v>Proceeds From/(Acquisitions of) Businesses</v>
      </c>
      <c r="F102" s="718">
        <f>Model!F86</f>
        <v>0</v>
      </c>
      <c r="G102" s="718">
        <f>Model!G86</f>
        <v>0</v>
      </c>
      <c r="H102" s="718">
        <f>Model!H86</f>
        <v>0</v>
      </c>
      <c r="I102" s="718">
        <f>Model!I86</f>
        <v>0</v>
      </c>
      <c r="J102" s="719">
        <f>Model!J86</f>
        <v>0</v>
      </c>
      <c r="K102" s="718">
        <f>Model!K86</f>
        <v>0</v>
      </c>
      <c r="L102" s="718">
        <f>Model!L86</f>
        <v>0</v>
      </c>
      <c r="M102" s="718">
        <f>Model!M86</f>
        <v>0</v>
      </c>
      <c r="N102" s="718">
        <f>Model!N86</f>
        <v>0</v>
      </c>
      <c r="O102" s="719">
        <f>Model!O86</f>
        <v>0</v>
      </c>
      <c r="P102" s="718">
        <f>Model!P86</f>
        <v>0</v>
      </c>
      <c r="Q102" s="718">
        <f>Model!Q86</f>
        <v>0</v>
      </c>
      <c r="R102" s="718">
        <f>Model!R86</f>
        <v>0</v>
      </c>
      <c r="S102" s="718">
        <f>Model!S86</f>
        <v>0</v>
      </c>
      <c r="T102" s="719">
        <f>Model!T86</f>
        <v>0</v>
      </c>
      <c r="U102" s="718">
        <f>Model!U86</f>
        <v>0</v>
      </c>
      <c r="V102" s="721">
        <v>0</v>
      </c>
      <c r="W102" s="721">
        <v>0</v>
      </c>
      <c r="X102" s="721">
        <v>0</v>
      </c>
      <c r="Y102" s="719">
        <f>Model!Y86</f>
        <v>0</v>
      </c>
      <c r="Z102" s="721">
        <v>0</v>
      </c>
      <c r="AA102" s="721">
        <v>0</v>
      </c>
      <c r="AB102" s="721">
        <v>0</v>
      </c>
      <c r="AC102" s="721">
        <v>0</v>
      </c>
      <c r="AD102" s="719">
        <f>Model!AD86</f>
        <v>0</v>
      </c>
      <c r="AE102" s="722">
        <v>0</v>
      </c>
      <c r="AF102" s="722">
        <v>0</v>
      </c>
      <c r="AG102" s="722">
        <v>0</v>
      </c>
    </row>
    <row r="103" spans="1:35">
      <c r="F103" s="292"/>
      <c r="G103" s="292"/>
      <c r="H103" s="292"/>
      <c r="I103" s="292"/>
      <c r="J103" s="293"/>
      <c r="K103" s="292"/>
      <c r="L103" s="292"/>
      <c r="M103" s="292"/>
      <c r="N103" s="292"/>
      <c r="O103" s="293"/>
      <c r="P103" s="292"/>
      <c r="Q103" s="292"/>
      <c r="R103" s="292"/>
      <c r="S103" s="292"/>
      <c r="T103" s="293"/>
      <c r="U103" s="292"/>
      <c r="V103" s="270"/>
      <c r="W103" s="270"/>
      <c r="X103" s="270"/>
      <c r="Y103" s="293"/>
      <c r="Z103" s="270"/>
      <c r="AA103" s="270"/>
      <c r="AB103" s="270"/>
      <c r="AC103" s="270"/>
      <c r="AD103" s="293"/>
      <c r="AE103" s="271"/>
      <c r="AF103" s="271"/>
      <c r="AG103" s="271"/>
    </row>
    <row r="104" spans="1:35">
      <c r="C104" s="543" t="s">
        <v>245</v>
      </c>
      <c r="D104" s="544"/>
      <c r="E104" s="544"/>
      <c r="F104" s="715"/>
      <c r="G104" s="716"/>
      <c r="H104" s="716"/>
      <c r="I104" s="716"/>
      <c r="J104" s="716"/>
      <c r="K104" s="716"/>
      <c r="L104" s="716"/>
      <c r="M104" s="716"/>
      <c r="N104" s="716"/>
      <c r="O104" s="716"/>
      <c r="P104" s="716"/>
      <c r="Q104" s="716"/>
      <c r="R104" s="716"/>
      <c r="S104" s="716"/>
      <c r="T104" s="716"/>
      <c r="U104" s="716"/>
      <c r="V104" s="716"/>
      <c r="W104" s="716"/>
      <c r="X104" s="716"/>
      <c r="Y104" s="716"/>
      <c r="Z104" s="716"/>
      <c r="AA104" s="716"/>
      <c r="AB104" s="716"/>
      <c r="AC104" s="716"/>
      <c r="AD104" s="716"/>
      <c r="AE104" s="716"/>
      <c r="AF104" s="716"/>
      <c r="AG104" s="717"/>
    </row>
    <row r="105" spans="1:35">
      <c r="F105" s="292"/>
      <c r="G105" s="292"/>
      <c r="H105" s="292"/>
      <c r="I105" s="292"/>
      <c r="J105" s="293"/>
      <c r="K105" s="292"/>
      <c r="L105" s="292"/>
      <c r="M105" s="292"/>
      <c r="N105" s="292"/>
      <c r="O105" s="293"/>
      <c r="P105" s="292"/>
      <c r="Q105" s="292"/>
      <c r="R105" s="292"/>
      <c r="S105" s="292"/>
      <c r="T105" s="293"/>
      <c r="U105" s="292"/>
      <c r="V105" s="60"/>
      <c r="W105" s="60"/>
      <c r="X105" s="60"/>
      <c r="Y105" s="293"/>
      <c r="Z105" s="60"/>
      <c r="AA105" s="60"/>
      <c r="AB105" s="60"/>
      <c r="AC105" s="60"/>
      <c r="AD105" s="293"/>
      <c r="AE105" s="269"/>
      <c r="AF105" s="269"/>
      <c r="AG105" s="269"/>
    </row>
    <row r="106" spans="1:35">
      <c r="C106" s="23" t="str">
        <f>Model!C275</f>
        <v>Dividends YoY Growth Rate</v>
      </c>
      <c r="F106" s="292"/>
      <c r="G106" s="292"/>
      <c r="H106" s="292"/>
      <c r="I106" s="292"/>
      <c r="J106" s="293"/>
      <c r="K106" s="292">
        <f>Model!K275</f>
        <v>5.0663532370266218E-2</v>
      </c>
      <c r="L106" s="292">
        <f>Model!L275</f>
        <v>6.0648008495762573E-2</v>
      </c>
      <c r="M106" s="292">
        <f>Model!M275</f>
        <v>6.5739726732689796E-2</v>
      </c>
      <c r="N106" s="292">
        <f>Model!N275</f>
        <v>0.50724045093442771</v>
      </c>
      <c r="O106" s="293"/>
      <c r="P106" s="292">
        <f>Model!P275</f>
        <v>8.4115978979135253E-2</v>
      </c>
      <c r="Q106" s="292">
        <f>Model!Q275</f>
        <v>0.17945171679393268</v>
      </c>
      <c r="R106" s="292">
        <f>Model!R275</f>
        <v>0.19078706847025639</v>
      </c>
      <c r="S106" s="292">
        <f>Model!S275</f>
        <v>-0.12328616467482956</v>
      </c>
      <c r="T106" s="293"/>
      <c r="U106" s="292">
        <f>Model!U275</f>
        <v>0.1012688604253531</v>
      </c>
      <c r="V106" s="60">
        <f>IF(Case_Scenario="Bull",V107,IF(Case_Scenario="Base",V108,IF(Case_Scenario="bear",V109,"N/A")))</f>
        <v>0.06</v>
      </c>
      <c r="W106" s="60">
        <f>IF(Case_Scenario="Bull",W107,IF(Case_Scenario="Base",W108,IF(Case_Scenario="bear",W109,"N/A")))</f>
        <v>0.06</v>
      </c>
      <c r="X106" s="60">
        <f>IF(Case_Scenario="Bull",X107,IF(Case_Scenario="Base",X108,IF(Case_Scenario="bear",X109,"N/A")))</f>
        <v>0.06</v>
      </c>
      <c r="Y106" s="293"/>
      <c r="Z106" s="60">
        <f>IF(Case_Scenario="Bull",Z107,IF(Case_Scenario="Base",Z108,IF(Case_Scenario="bear",Z109,"N/A")))</f>
        <v>0.06</v>
      </c>
      <c r="AA106" s="60">
        <f>IF(Case_Scenario="Bull",AA107,IF(Case_Scenario="Base",AA108,IF(Case_Scenario="bear",AA109,"N/A")))</f>
        <v>0.06</v>
      </c>
      <c r="AB106" s="60">
        <f>IF(Case_Scenario="Bull",AB107,IF(Case_Scenario="Base",AB108,IF(Case_Scenario="bear",AB109,"N/A")))</f>
        <v>0.06</v>
      </c>
      <c r="AC106" s="60">
        <f>IF(Case_Scenario="Bull",AC107,IF(Case_Scenario="Base",AC108,IF(Case_Scenario="bear",AC109,"N/A")))</f>
        <v>0.06</v>
      </c>
      <c r="AD106" s="293"/>
      <c r="AE106" s="59">
        <f>IF(Case_Scenario="Bull",AE107,IF(Case_Scenario="Base",AE108,IF(Case_Scenario="bear",AE109,"N/A")))</f>
        <v>0.05</v>
      </c>
      <c r="AF106" s="59">
        <f>IF(Case_Scenario="Bull",AF107,IF(Case_Scenario="Base",AF108,IF(Case_Scenario="bear",AF109,"N/A")))</f>
        <v>0.05</v>
      </c>
      <c r="AG106" s="59">
        <f>IF(Case_Scenario="Bull",AG107,IF(Case_Scenario="Base",AG108,IF(Case_Scenario="bear",AG109,"N/A")))</f>
        <v>0.05</v>
      </c>
    </row>
    <row r="107" spans="1:35">
      <c r="C107" s="28" t="s">
        <v>217</v>
      </c>
      <c r="F107" s="292"/>
      <c r="G107" s="292"/>
      <c r="H107" s="292"/>
      <c r="I107" s="292"/>
      <c r="J107" s="293"/>
      <c r="K107" s="292"/>
      <c r="L107" s="292"/>
      <c r="M107" s="292"/>
      <c r="N107" s="292"/>
      <c r="O107" s="293"/>
      <c r="P107" s="292"/>
      <c r="Q107" s="292"/>
      <c r="R107" s="292"/>
      <c r="S107" s="292"/>
      <c r="T107" s="293"/>
      <c r="U107" s="292"/>
      <c r="V107" s="270">
        <v>0.06</v>
      </c>
      <c r="W107" s="270">
        <v>0.06</v>
      </c>
      <c r="X107" s="270">
        <v>0.06</v>
      </c>
      <c r="Y107" s="293"/>
      <c r="Z107" s="270">
        <v>0.06</v>
      </c>
      <c r="AA107" s="270">
        <v>0.06</v>
      </c>
      <c r="AB107" s="270">
        <v>0.06</v>
      </c>
      <c r="AC107" s="270">
        <v>0.06</v>
      </c>
      <c r="AD107" s="293"/>
      <c r="AE107" s="271">
        <f>AE108+2%</f>
        <v>7.0000000000000007E-2</v>
      </c>
      <c r="AF107" s="271">
        <f t="shared" ref="AF107:AG107" si="63">AF108+2%</f>
        <v>7.0000000000000007E-2</v>
      </c>
      <c r="AG107" s="271">
        <f t="shared" si="63"/>
        <v>7.0000000000000007E-2</v>
      </c>
    </row>
    <row r="108" spans="1:35">
      <c r="C108" s="28" t="s">
        <v>218</v>
      </c>
      <c r="F108" s="292"/>
      <c r="G108" s="292"/>
      <c r="H108" s="292"/>
      <c r="I108" s="292"/>
      <c r="J108" s="293"/>
      <c r="K108" s="292"/>
      <c r="L108" s="292"/>
      <c r="M108" s="292"/>
      <c r="N108" s="292"/>
      <c r="O108" s="293"/>
      <c r="P108" s="292"/>
      <c r="Q108" s="292"/>
      <c r="R108" s="292"/>
      <c r="S108" s="292"/>
      <c r="T108" s="293"/>
      <c r="U108" s="292"/>
      <c r="V108" s="270">
        <v>0.06</v>
      </c>
      <c r="W108" s="270">
        <v>0.06</v>
      </c>
      <c r="X108" s="270">
        <v>0.06</v>
      </c>
      <c r="Y108" s="293"/>
      <c r="Z108" s="270">
        <v>0.06</v>
      </c>
      <c r="AA108" s="270">
        <v>0.06</v>
      </c>
      <c r="AB108" s="270">
        <v>0.06</v>
      </c>
      <c r="AC108" s="270">
        <v>0.06</v>
      </c>
      <c r="AD108" s="293"/>
      <c r="AE108" s="271">
        <v>0.05</v>
      </c>
      <c r="AF108" s="271">
        <v>0.05</v>
      </c>
      <c r="AG108" s="271">
        <v>0.05</v>
      </c>
    </row>
    <row r="109" spans="1:35">
      <c r="C109" s="28" t="s">
        <v>219</v>
      </c>
      <c r="F109" s="292"/>
      <c r="G109" s="292"/>
      <c r="H109" s="292"/>
      <c r="I109" s="292"/>
      <c r="J109" s="293"/>
      <c r="K109" s="292"/>
      <c r="L109" s="292"/>
      <c r="M109" s="292"/>
      <c r="N109" s="292"/>
      <c r="O109" s="293"/>
      <c r="P109" s="292"/>
      <c r="Q109" s="292"/>
      <c r="R109" s="292"/>
      <c r="S109" s="292"/>
      <c r="T109" s="293"/>
      <c r="U109" s="292"/>
      <c r="V109" s="270">
        <v>0.02</v>
      </c>
      <c r="W109" s="270">
        <v>0.02</v>
      </c>
      <c r="X109" s="270">
        <v>0.02</v>
      </c>
      <c r="Y109" s="293"/>
      <c r="Z109" s="270">
        <v>0.02</v>
      </c>
      <c r="AA109" s="270">
        <v>0.02</v>
      </c>
      <c r="AB109" s="270">
        <v>0.02</v>
      </c>
      <c r="AC109" s="270">
        <v>0.02</v>
      </c>
      <c r="AD109" s="293"/>
      <c r="AE109" s="271">
        <f>AE108-2%</f>
        <v>3.0000000000000002E-2</v>
      </c>
      <c r="AF109" s="271">
        <f t="shared" ref="AF109:AG109" si="64">AF108-2%</f>
        <v>3.0000000000000002E-2</v>
      </c>
      <c r="AG109" s="271">
        <f t="shared" si="64"/>
        <v>3.0000000000000002E-2</v>
      </c>
    </row>
    <row r="110" spans="1:35">
      <c r="F110" s="292"/>
      <c r="G110" s="292"/>
      <c r="H110" s="292"/>
      <c r="I110" s="292"/>
      <c r="J110" s="293"/>
      <c r="K110" s="292"/>
      <c r="L110" s="292"/>
      <c r="M110" s="292"/>
      <c r="N110" s="292"/>
      <c r="O110" s="293"/>
      <c r="P110" s="292"/>
      <c r="Q110" s="292"/>
      <c r="R110" s="292"/>
      <c r="S110" s="292"/>
      <c r="T110" s="293"/>
      <c r="U110" s="292"/>
      <c r="V110" s="270"/>
      <c r="W110" s="270"/>
      <c r="X110" s="270"/>
      <c r="Y110" s="293"/>
      <c r="Z110" s="270"/>
      <c r="AA110" s="270"/>
      <c r="AB110" s="270"/>
      <c r="AC110" s="270"/>
      <c r="AD110" s="293"/>
      <c r="AE110" s="271"/>
      <c r="AF110" s="271"/>
      <c r="AG110" s="271"/>
    </row>
    <row r="111" spans="1:35">
      <c r="C111" s="23" t="str">
        <f>Model!C97</f>
        <v>Change in Noncontrolling Interests</v>
      </c>
      <c r="F111" s="718">
        <f>Model!F97</f>
        <v>0</v>
      </c>
      <c r="G111" s="718">
        <f>Model!G97</f>
        <v>0</v>
      </c>
      <c r="H111" s="718">
        <f>Model!H97</f>
        <v>0</v>
      </c>
      <c r="I111" s="718">
        <f>Model!I97</f>
        <v>0</v>
      </c>
      <c r="J111" s="719">
        <f>Model!J97</f>
        <v>0</v>
      </c>
      <c r="K111" s="718">
        <f>Model!K97</f>
        <v>0</v>
      </c>
      <c r="L111" s="718">
        <f>Model!L97</f>
        <v>0</v>
      </c>
      <c r="M111" s="718">
        <f>Model!M97</f>
        <v>0</v>
      </c>
      <c r="N111" s="718">
        <f>Model!N97</f>
        <v>0</v>
      </c>
      <c r="O111" s="719">
        <f>Model!O97</f>
        <v>0</v>
      </c>
      <c r="P111" s="718">
        <f>Model!P97</f>
        <v>0</v>
      </c>
      <c r="Q111" s="718">
        <f>Model!Q97</f>
        <v>0</v>
      </c>
      <c r="R111" s="718">
        <f>Model!R97</f>
        <v>0</v>
      </c>
      <c r="S111" s="718">
        <f>Model!S97</f>
        <v>0</v>
      </c>
      <c r="T111" s="719">
        <f>Model!T97</f>
        <v>0</v>
      </c>
      <c r="U111" s="718">
        <f>Model!U97</f>
        <v>0</v>
      </c>
      <c r="V111" s="721">
        <v>0</v>
      </c>
      <c r="W111" s="721">
        <v>0</v>
      </c>
      <c r="X111" s="721">
        <v>0</v>
      </c>
      <c r="Y111" s="719">
        <f>Model!Y97</f>
        <v>0</v>
      </c>
      <c r="Z111" s="721">
        <v>0</v>
      </c>
      <c r="AA111" s="721">
        <v>0</v>
      </c>
      <c r="AB111" s="721">
        <v>0</v>
      </c>
      <c r="AC111" s="721">
        <v>0</v>
      </c>
      <c r="AD111" s="719">
        <f>Model!AD97</f>
        <v>0</v>
      </c>
      <c r="AE111" s="722">
        <v>0</v>
      </c>
      <c r="AF111" s="722">
        <v>0</v>
      </c>
      <c r="AG111" s="722">
        <v>0</v>
      </c>
    </row>
    <row r="112" spans="1:35">
      <c r="A112" s="22" t="s">
        <v>1</v>
      </c>
      <c r="F112" s="292"/>
      <c r="G112" s="292"/>
      <c r="H112" s="292"/>
      <c r="I112" s="292"/>
      <c r="J112" s="293"/>
      <c r="K112" s="292"/>
      <c r="L112" s="292"/>
      <c r="M112" s="292"/>
      <c r="N112" s="292"/>
      <c r="O112" s="293"/>
      <c r="P112" s="292"/>
      <c r="Q112" s="292"/>
      <c r="R112" s="292"/>
      <c r="S112" s="292"/>
      <c r="T112" s="293"/>
      <c r="U112" s="292"/>
      <c r="V112" s="270"/>
      <c r="W112" s="270"/>
      <c r="X112" s="270"/>
      <c r="Y112" s="293"/>
      <c r="Z112" s="270"/>
      <c r="AA112" s="270"/>
      <c r="AB112" s="270"/>
      <c r="AC112" s="270"/>
      <c r="AD112" s="293"/>
      <c r="AE112" s="271"/>
      <c r="AF112" s="271"/>
      <c r="AG112" s="271"/>
      <c r="AH112" s="22" t="s">
        <v>1</v>
      </c>
      <c r="AI112" s="22"/>
    </row>
    <row r="113" spans="3:33">
      <c r="C113" s="23" t="str">
        <f>Model!C100</f>
        <v>Effect of FX Rate Changes on Cash</v>
      </c>
      <c r="F113" s="718">
        <f>Model!F100</f>
        <v>0</v>
      </c>
      <c r="G113" s="718">
        <f>Model!G100</f>
        <v>0</v>
      </c>
      <c r="H113" s="718">
        <f>Model!H100</f>
        <v>0</v>
      </c>
      <c r="I113" s="718">
        <f>Model!I100</f>
        <v>0</v>
      </c>
      <c r="J113" s="719">
        <f>Model!J100</f>
        <v>0</v>
      </c>
      <c r="K113" s="718">
        <f>Model!K100</f>
        <v>0</v>
      </c>
      <c r="L113" s="718">
        <f>Model!L100</f>
        <v>0</v>
      </c>
      <c r="M113" s="718">
        <f>Model!M100</f>
        <v>0</v>
      </c>
      <c r="N113" s="718">
        <f>Model!N100</f>
        <v>0</v>
      </c>
      <c r="O113" s="719">
        <f>Model!O100</f>
        <v>0</v>
      </c>
      <c r="P113" s="718">
        <f>Model!P100</f>
        <v>0</v>
      </c>
      <c r="Q113" s="718">
        <f>Model!Q100</f>
        <v>0</v>
      </c>
      <c r="R113" s="718">
        <f>Model!R100</f>
        <v>0</v>
      </c>
      <c r="S113" s="718">
        <f>Model!S100</f>
        <v>0</v>
      </c>
      <c r="T113" s="719">
        <f>Model!T100</f>
        <v>0</v>
      </c>
      <c r="U113" s="718">
        <f>Model!U100</f>
        <v>0</v>
      </c>
      <c r="V113" s="721">
        <v>0</v>
      </c>
      <c r="W113" s="721">
        <v>0</v>
      </c>
      <c r="X113" s="721">
        <v>0</v>
      </c>
      <c r="Y113" s="719">
        <f>Model!Y100</f>
        <v>0</v>
      </c>
      <c r="Z113" s="721">
        <v>0</v>
      </c>
      <c r="AA113" s="721">
        <v>0</v>
      </c>
      <c r="AB113" s="721">
        <v>0</v>
      </c>
      <c r="AC113" s="721">
        <v>0</v>
      </c>
      <c r="AD113" s="719">
        <f>Model!AD100</f>
        <v>0</v>
      </c>
      <c r="AE113" s="722">
        <v>0</v>
      </c>
      <c r="AF113" s="722">
        <v>0</v>
      </c>
      <c r="AG113" s="722">
        <v>0</v>
      </c>
    </row>
    <row r="114" spans="3:33">
      <c r="F114" s="292"/>
      <c r="G114" s="292"/>
      <c r="H114" s="292"/>
      <c r="I114" s="292"/>
      <c r="J114" s="293"/>
      <c r="K114" s="292"/>
      <c r="L114" s="292"/>
      <c r="M114" s="292"/>
      <c r="N114" s="292"/>
      <c r="O114" s="293"/>
      <c r="P114" s="292"/>
      <c r="Q114" s="292"/>
      <c r="R114" s="292"/>
      <c r="S114" s="292"/>
      <c r="T114" s="293"/>
      <c r="U114" s="292"/>
      <c r="V114" s="270"/>
      <c r="W114" s="270"/>
      <c r="X114" s="270"/>
      <c r="Y114" s="293"/>
      <c r="Z114" s="270"/>
      <c r="AA114" s="270"/>
      <c r="AB114" s="270"/>
      <c r="AC114" s="270"/>
      <c r="AD114" s="293"/>
      <c r="AE114" s="271"/>
      <c r="AF114" s="271"/>
      <c r="AG114" s="271"/>
    </row>
    <row r="115" spans="3:33">
      <c r="C115" s="519" t="s">
        <v>247</v>
      </c>
      <c r="D115" s="520"/>
      <c r="E115" s="520"/>
      <c r="F115" s="574" t="str">
        <f>Model!F$25</f>
        <v>1Q23</v>
      </c>
      <c r="G115" s="521" t="str">
        <f>Model!G$25</f>
        <v>2Q23</v>
      </c>
      <c r="H115" s="521" t="str">
        <f>Model!H$25</f>
        <v>3Q23</v>
      </c>
      <c r="I115" s="521" t="str">
        <f>Model!I$25</f>
        <v>4Q23</v>
      </c>
      <c r="J115" s="521">
        <f>Model!J$25</f>
        <v>2023</v>
      </c>
      <c r="K115" s="521" t="str">
        <f>Model!K$25</f>
        <v>1Q24</v>
      </c>
      <c r="L115" s="521" t="str">
        <f>Model!L$25</f>
        <v>2Q24</v>
      </c>
      <c r="M115" s="521" t="str">
        <f>Model!M$25</f>
        <v>3Q24</v>
      </c>
      <c r="N115" s="521" t="str">
        <f>Model!N$25</f>
        <v>4Q24</v>
      </c>
      <c r="O115" s="521">
        <f>Model!O$25</f>
        <v>2024</v>
      </c>
      <c r="P115" s="521" t="str">
        <f>Model!P$25</f>
        <v>1Q25</v>
      </c>
      <c r="Q115" s="521" t="str">
        <f>Model!Q$25</f>
        <v>2Q25</v>
      </c>
      <c r="R115" s="521" t="str">
        <f>Model!R$25</f>
        <v>3Q25</v>
      </c>
      <c r="S115" s="521" t="str">
        <f>Model!S$25</f>
        <v>4Q25</v>
      </c>
      <c r="T115" s="521">
        <f>Model!T$25</f>
        <v>2025</v>
      </c>
      <c r="U115" s="521" t="str">
        <f>Model!U$25</f>
        <v>1Q26</v>
      </c>
      <c r="V115" s="521" t="str">
        <f>Model!V$25</f>
        <v>2Q26e</v>
      </c>
      <c r="W115" s="521" t="str">
        <f>Model!W$25</f>
        <v>3Q26e</v>
      </c>
      <c r="X115" s="521" t="str">
        <f>Model!X$25</f>
        <v>4Q26e</v>
      </c>
      <c r="Y115" s="521" t="str">
        <f>Model!Y$25</f>
        <v>2026e</v>
      </c>
      <c r="Z115" s="521" t="str">
        <f>Model!Z$25</f>
        <v>1Q27e</v>
      </c>
      <c r="AA115" s="521" t="str">
        <f>Model!AA$25</f>
        <v>2Q27e</v>
      </c>
      <c r="AB115" s="521" t="str">
        <f>Model!AB$25</f>
        <v>3Q27e</v>
      </c>
      <c r="AC115" s="521" t="str">
        <f>Model!AC$25</f>
        <v>4Q27e</v>
      </c>
      <c r="AD115" s="521" t="str">
        <f>Model!AD$25</f>
        <v>2027e</v>
      </c>
      <c r="AE115" s="521" t="str">
        <f>Model!AE$25</f>
        <v>2028e</v>
      </c>
      <c r="AF115" s="521" t="str">
        <f>Model!AF$25</f>
        <v>2029e</v>
      </c>
      <c r="AG115" s="524" t="str">
        <f>Model!AG$25</f>
        <v>2030e</v>
      </c>
    </row>
    <row r="116" spans="3:33">
      <c r="C116" s="709" t="s">
        <v>248</v>
      </c>
      <c r="D116" s="710"/>
      <c r="E116" s="710"/>
      <c r="F116" s="723"/>
      <c r="G116" s="724"/>
      <c r="H116" s="724"/>
      <c r="I116" s="724"/>
      <c r="J116" s="724"/>
      <c r="K116" s="724"/>
      <c r="L116" s="724"/>
      <c r="M116" s="724"/>
      <c r="N116" s="724"/>
      <c r="O116" s="724"/>
      <c r="P116" s="724"/>
      <c r="Q116" s="724"/>
      <c r="R116" s="724"/>
      <c r="S116" s="724"/>
      <c r="T116" s="724"/>
      <c r="U116" s="724"/>
      <c r="V116" s="724"/>
      <c r="W116" s="724"/>
      <c r="X116" s="724"/>
      <c r="Y116" s="724"/>
      <c r="Z116" s="724"/>
      <c r="AA116" s="724"/>
      <c r="AB116" s="724"/>
      <c r="AC116" s="724"/>
      <c r="AD116" s="724"/>
      <c r="AE116" s="724"/>
      <c r="AF116" s="724"/>
      <c r="AG116" s="725"/>
    </row>
    <row r="117" spans="3:33">
      <c r="F117" s="292"/>
      <c r="G117" s="292"/>
      <c r="H117" s="292"/>
      <c r="I117" s="292"/>
      <c r="J117" s="293"/>
      <c r="K117" s="292"/>
      <c r="L117" s="292"/>
      <c r="M117" s="292"/>
      <c r="N117" s="292"/>
      <c r="O117" s="293"/>
      <c r="P117" s="292"/>
      <c r="Q117" s="292"/>
      <c r="R117" s="292"/>
      <c r="S117" s="292"/>
      <c r="T117" s="293"/>
      <c r="U117" s="292"/>
      <c r="V117" s="60"/>
      <c r="W117" s="60"/>
      <c r="X117" s="60"/>
      <c r="Y117" s="293"/>
      <c r="Z117" s="60"/>
      <c r="AA117" s="60"/>
      <c r="AB117" s="60"/>
      <c r="AC117" s="60"/>
      <c r="AD117" s="293"/>
      <c r="AE117" s="269"/>
      <c r="AF117" s="269"/>
      <c r="AG117" s="269"/>
    </row>
    <row r="118" spans="3:33">
      <c r="C118" s="23" t="str">
        <f>Model!C184</f>
        <v>Days Sales Outstanding</v>
      </c>
      <c r="F118" s="292"/>
      <c r="G118" s="718">
        <f>Model!G184</f>
        <v>59.769616759332806</v>
      </c>
      <c r="H118" s="718">
        <f>Model!H184</f>
        <v>56.148118745691178</v>
      </c>
      <c r="I118" s="718">
        <f>Model!I184</f>
        <v>44.15731123818415</v>
      </c>
      <c r="J118" s="719">
        <f>Model!J184</f>
        <v>59.375076248656178</v>
      </c>
      <c r="K118" s="718">
        <f>Model!K184</f>
        <v>58.376085250844874</v>
      </c>
      <c r="L118" s="718">
        <f>Model!L184</f>
        <v>49.102923510231278</v>
      </c>
      <c r="M118" s="718">
        <f>Model!M184</f>
        <v>51.999149535494709</v>
      </c>
      <c r="N118" s="718">
        <f>Model!N184</f>
        <v>42.406737959725376</v>
      </c>
      <c r="O118" s="719">
        <f>Model!O184</f>
        <v>51.918527173461413</v>
      </c>
      <c r="P118" s="718">
        <f>Model!P184</f>
        <v>62.622107029535556</v>
      </c>
      <c r="Q118" s="718">
        <f>Model!Q184</f>
        <v>55.653453892415634</v>
      </c>
      <c r="R118" s="718">
        <f>Model!R184</f>
        <v>47.493689256343721</v>
      </c>
      <c r="S118" s="718">
        <f>Model!S184</f>
        <v>41.890554405918763</v>
      </c>
      <c r="T118" s="719">
        <f>Model!T184</f>
        <v>50.668867478126757</v>
      </c>
      <c r="U118" s="718">
        <f>Model!U184</f>
        <v>40.301936351322311</v>
      </c>
      <c r="V118" s="720">
        <f>IF(Case_Scenario="Bull",V119,IF(Case_Scenario="Base",V120,IF(Case_Scenario="bear",V121,"N/A")))</f>
        <v>46</v>
      </c>
      <c r="W118" s="720">
        <f>IF(Case_Scenario="Bull",W119,IF(Case_Scenario="Base",W120,IF(Case_Scenario="bear",W121,"N/A")))</f>
        <v>48</v>
      </c>
      <c r="X118" s="720">
        <f>IF(Case_Scenario="Bull",X119,IF(Case_Scenario="Base",X120,IF(Case_Scenario="bear",X121,"N/A")))</f>
        <v>48</v>
      </c>
      <c r="Y118" s="719">
        <f>Model!Y184</f>
        <v>46.516124100355746</v>
      </c>
      <c r="Z118" s="720">
        <f>IF(Case_Scenario="Bull",Z119,IF(Case_Scenario="Base",Z120,IF(Case_Scenario="bear",Z121,"N/A")))</f>
        <v>46</v>
      </c>
      <c r="AA118" s="720">
        <f>IF(Case_Scenario="Bull",AA119,IF(Case_Scenario="Base",AA120,IF(Case_Scenario="bear",AA121,"N/A")))</f>
        <v>46</v>
      </c>
      <c r="AB118" s="720">
        <f>IF(Case_Scenario="Bull",AB119,IF(Case_Scenario="Base",AB120,IF(Case_Scenario="bear",AB121,"N/A")))</f>
        <v>48</v>
      </c>
      <c r="AC118" s="720">
        <f>IF(Case_Scenario="Bull",AC119,IF(Case_Scenario="Base",AC120,IF(Case_Scenario="bear",AC121,"N/A")))</f>
        <v>48</v>
      </c>
      <c r="AD118" s="719">
        <f>Model!AD184</f>
        <v>56.73720279989319</v>
      </c>
      <c r="AE118" s="726">
        <f>IF(Case_Scenario="Bull",AE119,IF(Case_Scenario="Base",AE120,IF(Case_Scenario="bear",AE121,"N/A")))</f>
        <v>55</v>
      </c>
      <c r="AF118" s="726">
        <f>IF(Case_Scenario="Bull",AF119,IF(Case_Scenario="Base",AF120,IF(Case_Scenario="bear",AF121,"N/A")))</f>
        <v>55</v>
      </c>
      <c r="AG118" s="726">
        <f>IF(Case_Scenario="Bull",AG119,IF(Case_Scenario="Base",AG120,IF(Case_Scenario="bear",AG121,"N/A")))</f>
        <v>55</v>
      </c>
    </row>
    <row r="119" spans="3:33">
      <c r="C119" s="28" t="s">
        <v>217</v>
      </c>
      <c r="F119" s="292"/>
      <c r="G119" s="292"/>
      <c r="H119" s="292"/>
      <c r="I119" s="292"/>
      <c r="J119" s="293"/>
      <c r="K119" s="292"/>
      <c r="L119" s="292"/>
      <c r="M119" s="292"/>
      <c r="N119" s="292"/>
      <c r="O119" s="293"/>
      <c r="P119" s="292"/>
      <c r="Q119" s="292"/>
      <c r="R119" s="292"/>
      <c r="S119" s="292"/>
      <c r="T119" s="293"/>
      <c r="U119" s="292"/>
      <c r="V119" s="306">
        <f t="shared" ref="U119:X119" si="65">V120-2</f>
        <v>44</v>
      </c>
      <c r="W119" s="306">
        <f t="shared" si="65"/>
        <v>46</v>
      </c>
      <c r="X119" s="306">
        <f t="shared" si="65"/>
        <v>46</v>
      </c>
      <c r="Y119" s="293"/>
      <c r="Z119" s="306">
        <f t="shared" ref="Z119" si="66">Z120-2</f>
        <v>44</v>
      </c>
      <c r="AA119" s="306">
        <f t="shared" ref="AA119" si="67">AA120-2</f>
        <v>44</v>
      </c>
      <c r="AB119" s="306">
        <f t="shared" ref="AB119" si="68">AB120-2</f>
        <v>46</v>
      </c>
      <c r="AC119" s="306">
        <f t="shared" ref="AC119" si="69">AC120-2</f>
        <v>46</v>
      </c>
      <c r="AD119" s="293"/>
      <c r="AE119" s="307">
        <f>AE120</f>
        <v>55</v>
      </c>
      <c r="AF119" s="307">
        <f t="shared" ref="AF119:AG119" si="70">AF120</f>
        <v>55</v>
      </c>
      <c r="AG119" s="307">
        <f t="shared" si="70"/>
        <v>55</v>
      </c>
    </row>
    <row r="120" spans="3:33">
      <c r="C120" s="28" t="s">
        <v>218</v>
      </c>
      <c r="F120" s="292"/>
      <c r="G120" s="292"/>
      <c r="H120" s="292"/>
      <c r="I120" s="292"/>
      <c r="J120" s="293"/>
      <c r="K120" s="292"/>
      <c r="L120" s="292"/>
      <c r="M120" s="292"/>
      <c r="N120" s="292"/>
      <c r="O120" s="293"/>
      <c r="P120" s="292"/>
      <c r="Q120" s="292"/>
      <c r="R120" s="292"/>
      <c r="S120" s="292"/>
      <c r="T120" s="293"/>
      <c r="U120" s="292"/>
      <c r="V120" s="306">
        <v>46</v>
      </c>
      <c r="W120" s="306">
        <v>48</v>
      </c>
      <c r="X120" s="306">
        <v>48</v>
      </c>
      <c r="Y120" s="293"/>
      <c r="Z120" s="306">
        <v>46</v>
      </c>
      <c r="AA120" s="306">
        <v>46</v>
      </c>
      <c r="AB120" s="306">
        <v>48</v>
      </c>
      <c r="AC120" s="306">
        <v>48</v>
      </c>
      <c r="AD120" s="293"/>
      <c r="AE120" s="307">
        <v>55</v>
      </c>
      <c r="AF120" s="307">
        <v>55</v>
      </c>
      <c r="AG120" s="307">
        <v>55</v>
      </c>
    </row>
    <row r="121" spans="3:33">
      <c r="C121" s="28" t="s">
        <v>219</v>
      </c>
      <c r="F121" s="292"/>
      <c r="G121" s="292"/>
      <c r="H121" s="292"/>
      <c r="I121" s="292"/>
      <c r="J121" s="293"/>
      <c r="K121" s="292"/>
      <c r="L121" s="292"/>
      <c r="M121" s="292"/>
      <c r="N121" s="292"/>
      <c r="O121" s="293"/>
      <c r="P121" s="292"/>
      <c r="Q121" s="292"/>
      <c r="R121" s="292"/>
      <c r="S121" s="292"/>
      <c r="T121" s="293"/>
      <c r="U121" s="292"/>
      <c r="V121" s="306">
        <f t="shared" ref="U121:X121" si="71">V120+2</f>
        <v>48</v>
      </c>
      <c r="W121" s="306">
        <f t="shared" si="71"/>
        <v>50</v>
      </c>
      <c r="X121" s="306">
        <f t="shared" si="71"/>
        <v>50</v>
      </c>
      <c r="Y121" s="293"/>
      <c r="Z121" s="306">
        <f t="shared" ref="Z121" si="72">Z120+2</f>
        <v>48</v>
      </c>
      <c r="AA121" s="306">
        <f t="shared" ref="AA121" si="73">AA120+2</f>
        <v>48</v>
      </c>
      <c r="AB121" s="306">
        <f t="shared" ref="AB121" si="74">AB120+2</f>
        <v>50</v>
      </c>
      <c r="AC121" s="306">
        <f t="shared" ref="AC121" si="75">AC120+2</f>
        <v>50</v>
      </c>
      <c r="AD121" s="293"/>
      <c r="AE121" s="307">
        <f t="shared" ref="AE121" si="76">AE120+2</f>
        <v>57</v>
      </c>
      <c r="AF121" s="307">
        <f t="shared" ref="AF121" si="77">AF120+2</f>
        <v>57</v>
      </c>
      <c r="AG121" s="307">
        <f t="shared" ref="AG121" si="78">AG120+2</f>
        <v>57</v>
      </c>
    </row>
    <row r="122" spans="3:33">
      <c r="F122" s="292"/>
      <c r="G122" s="292"/>
      <c r="H122" s="292"/>
      <c r="I122" s="292"/>
      <c r="J122" s="293"/>
      <c r="K122" s="292"/>
      <c r="L122" s="292"/>
      <c r="M122" s="292"/>
      <c r="N122" s="292"/>
      <c r="O122" s="293"/>
      <c r="P122" s="292"/>
      <c r="Q122" s="292"/>
      <c r="R122" s="292"/>
      <c r="S122" s="292"/>
      <c r="T122" s="293"/>
      <c r="U122" s="292"/>
      <c r="V122" s="270"/>
      <c r="W122" s="270"/>
      <c r="X122" s="270"/>
      <c r="Y122" s="293"/>
      <c r="Z122" s="270"/>
      <c r="AA122" s="270"/>
      <c r="AB122" s="270"/>
      <c r="AC122" s="270"/>
      <c r="AD122" s="293"/>
      <c r="AE122" s="271"/>
      <c r="AF122" s="271"/>
      <c r="AG122" s="271"/>
    </row>
    <row r="123" spans="3:33" hidden="1" outlineLevel="1">
      <c r="C123" s="23" t="str">
        <f>Model!C185</f>
        <v>Days Inventory Outstanding</v>
      </c>
      <c r="F123" s="292"/>
      <c r="G123" s="718" t="e">
        <f>Model!G185</f>
        <v>#DIV/0!</v>
      </c>
      <c r="H123" s="718" t="e">
        <f>Model!H185</f>
        <v>#DIV/0!</v>
      </c>
      <c r="I123" s="718" t="e">
        <f>Model!I185</f>
        <v>#DIV/0!</v>
      </c>
      <c r="J123" s="719" t="e">
        <f>Model!J185</f>
        <v>#DIV/0!</v>
      </c>
      <c r="K123" s="718" t="e">
        <f>Model!K185</f>
        <v>#DIV/0!</v>
      </c>
      <c r="L123" s="718" t="e">
        <f>Model!L185</f>
        <v>#DIV/0!</v>
      </c>
      <c r="M123" s="718" t="e">
        <f>Model!M185</f>
        <v>#DIV/0!</v>
      </c>
      <c r="N123" s="718" t="e">
        <f>Model!N185</f>
        <v>#DIV/0!</v>
      </c>
      <c r="O123" s="719" t="e">
        <f>Model!O185</f>
        <v>#DIV/0!</v>
      </c>
      <c r="P123" s="718" t="e">
        <f>Model!P185</f>
        <v>#DIV/0!</v>
      </c>
      <c r="Q123" s="718" t="e">
        <f>Model!Q185</f>
        <v>#DIV/0!</v>
      </c>
      <c r="R123" s="718" t="e">
        <f>Model!R185</f>
        <v>#DIV/0!</v>
      </c>
      <c r="S123" s="718" t="e">
        <f>Model!S185</f>
        <v>#DIV/0!</v>
      </c>
      <c r="T123" s="719" t="e">
        <f>Model!T185</f>
        <v>#DIV/0!</v>
      </c>
      <c r="U123" s="718" t="e">
        <f>Model!U185</f>
        <v>#DIV/0!</v>
      </c>
      <c r="V123" s="720">
        <f>IF(Case_Scenario="Bull",V124,IF(Case_Scenario="Base",V125,IF(Case_Scenario="bear",V126,"N/A")))</f>
        <v>0</v>
      </c>
      <c r="W123" s="720">
        <f>IF(Case_Scenario="Bull",W124,IF(Case_Scenario="Base",W125,IF(Case_Scenario="bear",W126,"N/A")))</f>
        <v>0</v>
      </c>
      <c r="X123" s="720">
        <f>IF(Case_Scenario="Bull",X124,IF(Case_Scenario="Base",X125,IF(Case_Scenario="bear",X126,"N/A")))</f>
        <v>0</v>
      </c>
      <c r="Y123" s="719" t="e">
        <f>Model!Y185</f>
        <v>#DIV/0!</v>
      </c>
      <c r="Z123" s="720">
        <f>IF(Case_Scenario="Bull",Z124,IF(Case_Scenario="Base",Z125,IF(Case_Scenario="bear",Z126,"N/A")))</f>
        <v>0</v>
      </c>
      <c r="AA123" s="720">
        <f>IF(Case_Scenario="Bull",AA124,IF(Case_Scenario="Base",AA125,IF(Case_Scenario="bear",AA126,"N/A")))</f>
        <v>0</v>
      </c>
      <c r="AB123" s="720">
        <f>IF(Case_Scenario="Bull",AB124,IF(Case_Scenario="Base",AB125,IF(Case_Scenario="bear",AB126,"N/A")))</f>
        <v>0</v>
      </c>
      <c r="AC123" s="720">
        <f>IF(Case_Scenario="Bull",AC124,IF(Case_Scenario="Base",AC125,IF(Case_Scenario="bear",AC126,"N/A")))</f>
        <v>0</v>
      </c>
      <c r="AD123" s="719" t="e">
        <f>Model!AD185</f>
        <v>#DIV/0!</v>
      </c>
      <c r="AE123" s="726">
        <f>IF(Case_Scenario="Bull",AE124,IF(Case_Scenario="Base",AE125,IF(Case_Scenario="bear",AE126,"N/A")))</f>
        <v>0</v>
      </c>
      <c r="AF123" s="726">
        <f>IF(Case_Scenario="Bull",AF124,IF(Case_Scenario="Base",AF125,IF(Case_Scenario="bear",AF126,"N/A")))</f>
        <v>0</v>
      </c>
      <c r="AG123" s="726">
        <f>IF(Case_Scenario="Bull",AG124,IF(Case_Scenario="Base",AG125,IF(Case_Scenario="bear",AG126,"N/A")))</f>
        <v>0</v>
      </c>
    </row>
    <row r="124" spans="3:33" hidden="1" outlineLevel="1">
      <c r="C124" s="28" t="s">
        <v>217</v>
      </c>
      <c r="F124" s="292"/>
      <c r="G124" s="292"/>
      <c r="H124" s="292"/>
      <c r="I124" s="292"/>
      <c r="J124" s="293"/>
      <c r="K124" s="292"/>
      <c r="L124" s="292"/>
      <c r="M124" s="292"/>
      <c r="N124" s="292"/>
      <c r="O124" s="293"/>
      <c r="P124" s="292"/>
      <c r="Q124" s="292"/>
      <c r="R124" s="292"/>
      <c r="S124" s="292"/>
      <c r="T124" s="293"/>
      <c r="U124" s="292"/>
      <c r="V124" s="306">
        <v>0</v>
      </c>
      <c r="W124" s="306">
        <v>0</v>
      </c>
      <c r="X124" s="306">
        <v>0</v>
      </c>
      <c r="Y124" s="293"/>
      <c r="Z124" s="306">
        <v>0</v>
      </c>
      <c r="AA124" s="306">
        <v>0</v>
      </c>
      <c r="AB124" s="306">
        <v>0</v>
      </c>
      <c r="AC124" s="306">
        <v>0</v>
      </c>
      <c r="AD124" s="293"/>
      <c r="AE124" s="307">
        <v>0</v>
      </c>
      <c r="AF124" s="307">
        <v>0</v>
      </c>
      <c r="AG124" s="307">
        <v>0</v>
      </c>
    </row>
    <row r="125" spans="3:33" hidden="1" outlineLevel="1">
      <c r="C125" s="28" t="s">
        <v>218</v>
      </c>
      <c r="F125" s="292"/>
      <c r="G125" s="292"/>
      <c r="H125" s="292"/>
      <c r="I125" s="292"/>
      <c r="J125" s="293"/>
      <c r="K125" s="292"/>
      <c r="L125" s="292"/>
      <c r="M125" s="292"/>
      <c r="N125" s="292"/>
      <c r="O125" s="293"/>
      <c r="P125" s="292"/>
      <c r="Q125" s="292"/>
      <c r="R125" s="292"/>
      <c r="S125" s="292"/>
      <c r="T125" s="293"/>
      <c r="U125" s="292"/>
      <c r="V125" s="306">
        <v>0</v>
      </c>
      <c r="W125" s="306">
        <v>0</v>
      </c>
      <c r="X125" s="306">
        <v>0</v>
      </c>
      <c r="Y125" s="293"/>
      <c r="Z125" s="306">
        <v>0</v>
      </c>
      <c r="AA125" s="306">
        <v>0</v>
      </c>
      <c r="AB125" s="306">
        <v>0</v>
      </c>
      <c r="AC125" s="306">
        <v>0</v>
      </c>
      <c r="AD125" s="293"/>
      <c r="AE125" s="307">
        <v>0</v>
      </c>
      <c r="AF125" s="307">
        <v>0</v>
      </c>
      <c r="AG125" s="307">
        <v>0</v>
      </c>
    </row>
    <row r="126" spans="3:33" hidden="1" outlineLevel="1">
      <c r="C126" s="28" t="s">
        <v>219</v>
      </c>
      <c r="F126" s="292"/>
      <c r="G126" s="292"/>
      <c r="H126" s="292"/>
      <c r="I126" s="292"/>
      <c r="J126" s="293"/>
      <c r="K126" s="292"/>
      <c r="L126" s="292"/>
      <c r="M126" s="292"/>
      <c r="N126" s="292"/>
      <c r="O126" s="293"/>
      <c r="P126" s="292"/>
      <c r="Q126" s="292"/>
      <c r="R126" s="292"/>
      <c r="S126" s="292"/>
      <c r="T126" s="293"/>
      <c r="U126" s="292"/>
      <c r="V126" s="306">
        <v>0</v>
      </c>
      <c r="W126" s="306">
        <v>0</v>
      </c>
      <c r="X126" s="306">
        <v>0</v>
      </c>
      <c r="Y126" s="293"/>
      <c r="Z126" s="306">
        <v>0</v>
      </c>
      <c r="AA126" s="306">
        <v>0</v>
      </c>
      <c r="AB126" s="306">
        <v>0</v>
      </c>
      <c r="AC126" s="306">
        <v>0</v>
      </c>
      <c r="AD126" s="293"/>
      <c r="AE126" s="307">
        <v>0</v>
      </c>
      <c r="AF126" s="307">
        <v>0</v>
      </c>
      <c r="AG126" s="307">
        <v>0</v>
      </c>
    </row>
    <row r="127" spans="3:33" hidden="1" outlineLevel="1">
      <c r="F127" s="292"/>
      <c r="G127" s="292"/>
      <c r="H127" s="292"/>
      <c r="I127" s="292"/>
      <c r="J127" s="293"/>
      <c r="K127" s="292"/>
      <c r="L127" s="292"/>
      <c r="M127" s="292"/>
      <c r="N127" s="292"/>
      <c r="O127" s="293"/>
      <c r="P127" s="292"/>
      <c r="Q127" s="292"/>
      <c r="R127" s="292"/>
      <c r="S127" s="292"/>
      <c r="T127" s="293"/>
      <c r="U127" s="292"/>
      <c r="V127" s="270"/>
      <c r="W127" s="270"/>
      <c r="X127" s="270"/>
      <c r="Y127" s="293"/>
      <c r="Z127" s="270"/>
      <c r="AA127" s="270"/>
      <c r="AB127" s="270"/>
      <c r="AC127" s="270"/>
      <c r="AD127" s="293"/>
      <c r="AE127" s="271"/>
      <c r="AF127" s="271"/>
      <c r="AG127" s="271"/>
    </row>
    <row r="128" spans="3:33" collapsed="1">
      <c r="C128" s="23" t="str">
        <f>Model!C188</f>
        <v>Prepaid &amp; Other Current Assets as a % of Sales</v>
      </c>
      <c r="F128" s="292">
        <f>Model!F188</f>
        <v>0.3973168272851258</v>
      </c>
      <c r="G128" s="292">
        <f>Model!G188</f>
        <v>0.55410444797458303</v>
      </c>
      <c r="H128" s="292">
        <f>Model!H188</f>
        <v>0.55658691443652897</v>
      </c>
      <c r="I128" s="292">
        <f>Model!I188</f>
        <v>0.51087432199992899</v>
      </c>
      <c r="J128" s="293">
        <f>Model!J188</f>
        <v>0.65951996711789496</v>
      </c>
      <c r="K128" s="292">
        <f>Model!K188</f>
        <v>0.42376150207776714</v>
      </c>
      <c r="L128" s="292">
        <f>Model!L188</f>
        <v>0.44177387790537531</v>
      </c>
      <c r="M128" s="292">
        <f>Model!M188</f>
        <v>0.50743953305706779</v>
      </c>
      <c r="N128" s="292">
        <f>Model!N188</f>
        <v>0.42362063244940151</v>
      </c>
      <c r="O128" s="293">
        <f>Model!O188</f>
        <v>0.55393458932351614</v>
      </c>
      <c r="P128" s="292">
        <f>Model!P188</f>
        <v>0.3526702306937407</v>
      </c>
      <c r="Q128" s="292">
        <f>Model!Q188</f>
        <v>0.38773805546274642</v>
      </c>
      <c r="R128" s="292">
        <f>Model!R188</f>
        <v>0.4127060002256227</v>
      </c>
      <c r="S128" s="292">
        <f>Model!S188</f>
        <v>0.34944793019117554</v>
      </c>
      <c r="T128" s="293">
        <f>Model!T188</f>
        <v>0.46725148218440632</v>
      </c>
      <c r="U128" s="292">
        <f>Model!U188</f>
        <v>0.2148103599579855</v>
      </c>
      <c r="V128" s="60">
        <f>IF(Case_Scenario="Bull",V129,IF(Case_Scenario="Base",V130,IF(Case_Scenario="bear",V131,"N/A")))</f>
        <v>0.38</v>
      </c>
      <c r="W128" s="60">
        <f>IF(Case_Scenario="Bull",W129,IF(Case_Scenario="Base",W130,IF(Case_Scenario="bear",W131,"N/A")))</f>
        <v>0.38</v>
      </c>
      <c r="X128" s="60">
        <f>IF(Case_Scenario="Bull",X129,IF(Case_Scenario="Base",X130,IF(Case_Scenario="bear",X131,"N/A")))</f>
        <v>0.38</v>
      </c>
      <c r="Y128" s="293">
        <f>Model!Y188</f>
        <v>0.47423833278089012</v>
      </c>
      <c r="Z128" s="60">
        <f>IF(Case_Scenario="Bull",Z129,IF(Case_Scenario="Base",Z130,IF(Case_Scenario="bear",Z131,"N/A")))</f>
        <v>0.38</v>
      </c>
      <c r="AA128" s="60">
        <f>IF(Case_Scenario="Bull",AA129,IF(Case_Scenario="Base",AA130,IF(Case_Scenario="bear",AA131,"N/A")))</f>
        <v>0.38</v>
      </c>
      <c r="AB128" s="60">
        <f>IF(Case_Scenario="Bull",AB129,IF(Case_Scenario="Base",AB130,IF(Case_Scenario="bear",AB131,"N/A")))</f>
        <v>0.38</v>
      </c>
      <c r="AC128" s="60">
        <f>IF(Case_Scenario="Bull",AC129,IF(Case_Scenario="Base",AC130,IF(Case_Scenario="bear",AC131,"N/A")))</f>
        <v>0.38</v>
      </c>
      <c r="AD128" s="293">
        <f>Model!AD188</f>
        <v>0.48399734750271878</v>
      </c>
      <c r="AE128" s="59">
        <f>IF(Case_Scenario="Bull",AE129,IF(Case_Scenario="Base",AE130,IF(Case_Scenario="bear",AE131,"N/A")))</f>
        <v>0.75</v>
      </c>
      <c r="AF128" s="59">
        <f>IF(Case_Scenario="Bull",AF129,IF(Case_Scenario="Base",AF130,IF(Case_Scenario="bear",AF131,"N/A")))</f>
        <v>0.8</v>
      </c>
      <c r="AG128" s="59">
        <f>IF(Case_Scenario="Bull",AG129,IF(Case_Scenario="Base",AG130,IF(Case_Scenario="bear",AG131,"N/A")))</f>
        <v>0.85</v>
      </c>
    </row>
    <row r="129" spans="3:34">
      <c r="C129" s="28" t="s">
        <v>217</v>
      </c>
      <c r="F129" s="292"/>
      <c r="G129" s="292"/>
      <c r="H129" s="292"/>
      <c r="I129" s="292"/>
      <c r="J129" s="293"/>
      <c r="K129" s="292"/>
      <c r="L129" s="292"/>
      <c r="M129" s="292"/>
      <c r="N129" s="292"/>
      <c r="O129" s="293"/>
      <c r="P129" s="292"/>
      <c r="Q129" s="292"/>
      <c r="R129" s="292"/>
      <c r="S129" s="292"/>
      <c r="T129" s="293"/>
      <c r="U129" s="292"/>
      <c r="V129" s="270">
        <f t="shared" ref="U129:X129" si="79">V130-2%</f>
        <v>0.36</v>
      </c>
      <c r="W129" s="270">
        <f t="shared" si="79"/>
        <v>0.36</v>
      </c>
      <c r="X129" s="270">
        <f t="shared" si="79"/>
        <v>0.36</v>
      </c>
      <c r="Y129" s="293"/>
      <c r="Z129" s="270">
        <f t="shared" ref="Z129" si="80">Z130-2%</f>
        <v>0.36</v>
      </c>
      <c r="AA129" s="270">
        <f t="shared" ref="AA129" si="81">AA130-2%</f>
        <v>0.36</v>
      </c>
      <c r="AB129" s="270">
        <f t="shared" ref="AB129" si="82">AB130-2%</f>
        <v>0.36</v>
      </c>
      <c r="AC129" s="270">
        <f t="shared" ref="AC129" si="83">AC130-2%</f>
        <v>0.36</v>
      </c>
      <c r="AD129" s="293"/>
      <c r="AE129" s="271">
        <f>AE130</f>
        <v>0.75</v>
      </c>
      <c r="AF129" s="271">
        <f t="shared" ref="AF129:AG129" si="84">AF130</f>
        <v>0.8</v>
      </c>
      <c r="AG129" s="271">
        <f t="shared" si="84"/>
        <v>0.85</v>
      </c>
    </row>
    <row r="130" spans="3:34">
      <c r="C130" s="28" t="s">
        <v>218</v>
      </c>
      <c r="F130" s="292"/>
      <c r="G130" s="292"/>
      <c r="H130" s="292"/>
      <c r="I130" s="292"/>
      <c r="J130" s="293"/>
      <c r="K130" s="292"/>
      <c r="L130" s="292"/>
      <c r="M130" s="292"/>
      <c r="N130" s="292"/>
      <c r="O130" s="293"/>
      <c r="P130" s="292"/>
      <c r="Q130" s="292"/>
      <c r="R130" s="292"/>
      <c r="S130" s="292"/>
      <c r="T130" s="293"/>
      <c r="U130" s="292"/>
      <c r="V130" s="270">
        <v>0.38</v>
      </c>
      <c r="W130" s="270">
        <v>0.38</v>
      </c>
      <c r="X130" s="270">
        <v>0.38</v>
      </c>
      <c r="Y130" s="293"/>
      <c r="Z130" s="270">
        <v>0.38</v>
      </c>
      <c r="AA130" s="270">
        <v>0.38</v>
      </c>
      <c r="AB130" s="270">
        <v>0.38</v>
      </c>
      <c r="AC130" s="270">
        <v>0.38</v>
      </c>
      <c r="AD130" s="293"/>
      <c r="AE130" s="271">
        <v>0.75</v>
      </c>
      <c r="AF130" s="271">
        <v>0.8</v>
      </c>
      <c r="AG130" s="271">
        <v>0.85</v>
      </c>
    </row>
    <row r="131" spans="3:34">
      <c r="C131" s="28" t="s">
        <v>219</v>
      </c>
      <c r="F131" s="292"/>
      <c r="G131" s="292"/>
      <c r="H131" s="292"/>
      <c r="I131" s="292"/>
      <c r="J131" s="293"/>
      <c r="K131" s="292"/>
      <c r="L131" s="292"/>
      <c r="M131" s="292"/>
      <c r="N131" s="292"/>
      <c r="O131" s="293"/>
      <c r="P131" s="292"/>
      <c r="Q131" s="292"/>
      <c r="R131" s="292"/>
      <c r="S131" s="292"/>
      <c r="T131" s="293"/>
      <c r="U131" s="292"/>
      <c r="V131" s="270">
        <f t="shared" ref="U131:X131" si="85">V130+2%</f>
        <v>0.4</v>
      </c>
      <c r="W131" s="270">
        <f t="shared" si="85"/>
        <v>0.4</v>
      </c>
      <c r="X131" s="270">
        <f t="shared" si="85"/>
        <v>0.4</v>
      </c>
      <c r="Y131" s="293"/>
      <c r="Z131" s="270">
        <f t="shared" ref="Z131" si="86">Z130+2%</f>
        <v>0.4</v>
      </c>
      <c r="AA131" s="270">
        <f t="shared" ref="AA131" si="87">AA130+2%</f>
        <v>0.4</v>
      </c>
      <c r="AB131" s="270">
        <f t="shared" ref="AB131" si="88">AB130+2%</f>
        <v>0.4</v>
      </c>
      <c r="AC131" s="270">
        <f t="shared" ref="AC131" si="89">AC130+2%</f>
        <v>0.4</v>
      </c>
      <c r="AD131" s="293"/>
      <c r="AE131" s="271">
        <f t="shared" ref="AE131" si="90">AE130+2%</f>
        <v>0.77</v>
      </c>
      <c r="AF131" s="271">
        <f t="shared" ref="AF131" si="91">AF130+2%</f>
        <v>0.82000000000000006</v>
      </c>
      <c r="AG131" s="271">
        <f t="shared" ref="AG131" si="92">AG130+2%</f>
        <v>0.87</v>
      </c>
    </row>
    <row r="132" spans="3:34">
      <c r="C132" s="28"/>
      <c r="F132" s="292"/>
      <c r="G132" s="292"/>
      <c r="H132" s="292"/>
      <c r="I132" s="292"/>
      <c r="J132" s="293"/>
      <c r="K132" s="292"/>
      <c r="L132" s="292"/>
      <c r="M132" s="292"/>
      <c r="N132" s="292"/>
      <c r="O132" s="293"/>
      <c r="P132" s="292"/>
      <c r="Q132" s="292"/>
      <c r="R132" s="292"/>
      <c r="S132" s="292"/>
      <c r="T132" s="293"/>
      <c r="U132" s="292"/>
      <c r="V132" s="270"/>
      <c r="W132" s="270"/>
      <c r="X132" s="270"/>
      <c r="Y132" s="293"/>
      <c r="Z132" s="270"/>
      <c r="AA132" s="270"/>
      <c r="AB132" s="270"/>
      <c r="AC132" s="270"/>
      <c r="AD132" s="293"/>
      <c r="AE132" s="271"/>
      <c r="AF132" s="271"/>
      <c r="AG132" s="271"/>
    </row>
    <row r="133" spans="3:34">
      <c r="C133" s="23" t="str">
        <f>Model!C234</f>
        <v>% Change in LT Assets</v>
      </c>
      <c r="F133" s="292" t="e">
        <f>Model!F234</f>
        <v>#DIV/0!</v>
      </c>
      <c r="G133" s="292">
        <f>Model!G234</f>
        <v>0.20101745445203534</v>
      </c>
      <c r="H133" s="292">
        <f>Model!H234</f>
        <v>3.0875589791294011E-2</v>
      </c>
      <c r="I133" s="292">
        <f>Model!I234</f>
        <v>6.9041228096631269E-3</v>
      </c>
      <c r="J133" s="293" t="e">
        <f>Model!J234</f>
        <v>#DIV/0!</v>
      </c>
      <c r="K133" s="292">
        <f>Model!K234</f>
        <v>-1.1202327208595708E-2</v>
      </c>
      <c r="L133" s="292">
        <f>Model!L234</f>
        <v>-1.5348395367491552E-2</v>
      </c>
      <c r="M133" s="292">
        <f>Model!M234</f>
        <v>1.290130452813143E-2</v>
      </c>
      <c r="N133" s="292">
        <f>Model!N234</f>
        <v>0.11389295541935218</v>
      </c>
      <c r="O133" s="293">
        <f>Model!O234</f>
        <v>9.8501404184758057E-2</v>
      </c>
      <c r="P133" s="292">
        <f>Model!P234</f>
        <v>2.2903119553433271E-2</v>
      </c>
      <c r="Q133" s="292">
        <f>Model!Q234</f>
        <v>5.0401925231990941E-3</v>
      </c>
      <c r="R133" s="292">
        <f>Model!R234</f>
        <v>2.2877439560019752E-2</v>
      </c>
      <c r="S133" s="292">
        <f>Model!S234</f>
        <v>0.11912748197379663</v>
      </c>
      <c r="T133" s="293">
        <f>Model!T234</f>
        <v>0.17684995124675251</v>
      </c>
      <c r="U133" s="292">
        <f>Model!U234</f>
        <v>-1.4504976325498631E-2</v>
      </c>
      <c r="V133" s="60">
        <f>IF(Case_Scenario="Bull",V134,IF(Case_Scenario="Base",V135,IF(Case_Scenario="bear",V136,"N/A")))</f>
        <v>1E-3</v>
      </c>
      <c r="W133" s="60">
        <f>IF(Case_Scenario="Bull",W134,IF(Case_Scenario="Base",W135,IF(Case_Scenario="bear",W136,"N/A")))</f>
        <v>3.0000000000000001E-3</v>
      </c>
      <c r="X133" s="60">
        <f>IF(Case_Scenario="Bull",X134,IF(Case_Scenario="Base",X135,IF(Case_Scenario="bear",X136,"N/A")))</f>
        <v>1E-3</v>
      </c>
      <c r="Y133" s="293">
        <f>Model!Y234</f>
        <v>-9.5705997854758085E-3</v>
      </c>
      <c r="Z133" s="60">
        <f>IF(Case_Scenario="Bull",Z134,IF(Case_Scenario="Base",Z135,IF(Case_Scenario="bear",Z136,"N/A")))</f>
        <v>1E-3</v>
      </c>
      <c r="AA133" s="60">
        <f>IF(Case_Scenario="Bull",AA134,IF(Case_Scenario="Base",AA135,IF(Case_Scenario="bear",AA136,"N/A")))</f>
        <v>1E-3</v>
      </c>
      <c r="AB133" s="60">
        <f>IF(Case_Scenario="Bull",AB134,IF(Case_Scenario="Base",AB135,IF(Case_Scenario="bear",AB136,"N/A")))</f>
        <v>3.0000000000000001E-3</v>
      </c>
      <c r="AC133" s="60">
        <f>IF(Case_Scenario="Bull",AC134,IF(Case_Scenario="Base",AC135,IF(Case_Scenario="bear",AC136,"N/A")))</f>
        <v>1E-3</v>
      </c>
      <c r="AD133" s="293">
        <f>Model!AD234</f>
        <v>6.0120100029994461E-3</v>
      </c>
      <c r="AE133" s="59">
        <f>IF(Case_Scenario="Bull",AE134,IF(Case_Scenario="Base",AE135,IF(Case_Scenario="bear",AE136,"N/A")))</f>
        <v>5.0000000000000001E-3</v>
      </c>
      <c r="AF133" s="59">
        <f>IF(Case_Scenario="Bull",AF134,IF(Case_Scenario="Base",AF135,IF(Case_Scenario="bear",AF136,"N/A")))</f>
        <v>5.0000000000000001E-3</v>
      </c>
      <c r="AG133" s="59">
        <f>IF(Case_Scenario="Bull",AG134,IF(Case_Scenario="Base",AG135,IF(Case_Scenario="bear",AG136,"N/A")))</f>
        <v>5.0000000000000001E-3</v>
      </c>
    </row>
    <row r="134" spans="3:34">
      <c r="C134" s="28" t="s">
        <v>217</v>
      </c>
      <c r="F134" s="292"/>
      <c r="G134" s="292"/>
      <c r="H134" s="292"/>
      <c r="I134" s="292"/>
      <c r="J134" s="293"/>
      <c r="K134" s="292"/>
      <c r="L134" s="292"/>
      <c r="M134" s="292"/>
      <c r="N134" s="292"/>
      <c r="O134" s="293"/>
      <c r="P134" s="292"/>
      <c r="Q134" s="292"/>
      <c r="R134" s="292"/>
      <c r="S134" s="292"/>
      <c r="T134" s="293"/>
      <c r="U134" s="292"/>
      <c r="V134" s="270">
        <v>1E-3</v>
      </c>
      <c r="W134" s="270">
        <v>1E-3</v>
      </c>
      <c r="X134" s="270">
        <v>1E-3</v>
      </c>
      <c r="Y134" s="293"/>
      <c r="Z134" s="270">
        <v>1E-3</v>
      </c>
      <c r="AA134" s="270">
        <v>1E-3</v>
      </c>
      <c r="AB134" s="270">
        <v>1E-3</v>
      </c>
      <c r="AC134" s="270">
        <v>1E-3</v>
      </c>
      <c r="AD134" s="293"/>
      <c r="AE134" s="271">
        <v>4.0000000000000001E-3</v>
      </c>
      <c r="AF134" s="271">
        <v>1E-3</v>
      </c>
      <c r="AG134" s="271">
        <v>1E-3</v>
      </c>
      <c r="AH134" s="23">
        <f t="shared" ref="AH134" si="93">AH135+0.001</f>
        <v>1E-3</v>
      </c>
    </row>
    <row r="135" spans="3:34">
      <c r="C135" s="28" t="s">
        <v>218</v>
      </c>
      <c r="F135" s="292"/>
      <c r="G135" s="292"/>
      <c r="H135" s="292"/>
      <c r="I135" s="292"/>
      <c r="J135" s="293"/>
      <c r="K135" s="292"/>
      <c r="L135" s="292"/>
      <c r="M135" s="292"/>
      <c r="N135" s="292"/>
      <c r="O135" s="293"/>
      <c r="P135" s="292"/>
      <c r="Q135" s="292"/>
      <c r="R135" s="292"/>
      <c r="S135" s="292"/>
      <c r="T135" s="293"/>
      <c r="U135" s="292"/>
      <c r="V135" s="270">
        <v>1E-3</v>
      </c>
      <c r="W135" s="270">
        <v>3.0000000000000001E-3</v>
      </c>
      <c r="X135" s="270">
        <v>1E-3</v>
      </c>
      <c r="Y135" s="293"/>
      <c r="Z135" s="270">
        <v>1E-3</v>
      </c>
      <c r="AA135" s="270">
        <v>1E-3</v>
      </c>
      <c r="AB135" s="270">
        <v>3.0000000000000001E-3</v>
      </c>
      <c r="AC135" s="270">
        <v>1E-3</v>
      </c>
      <c r="AD135" s="293"/>
      <c r="AE135" s="271">
        <v>5.0000000000000001E-3</v>
      </c>
      <c r="AF135" s="271">
        <v>5.0000000000000001E-3</v>
      </c>
      <c r="AG135" s="271">
        <v>5.0000000000000001E-3</v>
      </c>
    </row>
    <row r="136" spans="3:34">
      <c r="C136" s="28" t="s">
        <v>219</v>
      </c>
      <c r="F136" s="292"/>
      <c r="G136" s="292"/>
      <c r="H136" s="292"/>
      <c r="I136" s="292"/>
      <c r="J136" s="293"/>
      <c r="K136" s="292"/>
      <c r="L136" s="292"/>
      <c r="M136" s="292"/>
      <c r="N136" s="292"/>
      <c r="O136" s="293"/>
      <c r="P136" s="292"/>
      <c r="Q136" s="292"/>
      <c r="R136" s="292"/>
      <c r="S136" s="292"/>
      <c r="T136" s="293"/>
      <c r="U136" s="292"/>
      <c r="V136" s="270">
        <v>3.0000000000000001E-3</v>
      </c>
      <c r="W136" s="270">
        <v>3.0000000000000001E-3</v>
      </c>
      <c r="X136" s="270">
        <v>3.0000000000000001E-3</v>
      </c>
      <c r="Y136" s="293"/>
      <c r="Z136" s="270">
        <v>3.0000000000000001E-3</v>
      </c>
      <c r="AA136" s="270">
        <v>3.0000000000000001E-3</v>
      </c>
      <c r="AB136" s="270">
        <v>3.0000000000000001E-3</v>
      </c>
      <c r="AC136" s="270">
        <v>3.0000000000000001E-3</v>
      </c>
      <c r="AD136" s="293"/>
      <c r="AE136" s="271">
        <v>0.01</v>
      </c>
      <c r="AF136" s="271">
        <v>0.01</v>
      </c>
      <c r="AG136" s="271">
        <v>0.01</v>
      </c>
      <c r="AH136" s="23">
        <f t="shared" ref="AH136" si="94">AH135-0.001</f>
        <v>-1E-3</v>
      </c>
    </row>
    <row r="137" spans="3:34">
      <c r="F137" s="292"/>
      <c r="G137" s="292"/>
      <c r="H137" s="292"/>
      <c r="I137" s="292"/>
      <c r="J137" s="293"/>
      <c r="K137" s="292"/>
      <c r="L137" s="292"/>
      <c r="M137" s="292"/>
      <c r="N137" s="292"/>
      <c r="O137" s="293"/>
      <c r="P137" s="292"/>
      <c r="Q137" s="292"/>
      <c r="R137" s="292"/>
      <c r="S137" s="292"/>
      <c r="T137" s="293"/>
      <c r="U137" s="292"/>
      <c r="V137" s="270"/>
      <c r="W137" s="270"/>
      <c r="X137" s="270"/>
      <c r="Y137" s="293"/>
      <c r="Z137" s="270"/>
      <c r="AA137" s="270"/>
      <c r="AB137" s="270"/>
      <c r="AC137" s="270"/>
      <c r="AD137" s="293"/>
      <c r="AE137" s="271"/>
      <c r="AF137" s="271"/>
      <c r="AG137" s="271"/>
    </row>
    <row r="138" spans="3:34">
      <c r="C138" s="543" t="s">
        <v>249</v>
      </c>
      <c r="D138" s="544"/>
      <c r="E138" s="544"/>
      <c r="F138" s="715"/>
      <c r="G138" s="716"/>
      <c r="H138" s="716"/>
      <c r="I138" s="716"/>
      <c r="J138" s="716"/>
      <c r="K138" s="716"/>
      <c r="L138" s="716"/>
      <c r="M138" s="716"/>
      <c r="N138" s="716"/>
      <c r="O138" s="716"/>
      <c r="P138" s="716"/>
      <c r="Q138" s="716"/>
      <c r="R138" s="716"/>
      <c r="S138" s="716"/>
      <c r="T138" s="716"/>
      <c r="U138" s="716"/>
      <c r="V138" s="716"/>
      <c r="W138" s="716"/>
      <c r="X138" s="716"/>
      <c r="Y138" s="716"/>
      <c r="Z138" s="716"/>
      <c r="AA138" s="716"/>
      <c r="AB138" s="716"/>
      <c r="AC138" s="716"/>
      <c r="AD138" s="716"/>
      <c r="AE138" s="716"/>
      <c r="AF138" s="716"/>
      <c r="AG138" s="717"/>
    </row>
    <row r="139" spans="3:34">
      <c r="F139" s="292"/>
      <c r="G139" s="292"/>
      <c r="H139" s="292"/>
      <c r="I139" s="292"/>
      <c r="J139" s="293"/>
      <c r="K139" s="292"/>
      <c r="L139" s="292"/>
      <c r="M139" s="292"/>
      <c r="N139" s="292"/>
      <c r="O139" s="293"/>
      <c r="P139" s="292"/>
      <c r="Q139" s="292"/>
      <c r="R139" s="292"/>
      <c r="S139" s="292"/>
      <c r="T139" s="293"/>
      <c r="U139" s="292"/>
      <c r="V139" s="60"/>
      <c r="W139" s="60"/>
      <c r="X139" s="60"/>
      <c r="Y139" s="293"/>
      <c r="Z139" s="60"/>
      <c r="AA139" s="60"/>
      <c r="AB139" s="60"/>
      <c r="AC139" s="60"/>
      <c r="AD139" s="293"/>
      <c r="AE139" s="269"/>
      <c r="AF139" s="269"/>
      <c r="AG139" s="269"/>
    </row>
    <row r="140" spans="3:34">
      <c r="C140" s="23" t="str">
        <f>Model!C186</f>
        <v>Accounts Payable as a % of Sales</v>
      </c>
      <c r="F140" s="1015">
        <f>Model!F186</f>
        <v>3.5540955104335484E-2</v>
      </c>
      <c r="G140" s="1015">
        <f>Model!G186</f>
        <v>4.222150516282764E-2</v>
      </c>
      <c r="H140" s="1015">
        <f>Model!H186</f>
        <v>2.6588864283674903E-2</v>
      </c>
      <c r="I140" s="1015">
        <f>Model!I186</f>
        <v>2.2777694622171933E-2</v>
      </c>
      <c r="J140" s="1016">
        <f>Model!J186</f>
        <v>2.940516632237072E-2</v>
      </c>
      <c r="K140" s="1015">
        <f>Model!K186</f>
        <v>3.9897658644485585E-2</v>
      </c>
      <c r="L140" s="1015">
        <f>Model!L186</f>
        <v>3.6285734475702068E-2</v>
      </c>
      <c r="M140" s="1015">
        <f>Model!M186</f>
        <v>2.8587727851358307E-2</v>
      </c>
      <c r="N140" s="1015">
        <f>Model!N186</f>
        <v>1.978892830708762E-2</v>
      </c>
      <c r="O140" s="1016">
        <f>Model!O186</f>
        <v>2.587638805871522E-2</v>
      </c>
      <c r="P140" s="1015">
        <f>Model!P186</f>
        <v>4.5660222425045277E-2</v>
      </c>
      <c r="Q140" s="1015">
        <f>Model!Q186</f>
        <v>3.9621318791465798E-2</v>
      </c>
      <c r="R140" s="1015">
        <f>Model!R186</f>
        <v>2.474583984229355E-2</v>
      </c>
      <c r="S140" s="1015">
        <f>Model!S186</f>
        <v>2.091030417230777E-2</v>
      </c>
      <c r="T140" s="1016">
        <f>Model!T186</f>
        <v>2.7959446238792769E-2</v>
      </c>
      <c r="U140" s="1015">
        <f>Model!U186</f>
        <v>6.972842669134411E-3</v>
      </c>
      <c r="V140" s="1020">
        <f>IF(Case_Scenario="Bull",V141,IF(Case_Scenario="Base",V142,IF(Case_Scenario="bear",V143,"N/A")))</f>
        <v>0.03</v>
      </c>
      <c r="W140" s="1020">
        <f>IF(Case_Scenario="Bull",W141,IF(Case_Scenario="Base",W142,IF(Case_Scenario="bear",W143,"N/A")))</f>
        <v>0.03</v>
      </c>
      <c r="X140" s="1020">
        <f>IF(Case_Scenario="Bull",X141,IF(Case_Scenario="Base",X142,IF(Case_Scenario="bear",X143,"N/A")))</f>
        <v>0.03</v>
      </c>
      <c r="Y140" s="1016">
        <f>Model!Y186</f>
        <v>3.7439868377438693E-2</v>
      </c>
      <c r="Z140" s="1020">
        <f>IF(Case_Scenario="Bull",Z141,IF(Case_Scenario="Base",Z142,IF(Case_Scenario="bear",Z143,"N/A")))</f>
        <v>0.03</v>
      </c>
      <c r="AA140" s="1020">
        <f>IF(Case_Scenario="Bull",AA141,IF(Case_Scenario="Base",AA142,IF(Case_Scenario="bear",AA143,"N/A")))</f>
        <v>0.03</v>
      </c>
      <c r="AB140" s="1020">
        <f>IF(Case_Scenario="Bull",AB141,IF(Case_Scenario="Base",AB142,IF(Case_Scenario="bear",AB143,"N/A")))</f>
        <v>0.03</v>
      </c>
      <c r="AC140" s="1020">
        <f>IF(Case_Scenario="Bull",AC141,IF(Case_Scenario="Base",AC142,IF(Case_Scenario="bear",AC143,"N/A")))</f>
        <v>0.03</v>
      </c>
      <c r="AD140" s="1016">
        <f>Model!AD186</f>
        <v>3.821031690810938E-2</v>
      </c>
      <c r="AE140" s="1019">
        <f>IF(Case_Scenario="Bull",AE141,IF(Case_Scenario="Base",AE142,IF(Case_Scenario="bear",AE143,"N/A")))</f>
        <v>2.8000000000000001E-2</v>
      </c>
      <c r="AF140" s="1019">
        <f>IF(Case_Scenario="Bull",AF141,IF(Case_Scenario="Base",AF142,IF(Case_Scenario="bear",AF143,"N/A")))</f>
        <v>2.8000000000000001E-2</v>
      </c>
      <c r="AG140" s="1019">
        <f>IF(Case_Scenario="Bull",AG141,IF(Case_Scenario="Base",AG142,IF(Case_Scenario="bear",AG143,"N/A")))</f>
        <v>2.8000000000000001E-2</v>
      </c>
    </row>
    <row r="141" spans="3:34">
      <c r="C141" s="28" t="s">
        <v>217</v>
      </c>
      <c r="F141" s="292"/>
      <c r="G141" s="292"/>
      <c r="H141" s="292"/>
      <c r="I141" s="292"/>
      <c r="J141" s="293"/>
      <c r="K141" s="292"/>
      <c r="L141" s="292"/>
      <c r="M141" s="292"/>
      <c r="N141" s="292"/>
      <c r="O141" s="293"/>
      <c r="P141" s="292"/>
      <c r="Q141" s="292"/>
      <c r="R141" s="292"/>
      <c r="S141" s="292"/>
      <c r="T141" s="293"/>
      <c r="U141" s="292"/>
      <c r="V141" s="1017">
        <f t="shared" ref="U141:X141" si="95">V142+0.2%</f>
        <v>3.2000000000000001E-2</v>
      </c>
      <c r="W141" s="1017">
        <f t="shared" si="95"/>
        <v>3.2000000000000001E-2</v>
      </c>
      <c r="X141" s="1017">
        <f t="shared" si="95"/>
        <v>3.2000000000000001E-2</v>
      </c>
      <c r="Y141" s="293"/>
      <c r="Z141" s="1017">
        <f t="shared" ref="Z141" si="96">Z142+0.2%</f>
        <v>3.2000000000000001E-2</v>
      </c>
      <c r="AA141" s="1017">
        <f t="shared" ref="AA141" si="97">AA142+0.2%</f>
        <v>3.2000000000000001E-2</v>
      </c>
      <c r="AB141" s="1017">
        <f t="shared" ref="AB141" si="98">AB142+0.2%</f>
        <v>3.2000000000000001E-2</v>
      </c>
      <c r="AC141" s="1017">
        <f t="shared" ref="AC141:AE141" si="99">AC142+0.2%</f>
        <v>3.2000000000000001E-2</v>
      </c>
      <c r="AD141" s="293"/>
      <c r="AE141" s="1018">
        <f t="shared" si="99"/>
        <v>0.03</v>
      </c>
      <c r="AF141" s="1018">
        <f t="shared" ref="AF141" si="100">AF142+0.2%</f>
        <v>0.03</v>
      </c>
      <c r="AG141" s="1018">
        <f t="shared" ref="AG141" si="101">AG142+0.2%</f>
        <v>0.03</v>
      </c>
    </row>
    <row r="142" spans="3:34">
      <c r="C142" s="28" t="s">
        <v>218</v>
      </c>
      <c r="F142" s="292"/>
      <c r="G142" s="292"/>
      <c r="H142" s="292"/>
      <c r="I142" s="292"/>
      <c r="J142" s="293"/>
      <c r="K142" s="292"/>
      <c r="L142" s="292"/>
      <c r="M142" s="292"/>
      <c r="N142" s="292"/>
      <c r="O142" s="293"/>
      <c r="P142" s="292"/>
      <c r="Q142" s="292"/>
      <c r="R142" s="292"/>
      <c r="S142" s="292"/>
      <c r="T142" s="293"/>
      <c r="U142" s="292"/>
      <c r="V142" s="1017">
        <v>0.03</v>
      </c>
      <c r="W142" s="1017">
        <v>0.03</v>
      </c>
      <c r="X142" s="1017">
        <v>0.03</v>
      </c>
      <c r="Y142" s="293"/>
      <c r="Z142" s="1017">
        <v>0.03</v>
      </c>
      <c r="AA142" s="1017">
        <v>0.03</v>
      </c>
      <c r="AB142" s="1017">
        <v>0.03</v>
      </c>
      <c r="AC142" s="1017">
        <v>0.03</v>
      </c>
      <c r="AD142" s="293"/>
      <c r="AE142" s="1018">
        <v>2.8000000000000001E-2</v>
      </c>
      <c r="AF142" s="1018">
        <v>2.8000000000000001E-2</v>
      </c>
      <c r="AG142" s="1018">
        <v>2.8000000000000001E-2</v>
      </c>
    </row>
    <row r="143" spans="3:34">
      <c r="C143" s="28" t="s">
        <v>219</v>
      </c>
      <c r="F143" s="292"/>
      <c r="G143" s="292"/>
      <c r="H143" s="292"/>
      <c r="I143" s="292"/>
      <c r="J143" s="293"/>
      <c r="K143" s="292"/>
      <c r="L143" s="292"/>
      <c r="M143" s="292"/>
      <c r="N143" s="292"/>
      <c r="O143" s="293"/>
      <c r="P143" s="292"/>
      <c r="Q143" s="292"/>
      <c r="R143" s="292"/>
      <c r="S143" s="292"/>
      <c r="T143" s="293"/>
      <c r="U143" s="292"/>
      <c r="V143" s="1017">
        <f t="shared" ref="U143:X143" si="102">V142-0.2%</f>
        <v>2.7999999999999997E-2</v>
      </c>
      <c r="W143" s="1017">
        <f t="shared" si="102"/>
        <v>2.7999999999999997E-2</v>
      </c>
      <c r="X143" s="1017">
        <f t="shared" si="102"/>
        <v>2.7999999999999997E-2</v>
      </c>
      <c r="Y143" s="293"/>
      <c r="Z143" s="1017">
        <f t="shared" ref="Z143" si="103">Z142-0.2%</f>
        <v>2.7999999999999997E-2</v>
      </c>
      <c r="AA143" s="1017">
        <f t="shared" ref="AA143" si="104">AA142-0.2%</f>
        <v>2.7999999999999997E-2</v>
      </c>
      <c r="AB143" s="1017">
        <f t="shared" ref="AB143" si="105">AB142-0.2%</f>
        <v>2.7999999999999997E-2</v>
      </c>
      <c r="AC143" s="1017">
        <f t="shared" ref="AC143:AE143" si="106">AC142-0.2%</f>
        <v>2.7999999999999997E-2</v>
      </c>
      <c r="AD143" s="293"/>
      <c r="AE143" s="1018">
        <f t="shared" si="106"/>
        <v>2.6000000000000002E-2</v>
      </c>
      <c r="AF143" s="1018">
        <f t="shared" ref="AF143" si="107">AF142-0.2%</f>
        <v>2.6000000000000002E-2</v>
      </c>
      <c r="AG143" s="1018">
        <f t="shared" ref="AG143" si="108">AG142-0.2%</f>
        <v>2.6000000000000002E-2</v>
      </c>
    </row>
    <row r="144" spans="3:34">
      <c r="F144" s="292"/>
      <c r="G144" s="292"/>
      <c r="H144" s="292"/>
      <c r="I144" s="292"/>
      <c r="J144" s="293"/>
      <c r="K144" s="292"/>
      <c r="L144" s="292"/>
      <c r="M144" s="292"/>
      <c r="N144" s="292"/>
      <c r="O144" s="293"/>
      <c r="P144" s="292"/>
      <c r="Q144" s="292"/>
      <c r="R144" s="292"/>
      <c r="S144" s="292"/>
      <c r="T144" s="293"/>
      <c r="U144" s="292"/>
      <c r="V144" s="270"/>
      <c r="W144" s="270"/>
      <c r="X144" s="270"/>
      <c r="Y144" s="293"/>
      <c r="Z144" s="270"/>
      <c r="AA144" s="270"/>
      <c r="AB144" s="270"/>
      <c r="AC144" s="270"/>
      <c r="AD144" s="293"/>
      <c r="AE144" s="271"/>
      <c r="AF144" s="271"/>
      <c r="AG144" s="271"/>
    </row>
    <row r="145" spans="1:35">
      <c r="C145" s="23" t="str">
        <f>Model!C189</f>
        <v>Accrued Liabilities as a % of Sales</v>
      </c>
      <c r="F145" s="292">
        <f>Model!F189</f>
        <v>8.5152798647959271E-2</v>
      </c>
      <c r="G145" s="292">
        <f>Model!G189</f>
        <v>0.14772388800635425</v>
      </c>
      <c r="H145" s="292">
        <f>Model!H189</f>
        <v>0.18375611938635525</v>
      </c>
      <c r="I145" s="292">
        <f>Model!I189</f>
        <v>0.24201241076275959</v>
      </c>
      <c r="J145" s="293">
        <f>Model!J189</f>
        <v>0.31242912457126765</v>
      </c>
      <c r="K145" s="292">
        <f>Model!K189</f>
        <v>9.761659341917904E-2</v>
      </c>
      <c r="L145" s="292">
        <f>Model!L189</f>
        <v>0.15501836567817448</v>
      </c>
      <c r="M145" s="292">
        <f>Model!M189</f>
        <v>0.21305253107987324</v>
      </c>
      <c r="N145" s="292">
        <f>Model!N189</f>
        <v>0.26137056226232103</v>
      </c>
      <c r="O145" s="293">
        <f>Model!O189</f>
        <v>0.34177323760388018</v>
      </c>
      <c r="P145" s="292">
        <f>Model!P189</f>
        <v>0.11315201810529568</v>
      </c>
      <c r="Q145" s="292">
        <f>Model!Q189</f>
        <v>0.1639718867834471</v>
      </c>
      <c r="R145" s="292">
        <f>Model!R189</f>
        <v>0.21069097910695472</v>
      </c>
      <c r="S145" s="292">
        <f>Model!S189</f>
        <v>0.26624752896622123</v>
      </c>
      <c r="T145" s="293">
        <f>Model!T189</f>
        <v>0.35600311745828184</v>
      </c>
      <c r="U145" s="292">
        <f>Model!U189</f>
        <v>0.15241644049243502</v>
      </c>
      <c r="V145" s="60">
        <f>IF(Case_Scenario="Bull",V146,IF(Case_Scenario="Base",V147,IF(Case_Scenario="bear",V148,"N/A")))</f>
        <v>0.24</v>
      </c>
      <c r="W145" s="60">
        <f>IF(Case_Scenario="Bull",W146,IF(Case_Scenario="Base",W147,IF(Case_Scenario="bear",W148,"N/A")))</f>
        <v>0.24</v>
      </c>
      <c r="X145" s="60">
        <f>IF(Case_Scenario="Bull",X146,IF(Case_Scenario="Base",X147,IF(Case_Scenario="bear",X148,"N/A")))</f>
        <v>0.22499999999999998</v>
      </c>
      <c r="Y145" s="293">
        <f>Model!Y189</f>
        <v>0.28079901283079012</v>
      </c>
      <c r="Z145" s="60">
        <f>IF(Case_Scenario="Bull",Z146,IF(Case_Scenario="Base",Z147,IF(Case_Scenario="bear",Z148,"N/A")))</f>
        <v>0.24</v>
      </c>
      <c r="AA145" s="60">
        <f>IF(Case_Scenario="Bull",AA146,IF(Case_Scenario="Base",AA147,IF(Case_Scenario="bear",AA148,"N/A")))</f>
        <v>0.24</v>
      </c>
      <c r="AB145" s="60">
        <f>IF(Case_Scenario="Bull",AB146,IF(Case_Scenario="Base",AB147,IF(Case_Scenario="bear",AB148,"N/A")))</f>
        <v>0.24</v>
      </c>
      <c r="AC145" s="60">
        <f>IF(Case_Scenario="Bull",AC146,IF(Case_Scenario="Base",AC147,IF(Case_Scenario="bear",AC148,"N/A")))</f>
        <v>0.22499999999999998</v>
      </c>
      <c r="AD145" s="293">
        <f>Model!AD189</f>
        <v>0.28657737681082029</v>
      </c>
      <c r="AE145" s="59">
        <f>IF(Case_Scenario="Bull",AE146,IF(Case_Scenario="Base",AE147,IF(Case_Scenario="bear",AE148,"N/A")))</f>
        <v>0.20499999999999999</v>
      </c>
      <c r="AF145" s="59">
        <f>IF(Case_Scenario="Bull",AF146,IF(Case_Scenario="Base",AF147,IF(Case_Scenario="bear",AF148,"N/A")))</f>
        <v>0.15</v>
      </c>
      <c r="AG145" s="59">
        <f>IF(Case_Scenario="Bull",AG146,IF(Case_Scenario="Base",AG147,IF(Case_Scenario="bear",AG148,"N/A")))</f>
        <v>0.1</v>
      </c>
    </row>
    <row r="146" spans="1:35">
      <c r="C146" s="28" t="s">
        <v>217</v>
      </c>
      <c r="F146" s="292"/>
      <c r="G146" s="292"/>
      <c r="H146" s="292"/>
      <c r="I146" s="292"/>
      <c r="J146" s="293"/>
      <c r="K146" s="292"/>
      <c r="L146" s="292"/>
      <c r="M146" s="292"/>
      <c r="N146" s="292"/>
      <c r="O146" s="293"/>
      <c r="P146" s="292"/>
      <c r="Q146" s="292"/>
      <c r="R146" s="292"/>
      <c r="S146" s="292"/>
      <c r="T146" s="293"/>
      <c r="U146" s="292"/>
      <c r="V146" s="270">
        <f t="shared" ref="U146:X146" si="109">V147+2%</f>
        <v>0.26</v>
      </c>
      <c r="W146" s="270">
        <f t="shared" si="109"/>
        <v>0.26</v>
      </c>
      <c r="X146" s="270">
        <f t="shared" si="109"/>
        <v>0.24499999999999997</v>
      </c>
      <c r="Y146" s="293"/>
      <c r="Z146" s="270">
        <f t="shared" ref="Z146" si="110">Z147+2%</f>
        <v>0.26</v>
      </c>
      <c r="AA146" s="270">
        <f t="shared" ref="AA146" si="111">AA147+2%</f>
        <v>0.26</v>
      </c>
      <c r="AB146" s="270">
        <f t="shared" ref="AB146" si="112">AB147+2%</f>
        <v>0.26</v>
      </c>
      <c r="AC146" s="270">
        <f t="shared" ref="AC146" si="113">AC147+2%</f>
        <v>0.24499999999999997</v>
      </c>
      <c r="AD146" s="293"/>
      <c r="AE146" s="271">
        <f>AE147</f>
        <v>0.20499999999999999</v>
      </c>
      <c r="AF146" s="271">
        <f t="shared" ref="AF146:AG146" si="114">AF147</f>
        <v>0.15</v>
      </c>
      <c r="AG146" s="271">
        <f t="shared" si="114"/>
        <v>0.1</v>
      </c>
    </row>
    <row r="147" spans="1:35">
      <c r="C147" s="28" t="s">
        <v>218</v>
      </c>
      <c r="F147" s="292"/>
      <c r="G147" s="292"/>
      <c r="H147" s="292"/>
      <c r="I147" s="292"/>
      <c r="J147" s="293"/>
      <c r="K147" s="292"/>
      <c r="L147" s="292"/>
      <c r="M147" s="292"/>
      <c r="N147" s="292"/>
      <c r="O147" s="293"/>
      <c r="P147" s="292"/>
      <c r="Q147" s="292"/>
      <c r="R147" s="292"/>
      <c r="S147" s="292"/>
      <c r="T147" s="293"/>
      <c r="U147" s="292"/>
      <c r="V147" s="270">
        <v>0.24</v>
      </c>
      <c r="W147" s="270">
        <v>0.24</v>
      </c>
      <c r="X147" s="270">
        <v>0.22499999999999998</v>
      </c>
      <c r="Y147" s="293"/>
      <c r="Z147" s="270">
        <v>0.24</v>
      </c>
      <c r="AA147" s="270">
        <v>0.24</v>
      </c>
      <c r="AB147" s="270">
        <v>0.24</v>
      </c>
      <c r="AC147" s="270">
        <v>0.22499999999999998</v>
      </c>
      <c r="AD147" s="293"/>
      <c r="AE147" s="271">
        <v>0.20499999999999999</v>
      </c>
      <c r="AF147" s="271">
        <v>0.15</v>
      </c>
      <c r="AG147" s="271">
        <v>0.1</v>
      </c>
    </row>
    <row r="148" spans="1:35">
      <c r="A148" s="22" t="s">
        <v>1</v>
      </c>
      <c r="B148" s="22" t="s">
        <v>1</v>
      </c>
      <c r="C148" s="28" t="s">
        <v>219</v>
      </c>
      <c r="F148" s="292"/>
      <c r="G148" s="292"/>
      <c r="H148" s="292"/>
      <c r="I148" s="292"/>
      <c r="J148" s="293"/>
      <c r="K148" s="292"/>
      <c r="L148" s="292"/>
      <c r="M148" s="292"/>
      <c r="N148" s="292"/>
      <c r="O148" s="293"/>
      <c r="P148" s="292"/>
      <c r="Q148" s="292"/>
      <c r="R148" s="292"/>
      <c r="S148" s="292"/>
      <c r="T148" s="293"/>
      <c r="U148" s="292"/>
      <c r="V148" s="270">
        <f t="shared" ref="U148:X148" si="115">V147-2%</f>
        <v>0.22</v>
      </c>
      <c r="W148" s="270">
        <f t="shared" si="115"/>
        <v>0.22</v>
      </c>
      <c r="X148" s="270">
        <f t="shared" si="115"/>
        <v>0.20499999999999999</v>
      </c>
      <c r="Y148" s="293"/>
      <c r="Z148" s="270">
        <f t="shared" ref="Z148" si="116">Z147-2%</f>
        <v>0.22</v>
      </c>
      <c r="AA148" s="270">
        <f t="shared" ref="AA148" si="117">AA147-2%</f>
        <v>0.22</v>
      </c>
      <c r="AB148" s="270">
        <f t="shared" ref="AB148" si="118">AB147-2%</f>
        <v>0.22</v>
      </c>
      <c r="AC148" s="270">
        <f t="shared" ref="AC148:AE148" si="119">AC147-2%</f>
        <v>0.20499999999999999</v>
      </c>
      <c r="AD148" s="293"/>
      <c r="AE148" s="271">
        <f t="shared" si="119"/>
        <v>0.185</v>
      </c>
      <c r="AF148" s="271">
        <f t="shared" ref="AF148" si="120">AF147-2%</f>
        <v>0.13</v>
      </c>
      <c r="AG148" s="271">
        <f t="shared" ref="AG148" si="121">AG147-2%</f>
        <v>0.08</v>
      </c>
      <c r="AH148" s="22" t="s">
        <v>1</v>
      </c>
      <c r="AI148" s="22"/>
    </row>
    <row r="149" spans="1:35">
      <c r="F149" s="292"/>
      <c r="G149" s="292"/>
      <c r="H149" s="292"/>
      <c r="I149" s="292"/>
      <c r="J149" s="293"/>
      <c r="K149" s="292"/>
      <c r="L149" s="292"/>
      <c r="M149" s="292"/>
      <c r="N149" s="292"/>
      <c r="O149" s="293"/>
      <c r="P149" s="292"/>
      <c r="Q149" s="292"/>
      <c r="R149" s="292"/>
      <c r="S149" s="292"/>
      <c r="T149" s="293"/>
      <c r="U149" s="292"/>
      <c r="V149" s="270"/>
      <c r="W149" s="270"/>
      <c r="X149" s="270"/>
      <c r="Y149" s="293"/>
      <c r="Z149" s="270"/>
      <c r="AA149" s="270"/>
      <c r="AB149" s="270"/>
      <c r="AC149" s="270"/>
      <c r="AD149" s="293"/>
      <c r="AE149" s="271"/>
      <c r="AF149" s="271"/>
      <c r="AG149" s="271"/>
    </row>
    <row r="150" spans="1:35">
      <c r="C150" s="23" t="str">
        <f>Model!C190</f>
        <v>Other Current Liabilities as a % of Sales</v>
      </c>
      <c r="F150" s="292">
        <f>Model!F190</f>
        <v>2.8271480477656277E-2</v>
      </c>
      <c r="G150" s="292">
        <f>Model!G190</f>
        <v>3.9477263701350275E-2</v>
      </c>
      <c r="H150" s="292">
        <f>Model!H190</f>
        <v>3.4848730162046225E-2</v>
      </c>
      <c r="I150" s="292">
        <f>Model!I190</f>
        <v>2.3806745244485939E-2</v>
      </c>
      <c r="J150" s="293">
        <f>Model!J190</f>
        <v>3.0733632842148702E-2</v>
      </c>
      <c r="K150" s="292">
        <f>Model!K190</f>
        <v>3.0407536371608351E-2</v>
      </c>
      <c r="L150" s="292">
        <f>Model!L190</f>
        <v>3.2621972763706479E-2</v>
      </c>
      <c r="M150" s="292">
        <f>Model!M190</f>
        <v>2.7116343002627233E-2</v>
      </c>
      <c r="N150" s="292">
        <f>Model!N190</f>
        <v>2.3031316199178174E-2</v>
      </c>
      <c r="O150" s="293">
        <f>Model!O190</f>
        <v>3.0116197614372901E-2</v>
      </c>
      <c r="P150" s="292">
        <f>Model!P190</f>
        <v>3.5568623019017996E-2</v>
      </c>
      <c r="Q150" s="292">
        <f>Model!Q190</f>
        <v>2.8618562359791894E-2</v>
      </c>
      <c r="R150" s="292">
        <f>Model!R190</f>
        <v>4.1345122438560832E-2</v>
      </c>
      <c r="S150" s="292">
        <f>Model!S190</f>
        <v>5.6593612474056074E-2</v>
      </c>
      <c r="T150" s="293">
        <f>Model!T190</f>
        <v>7.5672073078830254E-2</v>
      </c>
      <c r="U150" s="292">
        <f>Model!U190</f>
        <v>2.1996381212293883E-2</v>
      </c>
      <c r="V150" s="60">
        <f>IF(Case_Scenario="Bull",V151,IF(Case_Scenario="Base",V152,IF(Case_Scenario="bear",V153,"N/A")))</f>
        <v>4.4999999999999998E-2</v>
      </c>
      <c r="W150" s="60">
        <f>IF(Case_Scenario="Bull",W151,IF(Case_Scenario="Base",W152,IF(Case_Scenario="bear",W153,"N/A")))</f>
        <v>4.4999999999999998E-2</v>
      </c>
      <c r="X150" s="60">
        <f>IF(Case_Scenario="Bull",X151,IF(Case_Scenario="Base",X152,IF(Case_Scenario="bear",X153,"N/A")))</f>
        <v>4.4999999999999998E-2</v>
      </c>
      <c r="Y150" s="293">
        <f>Model!Y190</f>
        <v>5.6159802566158032E-2</v>
      </c>
      <c r="Z150" s="60">
        <f>IF(Case_Scenario="Bull",Z151,IF(Case_Scenario="Base",Z152,IF(Case_Scenario="bear",Z153,"N/A")))</f>
        <v>0.05</v>
      </c>
      <c r="AA150" s="60">
        <f>IF(Case_Scenario="Bull",AA151,IF(Case_Scenario="Base",AA152,IF(Case_Scenario="bear",AA153,"N/A")))</f>
        <v>4.4999999999999998E-2</v>
      </c>
      <c r="AB150" s="60">
        <f>IF(Case_Scenario="Bull",AB151,IF(Case_Scenario="Base",AB152,IF(Case_Scenario="bear",AB153,"N/A")))</f>
        <v>4.4999999999999998E-2</v>
      </c>
      <c r="AC150" s="60">
        <f>IF(Case_Scenario="Bull",AC151,IF(Case_Scenario="Base",AC152,IF(Case_Scenario="bear",AC153,"N/A")))</f>
        <v>4.4999999999999998E-2</v>
      </c>
      <c r="AD150" s="293">
        <f>Model!AD190</f>
        <v>5.731547536216406E-2</v>
      </c>
      <c r="AE150" s="59">
        <f>IF(Case_Scenario="Bull",AE151,IF(Case_Scenario="Base",AE152,IF(Case_Scenario="bear",AE153,"N/A")))</f>
        <v>0.03</v>
      </c>
      <c r="AF150" s="59">
        <f>IF(Case_Scenario="Bull",AF151,IF(Case_Scenario="Base",AF152,IF(Case_Scenario="bear",AF153,"N/A")))</f>
        <v>0.03</v>
      </c>
      <c r="AG150" s="59">
        <f>IF(Case_Scenario="Bull",AG151,IF(Case_Scenario="Base",AG152,IF(Case_Scenario="bear",AG153,"N/A")))</f>
        <v>0.02</v>
      </c>
    </row>
    <row r="151" spans="1:35">
      <c r="A151" s="22" t="s">
        <v>1</v>
      </c>
      <c r="B151" s="22" t="s">
        <v>1</v>
      </c>
      <c r="C151" s="28" t="s">
        <v>217</v>
      </c>
      <c r="F151" s="292"/>
      <c r="G151" s="292"/>
      <c r="H151" s="292"/>
      <c r="I151" s="292"/>
      <c r="J151" s="293"/>
      <c r="K151" s="292"/>
      <c r="L151" s="292"/>
      <c r="M151" s="292"/>
      <c r="N151" s="292"/>
      <c r="O151" s="293"/>
      <c r="P151" s="292"/>
      <c r="Q151" s="292"/>
      <c r="R151" s="292"/>
      <c r="S151" s="292"/>
      <c r="T151" s="293"/>
      <c r="U151" s="292"/>
      <c r="V151" s="270">
        <f t="shared" ref="V151:X151" si="122">V152+2%</f>
        <v>6.5000000000000002E-2</v>
      </c>
      <c r="W151" s="270">
        <f t="shared" si="122"/>
        <v>6.5000000000000002E-2</v>
      </c>
      <c r="X151" s="270">
        <f t="shared" si="122"/>
        <v>6.5000000000000002E-2</v>
      </c>
      <c r="Y151" s="293"/>
      <c r="Z151" s="270">
        <f>Z152+2%</f>
        <v>7.0000000000000007E-2</v>
      </c>
      <c r="AA151" s="270">
        <f t="shared" ref="AA151" si="123">AA152+2%</f>
        <v>6.5000000000000002E-2</v>
      </c>
      <c r="AB151" s="270">
        <f t="shared" ref="AB151" si="124">AB152+2%</f>
        <v>6.5000000000000002E-2</v>
      </c>
      <c r="AC151" s="270">
        <f t="shared" ref="AC151" si="125">AC152+2%</f>
        <v>6.5000000000000002E-2</v>
      </c>
      <c r="AD151" s="293"/>
      <c r="AE151" s="271">
        <f>AE152</f>
        <v>0.03</v>
      </c>
      <c r="AF151" s="271">
        <f t="shared" ref="AF151:AG151" si="126">AF152</f>
        <v>0.03</v>
      </c>
      <c r="AG151" s="271">
        <f t="shared" si="126"/>
        <v>0.02</v>
      </c>
      <c r="AH151" s="23">
        <f t="shared" ref="AH151" si="127">AH152+2%</f>
        <v>0.02</v>
      </c>
    </row>
    <row r="152" spans="1:35">
      <c r="C152" s="28" t="s">
        <v>218</v>
      </c>
      <c r="F152" s="292"/>
      <c r="G152" s="292"/>
      <c r="H152" s="292"/>
      <c r="I152" s="292"/>
      <c r="J152" s="293"/>
      <c r="K152" s="292"/>
      <c r="L152" s="292"/>
      <c r="M152" s="292"/>
      <c r="N152" s="292"/>
      <c r="O152" s="293"/>
      <c r="P152" s="292"/>
      <c r="Q152" s="292"/>
      <c r="R152" s="292"/>
      <c r="S152" s="292"/>
      <c r="T152" s="293"/>
      <c r="U152" s="292"/>
      <c r="V152" s="270">
        <v>4.4999999999999998E-2</v>
      </c>
      <c r="W152" s="270">
        <v>4.4999999999999998E-2</v>
      </c>
      <c r="X152" s="270">
        <v>4.4999999999999998E-2</v>
      </c>
      <c r="Y152" s="293"/>
      <c r="Z152" s="270">
        <v>0.05</v>
      </c>
      <c r="AA152" s="270">
        <v>4.4999999999999998E-2</v>
      </c>
      <c r="AB152" s="270">
        <v>4.4999999999999998E-2</v>
      </c>
      <c r="AC152" s="270">
        <v>4.4999999999999998E-2</v>
      </c>
      <c r="AD152" s="293"/>
      <c r="AE152" s="271">
        <v>0.03</v>
      </c>
      <c r="AF152" s="271">
        <v>0.03</v>
      </c>
      <c r="AG152" s="271">
        <v>0.02</v>
      </c>
    </row>
    <row r="153" spans="1:35">
      <c r="C153" s="28" t="s">
        <v>219</v>
      </c>
      <c r="F153" s="292"/>
      <c r="G153" s="292"/>
      <c r="H153" s="292"/>
      <c r="I153" s="292"/>
      <c r="J153" s="293"/>
      <c r="K153" s="292"/>
      <c r="L153" s="292"/>
      <c r="M153" s="292"/>
      <c r="N153" s="292"/>
      <c r="O153" s="293"/>
      <c r="P153" s="292"/>
      <c r="Q153" s="292"/>
      <c r="R153" s="292"/>
      <c r="S153" s="292"/>
      <c r="T153" s="293"/>
      <c r="U153" s="292"/>
      <c r="V153" s="270">
        <f t="shared" ref="V153:X153" si="128">V152-2%</f>
        <v>2.4999999999999998E-2</v>
      </c>
      <c r="W153" s="270">
        <f t="shared" si="128"/>
        <v>2.4999999999999998E-2</v>
      </c>
      <c r="X153" s="270">
        <f t="shared" si="128"/>
        <v>2.4999999999999998E-2</v>
      </c>
      <c r="Y153" s="293"/>
      <c r="Z153" s="270">
        <f>Z152-2%</f>
        <v>3.0000000000000002E-2</v>
      </c>
      <c r="AA153" s="270">
        <f t="shared" ref="AA153" si="129">AA152-2%</f>
        <v>2.4999999999999998E-2</v>
      </c>
      <c r="AB153" s="270">
        <f t="shared" ref="AB153" si="130">AB152-2%</f>
        <v>2.4999999999999998E-2</v>
      </c>
      <c r="AC153" s="270">
        <f t="shared" ref="AC153" si="131">AC152-2%</f>
        <v>2.4999999999999998E-2</v>
      </c>
      <c r="AD153" s="293"/>
      <c r="AE153" s="271">
        <f t="shared" ref="AE153" si="132">AE152-2%</f>
        <v>9.9999999999999985E-3</v>
      </c>
      <c r="AF153" s="271">
        <f t="shared" ref="AF153" si="133">AF152-2%</f>
        <v>9.9999999999999985E-3</v>
      </c>
      <c r="AG153" s="271">
        <v>0.01</v>
      </c>
    </row>
    <row r="154" spans="1:35">
      <c r="C154" s="28"/>
      <c r="F154" s="292"/>
      <c r="G154" s="292"/>
      <c r="H154" s="292"/>
      <c r="I154" s="292"/>
      <c r="J154" s="293"/>
      <c r="K154" s="292"/>
      <c r="L154" s="292"/>
      <c r="M154" s="292"/>
      <c r="N154" s="292"/>
      <c r="O154" s="293"/>
      <c r="P154" s="292"/>
      <c r="Q154" s="292"/>
      <c r="R154" s="292"/>
      <c r="S154" s="292"/>
      <c r="T154" s="293"/>
      <c r="U154" s="292"/>
      <c r="V154" s="270"/>
      <c r="W154" s="270"/>
      <c r="X154" s="270"/>
      <c r="Y154" s="293"/>
      <c r="Z154" s="270"/>
      <c r="AA154" s="270"/>
      <c r="AB154" s="270"/>
      <c r="AC154" s="270"/>
      <c r="AD154" s="293"/>
      <c r="AE154" s="271"/>
      <c r="AF154" s="271"/>
      <c r="AG154" s="271"/>
    </row>
    <row r="155" spans="1:35">
      <c r="C155" s="543" t="s">
        <v>626</v>
      </c>
      <c r="D155" s="544"/>
      <c r="E155" s="544"/>
      <c r="F155" s="715"/>
      <c r="G155" s="716"/>
      <c r="H155" s="716"/>
      <c r="I155" s="716"/>
      <c r="J155" s="716"/>
      <c r="K155" s="716"/>
      <c r="L155" s="716"/>
      <c r="M155" s="716"/>
      <c r="N155" s="716"/>
      <c r="O155" s="716"/>
      <c r="P155" s="716"/>
      <c r="Q155" s="716"/>
      <c r="R155" s="716"/>
      <c r="S155" s="716"/>
      <c r="T155" s="716"/>
      <c r="U155" s="716"/>
      <c r="V155" s="716"/>
      <c r="W155" s="716"/>
      <c r="X155" s="716"/>
      <c r="Y155" s="716"/>
      <c r="Z155" s="716"/>
      <c r="AA155" s="716"/>
      <c r="AB155" s="716"/>
      <c r="AC155" s="716"/>
      <c r="AD155" s="716"/>
      <c r="AE155" s="716"/>
      <c r="AF155" s="716"/>
      <c r="AG155" s="717"/>
    </row>
    <row r="156" spans="1:35">
      <c r="F156" s="292"/>
      <c r="G156" s="292"/>
      <c r="H156" s="292"/>
      <c r="I156" s="292"/>
      <c r="J156" s="293"/>
      <c r="K156" s="292"/>
      <c r="L156" s="292"/>
      <c r="M156" s="292"/>
      <c r="N156" s="292"/>
      <c r="O156" s="293"/>
      <c r="P156" s="292"/>
      <c r="Q156" s="292"/>
      <c r="R156" s="292"/>
      <c r="S156" s="292"/>
      <c r="T156" s="293"/>
      <c r="U156" s="292"/>
      <c r="V156" s="60"/>
      <c r="W156" s="60"/>
      <c r="X156" s="60"/>
      <c r="Y156" s="293"/>
      <c r="Z156" s="60"/>
      <c r="AA156" s="60"/>
      <c r="AB156" s="60"/>
      <c r="AC156" s="60"/>
      <c r="AD156" s="293"/>
      <c r="AE156" s="269"/>
      <c r="AF156" s="269"/>
      <c r="AG156" s="269"/>
    </row>
    <row r="157" spans="1:35">
      <c r="C157" s="23" t="str">
        <f>Model!C310</f>
        <v>Issuance of Debt</v>
      </c>
      <c r="F157" s="69">
        <f>Model!F310</f>
        <v>372494</v>
      </c>
      <c r="G157" s="69">
        <f>Model!G310</f>
        <v>1059</v>
      </c>
      <c r="H157" s="69">
        <f>Model!H310</f>
        <v>0</v>
      </c>
      <c r="I157" s="69">
        <f>Model!I310</f>
        <v>1466</v>
      </c>
      <c r="J157" s="71">
        <f>F157</f>
        <v>372494</v>
      </c>
      <c r="K157" s="69">
        <f>Model!K310</f>
        <v>0</v>
      </c>
      <c r="L157" s="69">
        <f>Model!L310</f>
        <v>185</v>
      </c>
      <c r="M157" s="69">
        <f>Model!M310</f>
        <v>1959</v>
      </c>
      <c r="N157" s="69">
        <f>Model!N310</f>
        <v>0</v>
      </c>
      <c r="O157" s="71">
        <f>K157</f>
        <v>0</v>
      </c>
      <c r="P157" s="69">
        <f>Model!P310</f>
        <v>1160</v>
      </c>
      <c r="Q157" s="69">
        <f>Model!Q310</f>
        <v>2182</v>
      </c>
      <c r="R157" s="69">
        <f>Model!R310</f>
        <v>163116</v>
      </c>
      <c r="S157" s="69">
        <f>Model!S310</f>
        <v>0</v>
      </c>
      <c r="T157" s="71">
        <f>P157</f>
        <v>1160</v>
      </c>
      <c r="U157" s="69">
        <f>Model!U310</f>
        <v>0</v>
      </c>
      <c r="V157" s="1043">
        <f>IF(Case_Scenario="Bull",V158,IF(Case_Scenario="Base",V159,IF(Case_Scenario="bear",V160,"N/A")))</f>
        <v>500</v>
      </c>
      <c r="W157" s="1043">
        <f>IF(Case_Scenario="Bull",W158,IF(Case_Scenario="Base",W159,IF(Case_Scenario="bear",W160,"N/A")))</f>
        <v>0</v>
      </c>
      <c r="X157" s="1043">
        <f>IF(Case_Scenario="Bull",X158,IF(Case_Scenario="Base",X159,IF(Case_Scenario="bear",X160,"N/A")))</f>
        <v>500</v>
      </c>
      <c r="Y157" s="71">
        <f>SUM(U157:X157)</f>
        <v>1000</v>
      </c>
      <c r="Z157" s="1043">
        <f>IF(Case_Scenario="Bull",Z158,IF(Case_Scenario="Base",Z159,IF(Case_Scenario="bear",Z160,"N/A")))</f>
        <v>0</v>
      </c>
      <c r="AA157" s="1043">
        <f>IF(Case_Scenario="Bull",AA158,IF(Case_Scenario="Base",AA159,IF(Case_Scenario="bear",AA160,"N/A")))</f>
        <v>500</v>
      </c>
      <c r="AB157" s="1043">
        <f>IF(Case_Scenario="Bull",AB158,IF(Case_Scenario="Base",AB159,IF(Case_Scenario="bear",AB160,"N/A")))</f>
        <v>0</v>
      </c>
      <c r="AC157" s="1043">
        <f>IF(Case_Scenario="Bull",AC158,IF(Case_Scenario="Base",AC159,IF(Case_Scenario="bear",AC160,"N/A")))</f>
        <v>500</v>
      </c>
      <c r="AD157" s="71">
        <f>SUM(Z157:AC157)</f>
        <v>1000</v>
      </c>
      <c r="AE157" s="1029">
        <f>IF(Case_Scenario="Bull",AE158,IF(Case_Scenario="Base",AE159,IF(Case_Scenario="bear",AE160,"N/A")))</f>
        <v>1000</v>
      </c>
      <c r="AF157" s="1029">
        <f>IF(Case_Scenario="Bull",AF158,IF(Case_Scenario="Base",AF159,IF(Case_Scenario="bear",AF160,"N/A")))</f>
        <v>1000</v>
      </c>
      <c r="AG157" s="1029">
        <f>IF(Case_Scenario="Bull",AG158,IF(Case_Scenario="Base",AG159,IF(Case_Scenario="bear",AG160,"N/A")))</f>
        <v>1000</v>
      </c>
    </row>
    <row r="158" spans="1:35">
      <c r="C158" s="28" t="s">
        <v>217</v>
      </c>
      <c r="F158" s="292"/>
      <c r="G158" s="292"/>
      <c r="H158" s="292"/>
      <c r="I158" s="292"/>
      <c r="J158" s="293"/>
      <c r="K158" s="292"/>
      <c r="L158" s="292"/>
      <c r="M158" s="292"/>
      <c r="N158" s="292"/>
      <c r="O158" s="293"/>
      <c r="P158" s="292"/>
      <c r="Q158" s="292"/>
      <c r="R158" s="292"/>
      <c r="S158" s="292"/>
      <c r="T158" s="293"/>
      <c r="U158" s="292"/>
      <c r="V158" s="1044">
        <v>250</v>
      </c>
      <c r="W158" s="1044">
        <v>0</v>
      </c>
      <c r="X158" s="1044">
        <v>250</v>
      </c>
      <c r="Y158" s="293"/>
      <c r="Z158" s="1044">
        <v>0</v>
      </c>
      <c r="AA158" s="1044">
        <v>250</v>
      </c>
      <c r="AB158" s="1044">
        <v>0</v>
      </c>
      <c r="AC158" s="1044">
        <v>250</v>
      </c>
      <c r="AD158" s="293"/>
      <c r="AE158" s="1030">
        <v>500</v>
      </c>
      <c r="AF158" s="1030">
        <v>500</v>
      </c>
      <c r="AG158" s="1030">
        <v>500</v>
      </c>
    </row>
    <row r="159" spans="1:35">
      <c r="C159" s="28" t="s">
        <v>218</v>
      </c>
      <c r="F159" s="292"/>
      <c r="G159" s="292"/>
      <c r="H159" s="292"/>
      <c r="I159" s="292"/>
      <c r="J159" s="293"/>
      <c r="K159" s="292"/>
      <c r="L159" s="292"/>
      <c r="M159" s="292"/>
      <c r="N159" s="292"/>
      <c r="O159" s="293"/>
      <c r="P159" s="292"/>
      <c r="Q159" s="292"/>
      <c r="R159" s="292"/>
      <c r="S159" s="292"/>
      <c r="T159" s="293"/>
      <c r="U159" s="292"/>
      <c r="V159" s="1044">
        <v>500</v>
      </c>
      <c r="W159" s="1044">
        <v>0</v>
      </c>
      <c r="X159" s="1044">
        <v>500</v>
      </c>
      <c r="Y159" s="293"/>
      <c r="Z159" s="1044">
        <v>0</v>
      </c>
      <c r="AA159" s="1044">
        <v>500</v>
      </c>
      <c r="AB159" s="1044">
        <v>0</v>
      </c>
      <c r="AC159" s="1044">
        <v>500</v>
      </c>
      <c r="AD159" s="293"/>
      <c r="AE159" s="1030">
        <v>1000</v>
      </c>
      <c r="AF159" s="1030">
        <v>1000</v>
      </c>
      <c r="AG159" s="1030">
        <v>1000</v>
      </c>
    </row>
    <row r="160" spans="1:35">
      <c r="C160" s="28" t="s">
        <v>219</v>
      </c>
      <c r="F160" s="292"/>
      <c r="G160" s="292"/>
      <c r="H160" s="292"/>
      <c r="I160" s="292"/>
      <c r="J160" s="293"/>
      <c r="K160" s="292"/>
      <c r="L160" s="292"/>
      <c r="M160" s="292"/>
      <c r="N160" s="292"/>
      <c r="O160" s="293"/>
      <c r="P160" s="292"/>
      <c r="Q160" s="292"/>
      <c r="R160" s="292"/>
      <c r="S160" s="292"/>
      <c r="T160" s="293"/>
      <c r="U160" s="292"/>
      <c r="V160" s="1044">
        <v>1000</v>
      </c>
      <c r="W160" s="1044">
        <v>0</v>
      </c>
      <c r="X160" s="1044">
        <v>1000</v>
      </c>
      <c r="Y160" s="293"/>
      <c r="Z160" s="1044">
        <v>0</v>
      </c>
      <c r="AA160" s="1044">
        <v>1000</v>
      </c>
      <c r="AB160" s="1044">
        <v>0</v>
      </c>
      <c r="AC160" s="1044">
        <v>1000</v>
      </c>
      <c r="AD160" s="293"/>
      <c r="AE160" s="1030">
        <v>2000</v>
      </c>
      <c r="AF160" s="1030">
        <v>2000</v>
      </c>
      <c r="AG160" s="1030">
        <v>2000</v>
      </c>
    </row>
    <row r="161" spans="3:33">
      <c r="C161" s="28"/>
      <c r="F161" s="292"/>
      <c r="G161" s="292"/>
      <c r="H161" s="292"/>
      <c r="I161" s="292"/>
      <c r="J161" s="293"/>
      <c r="K161" s="292"/>
      <c r="L161" s="292"/>
      <c r="M161" s="292"/>
      <c r="N161" s="292"/>
      <c r="O161" s="293"/>
      <c r="P161" s="292"/>
      <c r="Q161" s="292"/>
      <c r="R161" s="292"/>
      <c r="S161" s="292"/>
      <c r="T161" s="293"/>
      <c r="U161" s="292"/>
      <c r="V161" s="1044"/>
      <c r="W161" s="1044"/>
      <c r="X161" s="1044"/>
      <c r="Y161" s="293"/>
      <c r="Z161" s="1044"/>
      <c r="AA161" s="1044"/>
      <c r="AB161" s="1044"/>
      <c r="AC161" s="1044"/>
      <c r="AD161" s="293"/>
      <c r="AE161" s="1031"/>
      <c r="AF161" s="1031"/>
      <c r="AG161" s="1031"/>
    </row>
    <row r="162" spans="3:33">
      <c r="C162" s="23" t="str">
        <f>Model!C311</f>
        <v>Repayment of Debt</v>
      </c>
      <c r="F162" s="69">
        <f>Model!F311</f>
        <v>0</v>
      </c>
      <c r="G162" s="69">
        <f>Model!G311</f>
        <v>0</v>
      </c>
      <c r="H162" s="69">
        <f>Model!H311</f>
        <v>-1134</v>
      </c>
      <c r="I162" s="69">
        <f>Model!I311</f>
        <v>0</v>
      </c>
      <c r="J162" s="71">
        <f>Model!J311</f>
        <v>0</v>
      </c>
      <c r="K162" s="69">
        <f>Model!K311</f>
        <v>-129</v>
      </c>
      <c r="L162" s="69">
        <f>Model!L311</f>
        <v>0</v>
      </c>
      <c r="M162" s="69">
        <f>Model!M311</f>
        <v>0</v>
      </c>
      <c r="N162" s="69">
        <f>Model!N311</f>
        <v>-2005</v>
      </c>
      <c r="O162" s="71">
        <f>Model!O311</f>
        <v>0</v>
      </c>
      <c r="P162" s="69">
        <f>Model!P311</f>
        <v>0</v>
      </c>
      <c r="Q162" s="69">
        <f>Model!Q311</f>
        <v>0</v>
      </c>
      <c r="R162" s="69">
        <f>Model!R311</f>
        <v>0</v>
      </c>
      <c r="S162" s="69">
        <f>Model!S311</f>
        <v>-110</v>
      </c>
      <c r="T162" s="71">
        <f>Model!T311</f>
        <v>0</v>
      </c>
      <c r="U162" s="69">
        <f>Model!U311</f>
        <v>-494</v>
      </c>
      <c r="V162" s="861">
        <f>IF(Case_Scenario="Bull",V163,IF(Case_Scenario="Base",V164,IF(Case_Scenario="bear",V165,"N/A")))</f>
        <v>-200</v>
      </c>
      <c r="W162" s="861">
        <f>IF(Case_Scenario="Bull",W163,IF(Case_Scenario="Base",W164,IF(Case_Scenario="bear",W165,"N/A")))</f>
        <v>-400</v>
      </c>
      <c r="X162" s="861">
        <f>IF(Case_Scenario="Bull",X163,IF(Case_Scenario="Base",X164,IF(Case_Scenario="bear",X165,"N/A")))</f>
        <v>-400</v>
      </c>
      <c r="Y162" s="71">
        <f>SUM(U162:X162)</f>
        <v>-1494</v>
      </c>
      <c r="Z162" s="861">
        <f>IF(Case_Scenario="Bull",Z163,IF(Case_Scenario="Base",Z164,IF(Case_Scenario="bear",Z165,"N/A")))</f>
        <v>-200</v>
      </c>
      <c r="AA162" s="861">
        <f>IF(Case_Scenario="Bull",AA163,IF(Case_Scenario="Base",AA164,IF(Case_Scenario="bear",AA165,"N/A")))</f>
        <v>-200</v>
      </c>
      <c r="AB162" s="861">
        <f>IF(Case_Scenario="Bull",AB163,IF(Case_Scenario="Base",AB164,IF(Case_Scenario="bear",AB165,"N/A")))</f>
        <v>-400</v>
      </c>
      <c r="AC162" s="861">
        <f>IF(Case_Scenario="Bull",AC163,IF(Case_Scenario="Base",AC164,IF(Case_Scenario="bear",AC165,"N/A")))</f>
        <v>-400</v>
      </c>
      <c r="AD162" s="71">
        <f>SUM(Z162:AC162)</f>
        <v>-1200</v>
      </c>
      <c r="AE162" s="862">
        <f>IF(Case_Scenario="Bull",AE163,IF(Case_Scenario="Base",AE164,IF(Case_Scenario="bear",AE165,"N/A")))</f>
        <v>-1600</v>
      </c>
      <c r="AF162" s="862">
        <f>IF(Case_Scenario="Bull",AF163,IF(Case_Scenario="Base",AF164,IF(Case_Scenario="bear",AF165,"N/A")))</f>
        <v>-1600</v>
      </c>
      <c r="AG162" s="862">
        <f>IF(Case_Scenario="Bull",AG163,IF(Case_Scenario="Base",AG164,IF(Case_Scenario="bear",AG165,"N/A")))</f>
        <v>-1600</v>
      </c>
    </row>
    <row r="163" spans="3:33">
      <c r="C163" s="28" t="s">
        <v>217</v>
      </c>
      <c r="F163" s="292"/>
      <c r="G163" s="292"/>
      <c r="H163" s="292"/>
      <c r="I163" s="292"/>
      <c r="J163" s="293"/>
      <c r="K163" s="292"/>
      <c r="L163" s="292"/>
      <c r="M163" s="292"/>
      <c r="N163" s="292"/>
      <c r="O163" s="293"/>
      <c r="P163" s="292"/>
      <c r="Q163" s="292"/>
      <c r="R163" s="292"/>
      <c r="S163" s="292"/>
      <c r="T163" s="293"/>
      <c r="U163" s="292"/>
      <c r="V163" s="1045">
        <v>-600</v>
      </c>
      <c r="W163" s="1045">
        <v>-600</v>
      </c>
      <c r="X163" s="1045">
        <v>-600</v>
      </c>
      <c r="Y163" s="293"/>
      <c r="Z163" s="1045">
        <v>-600</v>
      </c>
      <c r="AA163" s="1045">
        <v>-600</v>
      </c>
      <c r="AB163" s="1045">
        <v>-600</v>
      </c>
      <c r="AC163" s="1045">
        <v>-600</v>
      </c>
      <c r="AD163" s="293"/>
      <c r="AE163" s="1032">
        <v>-1200</v>
      </c>
      <c r="AF163" s="1032">
        <v>-1200</v>
      </c>
      <c r="AG163" s="1032">
        <v>-1200</v>
      </c>
    </row>
    <row r="164" spans="3:33">
      <c r="C164" s="28" t="s">
        <v>218</v>
      </c>
      <c r="F164" s="292"/>
      <c r="G164" s="292"/>
      <c r="H164" s="292"/>
      <c r="I164" s="292"/>
      <c r="J164" s="293"/>
      <c r="K164" s="292"/>
      <c r="L164" s="292"/>
      <c r="M164" s="292"/>
      <c r="N164" s="292"/>
      <c r="O164" s="293"/>
      <c r="P164" s="292"/>
      <c r="Q164" s="292"/>
      <c r="R164" s="292"/>
      <c r="S164" s="292"/>
      <c r="T164" s="293"/>
      <c r="U164" s="292"/>
      <c r="V164" s="1045">
        <v>-200</v>
      </c>
      <c r="W164" s="1045">
        <v>-400</v>
      </c>
      <c r="X164" s="1045">
        <v>-400</v>
      </c>
      <c r="Y164" s="293"/>
      <c r="Z164" s="1045">
        <v>-200</v>
      </c>
      <c r="AA164" s="1045">
        <v>-200</v>
      </c>
      <c r="AB164" s="1045">
        <v>-400</v>
      </c>
      <c r="AC164" s="1045">
        <v>-400</v>
      </c>
      <c r="AD164" s="293"/>
      <c r="AE164" s="1032">
        <v>-1600</v>
      </c>
      <c r="AF164" s="1032">
        <v>-1600</v>
      </c>
      <c r="AG164" s="1032">
        <v>-1600</v>
      </c>
    </row>
    <row r="165" spans="3:33">
      <c r="C165" s="28" t="s">
        <v>219</v>
      </c>
      <c r="F165" s="292"/>
      <c r="G165" s="292"/>
      <c r="H165" s="292"/>
      <c r="I165" s="292"/>
      <c r="J165" s="293"/>
      <c r="K165" s="292"/>
      <c r="L165" s="292"/>
      <c r="M165" s="292"/>
      <c r="N165" s="292"/>
      <c r="O165" s="293"/>
      <c r="P165" s="292"/>
      <c r="Q165" s="292"/>
      <c r="R165" s="292"/>
      <c r="S165" s="292"/>
      <c r="T165" s="293"/>
      <c r="U165" s="292"/>
      <c r="V165" s="1045">
        <v>-200</v>
      </c>
      <c r="W165" s="1045">
        <v>-200</v>
      </c>
      <c r="X165" s="1045">
        <v>-200</v>
      </c>
      <c r="Y165" s="293"/>
      <c r="Z165" s="1045">
        <v>-200</v>
      </c>
      <c r="AA165" s="1045">
        <v>-200</v>
      </c>
      <c r="AB165" s="1045">
        <v>-200</v>
      </c>
      <c r="AC165" s="1045">
        <v>-200</v>
      </c>
      <c r="AD165" s="293"/>
      <c r="AE165" s="1032">
        <v>-600</v>
      </c>
      <c r="AF165" s="1032">
        <v>-600</v>
      </c>
      <c r="AG165" s="1032">
        <v>-600</v>
      </c>
    </row>
    <row r="166" spans="3:33">
      <c r="C166" s="28"/>
      <c r="F166" s="292"/>
      <c r="G166" s="292"/>
      <c r="H166" s="292"/>
      <c r="I166" s="292"/>
      <c r="J166" s="293"/>
      <c r="K166" s="292"/>
      <c r="L166" s="292"/>
      <c r="M166" s="292"/>
      <c r="N166" s="292"/>
      <c r="O166" s="293"/>
      <c r="P166" s="292"/>
      <c r="Q166" s="292"/>
      <c r="R166" s="292"/>
      <c r="S166" s="292"/>
      <c r="T166" s="293"/>
      <c r="U166" s="292"/>
      <c r="V166" s="1045"/>
      <c r="W166" s="1045"/>
      <c r="X166" s="1045"/>
      <c r="Y166" s="293"/>
      <c r="Z166" s="1045"/>
      <c r="AA166" s="1045"/>
      <c r="AB166" s="1045"/>
      <c r="AC166" s="1045"/>
      <c r="AD166" s="293"/>
      <c r="AE166" s="1032"/>
      <c r="AF166" s="1032"/>
      <c r="AG166" s="1032"/>
    </row>
    <row r="167" spans="3:33">
      <c r="C167" s="1036" t="s">
        <v>627</v>
      </c>
      <c r="D167" s="1037"/>
      <c r="E167" s="1037"/>
      <c r="F167" s="1038" t="str">
        <f>Model!F$25</f>
        <v>1Q23</v>
      </c>
      <c r="G167" s="1039" t="str">
        <f>Model!G$25</f>
        <v>2Q23</v>
      </c>
      <c r="H167" s="1039" t="str">
        <f>Model!H$25</f>
        <v>3Q23</v>
      </c>
      <c r="I167" s="1039" t="str">
        <f>Model!I$25</f>
        <v>4Q23</v>
      </c>
      <c r="J167" s="1039">
        <f>Model!J$25</f>
        <v>2023</v>
      </c>
      <c r="K167" s="1039" t="str">
        <f>Model!K$25</f>
        <v>1Q24</v>
      </c>
      <c r="L167" s="1039" t="str">
        <f>Model!L$25</f>
        <v>2Q24</v>
      </c>
      <c r="M167" s="1039" t="str">
        <f>Model!M$25</f>
        <v>3Q24</v>
      </c>
      <c r="N167" s="1039" t="str">
        <f>Model!N$25</f>
        <v>4Q24</v>
      </c>
      <c r="O167" s="1039">
        <f>Model!O$25</f>
        <v>2024</v>
      </c>
      <c r="P167" s="1039" t="str">
        <f>Model!P$25</f>
        <v>1Q25</v>
      </c>
      <c r="Q167" s="1039" t="str">
        <f>Model!Q$25</f>
        <v>2Q25</v>
      </c>
      <c r="R167" s="1039" t="str">
        <f>Model!R$25</f>
        <v>3Q25</v>
      </c>
      <c r="S167" s="1039" t="str">
        <f>Model!S$25</f>
        <v>4Q25</v>
      </c>
      <c r="T167" s="1039">
        <f>Model!T$25</f>
        <v>2025</v>
      </c>
      <c r="U167" s="1039" t="str">
        <f>Model!U$25</f>
        <v>1Q26</v>
      </c>
      <c r="V167" s="1039" t="str">
        <f>Model!V$25</f>
        <v>2Q26e</v>
      </c>
      <c r="W167" s="1039" t="str">
        <f>Model!W$25</f>
        <v>3Q26e</v>
      </c>
      <c r="X167" s="1039" t="str">
        <f>Model!X$25</f>
        <v>4Q26e</v>
      </c>
      <c r="Y167" s="1039" t="str">
        <f>Model!Y$25</f>
        <v>2026e</v>
      </c>
      <c r="Z167" s="1039" t="str">
        <f>Model!Z$25</f>
        <v>1Q27e</v>
      </c>
      <c r="AA167" s="1039" t="str">
        <f>Model!AA$25</f>
        <v>2Q27e</v>
      </c>
      <c r="AB167" s="1039" t="str">
        <f>Model!AB$25</f>
        <v>3Q27e</v>
      </c>
      <c r="AC167" s="1039" t="str">
        <f>Model!AC$25</f>
        <v>4Q27e</v>
      </c>
      <c r="AD167" s="1039" t="str">
        <f>Model!AD$25</f>
        <v>2027e</v>
      </c>
      <c r="AE167" s="1039" t="str">
        <f>Model!AE$25</f>
        <v>2028e</v>
      </c>
      <c r="AF167" s="1039" t="str">
        <f>Model!AF$25</f>
        <v>2029e</v>
      </c>
      <c r="AG167" s="1040" t="str">
        <f>Model!AG$25</f>
        <v>2030e</v>
      </c>
    </row>
    <row r="168" spans="3:33">
      <c r="C168" s="543" t="s">
        <v>628</v>
      </c>
      <c r="D168" s="544"/>
      <c r="E168" s="544"/>
      <c r="F168" s="715"/>
      <c r="G168" s="716"/>
      <c r="H168" s="716"/>
      <c r="I168" s="716"/>
      <c r="J168" s="716"/>
      <c r="K168" s="716"/>
      <c r="L168" s="716"/>
      <c r="M168" s="716"/>
      <c r="N168" s="716"/>
      <c r="O168" s="716"/>
      <c r="P168" s="716"/>
      <c r="Q168" s="716"/>
      <c r="R168" s="716"/>
      <c r="S168" s="716"/>
      <c r="T168" s="716"/>
      <c r="U168" s="716"/>
      <c r="V168" s="716"/>
      <c r="W168" s="716"/>
      <c r="X168" s="716"/>
      <c r="Y168" s="716"/>
      <c r="Z168" s="716"/>
      <c r="AA168" s="716"/>
      <c r="AB168" s="716"/>
      <c r="AC168" s="716"/>
      <c r="AD168" s="716"/>
      <c r="AE168" s="716"/>
      <c r="AF168" s="716"/>
      <c r="AG168" s="717"/>
    </row>
    <row r="169" spans="3:33">
      <c r="C169" s="28"/>
      <c r="F169" s="292"/>
      <c r="G169" s="292"/>
      <c r="H169" s="292"/>
      <c r="I169" s="292"/>
      <c r="J169" s="293"/>
      <c r="K169" s="292"/>
      <c r="L169" s="292"/>
      <c r="M169" s="292"/>
      <c r="N169" s="292"/>
      <c r="O169" s="293"/>
      <c r="P169" s="292"/>
      <c r="Q169" s="292"/>
      <c r="R169" s="292"/>
      <c r="S169" s="292"/>
      <c r="T169" s="293"/>
      <c r="U169" s="292"/>
      <c r="V169" s="1045"/>
      <c r="W169" s="1045"/>
      <c r="X169" s="1045"/>
      <c r="Y169" s="293"/>
      <c r="Z169" s="1045"/>
      <c r="AA169" s="1045"/>
      <c r="AB169" s="1045"/>
      <c r="AC169" s="1045"/>
      <c r="AD169" s="293"/>
      <c r="AE169" s="1032"/>
      <c r="AF169" s="1032"/>
      <c r="AG169" s="1032"/>
    </row>
    <row r="170" spans="3:33">
      <c r="C170" s="23" t="str">
        <f>Model!C274</f>
        <v>Share Repurchase Guidance</v>
      </c>
      <c r="F170" s="69">
        <f>Model!F274</f>
        <v>284571</v>
      </c>
      <c r="G170" s="69">
        <f>Model!G274</f>
        <v>59668</v>
      </c>
      <c r="H170" s="69">
        <f>Model!H274</f>
        <v>40816</v>
      </c>
      <c r="I170" s="69">
        <f>Model!I274</f>
        <v>2232</v>
      </c>
      <c r="J170" s="71">
        <f>Model!J274</f>
        <v>387287</v>
      </c>
      <c r="K170" s="69">
        <f>Model!K274</f>
        <v>263291</v>
      </c>
      <c r="L170" s="69">
        <f>Model!L274</f>
        <v>54186</v>
      </c>
      <c r="M170" s="69">
        <f>Model!M274</f>
        <v>100399</v>
      </c>
      <c r="N170" s="69">
        <f>Model!N274</f>
        <v>267600</v>
      </c>
      <c r="O170" s="71">
        <f>Model!O274</f>
        <v>685476</v>
      </c>
      <c r="P170" s="69">
        <f>Model!P274</f>
        <v>145300</v>
      </c>
      <c r="Q170" s="69">
        <f>Model!Q274</f>
        <v>185700</v>
      </c>
      <c r="R170" s="69">
        <f>Model!R274</f>
        <v>238400</v>
      </c>
      <c r="S170" s="69">
        <f>Model!S274</f>
        <v>660593</v>
      </c>
      <c r="T170" s="71">
        <f>Model!T274</f>
        <v>1229993</v>
      </c>
      <c r="U170" s="69">
        <f>Model!U274</f>
        <v>621349</v>
      </c>
      <c r="V170" s="1043">
        <f>IF(Case_Scenario="Bull",V171,IF(Case_Scenario="Base",V172,IF(Case_Scenario="bear",V173,"N/A")))</f>
        <v>130000</v>
      </c>
      <c r="W170" s="1043">
        <f>IF(Case_Scenario="Bull",W171,IF(Case_Scenario="Base",W172,IF(Case_Scenario="bear",W173,"N/A")))</f>
        <v>130000</v>
      </c>
      <c r="X170" s="1043">
        <f>IF(Case_Scenario="Bull",X171,IF(Case_Scenario="Base",X172,IF(Case_Scenario="bear",X173,"N/A")))</f>
        <v>130000</v>
      </c>
      <c r="Y170" s="71">
        <f>SUM(U170:X170)</f>
        <v>1011349</v>
      </c>
      <c r="Z170" s="1043">
        <f>IF(Case_Scenario="Bull",Z171,IF(Case_Scenario="Base",Z172,IF(Case_Scenario="bear",Z173,"N/A")))</f>
        <v>130000</v>
      </c>
      <c r="AA170" s="1043">
        <f>IF(Case_Scenario="Bull",AA171,IF(Case_Scenario="Base",AA172,IF(Case_Scenario="bear",AA173,"N/A")))</f>
        <v>130000</v>
      </c>
      <c r="AB170" s="1043">
        <f>IF(Case_Scenario="Bull",AB171,IF(Case_Scenario="Base",AB172,IF(Case_Scenario="bear",AB173,"N/A")))</f>
        <v>130000</v>
      </c>
      <c r="AC170" s="1043">
        <f>IF(Case_Scenario="Bull",AC171,IF(Case_Scenario="Base",AC172,IF(Case_Scenario="bear",AC173,"N/A")))</f>
        <v>130000</v>
      </c>
      <c r="AD170" s="71">
        <f>SUM(Z170:AC170)</f>
        <v>520000</v>
      </c>
      <c r="AE170" s="862">
        <f>IF(Case_Scenario="Bull",AE171,IF(Case_Scenario="Base",AE172,IF(Case_Scenario="bear",AE173,"N/A")))</f>
        <v>400000</v>
      </c>
      <c r="AF170" s="862">
        <f>IF(Case_Scenario="Bull",AF171,IF(Case_Scenario="Base",AF172,IF(Case_Scenario="bear",AF173,"N/A")))</f>
        <v>400000</v>
      </c>
      <c r="AG170" s="862">
        <f>IF(Case_Scenario="Bull",AG171,IF(Case_Scenario="Base",AG172,IF(Case_Scenario="bear",AG173,"N/A")))</f>
        <v>400000</v>
      </c>
    </row>
    <row r="171" spans="3:33">
      <c r="C171" s="28" t="s">
        <v>217</v>
      </c>
      <c r="F171" s="292"/>
      <c r="G171" s="292"/>
      <c r="H171" s="292"/>
      <c r="I171" s="292"/>
      <c r="J171" s="293"/>
      <c r="K171" s="292"/>
      <c r="L171" s="292"/>
      <c r="M171" s="292"/>
      <c r="N171" s="292"/>
      <c r="O171" s="293"/>
      <c r="P171" s="292"/>
      <c r="Q171" s="292"/>
      <c r="R171" s="292"/>
      <c r="S171" s="292"/>
      <c r="T171" s="293"/>
      <c r="U171" s="292"/>
      <c r="V171" s="1044">
        <v>150000</v>
      </c>
      <c r="W171" s="1044">
        <v>150000</v>
      </c>
      <c r="X171" s="1044">
        <v>150000</v>
      </c>
      <c r="Y171" s="293"/>
      <c r="Z171" s="1044">
        <v>150000</v>
      </c>
      <c r="AA171" s="1044">
        <v>150000</v>
      </c>
      <c r="AB171" s="1044">
        <v>150000</v>
      </c>
      <c r="AC171" s="1044">
        <v>150000</v>
      </c>
      <c r="AD171" s="293"/>
      <c r="AE171" s="1032">
        <v>420000</v>
      </c>
      <c r="AF171" s="1032">
        <v>420000</v>
      </c>
      <c r="AG171" s="1032">
        <v>420000</v>
      </c>
    </row>
    <row r="172" spans="3:33">
      <c r="C172" s="28" t="s">
        <v>218</v>
      </c>
      <c r="F172" s="292"/>
      <c r="G172" s="292"/>
      <c r="H172" s="292"/>
      <c r="I172" s="292"/>
      <c r="J172" s="293"/>
      <c r="K172" s="292"/>
      <c r="L172" s="292"/>
      <c r="M172" s="292"/>
      <c r="N172" s="292"/>
      <c r="O172" s="293"/>
      <c r="P172" s="292"/>
      <c r="Q172" s="292"/>
      <c r="R172" s="292"/>
      <c r="S172" s="292"/>
      <c r="T172" s="293"/>
      <c r="U172" s="292"/>
      <c r="V172" s="1044">
        <v>130000</v>
      </c>
      <c r="W172" s="1044">
        <v>130000</v>
      </c>
      <c r="X172" s="1044">
        <v>130000</v>
      </c>
      <c r="Y172" s="293"/>
      <c r="Z172" s="1044">
        <v>130000</v>
      </c>
      <c r="AA172" s="1044">
        <v>130000</v>
      </c>
      <c r="AB172" s="1044">
        <v>130000</v>
      </c>
      <c r="AC172" s="1044">
        <v>130000</v>
      </c>
      <c r="AD172" s="293"/>
      <c r="AE172" s="1032">
        <v>400000</v>
      </c>
      <c r="AF172" s="1032">
        <v>400000</v>
      </c>
      <c r="AG172" s="1032">
        <v>400000</v>
      </c>
    </row>
    <row r="173" spans="3:33">
      <c r="C173" s="28" t="s">
        <v>219</v>
      </c>
      <c r="F173" s="292"/>
      <c r="G173" s="292"/>
      <c r="H173" s="292"/>
      <c r="I173" s="292"/>
      <c r="J173" s="293"/>
      <c r="K173" s="292"/>
      <c r="L173" s="292"/>
      <c r="M173" s="292"/>
      <c r="N173" s="292"/>
      <c r="O173" s="293"/>
      <c r="P173" s="292"/>
      <c r="Q173" s="292"/>
      <c r="R173" s="292"/>
      <c r="S173" s="292"/>
      <c r="T173" s="293"/>
      <c r="U173" s="292"/>
      <c r="V173" s="1044">
        <v>110000</v>
      </c>
      <c r="W173" s="1044">
        <v>110000</v>
      </c>
      <c r="X173" s="1044">
        <v>110000</v>
      </c>
      <c r="Y173" s="293"/>
      <c r="Z173" s="1044">
        <v>110000</v>
      </c>
      <c r="AA173" s="1044">
        <v>110000</v>
      </c>
      <c r="AB173" s="1044">
        <v>110000</v>
      </c>
      <c r="AC173" s="1044">
        <v>110000</v>
      </c>
      <c r="AD173" s="293"/>
      <c r="AE173" s="1032">
        <v>380000</v>
      </c>
      <c r="AF173" s="1032">
        <v>380000</v>
      </c>
      <c r="AG173" s="1032">
        <v>380000</v>
      </c>
    </row>
    <row r="174" spans="3:33">
      <c r="F174" s="77"/>
      <c r="G174" s="77"/>
      <c r="H174" s="77"/>
      <c r="I174" s="77"/>
      <c r="J174" s="78"/>
      <c r="K174" s="77"/>
      <c r="L174" s="77"/>
      <c r="M174" s="77"/>
      <c r="N174" s="77"/>
      <c r="O174" s="78"/>
      <c r="P174" s="77"/>
      <c r="Q174" s="77"/>
      <c r="R174" s="77"/>
      <c r="S174" s="77"/>
      <c r="T174" s="78"/>
      <c r="U174" s="77"/>
      <c r="V174" s="284"/>
      <c r="W174" s="284"/>
      <c r="X174" s="284"/>
      <c r="Y174" s="285"/>
      <c r="Z174" s="284"/>
      <c r="AA174" s="284"/>
      <c r="AB174" s="284"/>
      <c r="AC174" s="284"/>
      <c r="AE174" s="285"/>
      <c r="AF174" s="285"/>
      <c r="AG174" s="285"/>
    </row>
    <row r="175" spans="3:33">
      <c r="C175" s="1033" t="s">
        <v>235</v>
      </c>
      <c r="D175" s="1028"/>
      <c r="E175" s="1028"/>
      <c r="F175" s="1041"/>
      <c r="G175" s="1042"/>
      <c r="H175" s="1042"/>
      <c r="I175" s="1042"/>
      <c r="J175" s="1034"/>
      <c r="K175" s="1042"/>
      <c r="L175" s="1042"/>
      <c r="M175" s="1042"/>
      <c r="N175" s="1042"/>
      <c r="O175" s="1034"/>
      <c r="P175" s="1042"/>
      <c r="Q175" s="1042"/>
      <c r="R175" s="1042"/>
      <c r="S175" s="1042"/>
      <c r="T175" s="1034"/>
      <c r="U175" s="1042"/>
      <c r="V175" s="1046"/>
      <c r="W175" s="1046"/>
      <c r="X175" s="1046"/>
      <c r="Y175" s="1034"/>
      <c r="Z175" s="1046"/>
      <c r="AA175" s="1046"/>
      <c r="AB175" s="1046"/>
      <c r="AC175" s="1046"/>
      <c r="AD175" s="1034"/>
      <c r="AE175" s="1034"/>
      <c r="AF175" s="1034"/>
      <c r="AG175" s="10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tabColor rgb="FF760000"/>
  </sheetPr>
  <dimension ref="B1:AC30"/>
  <sheetViews>
    <sheetView showGridLines="0" zoomScale="80" zoomScaleNormal="80" workbookViewId="0">
      <pane ySplit="8" topLeftCell="A9" activePane="bottomLeft" state="frozen"/>
      <selection pane="bottomLeft"/>
    </sheetView>
  </sheetViews>
  <sheetFormatPr defaultColWidth="9.140625" defaultRowHeight="12.75" outlineLevelRow="1"/>
  <cols>
    <col min="1" max="1" width="1.7109375" style="944" customWidth="1"/>
    <col min="2" max="2" width="33.42578125" style="944" customWidth="1"/>
    <col min="3" max="3" width="9.140625" style="944" bestFit="1" customWidth="1"/>
    <col min="4" max="4" width="7.85546875" style="944" bestFit="1" customWidth="1"/>
    <col min="5" max="5" width="44.42578125" style="944" customWidth="1"/>
    <col min="6" max="6" width="12.140625" style="944" bestFit="1" customWidth="1"/>
    <col min="7" max="7" width="18.42578125" style="944" customWidth="1"/>
    <col min="8" max="9" width="9.140625" style="945"/>
    <col min="10" max="10" width="14.42578125" style="945" bestFit="1" customWidth="1"/>
    <col min="11" max="11" width="29" style="945" bestFit="1" customWidth="1"/>
    <col min="12" max="12" width="34.42578125" style="945" bestFit="1" customWidth="1"/>
    <col min="13" max="13" width="48.42578125" style="945" bestFit="1" customWidth="1"/>
    <col min="14" max="14" width="32" style="945" bestFit="1" customWidth="1"/>
    <col min="15" max="20" width="9.140625" style="945"/>
    <col min="21" max="257" width="9.140625" style="944"/>
    <col min="258" max="258" width="33.42578125" style="944" customWidth="1"/>
    <col min="259" max="259" width="9.140625" style="944"/>
    <col min="260" max="260" width="7.85546875" style="944" bestFit="1" customWidth="1"/>
    <col min="261" max="261" width="44.42578125" style="944" customWidth="1"/>
    <col min="262" max="262" width="12.140625" style="944" bestFit="1" customWidth="1"/>
    <col min="263" max="263" width="18.42578125" style="944" customWidth="1"/>
    <col min="264" max="513" width="9.140625" style="944"/>
    <col min="514" max="514" width="33.42578125" style="944" customWidth="1"/>
    <col min="515" max="515" width="9.140625" style="944"/>
    <col min="516" max="516" width="7.85546875" style="944" bestFit="1" customWidth="1"/>
    <col min="517" max="517" width="44.42578125" style="944" customWidth="1"/>
    <col min="518" max="518" width="12.140625" style="944" bestFit="1" customWidth="1"/>
    <col min="519" max="519" width="18.42578125" style="944" customWidth="1"/>
    <col min="520" max="769" width="9.140625" style="944"/>
    <col min="770" max="770" width="33.42578125" style="944" customWidth="1"/>
    <col min="771" max="771" width="9.140625" style="944"/>
    <col min="772" max="772" width="7.85546875" style="944" bestFit="1" customWidth="1"/>
    <col min="773" max="773" width="44.42578125" style="944" customWidth="1"/>
    <col min="774" max="774" width="12.140625" style="944" bestFit="1" customWidth="1"/>
    <col min="775" max="775" width="18.42578125" style="944" customWidth="1"/>
    <col min="776" max="1025" width="9.140625" style="944"/>
    <col min="1026" max="1026" width="33.42578125" style="944" customWidth="1"/>
    <col min="1027" max="1027" width="9.140625" style="944"/>
    <col min="1028" max="1028" width="7.85546875" style="944" bestFit="1" customWidth="1"/>
    <col min="1029" max="1029" width="44.42578125" style="944" customWidth="1"/>
    <col min="1030" max="1030" width="12.140625" style="944" bestFit="1" customWidth="1"/>
    <col min="1031" max="1031" width="18.42578125" style="944" customWidth="1"/>
    <col min="1032" max="1281" width="9.140625" style="944"/>
    <col min="1282" max="1282" width="33.42578125" style="944" customWidth="1"/>
    <col min="1283" max="1283" width="9.140625" style="944"/>
    <col min="1284" max="1284" width="7.85546875" style="944" bestFit="1" customWidth="1"/>
    <col min="1285" max="1285" width="44.42578125" style="944" customWidth="1"/>
    <col min="1286" max="1286" width="12.140625" style="944" bestFit="1" customWidth="1"/>
    <col min="1287" max="1287" width="18.42578125" style="944" customWidth="1"/>
    <col min="1288" max="1537" width="9.140625" style="944"/>
    <col min="1538" max="1538" width="33.42578125" style="944" customWidth="1"/>
    <col min="1539" max="1539" width="9.140625" style="944"/>
    <col min="1540" max="1540" width="7.85546875" style="944" bestFit="1" customWidth="1"/>
    <col min="1541" max="1541" width="44.42578125" style="944" customWidth="1"/>
    <col min="1542" max="1542" width="12.140625" style="944" bestFit="1" customWidth="1"/>
    <col min="1543" max="1543" width="18.42578125" style="944" customWidth="1"/>
    <col min="1544" max="1793" width="9.140625" style="944"/>
    <col min="1794" max="1794" width="33.42578125" style="944" customWidth="1"/>
    <col min="1795" max="1795" width="9.140625" style="944"/>
    <col min="1796" max="1796" width="7.85546875" style="944" bestFit="1" customWidth="1"/>
    <col min="1797" max="1797" width="44.42578125" style="944" customWidth="1"/>
    <col min="1798" max="1798" width="12.140625" style="944" bestFit="1" customWidth="1"/>
    <col min="1799" max="1799" width="18.42578125" style="944" customWidth="1"/>
    <col min="1800" max="2049" width="9.140625" style="944"/>
    <col min="2050" max="2050" width="33.42578125" style="944" customWidth="1"/>
    <col min="2051" max="2051" width="9.140625" style="944"/>
    <col min="2052" max="2052" width="7.85546875" style="944" bestFit="1" customWidth="1"/>
    <col min="2053" max="2053" width="44.42578125" style="944" customWidth="1"/>
    <col min="2054" max="2054" width="12.140625" style="944" bestFit="1" customWidth="1"/>
    <col min="2055" max="2055" width="18.42578125" style="944" customWidth="1"/>
    <col min="2056" max="2305" width="9.140625" style="944"/>
    <col min="2306" max="2306" width="33.42578125" style="944" customWidth="1"/>
    <col min="2307" max="2307" width="9.140625" style="944"/>
    <col min="2308" max="2308" width="7.85546875" style="944" bestFit="1" customWidth="1"/>
    <col min="2309" max="2309" width="44.42578125" style="944" customWidth="1"/>
    <col min="2310" max="2310" width="12.140625" style="944" bestFit="1" customWidth="1"/>
    <col min="2311" max="2311" width="18.42578125" style="944" customWidth="1"/>
    <col min="2312" max="2561" width="9.140625" style="944"/>
    <col min="2562" max="2562" width="33.42578125" style="944" customWidth="1"/>
    <col min="2563" max="2563" width="9.140625" style="944"/>
    <col min="2564" max="2564" width="7.85546875" style="944" bestFit="1" customWidth="1"/>
    <col min="2565" max="2565" width="44.42578125" style="944" customWidth="1"/>
    <col min="2566" max="2566" width="12.140625" style="944" bestFit="1" customWidth="1"/>
    <col min="2567" max="2567" width="18.42578125" style="944" customWidth="1"/>
    <col min="2568" max="2817" width="9.140625" style="944"/>
    <col min="2818" max="2818" width="33.42578125" style="944" customWidth="1"/>
    <col min="2819" max="2819" width="9.140625" style="944"/>
    <col min="2820" max="2820" width="7.85546875" style="944" bestFit="1" customWidth="1"/>
    <col min="2821" max="2821" width="44.42578125" style="944" customWidth="1"/>
    <col min="2822" max="2822" width="12.140625" style="944" bestFit="1" customWidth="1"/>
    <col min="2823" max="2823" width="18.42578125" style="944" customWidth="1"/>
    <col min="2824" max="3073" width="9.140625" style="944"/>
    <col min="3074" max="3074" width="33.42578125" style="944" customWidth="1"/>
    <col min="3075" max="3075" width="9.140625" style="944"/>
    <col min="3076" max="3076" width="7.85546875" style="944" bestFit="1" customWidth="1"/>
    <col min="3077" max="3077" width="44.42578125" style="944" customWidth="1"/>
    <col min="3078" max="3078" width="12.140625" style="944" bestFit="1" customWidth="1"/>
    <col min="3079" max="3079" width="18.42578125" style="944" customWidth="1"/>
    <col min="3080" max="3329" width="9.140625" style="944"/>
    <col min="3330" max="3330" width="33.42578125" style="944" customWidth="1"/>
    <col min="3331" max="3331" width="9.140625" style="944"/>
    <col min="3332" max="3332" width="7.85546875" style="944" bestFit="1" customWidth="1"/>
    <col min="3333" max="3333" width="44.42578125" style="944" customWidth="1"/>
    <col min="3334" max="3334" width="12.140625" style="944" bestFit="1" customWidth="1"/>
    <col min="3335" max="3335" width="18.42578125" style="944" customWidth="1"/>
    <col min="3336" max="3585" width="9.140625" style="944"/>
    <col min="3586" max="3586" width="33.42578125" style="944" customWidth="1"/>
    <col min="3587" max="3587" width="9.140625" style="944"/>
    <col min="3588" max="3588" width="7.85546875" style="944" bestFit="1" customWidth="1"/>
    <col min="3589" max="3589" width="44.42578125" style="944" customWidth="1"/>
    <col min="3590" max="3590" width="12.140625" style="944" bestFit="1" customWidth="1"/>
    <col min="3591" max="3591" width="18.42578125" style="944" customWidth="1"/>
    <col min="3592" max="3841" width="9.140625" style="944"/>
    <col min="3842" max="3842" width="33.42578125" style="944" customWidth="1"/>
    <col min="3843" max="3843" width="9.140625" style="944"/>
    <col min="3844" max="3844" width="7.85546875" style="944" bestFit="1" customWidth="1"/>
    <col min="3845" max="3845" width="44.42578125" style="944" customWidth="1"/>
    <col min="3846" max="3846" width="12.140625" style="944" bestFit="1" customWidth="1"/>
    <col min="3847" max="3847" width="18.42578125" style="944" customWidth="1"/>
    <col min="3848" max="4097" width="9.140625" style="944"/>
    <col min="4098" max="4098" width="33.42578125" style="944" customWidth="1"/>
    <col min="4099" max="4099" width="9.140625" style="944"/>
    <col min="4100" max="4100" width="7.85546875" style="944" bestFit="1" customWidth="1"/>
    <col min="4101" max="4101" width="44.42578125" style="944" customWidth="1"/>
    <col min="4102" max="4102" width="12.140625" style="944" bestFit="1" customWidth="1"/>
    <col min="4103" max="4103" width="18.42578125" style="944" customWidth="1"/>
    <col min="4104" max="4353" width="9.140625" style="944"/>
    <col min="4354" max="4354" width="33.42578125" style="944" customWidth="1"/>
    <col min="4355" max="4355" width="9.140625" style="944"/>
    <col min="4356" max="4356" width="7.85546875" style="944" bestFit="1" customWidth="1"/>
    <col min="4357" max="4357" width="44.42578125" style="944" customWidth="1"/>
    <col min="4358" max="4358" width="12.140625" style="944" bestFit="1" customWidth="1"/>
    <col min="4359" max="4359" width="18.42578125" style="944" customWidth="1"/>
    <col min="4360" max="4609" width="9.140625" style="944"/>
    <col min="4610" max="4610" width="33.42578125" style="944" customWidth="1"/>
    <col min="4611" max="4611" width="9.140625" style="944"/>
    <col min="4612" max="4612" width="7.85546875" style="944" bestFit="1" customWidth="1"/>
    <col min="4613" max="4613" width="44.42578125" style="944" customWidth="1"/>
    <col min="4614" max="4614" width="12.140625" style="944" bestFit="1" customWidth="1"/>
    <col min="4615" max="4615" width="18.42578125" style="944" customWidth="1"/>
    <col min="4616" max="4865" width="9.140625" style="944"/>
    <col min="4866" max="4866" width="33.42578125" style="944" customWidth="1"/>
    <col min="4867" max="4867" width="9.140625" style="944"/>
    <col min="4868" max="4868" width="7.85546875" style="944" bestFit="1" customWidth="1"/>
    <col min="4869" max="4869" width="44.42578125" style="944" customWidth="1"/>
    <col min="4870" max="4870" width="12.140625" style="944" bestFit="1" customWidth="1"/>
    <col min="4871" max="4871" width="18.42578125" style="944" customWidth="1"/>
    <col min="4872" max="5121" width="9.140625" style="944"/>
    <col min="5122" max="5122" width="33.42578125" style="944" customWidth="1"/>
    <col min="5123" max="5123" width="9.140625" style="944"/>
    <col min="5124" max="5124" width="7.85546875" style="944" bestFit="1" customWidth="1"/>
    <col min="5125" max="5125" width="44.42578125" style="944" customWidth="1"/>
    <col min="5126" max="5126" width="12.140625" style="944" bestFit="1" customWidth="1"/>
    <col min="5127" max="5127" width="18.42578125" style="944" customWidth="1"/>
    <col min="5128" max="5377" width="9.140625" style="944"/>
    <col min="5378" max="5378" width="33.42578125" style="944" customWidth="1"/>
    <col min="5379" max="5379" width="9.140625" style="944"/>
    <col min="5380" max="5380" width="7.85546875" style="944" bestFit="1" customWidth="1"/>
    <col min="5381" max="5381" width="44.42578125" style="944" customWidth="1"/>
    <col min="5382" max="5382" width="12.140625" style="944" bestFit="1" customWidth="1"/>
    <col min="5383" max="5383" width="18.42578125" style="944" customWidth="1"/>
    <col min="5384" max="5633" width="9.140625" style="944"/>
    <col min="5634" max="5634" width="33.42578125" style="944" customWidth="1"/>
    <col min="5635" max="5635" width="9.140625" style="944"/>
    <col min="5636" max="5636" width="7.85546875" style="944" bestFit="1" customWidth="1"/>
    <col min="5637" max="5637" width="44.42578125" style="944" customWidth="1"/>
    <col min="5638" max="5638" width="12.140625" style="944" bestFit="1" customWidth="1"/>
    <col min="5639" max="5639" width="18.42578125" style="944" customWidth="1"/>
    <col min="5640" max="5889" width="9.140625" style="944"/>
    <col min="5890" max="5890" width="33.42578125" style="944" customWidth="1"/>
    <col min="5891" max="5891" width="9.140625" style="944"/>
    <col min="5892" max="5892" width="7.85546875" style="944" bestFit="1" customWidth="1"/>
    <col min="5893" max="5893" width="44.42578125" style="944" customWidth="1"/>
    <col min="5894" max="5894" width="12.140625" style="944" bestFit="1" customWidth="1"/>
    <col min="5895" max="5895" width="18.42578125" style="944" customWidth="1"/>
    <col min="5896" max="6145" width="9.140625" style="944"/>
    <col min="6146" max="6146" width="33.42578125" style="944" customWidth="1"/>
    <col min="6147" max="6147" width="9.140625" style="944"/>
    <col min="6148" max="6148" width="7.85546875" style="944" bestFit="1" customWidth="1"/>
    <col min="6149" max="6149" width="44.42578125" style="944" customWidth="1"/>
    <col min="6150" max="6150" width="12.140625" style="944" bestFit="1" customWidth="1"/>
    <col min="6151" max="6151" width="18.42578125" style="944" customWidth="1"/>
    <col min="6152" max="6401" width="9.140625" style="944"/>
    <col min="6402" max="6402" width="33.42578125" style="944" customWidth="1"/>
    <col min="6403" max="6403" width="9.140625" style="944"/>
    <col min="6404" max="6404" width="7.85546875" style="944" bestFit="1" customWidth="1"/>
    <col min="6405" max="6405" width="44.42578125" style="944" customWidth="1"/>
    <col min="6406" max="6406" width="12.140625" style="944" bestFit="1" customWidth="1"/>
    <col min="6407" max="6407" width="18.42578125" style="944" customWidth="1"/>
    <col min="6408" max="6657" width="9.140625" style="944"/>
    <col min="6658" max="6658" width="33.42578125" style="944" customWidth="1"/>
    <col min="6659" max="6659" width="9.140625" style="944"/>
    <col min="6660" max="6660" width="7.85546875" style="944" bestFit="1" customWidth="1"/>
    <col min="6661" max="6661" width="44.42578125" style="944" customWidth="1"/>
    <col min="6662" max="6662" width="12.140625" style="944" bestFit="1" customWidth="1"/>
    <col min="6663" max="6663" width="18.42578125" style="944" customWidth="1"/>
    <col min="6664" max="6913" width="9.140625" style="944"/>
    <col min="6914" max="6914" width="33.42578125" style="944" customWidth="1"/>
    <col min="6915" max="6915" width="9.140625" style="944"/>
    <col min="6916" max="6916" width="7.85546875" style="944" bestFit="1" customWidth="1"/>
    <col min="6917" max="6917" width="44.42578125" style="944" customWidth="1"/>
    <col min="6918" max="6918" width="12.140625" style="944" bestFit="1" customWidth="1"/>
    <col min="6919" max="6919" width="18.42578125" style="944" customWidth="1"/>
    <col min="6920" max="7169" width="9.140625" style="944"/>
    <col min="7170" max="7170" width="33.42578125" style="944" customWidth="1"/>
    <col min="7171" max="7171" width="9.140625" style="944"/>
    <col min="7172" max="7172" width="7.85546875" style="944" bestFit="1" customWidth="1"/>
    <col min="7173" max="7173" width="44.42578125" style="944" customWidth="1"/>
    <col min="7174" max="7174" width="12.140625" style="944" bestFit="1" customWidth="1"/>
    <col min="7175" max="7175" width="18.42578125" style="944" customWidth="1"/>
    <col min="7176" max="7425" width="9.140625" style="944"/>
    <col min="7426" max="7426" width="33.42578125" style="944" customWidth="1"/>
    <col min="7427" max="7427" width="9.140625" style="944"/>
    <col min="7428" max="7428" width="7.85546875" style="944" bestFit="1" customWidth="1"/>
    <col min="7429" max="7429" width="44.42578125" style="944" customWidth="1"/>
    <col min="7430" max="7430" width="12.140625" style="944" bestFit="1" customWidth="1"/>
    <col min="7431" max="7431" width="18.42578125" style="944" customWidth="1"/>
    <col min="7432" max="7681" width="9.140625" style="944"/>
    <col min="7682" max="7682" width="33.42578125" style="944" customWidth="1"/>
    <col min="7683" max="7683" width="9.140625" style="944"/>
    <col min="7684" max="7684" width="7.85546875" style="944" bestFit="1" customWidth="1"/>
    <col min="7685" max="7685" width="44.42578125" style="944" customWidth="1"/>
    <col min="7686" max="7686" width="12.140625" style="944" bestFit="1" customWidth="1"/>
    <col min="7687" max="7687" width="18.42578125" style="944" customWidth="1"/>
    <col min="7688" max="7937" width="9.140625" style="944"/>
    <col min="7938" max="7938" width="33.42578125" style="944" customWidth="1"/>
    <col min="7939" max="7939" width="9.140625" style="944"/>
    <col min="7940" max="7940" width="7.85546875" style="944" bestFit="1" customWidth="1"/>
    <col min="7941" max="7941" width="44.42578125" style="944" customWidth="1"/>
    <col min="7942" max="7942" width="12.140625" style="944" bestFit="1" customWidth="1"/>
    <col min="7943" max="7943" width="18.42578125" style="944" customWidth="1"/>
    <col min="7944" max="8193" width="9.140625" style="944"/>
    <col min="8194" max="8194" width="33.42578125" style="944" customWidth="1"/>
    <col min="8195" max="8195" width="9.140625" style="944"/>
    <col min="8196" max="8196" width="7.85546875" style="944" bestFit="1" customWidth="1"/>
    <col min="8197" max="8197" width="44.42578125" style="944" customWidth="1"/>
    <col min="8198" max="8198" width="12.140625" style="944" bestFit="1" customWidth="1"/>
    <col min="8199" max="8199" width="18.42578125" style="944" customWidth="1"/>
    <col min="8200" max="8449" width="9.140625" style="944"/>
    <col min="8450" max="8450" width="33.42578125" style="944" customWidth="1"/>
    <col min="8451" max="8451" width="9.140625" style="944"/>
    <col min="8452" max="8452" width="7.85546875" style="944" bestFit="1" customWidth="1"/>
    <col min="8453" max="8453" width="44.42578125" style="944" customWidth="1"/>
    <col min="8454" max="8454" width="12.140625" style="944" bestFit="1" customWidth="1"/>
    <col min="8455" max="8455" width="18.42578125" style="944" customWidth="1"/>
    <col min="8456" max="8705" width="9.140625" style="944"/>
    <col min="8706" max="8706" width="33.42578125" style="944" customWidth="1"/>
    <col min="8707" max="8707" width="9.140625" style="944"/>
    <col min="8708" max="8708" width="7.85546875" style="944" bestFit="1" customWidth="1"/>
    <col min="8709" max="8709" width="44.42578125" style="944" customWidth="1"/>
    <col min="8710" max="8710" width="12.140625" style="944" bestFit="1" customWidth="1"/>
    <col min="8711" max="8711" width="18.42578125" style="944" customWidth="1"/>
    <col min="8712" max="8961" width="9.140625" style="944"/>
    <col min="8962" max="8962" width="33.42578125" style="944" customWidth="1"/>
    <col min="8963" max="8963" width="9.140625" style="944"/>
    <col min="8964" max="8964" width="7.85546875" style="944" bestFit="1" customWidth="1"/>
    <col min="8965" max="8965" width="44.42578125" style="944" customWidth="1"/>
    <col min="8966" max="8966" width="12.140625" style="944" bestFit="1" customWidth="1"/>
    <col min="8967" max="8967" width="18.42578125" style="944" customWidth="1"/>
    <col min="8968" max="9217" width="9.140625" style="944"/>
    <col min="9218" max="9218" width="33.42578125" style="944" customWidth="1"/>
    <col min="9219" max="9219" width="9.140625" style="944"/>
    <col min="9220" max="9220" width="7.85546875" style="944" bestFit="1" customWidth="1"/>
    <col min="9221" max="9221" width="44.42578125" style="944" customWidth="1"/>
    <col min="9222" max="9222" width="12.140625" style="944" bestFit="1" customWidth="1"/>
    <col min="9223" max="9223" width="18.42578125" style="944" customWidth="1"/>
    <col min="9224" max="9473" width="9.140625" style="944"/>
    <col min="9474" max="9474" width="33.42578125" style="944" customWidth="1"/>
    <col min="9475" max="9475" width="9.140625" style="944"/>
    <col min="9476" max="9476" width="7.85546875" style="944" bestFit="1" customWidth="1"/>
    <col min="9477" max="9477" width="44.42578125" style="944" customWidth="1"/>
    <col min="9478" max="9478" width="12.140625" style="944" bestFit="1" customWidth="1"/>
    <col min="9479" max="9479" width="18.42578125" style="944" customWidth="1"/>
    <col min="9480" max="9729" width="9.140625" style="944"/>
    <col min="9730" max="9730" width="33.42578125" style="944" customWidth="1"/>
    <col min="9731" max="9731" width="9.140625" style="944"/>
    <col min="9732" max="9732" width="7.85546875" style="944" bestFit="1" customWidth="1"/>
    <col min="9733" max="9733" width="44.42578125" style="944" customWidth="1"/>
    <col min="9734" max="9734" width="12.140625" style="944" bestFit="1" customWidth="1"/>
    <col min="9735" max="9735" width="18.42578125" style="944" customWidth="1"/>
    <col min="9736" max="9985" width="9.140625" style="944"/>
    <col min="9986" max="9986" width="33.42578125" style="944" customWidth="1"/>
    <col min="9987" max="9987" width="9.140625" style="944"/>
    <col min="9988" max="9988" width="7.85546875" style="944" bestFit="1" customWidth="1"/>
    <col min="9989" max="9989" width="44.42578125" style="944" customWidth="1"/>
    <col min="9990" max="9990" width="12.140625" style="944" bestFit="1" customWidth="1"/>
    <col min="9991" max="9991" width="18.42578125" style="944" customWidth="1"/>
    <col min="9992" max="10241" width="9.140625" style="944"/>
    <col min="10242" max="10242" width="33.42578125" style="944" customWidth="1"/>
    <col min="10243" max="10243" width="9.140625" style="944"/>
    <col min="10244" max="10244" width="7.85546875" style="944" bestFit="1" customWidth="1"/>
    <col min="10245" max="10245" width="44.42578125" style="944" customWidth="1"/>
    <col min="10246" max="10246" width="12.140625" style="944" bestFit="1" customWidth="1"/>
    <col min="10247" max="10247" width="18.42578125" style="944" customWidth="1"/>
    <col min="10248" max="10497" width="9.140625" style="944"/>
    <col min="10498" max="10498" width="33.42578125" style="944" customWidth="1"/>
    <col min="10499" max="10499" width="9.140625" style="944"/>
    <col min="10500" max="10500" width="7.85546875" style="944" bestFit="1" customWidth="1"/>
    <col min="10501" max="10501" width="44.42578125" style="944" customWidth="1"/>
    <col min="10502" max="10502" width="12.140625" style="944" bestFit="1" customWidth="1"/>
    <col min="10503" max="10503" width="18.42578125" style="944" customWidth="1"/>
    <col min="10504" max="10753" width="9.140625" style="944"/>
    <col min="10754" max="10754" width="33.42578125" style="944" customWidth="1"/>
    <col min="10755" max="10755" width="9.140625" style="944"/>
    <col min="10756" max="10756" width="7.85546875" style="944" bestFit="1" customWidth="1"/>
    <col min="10757" max="10757" width="44.42578125" style="944" customWidth="1"/>
    <col min="10758" max="10758" width="12.140625" style="944" bestFit="1" customWidth="1"/>
    <col min="10759" max="10759" width="18.42578125" style="944" customWidth="1"/>
    <col min="10760" max="11009" width="9.140625" style="944"/>
    <col min="11010" max="11010" width="33.42578125" style="944" customWidth="1"/>
    <col min="11011" max="11011" width="9.140625" style="944"/>
    <col min="11012" max="11012" width="7.85546875" style="944" bestFit="1" customWidth="1"/>
    <col min="11013" max="11013" width="44.42578125" style="944" customWidth="1"/>
    <col min="11014" max="11014" width="12.140625" style="944" bestFit="1" customWidth="1"/>
    <col min="11015" max="11015" width="18.42578125" style="944" customWidth="1"/>
    <col min="11016" max="11265" width="9.140625" style="944"/>
    <col min="11266" max="11266" width="33.42578125" style="944" customWidth="1"/>
    <col min="11267" max="11267" width="9.140625" style="944"/>
    <col min="11268" max="11268" width="7.85546875" style="944" bestFit="1" customWidth="1"/>
    <col min="11269" max="11269" width="44.42578125" style="944" customWidth="1"/>
    <col min="11270" max="11270" width="12.140625" style="944" bestFit="1" customWidth="1"/>
    <col min="11271" max="11271" width="18.42578125" style="944" customWidth="1"/>
    <col min="11272" max="11521" width="9.140625" style="944"/>
    <col min="11522" max="11522" width="33.42578125" style="944" customWidth="1"/>
    <col min="11523" max="11523" width="9.140625" style="944"/>
    <col min="11524" max="11524" width="7.85546875" style="944" bestFit="1" customWidth="1"/>
    <col min="11525" max="11525" width="44.42578125" style="944" customWidth="1"/>
    <col min="11526" max="11526" width="12.140625" style="944" bestFit="1" customWidth="1"/>
    <col min="11527" max="11527" width="18.42578125" style="944" customWidth="1"/>
    <col min="11528" max="11777" width="9.140625" style="944"/>
    <col min="11778" max="11778" width="33.42578125" style="944" customWidth="1"/>
    <col min="11779" max="11779" width="9.140625" style="944"/>
    <col min="11780" max="11780" width="7.85546875" style="944" bestFit="1" customWidth="1"/>
    <col min="11781" max="11781" width="44.42578125" style="944" customWidth="1"/>
    <col min="11782" max="11782" width="12.140625" style="944" bestFit="1" customWidth="1"/>
    <col min="11783" max="11783" width="18.42578125" style="944" customWidth="1"/>
    <col min="11784" max="12033" width="9.140625" style="944"/>
    <col min="12034" max="12034" width="33.42578125" style="944" customWidth="1"/>
    <col min="12035" max="12035" width="9.140625" style="944"/>
    <col min="12036" max="12036" width="7.85546875" style="944" bestFit="1" customWidth="1"/>
    <col min="12037" max="12037" width="44.42578125" style="944" customWidth="1"/>
    <col min="12038" max="12038" width="12.140625" style="944" bestFit="1" customWidth="1"/>
    <col min="12039" max="12039" width="18.42578125" style="944" customWidth="1"/>
    <col min="12040" max="12289" width="9.140625" style="944"/>
    <col min="12290" max="12290" width="33.42578125" style="944" customWidth="1"/>
    <col min="12291" max="12291" width="9.140625" style="944"/>
    <col min="12292" max="12292" width="7.85546875" style="944" bestFit="1" customWidth="1"/>
    <col min="12293" max="12293" width="44.42578125" style="944" customWidth="1"/>
    <col min="12294" max="12294" width="12.140625" style="944" bestFit="1" customWidth="1"/>
    <col min="12295" max="12295" width="18.42578125" style="944" customWidth="1"/>
    <col min="12296" max="12545" width="9.140625" style="944"/>
    <col min="12546" max="12546" width="33.42578125" style="944" customWidth="1"/>
    <col min="12547" max="12547" width="9.140625" style="944"/>
    <col min="12548" max="12548" width="7.85546875" style="944" bestFit="1" customWidth="1"/>
    <col min="12549" max="12549" width="44.42578125" style="944" customWidth="1"/>
    <col min="12550" max="12550" width="12.140625" style="944" bestFit="1" customWidth="1"/>
    <col min="12551" max="12551" width="18.42578125" style="944" customWidth="1"/>
    <col min="12552" max="12801" width="9.140625" style="944"/>
    <col min="12802" max="12802" width="33.42578125" style="944" customWidth="1"/>
    <col min="12803" max="12803" width="9.140625" style="944"/>
    <col min="12804" max="12804" width="7.85546875" style="944" bestFit="1" customWidth="1"/>
    <col min="12805" max="12805" width="44.42578125" style="944" customWidth="1"/>
    <col min="12806" max="12806" width="12.140625" style="944" bestFit="1" customWidth="1"/>
    <col min="12807" max="12807" width="18.42578125" style="944" customWidth="1"/>
    <col min="12808" max="13057" width="9.140625" style="944"/>
    <col min="13058" max="13058" width="33.42578125" style="944" customWidth="1"/>
    <col min="13059" max="13059" width="9.140625" style="944"/>
    <col min="13060" max="13060" width="7.85546875" style="944" bestFit="1" customWidth="1"/>
    <col min="13061" max="13061" width="44.42578125" style="944" customWidth="1"/>
    <col min="13062" max="13062" width="12.140625" style="944" bestFit="1" customWidth="1"/>
    <col min="13063" max="13063" width="18.42578125" style="944" customWidth="1"/>
    <col min="13064" max="13313" width="9.140625" style="944"/>
    <col min="13314" max="13314" width="33.42578125" style="944" customWidth="1"/>
    <col min="13315" max="13315" width="9.140625" style="944"/>
    <col min="13316" max="13316" width="7.85546875" style="944" bestFit="1" customWidth="1"/>
    <col min="13317" max="13317" width="44.42578125" style="944" customWidth="1"/>
    <col min="13318" max="13318" width="12.140625" style="944" bestFit="1" customWidth="1"/>
    <col min="13319" max="13319" width="18.42578125" style="944" customWidth="1"/>
    <col min="13320" max="13569" width="9.140625" style="944"/>
    <col min="13570" max="13570" width="33.42578125" style="944" customWidth="1"/>
    <col min="13571" max="13571" width="9.140625" style="944"/>
    <col min="13572" max="13572" width="7.85546875" style="944" bestFit="1" customWidth="1"/>
    <col min="13573" max="13573" width="44.42578125" style="944" customWidth="1"/>
    <col min="13574" max="13574" width="12.140625" style="944" bestFit="1" customWidth="1"/>
    <col min="13575" max="13575" width="18.42578125" style="944" customWidth="1"/>
    <col min="13576" max="13825" width="9.140625" style="944"/>
    <col min="13826" max="13826" width="33.42578125" style="944" customWidth="1"/>
    <col min="13827" max="13827" width="9.140625" style="944"/>
    <col min="13828" max="13828" width="7.85546875" style="944" bestFit="1" customWidth="1"/>
    <col min="13829" max="13829" width="44.42578125" style="944" customWidth="1"/>
    <col min="13830" max="13830" width="12.140625" style="944" bestFit="1" customWidth="1"/>
    <col min="13831" max="13831" width="18.42578125" style="944" customWidth="1"/>
    <col min="13832" max="14081" width="9.140625" style="944"/>
    <col min="14082" max="14082" width="33.42578125" style="944" customWidth="1"/>
    <col min="14083" max="14083" width="9.140625" style="944"/>
    <col min="14084" max="14084" width="7.85546875" style="944" bestFit="1" customWidth="1"/>
    <col min="14085" max="14085" width="44.42578125" style="944" customWidth="1"/>
    <col min="14086" max="14086" width="12.140625" style="944" bestFit="1" customWidth="1"/>
    <col min="14087" max="14087" width="18.42578125" style="944" customWidth="1"/>
    <col min="14088" max="14337" width="9.140625" style="944"/>
    <col min="14338" max="14338" width="33.42578125" style="944" customWidth="1"/>
    <col min="14339" max="14339" width="9.140625" style="944"/>
    <col min="14340" max="14340" width="7.85546875" style="944" bestFit="1" customWidth="1"/>
    <col min="14341" max="14341" width="44.42578125" style="944" customWidth="1"/>
    <col min="14342" max="14342" width="12.140625" style="944" bestFit="1" customWidth="1"/>
    <col min="14343" max="14343" width="18.42578125" style="944" customWidth="1"/>
    <col min="14344" max="14593" width="9.140625" style="944"/>
    <col min="14594" max="14594" width="33.42578125" style="944" customWidth="1"/>
    <col min="14595" max="14595" width="9.140625" style="944"/>
    <col min="14596" max="14596" width="7.85546875" style="944" bestFit="1" customWidth="1"/>
    <col min="14597" max="14597" width="44.42578125" style="944" customWidth="1"/>
    <col min="14598" max="14598" width="12.140625" style="944" bestFit="1" customWidth="1"/>
    <col min="14599" max="14599" width="18.42578125" style="944" customWidth="1"/>
    <col min="14600" max="14849" width="9.140625" style="944"/>
    <col min="14850" max="14850" width="33.42578125" style="944" customWidth="1"/>
    <col min="14851" max="14851" width="9.140625" style="944"/>
    <col min="14852" max="14852" width="7.85546875" style="944" bestFit="1" customWidth="1"/>
    <col min="14853" max="14853" width="44.42578125" style="944" customWidth="1"/>
    <col min="14854" max="14854" width="12.140625" style="944" bestFit="1" customWidth="1"/>
    <col min="14855" max="14855" width="18.42578125" style="944" customWidth="1"/>
    <col min="14856" max="15105" width="9.140625" style="944"/>
    <col min="15106" max="15106" width="33.42578125" style="944" customWidth="1"/>
    <col min="15107" max="15107" width="9.140625" style="944"/>
    <col min="15108" max="15108" width="7.85546875" style="944" bestFit="1" customWidth="1"/>
    <col min="15109" max="15109" width="44.42578125" style="944" customWidth="1"/>
    <col min="15110" max="15110" width="12.140625" style="944" bestFit="1" customWidth="1"/>
    <col min="15111" max="15111" width="18.42578125" style="944" customWidth="1"/>
    <col min="15112" max="15361" width="9.140625" style="944"/>
    <col min="15362" max="15362" width="33.42578125" style="944" customWidth="1"/>
    <col min="15363" max="15363" width="9.140625" style="944"/>
    <col min="15364" max="15364" width="7.85546875" style="944" bestFit="1" customWidth="1"/>
    <col min="15365" max="15365" width="44.42578125" style="944" customWidth="1"/>
    <col min="15366" max="15366" width="12.140625" style="944" bestFit="1" customWidth="1"/>
    <col min="15367" max="15367" width="18.42578125" style="944" customWidth="1"/>
    <col min="15368" max="15617" width="9.140625" style="944"/>
    <col min="15618" max="15618" width="33.42578125" style="944" customWidth="1"/>
    <col min="15619" max="15619" width="9.140625" style="944"/>
    <col min="15620" max="15620" width="7.85546875" style="944" bestFit="1" customWidth="1"/>
    <col min="15621" max="15621" width="44.42578125" style="944" customWidth="1"/>
    <col min="15622" max="15622" width="12.140625" style="944" bestFit="1" customWidth="1"/>
    <col min="15623" max="15623" width="18.42578125" style="944" customWidth="1"/>
    <col min="15624" max="15873" width="9.140625" style="944"/>
    <col min="15874" max="15874" width="33.42578125" style="944" customWidth="1"/>
    <col min="15875" max="15875" width="9.140625" style="944"/>
    <col min="15876" max="15876" width="7.85546875" style="944" bestFit="1" customWidth="1"/>
    <col min="15877" max="15877" width="44.42578125" style="944" customWidth="1"/>
    <col min="15878" max="15878" width="12.140625" style="944" bestFit="1" customWidth="1"/>
    <col min="15879" max="15879" width="18.42578125" style="944" customWidth="1"/>
    <col min="15880" max="16129" width="9.140625" style="944"/>
    <col min="16130" max="16130" width="33.42578125" style="944" customWidth="1"/>
    <col min="16131" max="16131" width="9.140625" style="944"/>
    <col min="16132" max="16132" width="7.85546875" style="944" bestFit="1" customWidth="1"/>
    <col min="16133" max="16133" width="44.42578125" style="944" customWidth="1"/>
    <col min="16134" max="16134" width="12.140625" style="944" bestFit="1" customWidth="1"/>
    <col min="16135" max="16135" width="18.42578125" style="944" customWidth="1"/>
    <col min="16136" max="16384" width="9.140625" style="944"/>
  </cols>
  <sheetData>
    <row r="1" spans="2:29" ht="18" customHeight="1"/>
    <row r="2" spans="2:29">
      <c r="B2" s="944" t="s">
        <v>692</v>
      </c>
      <c r="L2" s="945">
        <v>1</v>
      </c>
      <c r="AC2" s="946" t="e">
        <f ca="1">_xll.ciqfunctions.udf.CIQ("3304","iq_ev_over_ltm_ebitda")</f>
        <v>#NAME?</v>
      </c>
    </row>
    <row r="3" spans="2:29">
      <c r="B3" s="944" t="s">
        <v>693</v>
      </c>
      <c r="L3" s="945">
        <f>L2+1</f>
        <v>2</v>
      </c>
    </row>
    <row r="4" spans="2:29">
      <c r="B4" s="944" t="s">
        <v>694</v>
      </c>
      <c r="L4" s="945">
        <f>L3+1</f>
        <v>3</v>
      </c>
    </row>
    <row r="5" spans="2:29">
      <c r="B5" s="944" t="s">
        <v>695</v>
      </c>
      <c r="L5" s="945">
        <f>L4+1</f>
        <v>4</v>
      </c>
    </row>
    <row r="6" spans="2:29">
      <c r="L6" s="945">
        <f>L5+1</f>
        <v>5</v>
      </c>
    </row>
    <row r="7" spans="2:29">
      <c r="B7" s="944" t="s">
        <v>696</v>
      </c>
    </row>
    <row r="8" spans="2:29" ht="25.5" customHeight="1">
      <c r="B8" s="1081" t="s">
        <v>697</v>
      </c>
      <c r="C8" s="1081"/>
      <c r="D8" s="1081"/>
      <c r="E8" s="1081"/>
      <c r="F8" s="1081"/>
      <c r="G8" s="1081"/>
    </row>
    <row r="9" spans="2:29" ht="32.1" customHeight="1">
      <c r="B9" s="947" t="s">
        <v>698</v>
      </c>
      <c r="C9" s="947"/>
      <c r="D9" s="948"/>
      <c r="E9" s="948"/>
      <c r="F9" s="948"/>
      <c r="G9" s="948"/>
      <c r="J9" s="944"/>
      <c r="K9" s="944"/>
      <c r="L9" s="944"/>
      <c r="M9" s="944"/>
      <c r="N9" s="944"/>
      <c r="O9" s="944"/>
      <c r="P9" s="944"/>
      <c r="Q9" s="944"/>
      <c r="R9" s="944"/>
      <c r="S9" s="944"/>
      <c r="T9" s="944"/>
    </row>
    <row r="10" spans="2:29">
      <c r="J10" s="944"/>
      <c r="K10" s="944"/>
      <c r="L10" s="944"/>
      <c r="M10" s="944"/>
      <c r="N10" s="944"/>
      <c r="O10" s="944"/>
      <c r="P10" s="944"/>
      <c r="Q10" s="944"/>
      <c r="R10" s="944"/>
      <c r="S10" s="944"/>
      <c r="T10" s="944"/>
    </row>
    <row r="11" spans="2:29">
      <c r="B11" s="949"/>
      <c r="C11" s="949" t="s">
        <v>699</v>
      </c>
      <c r="D11" s="949" t="s">
        <v>700</v>
      </c>
      <c r="E11" s="949"/>
      <c r="F11" s="949"/>
      <c r="G11" s="949"/>
      <c r="J11" s="944"/>
      <c r="K11" s="944"/>
      <c r="L11" s="944"/>
      <c r="M11" s="944"/>
      <c r="N11" s="944"/>
      <c r="O11" s="944"/>
      <c r="P11" s="944"/>
      <c r="Q11" s="944"/>
      <c r="R11" s="944"/>
      <c r="S11" s="944"/>
      <c r="T11" s="944"/>
    </row>
    <row r="12" spans="2:29">
      <c r="B12" s="950" t="s">
        <v>701</v>
      </c>
      <c r="C12" s="950" t="s">
        <v>702</v>
      </c>
      <c r="D12" s="950" t="s">
        <v>703</v>
      </c>
      <c r="E12" s="950" t="s">
        <v>704</v>
      </c>
      <c r="F12" s="950" t="s">
        <v>705</v>
      </c>
      <c r="G12" s="950" t="s">
        <v>360</v>
      </c>
      <c r="J12" s="944"/>
      <c r="K12" s="944">
        <f>J12+1</f>
        <v>1</v>
      </c>
      <c r="L12" s="944">
        <f>K12+1</f>
        <v>2</v>
      </c>
      <c r="M12" s="944">
        <f>L12+1</f>
        <v>3</v>
      </c>
      <c r="N12" s="944">
        <f>M12+1</f>
        <v>4</v>
      </c>
      <c r="O12" s="944">
        <f>N12+1</f>
        <v>5</v>
      </c>
      <c r="Q12" s="945">
        <f>P12+1</f>
        <v>1</v>
      </c>
      <c r="R12" s="945">
        <f>Q12+1</f>
        <v>2</v>
      </c>
      <c r="S12" s="945">
        <f>R12+1</f>
        <v>3</v>
      </c>
      <c r="T12" s="945">
        <f>S12+1</f>
        <v>4</v>
      </c>
      <c r="U12" s="945">
        <f>T12+1</f>
        <v>5</v>
      </c>
    </row>
    <row r="13" spans="2:29" hidden="1" outlineLevel="1">
      <c r="B13" s="951" t="s">
        <v>706</v>
      </c>
      <c r="C13" s="952" t="e">
        <f ca="1">IF(J13="","",IFERROR(MATCH(B13,$K13:O13,0),"NO"))</f>
        <v>#NAME?</v>
      </c>
      <c r="D13" s="951">
        <v>1</v>
      </c>
      <c r="E13" s="944" t="str">
        <f t="shared" ref="E13:E30" si="0">IF(INDEX($K13:$O13,,MATCH($D13,$K$12:$O$12,0))=0,"No Result",INDEX($K13:$O13,,MATCH($D13,$K$12:$O$12,0)))</f>
        <v>No Result</v>
      </c>
      <c r="F13" s="944" t="str">
        <f t="shared" ref="F13:F30" si="1">IF(INDEX($Q13:$U13,,MATCH($D13,$Q$12:$U$12,0))=0,"",INDEX($Q13:$U13,,MATCH($D13,$Q$12:$U$12,0)))</f>
        <v/>
      </c>
      <c r="G13" s="953" t="e">
        <f ca="1">IF(OR(_xll.ciqfunctions.udf.CIQ($F13,"IQ_COMPANY_TICKER")=0,_xll.ciqfunctions.udf.CIQ($F13,"IQ_COMPANY_TICKER")="(Invalid Identifier)"),"-",_xll.ciqfunctions.udf.CIQ($F13,"IQ_COMPANY_TICKER"))</f>
        <v>#NAME?</v>
      </c>
      <c r="J13" s="944" t="e">
        <f ca="1">_xll.ciqfunctions.udf.CIQRANGEA($B13,"IQ_COMPANY_NAME_QUICK_MATCH",1,5,,,,,,,"NAME")</f>
        <v>#NAME?</v>
      </c>
      <c r="K13" s="944"/>
      <c r="L13" s="944"/>
      <c r="M13" s="944"/>
      <c r="N13" s="944"/>
      <c r="P13" s="945" t="e">
        <f ca="1">_xll.ciqfunctions.udf.CIQRANGEA($B13,"IQ_COMPANY_ID_QUICK_MATCH",1,5,,,,,,,"ID")</f>
        <v>#NAME?</v>
      </c>
      <c r="U13" s="945"/>
    </row>
    <row r="14" spans="2:29" collapsed="1">
      <c r="B14" s="951" t="s">
        <v>999</v>
      </c>
      <c r="C14" s="952" t="e">
        <f ca="1">IF(J14="","",IFERROR(MATCH(B14,$K14:O14,0),"NO"))</f>
        <v>#NAME?</v>
      </c>
      <c r="D14" s="951">
        <v>1</v>
      </c>
      <c r="E14" s="944" t="str">
        <f t="shared" si="0"/>
        <v>Evercore Inc.</v>
      </c>
      <c r="F14" s="944" t="str">
        <f t="shared" si="1"/>
        <v>IQ524568</v>
      </c>
      <c r="G14" s="953" t="e">
        <f ca="1">IF(OR(_xll.ciqfunctions.udf.CIQ($F14,"IQ_COMPANY_TICKER")=0,_xll.ciqfunctions.udf.CIQ($F14,"IQ_COMPANY_TICKER")="(Invalid Identifier)"),"-",_xll.ciqfunctions.udf.CIQ($F14,"IQ_COMPANY_TICKER"))</f>
        <v>#NAME?</v>
      </c>
      <c r="J14" s="944" t="e">
        <f ca="1">_xll.ciqfunctions.udf.CIQRANGEA($B14,"IQ_COMPANY_NAME_QUICK_MATCH",1,5,,,,,,,"NAME")</f>
        <v>#NAME?</v>
      </c>
      <c r="K14" s="944" t="s">
        <v>850</v>
      </c>
      <c r="L14" s="944" t="s">
        <v>1000</v>
      </c>
      <c r="M14" s="944" t="s">
        <v>1001</v>
      </c>
      <c r="N14" s="944" t="s">
        <v>1002</v>
      </c>
      <c r="O14" s="945" t="s">
        <v>1003</v>
      </c>
      <c r="P14" s="945" t="e">
        <f ca="1">_xll.ciqfunctions.udf.CIQRANGEA($B14,"IQ_COMPANY_ID_QUICK_MATCH",1,5,,,,,,,"ID")</f>
        <v>#NAME?</v>
      </c>
      <c r="Q14" s="945" t="s">
        <v>994</v>
      </c>
      <c r="R14" s="945" t="s">
        <v>1004</v>
      </c>
      <c r="S14" s="945" t="s">
        <v>1005</v>
      </c>
      <c r="T14" s="945" t="s">
        <v>1006</v>
      </c>
      <c r="U14" s="945" t="s">
        <v>1007</v>
      </c>
    </row>
    <row r="15" spans="2:29">
      <c r="B15" s="951" t="s">
        <v>1008</v>
      </c>
      <c r="C15" s="952" t="e">
        <f ca="1">IF(J15="","",IFERROR(MATCH(B15,$K15:O15,0),"NO"))</f>
        <v>#NAME?</v>
      </c>
      <c r="D15" s="951">
        <v>1</v>
      </c>
      <c r="E15" s="944" t="str">
        <f t="shared" si="0"/>
        <v>Lazard, Inc.</v>
      </c>
      <c r="F15" s="944" t="str">
        <f t="shared" si="1"/>
        <v>IQ544741</v>
      </c>
      <c r="G15" s="953" t="e">
        <f ca="1">IF(OR(_xll.ciqfunctions.udf.CIQ($F15,"IQ_COMPANY_TICKER")=0,_xll.ciqfunctions.udf.CIQ($F15,"IQ_COMPANY_TICKER")="(Invalid Identifier)"),"-",_xll.ciqfunctions.udf.CIQ($F15,"IQ_COMPANY_TICKER"))</f>
        <v>#NAME?</v>
      </c>
      <c r="J15" s="944" t="e">
        <f ca="1">_xll.ciqfunctions.udf.CIQRANGEA($B15,"IQ_COMPANY_NAME_QUICK_MATCH",1,5,,,,,,,"NAME")</f>
        <v>#NAME?</v>
      </c>
      <c r="K15" s="944" t="s">
        <v>984</v>
      </c>
      <c r="L15" s="944" t="s">
        <v>1009</v>
      </c>
      <c r="M15" s="944" t="s">
        <v>1010</v>
      </c>
      <c r="N15" s="944" t="s">
        <v>1011</v>
      </c>
      <c r="O15" s="945" t="s">
        <v>1012</v>
      </c>
      <c r="P15" s="945" t="e">
        <f ca="1">_xll.ciqfunctions.udf.CIQRANGEA($B15,"IQ_COMPANY_ID_QUICK_MATCH",1,5,,,,,,,"ID")</f>
        <v>#NAME?</v>
      </c>
      <c r="Q15" s="945" t="s">
        <v>995</v>
      </c>
      <c r="R15" s="945" t="s">
        <v>1013</v>
      </c>
      <c r="S15" s="945" t="s">
        <v>1014</v>
      </c>
      <c r="T15" s="945" t="s">
        <v>1015</v>
      </c>
      <c r="U15" s="945" t="s">
        <v>1016</v>
      </c>
    </row>
    <row r="16" spans="2:29">
      <c r="B16" s="951" t="s">
        <v>1017</v>
      </c>
      <c r="C16" s="952" t="e">
        <f ca="1">IF(J16="","",IFERROR(MATCH(B16,$K16:O16,0),"NO"))</f>
        <v>#NAME?</v>
      </c>
      <c r="D16" s="951">
        <v>1</v>
      </c>
      <c r="E16" s="944" t="str">
        <f t="shared" si="0"/>
        <v>Houlihan Lokey, Inc.</v>
      </c>
      <c r="F16" s="944" t="str">
        <f t="shared" si="1"/>
        <v>IQ20999</v>
      </c>
      <c r="G16" s="953" t="e">
        <f ca="1">IF(OR(_xll.ciqfunctions.udf.CIQ($F16,"IQ_COMPANY_TICKER")=0,_xll.ciqfunctions.udf.CIQ($F16,"IQ_COMPANY_TICKER")="(Invalid Identifier)"),"-",_xll.ciqfunctions.udf.CIQ($F16,"IQ_COMPANY_TICKER"))</f>
        <v>#NAME?</v>
      </c>
      <c r="J16" s="944" t="e">
        <f ca="1">_xll.ciqfunctions.udf.CIQRANGEA($B16,"IQ_COMPANY_NAME_QUICK_MATCH",1,5,,,,,,,"NAME")</f>
        <v>#NAME?</v>
      </c>
      <c r="K16" s="944" t="s">
        <v>986</v>
      </c>
      <c r="L16" s="944" t="s">
        <v>1018</v>
      </c>
      <c r="M16" s="944" t="s">
        <v>1019</v>
      </c>
      <c r="N16" s="944" t="s">
        <v>1020</v>
      </c>
      <c r="O16" s="945" t="s">
        <v>1021</v>
      </c>
      <c r="P16" s="945" t="e">
        <f ca="1">_xll.ciqfunctions.udf.CIQRANGEA($B16,"IQ_COMPANY_ID_QUICK_MATCH",1,5,,,,,,,"ID")</f>
        <v>#NAME?</v>
      </c>
      <c r="Q16" s="945" t="s">
        <v>996</v>
      </c>
      <c r="R16" s="945" t="s">
        <v>1022</v>
      </c>
      <c r="S16" s="945" t="s">
        <v>1023</v>
      </c>
      <c r="T16" s="945" t="s">
        <v>1024</v>
      </c>
      <c r="U16" s="945" t="s">
        <v>1025</v>
      </c>
    </row>
    <row r="17" spans="2:21">
      <c r="B17" s="951" t="s">
        <v>1026</v>
      </c>
      <c r="C17" s="952" t="e">
        <f ca="1">IF(J17="","",IFERROR(MATCH(B17,$K17:O17,0),"NO"))</f>
        <v>#NAME?</v>
      </c>
      <c r="D17" s="951">
        <v>1</v>
      </c>
      <c r="E17" s="944" t="str">
        <f t="shared" si="0"/>
        <v>PJT Partners Inc.</v>
      </c>
      <c r="F17" s="944" t="str">
        <f t="shared" si="1"/>
        <v>IQ286743412</v>
      </c>
      <c r="G17" s="953" t="e">
        <f ca="1">IF(OR(_xll.ciqfunctions.udf.CIQ($F17,"IQ_COMPANY_TICKER")=0,_xll.ciqfunctions.udf.CIQ($F17,"IQ_COMPANY_TICKER")="(Invalid Identifier)"),"-",_xll.ciqfunctions.udf.CIQ($F17,"IQ_COMPANY_TICKER"))</f>
        <v>#NAME?</v>
      </c>
      <c r="J17" s="944" t="e">
        <f ca="1">_xll.ciqfunctions.udf.CIQRANGEA($B17,"IQ_COMPANY_NAME_QUICK_MATCH",1,5,,,,,,,"NAME")</f>
        <v>#NAME?</v>
      </c>
      <c r="K17" s="944" t="s">
        <v>988</v>
      </c>
      <c r="L17" s="944" t="s">
        <v>1027</v>
      </c>
      <c r="M17" s="944" t="s">
        <v>1028</v>
      </c>
      <c r="N17" s="944" t="s">
        <v>1029</v>
      </c>
      <c r="O17" s="945" t="s">
        <v>1030</v>
      </c>
      <c r="P17" s="945" t="e">
        <f ca="1">_xll.ciqfunctions.udf.CIQRANGEA($B17,"IQ_COMPANY_ID_QUICK_MATCH",1,5,,,,,,,"ID")</f>
        <v>#NAME?</v>
      </c>
      <c r="Q17" s="945" t="s">
        <v>997</v>
      </c>
      <c r="R17" s="945" t="s">
        <v>1031</v>
      </c>
      <c r="S17" s="945" t="s">
        <v>1032</v>
      </c>
      <c r="T17" s="945" t="s">
        <v>1033</v>
      </c>
      <c r="U17" s="945" t="s">
        <v>1034</v>
      </c>
    </row>
    <row r="18" spans="2:21">
      <c r="B18" s="951" t="s">
        <v>1035</v>
      </c>
      <c r="C18" s="952" t="e">
        <f ca="1">IF(J18="","",IFERROR(MATCH(B18,$K18:O18,0),"NO"))</f>
        <v>#NAME?</v>
      </c>
      <c r="D18" s="951">
        <v>1</v>
      </c>
      <c r="E18" s="944" t="str">
        <f t="shared" si="0"/>
        <v>Roper Technologies, Inc.</v>
      </c>
      <c r="F18" s="944" t="str">
        <f t="shared" si="1"/>
        <v>IQ22751</v>
      </c>
      <c r="G18" s="953" t="e">
        <f ca="1">IF(OR(_xll.ciqfunctions.udf.CIQ($F18,"IQ_COMPANY_TICKER")=0,_xll.ciqfunctions.udf.CIQ($F18,"IQ_COMPANY_TICKER")="(Invalid Identifier)"),"-",_xll.ciqfunctions.udf.CIQ($F18,"IQ_COMPANY_TICKER"))</f>
        <v>#NAME?</v>
      </c>
      <c r="J18" s="944" t="e">
        <f ca="1">_xll.ciqfunctions.udf.CIQRANGEA($B18,"IQ_COMPANY_NAME_QUICK_MATCH",1,5,,,,,,,"NAME")</f>
        <v>#NAME?</v>
      </c>
      <c r="K18" s="944" t="s">
        <v>707</v>
      </c>
      <c r="L18" s="944" t="s">
        <v>708</v>
      </c>
      <c r="M18" s="944" t="s">
        <v>807</v>
      </c>
      <c r="N18" s="944" t="s">
        <v>808</v>
      </c>
      <c r="P18" s="945" t="e">
        <f ca="1">_xll.ciqfunctions.udf.CIQRANGEA($B18,"IQ_COMPANY_ID_QUICK_MATCH",1,5,,,,,,,"ID")</f>
        <v>#NAME?</v>
      </c>
      <c r="Q18" s="945" t="s">
        <v>676</v>
      </c>
      <c r="R18" s="945" t="s">
        <v>709</v>
      </c>
      <c r="S18" s="945" t="s">
        <v>811</v>
      </c>
      <c r="T18" s="945" t="s">
        <v>812</v>
      </c>
      <c r="U18" s="945"/>
    </row>
    <row r="19" spans="2:21">
      <c r="B19" s="951" t="s">
        <v>710</v>
      </c>
      <c r="C19" s="952" t="e">
        <f ca="1">IF(J19="","",IFERROR(MATCH(B19,$K19:O19,0),"NO"))</f>
        <v>#NAME?</v>
      </c>
      <c r="D19" s="951">
        <v>1</v>
      </c>
      <c r="E19" s="944" t="str">
        <f t="shared" si="0"/>
        <v>Emerson Electric Co.</v>
      </c>
      <c r="F19" s="944" t="str">
        <f t="shared" si="1"/>
        <v>IQ269231</v>
      </c>
      <c r="G19" s="953" t="e">
        <f ca="1">IF(OR(_xll.ciqfunctions.udf.CIQ($F19,"IQ_COMPANY_TICKER")=0,_xll.ciqfunctions.udf.CIQ($F19,"IQ_COMPANY_TICKER")="(Invalid Identifier)"),"-",_xll.ciqfunctions.udf.CIQ($F19,"IQ_COMPANY_TICKER"))</f>
        <v>#NAME?</v>
      </c>
      <c r="J19" s="944" t="e">
        <f ca="1">_xll.ciqfunctions.udf.CIQRANGEA($B19,"IQ_COMPANY_NAME_QUICK_MATCH",1,5,,,,,,,"NAME")</f>
        <v>#NAME?</v>
      </c>
      <c r="K19" s="944" t="s">
        <v>710</v>
      </c>
      <c r="L19" s="944" t="s">
        <v>1036</v>
      </c>
      <c r="M19" s="944" t="s">
        <v>837</v>
      </c>
      <c r="N19" s="944" t="s">
        <v>838</v>
      </c>
      <c r="O19" s="945" t="s">
        <v>1037</v>
      </c>
      <c r="P19" s="945" t="e">
        <f ca="1">_xll.ciqfunctions.udf.CIQRANGEA($B19,"IQ_COMPANY_ID_QUICK_MATCH",1,5,,,,,,,"ID")</f>
        <v>#NAME?</v>
      </c>
      <c r="Q19" s="945" t="s">
        <v>679</v>
      </c>
      <c r="R19" s="945" t="s">
        <v>1038</v>
      </c>
      <c r="S19" s="945" t="s">
        <v>835</v>
      </c>
      <c r="T19" s="945" t="s">
        <v>836</v>
      </c>
      <c r="U19" s="945" t="s">
        <v>1039</v>
      </c>
    </row>
    <row r="20" spans="2:21">
      <c r="B20" s="951" t="s">
        <v>785</v>
      </c>
      <c r="C20" s="952" t="e">
        <f ca="1">IF(J20="","",IFERROR(MATCH(B20,$K20:O20,0),"NO"))</f>
        <v>#NAME?</v>
      </c>
      <c r="D20" s="951">
        <v>1</v>
      </c>
      <c r="E20" s="944" t="str">
        <f t="shared" si="0"/>
        <v>Apple Inc.</v>
      </c>
      <c r="F20" s="944" t="str">
        <f t="shared" si="1"/>
        <v>IQ24937</v>
      </c>
      <c r="G20" s="953" t="e">
        <f ca="1">IF(OR(_xll.ciqfunctions.udf.CIQ($F20,"IQ_COMPANY_TICKER")=0,_xll.ciqfunctions.udf.CIQ($F20,"IQ_COMPANY_TICKER")="(Invalid Identifier)"),"-",_xll.ciqfunctions.udf.CIQ($F20,"IQ_COMPANY_TICKER"))</f>
        <v>#NAME?</v>
      </c>
      <c r="J20" s="944" t="e">
        <f ca="1">_xll.ciqfunctions.udf.CIQRANGEA($B20,"IQ_COMPANY_NAME_QUICK_MATCH",1,5,,,,,,,"NAME")</f>
        <v>#NAME?</v>
      </c>
      <c r="K20" s="944" t="s">
        <v>786</v>
      </c>
      <c r="L20" s="944" t="s">
        <v>785</v>
      </c>
      <c r="M20" s="944" t="s">
        <v>818</v>
      </c>
      <c r="N20" s="944" t="s">
        <v>787</v>
      </c>
      <c r="O20" s="945" t="s">
        <v>1040</v>
      </c>
      <c r="P20" s="945" t="e">
        <f ca="1">_xll.ciqfunctions.udf.CIQRANGEA($B20,"IQ_COMPANY_ID_QUICK_MATCH",1,5,,,,,,,"ID")</f>
        <v>#NAME?</v>
      </c>
      <c r="Q20" s="945" t="s">
        <v>788</v>
      </c>
      <c r="R20" s="945" t="s">
        <v>790</v>
      </c>
      <c r="S20" s="945" t="s">
        <v>789</v>
      </c>
      <c r="T20" s="945" t="s">
        <v>791</v>
      </c>
      <c r="U20" s="945" t="s">
        <v>1041</v>
      </c>
    </row>
    <row r="21" spans="2:21">
      <c r="B21" s="951" t="s">
        <v>711</v>
      </c>
      <c r="C21" s="952" t="e">
        <f ca="1">IF(J21="","",IFERROR(MATCH(B21,$K21:O21,0),"NO"))</f>
        <v>#NAME?</v>
      </c>
      <c r="D21" s="951">
        <v>1</v>
      </c>
      <c r="E21" s="944" t="str">
        <f t="shared" si="0"/>
        <v>Oracle Corporation</v>
      </c>
      <c r="F21" s="944" t="str">
        <f t="shared" si="1"/>
        <v>IQ22247</v>
      </c>
      <c r="G21" s="953" t="e">
        <f ca="1">IF(OR(_xll.ciqfunctions.udf.CIQ($F21,"IQ_COMPANY_TICKER")=0,_xll.ciqfunctions.udf.CIQ($F21,"IQ_COMPANY_TICKER")="(Invalid Identifier)"),"-",_xll.ciqfunctions.udf.CIQ($F21,"IQ_COMPANY_TICKER"))</f>
        <v>#NAME?</v>
      </c>
      <c r="J21" s="944" t="e">
        <f ca="1">_xll.ciqfunctions.udf.CIQRANGEA($B21,"IQ_COMPANY_NAME_QUICK_MATCH",1,5,,,,,,,"NAME")</f>
        <v>#NAME?</v>
      </c>
      <c r="K21" s="944" t="s">
        <v>712</v>
      </c>
      <c r="L21" s="944" t="s">
        <v>1042</v>
      </c>
      <c r="M21" s="944" t="s">
        <v>713</v>
      </c>
      <c r="N21" s="944" t="s">
        <v>714</v>
      </c>
      <c r="O21" s="945" t="s">
        <v>1043</v>
      </c>
      <c r="P21" s="945" t="e">
        <f ca="1">_xll.ciqfunctions.udf.CIQRANGEA($B21,"IQ_COMPANY_ID_QUICK_MATCH",1,5,,,,,,,"ID")</f>
        <v>#NAME?</v>
      </c>
      <c r="Q21" s="945" t="s">
        <v>715</v>
      </c>
      <c r="R21" s="945" t="s">
        <v>1044</v>
      </c>
      <c r="S21" s="945" t="s">
        <v>716</v>
      </c>
      <c r="T21" s="945" t="s">
        <v>717</v>
      </c>
      <c r="U21" s="945" t="s">
        <v>1045</v>
      </c>
    </row>
    <row r="22" spans="2:21">
      <c r="B22" s="951" t="s">
        <v>718</v>
      </c>
      <c r="C22" s="952" t="e">
        <f ca="1">IF(J22="","",IFERROR(MATCH(B22,$K22:O22,0),"NO"))</f>
        <v>#NAME?</v>
      </c>
      <c r="D22" s="951">
        <v>1</v>
      </c>
      <c r="E22" s="944" t="str">
        <f t="shared" si="0"/>
        <v>Citrix Systems, Inc.</v>
      </c>
      <c r="F22" s="944" t="str">
        <f t="shared" si="1"/>
        <v>IQ26524</v>
      </c>
      <c r="G22" s="953" t="e">
        <f ca="1">IF(OR(_xll.ciqfunctions.udf.CIQ($F22,"IQ_COMPANY_TICKER")=0,_xll.ciqfunctions.udf.CIQ($F22,"IQ_COMPANY_TICKER")="(Invalid Identifier)"),"-",_xll.ciqfunctions.udf.CIQ($F22,"IQ_COMPANY_TICKER"))</f>
        <v>#NAME?</v>
      </c>
      <c r="J22" s="944" t="e">
        <f ca="1">_xll.ciqfunctions.udf.CIQRANGEA($B22,"IQ_COMPANY_NAME_QUICK_MATCH",1,5,,,,,,,"NAME")</f>
        <v>#NAME?</v>
      </c>
      <c r="K22" s="944" t="s">
        <v>719</v>
      </c>
      <c r="L22" s="944" t="s">
        <v>1046</v>
      </c>
      <c r="M22" s="944" t="s">
        <v>1047</v>
      </c>
      <c r="N22" s="944" t="s">
        <v>814</v>
      </c>
      <c r="O22" s="945" t="s">
        <v>1048</v>
      </c>
      <c r="P22" s="945" t="e">
        <f ca="1">_xll.ciqfunctions.udf.CIQRANGEA($B22,"IQ_COMPANY_ID_QUICK_MATCH",1,5,,,,,,,"ID")</f>
        <v>#NAME?</v>
      </c>
      <c r="Q22" s="945" t="s">
        <v>720</v>
      </c>
      <c r="R22" s="945" t="s">
        <v>1049</v>
      </c>
      <c r="S22" s="945" t="s">
        <v>834</v>
      </c>
      <c r="T22" s="945" t="s">
        <v>806</v>
      </c>
      <c r="U22" s="945" t="s">
        <v>1050</v>
      </c>
    </row>
    <row r="23" spans="2:21">
      <c r="B23" s="951" t="s">
        <v>721</v>
      </c>
      <c r="C23" s="952" t="e">
        <f ca="1">IF(J23="","",IFERROR(MATCH(B23,$K23:O23,0),"NO"))</f>
        <v>#NAME?</v>
      </c>
      <c r="D23" s="951">
        <v>1</v>
      </c>
      <c r="E23" s="944" t="str">
        <f t="shared" si="0"/>
        <v>Cyren Ltd.</v>
      </c>
      <c r="F23" s="944" t="str">
        <f t="shared" si="1"/>
        <v>IQ26767</v>
      </c>
      <c r="G23" s="953" t="e">
        <f ca="1">IF(OR(_xll.ciqfunctions.udf.CIQ($F23,"IQ_COMPANY_TICKER")=0,_xll.ciqfunctions.udf.CIQ($F23,"IQ_COMPANY_TICKER")="(Invalid Identifier)"),"-",_xll.ciqfunctions.udf.CIQ($F23,"IQ_COMPANY_TICKER"))</f>
        <v>#NAME?</v>
      </c>
      <c r="J23" s="944" t="e">
        <f ca="1">_xll.ciqfunctions.udf.CIQRANGEA($B23,"IQ_COMPANY_NAME_QUICK_MATCH",1,5,,,,,,,"NAME")</f>
        <v>#NAME?</v>
      </c>
      <c r="K23" s="944" t="s">
        <v>722</v>
      </c>
      <c r="L23" s="944" t="s">
        <v>1051</v>
      </c>
      <c r="M23" s="944" t="s">
        <v>833</v>
      </c>
      <c r="N23" s="944" t="s">
        <v>810</v>
      </c>
      <c r="O23" s="945" t="s">
        <v>723</v>
      </c>
      <c r="P23" s="945" t="e">
        <f ca="1">_xll.ciqfunctions.udf.CIQRANGEA($B23,"IQ_COMPANY_ID_QUICK_MATCH",1,5,,,,,,,"ID")</f>
        <v>#NAME?</v>
      </c>
      <c r="Q23" s="945" t="s">
        <v>724</v>
      </c>
      <c r="R23" s="945" t="s">
        <v>1052</v>
      </c>
      <c r="S23" s="945" t="s">
        <v>832</v>
      </c>
      <c r="T23" s="945" t="s">
        <v>809</v>
      </c>
      <c r="U23" s="945" t="s">
        <v>725</v>
      </c>
    </row>
    <row r="24" spans="2:21">
      <c r="B24" s="951" t="s">
        <v>726</v>
      </c>
      <c r="C24" s="952" t="e">
        <f ca="1">IF(J24="","",IFERROR(MATCH(B24,$K24:O24,0),"NO"))</f>
        <v>#NAME?</v>
      </c>
      <c r="D24" s="951">
        <v>1</v>
      </c>
      <c r="E24" s="944" t="str">
        <f t="shared" si="0"/>
        <v>Commvault Systems, Inc.</v>
      </c>
      <c r="F24" s="944" t="str">
        <f t="shared" si="1"/>
        <v>IQ26789</v>
      </c>
      <c r="G24" s="953" t="e">
        <f ca="1">IF(OR(_xll.ciqfunctions.udf.CIQ($F24,"IQ_COMPANY_TICKER")=0,_xll.ciqfunctions.udf.CIQ($F24,"IQ_COMPANY_TICKER")="(Invalid Identifier)"),"-",_xll.ciqfunctions.udf.CIQ($F24,"IQ_COMPANY_TICKER"))</f>
        <v>#NAME?</v>
      </c>
      <c r="J24" s="944" t="e">
        <f ca="1">_xll.ciqfunctions.udf.CIQRANGEA($B24,"IQ_COMPANY_NAME_QUICK_MATCH",1,5,,,,,,,"NAME")</f>
        <v>#NAME?</v>
      </c>
      <c r="K24" s="944" t="s">
        <v>727</v>
      </c>
      <c r="L24" s="944" t="s">
        <v>1053</v>
      </c>
      <c r="M24" s="944" t="s">
        <v>728</v>
      </c>
      <c r="N24" s="944" t="s">
        <v>1054</v>
      </c>
      <c r="O24" s="945" t="s">
        <v>1055</v>
      </c>
      <c r="P24" s="945" t="e">
        <f ca="1">_xll.ciqfunctions.udf.CIQRANGEA($B24,"IQ_COMPANY_ID_QUICK_MATCH",1,5,,,,,,,"ID")</f>
        <v>#NAME?</v>
      </c>
      <c r="Q24" s="945" t="s">
        <v>729</v>
      </c>
      <c r="R24" s="945" t="s">
        <v>1056</v>
      </c>
      <c r="S24" s="945" t="s">
        <v>731</v>
      </c>
      <c r="T24" s="945" t="s">
        <v>1057</v>
      </c>
      <c r="U24" s="945" t="s">
        <v>730</v>
      </c>
    </row>
    <row r="25" spans="2:21">
      <c r="B25" s="951" t="s">
        <v>732</v>
      </c>
      <c r="C25" s="952" t="e">
        <f ca="1">IF(J25="","",IFERROR(MATCH(B25,$K25:O25,0),"NO"))</f>
        <v>#NAME?</v>
      </c>
      <c r="D25" s="951">
        <v>1</v>
      </c>
      <c r="E25" s="944" t="str">
        <f t="shared" si="0"/>
        <v>eGain Corporation</v>
      </c>
      <c r="F25" s="944" t="str">
        <f t="shared" si="1"/>
        <v>IQ27928</v>
      </c>
      <c r="G25" s="953" t="e">
        <f ca="1">IF(OR(_xll.ciqfunctions.udf.CIQ($F25,"IQ_COMPANY_TICKER")=0,_xll.ciqfunctions.udf.CIQ($F25,"IQ_COMPANY_TICKER")="(Invalid Identifier)"),"-",_xll.ciqfunctions.udf.CIQ($F25,"IQ_COMPANY_TICKER"))</f>
        <v>#NAME?</v>
      </c>
      <c r="J25" s="944" t="e">
        <f ca="1">_xll.ciqfunctions.udf.CIQRANGEA($B25,"IQ_COMPANY_NAME_QUICK_MATCH",1,5,,,,,,,"NAME")</f>
        <v>#NAME?</v>
      </c>
      <c r="K25" s="944" t="s">
        <v>732</v>
      </c>
      <c r="L25" s="944" t="s">
        <v>815</v>
      </c>
      <c r="M25" s="944" t="s">
        <v>816</v>
      </c>
      <c r="N25" s="944" t="s">
        <v>1058</v>
      </c>
      <c r="O25" s="945" t="s">
        <v>733</v>
      </c>
      <c r="P25" s="945" t="e">
        <f ca="1">_xll.ciqfunctions.udf.CIQRANGEA($B25,"IQ_COMPANY_ID_QUICK_MATCH",1,5,,,,,,,"ID")</f>
        <v>#NAME?</v>
      </c>
      <c r="Q25" s="945" t="s">
        <v>734</v>
      </c>
      <c r="R25" s="945" t="s">
        <v>735</v>
      </c>
      <c r="S25" s="945" t="s">
        <v>817</v>
      </c>
      <c r="T25" s="945" t="s">
        <v>1059</v>
      </c>
      <c r="U25" s="945" t="s">
        <v>736</v>
      </c>
    </row>
    <row r="26" spans="2:21">
      <c r="B26" s="951" t="s">
        <v>737</v>
      </c>
      <c r="C26" s="952" t="e">
        <f ca="1">IF(J26="","",IFERROR(MATCH(B26,$K26:O26,0),"NO"))</f>
        <v>#NAME?</v>
      </c>
      <c r="D26" s="951">
        <v>1</v>
      </c>
      <c r="E26" s="944" t="str">
        <f t="shared" si="0"/>
        <v>Harmonic Inc.</v>
      </c>
      <c r="F26" s="944" t="str">
        <f t="shared" si="1"/>
        <v>IQ29282</v>
      </c>
      <c r="G26" s="953" t="e">
        <f ca="1">IF(OR(_xll.ciqfunctions.udf.CIQ($F26,"IQ_COMPANY_TICKER")=0,_xll.ciqfunctions.udf.CIQ($F26,"IQ_COMPANY_TICKER")="(Invalid Identifier)"),"-",_xll.ciqfunctions.udf.CIQ($F26,"IQ_COMPANY_TICKER"))</f>
        <v>#NAME?</v>
      </c>
      <c r="J26" s="944" t="e">
        <f ca="1">_xll.ciqfunctions.udf.CIQRANGEA($B26,"IQ_COMPANY_NAME_QUICK_MATCH",1,5,,,,,,,"NAME")</f>
        <v>#NAME?</v>
      </c>
      <c r="K26" s="944" t="s">
        <v>738</v>
      </c>
      <c r="L26" s="944" t="s">
        <v>739</v>
      </c>
      <c r="M26" s="944" t="s">
        <v>740</v>
      </c>
      <c r="N26" s="944" t="s">
        <v>1060</v>
      </c>
      <c r="O26" s="945" t="s">
        <v>737</v>
      </c>
      <c r="P26" s="945" t="e">
        <f ca="1">_xll.ciqfunctions.udf.CIQRANGEA($B26,"IQ_COMPANY_ID_QUICK_MATCH",1,5,,,,,,,"ID")</f>
        <v>#NAME?</v>
      </c>
      <c r="Q26" s="945" t="s">
        <v>741</v>
      </c>
      <c r="R26" s="945" t="s">
        <v>742</v>
      </c>
      <c r="S26" s="945" t="s">
        <v>743</v>
      </c>
      <c r="T26" s="945" t="s">
        <v>1061</v>
      </c>
      <c r="U26" s="945" t="s">
        <v>1062</v>
      </c>
    </row>
    <row r="27" spans="2:21">
      <c r="B27" s="951" t="s">
        <v>744</v>
      </c>
      <c r="C27" s="952" t="e">
        <f ca="1">IF(J27="","",IFERROR(MATCH(B27,$K27:O27,0),"NO"))</f>
        <v>#NAME?</v>
      </c>
      <c r="D27" s="951">
        <v>1</v>
      </c>
      <c r="E27" s="944" t="str">
        <f t="shared" si="0"/>
        <v>NetApp, Inc.</v>
      </c>
      <c r="F27" s="944" t="str">
        <f t="shared" si="1"/>
        <v>IQ32052</v>
      </c>
      <c r="G27" s="953" t="e">
        <f ca="1">IF(OR(_xll.ciqfunctions.udf.CIQ($F27,"IQ_COMPANY_TICKER")=0,_xll.ciqfunctions.udf.CIQ($F27,"IQ_COMPANY_TICKER")="(Invalid Identifier)"),"-",_xll.ciqfunctions.udf.CIQ($F27,"IQ_COMPANY_TICKER"))</f>
        <v>#NAME?</v>
      </c>
      <c r="J27" s="944" t="e">
        <f ca="1">_xll.ciqfunctions.udf.CIQRANGEA($B27,"IQ_COMPANY_NAME_QUICK_MATCH",1,5,,,,,,,"NAME")</f>
        <v>#NAME?</v>
      </c>
      <c r="K27" s="944" t="s">
        <v>745</v>
      </c>
      <c r="L27" s="944" t="s">
        <v>831</v>
      </c>
      <c r="M27" s="944" t="s">
        <v>1063</v>
      </c>
      <c r="N27" s="944" t="s">
        <v>1064</v>
      </c>
      <c r="O27" s="945" t="s">
        <v>1065</v>
      </c>
      <c r="P27" s="945" t="e">
        <f ca="1">_xll.ciqfunctions.udf.CIQRANGEA($B27,"IQ_COMPANY_ID_QUICK_MATCH",1,5,,,,,,,"ID")</f>
        <v>#NAME?</v>
      </c>
      <c r="Q27" s="945" t="s">
        <v>746</v>
      </c>
      <c r="R27" s="945" t="s">
        <v>830</v>
      </c>
      <c r="S27" s="945" t="s">
        <v>1066</v>
      </c>
      <c r="T27" s="945" t="s">
        <v>1067</v>
      </c>
      <c r="U27" s="945" t="s">
        <v>1068</v>
      </c>
    </row>
    <row r="28" spans="2:21">
      <c r="B28" s="951" t="s">
        <v>747</v>
      </c>
      <c r="C28" s="952" t="e">
        <f ca="1">IF(J28="","",IFERROR(MATCH(B28,$K28:O28,0),"NO"))</f>
        <v>#NAME?</v>
      </c>
      <c r="D28" s="951">
        <v>1</v>
      </c>
      <c r="E28" s="944" t="str">
        <f t="shared" si="0"/>
        <v>Inseego Corp.</v>
      </c>
      <c r="F28" s="944" t="str">
        <f t="shared" si="1"/>
        <v>IQ32261</v>
      </c>
      <c r="G28" s="953" t="e">
        <f ca="1">IF(OR(_xll.ciqfunctions.udf.CIQ($F28,"IQ_COMPANY_TICKER")=0,_xll.ciqfunctions.udf.CIQ($F28,"IQ_COMPANY_TICKER")="(Invalid Identifier)"),"-",_xll.ciqfunctions.udf.CIQ($F28,"IQ_COMPANY_TICKER"))</f>
        <v>#NAME?</v>
      </c>
      <c r="J28" s="944" t="e">
        <f ca="1">_xll.ciqfunctions.udf.CIQRANGEA($B28,"IQ_COMPANY_NAME_QUICK_MATCH",1,5,,,,,,,"NAME")</f>
        <v>#NAME?</v>
      </c>
      <c r="K28" s="944" t="s">
        <v>748</v>
      </c>
      <c r="L28" s="944" t="s">
        <v>749</v>
      </c>
      <c r="M28" s="944" t="s">
        <v>1069</v>
      </c>
      <c r="N28" s="944" t="s">
        <v>1070</v>
      </c>
      <c r="O28" s="945" t="s">
        <v>1071</v>
      </c>
      <c r="P28" s="945" t="e">
        <f ca="1">_xll.ciqfunctions.udf.CIQRANGEA($B28,"IQ_COMPANY_ID_QUICK_MATCH",1,5,,,,,,,"ID")</f>
        <v>#NAME?</v>
      </c>
      <c r="Q28" s="945" t="s">
        <v>750</v>
      </c>
      <c r="R28" s="945" t="s">
        <v>751</v>
      </c>
      <c r="S28" s="945" t="s">
        <v>813</v>
      </c>
      <c r="T28" s="945" t="s">
        <v>1072</v>
      </c>
      <c r="U28" s="945" t="s">
        <v>1073</v>
      </c>
    </row>
    <row r="29" spans="2:21">
      <c r="B29" s="951" t="s">
        <v>752</v>
      </c>
      <c r="C29" s="952" t="e">
        <f ca="1">IF(J29="","",IFERROR(MATCH(B29,$K29:O29,0),"NO"))</f>
        <v>#NAME?</v>
      </c>
      <c r="D29" s="951">
        <v>1</v>
      </c>
      <c r="E29" s="944" t="str">
        <f t="shared" si="0"/>
        <v>Intouch Insight Ltd.</v>
      </c>
      <c r="F29" s="944" t="str">
        <f t="shared" si="1"/>
        <v>IQ3160034</v>
      </c>
      <c r="G29" s="953" t="e">
        <f ca="1">IF(OR(_xll.ciqfunctions.udf.CIQ($F29,"IQ_COMPANY_TICKER")=0,_xll.ciqfunctions.udf.CIQ($F29,"IQ_COMPANY_TICKER")="(Invalid Identifier)"),"-",_xll.ciqfunctions.udf.CIQ($F29,"IQ_COMPANY_TICKER"))</f>
        <v>#NAME?</v>
      </c>
      <c r="J29" s="944" t="e">
        <f ca="1">_xll.ciqfunctions.udf.CIQRANGEA($B29,"IQ_COMPANY_NAME_QUICK_MATCH",1,5,,,,,,,"NAME")</f>
        <v>#NAME?</v>
      </c>
      <c r="K29" s="944" t="s">
        <v>753</v>
      </c>
      <c r="L29" s="944" t="s">
        <v>754</v>
      </c>
      <c r="M29" s="944"/>
      <c r="N29" s="944"/>
      <c r="P29" s="945" t="e">
        <f ca="1">_xll.ciqfunctions.udf.CIQRANGEA($B29,"IQ_COMPANY_ID_QUICK_MATCH",1,5,,,,,,,"ID")</f>
        <v>#NAME?</v>
      </c>
      <c r="Q29" s="945" t="s">
        <v>755</v>
      </c>
      <c r="R29" s="945" t="s">
        <v>756</v>
      </c>
      <c r="U29" s="945"/>
    </row>
    <row r="30" spans="2:21">
      <c r="B30" s="951" t="s">
        <v>757</v>
      </c>
      <c r="C30" s="952" t="e">
        <f ca="1">IF(J30="","",IFERROR(MATCH(B30,$K30:O30,0),"NO"))</f>
        <v>#NAME?</v>
      </c>
      <c r="D30" s="951">
        <v>1</v>
      </c>
      <c r="E30" s="944" t="str">
        <f t="shared" si="0"/>
        <v>Energy Plug Technologies Corp.</v>
      </c>
      <c r="F30" s="944" t="str">
        <f t="shared" si="1"/>
        <v>IQ282167789</v>
      </c>
      <c r="G30" s="953" t="e">
        <f ca="1">IF(OR(_xll.ciqfunctions.udf.CIQ($F30,"IQ_COMPANY_TICKER")=0,_xll.ciqfunctions.udf.CIQ($F30,"IQ_COMPANY_TICKER")="(Invalid Identifier)"),"-",_xll.ciqfunctions.udf.CIQ($F30,"IQ_COMPANY_TICKER"))</f>
        <v>#NAME?</v>
      </c>
      <c r="J30" s="944" t="e">
        <f ca="1">_xll.ciqfunctions.udf.CIQRANGEA($B30,"IQ_COMPANY_NAME_QUICK_MATCH",1,5,,,,,,,"NAME")</f>
        <v>#NAME?</v>
      </c>
      <c r="K30" s="944" t="s">
        <v>829</v>
      </c>
      <c r="L30" s="944" t="s">
        <v>1074</v>
      </c>
      <c r="M30" s="944"/>
      <c r="N30" s="944"/>
      <c r="P30" s="945" t="e">
        <f ca="1">_xll.ciqfunctions.udf.CIQRANGEA($B30,"IQ_COMPANY_ID_QUICK_MATCH",1,5,,,,,,,"ID")</f>
        <v>#NAME?</v>
      </c>
      <c r="Q30" s="945" t="s">
        <v>758</v>
      </c>
      <c r="R30" s="945" t="s">
        <v>1075</v>
      </c>
      <c r="U30" s="945"/>
    </row>
  </sheetData>
  <mergeCells count="1">
    <mergeCell ref="B8:G8"/>
  </mergeCells>
  <conditionalFormatting sqref="E13:E30">
    <cfRule type="cellIs" dxfId="128" priority="1" stopIfTrue="1" operator="equal">
      <formula>"No Result"</formula>
    </cfRule>
  </conditionalFormatting>
  <dataValidations count="1">
    <dataValidation type="list" allowBlank="1" showInputMessage="1" showErrorMessage="1" sqref="D65548:D65566 IZ65548:IZ65566 SV65548:SV65566 ACR65548:ACR65566 AMN65548:AMN65566 AWJ65548:AWJ65566 BGF65548:BGF65566 BQB65548:BQB65566 BZX65548:BZX65566 CJT65548:CJT65566 CTP65548:CTP65566 DDL65548:DDL65566 DNH65548:DNH65566 DXD65548:DXD65566 EGZ65548:EGZ65566 EQV65548:EQV65566 FAR65548:FAR65566 FKN65548:FKN65566 FUJ65548:FUJ65566 GEF65548:GEF65566 GOB65548:GOB65566 GXX65548:GXX65566 HHT65548:HHT65566 HRP65548:HRP65566 IBL65548:IBL65566 ILH65548:ILH65566 IVD65548:IVD65566 JEZ65548:JEZ65566 JOV65548:JOV65566 JYR65548:JYR65566 KIN65548:KIN65566 KSJ65548:KSJ65566 LCF65548:LCF65566 LMB65548:LMB65566 LVX65548:LVX65566 MFT65548:MFT65566 MPP65548:MPP65566 MZL65548:MZL65566 NJH65548:NJH65566 NTD65548:NTD65566 OCZ65548:OCZ65566 OMV65548:OMV65566 OWR65548:OWR65566 PGN65548:PGN65566 PQJ65548:PQJ65566 QAF65548:QAF65566 QKB65548:QKB65566 QTX65548:QTX65566 RDT65548:RDT65566 RNP65548:RNP65566 RXL65548:RXL65566 SHH65548:SHH65566 SRD65548:SRD65566 TAZ65548:TAZ65566 TKV65548:TKV65566 TUR65548:TUR65566 UEN65548:UEN65566 UOJ65548:UOJ65566 UYF65548:UYF65566 VIB65548:VIB65566 VRX65548:VRX65566 WBT65548:WBT65566 WLP65548:WLP65566 WVL65548:WVL65566 D131084:D131102 IZ131084:IZ131102 SV131084:SV131102 ACR131084:ACR131102 AMN131084:AMN131102 AWJ131084:AWJ131102 BGF131084:BGF131102 BQB131084:BQB131102 BZX131084:BZX131102 CJT131084:CJT131102 CTP131084:CTP131102 DDL131084:DDL131102 DNH131084:DNH131102 DXD131084:DXD131102 EGZ131084:EGZ131102 EQV131084:EQV131102 FAR131084:FAR131102 FKN131084:FKN131102 FUJ131084:FUJ131102 GEF131084:GEF131102 GOB131084:GOB131102 GXX131084:GXX131102 HHT131084:HHT131102 HRP131084:HRP131102 IBL131084:IBL131102 ILH131084:ILH131102 IVD131084:IVD131102 JEZ131084:JEZ131102 JOV131084:JOV131102 JYR131084:JYR131102 KIN131084:KIN131102 KSJ131084:KSJ131102 LCF131084:LCF131102 LMB131084:LMB131102 LVX131084:LVX131102 MFT131084:MFT131102 MPP131084:MPP131102 MZL131084:MZL131102 NJH131084:NJH131102 NTD131084:NTD131102 OCZ131084:OCZ131102 OMV131084:OMV131102 OWR131084:OWR131102 PGN131084:PGN131102 PQJ131084:PQJ131102 QAF131084:QAF131102 QKB131084:QKB131102 QTX131084:QTX131102 RDT131084:RDT131102 RNP131084:RNP131102 RXL131084:RXL131102 SHH131084:SHH131102 SRD131084:SRD131102 TAZ131084:TAZ131102 TKV131084:TKV131102 TUR131084:TUR131102 UEN131084:UEN131102 UOJ131084:UOJ131102 UYF131084:UYF131102 VIB131084:VIB131102 VRX131084:VRX131102 WBT131084:WBT131102 WLP131084:WLP131102 WVL131084:WVL131102 D196620:D196638 IZ196620:IZ196638 SV196620:SV196638 ACR196620:ACR196638 AMN196620:AMN196638 AWJ196620:AWJ196638 BGF196620:BGF196638 BQB196620:BQB196638 BZX196620:BZX196638 CJT196620:CJT196638 CTP196620:CTP196638 DDL196620:DDL196638 DNH196620:DNH196638 DXD196620:DXD196638 EGZ196620:EGZ196638 EQV196620:EQV196638 FAR196620:FAR196638 FKN196620:FKN196638 FUJ196620:FUJ196638 GEF196620:GEF196638 GOB196620:GOB196638 GXX196620:GXX196638 HHT196620:HHT196638 HRP196620:HRP196638 IBL196620:IBL196638 ILH196620:ILH196638 IVD196620:IVD196638 JEZ196620:JEZ196638 JOV196620:JOV196638 JYR196620:JYR196638 KIN196620:KIN196638 KSJ196620:KSJ196638 LCF196620:LCF196638 LMB196620:LMB196638 LVX196620:LVX196638 MFT196620:MFT196638 MPP196620:MPP196638 MZL196620:MZL196638 NJH196620:NJH196638 NTD196620:NTD196638 OCZ196620:OCZ196638 OMV196620:OMV196638 OWR196620:OWR196638 PGN196620:PGN196638 PQJ196620:PQJ196638 QAF196620:QAF196638 QKB196620:QKB196638 QTX196620:QTX196638 RDT196620:RDT196638 RNP196620:RNP196638 RXL196620:RXL196638 SHH196620:SHH196638 SRD196620:SRD196638 TAZ196620:TAZ196638 TKV196620:TKV196638 TUR196620:TUR196638 UEN196620:UEN196638 UOJ196620:UOJ196638 UYF196620:UYF196638 VIB196620:VIB196638 VRX196620:VRX196638 WBT196620:WBT196638 WLP196620:WLP196638 WVL196620:WVL196638 D262156:D262174 IZ262156:IZ262174 SV262156:SV262174 ACR262156:ACR262174 AMN262156:AMN262174 AWJ262156:AWJ262174 BGF262156:BGF262174 BQB262156:BQB262174 BZX262156:BZX262174 CJT262156:CJT262174 CTP262156:CTP262174 DDL262156:DDL262174 DNH262156:DNH262174 DXD262156:DXD262174 EGZ262156:EGZ262174 EQV262156:EQV262174 FAR262156:FAR262174 FKN262156:FKN262174 FUJ262156:FUJ262174 GEF262156:GEF262174 GOB262156:GOB262174 GXX262156:GXX262174 HHT262156:HHT262174 HRP262156:HRP262174 IBL262156:IBL262174 ILH262156:ILH262174 IVD262156:IVD262174 JEZ262156:JEZ262174 JOV262156:JOV262174 JYR262156:JYR262174 KIN262156:KIN262174 KSJ262156:KSJ262174 LCF262156:LCF262174 LMB262156:LMB262174 LVX262156:LVX262174 MFT262156:MFT262174 MPP262156:MPP262174 MZL262156:MZL262174 NJH262156:NJH262174 NTD262156:NTD262174 OCZ262156:OCZ262174 OMV262156:OMV262174 OWR262156:OWR262174 PGN262156:PGN262174 PQJ262156:PQJ262174 QAF262156:QAF262174 QKB262156:QKB262174 QTX262156:QTX262174 RDT262156:RDT262174 RNP262156:RNP262174 RXL262156:RXL262174 SHH262156:SHH262174 SRD262156:SRD262174 TAZ262156:TAZ262174 TKV262156:TKV262174 TUR262156:TUR262174 UEN262156:UEN262174 UOJ262156:UOJ262174 UYF262156:UYF262174 VIB262156:VIB262174 VRX262156:VRX262174 WBT262156:WBT262174 WLP262156:WLP262174 WVL262156:WVL262174 D327692:D327710 IZ327692:IZ327710 SV327692:SV327710 ACR327692:ACR327710 AMN327692:AMN327710 AWJ327692:AWJ327710 BGF327692:BGF327710 BQB327692:BQB327710 BZX327692:BZX327710 CJT327692:CJT327710 CTP327692:CTP327710 DDL327692:DDL327710 DNH327692:DNH327710 DXD327692:DXD327710 EGZ327692:EGZ327710 EQV327692:EQV327710 FAR327692:FAR327710 FKN327692:FKN327710 FUJ327692:FUJ327710 GEF327692:GEF327710 GOB327692:GOB327710 GXX327692:GXX327710 HHT327692:HHT327710 HRP327692:HRP327710 IBL327692:IBL327710 ILH327692:ILH327710 IVD327692:IVD327710 JEZ327692:JEZ327710 JOV327692:JOV327710 JYR327692:JYR327710 KIN327692:KIN327710 KSJ327692:KSJ327710 LCF327692:LCF327710 LMB327692:LMB327710 LVX327692:LVX327710 MFT327692:MFT327710 MPP327692:MPP327710 MZL327692:MZL327710 NJH327692:NJH327710 NTD327692:NTD327710 OCZ327692:OCZ327710 OMV327692:OMV327710 OWR327692:OWR327710 PGN327692:PGN327710 PQJ327692:PQJ327710 QAF327692:QAF327710 QKB327692:QKB327710 QTX327692:QTX327710 RDT327692:RDT327710 RNP327692:RNP327710 RXL327692:RXL327710 SHH327692:SHH327710 SRD327692:SRD327710 TAZ327692:TAZ327710 TKV327692:TKV327710 TUR327692:TUR327710 UEN327692:UEN327710 UOJ327692:UOJ327710 UYF327692:UYF327710 VIB327692:VIB327710 VRX327692:VRX327710 WBT327692:WBT327710 WLP327692:WLP327710 WVL327692:WVL327710 D393228:D393246 IZ393228:IZ393246 SV393228:SV393246 ACR393228:ACR393246 AMN393228:AMN393246 AWJ393228:AWJ393246 BGF393228:BGF393246 BQB393228:BQB393246 BZX393228:BZX393246 CJT393228:CJT393246 CTP393228:CTP393246 DDL393228:DDL393246 DNH393228:DNH393246 DXD393228:DXD393246 EGZ393228:EGZ393246 EQV393228:EQV393246 FAR393228:FAR393246 FKN393228:FKN393246 FUJ393228:FUJ393246 GEF393228:GEF393246 GOB393228:GOB393246 GXX393228:GXX393246 HHT393228:HHT393246 HRP393228:HRP393246 IBL393228:IBL393246 ILH393228:ILH393246 IVD393228:IVD393246 JEZ393228:JEZ393246 JOV393228:JOV393246 JYR393228:JYR393246 KIN393228:KIN393246 KSJ393228:KSJ393246 LCF393228:LCF393246 LMB393228:LMB393246 LVX393228:LVX393246 MFT393228:MFT393246 MPP393228:MPP393246 MZL393228:MZL393246 NJH393228:NJH393246 NTD393228:NTD393246 OCZ393228:OCZ393246 OMV393228:OMV393246 OWR393228:OWR393246 PGN393228:PGN393246 PQJ393228:PQJ393246 QAF393228:QAF393246 QKB393228:QKB393246 QTX393228:QTX393246 RDT393228:RDT393246 RNP393228:RNP393246 RXL393228:RXL393246 SHH393228:SHH393246 SRD393228:SRD393246 TAZ393228:TAZ393246 TKV393228:TKV393246 TUR393228:TUR393246 UEN393228:UEN393246 UOJ393228:UOJ393246 UYF393228:UYF393246 VIB393228:VIB393246 VRX393228:VRX393246 WBT393228:WBT393246 WLP393228:WLP393246 WVL393228:WVL393246 D458764:D458782 IZ458764:IZ458782 SV458764:SV458782 ACR458764:ACR458782 AMN458764:AMN458782 AWJ458764:AWJ458782 BGF458764:BGF458782 BQB458764:BQB458782 BZX458764:BZX458782 CJT458764:CJT458782 CTP458764:CTP458782 DDL458764:DDL458782 DNH458764:DNH458782 DXD458764:DXD458782 EGZ458764:EGZ458782 EQV458764:EQV458782 FAR458764:FAR458782 FKN458764:FKN458782 FUJ458764:FUJ458782 GEF458764:GEF458782 GOB458764:GOB458782 GXX458764:GXX458782 HHT458764:HHT458782 HRP458764:HRP458782 IBL458764:IBL458782 ILH458764:ILH458782 IVD458764:IVD458782 JEZ458764:JEZ458782 JOV458764:JOV458782 JYR458764:JYR458782 KIN458764:KIN458782 KSJ458764:KSJ458782 LCF458764:LCF458782 LMB458764:LMB458782 LVX458764:LVX458782 MFT458764:MFT458782 MPP458764:MPP458782 MZL458764:MZL458782 NJH458764:NJH458782 NTD458764:NTD458782 OCZ458764:OCZ458782 OMV458764:OMV458782 OWR458764:OWR458782 PGN458764:PGN458782 PQJ458764:PQJ458782 QAF458764:QAF458782 QKB458764:QKB458782 QTX458764:QTX458782 RDT458764:RDT458782 RNP458764:RNP458782 RXL458764:RXL458782 SHH458764:SHH458782 SRD458764:SRD458782 TAZ458764:TAZ458782 TKV458764:TKV458782 TUR458764:TUR458782 UEN458764:UEN458782 UOJ458764:UOJ458782 UYF458764:UYF458782 VIB458764:VIB458782 VRX458764:VRX458782 WBT458764:WBT458782 WLP458764:WLP458782 WVL458764:WVL458782 D524300:D524318 IZ524300:IZ524318 SV524300:SV524318 ACR524300:ACR524318 AMN524300:AMN524318 AWJ524300:AWJ524318 BGF524300:BGF524318 BQB524300:BQB524318 BZX524300:BZX524318 CJT524300:CJT524318 CTP524300:CTP524318 DDL524300:DDL524318 DNH524300:DNH524318 DXD524300:DXD524318 EGZ524300:EGZ524318 EQV524300:EQV524318 FAR524300:FAR524318 FKN524300:FKN524318 FUJ524300:FUJ524318 GEF524300:GEF524318 GOB524300:GOB524318 GXX524300:GXX524318 HHT524300:HHT524318 HRP524300:HRP524318 IBL524300:IBL524318 ILH524300:ILH524318 IVD524300:IVD524318 JEZ524300:JEZ524318 JOV524300:JOV524318 JYR524300:JYR524318 KIN524300:KIN524318 KSJ524300:KSJ524318 LCF524300:LCF524318 LMB524300:LMB524318 LVX524300:LVX524318 MFT524300:MFT524318 MPP524300:MPP524318 MZL524300:MZL524318 NJH524300:NJH524318 NTD524300:NTD524318 OCZ524300:OCZ524318 OMV524300:OMV524318 OWR524300:OWR524318 PGN524300:PGN524318 PQJ524300:PQJ524318 QAF524300:QAF524318 QKB524300:QKB524318 QTX524300:QTX524318 RDT524300:RDT524318 RNP524300:RNP524318 RXL524300:RXL524318 SHH524300:SHH524318 SRD524300:SRD524318 TAZ524300:TAZ524318 TKV524300:TKV524318 TUR524300:TUR524318 UEN524300:UEN524318 UOJ524300:UOJ524318 UYF524300:UYF524318 VIB524300:VIB524318 VRX524300:VRX524318 WBT524300:WBT524318 WLP524300:WLP524318 WVL524300:WVL524318 D589836:D589854 IZ589836:IZ589854 SV589836:SV589854 ACR589836:ACR589854 AMN589836:AMN589854 AWJ589836:AWJ589854 BGF589836:BGF589854 BQB589836:BQB589854 BZX589836:BZX589854 CJT589836:CJT589854 CTP589836:CTP589854 DDL589836:DDL589854 DNH589836:DNH589854 DXD589836:DXD589854 EGZ589836:EGZ589854 EQV589836:EQV589854 FAR589836:FAR589854 FKN589836:FKN589854 FUJ589836:FUJ589854 GEF589836:GEF589854 GOB589836:GOB589854 GXX589836:GXX589854 HHT589836:HHT589854 HRP589836:HRP589854 IBL589836:IBL589854 ILH589836:ILH589854 IVD589836:IVD589854 JEZ589836:JEZ589854 JOV589836:JOV589854 JYR589836:JYR589854 KIN589836:KIN589854 KSJ589836:KSJ589854 LCF589836:LCF589854 LMB589836:LMB589854 LVX589836:LVX589854 MFT589836:MFT589854 MPP589836:MPP589854 MZL589836:MZL589854 NJH589836:NJH589854 NTD589836:NTD589854 OCZ589836:OCZ589854 OMV589836:OMV589854 OWR589836:OWR589854 PGN589836:PGN589854 PQJ589836:PQJ589854 QAF589836:QAF589854 QKB589836:QKB589854 QTX589836:QTX589854 RDT589836:RDT589854 RNP589836:RNP589854 RXL589836:RXL589854 SHH589836:SHH589854 SRD589836:SRD589854 TAZ589836:TAZ589854 TKV589836:TKV589854 TUR589836:TUR589854 UEN589836:UEN589854 UOJ589836:UOJ589854 UYF589836:UYF589854 VIB589836:VIB589854 VRX589836:VRX589854 WBT589836:WBT589854 WLP589836:WLP589854 WVL589836:WVL589854 D655372:D655390 IZ655372:IZ655390 SV655372:SV655390 ACR655372:ACR655390 AMN655372:AMN655390 AWJ655372:AWJ655390 BGF655372:BGF655390 BQB655372:BQB655390 BZX655372:BZX655390 CJT655372:CJT655390 CTP655372:CTP655390 DDL655372:DDL655390 DNH655372:DNH655390 DXD655372:DXD655390 EGZ655372:EGZ655390 EQV655372:EQV655390 FAR655372:FAR655390 FKN655372:FKN655390 FUJ655372:FUJ655390 GEF655372:GEF655390 GOB655372:GOB655390 GXX655372:GXX655390 HHT655372:HHT655390 HRP655372:HRP655390 IBL655372:IBL655390 ILH655372:ILH655390 IVD655372:IVD655390 JEZ655372:JEZ655390 JOV655372:JOV655390 JYR655372:JYR655390 KIN655372:KIN655390 KSJ655372:KSJ655390 LCF655372:LCF655390 LMB655372:LMB655390 LVX655372:LVX655390 MFT655372:MFT655390 MPP655372:MPP655390 MZL655372:MZL655390 NJH655372:NJH655390 NTD655372:NTD655390 OCZ655372:OCZ655390 OMV655372:OMV655390 OWR655372:OWR655390 PGN655372:PGN655390 PQJ655372:PQJ655390 QAF655372:QAF655390 QKB655372:QKB655390 QTX655372:QTX655390 RDT655372:RDT655390 RNP655372:RNP655390 RXL655372:RXL655390 SHH655372:SHH655390 SRD655372:SRD655390 TAZ655372:TAZ655390 TKV655372:TKV655390 TUR655372:TUR655390 UEN655372:UEN655390 UOJ655372:UOJ655390 UYF655372:UYF655390 VIB655372:VIB655390 VRX655372:VRX655390 WBT655372:WBT655390 WLP655372:WLP655390 WVL655372:WVL655390 D720908:D720926 IZ720908:IZ720926 SV720908:SV720926 ACR720908:ACR720926 AMN720908:AMN720926 AWJ720908:AWJ720926 BGF720908:BGF720926 BQB720908:BQB720926 BZX720908:BZX720926 CJT720908:CJT720926 CTP720908:CTP720926 DDL720908:DDL720926 DNH720908:DNH720926 DXD720908:DXD720926 EGZ720908:EGZ720926 EQV720908:EQV720926 FAR720908:FAR720926 FKN720908:FKN720926 FUJ720908:FUJ720926 GEF720908:GEF720926 GOB720908:GOB720926 GXX720908:GXX720926 HHT720908:HHT720926 HRP720908:HRP720926 IBL720908:IBL720926 ILH720908:ILH720926 IVD720908:IVD720926 JEZ720908:JEZ720926 JOV720908:JOV720926 JYR720908:JYR720926 KIN720908:KIN720926 KSJ720908:KSJ720926 LCF720908:LCF720926 LMB720908:LMB720926 LVX720908:LVX720926 MFT720908:MFT720926 MPP720908:MPP720926 MZL720908:MZL720926 NJH720908:NJH720926 NTD720908:NTD720926 OCZ720908:OCZ720926 OMV720908:OMV720926 OWR720908:OWR720926 PGN720908:PGN720926 PQJ720908:PQJ720926 QAF720908:QAF720926 QKB720908:QKB720926 QTX720908:QTX720926 RDT720908:RDT720926 RNP720908:RNP720926 RXL720908:RXL720926 SHH720908:SHH720926 SRD720908:SRD720926 TAZ720908:TAZ720926 TKV720908:TKV720926 TUR720908:TUR720926 UEN720908:UEN720926 UOJ720908:UOJ720926 UYF720908:UYF720926 VIB720908:VIB720926 VRX720908:VRX720926 WBT720908:WBT720926 WLP720908:WLP720926 WVL720908:WVL720926 D786444:D786462 IZ786444:IZ786462 SV786444:SV786462 ACR786444:ACR786462 AMN786444:AMN786462 AWJ786444:AWJ786462 BGF786444:BGF786462 BQB786444:BQB786462 BZX786444:BZX786462 CJT786444:CJT786462 CTP786444:CTP786462 DDL786444:DDL786462 DNH786444:DNH786462 DXD786444:DXD786462 EGZ786444:EGZ786462 EQV786444:EQV786462 FAR786444:FAR786462 FKN786444:FKN786462 FUJ786444:FUJ786462 GEF786444:GEF786462 GOB786444:GOB786462 GXX786444:GXX786462 HHT786444:HHT786462 HRP786444:HRP786462 IBL786444:IBL786462 ILH786444:ILH786462 IVD786444:IVD786462 JEZ786444:JEZ786462 JOV786444:JOV786462 JYR786444:JYR786462 KIN786444:KIN786462 KSJ786444:KSJ786462 LCF786444:LCF786462 LMB786444:LMB786462 LVX786444:LVX786462 MFT786444:MFT786462 MPP786444:MPP786462 MZL786444:MZL786462 NJH786444:NJH786462 NTD786444:NTD786462 OCZ786444:OCZ786462 OMV786444:OMV786462 OWR786444:OWR786462 PGN786444:PGN786462 PQJ786444:PQJ786462 QAF786444:QAF786462 QKB786444:QKB786462 QTX786444:QTX786462 RDT786444:RDT786462 RNP786444:RNP786462 RXL786444:RXL786462 SHH786444:SHH786462 SRD786444:SRD786462 TAZ786444:TAZ786462 TKV786444:TKV786462 TUR786444:TUR786462 UEN786444:UEN786462 UOJ786444:UOJ786462 UYF786444:UYF786462 VIB786444:VIB786462 VRX786444:VRX786462 WBT786444:WBT786462 WLP786444:WLP786462 WVL786444:WVL786462 D851980:D851998 IZ851980:IZ851998 SV851980:SV851998 ACR851980:ACR851998 AMN851980:AMN851998 AWJ851980:AWJ851998 BGF851980:BGF851998 BQB851980:BQB851998 BZX851980:BZX851998 CJT851980:CJT851998 CTP851980:CTP851998 DDL851980:DDL851998 DNH851980:DNH851998 DXD851980:DXD851998 EGZ851980:EGZ851998 EQV851980:EQV851998 FAR851980:FAR851998 FKN851980:FKN851998 FUJ851980:FUJ851998 GEF851980:GEF851998 GOB851980:GOB851998 GXX851980:GXX851998 HHT851980:HHT851998 HRP851980:HRP851998 IBL851980:IBL851998 ILH851980:ILH851998 IVD851980:IVD851998 JEZ851980:JEZ851998 JOV851980:JOV851998 JYR851980:JYR851998 KIN851980:KIN851998 KSJ851980:KSJ851998 LCF851980:LCF851998 LMB851980:LMB851998 LVX851980:LVX851998 MFT851980:MFT851998 MPP851980:MPP851998 MZL851980:MZL851998 NJH851980:NJH851998 NTD851980:NTD851998 OCZ851980:OCZ851998 OMV851980:OMV851998 OWR851980:OWR851998 PGN851980:PGN851998 PQJ851980:PQJ851998 QAF851980:QAF851998 QKB851980:QKB851998 QTX851980:QTX851998 RDT851980:RDT851998 RNP851980:RNP851998 RXL851980:RXL851998 SHH851980:SHH851998 SRD851980:SRD851998 TAZ851980:TAZ851998 TKV851980:TKV851998 TUR851980:TUR851998 UEN851980:UEN851998 UOJ851980:UOJ851998 UYF851980:UYF851998 VIB851980:VIB851998 VRX851980:VRX851998 WBT851980:WBT851998 WLP851980:WLP851998 WVL851980:WVL851998 D917516:D917534 IZ917516:IZ917534 SV917516:SV917534 ACR917516:ACR917534 AMN917516:AMN917534 AWJ917516:AWJ917534 BGF917516:BGF917534 BQB917516:BQB917534 BZX917516:BZX917534 CJT917516:CJT917534 CTP917516:CTP917534 DDL917516:DDL917534 DNH917516:DNH917534 DXD917516:DXD917534 EGZ917516:EGZ917534 EQV917516:EQV917534 FAR917516:FAR917534 FKN917516:FKN917534 FUJ917516:FUJ917534 GEF917516:GEF917534 GOB917516:GOB917534 GXX917516:GXX917534 HHT917516:HHT917534 HRP917516:HRP917534 IBL917516:IBL917534 ILH917516:ILH917534 IVD917516:IVD917534 JEZ917516:JEZ917534 JOV917516:JOV917534 JYR917516:JYR917534 KIN917516:KIN917534 KSJ917516:KSJ917534 LCF917516:LCF917534 LMB917516:LMB917534 LVX917516:LVX917534 MFT917516:MFT917534 MPP917516:MPP917534 MZL917516:MZL917534 NJH917516:NJH917534 NTD917516:NTD917534 OCZ917516:OCZ917534 OMV917516:OMV917534 OWR917516:OWR917534 PGN917516:PGN917534 PQJ917516:PQJ917534 QAF917516:QAF917534 QKB917516:QKB917534 QTX917516:QTX917534 RDT917516:RDT917534 RNP917516:RNP917534 RXL917516:RXL917534 SHH917516:SHH917534 SRD917516:SRD917534 TAZ917516:TAZ917534 TKV917516:TKV917534 TUR917516:TUR917534 UEN917516:UEN917534 UOJ917516:UOJ917534 UYF917516:UYF917534 VIB917516:VIB917534 VRX917516:VRX917534 WBT917516:WBT917534 WLP917516:WLP917534 WVL917516:WVL917534 D983052:D983070 IZ983052:IZ983070 SV983052:SV983070 ACR983052:ACR983070 AMN983052:AMN983070 AWJ983052:AWJ983070 BGF983052:BGF983070 BQB983052:BQB983070 BZX983052:BZX983070 CJT983052:CJT983070 CTP983052:CTP983070 DDL983052:DDL983070 DNH983052:DNH983070 DXD983052:DXD983070 EGZ983052:EGZ983070 EQV983052:EQV983070 FAR983052:FAR983070 FKN983052:FKN983070 FUJ983052:FUJ983070 GEF983052:GEF983070 GOB983052:GOB983070 GXX983052:GXX983070 HHT983052:HHT983070 HRP983052:HRP983070 IBL983052:IBL983070 ILH983052:ILH983070 IVD983052:IVD983070 JEZ983052:JEZ983070 JOV983052:JOV983070 JYR983052:JYR983070 KIN983052:KIN983070 KSJ983052:KSJ983070 LCF983052:LCF983070 LMB983052:LMB983070 LVX983052:LVX983070 MFT983052:MFT983070 MPP983052:MPP983070 MZL983052:MZL983070 NJH983052:NJH983070 NTD983052:NTD983070 OCZ983052:OCZ983070 OMV983052:OMV983070 OWR983052:OWR983070 PGN983052:PGN983070 PQJ983052:PQJ983070 QAF983052:QAF983070 QKB983052:QKB983070 QTX983052:QTX983070 RDT983052:RDT983070 RNP983052:RNP983070 RXL983052:RXL983070 SHH983052:SHH983070 SRD983052:SRD983070 TAZ983052:TAZ983070 TKV983052:TKV983070 TUR983052:TUR983070 UEN983052:UEN983070 UOJ983052:UOJ983070 UYF983052:UYF983070 VIB983052:VIB983070 VRX983052:VRX983070 WBT983052:WBT983070 WLP983052:WLP983070 WVL983052:WVL983070 WVL13:WVL30 WLP13:WLP30 WBT13:WBT30 VRX13:VRX30 VIB13:VIB30 UYF13:UYF30 UOJ13:UOJ30 UEN13:UEN30 TUR13:TUR30 TKV13:TKV30 TAZ13:TAZ30 SRD13:SRD30 SHH13:SHH30 RXL13:RXL30 RNP13:RNP30 RDT13:RDT30 QTX13:QTX30 QKB13:QKB30 QAF13:QAF30 PQJ13:PQJ30 PGN13:PGN30 OWR13:OWR30 OMV13:OMV30 OCZ13:OCZ30 NTD13:NTD30 NJH13:NJH30 MZL13:MZL30 MPP13:MPP30 MFT13:MFT30 LVX13:LVX30 LMB13:LMB30 LCF13:LCF30 KSJ13:KSJ30 KIN13:KIN30 JYR13:JYR30 JOV13:JOV30 JEZ13:JEZ30 IVD13:IVD30 ILH13:ILH30 IBL13:IBL30 HRP13:HRP30 HHT13:HHT30 GXX13:GXX30 GOB13:GOB30 GEF13:GEF30 FUJ13:FUJ30 FKN13:FKN30 FAR13:FAR30 EQV13:EQV30 EGZ13:EGZ30 DXD13:DXD30 DNH13:DNH30 DDL13:DDL30 CTP13:CTP30 CJT13:CJT30 BZX13:BZX30 BQB13:BQB30 BGF13:BGF30 AWJ13:AWJ30 AMN13:AMN30 ACR13:ACR30 SV13:SV30 IZ13:IZ30 D13:D30" xr:uid="{00000000-0002-0000-0A00-000000000000}">
      <formula1>$L$2:$L$6</formula1>
    </dataValidation>
  </dataValidations>
  <pageMargins left="0.75" right="0.75" top="1" bottom="1" header="0.5" footer="0.5"/>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pageSetUpPr autoPageBreaks="0"/>
  </sheetPr>
  <dimension ref="A1:BO127"/>
  <sheetViews>
    <sheetView showGridLines="0" topLeftCell="C1" zoomScale="80" zoomScaleNormal="80" workbookViewId="0">
      <pane ySplit="2" topLeftCell="A3" activePane="bottomLeft" state="frozen"/>
      <selection pane="bottomLeft" activeCell="C1" sqref="C1"/>
    </sheetView>
  </sheetViews>
  <sheetFormatPr defaultColWidth="8.7109375" defaultRowHeight="14.25" outlineLevelRow="1" outlineLevelCol="1"/>
  <cols>
    <col min="1" max="1" width="2.42578125" style="3" hidden="1" customWidth="1" outlineLevel="1"/>
    <col min="2" max="2" width="22.42578125" style="3" hidden="1" customWidth="1" outlineLevel="1"/>
    <col min="3" max="3" width="1.7109375" style="828" customWidth="1" collapsed="1"/>
    <col min="4" max="4" width="22.42578125" style="3" customWidth="1"/>
    <col min="5" max="5" width="21.42578125" style="3" bestFit="1" customWidth="1"/>
    <col min="6" max="6" width="10.42578125" style="3" customWidth="1"/>
    <col min="7" max="8" width="12.7109375" style="3" bestFit="1" customWidth="1"/>
    <col min="9" max="9" width="11.7109375" style="3" customWidth="1"/>
    <col min="10" max="23" width="10.42578125" style="3" customWidth="1"/>
    <col min="24" max="24" width="22.42578125" style="3" hidden="1" customWidth="1" outlineLevel="1"/>
    <col min="25" max="25" width="1.7109375" style="3" customWidth="1" collapsed="1"/>
    <col min="26" max="26" width="22.42578125" style="3" hidden="1" customWidth="1" outlineLevel="1"/>
    <col min="27" max="27" width="8.7109375" style="3" hidden="1" customWidth="1" outlineLevel="1"/>
    <col min="28" max="30" width="10.42578125" style="3" hidden="1" customWidth="1" outlineLevel="1"/>
    <col min="31" max="31" width="11.7109375" style="3" hidden="1" customWidth="1" outlineLevel="1"/>
    <col min="32" max="44" width="10.42578125" style="3" hidden="1" customWidth="1" outlineLevel="1"/>
    <col min="45" max="45" width="8.7109375" style="3" collapsed="1"/>
    <col min="46" max="46" width="22.42578125" style="3" hidden="1" customWidth="1" outlineLevel="1"/>
    <col min="47" max="47" width="1.7109375" style="3" customWidth="1" collapsed="1"/>
    <col min="48" max="48" width="22.42578125" style="3" hidden="1" customWidth="1" outlineLevel="1"/>
    <col min="49" max="49" width="8.7109375" style="3" hidden="1" customWidth="1" outlineLevel="1"/>
    <col min="50" max="52" width="10.42578125" style="3" hidden="1" customWidth="1" outlineLevel="1"/>
    <col min="53" max="53" width="11.7109375" style="3" hidden="1" customWidth="1" outlineLevel="1"/>
    <col min="54" max="66" width="10.42578125" style="3" hidden="1" customWidth="1" outlineLevel="1"/>
    <col min="67" max="67" width="8.7109375" style="3" collapsed="1"/>
    <col min="68" max="16384" width="8.7109375" style="3"/>
  </cols>
  <sheetData>
    <row r="1" spans="1:66" s="2" customFormat="1" ht="18">
      <c r="C1" s="827"/>
      <c r="D1" s="508" t="str">
        <f>Company_Name&amp;" - Comparable Company Analysis"</f>
        <v>Evercore Inc. - Comparable Company Analysis</v>
      </c>
    </row>
    <row r="2" spans="1:66">
      <c r="D2" s="4" t="str">
        <f>[15]Cover!C2</f>
        <v>$ in Thousands Except Per Share Data</v>
      </c>
    </row>
    <row r="3" spans="1:66">
      <c r="A3" s="588"/>
      <c r="C3" s="163"/>
      <c r="D3" s="23"/>
      <c r="E3" s="23"/>
      <c r="F3" s="23"/>
      <c r="G3" s="23"/>
      <c r="H3" s="23"/>
      <c r="I3" s="23"/>
      <c r="J3" s="23"/>
      <c r="K3" s="23"/>
      <c r="L3" s="23"/>
      <c r="M3" s="23"/>
      <c r="N3" s="23"/>
      <c r="O3" s="23"/>
      <c r="P3" s="23"/>
      <c r="Q3" s="23"/>
      <c r="R3" s="23"/>
      <c r="S3" s="23"/>
      <c r="T3" s="23"/>
      <c r="U3" s="23"/>
      <c r="V3" s="23"/>
      <c r="W3" s="23"/>
      <c r="Y3" s="163"/>
      <c r="Z3" s="23"/>
      <c r="AA3" s="23"/>
      <c r="AB3" s="23"/>
      <c r="AC3" s="23"/>
      <c r="AD3" s="23"/>
      <c r="AE3" s="23"/>
      <c r="AF3" s="23"/>
      <c r="AG3" s="23"/>
      <c r="AH3" s="23"/>
      <c r="AI3" s="23"/>
      <c r="AJ3" s="23"/>
      <c r="AK3" s="23"/>
      <c r="AL3" s="23"/>
      <c r="AM3" s="23"/>
      <c r="AN3" s="23"/>
      <c r="AO3" s="23"/>
      <c r="AP3" s="23"/>
      <c r="AQ3" s="23"/>
      <c r="AR3" s="23"/>
    </row>
    <row r="4" spans="1:66" ht="16.5">
      <c r="C4" s="163"/>
      <c r="D4" s="540" t="str">
        <f>$D$86</f>
        <v>Primary Peer Group</v>
      </c>
      <c r="E4" s="854"/>
      <c r="F4" s="854"/>
      <c r="G4" s="854"/>
      <c r="H4" s="854"/>
      <c r="I4" s="854"/>
      <c r="J4" s="854"/>
      <c r="K4" s="854"/>
      <c r="L4" s="170"/>
      <c r="M4" s="854"/>
      <c r="N4" s="854"/>
      <c r="O4" s="854"/>
      <c r="P4" s="170"/>
      <c r="Q4" s="854"/>
      <c r="R4" s="854"/>
      <c r="S4" s="854"/>
      <c r="T4" s="170"/>
      <c r="U4" s="854"/>
      <c r="V4" s="855"/>
      <c r="W4" s="23"/>
      <c r="Y4" s="163"/>
      <c r="Z4" s="856" t="str">
        <f>$G$86</f>
        <v>Defense Peer Group</v>
      </c>
      <c r="AA4" s="857"/>
      <c r="AB4" s="857"/>
      <c r="AC4" s="857"/>
      <c r="AD4" s="857"/>
      <c r="AE4" s="857"/>
      <c r="AF4" s="857"/>
      <c r="AG4" s="857"/>
      <c r="AH4" s="858"/>
      <c r="AI4" s="857"/>
      <c r="AJ4" s="857"/>
      <c r="AK4" s="857"/>
      <c r="AL4" s="858"/>
      <c r="AM4" s="857"/>
      <c r="AN4" s="857"/>
      <c r="AO4" s="857"/>
      <c r="AP4" s="858"/>
      <c r="AQ4" s="857"/>
      <c r="AR4" s="859"/>
      <c r="AU4" s="163"/>
      <c r="AV4" s="860" t="str">
        <f>$L$86</f>
        <v>Cap. Goods Peer Group</v>
      </c>
      <c r="AW4" s="857"/>
      <c r="AX4" s="857"/>
      <c r="AY4" s="857"/>
      <c r="AZ4" s="857"/>
      <c r="BA4" s="857"/>
      <c r="BB4" s="857"/>
      <c r="BC4" s="857"/>
      <c r="BD4" s="858"/>
      <c r="BE4" s="857"/>
      <c r="BF4" s="857"/>
      <c r="BG4" s="857"/>
      <c r="BH4" s="858"/>
      <c r="BI4" s="857"/>
      <c r="BJ4" s="857"/>
      <c r="BK4" s="857"/>
      <c r="BL4" s="858"/>
      <c r="BM4" s="857"/>
      <c r="BN4" s="859"/>
    </row>
    <row r="5" spans="1:66" ht="5.0999999999999996" customHeight="1">
      <c r="C5" s="163"/>
      <c r="D5" s="613"/>
      <c r="E5" s="851"/>
      <c r="F5" s="851"/>
      <c r="G5" s="851"/>
      <c r="H5" s="851"/>
      <c r="I5" s="851"/>
      <c r="J5" s="851"/>
      <c r="K5" s="851"/>
      <c r="L5" s="613"/>
      <c r="M5" s="851"/>
      <c r="N5" s="851"/>
      <c r="O5" s="851"/>
      <c r="P5" s="613"/>
      <c r="Q5" s="851"/>
      <c r="R5" s="851"/>
      <c r="S5" s="851"/>
      <c r="T5" s="613"/>
      <c r="U5" s="851"/>
      <c r="V5" s="851"/>
      <c r="W5" s="23"/>
      <c r="Y5" s="163"/>
      <c r="Z5" s="852"/>
      <c r="AA5" s="853"/>
      <c r="AB5" s="853"/>
      <c r="AC5" s="853"/>
      <c r="AD5" s="853"/>
      <c r="AE5" s="853"/>
      <c r="AF5" s="853"/>
      <c r="AG5" s="853"/>
      <c r="AH5" s="852"/>
      <c r="AI5" s="853"/>
      <c r="AJ5" s="853"/>
      <c r="AK5" s="853"/>
      <c r="AL5" s="852"/>
      <c r="AM5" s="853"/>
      <c r="AN5" s="853"/>
      <c r="AO5" s="853"/>
      <c r="AP5" s="852"/>
      <c r="AQ5" s="853"/>
      <c r="AR5" s="853"/>
      <c r="AU5" s="163"/>
      <c r="AV5" s="852"/>
      <c r="AW5" s="853"/>
      <c r="AX5" s="853"/>
      <c r="AY5" s="853"/>
      <c r="AZ5" s="853"/>
      <c r="BA5" s="853"/>
      <c r="BB5" s="853"/>
      <c r="BC5" s="853"/>
      <c r="BD5" s="852"/>
      <c r="BE5" s="853"/>
      <c r="BF5" s="853"/>
      <c r="BG5" s="853"/>
      <c r="BH5" s="852"/>
      <c r="BI5" s="853"/>
      <c r="BJ5" s="853"/>
      <c r="BK5" s="853"/>
      <c r="BL5" s="852"/>
      <c r="BM5" s="853"/>
      <c r="BN5" s="853"/>
    </row>
    <row r="6" spans="1:66" ht="16.5">
      <c r="C6" s="163"/>
      <c r="D6" s="23"/>
      <c r="E6" s="23"/>
      <c r="F6" s="23"/>
      <c r="G6" s="23"/>
      <c r="H6" s="23"/>
      <c r="I6" s="23"/>
      <c r="J6" s="23"/>
      <c r="K6" s="23"/>
      <c r="L6" s="23"/>
      <c r="M6" s="23"/>
      <c r="N6" s="23"/>
      <c r="O6" s="23"/>
      <c r="P6" s="23"/>
      <c r="Q6" s="630" t="s">
        <v>353</v>
      </c>
      <c r="R6" s="630"/>
      <c r="S6" s="630"/>
      <c r="T6" s="613"/>
      <c r="U6" s="23"/>
      <c r="V6" s="23"/>
      <c r="W6" s="23"/>
      <c r="Y6" s="163"/>
      <c r="Z6" s="23"/>
      <c r="AA6" s="23"/>
      <c r="AB6" s="23"/>
      <c r="AC6" s="23"/>
      <c r="AD6" s="23"/>
      <c r="AE6" s="23"/>
      <c r="AF6" s="23"/>
      <c r="AG6" s="23"/>
      <c r="AH6" s="23"/>
      <c r="AI6" s="23"/>
      <c r="AJ6" s="23"/>
      <c r="AK6" s="23"/>
      <c r="AL6" s="23"/>
      <c r="AM6" s="630" t="s">
        <v>353</v>
      </c>
      <c r="AN6" s="630"/>
      <c r="AO6" s="630"/>
      <c r="AP6" s="613"/>
      <c r="AQ6" s="23"/>
      <c r="AR6" s="23"/>
      <c r="AU6" s="163"/>
      <c r="AV6" s="23"/>
      <c r="AW6" s="23"/>
      <c r="AX6" s="23"/>
      <c r="AY6" s="23"/>
      <c r="AZ6" s="23"/>
      <c r="BA6" s="23"/>
      <c r="BB6" s="23"/>
      <c r="BC6" s="23"/>
      <c r="BD6" s="23"/>
      <c r="BE6" s="23"/>
      <c r="BF6" s="23"/>
      <c r="BG6" s="23"/>
      <c r="BH6" s="23"/>
      <c r="BI6" s="630" t="s">
        <v>353</v>
      </c>
      <c r="BJ6" s="630"/>
      <c r="BK6" s="630"/>
      <c r="BL6" s="613"/>
      <c r="BM6" s="23"/>
      <c r="BN6" s="23"/>
    </row>
    <row r="7" spans="1:66" ht="16.5">
      <c r="C7" s="163"/>
      <c r="D7" s="189"/>
      <c r="E7" s="189"/>
      <c r="F7" s="189"/>
      <c r="G7" s="189" t="s">
        <v>354</v>
      </c>
      <c r="H7" s="189" t="s">
        <v>355</v>
      </c>
      <c r="I7" s="631" t="s">
        <v>356</v>
      </c>
      <c r="J7" s="631"/>
      <c r="K7" s="631" t="s">
        <v>212</v>
      </c>
      <c r="L7" s="631"/>
      <c r="M7" s="631" t="s">
        <v>357</v>
      </c>
      <c r="N7" s="631"/>
      <c r="O7" s="631" t="s">
        <v>358</v>
      </c>
      <c r="P7" s="631"/>
      <c r="Q7" s="631" t="s">
        <v>47</v>
      </c>
      <c r="R7" s="631"/>
      <c r="S7" s="631" t="s">
        <v>356</v>
      </c>
      <c r="T7" s="631"/>
      <c r="U7" s="630" t="s">
        <v>359</v>
      </c>
      <c r="V7" s="630"/>
      <c r="W7" s="23"/>
      <c r="Y7" s="163"/>
      <c r="Z7" s="189"/>
      <c r="AA7" s="189"/>
      <c r="AB7" s="189"/>
      <c r="AC7" s="189" t="s">
        <v>354</v>
      </c>
      <c r="AD7" s="189" t="s">
        <v>355</v>
      </c>
      <c r="AE7" s="631" t="s">
        <v>356</v>
      </c>
      <c r="AF7" s="631"/>
      <c r="AG7" s="631" t="s">
        <v>212</v>
      </c>
      <c r="AH7" s="631"/>
      <c r="AI7" s="631" t="s">
        <v>357</v>
      </c>
      <c r="AJ7" s="631"/>
      <c r="AK7" s="631" t="s">
        <v>358</v>
      </c>
      <c r="AL7" s="631"/>
      <c r="AM7" s="631" t="s">
        <v>47</v>
      </c>
      <c r="AN7" s="631"/>
      <c r="AO7" s="631" t="s">
        <v>356</v>
      </c>
      <c r="AP7" s="631"/>
      <c r="AQ7" s="630" t="s">
        <v>359</v>
      </c>
      <c r="AR7" s="630"/>
      <c r="AU7" s="163"/>
      <c r="AV7" s="189"/>
      <c r="AW7" s="189"/>
      <c r="AX7" s="189"/>
      <c r="AY7" s="189" t="s">
        <v>354</v>
      </c>
      <c r="AZ7" s="189" t="s">
        <v>355</v>
      </c>
      <c r="BA7" s="631" t="s">
        <v>356</v>
      </c>
      <c r="BB7" s="631"/>
      <c r="BC7" s="631" t="s">
        <v>212</v>
      </c>
      <c r="BD7" s="631"/>
      <c r="BE7" s="631" t="s">
        <v>357</v>
      </c>
      <c r="BF7" s="631"/>
      <c r="BG7" s="631" t="s">
        <v>358</v>
      </c>
      <c r="BH7" s="631"/>
      <c r="BI7" s="631" t="s">
        <v>47</v>
      </c>
      <c r="BJ7" s="631"/>
      <c r="BK7" s="631" t="s">
        <v>356</v>
      </c>
      <c r="BL7" s="631"/>
      <c r="BM7" s="630" t="s">
        <v>359</v>
      </c>
      <c r="BN7" s="630"/>
    </row>
    <row r="8" spans="1:66" ht="16.5">
      <c r="C8" s="163"/>
      <c r="D8" s="49"/>
      <c r="E8" s="189"/>
      <c r="F8" s="632" t="s">
        <v>360</v>
      </c>
      <c r="G8" s="632" t="s">
        <v>361</v>
      </c>
      <c r="H8" s="632" t="s">
        <v>362</v>
      </c>
      <c r="I8" s="632" t="s">
        <v>363</v>
      </c>
      <c r="J8" s="633">
        <f>Next_FYE</f>
        <v>46418</v>
      </c>
      <c r="K8" s="632" t="s">
        <v>363</v>
      </c>
      <c r="L8" s="633">
        <f>Next_FYE</f>
        <v>46418</v>
      </c>
      <c r="M8" s="632" t="s">
        <v>363</v>
      </c>
      <c r="N8" s="633">
        <f>Next_FYE</f>
        <v>46418</v>
      </c>
      <c r="O8" s="632" t="s">
        <v>363</v>
      </c>
      <c r="P8" s="633">
        <f>Next_FYE</f>
        <v>46418</v>
      </c>
      <c r="Q8" s="632" t="s">
        <v>363</v>
      </c>
      <c r="R8" s="633">
        <f>Next_FYE</f>
        <v>46418</v>
      </c>
      <c r="S8" s="632" t="s">
        <v>363</v>
      </c>
      <c r="T8" s="633">
        <f>Next_FYE</f>
        <v>46418</v>
      </c>
      <c r="U8" s="632" t="s">
        <v>363</v>
      </c>
      <c r="V8" s="633">
        <f>Next_FYE</f>
        <v>46418</v>
      </c>
      <c r="W8" s="23"/>
      <c r="Y8" s="163"/>
      <c r="Z8" s="49"/>
      <c r="AA8" s="189"/>
      <c r="AB8" s="632" t="s">
        <v>360</v>
      </c>
      <c r="AC8" s="632" t="s">
        <v>361</v>
      </c>
      <c r="AD8" s="632" t="s">
        <v>362</v>
      </c>
      <c r="AE8" s="632" t="s">
        <v>363</v>
      </c>
      <c r="AF8" s="633">
        <f>Next_FYE</f>
        <v>46418</v>
      </c>
      <c r="AG8" s="632" t="str">
        <f>$I$8</f>
        <v>LTM</v>
      </c>
      <c r="AH8" s="633">
        <f>$J$8</f>
        <v>46418</v>
      </c>
      <c r="AI8" s="632" t="str">
        <f>$I$8</f>
        <v>LTM</v>
      </c>
      <c r="AJ8" s="633">
        <f>$J$8</f>
        <v>46418</v>
      </c>
      <c r="AK8" s="632" t="str">
        <f>$I$8</f>
        <v>LTM</v>
      </c>
      <c r="AL8" s="633">
        <f>$J$8</f>
        <v>46418</v>
      </c>
      <c r="AM8" s="632" t="str">
        <f>$I$8</f>
        <v>LTM</v>
      </c>
      <c r="AN8" s="633">
        <f>$J$8</f>
        <v>46418</v>
      </c>
      <c r="AO8" s="632" t="str">
        <f>$I$8</f>
        <v>LTM</v>
      </c>
      <c r="AP8" s="633">
        <f>$J$8</f>
        <v>46418</v>
      </c>
      <c r="AQ8" s="632" t="str">
        <f>$I$8</f>
        <v>LTM</v>
      </c>
      <c r="AR8" s="633">
        <f>$J$8</f>
        <v>46418</v>
      </c>
      <c r="AU8" s="163"/>
      <c r="AV8" s="49"/>
      <c r="AW8" s="189"/>
      <c r="AX8" s="632" t="s">
        <v>360</v>
      </c>
      <c r="AY8" s="632" t="s">
        <v>361</v>
      </c>
      <c r="AZ8" s="632" t="s">
        <v>362</v>
      </c>
      <c r="BA8" s="632" t="s">
        <v>363</v>
      </c>
      <c r="BB8" s="633">
        <f>Next_FYE</f>
        <v>46418</v>
      </c>
      <c r="BC8" s="632" t="str">
        <f>$I$8</f>
        <v>LTM</v>
      </c>
      <c r="BD8" s="633">
        <f>$J$8</f>
        <v>46418</v>
      </c>
      <c r="BE8" s="632" t="str">
        <f>$I$8</f>
        <v>LTM</v>
      </c>
      <c r="BF8" s="633">
        <f>$J$8</f>
        <v>46418</v>
      </c>
      <c r="BG8" s="632" t="str">
        <f>$I$8</f>
        <v>LTM</v>
      </c>
      <c r="BH8" s="633">
        <f>$J$8</f>
        <v>46418</v>
      </c>
      <c r="BI8" s="632" t="str">
        <f>$I$8</f>
        <v>LTM</v>
      </c>
      <c r="BJ8" s="633">
        <f>$J$8</f>
        <v>46418</v>
      </c>
      <c r="BK8" s="632" t="str">
        <f>$I$8</f>
        <v>LTM</v>
      </c>
      <c r="BL8" s="633">
        <f>$J$8</f>
        <v>46418</v>
      </c>
      <c r="BM8" s="632" t="str">
        <f>$I$8</f>
        <v>LTM</v>
      </c>
      <c r="BN8" s="633">
        <f>$J$8</f>
        <v>46418</v>
      </c>
    </row>
    <row r="9" spans="1:66" ht="5.0999999999999996" customHeight="1">
      <c r="C9" s="163"/>
      <c r="D9" s="189"/>
      <c r="E9" s="189"/>
      <c r="F9" s="189"/>
      <c r="G9" s="189"/>
      <c r="H9" s="189"/>
      <c r="I9" s="415"/>
      <c r="J9" s="189"/>
      <c r="K9" s="189"/>
      <c r="L9" s="189"/>
      <c r="M9" s="189"/>
      <c r="N9" s="189"/>
      <c r="O9" s="189"/>
      <c r="P9" s="189"/>
      <c r="Q9" s="189"/>
      <c r="R9" s="189"/>
      <c r="S9" s="189"/>
      <c r="T9" s="189"/>
      <c r="U9" s="189"/>
      <c r="V9" s="189"/>
      <c r="W9" s="23"/>
      <c r="Y9" s="163"/>
      <c r="Z9" s="189"/>
      <c r="AA9" s="189"/>
      <c r="AB9" s="189"/>
      <c r="AC9" s="189"/>
      <c r="AD9" s="189"/>
      <c r="AE9" s="415"/>
      <c r="AF9" s="189"/>
      <c r="AG9" s="189"/>
      <c r="AH9" s="189"/>
      <c r="AI9" s="189"/>
      <c r="AJ9" s="189"/>
      <c r="AK9" s="189"/>
      <c r="AL9" s="189"/>
      <c r="AM9" s="189"/>
      <c r="AN9" s="189"/>
      <c r="AO9" s="189"/>
      <c r="AP9" s="189"/>
      <c r="AQ9" s="189"/>
      <c r="AR9" s="189"/>
      <c r="AU9" s="163"/>
      <c r="AV9" s="189"/>
      <c r="AW9" s="189"/>
      <c r="AX9" s="189"/>
      <c r="AY9" s="189"/>
      <c r="AZ9" s="189"/>
      <c r="BA9" s="415"/>
      <c r="BB9" s="189"/>
      <c r="BC9" s="189"/>
      <c r="BD9" s="189"/>
      <c r="BE9" s="189"/>
      <c r="BF9" s="189"/>
      <c r="BG9" s="189"/>
      <c r="BH9" s="189"/>
      <c r="BI9" s="189"/>
      <c r="BJ9" s="189"/>
      <c r="BK9" s="189"/>
      <c r="BL9" s="189"/>
      <c r="BM9" s="189"/>
      <c r="BN9" s="189"/>
    </row>
    <row r="10" spans="1:66">
      <c r="C10" s="163"/>
      <c r="D10" s="634"/>
      <c r="E10" s="147" t="s">
        <v>851</v>
      </c>
      <c r="F10" s="579" t="s">
        <v>851</v>
      </c>
      <c r="G10" s="1048">
        <v>10252.293985</v>
      </c>
      <c r="H10" s="635">
        <v>0.228217</v>
      </c>
      <c r="I10" s="1012">
        <v>0.22681795131079996</v>
      </c>
      <c r="J10" s="1012">
        <v>0.425431</v>
      </c>
      <c r="K10" s="1012">
        <v>0.54376651982378865</v>
      </c>
      <c r="L10" s="1012">
        <v>0.48799999999999999</v>
      </c>
      <c r="M10" s="1012">
        <v>0.244477489576856</v>
      </c>
      <c r="N10" s="1012">
        <v>0.12695600000000001</v>
      </c>
      <c r="O10" s="1012">
        <v>0.17014516790524906</v>
      </c>
      <c r="P10" s="1012">
        <v>0</v>
      </c>
      <c r="Q10" s="1049">
        <v>0</v>
      </c>
      <c r="R10" s="1049">
        <v>0</v>
      </c>
      <c r="S10" s="1049">
        <v>0</v>
      </c>
      <c r="T10" s="637">
        <v>29.659691629955901</v>
      </c>
      <c r="U10" s="637">
        <v>16.484066730000627</v>
      </c>
      <c r="V10" s="638">
        <v>17.846255042276262</v>
      </c>
      <c r="W10" s="23"/>
      <c r="Y10" s="163"/>
      <c r="Z10" s="634" t="str">
        <f>Z51</f>
        <v>Evercore Inc.</v>
      </c>
      <c r="AA10" s="147"/>
      <c r="AB10" s="579" t="s">
        <v>650</v>
      </c>
      <c r="AC10" s="635">
        <v>6040.9355599999999</v>
      </c>
      <c r="AD10" s="635">
        <v>5561.8385600000001</v>
      </c>
      <c r="AE10" s="636">
        <v>0.19067000000000001</v>
      </c>
      <c r="AF10" s="636">
        <v>3.4378215784057531E-2</v>
      </c>
      <c r="AG10" s="636">
        <v>0.124316</v>
      </c>
      <c r="AH10" s="636">
        <v>-0.13980789754535738</v>
      </c>
      <c r="AI10" s="636">
        <v>0.28053100000000003</v>
      </c>
      <c r="AJ10" s="636">
        <v>0.29106114754641993</v>
      </c>
      <c r="AK10" s="636">
        <v>0.15246799999999999</v>
      </c>
      <c r="AL10" s="636">
        <v>0.20242258666034044</v>
      </c>
      <c r="AM10" s="637">
        <v>0</v>
      </c>
      <c r="AN10" s="637">
        <v>24.372328847561164</v>
      </c>
      <c r="AO10" s="637">
        <v>0</v>
      </c>
      <c r="AP10" s="637">
        <v>7.0938380027498669</v>
      </c>
      <c r="AQ10" s="637">
        <v>0</v>
      </c>
      <c r="AR10" s="638">
        <v>38.06344748498806</v>
      </c>
      <c r="AU10" s="163"/>
      <c r="AV10" s="634" t="str">
        <f>Company_Name</f>
        <v>Evercore Inc.</v>
      </c>
      <c r="AW10" s="147"/>
      <c r="AX10" s="579" t="s">
        <v>650</v>
      </c>
      <c r="AY10" s="635">
        <v>6040.9355599999999</v>
      </c>
      <c r="AZ10" s="635">
        <v>5561.8385600000001</v>
      </c>
      <c r="BA10" s="636">
        <v>0.19067000000000001</v>
      </c>
      <c r="BB10" s="636">
        <v>3.4378215784057531E-2</v>
      </c>
      <c r="BC10" s="636">
        <v>0.124316</v>
      </c>
      <c r="BD10" s="636">
        <v>-0.13980789754535738</v>
      </c>
      <c r="BE10" s="636">
        <v>0.28053100000000003</v>
      </c>
      <c r="BF10" s="636">
        <v>0.29106114754641993</v>
      </c>
      <c r="BG10" s="636">
        <v>0.15246799999999999</v>
      </c>
      <c r="BH10" s="636">
        <v>0.20242258666034044</v>
      </c>
      <c r="BI10" s="637">
        <v>0</v>
      </c>
      <c r="BJ10" s="637">
        <v>24.372328847561164</v>
      </c>
      <c r="BK10" s="637">
        <v>0</v>
      </c>
      <c r="BL10" s="637">
        <v>7.0938380027498669</v>
      </c>
      <c r="BM10" s="637">
        <v>0</v>
      </c>
      <c r="BN10" s="638">
        <v>38.06344748498806</v>
      </c>
    </row>
    <row r="11" spans="1:66">
      <c r="C11" s="163"/>
      <c r="D11" s="23"/>
      <c r="E11" s="23"/>
      <c r="F11" s="189"/>
      <c r="G11" s="416"/>
      <c r="H11" s="189"/>
      <c r="I11" s="417"/>
      <c r="J11" s="417"/>
      <c r="K11" s="417"/>
      <c r="L11" s="417"/>
      <c r="M11" s="417"/>
      <c r="N11" s="417"/>
      <c r="O11" s="417"/>
      <c r="P11" s="417"/>
      <c r="Q11" s="1050"/>
      <c r="R11" s="1050"/>
      <c r="S11" s="1050"/>
      <c r="T11" s="189"/>
      <c r="U11" s="189"/>
      <c r="V11" s="189"/>
      <c r="W11" s="23"/>
      <c r="Y11" s="163"/>
      <c r="Z11" s="23"/>
      <c r="AA11" s="23"/>
      <c r="AB11" s="189"/>
      <c r="AC11" s="416"/>
      <c r="AD11" s="189"/>
      <c r="AE11" s="417"/>
      <c r="AF11" s="417"/>
      <c r="AG11" s="417"/>
      <c r="AH11" s="417"/>
      <c r="AI11" s="417"/>
      <c r="AJ11" s="417"/>
      <c r="AK11" s="417"/>
      <c r="AL11" s="417"/>
      <c r="AM11" s="418"/>
      <c r="AN11" s="418"/>
      <c r="AO11" s="418"/>
      <c r="AP11" s="189"/>
      <c r="AQ11" s="189"/>
      <c r="AR11" s="189"/>
      <c r="AU11" s="163"/>
      <c r="AV11" s="23"/>
      <c r="AW11" s="23"/>
      <c r="AX11" s="189"/>
      <c r="AY11" s="416"/>
      <c r="AZ11" s="189"/>
      <c r="BA11" s="417"/>
      <c r="BB11" s="417"/>
      <c r="BC11" s="417"/>
      <c r="BD11" s="417"/>
      <c r="BE11" s="417"/>
      <c r="BF11" s="417"/>
      <c r="BG11" s="417"/>
      <c r="BH11" s="417"/>
      <c r="BI11" s="418"/>
      <c r="BJ11" s="418"/>
      <c r="BK11" s="418"/>
      <c r="BL11" s="189"/>
      <c r="BM11" s="189"/>
      <c r="BN11" s="189"/>
    </row>
    <row r="12" spans="1:66">
      <c r="C12" s="163"/>
      <c r="D12" s="23" t="s">
        <v>984</v>
      </c>
      <c r="E12" s="23"/>
      <c r="F12" s="189" t="s">
        <v>985</v>
      </c>
      <c r="G12" s="310">
        <v>4997.5503710000003</v>
      </c>
      <c r="H12" s="310">
        <v>0</v>
      </c>
      <c r="I12" s="1008">
        <v>0.210535</v>
      </c>
      <c r="J12" s="1008">
        <v>3.6510865423022176E-2</v>
      </c>
      <c r="K12" s="1008">
        <v>2.73</v>
      </c>
      <c r="L12" s="1008">
        <v>0.36378409096421294</v>
      </c>
      <c r="M12" s="1008">
        <v>0.23499999999999999</v>
      </c>
      <c r="N12" s="1008">
        <v>0.17339694391000232</v>
      </c>
      <c r="O12" s="1008">
        <v>9.1719000000000009E-2</v>
      </c>
      <c r="P12" s="1008">
        <v>0.1287548590541914</v>
      </c>
      <c r="Q12" s="1050">
        <v>0</v>
      </c>
      <c r="R12" s="1050">
        <v>0</v>
      </c>
      <c r="S12" s="1050">
        <v>0</v>
      </c>
      <c r="T12" s="419">
        <v>0</v>
      </c>
      <c r="U12" s="419">
        <v>20.611947989532801</v>
      </c>
      <c r="V12" s="419">
        <v>12.270389796461638</v>
      </c>
      <c r="W12" s="23"/>
      <c r="Y12" s="163"/>
      <c r="Z12" s="23" t="e">
        <f ca="1">Z72</f>
        <v>#NAME?</v>
      </c>
      <c r="AA12" s="23"/>
      <c r="AB12" s="189" t="s">
        <v>668</v>
      </c>
      <c r="AC12" s="310">
        <v>128030.64896999999</v>
      </c>
      <c r="AD12" s="310">
        <v>154660.64897000001</v>
      </c>
      <c r="AE12" s="417">
        <v>0.28479199999999999</v>
      </c>
      <c r="AF12" s="417">
        <v>0.15215755721278734</v>
      </c>
      <c r="AG12" s="417">
        <v>0.43208399999999997</v>
      </c>
      <c r="AH12" s="417">
        <v>-2.5665133721199402</v>
      </c>
      <c r="AI12" s="417">
        <v>0.14710100000000001</v>
      </c>
      <c r="AJ12" s="417">
        <v>0.15766706958122381</v>
      </c>
      <c r="AK12" s="417">
        <v>3.5056999999999998E-2</v>
      </c>
      <c r="AL12" s="417">
        <v>9.3871453856720549E-2</v>
      </c>
      <c r="AM12" s="419">
        <v>16.461069999999999</v>
      </c>
      <c r="AN12" s="419">
        <v>15.045626948605292</v>
      </c>
      <c r="AO12" s="419">
        <v>2.5757699999999999</v>
      </c>
      <c r="AP12" s="419">
        <v>2.3721999109988872</v>
      </c>
      <c r="AQ12" s="419">
        <v>63.46893</v>
      </c>
      <c r="AR12" s="419">
        <v>20.919526956583937</v>
      </c>
      <c r="AU12" s="163"/>
      <c r="AV12" s="23" t="e">
        <f ca="1">AV53</f>
        <v>#NAME?</v>
      </c>
      <c r="AW12" s="23"/>
      <c r="AX12" s="189" t="s">
        <v>669</v>
      </c>
      <c r="AY12" s="310">
        <v>112863.39125</v>
      </c>
      <c r="AZ12" s="310">
        <v>126547.39125</v>
      </c>
      <c r="BA12" s="417">
        <v>0.107836</v>
      </c>
      <c r="BB12" s="417">
        <v>9.4074177541635606E-2</v>
      </c>
      <c r="BC12" s="417">
        <v>0.139568</v>
      </c>
      <c r="BD12" s="417">
        <v>7.1204324324324331E-2</v>
      </c>
      <c r="BE12" s="417">
        <v>0.29003200000000001</v>
      </c>
      <c r="BF12" s="417">
        <v>0.26891896707285307</v>
      </c>
      <c r="BG12" s="417">
        <v>0.17038</v>
      </c>
      <c r="BH12" s="417">
        <v>0.1651012198285608</v>
      </c>
      <c r="BI12" s="419">
        <v>11.087059999999999</v>
      </c>
      <c r="BJ12" s="419">
        <v>13.364261803244904</v>
      </c>
      <c r="BK12" s="419">
        <v>3.3659500000000002</v>
      </c>
      <c r="BL12" s="419">
        <v>3.5939034798198044</v>
      </c>
      <c r="BM12" s="419">
        <v>17.64282</v>
      </c>
      <c r="BN12" s="419">
        <v>19.414044738313191</v>
      </c>
    </row>
    <row r="13" spans="1:66">
      <c r="C13" s="163"/>
      <c r="D13" s="23" t="s">
        <v>986</v>
      </c>
      <c r="E13" s="23"/>
      <c r="F13" s="189" t="s">
        <v>987</v>
      </c>
      <c r="G13" s="310">
        <v>12504.719735000001</v>
      </c>
      <c r="H13" s="310">
        <v>0</v>
      </c>
      <c r="I13" s="1008">
        <v>0.21995300000000001</v>
      </c>
      <c r="J13" s="1008">
        <v>0.22849413192996981</v>
      </c>
      <c r="K13" s="1008">
        <v>0.34252499999999997</v>
      </c>
      <c r="L13" s="1008">
        <v>0.44577858880778565</v>
      </c>
      <c r="M13" s="1008">
        <v>0.22700000000000001</v>
      </c>
      <c r="N13" s="1008">
        <v>0.25533085061058625</v>
      </c>
      <c r="O13" s="1008">
        <v>0.15998699999999999</v>
      </c>
      <c r="P13" s="1008">
        <v>0.17458136456358694</v>
      </c>
      <c r="Q13" s="1050">
        <v>0</v>
      </c>
      <c r="R13" s="1050">
        <v>0</v>
      </c>
      <c r="S13" s="1050">
        <v>0</v>
      </c>
      <c r="T13" s="419">
        <v>0</v>
      </c>
      <c r="U13" s="419">
        <v>34.106016582943298</v>
      </c>
      <c r="V13" s="419">
        <v>30.458079901043245</v>
      </c>
      <c r="W13" s="23"/>
      <c r="Y13" s="163"/>
      <c r="Z13" s="23" t="e">
        <f ca="1">Z73</f>
        <v>#NAME?</v>
      </c>
      <c r="AA13" s="23"/>
      <c r="AB13" s="189" t="s">
        <v>670</v>
      </c>
      <c r="AC13" s="310">
        <v>129979.18471</v>
      </c>
      <c r="AD13" s="310">
        <v>172393.18471</v>
      </c>
      <c r="AE13" s="417">
        <v>-7.4287999999999993E-2</v>
      </c>
      <c r="AF13" s="417">
        <v>0.26827198442174782</v>
      </c>
      <c r="AG13" s="417">
        <v>0.43208399999999997</v>
      </c>
      <c r="AH13" s="417">
        <v>-0.97760967432950197</v>
      </c>
      <c r="AI13" s="417">
        <v>-2.9094999999999999E-2</v>
      </c>
      <c r="AJ13" s="417">
        <v>7.5836172983072728E-2</v>
      </c>
      <c r="AK13" s="417">
        <v>-0.14303000000000002</v>
      </c>
      <c r="AL13" s="417">
        <v>-5.4210976329000351E-3</v>
      </c>
      <c r="AM13" s="419" t="s">
        <v>681</v>
      </c>
      <c r="AN13" s="419">
        <v>30.819232691225288</v>
      </c>
      <c r="AO13" s="419">
        <v>2.8267600000000002</v>
      </c>
      <c r="AP13" s="419">
        <v>2.3372126615773308</v>
      </c>
      <c r="AQ13" s="419" t="s">
        <v>681</v>
      </c>
      <c r="AR13" s="419" t="s">
        <v>681</v>
      </c>
      <c r="AU13" s="163"/>
      <c r="AV13" s="23" t="e">
        <f ca="1">AV54</f>
        <v>#NAME?</v>
      </c>
      <c r="AW13" s="23"/>
      <c r="AX13" s="189" t="s">
        <v>671</v>
      </c>
      <c r="AY13" s="310">
        <v>116444.01873</v>
      </c>
      <c r="AZ13" s="310">
        <v>165361.01873000001</v>
      </c>
      <c r="BA13" s="417">
        <v>-8.3476999999999996E-2</v>
      </c>
      <c r="BB13" s="417">
        <v>-3.6353036963538865E-2</v>
      </c>
      <c r="BC13" s="417">
        <v>0.139568</v>
      </c>
      <c r="BD13" s="417">
        <v>-0.57771187139860958</v>
      </c>
      <c r="BE13" s="417">
        <v>8.6125000000000007E-2</v>
      </c>
      <c r="BF13" s="417">
        <v>0.10098877292986558</v>
      </c>
      <c r="BG13" s="417">
        <v>-3.1019999999999999E-2</v>
      </c>
      <c r="BH13" s="417">
        <v>2.7997383350577984E-2</v>
      </c>
      <c r="BI13" s="419">
        <v>20.848230000000001</v>
      </c>
      <c r="BJ13" s="419">
        <v>21.341521001218538</v>
      </c>
      <c r="BK13" s="419">
        <v>2.0760299999999998</v>
      </c>
      <c r="BL13" s="419">
        <v>2.1552540183700164</v>
      </c>
      <c r="BM13" s="419" t="s">
        <v>681</v>
      </c>
      <c r="BN13" s="419">
        <v>54.208209895473338</v>
      </c>
    </row>
    <row r="14" spans="1:66">
      <c r="C14" s="163"/>
      <c r="D14" s="23" t="s">
        <v>988</v>
      </c>
      <c r="E14" s="23"/>
      <c r="F14" s="189" t="s">
        <v>989</v>
      </c>
      <c r="G14" s="310">
        <v>4166.801931</v>
      </c>
      <c r="H14" s="310">
        <v>0</v>
      </c>
      <c r="I14" s="1008">
        <v>0.29091400000000001</v>
      </c>
      <c r="J14" s="1008">
        <v>0.10620420084156135</v>
      </c>
      <c r="K14" s="1008">
        <v>0.57501800000000003</v>
      </c>
      <c r="L14" s="1008">
        <v>0.24327439024390252</v>
      </c>
      <c r="M14" s="1008">
        <v>0.189</v>
      </c>
      <c r="N14" s="1008">
        <v>0.2098773121620727</v>
      </c>
      <c r="O14" s="1008">
        <v>9.0004000000000015E-2</v>
      </c>
      <c r="P14" s="1008">
        <v>0.16570162758703727</v>
      </c>
      <c r="Q14" s="1050">
        <v>0</v>
      </c>
      <c r="R14" s="1050">
        <v>0</v>
      </c>
      <c r="S14" s="1050">
        <v>0</v>
      </c>
      <c r="T14" s="419">
        <v>0</v>
      </c>
      <c r="U14" s="419">
        <v>35.731707317073202</v>
      </c>
      <c r="V14" s="419">
        <v>15.224024963911098</v>
      </c>
      <c r="W14" s="23"/>
      <c r="Y14" s="163"/>
      <c r="Z14" s="23" t="e">
        <f ca="1">Z74</f>
        <v>#NAME?</v>
      </c>
      <c r="AA14" s="23"/>
      <c r="AB14" s="189" t="s">
        <v>672</v>
      </c>
      <c r="AC14" s="310">
        <v>8308.7197699999997</v>
      </c>
      <c r="AD14" s="310">
        <v>9819.7197699999997</v>
      </c>
      <c r="AE14" s="417">
        <v>7.3869999999999991E-2</v>
      </c>
      <c r="AF14" s="417">
        <v>5.5577780151693235E-2</v>
      </c>
      <c r="AG14" s="417">
        <v>0.43208399999999997</v>
      </c>
      <c r="AH14" s="417">
        <v>-0.23063185530921815</v>
      </c>
      <c r="AI14" s="417">
        <v>0.12192</v>
      </c>
      <c r="AJ14" s="417">
        <v>8.4324001841222004E-2</v>
      </c>
      <c r="AK14" s="417">
        <v>7.8078999999999996E-2</v>
      </c>
      <c r="AL14" s="417">
        <v>0</v>
      </c>
      <c r="AM14" s="419">
        <v>7.41228</v>
      </c>
      <c r="AN14" s="419">
        <v>11.785157752018538</v>
      </c>
      <c r="AO14" s="419">
        <v>0.98224</v>
      </c>
      <c r="AP14" s="419">
        <v>0.99377166398030303</v>
      </c>
      <c r="AQ14" s="419">
        <v>10.643929999999999</v>
      </c>
      <c r="AR14" s="419">
        <v>20.919526956583937</v>
      </c>
      <c r="AU14" s="163"/>
      <c r="AV14" s="23" t="e">
        <f ca="1">AV55</f>
        <v>#NAME?</v>
      </c>
      <c r="AW14" s="23"/>
      <c r="AX14" s="189" t="s">
        <v>673</v>
      </c>
      <c r="AY14" s="310">
        <v>159578.88610999999</v>
      </c>
      <c r="AZ14" s="310">
        <v>169888.88610999999</v>
      </c>
      <c r="BA14" s="417">
        <v>-1.6309000000000001E-2</v>
      </c>
      <c r="BB14" s="417">
        <v>7.4231268805343698E-2</v>
      </c>
      <c r="BC14" s="417">
        <v>-0.135737</v>
      </c>
      <c r="BD14" s="417">
        <v>0.20102827380952371</v>
      </c>
      <c r="BE14" s="417">
        <v>0.24559</v>
      </c>
      <c r="BF14" s="417">
        <v>0.25050484821913088</v>
      </c>
      <c r="BG14" s="417">
        <v>0.14646999999999999</v>
      </c>
      <c r="BH14" s="417">
        <v>0.16202131881505455</v>
      </c>
      <c r="BI14" s="419">
        <v>18.49203</v>
      </c>
      <c r="BJ14" s="419">
        <v>19.343756300866573</v>
      </c>
      <c r="BK14" s="419">
        <v>4.7124499999999996</v>
      </c>
      <c r="BL14" s="419">
        <v>4.8457047361364376</v>
      </c>
      <c r="BM14" s="419">
        <v>30.831659999999999</v>
      </c>
      <c r="BN14" s="419">
        <v>28.092814093008723</v>
      </c>
    </row>
    <row r="15" spans="1:66">
      <c r="C15" s="163"/>
      <c r="D15" s="23" t="s">
        <v>990</v>
      </c>
      <c r="E15" s="23"/>
      <c r="F15" s="189" t="s">
        <v>991</v>
      </c>
      <c r="G15" s="310">
        <v>5361.2381960000002</v>
      </c>
      <c r="H15" s="310">
        <v>0</v>
      </c>
      <c r="I15" s="1008">
        <v>0.39754</v>
      </c>
      <c r="J15" s="1008">
        <v>0.24366867719508245</v>
      </c>
      <c r="K15" s="1008">
        <v>1.78</v>
      </c>
      <c r="L15" s="1008">
        <v>0.50156639620951826</v>
      </c>
      <c r="M15" s="1008">
        <v>0.154</v>
      </c>
      <c r="N15" s="1008">
        <v>0.20991261415618093</v>
      </c>
      <c r="O15" s="1008">
        <v>0.113867</v>
      </c>
      <c r="P15" s="1008">
        <v>0.16788363928228667</v>
      </c>
      <c r="Q15" s="1050">
        <v>0</v>
      </c>
      <c r="R15" s="1050">
        <v>0</v>
      </c>
      <c r="S15" s="1050">
        <v>0</v>
      </c>
      <c r="T15" s="419">
        <v>0</v>
      </c>
      <c r="U15" s="419">
        <v>39.4063571092804</v>
      </c>
      <c r="V15" s="419">
        <v>21.495597270994356</v>
      </c>
      <c r="W15" s="23"/>
      <c r="Y15" s="163"/>
      <c r="Z15" s="23" t="e">
        <f ca="1">Z75</f>
        <v>#NAME?</v>
      </c>
      <c r="AA15" s="23"/>
      <c r="AB15" s="189" t="s">
        <v>674</v>
      </c>
      <c r="AC15" s="310">
        <v>100241.00058000001</v>
      </c>
      <c r="AD15" s="310">
        <v>109675.00058000001</v>
      </c>
      <c r="AE15" s="417">
        <v>6.1887999999999999E-2</v>
      </c>
      <c r="AF15" s="417">
        <v>4.4912920425701053E-2</v>
      </c>
      <c r="AG15" s="417">
        <v>0.12679299999999999</v>
      </c>
      <c r="AH15" s="417">
        <v>0.10296855591228082</v>
      </c>
      <c r="AI15" s="417">
        <v>0.15308099999999999</v>
      </c>
      <c r="AJ15" s="417">
        <v>0.15369527678916067</v>
      </c>
      <c r="AK15" s="417">
        <v>0.10689299999999999</v>
      </c>
      <c r="AL15" s="417">
        <v>0.10917443855909938</v>
      </c>
      <c r="AM15" s="419">
        <v>10.019970000000001</v>
      </c>
      <c r="AN15" s="419">
        <v>10.442453685118846</v>
      </c>
      <c r="AO15" s="419">
        <v>1.5917600000000001</v>
      </c>
      <c r="AP15" s="419">
        <v>1.6049558094923317</v>
      </c>
      <c r="AQ15" s="419">
        <v>13.61295</v>
      </c>
      <c r="AR15" s="419">
        <v>13.436305184315913</v>
      </c>
      <c r="AU15" s="163"/>
      <c r="AV15" s="23" t="e">
        <f ca="1">AV56</f>
        <v>#NAME?</v>
      </c>
      <c r="AW15" s="23"/>
      <c r="AX15" s="189" t="s">
        <v>675</v>
      </c>
      <c r="AY15" s="310">
        <v>50450.580549999999</v>
      </c>
      <c r="AZ15" s="310">
        <v>58814.680549999997</v>
      </c>
      <c r="BA15" s="417">
        <v>0.107789</v>
      </c>
      <c r="BB15" s="417">
        <v>0.16134879412350056</v>
      </c>
      <c r="BC15" s="417">
        <v>-0.342387</v>
      </c>
      <c r="BD15" s="417">
        <v>0.68387750556792848</v>
      </c>
      <c r="BE15" s="417">
        <v>0.36213099999999998</v>
      </c>
      <c r="BF15" s="417">
        <v>0.36653876959791054</v>
      </c>
      <c r="BG15" s="417">
        <v>0.17795100000000003</v>
      </c>
      <c r="BH15" s="417">
        <v>0.25151357300210986</v>
      </c>
      <c r="BI15" s="419">
        <v>25.128550000000001</v>
      </c>
      <c r="BJ15" s="419">
        <v>24.998032555108455</v>
      </c>
      <c r="BK15" s="419">
        <v>9.3873300000000004</v>
      </c>
      <c r="BL15" s="419">
        <v>9.1627480951179638</v>
      </c>
      <c r="BM15" s="419">
        <v>45.20111</v>
      </c>
      <c r="BN15" s="419">
        <v>31.249620371034457</v>
      </c>
    </row>
    <row r="16" spans="1:66">
      <c r="C16" s="163"/>
      <c r="D16" s="23"/>
      <c r="E16" s="23"/>
      <c r="F16" s="189"/>
      <c r="G16" s="310"/>
      <c r="H16" s="310"/>
      <c r="I16" s="1008"/>
      <c r="J16" s="1008"/>
      <c r="K16" s="1008"/>
      <c r="L16" s="1008"/>
      <c r="M16" s="1008"/>
      <c r="N16" s="1008"/>
      <c r="O16" s="1008"/>
      <c r="P16" s="1008"/>
      <c r="Q16" s="1050"/>
      <c r="R16" s="1050"/>
      <c r="S16" s="1050"/>
      <c r="T16" s="419"/>
      <c r="U16" s="419"/>
      <c r="V16" s="419"/>
      <c r="W16" s="23"/>
      <c r="Y16" s="163"/>
      <c r="Z16" s="23" t="e">
        <f ca="1">Z76</f>
        <v>#NAME?</v>
      </c>
      <c r="AA16" s="23"/>
      <c r="AB16" s="189" t="s">
        <v>677</v>
      </c>
      <c r="AC16" s="310">
        <v>58414.205139999998</v>
      </c>
      <c r="AD16" s="310">
        <v>68211.205140000005</v>
      </c>
      <c r="AE16" s="417">
        <v>8.3658999999999997E-2</v>
      </c>
      <c r="AF16" s="417">
        <v>-1.4799398896709226E-2</v>
      </c>
      <c r="AG16" s="417">
        <v>0.94067400000000001</v>
      </c>
      <c r="AH16" s="417">
        <v>0.30977193904361511</v>
      </c>
      <c r="AI16" s="417">
        <v>0.14817900000000001</v>
      </c>
      <c r="AJ16" s="417">
        <v>0.16978995137012473</v>
      </c>
      <c r="AK16" s="417">
        <v>0.120947</v>
      </c>
      <c r="AL16" s="417">
        <v>0.1101035929189027</v>
      </c>
      <c r="AM16" s="419">
        <v>11.64045</v>
      </c>
      <c r="AN16" s="419">
        <v>11.081104576504847</v>
      </c>
      <c r="AO16" s="419">
        <v>1.8671199999999999</v>
      </c>
      <c r="AP16" s="419">
        <v>1.8814602071720246</v>
      </c>
      <c r="AQ16" s="419">
        <v>13.68139</v>
      </c>
      <c r="AR16" s="419">
        <v>14.63377236634007</v>
      </c>
      <c r="AU16" s="163"/>
      <c r="AV16" s="23" t="e">
        <f ca="1">AV57</f>
        <v>#NAME?</v>
      </c>
      <c r="AW16" s="23"/>
      <c r="AX16" s="189" t="s">
        <v>678</v>
      </c>
      <c r="AY16" s="310">
        <v>62631.506000000001</v>
      </c>
      <c r="AZ16" s="310">
        <v>67649.505999999994</v>
      </c>
      <c r="BA16" s="417">
        <v>3.7735999999999999E-2</v>
      </c>
      <c r="BB16" s="417">
        <v>9.4444228775692585E-2</v>
      </c>
      <c r="BC16" s="417">
        <v>0.22055499999999997</v>
      </c>
      <c r="BD16" s="417">
        <v>0.25316666666666676</v>
      </c>
      <c r="BE16" s="417">
        <v>0.221998</v>
      </c>
      <c r="BF16" s="417">
        <v>0.22892474020264064</v>
      </c>
      <c r="BG16" s="417">
        <v>0.13201000000000002</v>
      </c>
      <c r="BH16" s="417">
        <v>0.13269769057936825</v>
      </c>
      <c r="BI16" s="419">
        <v>14.771470000000001</v>
      </c>
      <c r="BJ16" s="419">
        <v>16.086327955734895</v>
      </c>
      <c r="BK16" s="419">
        <v>3.4847100000000002</v>
      </c>
      <c r="BL16" s="419">
        <v>3.6825584480810862</v>
      </c>
      <c r="BM16" s="419">
        <v>24.433759999999999</v>
      </c>
      <c r="BN16" s="419">
        <v>25.692981780241418</v>
      </c>
    </row>
    <row r="17" spans="3:66" ht="15" thickBot="1">
      <c r="C17" s="163"/>
      <c r="D17" s="23"/>
      <c r="E17" s="23"/>
      <c r="F17" s="189"/>
      <c r="G17" s="189"/>
      <c r="H17" s="189"/>
      <c r="I17" s="420"/>
      <c r="J17" s="420"/>
      <c r="K17" s="309"/>
      <c r="L17" s="309"/>
      <c r="M17" s="309"/>
      <c r="N17" s="309"/>
      <c r="O17" s="309"/>
      <c r="P17" s="309"/>
      <c r="Q17" s="1050"/>
      <c r="R17" s="1050"/>
      <c r="S17" s="1050"/>
      <c r="T17" s="189"/>
      <c r="U17" s="189"/>
      <c r="V17" s="189"/>
      <c r="W17" s="23"/>
      <c r="Y17" s="163"/>
      <c r="Z17" s="23"/>
      <c r="AA17" s="23"/>
      <c r="AB17" s="189"/>
      <c r="AC17" s="189"/>
      <c r="AD17" s="189"/>
      <c r="AE17" s="420"/>
      <c r="AF17" s="420"/>
      <c r="AG17" s="309"/>
      <c r="AH17" s="309"/>
      <c r="AI17" s="309"/>
      <c r="AJ17" s="309"/>
      <c r="AK17" s="309"/>
      <c r="AL17" s="309"/>
      <c r="AM17" s="189"/>
      <c r="AN17" s="189"/>
      <c r="AO17" s="189"/>
      <c r="AP17" s="189"/>
      <c r="AQ17" s="189"/>
      <c r="AR17" s="189"/>
      <c r="AU17" s="163"/>
      <c r="AV17" s="23"/>
      <c r="AW17" s="23"/>
      <c r="AX17" s="189"/>
      <c r="AY17" s="189"/>
      <c r="AZ17" s="189"/>
      <c r="BA17" s="420"/>
      <c r="BB17" s="420"/>
      <c r="BC17" s="309"/>
      <c r="BD17" s="309"/>
      <c r="BE17" s="309"/>
      <c r="BF17" s="309"/>
      <c r="BG17" s="309"/>
      <c r="BH17" s="309"/>
      <c r="BI17" s="189"/>
      <c r="BJ17" s="189"/>
      <c r="BK17" s="189"/>
      <c r="BL17" s="189"/>
      <c r="BM17" s="189"/>
      <c r="BN17" s="189"/>
    </row>
    <row r="18" spans="3:66">
      <c r="C18" s="163"/>
      <c r="D18" s="639" t="s">
        <v>364</v>
      </c>
      <c r="E18" s="640"/>
      <c r="F18" s="641"/>
      <c r="G18" s="642">
        <f>MAX(G10:G16)</f>
        <v>12504.719735000001</v>
      </c>
      <c r="H18" s="642">
        <f t="shared" ref="H18:V18" si="0">MAX(H10:H16)</f>
        <v>0.228217</v>
      </c>
      <c r="I18" s="1009">
        <f t="shared" si="0"/>
        <v>0.39754</v>
      </c>
      <c r="J18" s="1009">
        <f t="shared" si="0"/>
        <v>0.425431</v>
      </c>
      <c r="K18" s="1009">
        <f t="shared" si="0"/>
        <v>2.73</v>
      </c>
      <c r="L18" s="1009">
        <f t="shared" si="0"/>
        <v>0.50156639620951826</v>
      </c>
      <c r="M18" s="1009">
        <f t="shared" si="0"/>
        <v>0.244477489576856</v>
      </c>
      <c r="N18" s="1009">
        <f t="shared" si="0"/>
        <v>0.25533085061058625</v>
      </c>
      <c r="O18" s="1009">
        <f t="shared" si="0"/>
        <v>0.17014516790524906</v>
      </c>
      <c r="P18" s="1009">
        <f t="shared" si="0"/>
        <v>0.17458136456358694</v>
      </c>
      <c r="Q18" s="1051">
        <f t="shared" si="0"/>
        <v>0</v>
      </c>
      <c r="R18" s="1051">
        <f t="shared" si="0"/>
        <v>0</v>
      </c>
      <c r="S18" s="1051">
        <f t="shared" si="0"/>
        <v>0</v>
      </c>
      <c r="T18" s="645">
        <f t="shared" si="0"/>
        <v>29.659691629955901</v>
      </c>
      <c r="U18" s="645">
        <f t="shared" si="0"/>
        <v>39.4063571092804</v>
      </c>
      <c r="V18" s="646">
        <f t="shared" si="0"/>
        <v>30.458079901043245</v>
      </c>
      <c r="W18" s="23"/>
      <c r="Y18" s="163"/>
      <c r="Z18" s="639" t="s">
        <v>364</v>
      </c>
      <c r="AA18" s="640"/>
      <c r="AB18" s="641"/>
      <c r="AC18" s="642">
        <f>MAX(AC10:AC16)</f>
        <v>129979.18471</v>
      </c>
      <c r="AD18" s="642">
        <f t="shared" ref="AD18:AR18" si="1">MAX(AD10:AD16)</f>
        <v>172393.18471</v>
      </c>
      <c r="AE18" s="643">
        <f t="shared" si="1"/>
        <v>0.28479199999999999</v>
      </c>
      <c r="AF18" s="643">
        <f t="shared" si="1"/>
        <v>0.26827198442174782</v>
      </c>
      <c r="AG18" s="643">
        <f t="shared" si="1"/>
        <v>0.94067400000000001</v>
      </c>
      <c r="AH18" s="643">
        <f t="shared" si="1"/>
        <v>0.30977193904361511</v>
      </c>
      <c r="AI18" s="643">
        <f t="shared" si="1"/>
        <v>0.28053100000000003</v>
      </c>
      <c r="AJ18" s="643">
        <f t="shared" si="1"/>
        <v>0.29106114754641993</v>
      </c>
      <c r="AK18" s="643">
        <f t="shared" si="1"/>
        <v>0.15246799999999999</v>
      </c>
      <c r="AL18" s="643">
        <f t="shared" si="1"/>
        <v>0.20242258666034044</v>
      </c>
      <c r="AM18" s="644">
        <f t="shared" si="1"/>
        <v>16.461069999999999</v>
      </c>
      <c r="AN18" s="645">
        <f t="shared" si="1"/>
        <v>30.819232691225288</v>
      </c>
      <c r="AO18" s="645">
        <f t="shared" si="1"/>
        <v>2.8267600000000002</v>
      </c>
      <c r="AP18" s="645">
        <f t="shared" si="1"/>
        <v>7.0938380027498669</v>
      </c>
      <c r="AQ18" s="645">
        <f t="shared" si="1"/>
        <v>63.46893</v>
      </c>
      <c r="AR18" s="646">
        <f t="shared" si="1"/>
        <v>38.06344748498806</v>
      </c>
      <c r="AU18" s="163"/>
      <c r="AV18" s="639" t="s">
        <v>364</v>
      </c>
      <c r="AW18" s="640"/>
      <c r="AX18" s="641"/>
      <c r="AY18" s="642">
        <f>MAX(AY10:AY16)</f>
        <v>159578.88610999999</v>
      </c>
      <c r="AZ18" s="642">
        <f t="shared" ref="AZ18:BN18" si="2">MAX(AZ10:AZ16)</f>
        <v>169888.88610999999</v>
      </c>
      <c r="BA18" s="643">
        <f t="shared" si="2"/>
        <v>0.19067000000000001</v>
      </c>
      <c r="BB18" s="643">
        <f t="shared" si="2"/>
        <v>0.16134879412350056</v>
      </c>
      <c r="BC18" s="643">
        <f t="shared" si="2"/>
        <v>0.22055499999999997</v>
      </c>
      <c r="BD18" s="643">
        <f t="shared" si="2"/>
        <v>0.68387750556792848</v>
      </c>
      <c r="BE18" s="643">
        <f t="shared" si="2"/>
        <v>0.36213099999999998</v>
      </c>
      <c r="BF18" s="643">
        <f t="shared" si="2"/>
        <v>0.36653876959791054</v>
      </c>
      <c r="BG18" s="643">
        <f t="shared" si="2"/>
        <v>0.17795100000000003</v>
      </c>
      <c r="BH18" s="643">
        <f t="shared" si="2"/>
        <v>0.25151357300210986</v>
      </c>
      <c r="BI18" s="644">
        <f t="shared" si="2"/>
        <v>25.128550000000001</v>
      </c>
      <c r="BJ18" s="645">
        <f t="shared" si="2"/>
        <v>24.998032555108455</v>
      </c>
      <c r="BK18" s="645">
        <f t="shared" si="2"/>
        <v>9.3873300000000004</v>
      </c>
      <c r="BL18" s="645">
        <f t="shared" si="2"/>
        <v>9.1627480951179638</v>
      </c>
      <c r="BM18" s="645">
        <f t="shared" si="2"/>
        <v>45.20111</v>
      </c>
      <c r="BN18" s="646">
        <f t="shared" si="2"/>
        <v>54.208209895473338</v>
      </c>
    </row>
    <row r="19" spans="3:66">
      <c r="C19" s="163"/>
      <c r="D19" s="647" t="s">
        <v>365</v>
      </c>
      <c r="E19" s="421"/>
      <c r="F19" s="648"/>
      <c r="G19" s="649">
        <f>AVERAGE(G10:G16)</f>
        <v>7456.5208436000003</v>
      </c>
      <c r="H19" s="649">
        <f t="shared" ref="H19:V19" si="3">AVERAGE(H10:H16)</f>
        <v>4.5643400000000001E-2</v>
      </c>
      <c r="I19" s="1010">
        <f t="shared" si="3"/>
        <v>0.26915199026216002</v>
      </c>
      <c r="J19" s="1010">
        <f t="shared" si="3"/>
        <v>0.20806177507792717</v>
      </c>
      <c r="K19" s="1010">
        <f t="shared" si="3"/>
        <v>1.1942619039647577</v>
      </c>
      <c r="L19" s="1010">
        <f t="shared" si="3"/>
        <v>0.40848069324508385</v>
      </c>
      <c r="M19" s="1010">
        <f t="shared" si="3"/>
        <v>0.20989549791537118</v>
      </c>
      <c r="N19" s="1010">
        <f t="shared" si="3"/>
        <v>0.19509474416776845</v>
      </c>
      <c r="O19" s="1010">
        <f t="shared" si="3"/>
        <v>0.12514443358104982</v>
      </c>
      <c r="P19" s="1010">
        <f t="shared" si="3"/>
        <v>0.12738429809742047</v>
      </c>
      <c r="Q19" s="1052">
        <f t="shared" si="3"/>
        <v>0</v>
      </c>
      <c r="R19" s="1052">
        <f t="shared" si="3"/>
        <v>0</v>
      </c>
      <c r="S19" s="1052">
        <f t="shared" si="3"/>
        <v>0</v>
      </c>
      <c r="T19" s="651">
        <f t="shared" si="3"/>
        <v>5.9319383259911804</v>
      </c>
      <c r="U19" s="651">
        <f t="shared" si="3"/>
        <v>29.268019145766068</v>
      </c>
      <c r="V19" s="652">
        <f t="shared" si="3"/>
        <v>19.458869394937317</v>
      </c>
      <c r="W19" s="23"/>
      <c r="Y19" s="163"/>
      <c r="Z19" s="647" t="s">
        <v>365</v>
      </c>
      <c r="AA19" s="421"/>
      <c r="AB19" s="648"/>
      <c r="AC19" s="649">
        <f>AVERAGE(AC10:AC16)</f>
        <v>71835.782454999993</v>
      </c>
      <c r="AD19" s="649">
        <f t="shared" ref="AD19:AR19" si="4">AVERAGE(AD10:AD16)</f>
        <v>86720.26628833334</v>
      </c>
      <c r="AE19" s="650">
        <f t="shared" si="4"/>
        <v>0.10343183333333333</v>
      </c>
      <c r="AF19" s="650">
        <f t="shared" si="4"/>
        <v>9.0083176516546293E-2</v>
      </c>
      <c r="AG19" s="650">
        <f t="shared" si="4"/>
        <v>0.4146725</v>
      </c>
      <c r="AH19" s="650">
        <f t="shared" si="4"/>
        <v>-0.58363705072468697</v>
      </c>
      <c r="AI19" s="650">
        <f t="shared" si="4"/>
        <v>0.13695283333333333</v>
      </c>
      <c r="AJ19" s="650">
        <f t="shared" si="4"/>
        <v>0.15539560335187066</v>
      </c>
      <c r="AK19" s="650">
        <f t="shared" si="4"/>
        <v>5.8402333333333334E-2</v>
      </c>
      <c r="AL19" s="650">
        <f t="shared" si="4"/>
        <v>8.5025162393693843E-2</v>
      </c>
      <c r="AM19" s="939">
        <f t="shared" si="4"/>
        <v>9.1067540000000005</v>
      </c>
      <c r="AN19" s="651">
        <f t="shared" si="4"/>
        <v>17.257650750172328</v>
      </c>
      <c r="AO19" s="651">
        <f t="shared" si="4"/>
        <v>1.6406083333333334</v>
      </c>
      <c r="AP19" s="651">
        <f t="shared" si="4"/>
        <v>2.7139063759951241</v>
      </c>
      <c r="AQ19" s="651">
        <f t="shared" si="4"/>
        <v>20.281439999999996</v>
      </c>
      <c r="AR19" s="652">
        <f t="shared" si="4"/>
        <v>21.594515789762383</v>
      </c>
      <c r="AU19" s="163"/>
      <c r="AV19" s="647" t="s">
        <v>365</v>
      </c>
      <c r="AW19" s="421"/>
      <c r="AX19" s="648"/>
      <c r="AY19" s="649">
        <f>AVERAGE(AY10:AY16)</f>
        <v>84668.219700000001</v>
      </c>
      <c r="AZ19" s="649">
        <f t="shared" ref="AZ19:BN19" si="5">AVERAGE(AZ10:AZ16)</f>
        <v>98970.553533333354</v>
      </c>
      <c r="BA19" s="650">
        <f t="shared" si="5"/>
        <v>5.7374166666666671E-2</v>
      </c>
      <c r="BB19" s="650">
        <f t="shared" si="5"/>
        <v>7.0353941344448515E-2</v>
      </c>
      <c r="BC19" s="650">
        <f t="shared" si="5"/>
        <v>2.4313833333333337E-2</v>
      </c>
      <c r="BD19" s="650">
        <f t="shared" si="5"/>
        <v>8.1959500237412719E-2</v>
      </c>
      <c r="BE19" s="650">
        <f t="shared" si="5"/>
        <v>0.2477345</v>
      </c>
      <c r="BF19" s="650">
        <f t="shared" si="5"/>
        <v>0.25115620759480345</v>
      </c>
      <c r="BG19" s="650">
        <f t="shared" si="5"/>
        <v>0.12470983333333334</v>
      </c>
      <c r="BH19" s="650">
        <f t="shared" si="5"/>
        <v>0.15695896203933532</v>
      </c>
      <c r="BI19" s="939">
        <f t="shared" si="5"/>
        <v>15.054556666666665</v>
      </c>
      <c r="BJ19" s="651">
        <f t="shared" si="5"/>
        <v>19.917704743955753</v>
      </c>
      <c r="BK19" s="651">
        <f t="shared" si="5"/>
        <v>3.837745</v>
      </c>
      <c r="BL19" s="651">
        <f t="shared" si="5"/>
        <v>5.0890011300458626</v>
      </c>
      <c r="BM19" s="651">
        <f t="shared" si="5"/>
        <v>23.621870000000001</v>
      </c>
      <c r="BN19" s="652">
        <f t="shared" si="5"/>
        <v>32.786853060509863</v>
      </c>
    </row>
    <row r="20" spans="3:66">
      <c r="C20" s="163"/>
      <c r="D20" s="647" t="s">
        <v>366</v>
      </c>
      <c r="E20" s="421"/>
      <c r="F20" s="421"/>
      <c r="G20" s="649">
        <f>MEDIAN(G10:G16)</f>
        <v>5361.2381960000002</v>
      </c>
      <c r="H20" s="649">
        <f t="shared" ref="H20:V20" si="6">MEDIAN(H10:H16)</f>
        <v>0</v>
      </c>
      <c r="I20" s="1010">
        <f t="shared" si="6"/>
        <v>0.22681795131079996</v>
      </c>
      <c r="J20" s="1010">
        <f t="shared" si="6"/>
        <v>0.22849413192996981</v>
      </c>
      <c r="K20" s="1010">
        <f t="shared" si="6"/>
        <v>0.57501800000000003</v>
      </c>
      <c r="L20" s="1010">
        <f t="shared" si="6"/>
        <v>0.44577858880778565</v>
      </c>
      <c r="M20" s="1010">
        <f t="shared" si="6"/>
        <v>0.22700000000000001</v>
      </c>
      <c r="N20" s="1010">
        <f t="shared" si="6"/>
        <v>0.2098773121620727</v>
      </c>
      <c r="O20" s="1010">
        <f t="shared" si="6"/>
        <v>0.113867</v>
      </c>
      <c r="P20" s="1010">
        <f t="shared" si="6"/>
        <v>0.16570162758703727</v>
      </c>
      <c r="Q20" s="1052">
        <f t="shared" si="6"/>
        <v>0</v>
      </c>
      <c r="R20" s="1052">
        <f t="shared" si="6"/>
        <v>0</v>
      </c>
      <c r="S20" s="1052">
        <f t="shared" si="6"/>
        <v>0</v>
      </c>
      <c r="T20" s="651">
        <f t="shared" si="6"/>
        <v>0</v>
      </c>
      <c r="U20" s="651">
        <f t="shared" si="6"/>
        <v>34.106016582943298</v>
      </c>
      <c r="V20" s="652">
        <f t="shared" si="6"/>
        <v>17.846255042276262</v>
      </c>
      <c r="W20" s="23"/>
      <c r="Y20" s="163"/>
      <c r="Z20" s="647" t="s">
        <v>366</v>
      </c>
      <c r="AA20" s="421"/>
      <c r="AB20" s="421"/>
      <c r="AC20" s="649">
        <f>MEDIAN(AC10:AC16)</f>
        <v>79327.602859999999</v>
      </c>
      <c r="AD20" s="649">
        <f t="shared" ref="AD20:AR20" si="7">MEDIAN(AD10:AD16)</f>
        <v>88943.102860000014</v>
      </c>
      <c r="AE20" s="650">
        <f t="shared" si="7"/>
        <v>7.8764499999999987E-2</v>
      </c>
      <c r="AF20" s="650">
        <f t="shared" si="7"/>
        <v>5.0245350288697144E-2</v>
      </c>
      <c r="AG20" s="650">
        <f t="shared" si="7"/>
        <v>0.43208399999999997</v>
      </c>
      <c r="AH20" s="650">
        <f t="shared" si="7"/>
        <v>-0.18521987642728777</v>
      </c>
      <c r="AI20" s="650">
        <f t="shared" si="7"/>
        <v>0.14763999999999999</v>
      </c>
      <c r="AJ20" s="650">
        <f t="shared" si="7"/>
        <v>0.15568117318519226</v>
      </c>
      <c r="AK20" s="650">
        <f t="shared" si="7"/>
        <v>9.2485999999999985E-2</v>
      </c>
      <c r="AL20" s="650">
        <f t="shared" si="7"/>
        <v>0.10152294620790997</v>
      </c>
      <c r="AM20" s="939">
        <f t="shared" si="7"/>
        <v>10.019970000000001</v>
      </c>
      <c r="AN20" s="651">
        <f t="shared" si="7"/>
        <v>13.415392350311915</v>
      </c>
      <c r="AO20" s="651">
        <f t="shared" si="7"/>
        <v>1.7294399999999999</v>
      </c>
      <c r="AP20" s="651">
        <f t="shared" si="7"/>
        <v>2.1093364343746774</v>
      </c>
      <c r="AQ20" s="651">
        <f t="shared" si="7"/>
        <v>13.61295</v>
      </c>
      <c r="AR20" s="652">
        <f t="shared" si="7"/>
        <v>20.919526956583937</v>
      </c>
      <c r="AU20" s="163"/>
      <c r="AV20" s="647" t="s">
        <v>366</v>
      </c>
      <c r="AW20" s="421"/>
      <c r="AX20" s="421"/>
      <c r="AY20" s="649">
        <f>MEDIAN(AY10:AY16)</f>
        <v>87747.448625000005</v>
      </c>
      <c r="AZ20" s="649">
        <f t="shared" ref="AZ20:BN20" si="8">MEDIAN(AZ10:AZ16)</f>
        <v>97098.44862499999</v>
      </c>
      <c r="BA20" s="650">
        <f t="shared" si="8"/>
        <v>7.2762500000000008E-2</v>
      </c>
      <c r="BB20" s="650">
        <f t="shared" si="8"/>
        <v>8.4152723173489652E-2</v>
      </c>
      <c r="BC20" s="650">
        <f t="shared" si="8"/>
        <v>0.131942</v>
      </c>
      <c r="BD20" s="650">
        <f t="shared" si="8"/>
        <v>0.13611629906692402</v>
      </c>
      <c r="BE20" s="650">
        <f t="shared" si="8"/>
        <v>0.26306050000000003</v>
      </c>
      <c r="BF20" s="650">
        <f t="shared" si="8"/>
        <v>0.25971190764599195</v>
      </c>
      <c r="BG20" s="650">
        <f t="shared" si="8"/>
        <v>0.14946899999999999</v>
      </c>
      <c r="BH20" s="650">
        <f t="shared" si="8"/>
        <v>0.16356126932180767</v>
      </c>
      <c r="BI20" s="939">
        <f t="shared" si="8"/>
        <v>16.63175</v>
      </c>
      <c r="BJ20" s="651">
        <f t="shared" si="8"/>
        <v>20.342638651042556</v>
      </c>
      <c r="BK20" s="651">
        <f t="shared" si="8"/>
        <v>3.4253300000000002</v>
      </c>
      <c r="BL20" s="651">
        <f t="shared" si="8"/>
        <v>4.2641315921087619</v>
      </c>
      <c r="BM20" s="651">
        <f t="shared" si="8"/>
        <v>24.433759999999999</v>
      </c>
      <c r="BN20" s="652">
        <f t="shared" si="8"/>
        <v>29.67121723202159</v>
      </c>
    </row>
    <row r="21" spans="3:66" ht="15" thickBot="1">
      <c r="C21" s="163"/>
      <c r="D21" s="653" t="s">
        <v>367</v>
      </c>
      <c r="E21" s="422"/>
      <c r="F21" s="422"/>
      <c r="G21" s="654">
        <f>MIN(G10:G16)</f>
        <v>4166.801931</v>
      </c>
      <c r="H21" s="654">
        <f t="shared" ref="H21:V21" si="9">MIN(H10:H16)</f>
        <v>0</v>
      </c>
      <c r="I21" s="1011">
        <f t="shared" si="9"/>
        <v>0.210535</v>
      </c>
      <c r="J21" s="1011">
        <f t="shared" si="9"/>
        <v>3.6510865423022176E-2</v>
      </c>
      <c r="K21" s="1011">
        <f t="shared" si="9"/>
        <v>0.34252499999999997</v>
      </c>
      <c r="L21" s="1011">
        <f t="shared" si="9"/>
        <v>0.24327439024390252</v>
      </c>
      <c r="M21" s="1011">
        <f t="shared" si="9"/>
        <v>0.154</v>
      </c>
      <c r="N21" s="1011">
        <f t="shared" si="9"/>
        <v>0.12695600000000001</v>
      </c>
      <c r="O21" s="1011">
        <f t="shared" si="9"/>
        <v>9.0004000000000015E-2</v>
      </c>
      <c r="P21" s="1011">
        <f t="shared" si="9"/>
        <v>0</v>
      </c>
      <c r="Q21" s="1053">
        <f t="shared" si="9"/>
        <v>0</v>
      </c>
      <c r="R21" s="1053">
        <f t="shared" si="9"/>
        <v>0</v>
      </c>
      <c r="S21" s="1053">
        <f t="shared" si="9"/>
        <v>0</v>
      </c>
      <c r="T21" s="656">
        <f t="shared" si="9"/>
        <v>0</v>
      </c>
      <c r="U21" s="656">
        <f t="shared" si="9"/>
        <v>16.484066730000627</v>
      </c>
      <c r="V21" s="657">
        <f t="shared" si="9"/>
        <v>12.270389796461638</v>
      </c>
      <c r="W21" s="23"/>
      <c r="Y21" s="163"/>
      <c r="Z21" s="653" t="s">
        <v>367</v>
      </c>
      <c r="AA21" s="422"/>
      <c r="AB21" s="422"/>
      <c r="AC21" s="654">
        <f>MIN(AC10:AC16)</f>
        <v>6040.9355599999999</v>
      </c>
      <c r="AD21" s="654">
        <f t="shared" ref="AD21:AR21" si="10">MIN(AD10:AD16)</f>
        <v>5561.8385600000001</v>
      </c>
      <c r="AE21" s="655">
        <f t="shared" si="10"/>
        <v>-7.4287999999999993E-2</v>
      </c>
      <c r="AF21" s="655">
        <f t="shared" si="10"/>
        <v>-1.4799398896709226E-2</v>
      </c>
      <c r="AG21" s="655">
        <f t="shared" si="10"/>
        <v>0.124316</v>
      </c>
      <c r="AH21" s="655">
        <f t="shared" si="10"/>
        <v>-2.5665133721199402</v>
      </c>
      <c r="AI21" s="655">
        <f t="shared" si="10"/>
        <v>-2.9094999999999999E-2</v>
      </c>
      <c r="AJ21" s="655">
        <f t="shared" si="10"/>
        <v>7.5836172983072728E-2</v>
      </c>
      <c r="AK21" s="655">
        <f t="shared" si="10"/>
        <v>-0.14303000000000002</v>
      </c>
      <c r="AL21" s="655">
        <f t="shared" si="10"/>
        <v>-5.4210976329000351E-3</v>
      </c>
      <c r="AM21" s="940">
        <f t="shared" si="10"/>
        <v>0</v>
      </c>
      <c r="AN21" s="656">
        <f t="shared" si="10"/>
        <v>10.442453685118846</v>
      </c>
      <c r="AO21" s="656">
        <f t="shared" si="10"/>
        <v>0</v>
      </c>
      <c r="AP21" s="656">
        <f t="shared" si="10"/>
        <v>0.99377166398030303</v>
      </c>
      <c r="AQ21" s="656">
        <f t="shared" si="10"/>
        <v>0</v>
      </c>
      <c r="AR21" s="657">
        <f t="shared" si="10"/>
        <v>13.436305184315913</v>
      </c>
      <c r="AU21" s="163"/>
      <c r="AV21" s="653" t="s">
        <v>367</v>
      </c>
      <c r="AW21" s="422"/>
      <c r="AX21" s="422"/>
      <c r="AY21" s="654">
        <f>MIN(AY10:AY16)</f>
        <v>6040.9355599999999</v>
      </c>
      <c r="AZ21" s="654">
        <f t="shared" ref="AZ21:BN21" si="11">MIN(AZ10:AZ16)</f>
        <v>5561.8385600000001</v>
      </c>
      <c r="BA21" s="655">
        <f t="shared" si="11"/>
        <v>-8.3476999999999996E-2</v>
      </c>
      <c r="BB21" s="655">
        <f t="shared" si="11"/>
        <v>-3.6353036963538865E-2</v>
      </c>
      <c r="BC21" s="655">
        <f t="shared" si="11"/>
        <v>-0.342387</v>
      </c>
      <c r="BD21" s="655">
        <f t="shared" si="11"/>
        <v>-0.57771187139860958</v>
      </c>
      <c r="BE21" s="655">
        <f t="shared" si="11"/>
        <v>8.6125000000000007E-2</v>
      </c>
      <c r="BF21" s="655">
        <f t="shared" si="11"/>
        <v>0.10098877292986558</v>
      </c>
      <c r="BG21" s="655">
        <f t="shared" si="11"/>
        <v>-3.1019999999999999E-2</v>
      </c>
      <c r="BH21" s="655">
        <f t="shared" si="11"/>
        <v>2.7997383350577984E-2</v>
      </c>
      <c r="BI21" s="940">
        <f t="shared" si="11"/>
        <v>0</v>
      </c>
      <c r="BJ21" s="656">
        <f t="shared" si="11"/>
        <v>13.364261803244904</v>
      </c>
      <c r="BK21" s="656">
        <f t="shared" si="11"/>
        <v>0</v>
      </c>
      <c r="BL21" s="656">
        <f t="shared" si="11"/>
        <v>2.1552540183700164</v>
      </c>
      <c r="BM21" s="656">
        <f t="shared" si="11"/>
        <v>0</v>
      </c>
      <c r="BN21" s="657">
        <f t="shared" si="11"/>
        <v>19.414044738313191</v>
      </c>
    </row>
    <row r="22" spans="3:66">
      <c r="C22" s="163"/>
      <c r="D22" s="23"/>
      <c r="E22" s="23"/>
      <c r="F22" s="23"/>
      <c r="G22" s="23"/>
      <c r="H22" s="23"/>
      <c r="I22" s="23"/>
      <c r="J22" s="23"/>
      <c r="K22" s="23"/>
      <c r="L22" s="23"/>
      <c r="M22" s="23"/>
      <c r="N22" s="23"/>
      <c r="O22" s="23"/>
      <c r="P22" s="23"/>
      <c r="Q22" s="23"/>
      <c r="R22" s="23"/>
      <c r="S22" s="23"/>
      <c r="T22" s="23"/>
      <c r="U22" s="23"/>
      <c r="V22" s="23"/>
      <c r="W22" s="23"/>
      <c r="Y22" s="163"/>
      <c r="Z22" s="23"/>
      <c r="AA22" s="23"/>
      <c r="AB22" s="23"/>
      <c r="AC22" s="23"/>
      <c r="AD22" s="23"/>
      <c r="AE22" s="23"/>
      <c r="AF22" s="23"/>
      <c r="AG22" s="23"/>
      <c r="AH22" s="23"/>
      <c r="AI22" s="23"/>
      <c r="AJ22" s="23"/>
      <c r="AK22" s="23"/>
      <c r="AL22" s="23"/>
      <c r="AM22" s="23"/>
      <c r="AN22" s="23"/>
      <c r="AO22" s="23"/>
      <c r="AP22" s="23"/>
      <c r="AQ22" s="23"/>
      <c r="AR22" s="23"/>
      <c r="AU22" s="163"/>
      <c r="AV22" s="23"/>
      <c r="AW22" s="23"/>
      <c r="AX22" s="23"/>
      <c r="AY22" s="23"/>
      <c r="AZ22" s="23"/>
      <c r="BA22" s="23"/>
      <c r="BB22" s="23"/>
      <c r="BC22" s="23"/>
      <c r="BD22" s="23"/>
      <c r="BE22" s="23"/>
      <c r="BF22" s="23"/>
      <c r="BG22" s="23"/>
      <c r="BH22" s="23"/>
      <c r="BI22" s="23"/>
      <c r="BJ22" s="23"/>
      <c r="BK22" s="23"/>
      <c r="BL22" s="23"/>
      <c r="BM22" s="23"/>
      <c r="BN22" s="23"/>
    </row>
    <row r="23" spans="3:66" ht="16.5">
      <c r="C23" s="163" t="s">
        <v>1</v>
      </c>
      <c r="D23" s="630" t="s">
        <v>301</v>
      </c>
      <c r="E23" s="630"/>
      <c r="F23" s="630"/>
      <c r="G23" s="630" t="s">
        <v>368</v>
      </c>
      <c r="H23" s="630"/>
      <c r="I23" s="630"/>
      <c r="J23" s="630" t="s">
        <v>369</v>
      </c>
      <c r="K23" s="630"/>
      <c r="L23" s="630"/>
      <c r="M23" s="630" t="str">
        <f>TEXT(Last_FYE,"yyyy")&amp;"A"&amp;" Leverage Analysis"</f>
        <v>2026A Leverage Analysis</v>
      </c>
      <c r="N23" s="630"/>
      <c r="O23" s="630"/>
      <c r="P23" s="630" t="str">
        <f>TEXT(Last_FYE,"yyyy")&amp;"A"&amp;" Coverage Analysis"</f>
        <v>2026A Coverage Analysis</v>
      </c>
      <c r="Q23" s="630"/>
      <c r="R23" s="630"/>
      <c r="S23" s="630" t="s">
        <v>370</v>
      </c>
      <c r="T23" s="630"/>
      <c r="U23" s="630" t="s">
        <v>371</v>
      </c>
      <c r="V23" s="630"/>
      <c r="W23" s="23"/>
      <c r="Y23" s="163" t="s">
        <v>1</v>
      </c>
      <c r="Z23" s="630" t="s">
        <v>301</v>
      </c>
      <c r="AA23" s="630"/>
      <c r="AB23" s="630"/>
      <c r="AC23" s="630" t="s">
        <v>368</v>
      </c>
      <c r="AD23" s="630"/>
      <c r="AE23" s="630"/>
      <c r="AF23" s="630" t="s">
        <v>369</v>
      </c>
      <c r="AG23" s="630"/>
      <c r="AH23" s="630"/>
      <c r="AI23" s="630" t="str">
        <f>TEXT(Last_FYE,"yyyy")&amp;"A"&amp;" Leverage Analysis"</f>
        <v>2026A Leverage Analysis</v>
      </c>
      <c r="AJ23" s="630"/>
      <c r="AK23" s="630"/>
      <c r="AL23" s="630" t="str">
        <f>TEXT(Last_FYE,"yyyy")&amp;"A"&amp;" Coverage Analysis"</f>
        <v>2026A Coverage Analysis</v>
      </c>
      <c r="AM23" s="630"/>
      <c r="AN23" s="630"/>
      <c r="AO23" s="630" t="s">
        <v>370</v>
      </c>
      <c r="AP23" s="630"/>
      <c r="AQ23" s="630" t="s">
        <v>371</v>
      </c>
      <c r="AR23" s="630"/>
      <c r="AU23" s="163" t="s">
        <v>1</v>
      </c>
      <c r="AV23" s="630" t="s">
        <v>301</v>
      </c>
      <c r="AW23" s="630"/>
      <c r="AX23" s="630"/>
      <c r="AY23" s="630" t="s">
        <v>368</v>
      </c>
      <c r="AZ23" s="630"/>
      <c r="BA23" s="630"/>
      <c r="BB23" s="630" t="s">
        <v>369</v>
      </c>
      <c r="BC23" s="630"/>
      <c r="BD23" s="630"/>
      <c r="BE23" s="630" t="str">
        <f>TEXT(Last_FYE,"yyyy")&amp;"A"&amp;" Leverage Analysis"</f>
        <v>2026A Leverage Analysis</v>
      </c>
      <c r="BF23" s="630"/>
      <c r="BG23" s="630"/>
      <c r="BH23" s="630" t="str">
        <f>TEXT(Last_FYE,"yyyy")&amp;"A"&amp;" Coverage Analysis"</f>
        <v>2026A Coverage Analysis</v>
      </c>
      <c r="BI23" s="630"/>
      <c r="BJ23" s="630"/>
      <c r="BK23" s="630" t="s">
        <v>370</v>
      </c>
      <c r="BL23" s="630"/>
      <c r="BM23" s="630" t="s">
        <v>371</v>
      </c>
      <c r="BN23" s="630"/>
    </row>
    <row r="24" spans="3:66" ht="16.5">
      <c r="C24" s="163"/>
      <c r="D24" s="23"/>
      <c r="E24" s="23"/>
      <c r="F24" s="23"/>
      <c r="G24" s="23"/>
      <c r="H24" s="23"/>
      <c r="I24" s="23"/>
      <c r="J24" s="23"/>
      <c r="K24" s="23"/>
      <c r="L24" s="23"/>
      <c r="M24" s="630" t="s">
        <v>372</v>
      </c>
      <c r="N24" s="630"/>
      <c r="O24" s="630"/>
      <c r="P24" s="23"/>
      <c r="Q24" s="23"/>
      <c r="R24" s="23"/>
      <c r="S24" s="23"/>
      <c r="T24" s="23"/>
      <c r="U24" s="23"/>
      <c r="V24" s="23"/>
      <c r="W24" s="23"/>
      <c r="Y24" s="163"/>
      <c r="Z24" s="23"/>
      <c r="AA24" s="23"/>
      <c r="AB24" s="23"/>
      <c r="AC24" s="23"/>
      <c r="AD24" s="23"/>
      <c r="AE24" s="23"/>
      <c r="AF24" s="23"/>
      <c r="AG24" s="23"/>
      <c r="AH24" s="23"/>
      <c r="AI24" s="630" t="s">
        <v>372</v>
      </c>
      <c r="AJ24" s="630"/>
      <c r="AK24" s="630"/>
      <c r="AL24" s="23"/>
      <c r="AM24" s="23"/>
      <c r="AN24" s="23"/>
      <c r="AO24" s="23"/>
      <c r="AP24" s="23"/>
      <c r="AQ24" s="23"/>
      <c r="AR24" s="23"/>
      <c r="AU24" s="163"/>
      <c r="AV24" s="23"/>
      <c r="AW24" s="23"/>
      <c r="AX24" s="23"/>
      <c r="AY24" s="23"/>
      <c r="AZ24" s="23"/>
      <c r="BA24" s="23"/>
      <c r="BB24" s="23"/>
      <c r="BC24" s="23"/>
      <c r="BD24" s="23"/>
      <c r="BE24" s="630" t="s">
        <v>372</v>
      </c>
      <c r="BF24" s="630"/>
      <c r="BG24" s="630"/>
      <c r="BH24" s="23"/>
      <c r="BI24" s="23"/>
      <c r="BJ24" s="23"/>
      <c r="BK24" s="23"/>
      <c r="BL24" s="23"/>
      <c r="BM24" s="23"/>
      <c r="BN24" s="23"/>
    </row>
    <row r="25" spans="3:66">
      <c r="C25" s="163"/>
      <c r="D25" s="189"/>
      <c r="E25" s="189"/>
      <c r="F25" s="189"/>
      <c r="G25" s="189"/>
      <c r="H25" s="189"/>
      <c r="I25" s="189" t="s">
        <v>373</v>
      </c>
      <c r="J25" s="189"/>
      <c r="K25" s="189"/>
      <c r="L25" s="189"/>
      <c r="M25" s="189"/>
      <c r="N25" s="189"/>
      <c r="O25" s="189"/>
      <c r="P25" s="189" t="s">
        <v>374</v>
      </c>
      <c r="Q25" s="566" t="s">
        <v>604</v>
      </c>
      <c r="R25" s="189" t="s">
        <v>375</v>
      </c>
      <c r="S25" s="189" t="s">
        <v>376</v>
      </c>
      <c r="T25" s="189" t="s">
        <v>377</v>
      </c>
      <c r="U25" s="189"/>
      <c r="V25" s="189"/>
      <c r="W25" s="23"/>
      <c r="Y25" s="163"/>
      <c r="Z25" s="189"/>
      <c r="AA25" s="189"/>
      <c r="AB25" s="189"/>
      <c r="AC25" s="189"/>
      <c r="AD25" s="189"/>
      <c r="AE25" s="189" t="s">
        <v>373</v>
      </c>
      <c r="AF25" s="189"/>
      <c r="AG25" s="189"/>
      <c r="AH25" s="189"/>
      <c r="AI25" s="189"/>
      <c r="AJ25" s="189"/>
      <c r="AK25" s="189"/>
      <c r="AL25" s="189" t="s">
        <v>374</v>
      </c>
      <c r="AM25" s="566" t="s">
        <v>604</v>
      </c>
      <c r="AN25" s="189" t="s">
        <v>375</v>
      </c>
      <c r="AO25" s="189" t="s">
        <v>376</v>
      </c>
      <c r="AP25" s="189" t="s">
        <v>377</v>
      </c>
      <c r="AQ25" s="189"/>
      <c r="AR25" s="189"/>
      <c r="AU25" s="163"/>
      <c r="AV25" s="189"/>
      <c r="AW25" s="189"/>
      <c r="AX25" s="189"/>
      <c r="AY25" s="189"/>
      <c r="AZ25" s="189"/>
      <c r="BA25" s="189" t="s">
        <v>373</v>
      </c>
      <c r="BB25" s="189"/>
      <c r="BC25" s="189"/>
      <c r="BD25" s="189"/>
      <c r="BE25" s="189"/>
      <c r="BF25" s="189"/>
      <c r="BG25" s="189"/>
      <c r="BH25" s="189" t="s">
        <v>374</v>
      </c>
      <c r="BI25" s="566" t="s">
        <v>604</v>
      </c>
      <c r="BJ25" s="189" t="s">
        <v>375</v>
      </c>
      <c r="BK25" s="189" t="s">
        <v>376</v>
      </c>
      <c r="BL25" s="189" t="s">
        <v>377</v>
      </c>
      <c r="BM25" s="189"/>
      <c r="BN25" s="189"/>
    </row>
    <row r="26" spans="3:66" ht="16.5">
      <c r="C26" s="163"/>
      <c r="D26" s="49"/>
      <c r="E26" s="189"/>
      <c r="F26" s="632" t="s">
        <v>360</v>
      </c>
      <c r="G26" s="632" t="s">
        <v>63</v>
      </c>
      <c r="H26" s="632" t="s">
        <v>288</v>
      </c>
      <c r="I26" s="632" t="s">
        <v>378</v>
      </c>
      <c r="J26" s="632" t="s">
        <v>379</v>
      </c>
      <c r="K26" s="632" t="s">
        <v>380</v>
      </c>
      <c r="L26" s="632" t="s">
        <v>381</v>
      </c>
      <c r="M26" s="632" t="s">
        <v>361</v>
      </c>
      <c r="N26" s="632" t="s">
        <v>47</v>
      </c>
      <c r="O26" s="632" t="s">
        <v>290</v>
      </c>
      <c r="P26" s="632" t="s">
        <v>382</v>
      </c>
      <c r="Q26" s="814" t="s">
        <v>605</v>
      </c>
      <c r="R26" s="632" t="s">
        <v>382</v>
      </c>
      <c r="S26" s="632" t="s">
        <v>383</v>
      </c>
      <c r="T26" s="632" t="s">
        <v>383</v>
      </c>
      <c r="U26" s="632" t="s">
        <v>384</v>
      </c>
      <c r="V26" s="632" t="s">
        <v>680</v>
      </c>
      <c r="W26" s="23"/>
      <c r="Y26" s="163"/>
      <c r="Z26" s="49"/>
      <c r="AA26" s="189"/>
      <c r="AB26" s="632" t="s">
        <v>360</v>
      </c>
      <c r="AC26" s="632" t="s">
        <v>63</v>
      </c>
      <c r="AD26" s="632" t="s">
        <v>288</v>
      </c>
      <c r="AE26" s="632" t="s">
        <v>378</v>
      </c>
      <c r="AF26" s="632" t="s">
        <v>379</v>
      </c>
      <c r="AG26" s="632" t="s">
        <v>380</v>
      </c>
      <c r="AH26" s="632" t="s">
        <v>381</v>
      </c>
      <c r="AI26" s="632" t="s">
        <v>361</v>
      </c>
      <c r="AJ26" s="632" t="s">
        <v>47</v>
      </c>
      <c r="AK26" s="632" t="s">
        <v>290</v>
      </c>
      <c r="AL26" s="632" t="s">
        <v>382</v>
      </c>
      <c r="AM26" s="814" t="s">
        <v>605</v>
      </c>
      <c r="AN26" s="632" t="s">
        <v>382</v>
      </c>
      <c r="AO26" s="632" t="s">
        <v>383</v>
      </c>
      <c r="AP26" s="632" t="s">
        <v>383</v>
      </c>
      <c r="AQ26" s="632" t="s">
        <v>384</v>
      </c>
      <c r="AR26" s="632" t="s">
        <v>680</v>
      </c>
      <c r="AU26" s="163"/>
      <c r="AV26" s="49"/>
      <c r="AW26" s="189"/>
      <c r="AX26" s="632" t="s">
        <v>360</v>
      </c>
      <c r="AY26" s="632" t="s">
        <v>63</v>
      </c>
      <c r="AZ26" s="632" t="s">
        <v>288</v>
      </c>
      <c r="BA26" s="632" t="s">
        <v>378</v>
      </c>
      <c r="BB26" s="632" t="s">
        <v>379</v>
      </c>
      <c r="BC26" s="632" t="s">
        <v>380</v>
      </c>
      <c r="BD26" s="632" t="s">
        <v>381</v>
      </c>
      <c r="BE26" s="632" t="s">
        <v>361</v>
      </c>
      <c r="BF26" s="632" t="s">
        <v>47</v>
      </c>
      <c r="BG26" s="632" t="s">
        <v>290</v>
      </c>
      <c r="BH26" s="632" t="s">
        <v>382</v>
      </c>
      <c r="BI26" s="814" t="s">
        <v>605</v>
      </c>
      <c r="BJ26" s="632" t="s">
        <v>382</v>
      </c>
      <c r="BK26" s="632" t="s">
        <v>383</v>
      </c>
      <c r="BL26" s="632" t="s">
        <v>383</v>
      </c>
      <c r="BM26" s="632" t="s">
        <v>384</v>
      </c>
      <c r="BN26" s="632" t="s">
        <v>680</v>
      </c>
    </row>
    <row r="27" spans="3:66" ht="5.0999999999999996" customHeight="1">
      <c r="C27" s="163"/>
      <c r="D27" s="189"/>
      <c r="E27" s="189"/>
      <c r="F27" s="189"/>
      <c r="G27" s="189"/>
      <c r="H27" s="189"/>
      <c r="I27" s="23"/>
      <c r="J27" s="415"/>
      <c r="K27" s="189"/>
      <c r="L27" s="189"/>
      <c r="M27" s="189"/>
      <c r="N27" s="189"/>
      <c r="O27" s="189"/>
      <c r="P27" s="189"/>
      <c r="Q27" s="189"/>
      <c r="R27" s="189"/>
      <c r="S27" s="189"/>
      <c r="T27" s="189"/>
      <c r="U27" s="189"/>
      <c r="V27" s="189"/>
      <c r="W27" s="23"/>
      <c r="Y27" s="163"/>
      <c r="Z27" s="189"/>
      <c r="AA27" s="189"/>
      <c r="AB27" s="189"/>
      <c r="AC27" s="189"/>
      <c r="AD27" s="189"/>
      <c r="AE27" s="23"/>
      <c r="AF27" s="415"/>
      <c r="AG27" s="189"/>
      <c r="AH27" s="189"/>
      <c r="AI27" s="189"/>
      <c r="AJ27" s="189"/>
      <c r="AK27" s="189"/>
      <c r="AL27" s="189"/>
      <c r="AM27" s="189"/>
      <c r="AN27" s="189"/>
      <c r="AO27" s="189"/>
      <c r="AP27" s="189"/>
      <c r="AQ27" s="189"/>
      <c r="AR27" s="189"/>
      <c r="AU27" s="163"/>
      <c r="AV27" s="189"/>
      <c r="AW27" s="189"/>
      <c r="AX27" s="189"/>
      <c r="AY27" s="189"/>
      <c r="AZ27" s="189"/>
      <c r="BA27" s="23"/>
      <c r="BB27" s="415"/>
      <c r="BC27" s="189"/>
      <c r="BD27" s="189"/>
      <c r="BE27" s="189"/>
      <c r="BF27" s="189"/>
      <c r="BG27" s="189"/>
      <c r="BH27" s="189"/>
      <c r="BI27" s="189"/>
      <c r="BJ27" s="189"/>
      <c r="BK27" s="189"/>
      <c r="BL27" s="189"/>
      <c r="BM27" s="189"/>
      <c r="BN27" s="189"/>
    </row>
    <row r="28" spans="3:66">
      <c r="C28" s="163"/>
      <c r="D28" s="634" t="str">
        <f>Company_Name</f>
        <v>Evercore Inc.</v>
      </c>
      <c r="E28" s="147"/>
      <c r="F28" s="579" t="s">
        <v>851</v>
      </c>
      <c r="G28" s="1012">
        <v>0.24602599999999999</v>
      </c>
      <c r="H28" s="659">
        <v>1.58</v>
      </c>
      <c r="I28" s="1012">
        <v>1.5541000000000001E-2</v>
      </c>
      <c r="J28" s="1012">
        <v>0.39441918935110964</v>
      </c>
      <c r="K28" s="1012">
        <v>3.3532639999999998</v>
      </c>
      <c r="L28" s="1012">
        <v>0.153199</v>
      </c>
      <c r="M28" s="637">
        <v>0.9480249999999999</v>
      </c>
      <c r="N28" s="637">
        <v>1.9578</v>
      </c>
      <c r="O28" s="637">
        <v>18.240082999999998</v>
      </c>
      <c r="P28" s="637">
        <v>15.353210000000001</v>
      </c>
      <c r="Q28" s="637">
        <v>13.29931</v>
      </c>
      <c r="R28" s="637">
        <v>12.490830000000001</v>
      </c>
      <c r="S28" s="659">
        <v>0.27742</v>
      </c>
      <c r="T28" s="659">
        <v>1.1919900000000001</v>
      </c>
      <c r="U28" s="579" t="s">
        <v>655</v>
      </c>
      <c r="V28" s="580" t="s">
        <v>682</v>
      </c>
      <c r="W28" s="23"/>
      <c r="Y28" s="163"/>
      <c r="Z28" s="634" t="str">
        <f>Company_Name</f>
        <v>Evercore Inc.</v>
      </c>
      <c r="AA28" s="147"/>
      <c r="AB28" s="579" t="s">
        <v>650</v>
      </c>
      <c r="AC28" s="658">
        <v>0.24602599999999999</v>
      </c>
      <c r="AD28" s="659">
        <v>1.3267899999999999</v>
      </c>
      <c r="AE28" s="658">
        <v>1.5541000000000001E-2</v>
      </c>
      <c r="AF28" s="636">
        <v>0.39441918935110964</v>
      </c>
      <c r="AG28" s="658">
        <v>3.3532639999999998</v>
      </c>
      <c r="AH28" s="658">
        <v>0.153199</v>
      </c>
      <c r="AI28" s="637">
        <v>94.802499999999995</v>
      </c>
      <c r="AJ28" s="637">
        <v>1.9578</v>
      </c>
      <c r="AK28" s="637">
        <v>1824.0083</v>
      </c>
      <c r="AL28" s="637">
        <v>15.353210000000001</v>
      </c>
      <c r="AM28" s="637">
        <v>13.29931</v>
      </c>
      <c r="AN28" s="637">
        <v>12.490830000000001</v>
      </c>
      <c r="AO28" s="659">
        <v>0.27742</v>
      </c>
      <c r="AP28" s="659">
        <v>1.1919900000000001</v>
      </c>
      <c r="AQ28" s="579" t="s">
        <v>655</v>
      </c>
      <c r="AR28" s="580" t="s">
        <v>682</v>
      </c>
      <c r="AU28" s="163"/>
      <c r="AV28" s="634" t="str">
        <f>Company_Name</f>
        <v>Evercore Inc.</v>
      </c>
      <c r="AW28" s="147"/>
      <c r="AX28" s="579" t="s">
        <v>650</v>
      </c>
      <c r="AY28" s="658">
        <v>0.24602599999999999</v>
      </c>
      <c r="AZ28" s="659">
        <v>1.3267899999999999</v>
      </c>
      <c r="BA28" s="658">
        <v>1.5541000000000001E-2</v>
      </c>
      <c r="BB28" s="636">
        <v>0.39441918935110964</v>
      </c>
      <c r="BC28" s="658">
        <v>3.3532639999999998</v>
      </c>
      <c r="BD28" s="658">
        <v>0.153199</v>
      </c>
      <c r="BE28" s="637">
        <v>94.802499999999995</v>
      </c>
      <c r="BF28" s="637">
        <v>1.9578</v>
      </c>
      <c r="BG28" s="637">
        <v>1824.0083</v>
      </c>
      <c r="BH28" s="637">
        <v>15.353210000000001</v>
      </c>
      <c r="BI28" s="637">
        <v>13.29931</v>
      </c>
      <c r="BJ28" s="637">
        <v>12.490830000000001</v>
      </c>
      <c r="BK28" s="659">
        <v>0.27742</v>
      </c>
      <c r="BL28" s="659">
        <v>1.1919900000000001</v>
      </c>
      <c r="BM28" s="579" t="s">
        <v>655</v>
      </c>
      <c r="BN28" s="580" t="s">
        <v>682</v>
      </c>
    </row>
    <row r="29" spans="3:66">
      <c r="C29" s="163"/>
      <c r="D29" s="23"/>
      <c r="E29" s="23"/>
      <c r="F29" s="189"/>
      <c r="G29" s="420"/>
      <c r="H29" s="189"/>
      <c r="I29" s="309"/>
      <c r="J29" s="423"/>
      <c r="K29" s="309"/>
      <c r="L29" s="309"/>
      <c r="M29" s="424"/>
      <c r="N29" s="419"/>
      <c r="O29" s="424"/>
      <c r="P29" s="419"/>
      <c r="Q29" s="418"/>
      <c r="R29" s="418"/>
      <c r="S29" s="189"/>
      <c r="T29" s="189"/>
      <c r="U29" s="189"/>
      <c r="V29" s="189"/>
      <c r="W29" s="23"/>
      <c r="Y29" s="163"/>
      <c r="Z29" s="23"/>
      <c r="AA29" s="23"/>
      <c r="AB29" s="189"/>
      <c r="AC29" s="420"/>
      <c r="AD29" s="189"/>
      <c r="AE29" s="309"/>
      <c r="AF29" s="423"/>
      <c r="AG29" s="309"/>
      <c r="AH29" s="309"/>
      <c r="AI29" s="424"/>
      <c r="AJ29" s="419"/>
      <c r="AK29" s="424"/>
      <c r="AL29" s="419"/>
      <c r="AM29" s="418"/>
      <c r="AN29" s="418"/>
      <c r="AO29" s="189"/>
      <c r="AP29" s="189"/>
      <c r="AQ29" s="189"/>
      <c r="AR29" s="189"/>
      <c r="AU29" s="163"/>
      <c r="AV29" s="23"/>
      <c r="AW29" s="23"/>
      <c r="AX29" s="189"/>
      <c r="AY29" s="420"/>
      <c r="AZ29" s="189"/>
      <c r="BA29" s="309"/>
      <c r="BB29" s="423"/>
      <c r="BC29" s="309"/>
      <c r="BD29" s="309"/>
      <c r="BE29" s="424"/>
      <c r="BF29" s="419"/>
      <c r="BG29" s="424"/>
      <c r="BH29" s="419"/>
      <c r="BI29" s="418"/>
      <c r="BJ29" s="418"/>
      <c r="BK29" s="189"/>
      <c r="BL29" s="189"/>
      <c r="BM29" s="189"/>
      <c r="BN29" s="189"/>
    </row>
    <row r="30" spans="3:66">
      <c r="C30" s="163"/>
      <c r="D30" s="23" t="str">
        <f>D53</f>
        <v>Lazard, Inc.</v>
      </c>
      <c r="E30" s="23"/>
      <c r="F30" s="189" t="s">
        <v>985</v>
      </c>
      <c r="G30" s="1008">
        <v>0.14428099999999999</v>
      </c>
      <c r="H30" s="425">
        <v>1.2027699999999999</v>
      </c>
      <c r="I30" s="1008">
        <v>5.9209999999999992E-3</v>
      </c>
      <c r="J30" s="1008">
        <v>0.51604108967481488</v>
      </c>
      <c r="K30" s="1008">
        <v>1.2712460000000001</v>
      </c>
      <c r="L30" s="1008">
        <v>0.19302399999999997</v>
      </c>
      <c r="M30" s="419">
        <v>0.65174200000000004</v>
      </c>
      <c r="N30" s="419">
        <v>1.3872500000000001</v>
      </c>
      <c r="O30" s="419">
        <v>1.8714390000000001</v>
      </c>
      <c r="P30" s="419">
        <v>30.680129999999998</v>
      </c>
      <c r="Q30" s="419">
        <v>28.136089999999999</v>
      </c>
      <c r="R30" s="419">
        <v>23.072749999999999</v>
      </c>
      <c r="S30" s="425">
        <v>1.2181900000000001</v>
      </c>
      <c r="T30" s="425">
        <v>1.3635999999999999</v>
      </c>
      <c r="U30" s="189" t="s">
        <v>683</v>
      </c>
      <c r="V30" s="189" t="s">
        <v>682</v>
      </c>
      <c r="W30" s="23"/>
      <c r="Y30" s="163"/>
      <c r="Z30" s="23" t="e">
        <f ca="1">Z53</f>
        <v>#NAME?</v>
      </c>
      <c r="AA30" s="23"/>
      <c r="AB30" s="189" t="s">
        <v>668</v>
      </c>
      <c r="AC30" s="420">
        <v>0.14074</v>
      </c>
      <c r="AD30" s="425">
        <v>1.0573999999999999</v>
      </c>
      <c r="AE30" s="420">
        <v>2.3887000000000002E-2</v>
      </c>
      <c r="AF30" s="417">
        <v>0.21877749021799892</v>
      </c>
      <c r="AG30" s="420">
        <v>3.2482000000000004E-2</v>
      </c>
      <c r="AH30" s="420">
        <v>1.7917000000000002E-2</v>
      </c>
      <c r="AI30" s="419">
        <v>31.401499999999999</v>
      </c>
      <c r="AJ30" s="419">
        <v>4.7381599999999997</v>
      </c>
      <c r="AK30" s="419">
        <v>45.775799999999997</v>
      </c>
      <c r="AL30" s="419">
        <v>5.0696000000000003</v>
      </c>
      <c r="AM30" s="419">
        <v>3.79474</v>
      </c>
      <c r="AN30" s="419">
        <v>1.76491</v>
      </c>
      <c r="AO30" s="425">
        <v>0.78071000000000002</v>
      </c>
      <c r="AP30" s="425">
        <v>1.21</v>
      </c>
      <c r="AQ30" s="189" t="s">
        <v>387</v>
      </c>
      <c r="AR30" s="189" t="s">
        <v>685</v>
      </c>
      <c r="AU30" s="163"/>
      <c r="AV30" s="23" t="e">
        <f ca="1">AV53</f>
        <v>#NAME?</v>
      </c>
      <c r="AW30" s="23"/>
      <c r="AX30" s="189" t="s">
        <v>669</v>
      </c>
      <c r="AY30" s="420">
        <v>0.19653999999999999</v>
      </c>
      <c r="AZ30" s="425">
        <v>0.95801999999999998</v>
      </c>
      <c r="BA30" s="420">
        <v>3.0351E-2</v>
      </c>
      <c r="BB30" s="417">
        <v>0.22662902487906014</v>
      </c>
      <c r="BC30" s="420">
        <v>0.46612399999999998</v>
      </c>
      <c r="BD30" s="420">
        <v>0.10926399999999999</v>
      </c>
      <c r="BE30" s="419">
        <v>60.462899999999998</v>
      </c>
      <c r="BF30" s="419">
        <v>2.09659</v>
      </c>
      <c r="BG30" s="419">
        <v>152.92699999999999</v>
      </c>
      <c r="BH30" s="419">
        <v>17.82987</v>
      </c>
      <c r="BI30" s="419">
        <v>14.99244</v>
      </c>
      <c r="BJ30" s="419">
        <v>13.36862</v>
      </c>
      <c r="BK30" s="425">
        <v>1.2424500000000001</v>
      </c>
      <c r="BL30" s="425">
        <v>1.885</v>
      </c>
      <c r="BM30" s="189" t="s">
        <v>686</v>
      </c>
      <c r="BN30" s="189" t="s">
        <v>685</v>
      </c>
    </row>
    <row r="31" spans="3:66">
      <c r="C31" s="163"/>
      <c r="D31" s="23" t="str">
        <f>D54</f>
        <v>Houlihan Lokey, Inc.</v>
      </c>
      <c r="E31" s="23"/>
      <c r="F31" s="189" t="s">
        <v>987</v>
      </c>
      <c r="G31" s="1008">
        <v>0.12157899999999999</v>
      </c>
      <c r="H31" s="425">
        <v>1.29172</v>
      </c>
      <c r="I31" s="1008">
        <v>0</v>
      </c>
      <c r="J31" s="1008">
        <v>0.29079700276366233</v>
      </c>
      <c r="K31" s="1008">
        <v>0.31331700000000001</v>
      </c>
      <c r="L31" s="1008">
        <v>0.179503</v>
      </c>
      <c r="M31" s="419">
        <v>8.0139999999999989E-2</v>
      </c>
      <c r="N31" s="419">
        <v>0.27133000000000002</v>
      </c>
      <c r="O31" s="419">
        <v>8.7121999999999991E-2</v>
      </c>
      <c r="P31" s="419">
        <v>0</v>
      </c>
      <c r="Q31" s="419">
        <v>0</v>
      </c>
      <c r="R31" s="419">
        <v>0</v>
      </c>
      <c r="S31" s="425">
        <v>4.8921299999999999</v>
      </c>
      <c r="T31" s="425">
        <v>5.0510599999999997</v>
      </c>
      <c r="U31" s="189" t="s">
        <v>684</v>
      </c>
      <c r="V31" s="189" t="s">
        <v>682</v>
      </c>
      <c r="W31" s="23"/>
      <c r="Y31" s="163"/>
      <c r="Z31" s="23" t="e">
        <f ca="1">Z54</f>
        <v>#NAME?</v>
      </c>
      <c r="AA31" s="23"/>
      <c r="AB31" s="189" t="s">
        <v>670</v>
      </c>
      <c r="AC31" s="420">
        <v>0.14074</v>
      </c>
      <c r="AD31" s="425">
        <v>1.6202799999999999</v>
      </c>
      <c r="AE31" s="420">
        <v>0</v>
      </c>
      <c r="AF31" s="417">
        <v>0.21877749021799892</v>
      </c>
      <c r="AG31" s="420">
        <v>3.2482000000000004E-2</v>
      </c>
      <c r="AH31" s="420">
        <v>-1.6131E-2</v>
      </c>
      <c r="AI31" s="419">
        <v>138.57230000000001</v>
      </c>
      <c r="AJ31" s="419" t="s">
        <v>681</v>
      </c>
      <c r="AK31" s="419" t="s">
        <v>681</v>
      </c>
      <c r="AL31" s="419" t="s">
        <v>681</v>
      </c>
      <c r="AM31" s="419" t="s">
        <v>681</v>
      </c>
      <c r="AN31" s="419" t="s">
        <v>681</v>
      </c>
      <c r="AO31" s="425">
        <v>0.40834999999999999</v>
      </c>
      <c r="AP31" s="425">
        <v>1.3936999999999999</v>
      </c>
      <c r="AQ31" s="189" t="s">
        <v>385</v>
      </c>
      <c r="AR31" s="189" t="s">
        <v>685</v>
      </c>
      <c r="AU31" s="163"/>
      <c r="AV31" s="23" t="e">
        <f ca="1">AV54</f>
        <v>#NAME?</v>
      </c>
      <c r="AW31" s="23"/>
      <c r="AX31" s="189" t="s">
        <v>671</v>
      </c>
      <c r="AY31" s="420">
        <v>0.19653999999999999</v>
      </c>
      <c r="AZ31" s="425">
        <v>1.0765100000000001</v>
      </c>
      <c r="BA31" s="420">
        <v>3.0159999999999996E-3</v>
      </c>
      <c r="BB31" s="417">
        <v>0.22662902487906014</v>
      </c>
      <c r="BC31" s="420">
        <v>2.2750000000000001E-3</v>
      </c>
      <c r="BD31" s="420">
        <v>2.2489999999999997E-3</v>
      </c>
      <c r="BE31" s="419">
        <v>67.793300000000002</v>
      </c>
      <c r="BF31" s="419">
        <v>11.469580000000001</v>
      </c>
      <c r="BG31" s="419">
        <v>210.49520000000001</v>
      </c>
      <c r="BH31" s="419">
        <v>5.1042800000000002</v>
      </c>
      <c r="BI31" s="419">
        <v>2.6646700000000001</v>
      </c>
      <c r="BJ31" s="419" t="s">
        <v>681</v>
      </c>
      <c r="BK31" s="425">
        <v>1.21993</v>
      </c>
      <c r="BL31" s="425">
        <v>1.57684</v>
      </c>
      <c r="BM31" s="189" t="s">
        <v>655</v>
      </c>
      <c r="BN31" s="189" t="s">
        <v>687</v>
      </c>
    </row>
    <row r="32" spans="3:66">
      <c r="C32" s="163"/>
      <c r="D32" s="23" t="str">
        <f>D55</f>
        <v>PJT Partners Inc.</v>
      </c>
      <c r="E32" s="23"/>
      <c r="F32" s="189" t="s">
        <v>989</v>
      </c>
      <c r="G32" s="1008">
        <v>0.138266</v>
      </c>
      <c r="H32" s="425">
        <v>0.77607999999999999</v>
      </c>
      <c r="I32" s="1008">
        <v>7.4729999999999996E-3</v>
      </c>
      <c r="J32" s="1008">
        <v>0.2868426045457575</v>
      </c>
      <c r="K32" s="1008">
        <v>0.47078600000000004</v>
      </c>
      <c r="L32" s="1008">
        <v>0.13760999999999998</v>
      </c>
      <c r="M32" s="419">
        <v>0.36687600000000004</v>
      </c>
      <c r="N32" s="419">
        <v>0.99197999999999997</v>
      </c>
      <c r="O32" s="419">
        <v>0.57947099999999996</v>
      </c>
      <c r="P32" s="419">
        <v>35.597850000000001</v>
      </c>
      <c r="Q32" s="419">
        <v>26.747209999999999</v>
      </c>
      <c r="R32" s="419">
        <v>30.006869999999999</v>
      </c>
      <c r="S32" s="425">
        <v>1.89832</v>
      </c>
      <c r="T32" s="425">
        <v>2.07999</v>
      </c>
      <c r="U32" s="189" t="s">
        <v>684</v>
      </c>
      <c r="V32" s="189" t="s">
        <v>682</v>
      </c>
      <c r="W32" s="23"/>
      <c r="Y32" s="163"/>
      <c r="Z32" s="23" t="e">
        <f ca="1">Z55</f>
        <v>#NAME?</v>
      </c>
      <c r="AA32" s="23"/>
      <c r="AB32" s="189" t="s">
        <v>672</v>
      </c>
      <c r="AC32" s="420">
        <v>0.14074</v>
      </c>
      <c r="AD32" s="425">
        <v>1.00423</v>
      </c>
      <c r="AE32" s="420">
        <v>2.2029999999999998E-2</v>
      </c>
      <c r="AF32" s="417">
        <v>0.21877749021799892</v>
      </c>
      <c r="AG32" s="420">
        <v>0.39946500000000001</v>
      </c>
      <c r="AH32" s="420">
        <v>6.9584000000000007E-2</v>
      </c>
      <c r="AI32" s="426">
        <v>49.722200000000001</v>
      </c>
      <c r="AJ32" s="426">
        <v>1.5284599999999999</v>
      </c>
      <c r="AK32" s="426">
        <v>98.895300000000006</v>
      </c>
      <c r="AL32" s="419">
        <v>10.78947</v>
      </c>
      <c r="AM32" s="419">
        <v>7.6929800000000004</v>
      </c>
      <c r="AN32" s="419">
        <v>7.7719300000000002</v>
      </c>
      <c r="AO32" s="425">
        <v>0.95642000000000005</v>
      </c>
      <c r="AP32" s="425">
        <v>1.0979300000000001</v>
      </c>
      <c r="AQ32" s="189" t="s">
        <v>385</v>
      </c>
      <c r="AR32" s="189" t="s">
        <v>685</v>
      </c>
      <c r="AU32" s="163"/>
      <c r="AV32" s="23" t="e">
        <f ca="1">AV55</f>
        <v>#NAME?</v>
      </c>
      <c r="AW32" s="23"/>
      <c r="AX32" s="189" t="s">
        <v>673</v>
      </c>
      <c r="AY32" s="420">
        <v>0.19078499999999998</v>
      </c>
      <c r="AZ32" s="425">
        <v>1.1858299999999999</v>
      </c>
      <c r="BA32" s="420">
        <v>1.6094000000000001E-2</v>
      </c>
      <c r="BB32" s="417">
        <v>0.20011679501698756</v>
      </c>
      <c r="BC32" s="420">
        <v>0.27636500000000003</v>
      </c>
      <c r="BD32" s="420">
        <v>7.0619000000000001E-2</v>
      </c>
      <c r="BE32" s="426">
        <v>56.602200000000003</v>
      </c>
      <c r="BF32" s="426">
        <v>2.9363700000000001</v>
      </c>
      <c r="BG32" s="426">
        <v>130.4264</v>
      </c>
      <c r="BH32" s="419">
        <v>22.019500000000001</v>
      </c>
      <c r="BI32" s="419">
        <v>19.495819999999998</v>
      </c>
      <c r="BJ32" s="419">
        <v>18.53482</v>
      </c>
      <c r="BK32" s="425">
        <v>1.15815</v>
      </c>
      <c r="BL32" s="425">
        <v>1.4676800000000001</v>
      </c>
      <c r="BM32" s="189" t="s">
        <v>386</v>
      </c>
      <c r="BN32" s="189" t="s">
        <v>682</v>
      </c>
    </row>
    <row r="33" spans="2:66">
      <c r="C33" s="163"/>
      <c r="D33" s="23" t="str">
        <f>D56</f>
        <v>Moelis &amp; Company</v>
      </c>
      <c r="E33" s="23"/>
      <c r="F33" s="189" t="s">
        <v>991</v>
      </c>
      <c r="G33" s="1008">
        <v>0.138266</v>
      </c>
      <c r="H33" s="425">
        <v>1.27315</v>
      </c>
      <c r="I33" s="1008">
        <v>0</v>
      </c>
      <c r="J33" s="1008">
        <v>0.2868426045457575</v>
      </c>
      <c r="K33" s="1008">
        <v>-0.29455100000000001</v>
      </c>
      <c r="L33" s="1008">
        <v>-8.1477999999999995E-2</v>
      </c>
      <c r="M33" s="419">
        <v>0.462335</v>
      </c>
      <c r="N33" s="419" t="s">
        <v>681</v>
      </c>
      <c r="O33" s="419">
        <v>0.85989599999999999</v>
      </c>
      <c r="P33" s="419" t="s">
        <v>681</v>
      </c>
      <c r="Q33" s="419" t="s">
        <v>681</v>
      </c>
      <c r="R33" s="419" t="s">
        <v>681</v>
      </c>
      <c r="S33" s="425">
        <v>4.9178699999999997</v>
      </c>
      <c r="T33" s="425">
        <v>5.0020100000000003</v>
      </c>
      <c r="U33" s="189" t="s">
        <v>684</v>
      </c>
      <c r="V33" s="189" t="s">
        <v>682</v>
      </c>
      <c r="W33" s="23"/>
      <c r="Y33" s="163"/>
      <c r="Z33" s="23" t="e">
        <f ca="1">Z56</f>
        <v>#NAME?</v>
      </c>
      <c r="AA33" s="23"/>
      <c r="AB33" s="189" t="s">
        <v>674</v>
      </c>
      <c r="AC33" s="420">
        <v>0.16356999999999999</v>
      </c>
      <c r="AD33" s="425">
        <v>0.97955999999999999</v>
      </c>
      <c r="AE33" s="420">
        <v>2.8730000000000002E-2</v>
      </c>
      <c r="AF33" s="417">
        <v>0.47399097894209075</v>
      </c>
      <c r="AG33" s="420">
        <v>1.395308</v>
      </c>
      <c r="AH33" s="420">
        <v>0.11113300000000001</v>
      </c>
      <c r="AI33" s="419">
        <v>68.750600000000006</v>
      </c>
      <c r="AJ33" s="419">
        <v>1.2992999999999999</v>
      </c>
      <c r="AK33" s="419">
        <v>220.00659999999999</v>
      </c>
      <c r="AL33" s="419">
        <v>17.299489999999999</v>
      </c>
      <c r="AM33" s="419">
        <v>14.31134</v>
      </c>
      <c r="AN33" s="419">
        <v>15.020300000000001</v>
      </c>
      <c r="AO33" s="425">
        <v>1.05383</v>
      </c>
      <c r="AP33" s="425">
        <v>1.3908</v>
      </c>
      <c r="AQ33" s="189" t="s">
        <v>387</v>
      </c>
      <c r="AR33" s="189" t="s">
        <v>682</v>
      </c>
      <c r="AU33" s="163"/>
      <c r="AV33" s="23" t="e">
        <f ca="1">AV56</f>
        <v>#NAME?</v>
      </c>
      <c r="AW33" s="23"/>
      <c r="AX33" s="189" t="s">
        <v>675</v>
      </c>
      <c r="AY33" s="420">
        <v>0.214669</v>
      </c>
      <c r="AZ33" s="425">
        <v>1.0453399999999999</v>
      </c>
      <c r="BA33" s="420">
        <v>4.7010000000000003E-3</v>
      </c>
      <c r="BB33" s="417">
        <v>6.2702786118550582E-2</v>
      </c>
      <c r="BC33" s="420">
        <v>0.10162599999999999</v>
      </c>
      <c r="BD33" s="420">
        <v>4.5176000000000001E-2</v>
      </c>
      <c r="BE33" s="419">
        <v>48.453000000000003</v>
      </c>
      <c r="BF33" s="419">
        <v>4.8756700000000004</v>
      </c>
      <c r="BG33" s="419">
        <v>93.997900000000001</v>
      </c>
      <c r="BH33" s="419">
        <v>9.2297899999999995</v>
      </c>
      <c r="BI33" s="419">
        <v>9.0872499999999992</v>
      </c>
      <c r="BJ33" s="419">
        <v>6.5376899999999996</v>
      </c>
      <c r="BK33" s="425">
        <v>0.58701999999999999</v>
      </c>
      <c r="BL33" s="425">
        <v>0.71686000000000005</v>
      </c>
      <c r="BM33" s="189" t="s">
        <v>655</v>
      </c>
      <c r="BN33" s="189" t="s">
        <v>682</v>
      </c>
    </row>
    <row r="34" spans="2:66">
      <c r="C34" s="163"/>
      <c r="D34" s="23"/>
      <c r="E34" s="23"/>
      <c r="F34" s="189"/>
      <c r="G34" s="1008"/>
      <c r="H34" s="425"/>
      <c r="I34" s="1008"/>
      <c r="J34" s="1008"/>
      <c r="K34" s="1008"/>
      <c r="L34" s="1008"/>
      <c r="M34" s="419"/>
      <c r="N34" s="419"/>
      <c r="O34" s="419"/>
      <c r="P34" s="419"/>
      <c r="Q34" s="419"/>
      <c r="R34" s="419"/>
      <c r="S34" s="425"/>
      <c r="T34" s="425"/>
      <c r="U34" s="189"/>
      <c r="V34" s="189"/>
      <c r="W34" s="23"/>
      <c r="Y34" s="163"/>
      <c r="Z34" s="23" t="e">
        <f ca="1">Z57</f>
        <v>#NAME?</v>
      </c>
      <c r="AA34" s="23"/>
      <c r="AB34" s="189" t="s">
        <v>677</v>
      </c>
      <c r="AC34" s="420">
        <v>0.14458099999999999</v>
      </c>
      <c r="AD34" s="425">
        <v>0.83875999999999995</v>
      </c>
      <c r="AE34" s="420">
        <v>1.7212999999999999E-2</v>
      </c>
      <c r="AF34" s="417">
        <v>0.17260347844787285</v>
      </c>
      <c r="AG34" s="420">
        <v>0.43554799999999999</v>
      </c>
      <c r="AH34" s="420">
        <v>6.3013E-2</v>
      </c>
      <c r="AI34" s="419">
        <v>61.089399999999998</v>
      </c>
      <c r="AJ34" s="419">
        <v>2.7975400000000001</v>
      </c>
      <c r="AK34" s="419">
        <v>156.99969999999999</v>
      </c>
      <c r="AL34" s="419">
        <v>10.011799999999999</v>
      </c>
      <c r="AM34" s="419">
        <v>7.6172000000000004</v>
      </c>
      <c r="AN34" s="419">
        <v>7.1315299999999997</v>
      </c>
      <c r="AO34" s="425">
        <v>1.2881</v>
      </c>
      <c r="AP34" s="425">
        <v>1.6016699999999999</v>
      </c>
      <c r="AQ34" s="189" t="s">
        <v>655</v>
      </c>
      <c r="AR34" s="189" t="s">
        <v>682</v>
      </c>
      <c r="AU34" s="163"/>
      <c r="AV34" s="23" t="e">
        <f ca="1">AV57</f>
        <v>#NAME?</v>
      </c>
      <c r="AW34" s="23"/>
      <c r="AX34" s="189" t="s">
        <v>678</v>
      </c>
      <c r="AY34" s="420">
        <v>0.14775099999999999</v>
      </c>
      <c r="AZ34" s="425">
        <v>1.5346900000000001</v>
      </c>
      <c r="BA34" s="420">
        <v>1.9279999999999999E-2</v>
      </c>
      <c r="BB34" s="417">
        <v>0.18755553155356769</v>
      </c>
      <c r="BC34" s="420">
        <v>0.27681899999999998</v>
      </c>
      <c r="BD34" s="420">
        <v>8.5174E-2</v>
      </c>
      <c r="BE34" s="419">
        <v>48.6629</v>
      </c>
      <c r="BF34" s="419">
        <v>2.1010200000000001</v>
      </c>
      <c r="BG34" s="419">
        <v>94.790999999999997</v>
      </c>
      <c r="BH34" s="419">
        <v>21.777139999999999</v>
      </c>
      <c r="BI34" s="419">
        <v>18.702860000000001</v>
      </c>
      <c r="BJ34" s="419">
        <v>16.274290000000001</v>
      </c>
      <c r="BK34" s="425">
        <v>1.13656</v>
      </c>
      <c r="BL34" s="425">
        <v>1.5222100000000001</v>
      </c>
      <c r="BM34" s="189" t="s">
        <v>386</v>
      </c>
      <c r="BN34" s="189" t="s">
        <v>682</v>
      </c>
    </row>
    <row r="35" spans="2:66" ht="15" thickBot="1">
      <c r="C35" s="163"/>
      <c r="D35" s="23"/>
      <c r="E35" s="23"/>
      <c r="F35" s="189"/>
      <c r="G35" s="420"/>
      <c r="H35" s="189"/>
      <c r="I35" s="309"/>
      <c r="J35" s="309"/>
      <c r="K35" s="309"/>
      <c r="L35" s="309"/>
      <c r="M35" s="424"/>
      <c r="N35" s="189"/>
      <c r="O35" s="427"/>
      <c r="P35" s="419"/>
      <c r="Q35" s="419"/>
      <c r="R35" s="419"/>
      <c r="S35" s="189"/>
      <c r="T35" s="189"/>
      <c r="U35" s="189"/>
      <c r="V35" s="189"/>
      <c r="W35" s="23"/>
      <c r="Y35" s="163"/>
      <c r="Z35" s="23"/>
      <c r="AA35" s="23"/>
      <c r="AB35" s="189"/>
      <c r="AC35" s="420"/>
      <c r="AD35" s="189"/>
      <c r="AE35" s="309"/>
      <c r="AF35" s="309"/>
      <c r="AG35" s="309"/>
      <c r="AH35" s="309"/>
      <c r="AI35" s="424"/>
      <c r="AJ35" s="189"/>
      <c r="AK35" s="427"/>
      <c r="AL35" s="419"/>
      <c r="AM35" s="419"/>
      <c r="AN35" s="419"/>
      <c r="AO35" s="189"/>
      <c r="AP35" s="189"/>
      <c r="AQ35" s="189"/>
      <c r="AR35" s="189"/>
      <c r="AU35" s="163"/>
      <c r="AV35" s="23"/>
      <c r="AW35" s="23"/>
      <c r="AX35" s="189"/>
      <c r="AY35" s="420"/>
      <c r="AZ35" s="189"/>
      <c r="BA35" s="309"/>
      <c r="BB35" s="309"/>
      <c r="BC35" s="309"/>
      <c r="BD35" s="309"/>
      <c r="BE35" s="424"/>
      <c r="BF35" s="189"/>
      <c r="BG35" s="427"/>
      <c r="BH35" s="419"/>
      <c r="BI35" s="419"/>
      <c r="BJ35" s="419"/>
      <c r="BK35" s="189"/>
      <c r="BL35" s="189"/>
      <c r="BM35" s="189"/>
      <c r="BN35" s="189"/>
    </row>
    <row r="36" spans="2:66">
      <c r="C36" s="163"/>
      <c r="D36" s="639" t="str">
        <f>D18</f>
        <v>High</v>
      </c>
      <c r="E36" s="640"/>
      <c r="F36" s="641"/>
      <c r="G36" s="1009">
        <f>MAX(G28:G34)</f>
        <v>0.24602599999999999</v>
      </c>
      <c r="H36" s="660">
        <f t="shared" ref="H36:T36" si="12">MAX(H28:H34)</f>
        <v>1.58</v>
      </c>
      <c r="I36" s="1009">
        <f t="shared" si="12"/>
        <v>1.5541000000000001E-2</v>
      </c>
      <c r="J36" s="1009">
        <f t="shared" si="12"/>
        <v>0.51604108967481488</v>
      </c>
      <c r="K36" s="1009">
        <f t="shared" si="12"/>
        <v>3.3532639999999998</v>
      </c>
      <c r="L36" s="1009">
        <f t="shared" si="12"/>
        <v>0.19302399999999997</v>
      </c>
      <c r="M36" s="645">
        <f t="shared" si="12"/>
        <v>0.9480249999999999</v>
      </c>
      <c r="N36" s="645">
        <f t="shared" si="12"/>
        <v>1.9578</v>
      </c>
      <c r="O36" s="645">
        <f t="shared" si="12"/>
        <v>18.240082999999998</v>
      </c>
      <c r="P36" s="645">
        <f t="shared" si="12"/>
        <v>35.597850000000001</v>
      </c>
      <c r="Q36" s="645">
        <f t="shared" si="12"/>
        <v>28.136089999999999</v>
      </c>
      <c r="R36" s="645">
        <f t="shared" si="12"/>
        <v>30.006869999999999</v>
      </c>
      <c r="S36" s="660">
        <f t="shared" si="12"/>
        <v>4.9178699999999997</v>
      </c>
      <c r="T36" s="660">
        <f t="shared" si="12"/>
        <v>5.0510599999999997</v>
      </c>
      <c r="U36" s="661"/>
      <c r="V36" s="662"/>
      <c r="W36" s="23"/>
      <c r="Y36" s="163"/>
      <c r="Z36" s="639" t="str">
        <f>Z18</f>
        <v>High</v>
      </c>
      <c r="AA36" s="640"/>
      <c r="AB36" s="641"/>
      <c r="AC36" s="643">
        <f>MAX(AC28:AC34)</f>
        <v>0.24602599999999999</v>
      </c>
      <c r="AD36" s="660">
        <f t="shared" ref="AD36:AP36" si="13">MAX(AD28:AD34)</f>
        <v>1.6202799999999999</v>
      </c>
      <c r="AE36" s="643">
        <f t="shared" si="13"/>
        <v>2.8730000000000002E-2</v>
      </c>
      <c r="AF36" s="643">
        <f t="shared" si="13"/>
        <v>0.47399097894209075</v>
      </c>
      <c r="AG36" s="643">
        <f t="shared" si="13"/>
        <v>3.3532639999999998</v>
      </c>
      <c r="AH36" s="643">
        <f t="shared" si="13"/>
        <v>0.153199</v>
      </c>
      <c r="AI36" s="645">
        <f t="shared" si="13"/>
        <v>138.57230000000001</v>
      </c>
      <c r="AJ36" s="645">
        <f t="shared" si="13"/>
        <v>4.7381599999999997</v>
      </c>
      <c r="AK36" s="645">
        <f t="shared" si="13"/>
        <v>1824.0083</v>
      </c>
      <c r="AL36" s="645">
        <f t="shared" si="13"/>
        <v>17.299489999999999</v>
      </c>
      <c r="AM36" s="645">
        <f t="shared" si="13"/>
        <v>14.31134</v>
      </c>
      <c r="AN36" s="645">
        <f t="shared" si="13"/>
        <v>15.020300000000001</v>
      </c>
      <c r="AO36" s="660">
        <f t="shared" si="13"/>
        <v>1.2881</v>
      </c>
      <c r="AP36" s="660">
        <f t="shared" si="13"/>
        <v>1.6016699999999999</v>
      </c>
      <c r="AQ36" s="661"/>
      <c r="AR36" s="662"/>
      <c r="AU36" s="163"/>
      <c r="AV36" s="639" t="str">
        <f>AV18</f>
        <v>High</v>
      </c>
      <c r="AW36" s="640"/>
      <c r="AX36" s="641"/>
      <c r="AY36" s="643">
        <f>MAX(AY28:AY34)</f>
        <v>0.24602599999999999</v>
      </c>
      <c r="AZ36" s="660">
        <f t="shared" ref="AZ36:BL36" si="14">MAX(AZ28:AZ34)</f>
        <v>1.5346900000000001</v>
      </c>
      <c r="BA36" s="643">
        <f t="shared" si="14"/>
        <v>3.0351E-2</v>
      </c>
      <c r="BB36" s="643">
        <f t="shared" si="14"/>
        <v>0.39441918935110964</v>
      </c>
      <c r="BC36" s="643">
        <f t="shared" si="14"/>
        <v>3.3532639999999998</v>
      </c>
      <c r="BD36" s="643">
        <f t="shared" si="14"/>
        <v>0.153199</v>
      </c>
      <c r="BE36" s="645">
        <f t="shared" si="14"/>
        <v>94.802499999999995</v>
      </c>
      <c r="BF36" s="645">
        <f t="shared" si="14"/>
        <v>11.469580000000001</v>
      </c>
      <c r="BG36" s="645">
        <f t="shared" si="14"/>
        <v>1824.0083</v>
      </c>
      <c r="BH36" s="645">
        <f t="shared" si="14"/>
        <v>22.019500000000001</v>
      </c>
      <c r="BI36" s="645">
        <f t="shared" si="14"/>
        <v>19.495819999999998</v>
      </c>
      <c r="BJ36" s="645">
        <f t="shared" si="14"/>
        <v>18.53482</v>
      </c>
      <c r="BK36" s="660">
        <f t="shared" si="14"/>
        <v>1.2424500000000001</v>
      </c>
      <c r="BL36" s="660">
        <f t="shared" si="14"/>
        <v>1.885</v>
      </c>
      <c r="BM36" s="661"/>
      <c r="BN36" s="662"/>
    </row>
    <row r="37" spans="2:66">
      <c r="C37" s="163"/>
      <c r="D37" s="647" t="str">
        <f>D19</f>
        <v>Mean</v>
      </c>
      <c r="E37" s="421"/>
      <c r="F37" s="648"/>
      <c r="G37" s="1010">
        <f>AVERAGE(G28:G34)</f>
        <v>0.15768359999999998</v>
      </c>
      <c r="H37" s="663">
        <f t="shared" ref="H37:T37" si="15">AVERAGE(H28:H34)</f>
        <v>1.2247440000000001</v>
      </c>
      <c r="I37" s="1010">
        <f t="shared" si="15"/>
        <v>5.7870000000000005E-3</v>
      </c>
      <c r="J37" s="1010">
        <f t="shared" si="15"/>
        <v>0.35498849817622036</v>
      </c>
      <c r="K37" s="1010">
        <f t="shared" si="15"/>
        <v>1.0228123999999998</v>
      </c>
      <c r="L37" s="1010">
        <f t="shared" si="15"/>
        <v>0.11637159999999999</v>
      </c>
      <c r="M37" s="651">
        <f t="shared" si="15"/>
        <v>0.50182360000000004</v>
      </c>
      <c r="N37" s="651">
        <f t="shared" si="15"/>
        <v>1.1520900000000001</v>
      </c>
      <c r="O37" s="651">
        <f t="shared" si="15"/>
        <v>4.3276021999999994</v>
      </c>
      <c r="P37" s="651">
        <f t="shared" si="15"/>
        <v>20.407797500000001</v>
      </c>
      <c r="Q37" s="651">
        <f t="shared" si="15"/>
        <v>17.045652499999999</v>
      </c>
      <c r="R37" s="651">
        <f t="shared" si="15"/>
        <v>16.392612499999998</v>
      </c>
      <c r="S37" s="663">
        <f t="shared" si="15"/>
        <v>2.6407859999999999</v>
      </c>
      <c r="T37" s="663">
        <f t="shared" si="15"/>
        <v>2.9377300000000002</v>
      </c>
      <c r="U37" s="664"/>
      <c r="V37" s="665"/>
      <c r="W37" s="23"/>
      <c r="Y37" s="163"/>
      <c r="Z37" s="647" t="str">
        <f>Z19</f>
        <v>Mean</v>
      </c>
      <c r="AA37" s="421"/>
      <c r="AB37" s="648"/>
      <c r="AC37" s="650">
        <f>AVERAGE(AC28:AC34)</f>
        <v>0.16273283333333333</v>
      </c>
      <c r="AD37" s="663">
        <f t="shared" ref="AD37:AP37" si="16">AVERAGE(AD28:AD34)</f>
        <v>1.1378366666666666</v>
      </c>
      <c r="AE37" s="650">
        <f t="shared" si="16"/>
        <v>1.7900166666666665E-2</v>
      </c>
      <c r="AF37" s="650">
        <f t="shared" si="16"/>
        <v>0.282891019565845</v>
      </c>
      <c r="AG37" s="650">
        <f t="shared" si="16"/>
        <v>0.94142483333333338</v>
      </c>
      <c r="AH37" s="650">
        <f t="shared" si="16"/>
        <v>6.6452499999999998E-2</v>
      </c>
      <c r="AI37" s="651">
        <f t="shared" si="16"/>
        <v>74.056416666666664</v>
      </c>
      <c r="AJ37" s="651">
        <f t="shared" si="16"/>
        <v>2.4642519999999997</v>
      </c>
      <c r="AK37" s="651">
        <f t="shared" si="16"/>
        <v>469.13713999999993</v>
      </c>
      <c r="AL37" s="651">
        <f t="shared" si="16"/>
        <v>11.704713999999999</v>
      </c>
      <c r="AM37" s="651">
        <f t="shared" si="16"/>
        <v>9.3431139999999999</v>
      </c>
      <c r="AN37" s="651">
        <f t="shared" si="16"/>
        <v>8.8358999999999988</v>
      </c>
      <c r="AO37" s="663">
        <f t="shared" si="16"/>
        <v>0.79413833333333328</v>
      </c>
      <c r="AP37" s="663">
        <f t="shared" si="16"/>
        <v>1.3143483333333335</v>
      </c>
      <c r="AQ37" s="664"/>
      <c r="AR37" s="665"/>
      <c r="AU37" s="163"/>
      <c r="AV37" s="647" t="str">
        <f>AV19</f>
        <v>Mean</v>
      </c>
      <c r="AW37" s="421"/>
      <c r="AX37" s="648"/>
      <c r="AY37" s="650">
        <f>AVERAGE(AY28:AY34)</f>
        <v>0.19871849999999999</v>
      </c>
      <c r="AZ37" s="663">
        <f t="shared" ref="AZ37:BL37" si="17">AVERAGE(AZ28:AZ34)</f>
        <v>1.1878633333333333</v>
      </c>
      <c r="BA37" s="650">
        <f t="shared" si="17"/>
        <v>1.4830500000000002E-2</v>
      </c>
      <c r="BB37" s="650">
        <f t="shared" si="17"/>
        <v>0.21634205863305597</v>
      </c>
      <c r="BC37" s="650">
        <f t="shared" si="17"/>
        <v>0.74607883333333336</v>
      </c>
      <c r="BD37" s="650">
        <f t="shared" si="17"/>
        <v>7.7613500000000002E-2</v>
      </c>
      <c r="BE37" s="651">
        <f t="shared" si="17"/>
        <v>62.796133333333323</v>
      </c>
      <c r="BF37" s="651">
        <f t="shared" si="17"/>
        <v>4.2395050000000003</v>
      </c>
      <c r="BG37" s="651">
        <f t="shared" si="17"/>
        <v>417.77429999999998</v>
      </c>
      <c r="BH37" s="651">
        <f t="shared" si="17"/>
        <v>15.218965000000003</v>
      </c>
      <c r="BI37" s="651">
        <f t="shared" si="17"/>
        <v>13.040391666666666</v>
      </c>
      <c r="BJ37" s="651">
        <f t="shared" si="17"/>
        <v>13.441250000000002</v>
      </c>
      <c r="BK37" s="663">
        <f t="shared" si="17"/>
        <v>0.93692166666666665</v>
      </c>
      <c r="BL37" s="663">
        <f t="shared" si="17"/>
        <v>1.3934300000000002</v>
      </c>
      <c r="BM37" s="664"/>
      <c r="BN37" s="665"/>
    </row>
    <row r="38" spans="2:66">
      <c r="C38" s="163"/>
      <c r="D38" s="647" t="str">
        <f>D20</f>
        <v>Median</v>
      </c>
      <c r="E38" s="421"/>
      <c r="F38" s="421"/>
      <c r="G38" s="1010">
        <f>MEDIAN(G28:G34)</f>
        <v>0.138266</v>
      </c>
      <c r="H38" s="663">
        <f t="shared" ref="H38:T38" si="18">MEDIAN(H28:H34)</f>
        <v>1.27315</v>
      </c>
      <c r="I38" s="1010">
        <f t="shared" si="18"/>
        <v>5.9209999999999992E-3</v>
      </c>
      <c r="J38" s="1010">
        <f t="shared" si="18"/>
        <v>0.29079700276366233</v>
      </c>
      <c r="K38" s="1010">
        <f t="shared" si="18"/>
        <v>0.47078600000000004</v>
      </c>
      <c r="L38" s="1010">
        <f t="shared" si="18"/>
        <v>0.153199</v>
      </c>
      <c r="M38" s="651">
        <f t="shared" si="18"/>
        <v>0.462335</v>
      </c>
      <c r="N38" s="651">
        <f t="shared" si="18"/>
        <v>1.1896150000000001</v>
      </c>
      <c r="O38" s="651">
        <f t="shared" si="18"/>
        <v>0.85989599999999999</v>
      </c>
      <c r="P38" s="651">
        <f t="shared" si="18"/>
        <v>23.016669999999998</v>
      </c>
      <c r="Q38" s="651">
        <f t="shared" si="18"/>
        <v>20.023260000000001</v>
      </c>
      <c r="R38" s="651">
        <f t="shared" si="18"/>
        <v>17.781790000000001</v>
      </c>
      <c r="S38" s="663">
        <f t="shared" si="18"/>
        <v>1.89832</v>
      </c>
      <c r="T38" s="663">
        <f t="shared" si="18"/>
        <v>2.07999</v>
      </c>
      <c r="U38" s="664"/>
      <c r="V38" s="665"/>
      <c r="W38" s="23"/>
      <c r="Y38" s="163"/>
      <c r="Z38" s="647" t="str">
        <f>Z20</f>
        <v>Median</v>
      </c>
      <c r="AA38" s="421"/>
      <c r="AB38" s="421"/>
      <c r="AC38" s="650">
        <f>MEDIAN(AC28:AC34)</f>
        <v>0.1426605</v>
      </c>
      <c r="AD38" s="663">
        <f t="shared" ref="AD38:AP38" si="19">MEDIAN(AD28:AD34)</f>
        <v>1.030815</v>
      </c>
      <c r="AE38" s="650">
        <f t="shared" si="19"/>
        <v>1.96215E-2</v>
      </c>
      <c r="AF38" s="650">
        <f t="shared" si="19"/>
        <v>0.21877749021799892</v>
      </c>
      <c r="AG38" s="650">
        <f t="shared" si="19"/>
        <v>0.4175065</v>
      </c>
      <c r="AH38" s="650">
        <f t="shared" si="19"/>
        <v>6.629850000000001E-2</v>
      </c>
      <c r="AI38" s="651">
        <f t="shared" si="19"/>
        <v>64.92</v>
      </c>
      <c r="AJ38" s="651">
        <f t="shared" si="19"/>
        <v>1.9578</v>
      </c>
      <c r="AK38" s="651">
        <f t="shared" si="19"/>
        <v>156.99969999999999</v>
      </c>
      <c r="AL38" s="651">
        <f t="shared" si="19"/>
        <v>10.78947</v>
      </c>
      <c r="AM38" s="651">
        <f t="shared" si="19"/>
        <v>7.6929800000000004</v>
      </c>
      <c r="AN38" s="651">
        <f t="shared" si="19"/>
        <v>7.7719300000000002</v>
      </c>
      <c r="AO38" s="663">
        <f t="shared" si="19"/>
        <v>0.86856500000000003</v>
      </c>
      <c r="AP38" s="663">
        <f t="shared" si="19"/>
        <v>1.3004</v>
      </c>
      <c r="AQ38" s="664"/>
      <c r="AR38" s="665"/>
      <c r="AU38" s="163"/>
      <c r="AV38" s="647" t="str">
        <f>AV20</f>
        <v>Median</v>
      </c>
      <c r="AW38" s="421"/>
      <c r="AX38" s="421"/>
      <c r="AY38" s="650">
        <f>MEDIAN(AY28:AY34)</f>
        <v>0.19653999999999999</v>
      </c>
      <c r="AZ38" s="663">
        <f t="shared" ref="AZ38:BL38" si="20">MEDIAN(AZ28:AZ34)</f>
        <v>1.13117</v>
      </c>
      <c r="BA38" s="650">
        <f t="shared" si="20"/>
        <v>1.5817500000000002E-2</v>
      </c>
      <c r="BB38" s="650">
        <f t="shared" si="20"/>
        <v>0.21337290994802385</v>
      </c>
      <c r="BC38" s="650">
        <f t="shared" si="20"/>
        <v>0.276592</v>
      </c>
      <c r="BD38" s="650">
        <f t="shared" si="20"/>
        <v>7.7896500000000007E-2</v>
      </c>
      <c r="BE38" s="651">
        <f t="shared" si="20"/>
        <v>58.532550000000001</v>
      </c>
      <c r="BF38" s="651">
        <f t="shared" si="20"/>
        <v>2.5186950000000001</v>
      </c>
      <c r="BG38" s="651">
        <f t="shared" si="20"/>
        <v>141.67669999999998</v>
      </c>
      <c r="BH38" s="651">
        <f t="shared" si="20"/>
        <v>16.591540000000002</v>
      </c>
      <c r="BI38" s="651">
        <f t="shared" si="20"/>
        <v>14.145875</v>
      </c>
      <c r="BJ38" s="651">
        <f t="shared" si="20"/>
        <v>13.36862</v>
      </c>
      <c r="BK38" s="663">
        <f t="shared" si="20"/>
        <v>1.1473550000000001</v>
      </c>
      <c r="BL38" s="663">
        <f t="shared" si="20"/>
        <v>1.494945</v>
      </c>
      <c r="BM38" s="664"/>
      <c r="BN38" s="665"/>
    </row>
    <row r="39" spans="2:66" ht="15" thickBot="1">
      <c r="C39" s="163" t="s">
        <v>1</v>
      </c>
      <c r="D39" s="653" t="str">
        <f>D21</f>
        <v>Low</v>
      </c>
      <c r="E39" s="422"/>
      <c r="F39" s="422"/>
      <c r="G39" s="1011">
        <f>MIN(G28:G34)</f>
        <v>0.12157899999999999</v>
      </c>
      <c r="H39" s="666">
        <f t="shared" ref="H39:T39" si="21">MIN(H28:H34)</f>
        <v>0.77607999999999999</v>
      </c>
      <c r="I39" s="1011">
        <f t="shared" si="21"/>
        <v>0</v>
      </c>
      <c r="J39" s="1011">
        <f t="shared" si="21"/>
        <v>0.2868426045457575</v>
      </c>
      <c r="K39" s="1011">
        <f t="shared" si="21"/>
        <v>-0.29455100000000001</v>
      </c>
      <c r="L39" s="1011">
        <f t="shared" si="21"/>
        <v>-8.1477999999999995E-2</v>
      </c>
      <c r="M39" s="656">
        <f t="shared" si="21"/>
        <v>8.0139999999999989E-2</v>
      </c>
      <c r="N39" s="656">
        <f t="shared" si="21"/>
        <v>0.27133000000000002</v>
      </c>
      <c r="O39" s="656">
        <f t="shared" si="21"/>
        <v>8.7121999999999991E-2</v>
      </c>
      <c r="P39" s="656">
        <f t="shared" si="21"/>
        <v>0</v>
      </c>
      <c r="Q39" s="656">
        <f t="shared" si="21"/>
        <v>0</v>
      </c>
      <c r="R39" s="656">
        <f t="shared" si="21"/>
        <v>0</v>
      </c>
      <c r="S39" s="666">
        <f t="shared" si="21"/>
        <v>0.27742</v>
      </c>
      <c r="T39" s="666">
        <f t="shared" si="21"/>
        <v>1.1919900000000001</v>
      </c>
      <c r="U39" s="667"/>
      <c r="V39" s="668"/>
      <c r="W39" s="23"/>
      <c r="Y39" s="163" t="s">
        <v>1</v>
      </c>
      <c r="Z39" s="653" t="str">
        <f>Z21</f>
        <v>Low</v>
      </c>
      <c r="AA39" s="422"/>
      <c r="AB39" s="422"/>
      <c r="AC39" s="655">
        <f>MIN(AC28:AC34)</f>
        <v>0.14074</v>
      </c>
      <c r="AD39" s="666">
        <f t="shared" ref="AD39:AP39" si="22">MIN(AD28:AD34)</f>
        <v>0.83875999999999995</v>
      </c>
      <c r="AE39" s="655">
        <f t="shared" si="22"/>
        <v>0</v>
      </c>
      <c r="AF39" s="655">
        <f t="shared" si="22"/>
        <v>0.17260347844787285</v>
      </c>
      <c r="AG39" s="655">
        <f t="shared" si="22"/>
        <v>3.2482000000000004E-2</v>
      </c>
      <c r="AH39" s="655">
        <f t="shared" si="22"/>
        <v>-1.6131E-2</v>
      </c>
      <c r="AI39" s="656">
        <f t="shared" si="22"/>
        <v>31.401499999999999</v>
      </c>
      <c r="AJ39" s="656">
        <f t="shared" si="22"/>
        <v>1.2992999999999999</v>
      </c>
      <c r="AK39" s="656">
        <f t="shared" si="22"/>
        <v>45.775799999999997</v>
      </c>
      <c r="AL39" s="656">
        <f t="shared" si="22"/>
        <v>5.0696000000000003</v>
      </c>
      <c r="AM39" s="656">
        <f t="shared" si="22"/>
        <v>3.79474</v>
      </c>
      <c r="AN39" s="656">
        <f t="shared" si="22"/>
        <v>1.76491</v>
      </c>
      <c r="AO39" s="666">
        <f t="shared" si="22"/>
        <v>0.27742</v>
      </c>
      <c r="AP39" s="666">
        <f t="shared" si="22"/>
        <v>1.0979300000000001</v>
      </c>
      <c r="AQ39" s="667"/>
      <c r="AR39" s="668"/>
      <c r="AU39" s="163" t="s">
        <v>1</v>
      </c>
      <c r="AV39" s="653" t="str">
        <f>AV21</f>
        <v>Low</v>
      </c>
      <c r="AW39" s="422"/>
      <c r="AX39" s="422"/>
      <c r="AY39" s="655">
        <f>MIN(AY28:AY34)</f>
        <v>0.14775099999999999</v>
      </c>
      <c r="AZ39" s="666">
        <f t="shared" ref="AZ39:BL39" si="23">MIN(AZ28:AZ34)</f>
        <v>0.95801999999999998</v>
      </c>
      <c r="BA39" s="655">
        <f t="shared" si="23"/>
        <v>3.0159999999999996E-3</v>
      </c>
      <c r="BB39" s="655">
        <f t="shared" si="23"/>
        <v>6.2702786118550582E-2</v>
      </c>
      <c r="BC39" s="655">
        <f t="shared" si="23"/>
        <v>2.2750000000000001E-3</v>
      </c>
      <c r="BD39" s="655">
        <f t="shared" si="23"/>
        <v>2.2489999999999997E-3</v>
      </c>
      <c r="BE39" s="656">
        <f t="shared" si="23"/>
        <v>48.453000000000003</v>
      </c>
      <c r="BF39" s="656">
        <f t="shared" si="23"/>
        <v>1.9578</v>
      </c>
      <c r="BG39" s="656">
        <f t="shared" si="23"/>
        <v>93.997900000000001</v>
      </c>
      <c r="BH39" s="656">
        <f t="shared" si="23"/>
        <v>5.1042800000000002</v>
      </c>
      <c r="BI39" s="656">
        <f t="shared" si="23"/>
        <v>2.6646700000000001</v>
      </c>
      <c r="BJ39" s="656">
        <f t="shared" si="23"/>
        <v>6.5376899999999996</v>
      </c>
      <c r="BK39" s="666">
        <f t="shared" si="23"/>
        <v>0.27742</v>
      </c>
      <c r="BL39" s="666">
        <f t="shared" si="23"/>
        <v>0.71686000000000005</v>
      </c>
      <c r="BM39" s="667"/>
      <c r="BN39" s="668"/>
    </row>
    <row r="40" spans="2:66">
      <c r="C40" s="163"/>
      <c r="D40" s="23"/>
      <c r="E40" s="23"/>
      <c r="F40" s="23"/>
      <c r="G40" s="23"/>
      <c r="H40" s="23"/>
      <c r="I40" s="23"/>
      <c r="J40" s="23"/>
      <c r="K40" s="23"/>
      <c r="L40" s="23"/>
      <c r="M40" s="23"/>
      <c r="N40" s="23"/>
      <c r="O40" s="23"/>
      <c r="P40" s="23"/>
      <c r="Q40" s="23"/>
      <c r="R40" s="23"/>
      <c r="S40" s="23"/>
      <c r="T40" s="23"/>
      <c r="U40" s="23"/>
      <c r="V40" s="23"/>
      <c r="W40" s="23"/>
      <c r="Y40" s="163"/>
      <c r="Z40" s="23"/>
      <c r="AA40" s="23"/>
      <c r="AB40" s="23"/>
      <c r="AC40" s="23"/>
      <c r="AD40" s="23"/>
      <c r="AE40" s="23"/>
      <c r="AF40" s="23"/>
      <c r="AG40" s="23"/>
      <c r="AH40" s="23"/>
      <c r="AI40" s="23"/>
      <c r="AJ40" s="23"/>
      <c r="AK40" s="23"/>
      <c r="AL40" s="23"/>
      <c r="AM40" s="23"/>
      <c r="AN40" s="23"/>
      <c r="AO40" s="23"/>
      <c r="AP40" s="23"/>
      <c r="AQ40" s="23"/>
      <c r="AR40" s="23"/>
      <c r="AU40" s="163"/>
      <c r="AV40" s="23"/>
      <c r="AW40" s="23"/>
      <c r="AX40" s="23"/>
      <c r="AY40" s="23"/>
      <c r="AZ40" s="23"/>
      <c r="BA40" s="23"/>
      <c r="BB40" s="23"/>
      <c r="BC40" s="23"/>
      <c r="BD40" s="23"/>
      <c r="BE40" s="23"/>
      <c r="BF40" s="23"/>
      <c r="BG40" s="23"/>
      <c r="BH40" s="23"/>
      <c r="BI40" s="23"/>
      <c r="BJ40" s="23"/>
      <c r="BK40" s="23"/>
      <c r="BL40" s="23"/>
      <c r="BM40" s="23"/>
      <c r="BN40" s="23"/>
    </row>
    <row r="41" spans="2:66">
      <c r="C41" s="163"/>
      <c r="D41" s="23"/>
      <c r="E41" s="23"/>
      <c r="F41" s="23"/>
      <c r="G41" s="23"/>
      <c r="H41" s="23"/>
      <c r="I41" s="23"/>
      <c r="J41" s="23"/>
      <c r="K41" s="23"/>
      <c r="L41" s="23"/>
      <c r="M41" s="23"/>
      <c r="N41" s="23"/>
      <c r="O41" s="23"/>
      <c r="P41" s="23"/>
      <c r="Q41" s="23"/>
      <c r="R41" s="23"/>
      <c r="S41" s="23"/>
      <c r="T41" s="23"/>
      <c r="U41" s="23"/>
      <c r="V41" s="23"/>
      <c r="W41" s="23"/>
      <c r="Y41" s="163"/>
      <c r="Z41" s="23"/>
      <c r="AA41" s="23"/>
      <c r="AB41" s="23"/>
      <c r="AC41" s="23"/>
      <c r="AD41" s="23"/>
      <c r="AE41" s="23"/>
      <c r="AF41" s="23"/>
      <c r="AG41" s="23"/>
      <c r="AH41" s="23"/>
      <c r="AI41" s="23"/>
      <c r="AJ41" s="23"/>
      <c r="AK41" s="23"/>
      <c r="AL41" s="23"/>
      <c r="AM41" s="23"/>
      <c r="AN41" s="23"/>
      <c r="AO41" s="23"/>
      <c r="AP41" s="23"/>
      <c r="AQ41" s="23"/>
      <c r="AR41" s="23"/>
      <c r="AU41" s="163"/>
      <c r="AV41" s="23"/>
      <c r="AW41" s="23"/>
      <c r="AX41" s="23"/>
      <c r="AY41" s="23"/>
      <c r="AZ41" s="23"/>
      <c r="BA41" s="23"/>
      <c r="BB41" s="23"/>
      <c r="BC41" s="23"/>
      <c r="BD41" s="23"/>
      <c r="BE41" s="23"/>
      <c r="BF41" s="23"/>
      <c r="BG41" s="23"/>
      <c r="BH41" s="23"/>
      <c r="BI41" s="23"/>
      <c r="BJ41" s="23"/>
      <c r="BK41" s="23"/>
      <c r="BL41" s="23"/>
      <c r="BM41" s="23"/>
      <c r="BN41" s="23"/>
    </row>
    <row r="42" spans="2:66" ht="15" thickBot="1">
      <c r="C42" s="163"/>
      <c r="D42" s="428"/>
      <c r="E42" s="428"/>
      <c r="F42" s="428"/>
      <c r="G42" s="477"/>
      <c r="H42" s="394"/>
      <c r="I42" s="477"/>
      <c r="J42" s="477"/>
      <c r="K42" s="477"/>
      <c r="L42" s="477"/>
      <c r="M42" s="477"/>
      <c r="N42" s="669"/>
      <c r="O42" s="477"/>
      <c r="P42" s="669"/>
      <c r="Q42" s="670"/>
      <c r="R42" s="669"/>
      <c r="S42" s="428"/>
      <c r="T42" s="477"/>
      <c r="U42" s="671"/>
      <c r="V42" s="671"/>
      <c r="W42" s="428"/>
      <c r="Y42" s="163"/>
      <c r="Z42" s="428"/>
      <c r="AA42" s="428"/>
      <c r="AB42" s="428"/>
      <c r="AC42" s="477"/>
      <c r="AD42" s="394"/>
      <c r="AE42" s="477"/>
      <c r="AF42" s="477"/>
      <c r="AG42" s="477"/>
      <c r="AH42" s="477"/>
      <c r="AI42" s="477"/>
      <c r="AJ42" s="669"/>
      <c r="AK42" s="477"/>
      <c r="AL42" s="669"/>
      <c r="AM42" s="670"/>
      <c r="AN42" s="669"/>
      <c r="AO42" s="428"/>
      <c r="AP42" s="477"/>
      <c r="AQ42" s="671"/>
      <c r="AR42" s="671"/>
      <c r="AU42" s="163"/>
      <c r="AV42" s="428"/>
      <c r="AW42" s="428"/>
      <c r="AX42" s="428"/>
      <c r="AY42" s="477"/>
      <c r="AZ42" s="394"/>
      <c r="BA42" s="477"/>
      <c r="BB42" s="477"/>
      <c r="BC42" s="477"/>
      <c r="BD42" s="477"/>
      <c r="BE42" s="477"/>
      <c r="BF42" s="669"/>
      <c r="BG42" s="477"/>
      <c r="BH42" s="669"/>
      <c r="BI42" s="670"/>
      <c r="BJ42" s="669"/>
      <c r="BK42" s="428"/>
      <c r="BL42" s="477"/>
      <c r="BM42" s="671"/>
      <c r="BN42" s="671"/>
    </row>
    <row r="43" spans="2:66" hidden="1" outlineLevel="1">
      <c r="C43" s="163" t="s">
        <v>608</v>
      </c>
      <c r="D43" s="23"/>
      <c r="E43" s="23"/>
      <c r="F43" s="23"/>
      <c r="G43" s="438"/>
      <c r="H43" s="189"/>
      <c r="I43" s="438"/>
      <c r="J43" s="438"/>
      <c r="K43" s="438"/>
      <c r="L43" s="438"/>
      <c r="M43" s="438"/>
      <c r="N43" s="419"/>
      <c r="O43" s="438"/>
      <c r="P43" s="419"/>
      <c r="Q43" s="418"/>
      <c r="R43" s="419"/>
      <c r="S43" s="23"/>
      <c r="T43" s="438"/>
      <c r="U43" s="434"/>
      <c r="V43" s="434"/>
      <c r="W43" s="23"/>
      <c r="Y43" s="163" t="s">
        <v>608</v>
      </c>
      <c r="Z43" s="23"/>
      <c r="AA43" s="23"/>
      <c r="AB43" s="23"/>
      <c r="AC43" s="438"/>
      <c r="AD43" s="189"/>
      <c r="AE43" s="438"/>
      <c r="AF43" s="438"/>
      <c r="AG43" s="438"/>
      <c r="AH43" s="438"/>
      <c r="AI43" s="438"/>
      <c r="AJ43" s="419"/>
      <c r="AK43" s="438"/>
      <c r="AL43" s="419"/>
      <c r="AM43" s="418"/>
      <c r="AN43" s="419"/>
      <c r="AO43" s="23"/>
      <c r="AP43" s="438"/>
      <c r="AQ43" s="434"/>
      <c r="AR43" s="434"/>
      <c r="AU43" s="163" t="s">
        <v>608</v>
      </c>
      <c r="AV43" s="23"/>
      <c r="AW43" s="23"/>
      <c r="AX43" s="23"/>
      <c r="AY43" s="438"/>
      <c r="AZ43" s="189"/>
      <c r="BA43" s="438"/>
      <c r="BB43" s="438"/>
      <c r="BC43" s="438"/>
      <c r="BD43" s="438"/>
      <c r="BE43" s="438"/>
      <c r="BF43" s="419"/>
      <c r="BG43" s="438"/>
      <c r="BH43" s="419"/>
      <c r="BI43" s="418"/>
      <c r="BJ43" s="419"/>
      <c r="BK43" s="23"/>
      <c r="BL43" s="438"/>
      <c r="BM43" s="434"/>
      <c r="BN43" s="434"/>
    </row>
    <row r="44" spans="2:66" ht="15" hidden="1" outlineLevel="1">
      <c r="B44" s="163"/>
      <c r="C44" s="163"/>
      <c r="D44" s="672" t="s">
        <v>665</v>
      </c>
      <c r="E44" s="429"/>
      <c r="F44" s="23"/>
      <c r="G44" s="438"/>
      <c r="H44" s="189"/>
      <c r="I44" s="438"/>
      <c r="J44" s="438"/>
      <c r="K44" s="438"/>
      <c r="L44"/>
      <c r="M44" s="438"/>
      <c r="N44" s="419"/>
      <c r="O44" s="438"/>
      <c r="P44" s="419"/>
      <c r="Q44" s="418"/>
      <c r="R44" s="419"/>
      <c r="S44" s="23"/>
      <c r="T44" s="438"/>
      <c r="U44" s="434"/>
      <c r="V44" s="434"/>
      <c r="W44" s="23"/>
      <c r="Y44" s="163"/>
      <c r="Z44"/>
      <c r="AA44"/>
      <c r="AB44" s="23"/>
      <c r="AC44" s="438"/>
      <c r="AD44" s="189"/>
      <c r="AE44" s="438"/>
      <c r="AF44" s="438"/>
      <c r="AG44" s="438"/>
      <c r="AH44" s="438"/>
      <c r="AI44" s="438"/>
      <c r="AJ44" s="419"/>
      <c r="AK44" s="438"/>
      <c r="AL44" s="419"/>
      <c r="AM44" s="418"/>
      <c r="AN44" s="419"/>
      <c r="AO44" s="23"/>
      <c r="AP44" s="438"/>
      <c r="AQ44" s="434"/>
      <c r="AR44" s="434"/>
      <c r="AU44" s="163"/>
      <c r="AV44"/>
      <c r="AW44"/>
      <c r="AX44" s="23"/>
      <c r="AY44" s="438"/>
      <c r="AZ44" s="189"/>
      <c r="BA44" s="438"/>
      <c r="BB44" s="438"/>
      <c r="BC44" s="438"/>
      <c r="BD44" s="438"/>
      <c r="BE44" s="438"/>
      <c r="BF44" s="419"/>
      <c r="BG44" s="438"/>
      <c r="BH44" s="419"/>
      <c r="BI44" s="418"/>
      <c r="BJ44" s="419"/>
      <c r="BK44" s="23"/>
      <c r="BL44" s="438"/>
      <c r="BM44" s="434"/>
      <c r="BN44" s="434"/>
    </row>
    <row r="45" spans="2:66" ht="15" hidden="1" outlineLevel="1">
      <c r="B45"/>
      <c r="C45"/>
      <c r="D45" s="11"/>
      <c r="E45" s="11"/>
      <c r="F45" s="163"/>
      <c r="G45" s="613"/>
      <c r="H45" s="613"/>
      <c r="I45" s="613"/>
      <c r="J45" s="613"/>
      <c r="K45" s="613"/>
      <c r="L45"/>
      <c r="M45" s="613"/>
      <c r="N45" s="613"/>
      <c r="O45" s="613"/>
      <c r="P45" s="613"/>
      <c r="Q45" s="613"/>
      <c r="R45" s="613"/>
      <c r="S45" s="163"/>
      <c r="T45" s="613"/>
      <c r="U45" s="613"/>
      <c r="V45" s="613"/>
      <c r="W45" s="23"/>
      <c r="Y45" s="163"/>
      <c r="Z45" s="11"/>
      <c r="AA45" s="11"/>
      <c r="AB45" s="163"/>
      <c r="AC45" s="613"/>
      <c r="AD45" s="613"/>
      <c r="AE45" s="613"/>
      <c r="AF45" s="613"/>
      <c r="AG45" s="613"/>
      <c r="AH45" s="613"/>
      <c r="AI45" s="613"/>
      <c r="AJ45" s="613"/>
      <c r="AK45" s="613"/>
      <c r="AL45" s="613"/>
      <c r="AM45" s="613"/>
      <c r="AN45" s="613"/>
      <c r="AO45" s="163"/>
      <c r="AP45" s="613"/>
      <c r="AQ45" s="613"/>
      <c r="AR45" s="613"/>
      <c r="AU45" s="163"/>
      <c r="AV45" s="11"/>
      <c r="AW45" s="11"/>
      <c r="AX45" s="163"/>
      <c r="AY45" s="613"/>
      <c r="AZ45" s="613"/>
      <c r="BA45" s="613"/>
      <c r="BB45" s="613"/>
      <c r="BC45" s="613"/>
      <c r="BD45" s="613"/>
      <c r="BE45" s="613"/>
      <c r="BF45" s="613"/>
      <c r="BG45" s="613"/>
      <c r="BH45" s="613"/>
      <c r="BI45" s="613"/>
      <c r="BJ45" s="613"/>
      <c r="BK45" s="163"/>
      <c r="BL45" s="613"/>
      <c r="BM45" s="613"/>
      <c r="BN45" s="613"/>
    </row>
    <row r="46" spans="2:66" ht="16.5" hidden="1" outlineLevel="1">
      <c r="B46"/>
      <c r="C46"/>
      <c r="D46" s="630" t="str">
        <f>D4</f>
        <v>Primary Peer Group</v>
      </c>
      <c r="E46" s="630"/>
      <c r="F46" s="630"/>
      <c r="G46" s="630"/>
      <c r="H46" s="630"/>
      <c r="I46" s="630"/>
      <c r="J46" s="630"/>
      <c r="K46" s="630"/>
      <c r="L46" s="186"/>
      <c r="M46" s="630"/>
      <c r="N46" s="630"/>
      <c r="O46" s="630"/>
      <c r="P46" s="186"/>
      <c r="Q46" s="630"/>
      <c r="R46" s="630"/>
      <c r="S46" s="630"/>
      <c r="T46" s="186"/>
      <c r="U46" s="630"/>
      <c r="V46" s="630"/>
      <c r="W46" s="23"/>
      <c r="Y46" s="163"/>
      <c r="Z46" s="630" t="str">
        <f>Z4</f>
        <v>Defense Peer Group</v>
      </c>
      <c r="AA46" s="630"/>
      <c r="AB46" s="630"/>
      <c r="AC46" s="630"/>
      <c r="AD46" s="630"/>
      <c r="AE46" s="630"/>
      <c r="AF46" s="630"/>
      <c r="AG46" s="630"/>
      <c r="AH46" s="186"/>
      <c r="AI46" s="630"/>
      <c r="AJ46" s="630"/>
      <c r="AK46" s="630"/>
      <c r="AL46" s="186"/>
      <c r="AM46" s="630"/>
      <c r="AN46" s="630"/>
      <c r="AO46" s="630"/>
      <c r="AP46" s="186"/>
      <c r="AQ46" s="630"/>
      <c r="AR46" s="630"/>
      <c r="AU46" s="163"/>
      <c r="AV46" s="630" t="str">
        <f>AV4</f>
        <v>Cap. Goods Peer Group</v>
      </c>
      <c r="AW46" s="630"/>
      <c r="AX46" s="630"/>
      <c r="AY46" s="630"/>
      <c r="AZ46" s="630"/>
      <c r="BA46" s="630"/>
      <c r="BB46" s="630"/>
      <c r="BC46" s="630"/>
      <c r="BD46" s="186"/>
      <c r="BE46" s="630"/>
      <c r="BF46" s="630"/>
      <c r="BG46" s="630"/>
      <c r="BH46" s="186"/>
      <c r="BI46" s="630"/>
      <c r="BJ46" s="630"/>
      <c r="BK46" s="630"/>
      <c r="BL46" s="186"/>
      <c r="BM46" s="630"/>
      <c r="BN46" s="630"/>
    </row>
    <row r="47" spans="2:66" ht="16.5" hidden="1" outlineLevel="1">
      <c r="B47"/>
      <c r="C47"/>
      <c r="D47" s="189"/>
      <c r="E47" s="189"/>
      <c r="F47" s="23"/>
      <c r="G47" s="23"/>
      <c r="H47" s="23"/>
      <c r="I47" s="23"/>
      <c r="J47" s="23"/>
      <c r="K47" s="23"/>
      <c r="L47" s="23"/>
      <c r="M47" s="23"/>
      <c r="N47" s="23"/>
      <c r="O47" s="23"/>
      <c r="P47" s="23"/>
      <c r="Q47" s="630" t="str">
        <f>Q6</f>
        <v xml:space="preserve">Enterprise Value / </v>
      </c>
      <c r="R47" s="630"/>
      <c r="S47" s="630"/>
      <c r="T47" s="613">
        <f>T6</f>
        <v>0</v>
      </c>
      <c r="U47" s="23"/>
      <c r="V47" s="23"/>
      <c r="W47" s="23"/>
      <c r="Y47" s="163"/>
      <c r="Z47" s="189"/>
      <c r="AA47" s="189"/>
      <c r="AB47" s="23"/>
      <c r="AC47" s="23"/>
      <c r="AD47" s="23"/>
      <c r="AE47" s="23"/>
      <c r="AF47" s="23"/>
      <c r="AG47" s="23"/>
      <c r="AH47" s="23"/>
      <c r="AI47" s="23"/>
      <c r="AJ47" s="23"/>
      <c r="AK47" s="23"/>
      <c r="AL47" s="23"/>
      <c r="AM47" s="630" t="str">
        <f>AM6</f>
        <v xml:space="preserve">Enterprise Value / </v>
      </c>
      <c r="AN47" s="630"/>
      <c r="AO47" s="630"/>
      <c r="AP47" s="613">
        <f>AP6</f>
        <v>0</v>
      </c>
      <c r="AQ47" s="23"/>
      <c r="AR47" s="23"/>
      <c r="AU47" s="163"/>
      <c r="AV47" s="189"/>
      <c r="AW47" s="189"/>
      <c r="AX47" s="23"/>
      <c r="AY47" s="23"/>
      <c r="AZ47" s="23"/>
      <c r="BA47" s="23"/>
      <c r="BB47" s="23"/>
      <c r="BC47" s="23"/>
      <c r="BD47" s="23"/>
      <c r="BE47" s="23"/>
      <c r="BF47" s="23"/>
      <c r="BG47" s="23"/>
      <c r="BH47" s="23"/>
      <c r="BI47" s="630" t="str">
        <f>BI6</f>
        <v xml:space="preserve">Enterprise Value / </v>
      </c>
      <c r="BJ47" s="630"/>
      <c r="BK47" s="630"/>
      <c r="BL47" s="613">
        <f>BL6</f>
        <v>0</v>
      </c>
      <c r="BM47" s="23"/>
      <c r="BN47" s="23"/>
    </row>
    <row r="48" spans="2:66" ht="16.5" hidden="1" outlineLevel="1">
      <c r="B48"/>
      <c r="C48"/>
      <c r="D48" s="189"/>
      <c r="E48" s="189"/>
      <c r="F48" s="189"/>
      <c r="G48" s="189" t="str">
        <f t="shared" ref="G48:U48" si="24">G7</f>
        <v xml:space="preserve">Market </v>
      </c>
      <c r="H48" s="189" t="str">
        <f t="shared" si="24"/>
        <v>Enterprise</v>
      </c>
      <c r="I48" s="631" t="str">
        <f t="shared" si="24"/>
        <v>Sales</v>
      </c>
      <c r="J48" s="631"/>
      <c r="K48" s="631" t="str">
        <f t="shared" si="24"/>
        <v>EPS</v>
      </c>
      <c r="L48" s="631"/>
      <c r="M48" s="631" t="str">
        <f t="shared" si="24"/>
        <v>EBITDA Margin</v>
      </c>
      <c r="N48" s="631"/>
      <c r="O48" s="631" t="str">
        <f t="shared" si="24"/>
        <v>Profit Margin</v>
      </c>
      <c r="P48" s="631"/>
      <c r="Q48" s="631" t="str">
        <f t="shared" si="24"/>
        <v>EBITDA</v>
      </c>
      <c r="R48" s="631"/>
      <c r="S48" s="631" t="str">
        <f t="shared" si="24"/>
        <v>Sales</v>
      </c>
      <c r="T48" s="631"/>
      <c r="U48" s="630" t="str">
        <f t="shared" si="24"/>
        <v>Price / Earnings</v>
      </c>
      <c r="V48" s="630"/>
      <c r="W48" s="23"/>
      <c r="Y48" s="163"/>
      <c r="Z48" s="189"/>
      <c r="AA48" s="189"/>
      <c r="AB48" s="189"/>
      <c r="AC48" s="189" t="str">
        <f>AC7</f>
        <v xml:space="preserve">Market </v>
      </c>
      <c r="AD48" s="189" t="str">
        <f>AD7</f>
        <v>Enterprise</v>
      </c>
      <c r="AE48" s="631" t="str">
        <f>AE7</f>
        <v>Sales</v>
      </c>
      <c r="AF48" s="631"/>
      <c r="AG48" s="631" t="str">
        <f>AG7</f>
        <v>EPS</v>
      </c>
      <c r="AH48" s="631"/>
      <c r="AI48" s="631" t="str">
        <f>AI7</f>
        <v>EBITDA Margin</v>
      </c>
      <c r="AJ48" s="631"/>
      <c r="AK48" s="631" t="str">
        <f>AK7</f>
        <v>Profit Margin</v>
      </c>
      <c r="AL48" s="631"/>
      <c r="AM48" s="631" t="str">
        <f>AM7</f>
        <v>EBITDA</v>
      </c>
      <c r="AN48" s="631"/>
      <c r="AO48" s="631" t="str">
        <f>AO7</f>
        <v>Sales</v>
      </c>
      <c r="AP48" s="631"/>
      <c r="AQ48" s="630" t="str">
        <f>AQ7</f>
        <v>Price / Earnings</v>
      </c>
      <c r="AR48" s="630"/>
      <c r="AU48" s="163"/>
      <c r="AV48" s="189"/>
      <c r="AW48" s="189"/>
      <c r="AX48" s="189"/>
      <c r="AY48" s="189" t="str">
        <f>AY7</f>
        <v xml:space="preserve">Market </v>
      </c>
      <c r="AZ48" s="189" t="str">
        <f>AZ7</f>
        <v>Enterprise</v>
      </c>
      <c r="BA48" s="631" t="str">
        <f>BA7</f>
        <v>Sales</v>
      </c>
      <c r="BB48" s="631"/>
      <c r="BC48" s="631" t="str">
        <f>BC7</f>
        <v>EPS</v>
      </c>
      <c r="BD48" s="631"/>
      <c r="BE48" s="631" t="str">
        <f>BE7</f>
        <v>EBITDA Margin</v>
      </c>
      <c r="BF48" s="631"/>
      <c r="BG48" s="631" t="str">
        <f>BG7</f>
        <v>Profit Margin</v>
      </c>
      <c r="BH48" s="631"/>
      <c r="BI48" s="631" t="str">
        <f>BI7</f>
        <v>EBITDA</v>
      </c>
      <c r="BJ48" s="631"/>
      <c r="BK48" s="631" t="str">
        <f>BK7</f>
        <v>Sales</v>
      </c>
      <c r="BL48" s="631"/>
      <c r="BM48" s="630" t="str">
        <f>BM7</f>
        <v>Price / Earnings</v>
      </c>
      <c r="BN48" s="630"/>
    </row>
    <row r="49" spans="2:66" ht="16.5" hidden="1" outlineLevel="1">
      <c r="B49" s="163"/>
      <c r="C49" s="163"/>
      <c r="D49" s="49"/>
      <c r="E49" s="189"/>
      <c r="F49" s="632" t="str">
        <f t="shared" ref="F49:V49" si="25">F8</f>
        <v>Ticker</v>
      </c>
      <c r="G49" s="632" t="str">
        <f t="shared" si="25"/>
        <v>Cap</v>
      </c>
      <c r="H49" s="632" t="str">
        <f t="shared" si="25"/>
        <v>Value</v>
      </c>
      <c r="I49" s="632" t="str">
        <f t="shared" si="25"/>
        <v>LTM</v>
      </c>
      <c r="J49" s="633">
        <f t="shared" si="25"/>
        <v>46418</v>
      </c>
      <c r="K49" s="632" t="str">
        <f t="shared" si="25"/>
        <v>LTM</v>
      </c>
      <c r="L49" s="633">
        <f t="shared" si="25"/>
        <v>46418</v>
      </c>
      <c r="M49" s="632" t="str">
        <f t="shared" si="25"/>
        <v>LTM</v>
      </c>
      <c r="N49" s="633">
        <f t="shared" si="25"/>
        <v>46418</v>
      </c>
      <c r="O49" s="632" t="str">
        <f t="shared" si="25"/>
        <v>LTM</v>
      </c>
      <c r="P49" s="633">
        <f t="shared" si="25"/>
        <v>46418</v>
      </c>
      <c r="Q49" s="632" t="str">
        <f t="shared" si="25"/>
        <v>LTM</v>
      </c>
      <c r="R49" s="633">
        <f t="shared" si="25"/>
        <v>46418</v>
      </c>
      <c r="S49" s="632" t="str">
        <f t="shared" si="25"/>
        <v>LTM</v>
      </c>
      <c r="T49" s="633">
        <f t="shared" si="25"/>
        <v>46418</v>
      </c>
      <c r="U49" s="632" t="str">
        <f t="shared" si="25"/>
        <v>LTM</v>
      </c>
      <c r="V49" s="633">
        <f t="shared" si="25"/>
        <v>46418</v>
      </c>
      <c r="W49" s="23"/>
      <c r="Y49" s="163"/>
      <c r="Z49" s="49"/>
      <c r="AA49" s="189"/>
      <c r="AB49" s="632" t="str">
        <f t="shared" ref="AB49:AR49" si="26">AB8</f>
        <v>Ticker</v>
      </c>
      <c r="AC49" s="632" t="str">
        <f t="shared" si="26"/>
        <v>Cap</v>
      </c>
      <c r="AD49" s="632" t="str">
        <f t="shared" si="26"/>
        <v>Value</v>
      </c>
      <c r="AE49" s="632" t="str">
        <f t="shared" si="26"/>
        <v>LTM</v>
      </c>
      <c r="AF49" s="633">
        <f t="shared" si="26"/>
        <v>46418</v>
      </c>
      <c r="AG49" s="632" t="str">
        <f t="shared" si="26"/>
        <v>LTM</v>
      </c>
      <c r="AH49" s="633">
        <f t="shared" si="26"/>
        <v>46418</v>
      </c>
      <c r="AI49" s="632" t="str">
        <f t="shared" si="26"/>
        <v>LTM</v>
      </c>
      <c r="AJ49" s="633">
        <f t="shared" si="26"/>
        <v>46418</v>
      </c>
      <c r="AK49" s="632" t="str">
        <f t="shared" si="26"/>
        <v>LTM</v>
      </c>
      <c r="AL49" s="633">
        <f t="shared" si="26"/>
        <v>46418</v>
      </c>
      <c r="AM49" s="632" t="str">
        <f t="shared" si="26"/>
        <v>LTM</v>
      </c>
      <c r="AN49" s="633">
        <f t="shared" si="26"/>
        <v>46418</v>
      </c>
      <c r="AO49" s="632" t="str">
        <f t="shared" si="26"/>
        <v>LTM</v>
      </c>
      <c r="AP49" s="633">
        <f t="shared" si="26"/>
        <v>46418</v>
      </c>
      <c r="AQ49" s="632" t="str">
        <f t="shared" si="26"/>
        <v>LTM</v>
      </c>
      <c r="AR49" s="633">
        <f t="shared" si="26"/>
        <v>46418</v>
      </c>
      <c r="AU49" s="163"/>
      <c r="AV49" s="49"/>
      <c r="AW49" s="189"/>
      <c r="AX49" s="632" t="str">
        <f t="shared" ref="AX49:BN49" si="27">AX8</f>
        <v>Ticker</v>
      </c>
      <c r="AY49" s="632" t="str">
        <f t="shared" si="27"/>
        <v>Cap</v>
      </c>
      <c r="AZ49" s="632" t="str">
        <f t="shared" si="27"/>
        <v>Value</v>
      </c>
      <c r="BA49" s="632" t="str">
        <f t="shared" si="27"/>
        <v>LTM</v>
      </c>
      <c r="BB49" s="633">
        <f t="shared" si="27"/>
        <v>46418</v>
      </c>
      <c r="BC49" s="632" t="str">
        <f t="shared" si="27"/>
        <v>LTM</v>
      </c>
      <c r="BD49" s="633">
        <f t="shared" si="27"/>
        <v>46418</v>
      </c>
      <c r="BE49" s="632" t="str">
        <f t="shared" si="27"/>
        <v>LTM</v>
      </c>
      <c r="BF49" s="633">
        <f t="shared" si="27"/>
        <v>46418</v>
      </c>
      <c r="BG49" s="632" t="str">
        <f t="shared" si="27"/>
        <v>LTM</v>
      </c>
      <c r="BH49" s="633">
        <f t="shared" si="27"/>
        <v>46418</v>
      </c>
      <c r="BI49" s="632" t="str">
        <f t="shared" si="27"/>
        <v>LTM</v>
      </c>
      <c r="BJ49" s="633">
        <f t="shared" si="27"/>
        <v>46418</v>
      </c>
      <c r="BK49" s="632" t="str">
        <f t="shared" si="27"/>
        <v>LTM</v>
      </c>
      <c r="BL49" s="633">
        <f t="shared" si="27"/>
        <v>46418</v>
      </c>
      <c r="BM49" s="632" t="str">
        <f t="shared" si="27"/>
        <v>LTM</v>
      </c>
      <c r="BN49" s="633">
        <f t="shared" si="27"/>
        <v>46418</v>
      </c>
    </row>
    <row r="50" spans="2:66" ht="5.0999999999999996" hidden="1" customHeight="1" outlineLevel="1">
      <c r="B50" s="163"/>
      <c r="C50" s="163"/>
      <c r="D50" s="189"/>
      <c r="E50" s="189"/>
      <c r="F50" s="189"/>
      <c r="G50" s="189"/>
      <c r="H50" s="189"/>
      <c r="I50" s="415"/>
      <c r="J50" s="189"/>
      <c r="K50" s="189"/>
      <c r="L50" s="189"/>
      <c r="M50" s="189"/>
      <c r="N50" s="189"/>
      <c r="O50" s="189"/>
      <c r="P50" s="189"/>
      <c r="Q50" s="189"/>
      <c r="R50" s="189"/>
      <c r="S50" s="189"/>
      <c r="T50" s="189"/>
      <c r="U50" s="189"/>
      <c r="V50" s="189"/>
      <c r="W50" s="23"/>
      <c r="Y50" s="163"/>
      <c r="Z50" s="189"/>
      <c r="AA50" s="189"/>
      <c r="AB50" s="189"/>
      <c r="AC50" s="189"/>
      <c r="AD50" s="189"/>
      <c r="AE50" s="415"/>
      <c r="AF50" s="189"/>
      <c r="AG50" s="189"/>
      <c r="AH50" s="189"/>
      <c r="AI50" s="189"/>
      <c r="AJ50" s="189"/>
      <c r="AK50" s="189"/>
      <c r="AL50" s="189"/>
      <c r="AM50" s="189"/>
      <c r="AN50" s="189"/>
      <c r="AO50" s="189"/>
      <c r="AP50" s="189"/>
      <c r="AQ50" s="189"/>
      <c r="AR50" s="189"/>
      <c r="AU50" s="163"/>
      <c r="AV50" s="189"/>
      <c r="AW50" s="189"/>
      <c r="AX50" s="189"/>
      <c r="AY50" s="189"/>
      <c r="AZ50" s="189"/>
      <c r="BA50" s="415"/>
      <c r="BB50" s="189"/>
      <c r="BC50" s="189"/>
      <c r="BD50" s="189"/>
      <c r="BE50" s="189"/>
      <c r="BF50" s="189"/>
      <c r="BG50" s="189"/>
      <c r="BH50" s="189"/>
      <c r="BI50" s="189"/>
      <c r="BJ50" s="189"/>
      <c r="BK50" s="189"/>
      <c r="BL50" s="189"/>
      <c r="BM50" s="189"/>
      <c r="BN50" s="189"/>
    </row>
    <row r="51" spans="2:66" hidden="1" outlineLevel="1">
      <c r="B51" s="924" t="str">
        <f>B70</f>
        <v>IQ524568</v>
      </c>
      <c r="C51" s="924"/>
      <c r="D51" s="673" t="s">
        <v>850</v>
      </c>
      <c r="E51" s="674"/>
      <c r="F51" s="675" t="s">
        <v>851</v>
      </c>
      <c r="G51" s="676">
        <v>10252.293985</v>
      </c>
      <c r="H51" s="676">
        <v>0</v>
      </c>
      <c r="I51" s="677">
        <v>0.228217</v>
      </c>
      <c r="J51" s="677">
        <v>0.22681795131079996</v>
      </c>
      <c r="K51" s="677">
        <v>0.425431</v>
      </c>
      <c r="L51" s="677">
        <v>0.54376651982378865</v>
      </c>
      <c r="M51" s="677" t="e">
        <v>#VALUE!</v>
      </c>
      <c r="N51" s="677">
        <v>0.244477489576856</v>
      </c>
      <c r="O51" s="677">
        <v>0.12695600000000001</v>
      </c>
      <c r="P51" s="677">
        <v>0.17014516790524906</v>
      </c>
      <c r="Q51" s="678">
        <v>0</v>
      </c>
      <c r="R51" s="678">
        <v>0</v>
      </c>
      <c r="S51" s="678">
        <v>0</v>
      </c>
      <c r="T51" s="678">
        <v>0</v>
      </c>
      <c r="U51" s="678">
        <v>29.659691629955901</v>
      </c>
      <c r="V51" s="678">
        <v>16.484066730000627</v>
      </c>
      <c r="W51" s="23"/>
      <c r="X51" s="924" t="str">
        <f>X70</f>
        <v>IQ524568</v>
      </c>
      <c r="Y51" s="163"/>
      <c r="Z51" s="673" t="str">
        <f>Company_Name</f>
        <v>Evercore Inc.</v>
      </c>
      <c r="AA51" s="674"/>
      <c r="AB51" s="675" t="str">
        <f>$E$89</f>
        <v>EVR</v>
      </c>
      <c r="AC51" s="676" t="e">
        <f ca="1">_xll.ciqfunctions.udf.CIQ($X51, "IQ_MARKETCAP",Current_Date)</f>
        <v>#NAME?</v>
      </c>
      <c r="AD51" s="676" t="e">
        <f ca="1">_xll.ciqfunctions.udf.CIQ($X51, "IQ_TEV",Current_Date)</f>
        <v>#NAME?</v>
      </c>
      <c r="AE51" s="677" t="e">
        <f ca="1">_xll.ciqfunctions.udf.CIQ($X51, "IQ_TOTAL_REV_1YR_ANN_GROWTH",IQ_LTM,Current_Date)/100</f>
        <v>#NAME?</v>
      </c>
      <c r="AF51" s="677" t="e">
        <f ca="1">_xll.ciqfunctions.udf.CIQ($X51,"IQ_REVENUE_EST",IQ_FY+1)/(_xll.ciqfunctions.udf.CIQ($X51,"IQ_TOTAL_REV",IQ_FY))-1</f>
        <v>#NAME?</v>
      </c>
      <c r="AG51" s="677" t="e">
        <f ca="1">_xll.ciqfunctions.udf.CIQ($X51, "IQ_EPS_1YR_ANN_GROWTH",IQ_LTM,Current_Date)/100</f>
        <v>#NAME?</v>
      </c>
      <c r="AH51" s="677" t="e">
        <f ca="1">_xll.ciqfunctions.udf.CIQ($X51,"IQ_EPS_EST",IQ_FY+1)/(_xll.ciqfunctions.udf.CIQ($X51,"IQ_DILUT_EPS_INCL",IQ_FY))-1</f>
        <v>#NAME?</v>
      </c>
      <c r="AI51" s="677" t="e">
        <f ca="1">_xll.ciqfunctions.udf.CIQ($X51, "IQ_EBITDA_MARGIN",IQ_LTM)/100</f>
        <v>#NAME?</v>
      </c>
      <c r="AJ51" s="677" t="e">
        <f ca="1">_xll.ciqfunctions.udf.CIQ($X51,"IQ_EBITDA_EST",IQ_FY+1)/(_xll.ciqfunctions.udf.CIQ($X51,"IQ_REVENUE_EST",IQ_FY+1))</f>
        <v>#NAME?</v>
      </c>
      <c r="AK51" s="677" t="e">
        <f ca="1">_xll.ciqfunctions.udf.CIQ($X51, "IQ_NI_MARGIN",IQ_LTM)/100</f>
        <v>#NAME?</v>
      </c>
      <c r="AL51" s="677" t="e">
        <f ca="1">_xll.ciqfunctions.udf.CIQ($X51,"IQ_NI_EST",IQ_FY+1)/(_xll.ciqfunctions.udf.CIQ($X51,"IQ_REVENUE_EST",IQ_FY+1))</f>
        <v>#NAME?</v>
      </c>
      <c r="AM51" s="678" t="e">
        <f ca="1">_xll.ciqfunctions.udf.CIQ($X51, "IQ_TEV_EBITDA",IQ_LTM)</f>
        <v>#NAME?</v>
      </c>
      <c r="AN51" s="678" t="e">
        <f ca="1">_xll.ciqfunctions.udf.CIQ($X51, "IQ_TEV",Current_Date)/_xll.ciqfunctions.udf.CIQ($X51, "IQ_EBITDA_EST",IQ_FY+1)</f>
        <v>#NAME?</v>
      </c>
      <c r="AO51" s="678" t="e">
        <f ca="1">_xll.ciqfunctions.udf.CIQ($X51, "IQ_TEV_TOTAL_REV",IQ_LTM)</f>
        <v>#NAME?</v>
      </c>
      <c r="AP51" s="678" t="e">
        <f ca="1">_xll.ciqfunctions.udf.CIQ($X51, "IQ_TEV",Current_Date)/_xll.ciqfunctions.udf.CIQ($X51, "IQ_REVENUE_EST",IQ_FY+1)</f>
        <v>#NAME?</v>
      </c>
      <c r="AQ51" s="678" t="e">
        <f ca="1">_xll.ciqfunctions.udf.CIQ($X51, "IQ_PE_EXCL",IQ_LTM)</f>
        <v>#NAME?</v>
      </c>
      <c r="AR51" s="679" t="e">
        <f ca="1">_xll.ciqfunctions.udf.CIQ($X51, "IQ_MARKETCAP",Current_Date)/_xll.ciqfunctions.udf.CIQ($X51, "IQ_NI_EST",IQ_FY+1)</f>
        <v>#NAME?</v>
      </c>
      <c r="AT51" s="924" t="str">
        <f>AT70</f>
        <v>IQ524568</v>
      </c>
      <c r="AU51" s="163"/>
      <c r="AV51" s="673" t="str">
        <f>Company_Name</f>
        <v>Evercore Inc.</v>
      </c>
      <c r="AW51" s="674"/>
      <c r="AX51" s="675" t="str">
        <f>Ticker</f>
        <v>EVR</v>
      </c>
      <c r="AY51" s="676" t="e">
        <f ca="1">_xll.ciqfunctions.udf.CIQ($AT51, "IQ_MARKETCAP",Current_Date)</f>
        <v>#NAME?</v>
      </c>
      <c r="AZ51" s="676" t="e">
        <f ca="1">_xll.ciqfunctions.udf.CIQ($AT51, "IQ_TEV",Current_Date)</f>
        <v>#NAME?</v>
      </c>
      <c r="BA51" s="677" t="e">
        <f ca="1">_xll.ciqfunctions.udf.CIQ($AT51, "IQ_TOTAL_REV_1YR_ANN_GROWTH",IQ_LTM,Current_Date)/100</f>
        <v>#NAME?</v>
      </c>
      <c r="BB51" s="677" t="e">
        <f ca="1">_xll.ciqfunctions.udf.CIQ($AT51,"IQ_REVENUE_EST",IQ_FY+1)/(_xll.ciqfunctions.udf.CIQ($AT51,"IQ_TOTAL_REV",IQ_FY))-1</f>
        <v>#NAME?</v>
      </c>
      <c r="BC51" s="677" t="e">
        <f ca="1">_xll.ciqfunctions.udf.CIQ($AT51, "IQ_EPS_1YR_ANN_GROWTH",IQ_LTM,Current_Date)/100</f>
        <v>#NAME?</v>
      </c>
      <c r="BD51" s="677" t="e">
        <f ca="1">_xll.ciqfunctions.udf.CIQ($AT51,"IQ_EPS_EST",IQ_FY+1)/(_xll.ciqfunctions.udf.CIQ($AT51,"IQ_DILUT_EPS_INCL",IQ_FY))-1</f>
        <v>#NAME?</v>
      </c>
      <c r="BE51" s="677" t="e">
        <f ca="1">_xll.ciqfunctions.udf.CIQ($AT51, "IQ_EBITDA_MARGIN",IQ_LTM)/100</f>
        <v>#NAME?</v>
      </c>
      <c r="BF51" s="677" t="e">
        <f ca="1">_xll.ciqfunctions.udf.CIQ($AT51,"IQ_EBITDA_EST",IQ_FY+1)/(_xll.ciqfunctions.udf.CIQ($AT51,"IQ_REVENUE_EST",IQ_FY+1))</f>
        <v>#NAME?</v>
      </c>
      <c r="BG51" s="677" t="e">
        <f ca="1">_xll.ciqfunctions.udf.CIQ($AT51, "IQ_NI_MARGIN",IQ_LTM)/100</f>
        <v>#NAME?</v>
      </c>
      <c r="BH51" s="677" t="e">
        <f ca="1">_xll.ciqfunctions.udf.CIQ($AT51,"IQ_NI_EST",IQ_FY+1)/(_xll.ciqfunctions.udf.CIQ($AT51,"IQ_REVENUE_EST",IQ_FY+1))</f>
        <v>#NAME?</v>
      </c>
      <c r="BI51" s="678" t="e">
        <f ca="1">_xll.ciqfunctions.udf.CIQ($AT51, "IQ_TEV_EBITDA",IQ_LTM)</f>
        <v>#NAME?</v>
      </c>
      <c r="BJ51" s="678" t="e">
        <f ca="1">_xll.ciqfunctions.udf.CIQ($AT51, "IQ_TEV",Current_Date)/_xll.ciqfunctions.udf.CIQ($AT51, "IQ_EBITDA_EST",IQ_FY+1)</f>
        <v>#NAME?</v>
      </c>
      <c r="BK51" s="678" t="e">
        <f ca="1">_xll.ciqfunctions.udf.CIQ($AT51, "IQ_TEV_TOTAL_REV",IQ_LTM)</f>
        <v>#NAME?</v>
      </c>
      <c r="BL51" s="678" t="e">
        <f ca="1">_xll.ciqfunctions.udf.CIQ($AT51, "IQ_TEV",Current_Date)/_xll.ciqfunctions.udf.CIQ($AT51, "IQ_REVENUE_EST",IQ_FY+1)</f>
        <v>#NAME?</v>
      </c>
      <c r="BM51" s="678" t="e">
        <f ca="1">_xll.ciqfunctions.udf.CIQ($AT51, "IQ_PE_EXCL",IQ_LTM)</f>
        <v>#NAME?</v>
      </c>
      <c r="BN51" s="679" t="e">
        <f ca="1">_xll.ciqfunctions.udf.CIQ($AT51, "IQ_MARKETCAP",Current_Date)/_xll.ciqfunctions.udf.CIQ($AT51, "IQ_NI_EST",IQ_FY+1)</f>
        <v>#NAME?</v>
      </c>
    </row>
    <row r="52" spans="2:66" hidden="1" outlineLevel="1">
      <c r="B52" s="924"/>
      <c r="C52" s="924"/>
      <c r="D52" s="23"/>
      <c r="E52" s="23"/>
      <c r="F52" s="189"/>
      <c r="G52" s="189"/>
      <c r="H52" s="189"/>
      <c r="I52" s="415"/>
      <c r="J52" s="415"/>
      <c r="K52" s="431"/>
      <c r="L52" s="431"/>
      <c r="M52" s="431"/>
      <c r="N52" s="431"/>
      <c r="O52" s="432"/>
      <c r="P52" s="432"/>
      <c r="Q52" s="418"/>
      <c r="R52" s="418"/>
      <c r="S52" s="189"/>
      <c r="T52" s="189"/>
      <c r="U52" s="189"/>
      <c r="V52" s="189"/>
      <c r="W52" s="23"/>
      <c r="X52" s="924"/>
      <c r="Y52" s="163"/>
      <c r="Z52" s="23"/>
      <c r="AA52" s="23"/>
      <c r="AB52" s="189"/>
      <c r="AC52" s="416"/>
      <c r="AD52" s="189"/>
      <c r="AE52" s="415"/>
      <c r="AF52" s="430"/>
      <c r="AG52" s="431"/>
      <c r="AH52" s="431"/>
      <c r="AI52" s="432"/>
      <c r="AJ52" s="432"/>
      <c r="AK52" s="432"/>
      <c r="AL52" s="432"/>
      <c r="AM52" s="418"/>
      <c r="AN52" s="418"/>
      <c r="AO52" s="189"/>
      <c r="AP52" s="189"/>
      <c r="AQ52" s="189"/>
      <c r="AR52" s="189"/>
      <c r="AT52" s="924"/>
      <c r="AU52" s="163"/>
      <c r="AV52" s="23"/>
      <c r="AW52" s="23"/>
      <c r="AX52" s="189"/>
      <c r="AY52" s="416"/>
      <c r="AZ52" s="189"/>
      <c r="BA52" s="415"/>
      <c r="BB52" s="430"/>
      <c r="BC52" s="431"/>
      <c r="BD52" s="431"/>
      <c r="BE52" s="432"/>
      <c r="BF52" s="432"/>
      <c r="BG52" s="432"/>
      <c r="BH52" s="432"/>
      <c r="BI52" s="418"/>
      <c r="BJ52" s="418"/>
      <c r="BK52" s="189"/>
      <c r="BL52" s="189"/>
      <c r="BM52" s="189"/>
      <c r="BN52" s="189"/>
    </row>
    <row r="53" spans="2:66" hidden="1" outlineLevel="1">
      <c r="B53" s="924" t="str">
        <f>B72</f>
        <v>IQ544741</v>
      </c>
      <c r="C53" s="924"/>
      <c r="D53" s="23" t="s">
        <v>984</v>
      </c>
      <c r="E53" s="23"/>
      <c r="F53" s="189" t="str">
        <f>F72</f>
        <v>LAZ</v>
      </c>
      <c r="G53" s="310">
        <v>4997.5503710000003</v>
      </c>
      <c r="H53" s="310">
        <v>0</v>
      </c>
      <c r="I53" s="417">
        <v>0.210535</v>
      </c>
      <c r="J53" s="417">
        <v>3.6510865423022176E-2</v>
      </c>
      <c r="K53" s="417" t="e">
        <v>#VALUE!</v>
      </c>
      <c r="L53" s="417">
        <v>0.36378409096421294</v>
      </c>
      <c r="M53" s="417" t="e">
        <v>#VALUE!</v>
      </c>
      <c r="N53" s="417">
        <v>0.17339694391000232</v>
      </c>
      <c r="O53" s="417">
        <v>9.1719000000000009E-2</v>
      </c>
      <c r="P53" s="417">
        <v>0.1287548590541914</v>
      </c>
      <c r="Q53" s="419">
        <v>0</v>
      </c>
      <c r="R53" s="419">
        <v>0</v>
      </c>
      <c r="S53" s="419">
        <v>0</v>
      </c>
      <c r="T53" s="419">
        <v>0</v>
      </c>
      <c r="U53" s="419">
        <v>20.611947989532801</v>
      </c>
      <c r="V53" s="419">
        <v>12.270389796461638</v>
      </c>
      <c r="W53" s="23"/>
      <c r="X53" s="924" t="str">
        <f>X72</f>
        <v>IQ544741</v>
      </c>
      <c r="Y53" s="163"/>
      <c r="Z53" s="23" t="e">
        <f ca="1">_xll.ciqfunctions.udf.CIQ($X53, "IQ_COMPANY_NAME",Current_Date)</f>
        <v>#NAME?</v>
      </c>
      <c r="AA53" s="23"/>
      <c r="AB53" s="189" t="str">
        <f>AB72</f>
        <v>LAZ</v>
      </c>
      <c r="AC53" s="310" t="e">
        <f ca="1">_xll.ciqfunctions.udf.CIQ($X53, "IQ_MARKETCAP",Current_Date)</f>
        <v>#NAME?</v>
      </c>
      <c r="AD53" s="310" t="e">
        <f ca="1">_xll.ciqfunctions.udf.CIQ($X53, "IQ_TEV",Current_Date)</f>
        <v>#NAME?</v>
      </c>
      <c r="AE53" s="417" t="e">
        <f ca="1">_xll.ciqfunctions.udf.CIQ($X53, "IQ_TOTAL_REV_1YR_ANN_GROWTH",IQ_LTM,Current_Date)/100</f>
        <v>#NAME?</v>
      </c>
      <c r="AF53" s="417" t="e">
        <f ca="1">_xll.ciqfunctions.udf.CIQ($X53,"IQ_REVENUE_EST",IQ_FY+1)/(_xll.ciqfunctions.udf.CIQ($X53,"IQ_TOTAL_REV",IQ_FY))-1</f>
        <v>#NAME?</v>
      </c>
      <c r="AG53" s="417" t="e">
        <f ca="1">_xll.ciqfunctions.udf.CIQ($X53, "IQ_EPS_1YR_ANN_GROWTH",IQ_LTM,Current_Date)/100</f>
        <v>#NAME?</v>
      </c>
      <c r="AH53" s="417" t="e">
        <f ca="1">_xll.ciqfunctions.udf.CIQ($X53,"IQ_EPS_EST",IQ_FY+1)/(_xll.ciqfunctions.udf.CIQ($X53,"IQ_DILUT_EPS_INCL",IQ_FY))-1</f>
        <v>#NAME?</v>
      </c>
      <c r="AI53" s="417" t="e">
        <f ca="1">_xll.ciqfunctions.udf.CIQ($X53, "IQ_EBITDA_MARGIN",IQ_LTM)/100</f>
        <v>#NAME?</v>
      </c>
      <c r="AJ53" s="417" t="e">
        <f ca="1">_xll.ciqfunctions.udf.CIQ($X53,"IQ_EBITDA_EST",IQ_FY+1)/(_xll.ciqfunctions.udf.CIQ($X53,"IQ_REVENUE_EST",IQ_FY+1))</f>
        <v>#NAME?</v>
      </c>
      <c r="AK53" s="417" t="e">
        <f ca="1">_xll.ciqfunctions.udf.CIQ($X53, "IQ_NI_MARGIN",IQ_LTM)/100</f>
        <v>#NAME?</v>
      </c>
      <c r="AL53" s="417" t="e">
        <f ca="1">_xll.ciqfunctions.udf.CIQ($X53,"IQ_NI_EST",IQ_FY+1)/(_xll.ciqfunctions.udf.CIQ($X53,"IQ_REVENUE_EST",IQ_FY+1))</f>
        <v>#NAME?</v>
      </c>
      <c r="AM53" s="419" t="e">
        <f ca="1">_xll.ciqfunctions.udf.CIQ($X53, "IQ_TEV_EBITDA",IQ_LTM)</f>
        <v>#NAME?</v>
      </c>
      <c r="AN53" s="419" t="e">
        <f ca="1">_xll.ciqfunctions.udf.CIQ($X53, "IQ_TEV",Current_Date)/_xll.ciqfunctions.udf.CIQ($X53, "IQ_EBITDA_EST",IQ_FY+1)</f>
        <v>#NAME?</v>
      </c>
      <c r="AO53" s="419" t="e">
        <f ca="1">_xll.ciqfunctions.udf.CIQ($X53, "IQ_TEV_TOTAL_REV",IQ_LTM)</f>
        <v>#NAME?</v>
      </c>
      <c r="AP53" s="419" t="e">
        <f ca="1">_xll.ciqfunctions.udf.CIQ($X53, "IQ_TEV",Current_Date)/_xll.ciqfunctions.udf.CIQ($X53, "IQ_REVENUE_EST",IQ_FY+1)</f>
        <v>#NAME?</v>
      </c>
      <c r="AQ53" s="419" t="e">
        <f ca="1">_xll.ciqfunctions.udf.CIQ($X53, "IQ_PE_EXCL",IQ_LTM)</f>
        <v>#NAME?</v>
      </c>
      <c r="AR53" s="419" t="e">
        <f ca="1">_xll.ciqfunctions.udf.CIQ($X53, "IQ_MARKETCAP",Current_Date)/_xll.ciqfunctions.udf.CIQ($X53, "IQ_NI_EST",IQ_FY+1)</f>
        <v>#NAME?</v>
      </c>
      <c r="AT53" s="924" t="str">
        <f>AT72</f>
        <v>IQ544741</v>
      </c>
      <c r="AU53" s="163"/>
      <c r="AV53" s="23" t="e">
        <f ca="1">_xll.ciqfunctions.udf.CIQ($AT53, "IQ_COMPANY_NAME",Current_Date)</f>
        <v>#NAME?</v>
      </c>
      <c r="AW53" s="23"/>
      <c r="AX53" s="189" t="str">
        <f>N93</f>
        <v>LAZ</v>
      </c>
      <c r="AY53" s="310" t="e">
        <f ca="1">_xll.ciqfunctions.udf.CIQ($AT53, "IQ_MARKETCAP",Current_Date)</f>
        <v>#NAME?</v>
      </c>
      <c r="AZ53" s="310" t="e">
        <f ca="1">_xll.ciqfunctions.udf.CIQ($AT53, "IQ_TEV",Current_Date)</f>
        <v>#NAME?</v>
      </c>
      <c r="BA53" s="417" t="e">
        <f ca="1">_xll.ciqfunctions.udf.CIQ($AT53, "IQ_TOTAL_REV_1YR_ANN_GROWTH",IQ_LTM,Current_Date)/100</f>
        <v>#NAME?</v>
      </c>
      <c r="BB53" s="417" t="e">
        <f ca="1">_xll.ciqfunctions.udf.CIQ($AT53,"IQ_REVENUE_EST",IQ_FY+1)/(_xll.ciqfunctions.udf.CIQ($AT53,"IQ_TOTAL_REV",IQ_FY))-1</f>
        <v>#NAME?</v>
      </c>
      <c r="BC53" s="417" t="e">
        <f ca="1">_xll.ciqfunctions.udf.CIQ($AT53, "IQ_EPS_1YR_ANN_GROWTH",IQ_LTM,Current_Date)/100</f>
        <v>#NAME?</v>
      </c>
      <c r="BD53" s="417" t="e">
        <f ca="1">_xll.ciqfunctions.udf.CIQ($AT53,"IQ_EPS_EST",IQ_FY+1)/(_xll.ciqfunctions.udf.CIQ($AT53,"IQ_DILUT_EPS_INCL",IQ_FY))-1</f>
        <v>#NAME?</v>
      </c>
      <c r="BE53" s="417" t="e">
        <f ca="1">_xll.ciqfunctions.udf.CIQ($AT53, "IQ_EBITDA_MARGIN",IQ_LTM)/100</f>
        <v>#NAME?</v>
      </c>
      <c r="BF53" s="417" t="e">
        <f ca="1">_xll.ciqfunctions.udf.CIQ($AT53,"IQ_EBITDA_EST",IQ_FY+1)/(_xll.ciqfunctions.udf.CIQ($AT53,"IQ_REVENUE_EST",IQ_FY+1))</f>
        <v>#NAME?</v>
      </c>
      <c r="BG53" s="417" t="e">
        <f ca="1">_xll.ciqfunctions.udf.CIQ($AT53, "IQ_NI_MARGIN",IQ_LTM)/100</f>
        <v>#NAME?</v>
      </c>
      <c r="BH53" s="417" t="e">
        <f ca="1">_xll.ciqfunctions.udf.CIQ($AT53,"IQ_NI_EST",IQ_FY+1)/(_xll.ciqfunctions.udf.CIQ($AT53,"IQ_REVENUE_EST",IQ_FY+1))</f>
        <v>#NAME?</v>
      </c>
      <c r="BI53" s="419" t="e">
        <f ca="1">_xll.ciqfunctions.udf.CIQ($AT53, "IQ_TEV_EBITDA",IQ_LTM)</f>
        <v>#NAME?</v>
      </c>
      <c r="BJ53" s="419" t="e">
        <f ca="1">_xll.ciqfunctions.udf.CIQ($AT53, "IQ_TEV",Current_Date)/_xll.ciqfunctions.udf.CIQ($AT53, "IQ_EBITDA_EST",IQ_FY+1)</f>
        <v>#NAME?</v>
      </c>
      <c r="BK53" s="419" t="e">
        <f ca="1">_xll.ciqfunctions.udf.CIQ($AT53, "IQ_TEV_TOTAL_REV",IQ_LTM)</f>
        <v>#NAME?</v>
      </c>
      <c r="BL53" s="419" t="e">
        <f ca="1">_xll.ciqfunctions.udf.CIQ($AT53, "IQ_TEV",Current_Date)/_xll.ciqfunctions.udf.CIQ($AT53, "IQ_REVENUE_EST",IQ_FY+1)</f>
        <v>#NAME?</v>
      </c>
      <c r="BM53" s="419" t="e">
        <f ca="1">_xll.ciqfunctions.udf.CIQ($AT53, "IQ_PE_EXCL",IQ_LTM)</f>
        <v>#NAME?</v>
      </c>
      <c r="BN53" s="419" t="e">
        <f ca="1">_xll.ciqfunctions.udf.CIQ($AT53, "IQ_MARKETCAP",Current_Date)/_xll.ciqfunctions.udf.CIQ($AT53, "IQ_NI_EST",IQ_FY+1)</f>
        <v>#NAME?</v>
      </c>
    </row>
    <row r="54" spans="2:66" hidden="1" outlineLevel="1">
      <c r="B54" s="924" t="str">
        <f>B73</f>
        <v>IQ20999</v>
      </c>
      <c r="C54" s="924"/>
      <c r="D54" s="23" t="s">
        <v>986</v>
      </c>
      <c r="E54" s="23"/>
      <c r="F54" s="189" t="str">
        <f>F73</f>
        <v>HLI</v>
      </c>
      <c r="G54" s="310">
        <v>12504.719735000001</v>
      </c>
      <c r="H54" s="310">
        <v>0</v>
      </c>
      <c r="I54" s="417">
        <v>0.21995300000000001</v>
      </c>
      <c r="J54" s="417">
        <v>0.22849413192996981</v>
      </c>
      <c r="K54" s="417">
        <v>0.34252499999999997</v>
      </c>
      <c r="L54" s="417">
        <v>0.44577858880778565</v>
      </c>
      <c r="M54" s="417" t="e">
        <v>#VALUE!</v>
      </c>
      <c r="N54" s="417">
        <v>0.25533085061058625</v>
      </c>
      <c r="O54" s="417">
        <v>0.15998699999999999</v>
      </c>
      <c r="P54" s="417">
        <v>0.17458136456358694</v>
      </c>
      <c r="Q54" s="419">
        <v>0</v>
      </c>
      <c r="R54" s="419">
        <v>0</v>
      </c>
      <c r="S54" s="419">
        <v>0</v>
      </c>
      <c r="T54" s="419">
        <v>0</v>
      </c>
      <c r="U54" s="419">
        <v>34.106016582943298</v>
      </c>
      <c r="V54" s="419">
        <v>30.458079901043245</v>
      </c>
      <c r="W54" s="23"/>
      <c r="X54" s="924" t="str">
        <f>X73</f>
        <v>IQ20999</v>
      </c>
      <c r="Y54" s="163"/>
      <c r="Z54" s="23" t="e">
        <f ca="1">_xll.ciqfunctions.udf.CIQ($X54, "IQ_COMPANY_NAME",Current_Date)</f>
        <v>#NAME?</v>
      </c>
      <c r="AA54" s="23"/>
      <c r="AB54" s="189" t="str">
        <f>AB73</f>
        <v>HLI</v>
      </c>
      <c r="AC54" s="310" t="e">
        <f ca="1">_xll.ciqfunctions.udf.CIQ($X54, "IQ_MARKETCAP",Current_Date)</f>
        <v>#NAME?</v>
      </c>
      <c r="AD54" s="310" t="e">
        <f ca="1">_xll.ciqfunctions.udf.CIQ($X54, "IQ_TEV",Current_Date)</f>
        <v>#NAME?</v>
      </c>
      <c r="AE54" s="417" t="e">
        <f ca="1">_xll.ciqfunctions.udf.CIQ($X54, "IQ_TOTAL_REV_1YR_ANN_GROWTH",IQ_LTM,Current_Date)/100</f>
        <v>#NAME?</v>
      </c>
      <c r="AF54" s="417" t="e">
        <f ca="1">_xll.ciqfunctions.udf.CIQ($X54,"IQ_REVENUE_EST",IQ_FY+1)/(_xll.ciqfunctions.udf.CIQ($X54,"IQ_TOTAL_REV",IQ_FY))-1</f>
        <v>#NAME?</v>
      </c>
      <c r="AG54" s="417" t="e">
        <f ca="1">_xll.ciqfunctions.udf.CIQ($X54, "IQ_EPS_1YR_ANN_GROWTH",IQ_LTM,Current_Date)/100</f>
        <v>#NAME?</v>
      </c>
      <c r="AH54" s="417" t="e">
        <f ca="1">_xll.ciqfunctions.udf.CIQ($X54,"IQ_EPS_EST",IQ_FY+1)/(_xll.ciqfunctions.udf.CIQ($X54,"IQ_DILUT_EPS_INCL",IQ_FY))-1</f>
        <v>#NAME?</v>
      </c>
      <c r="AI54" s="417" t="e">
        <f ca="1">_xll.ciqfunctions.udf.CIQ($X54, "IQ_EBITDA_MARGIN",IQ_LTM)/100</f>
        <v>#NAME?</v>
      </c>
      <c r="AJ54" s="417" t="e">
        <f ca="1">_xll.ciqfunctions.udf.CIQ($X54,"IQ_EBITDA_EST",IQ_FY+1)/(_xll.ciqfunctions.udf.CIQ($X54,"IQ_REVENUE_EST",IQ_FY+1))</f>
        <v>#NAME?</v>
      </c>
      <c r="AK54" s="417" t="e">
        <f ca="1">_xll.ciqfunctions.udf.CIQ($X54, "IQ_NI_MARGIN",IQ_LTM)/100</f>
        <v>#NAME?</v>
      </c>
      <c r="AL54" s="417" t="e">
        <f ca="1">_xll.ciqfunctions.udf.CIQ($X54,"IQ_NI_EST",IQ_FY+1)/(_xll.ciqfunctions.udf.CIQ($X54,"IQ_REVENUE_EST",IQ_FY+1))</f>
        <v>#NAME?</v>
      </c>
      <c r="AM54" s="419" t="e">
        <f ca="1">_xll.ciqfunctions.udf.CIQ($X54, "IQ_TEV_EBITDA",IQ_LTM)</f>
        <v>#NAME?</v>
      </c>
      <c r="AN54" s="419" t="e">
        <f ca="1">_xll.ciqfunctions.udf.CIQ($X54, "IQ_TEV",Current_Date)/_xll.ciqfunctions.udf.CIQ($X54, "IQ_EBITDA_EST",IQ_FY+1)</f>
        <v>#NAME?</v>
      </c>
      <c r="AO54" s="419" t="e">
        <f ca="1">_xll.ciqfunctions.udf.CIQ($X54, "IQ_TEV_TOTAL_REV",IQ_LTM)</f>
        <v>#NAME?</v>
      </c>
      <c r="AP54" s="419" t="e">
        <f ca="1">_xll.ciqfunctions.udf.CIQ($X54, "IQ_TEV",Current_Date)/_xll.ciqfunctions.udf.CIQ($X54, "IQ_REVENUE_EST",IQ_FY+1)</f>
        <v>#NAME?</v>
      </c>
      <c r="AQ54" s="419" t="e">
        <f ca="1">_xll.ciqfunctions.udf.CIQ($X54, "IQ_PE_EXCL",IQ_LTM)</f>
        <v>#NAME?</v>
      </c>
      <c r="AR54" s="419" t="e">
        <f ca="1">_xll.ciqfunctions.udf.CIQ($X54, "IQ_MARKETCAP",Current_Date)/_xll.ciqfunctions.udf.CIQ($X54, "IQ_NI_EST",IQ_FY+1)</f>
        <v>#NAME?</v>
      </c>
      <c r="AT54" s="924" t="str">
        <f>AT73</f>
        <v>IQ20999</v>
      </c>
      <c r="AU54" s="163"/>
      <c r="AV54" s="23" t="e">
        <f ca="1">_xll.ciqfunctions.udf.CIQ($AT54, "IQ_COMPANY_NAME",Current_Date)</f>
        <v>#NAME?</v>
      </c>
      <c r="AW54" s="23"/>
      <c r="AX54" s="189" t="str">
        <f>N97</f>
        <v>HLI</v>
      </c>
      <c r="AY54" s="310" t="e">
        <f ca="1">_xll.ciqfunctions.udf.CIQ($AT54, "IQ_MARKETCAP",Current_Date)</f>
        <v>#NAME?</v>
      </c>
      <c r="AZ54" s="310" t="e">
        <f ca="1">_xll.ciqfunctions.udf.CIQ($AT54, "IQ_TEV",Current_Date)</f>
        <v>#NAME?</v>
      </c>
      <c r="BA54" s="417" t="e">
        <f ca="1">_xll.ciqfunctions.udf.CIQ($AT54, "IQ_TOTAL_REV_1YR_ANN_GROWTH",IQ_LTM,Current_Date)/100</f>
        <v>#NAME?</v>
      </c>
      <c r="BB54" s="417" t="e">
        <f ca="1">_xll.ciqfunctions.udf.CIQ($AT54,"IQ_REVENUE_EST",IQ_FY+1)/(_xll.ciqfunctions.udf.CIQ($AT54,"IQ_TOTAL_REV",IQ_FY))-1</f>
        <v>#NAME?</v>
      </c>
      <c r="BC54" s="417" t="e">
        <f ca="1">_xll.ciqfunctions.udf.CIQ($AT54, "IQ_EPS_1YR_ANN_GROWTH",IQ_LTM,Current_Date)/100</f>
        <v>#NAME?</v>
      </c>
      <c r="BD54" s="417" t="e">
        <f ca="1">_xll.ciqfunctions.udf.CIQ($AT54,"IQ_EPS_EST",IQ_FY+1)/(_xll.ciqfunctions.udf.CIQ($AT54,"IQ_DILUT_EPS_INCL",IQ_FY))-1</f>
        <v>#NAME?</v>
      </c>
      <c r="BE54" s="417" t="e">
        <f ca="1">_xll.ciqfunctions.udf.CIQ($AT54, "IQ_EBITDA_MARGIN",IQ_LTM)/100</f>
        <v>#NAME?</v>
      </c>
      <c r="BF54" s="417" t="e">
        <f ca="1">_xll.ciqfunctions.udf.CIQ($AT54,"IQ_EBITDA_EST",IQ_FY+1)/(_xll.ciqfunctions.udf.CIQ($AT54,"IQ_REVENUE_EST",IQ_FY+1))</f>
        <v>#NAME?</v>
      </c>
      <c r="BG54" s="417" t="e">
        <f ca="1">_xll.ciqfunctions.udf.CIQ($AT54, "IQ_NI_MARGIN",IQ_LTM)/100</f>
        <v>#NAME?</v>
      </c>
      <c r="BH54" s="417" t="e">
        <f ca="1">_xll.ciqfunctions.udf.CIQ($AT54,"IQ_NI_EST",IQ_FY+1)/(_xll.ciqfunctions.udf.CIQ($AT54,"IQ_REVENUE_EST",IQ_FY+1))</f>
        <v>#NAME?</v>
      </c>
      <c r="BI54" s="419" t="e">
        <f ca="1">_xll.ciqfunctions.udf.CIQ($AT54, "IQ_TEV_EBITDA",IQ_LTM)</f>
        <v>#NAME?</v>
      </c>
      <c r="BJ54" s="419" t="e">
        <f ca="1">_xll.ciqfunctions.udf.CIQ($AT54, "IQ_TEV",Current_Date)/_xll.ciqfunctions.udf.CIQ($AT54, "IQ_EBITDA_EST",IQ_FY+1)</f>
        <v>#NAME?</v>
      </c>
      <c r="BK54" s="419" t="e">
        <f ca="1">_xll.ciqfunctions.udf.CIQ($AT54, "IQ_TEV_TOTAL_REV",IQ_LTM)</f>
        <v>#NAME?</v>
      </c>
      <c r="BL54" s="419" t="e">
        <f ca="1">_xll.ciqfunctions.udf.CIQ($AT54, "IQ_TEV",Current_Date)/_xll.ciqfunctions.udf.CIQ($AT54, "IQ_REVENUE_EST",IQ_FY+1)</f>
        <v>#NAME?</v>
      </c>
      <c r="BM54" s="419" t="e">
        <f ca="1">_xll.ciqfunctions.udf.CIQ($AT54, "IQ_PE_EXCL",IQ_LTM)</f>
        <v>#NAME?</v>
      </c>
      <c r="BN54" s="419" t="e">
        <f ca="1">_xll.ciqfunctions.udf.CIQ($AT54, "IQ_MARKETCAP",Current_Date)/_xll.ciqfunctions.udf.CIQ($AT54, "IQ_NI_EST",IQ_FY+1)</f>
        <v>#NAME?</v>
      </c>
    </row>
    <row r="55" spans="2:66" hidden="1" outlineLevel="1">
      <c r="B55" s="924" t="str">
        <f>B74</f>
        <v>IQ286743412</v>
      </c>
      <c r="C55" s="924"/>
      <c r="D55" s="23" t="s">
        <v>988</v>
      </c>
      <c r="E55" s="23"/>
      <c r="F55" s="189" t="str">
        <f>F74</f>
        <v>PJT</v>
      </c>
      <c r="G55" s="310">
        <v>4166.801931</v>
      </c>
      <c r="H55" s="310">
        <v>0</v>
      </c>
      <c r="I55" s="417">
        <v>0.29091400000000001</v>
      </c>
      <c r="J55" s="417">
        <v>0.10620420084156135</v>
      </c>
      <c r="K55" s="417">
        <v>0.57501800000000003</v>
      </c>
      <c r="L55" s="417">
        <v>0.24327439024390252</v>
      </c>
      <c r="M55" s="417" t="e">
        <v>#VALUE!</v>
      </c>
      <c r="N55" s="417">
        <v>0.2098773121620727</v>
      </c>
      <c r="O55" s="417">
        <v>9.0004000000000015E-2</v>
      </c>
      <c r="P55" s="417">
        <v>0.16570162758703727</v>
      </c>
      <c r="Q55" s="419">
        <v>0</v>
      </c>
      <c r="R55" s="419">
        <v>0</v>
      </c>
      <c r="S55" s="419">
        <v>0</v>
      </c>
      <c r="T55" s="419">
        <v>0</v>
      </c>
      <c r="U55" s="419">
        <v>35.731707317073202</v>
      </c>
      <c r="V55" s="419">
        <v>15.224024963911098</v>
      </c>
      <c r="W55" s="23"/>
      <c r="X55" s="924" t="str">
        <f>X74</f>
        <v>IQ286743412</v>
      </c>
      <c r="Y55" s="163"/>
      <c r="Z55" s="23" t="e">
        <f ca="1">_xll.ciqfunctions.udf.CIQ($X55, "IQ_COMPANY_NAME",Current_Date)</f>
        <v>#NAME?</v>
      </c>
      <c r="AA55" s="23"/>
      <c r="AB55" s="189" t="str">
        <f>AB74</f>
        <v>PJT</v>
      </c>
      <c r="AC55" s="310" t="e">
        <f ca="1">_xll.ciqfunctions.udf.CIQ($X55, "IQ_MARKETCAP",Current_Date)</f>
        <v>#NAME?</v>
      </c>
      <c r="AD55" s="310" t="e">
        <f ca="1">_xll.ciqfunctions.udf.CIQ($X55, "IQ_TEV",Current_Date)</f>
        <v>#NAME?</v>
      </c>
      <c r="AE55" s="417" t="e">
        <f ca="1">_xll.ciqfunctions.udf.CIQ($X55, "IQ_TOTAL_REV_1YR_ANN_GROWTH",IQ_LTM,Current_Date)/100</f>
        <v>#NAME?</v>
      </c>
      <c r="AF55" s="417" t="e">
        <f ca="1">_xll.ciqfunctions.udf.CIQ($X55,"IQ_REVENUE_EST",IQ_FY+1)/(_xll.ciqfunctions.udf.CIQ($X55,"IQ_TOTAL_REV",IQ_FY))-1</f>
        <v>#NAME?</v>
      </c>
      <c r="AG55" s="417" t="e">
        <f ca="1">_xll.ciqfunctions.udf.CIQ($X55, "IQ_EPS_1YR_ANN_GROWTH",IQ_LTM,Current_Date)/100</f>
        <v>#NAME?</v>
      </c>
      <c r="AH55" s="417" t="e">
        <f ca="1">_xll.ciqfunctions.udf.CIQ($X55,"IQ_EPS_EST",IQ_FY+1)/(_xll.ciqfunctions.udf.CIQ($X55,"IQ_DILUT_EPS_INCL",IQ_FY))-1</f>
        <v>#NAME?</v>
      </c>
      <c r="AI55" s="417" t="e">
        <f ca="1">_xll.ciqfunctions.udf.CIQ($X55, "IQ_EBITDA_MARGIN",IQ_LTM)/100</f>
        <v>#NAME?</v>
      </c>
      <c r="AJ55" s="417" t="e">
        <f ca="1">_xll.ciqfunctions.udf.CIQ($X55,"IQ_EBITDA_EST",IQ_FY+1)/(_xll.ciqfunctions.udf.CIQ($X55,"IQ_REVENUE_EST",IQ_FY+1))</f>
        <v>#NAME?</v>
      </c>
      <c r="AK55" s="417" t="e">
        <f ca="1">_xll.ciqfunctions.udf.CIQ($X55, "IQ_NI_MARGIN",IQ_LTM)/100</f>
        <v>#NAME?</v>
      </c>
      <c r="AL55" s="417" t="e">
        <f ca="1">_xll.ciqfunctions.udf.CIQ($X55,"IQ_NI_EST",IQ_FY+1)/(_xll.ciqfunctions.udf.CIQ($X55,"IQ_REVENUE_EST",IQ_FY+1))</f>
        <v>#NAME?</v>
      </c>
      <c r="AM55" s="419" t="e">
        <f ca="1">_xll.ciqfunctions.udf.CIQ($X55, "IQ_TEV_EBITDA",IQ_LTM)</f>
        <v>#NAME?</v>
      </c>
      <c r="AN55" s="419" t="e">
        <f ca="1">_xll.ciqfunctions.udf.CIQ($X55, "IQ_TEV",Current_Date)/_xll.ciqfunctions.udf.CIQ($X55, "IQ_EBITDA_EST",IQ_FY+1)</f>
        <v>#NAME?</v>
      </c>
      <c r="AO55" s="419" t="e">
        <f ca="1">_xll.ciqfunctions.udf.CIQ($X55, "IQ_TEV_TOTAL_REV",IQ_LTM)</f>
        <v>#NAME?</v>
      </c>
      <c r="AP55" s="419" t="e">
        <f ca="1">_xll.ciqfunctions.udf.CIQ($X55, "IQ_TEV",Current_Date)/_xll.ciqfunctions.udf.CIQ($X55, "IQ_REVENUE_EST",IQ_FY+1)</f>
        <v>#NAME?</v>
      </c>
      <c r="AQ55" s="419" t="e">
        <f ca="1">_xll.ciqfunctions.udf.CIQ($X55, "IQ_PE_EXCL",IQ_LTM)</f>
        <v>#NAME?</v>
      </c>
      <c r="AR55" s="419" t="e">
        <f ca="1">_xll.ciqfunctions.udf.CIQ($X55, "IQ_MARKETCAP",Current_Date)/_xll.ciqfunctions.udf.CIQ($X55, "IQ_NI_EST",IQ_FY+1)</f>
        <v>#NAME?</v>
      </c>
      <c r="AT55" s="924" t="str">
        <f>AT74</f>
        <v>IQ286743412</v>
      </c>
      <c r="AU55" s="163"/>
      <c r="AV55" s="23" t="e">
        <f ca="1">_xll.ciqfunctions.udf.CIQ($AT55, "IQ_COMPANY_NAME",Current_Date)</f>
        <v>#NAME?</v>
      </c>
      <c r="AW55" s="23"/>
      <c r="AX55" s="189" t="str">
        <f>N101</f>
        <v>PJT</v>
      </c>
      <c r="AY55" s="310" t="e">
        <f ca="1">_xll.ciqfunctions.udf.CIQ($AT55, "IQ_MARKETCAP",Current_Date)</f>
        <v>#NAME?</v>
      </c>
      <c r="AZ55" s="310" t="e">
        <f ca="1">_xll.ciqfunctions.udf.CIQ($AT55, "IQ_TEV",Current_Date)</f>
        <v>#NAME?</v>
      </c>
      <c r="BA55" s="417" t="e">
        <f ca="1">_xll.ciqfunctions.udf.CIQ($AT55, "IQ_TOTAL_REV_1YR_ANN_GROWTH",IQ_LTM,Current_Date)/100</f>
        <v>#NAME?</v>
      </c>
      <c r="BB55" s="417" t="e">
        <f ca="1">_xll.ciqfunctions.udf.CIQ($AT55,"IQ_REVENUE_EST",IQ_FY+1)/(_xll.ciqfunctions.udf.CIQ($AT55,"IQ_TOTAL_REV",IQ_FY))-1</f>
        <v>#NAME?</v>
      </c>
      <c r="BC55" s="417" t="e">
        <f ca="1">_xll.ciqfunctions.udf.CIQ($AT55, "IQ_EPS_1YR_ANN_GROWTH",IQ_LTM,Current_Date)/100</f>
        <v>#NAME?</v>
      </c>
      <c r="BD55" s="417" t="e">
        <f ca="1">_xll.ciqfunctions.udf.CIQ($AT55,"IQ_EPS_EST",IQ_FY+1)/(_xll.ciqfunctions.udf.CIQ($AT55,"IQ_DILUT_EPS_INCL",IQ_FY))-1</f>
        <v>#NAME?</v>
      </c>
      <c r="BE55" s="417" t="e">
        <f ca="1">_xll.ciqfunctions.udf.CIQ($AT55, "IQ_EBITDA_MARGIN",IQ_LTM)/100</f>
        <v>#NAME?</v>
      </c>
      <c r="BF55" s="417" t="e">
        <f ca="1">_xll.ciqfunctions.udf.CIQ($AT55,"IQ_EBITDA_EST",IQ_FY+1)/(_xll.ciqfunctions.udf.CIQ($AT55,"IQ_REVENUE_EST",IQ_FY+1))</f>
        <v>#NAME?</v>
      </c>
      <c r="BG55" s="417" t="e">
        <f ca="1">_xll.ciqfunctions.udf.CIQ($AT55, "IQ_NI_MARGIN",IQ_LTM)/100</f>
        <v>#NAME?</v>
      </c>
      <c r="BH55" s="417" t="e">
        <f ca="1">_xll.ciqfunctions.udf.CIQ($AT55,"IQ_NI_EST",IQ_FY+1)/(_xll.ciqfunctions.udf.CIQ($AT55,"IQ_REVENUE_EST",IQ_FY+1))</f>
        <v>#NAME?</v>
      </c>
      <c r="BI55" s="419" t="e">
        <f ca="1">_xll.ciqfunctions.udf.CIQ($AT55, "IQ_TEV_EBITDA",IQ_LTM)</f>
        <v>#NAME?</v>
      </c>
      <c r="BJ55" s="419" t="e">
        <f ca="1">_xll.ciqfunctions.udf.CIQ($AT55, "IQ_TEV",Current_Date)/_xll.ciqfunctions.udf.CIQ($AT55, "IQ_EBITDA_EST",IQ_FY+1)</f>
        <v>#NAME?</v>
      </c>
      <c r="BK55" s="419" t="e">
        <f ca="1">_xll.ciqfunctions.udf.CIQ($AT55, "IQ_TEV_TOTAL_REV",IQ_LTM)</f>
        <v>#NAME?</v>
      </c>
      <c r="BL55" s="419" t="e">
        <f ca="1">_xll.ciqfunctions.udf.CIQ($AT55, "IQ_TEV",Current_Date)/_xll.ciqfunctions.udf.CIQ($AT55, "IQ_REVENUE_EST",IQ_FY+1)</f>
        <v>#NAME?</v>
      </c>
      <c r="BM55" s="419" t="e">
        <f ca="1">_xll.ciqfunctions.udf.CIQ($AT55, "IQ_PE_EXCL",IQ_LTM)</f>
        <v>#NAME?</v>
      </c>
      <c r="BN55" s="419" t="e">
        <f ca="1">_xll.ciqfunctions.udf.CIQ($AT55, "IQ_MARKETCAP",Current_Date)/_xll.ciqfunctions.udf.CIQ($AT55, "IQ_NI_EST",IQ_FY+1)</f>
        <v>#NAME?</v>
      </c>
    </row>
    <row r="56" spans="2:66" hidden="1" outlineLevel="1">
      <c r="B56" s="924" t="str">
        <f>B75</f>
        <v>IQ260034573</v>
      </c>
      <c r="C56" s="924"/>
      <c r="D56" s="23" t="s">
        <v>990</v>
      </c>
      <c r="E56" s="23"/>
      <c r="F56" s="189" t="str">
        <f>F75</f>
        <v>MC</v>
      </c>
      <c r="G56" s="310">
        <v>5361.2381960000002</v>
      </c>
      <c r="H56" s="310">
        <v>0</v>
      </c>
      <c r="I56" s="417">
        <v>0.39754</v>
      </c>
      <c r="J56" s="417">
        <v>0.24366867719508245</v>
      </c>
      <c r="K56" s="417" t="e">
        <v>#VALUE!</v>
      </c>
      <c r="L56" s="417">
        <v>0.50156639620951826</v>
      </c>
      <c r="M56" s="417" t="e">
        <v>#VALUE!</v>
      </c>
      <c r="N56" s="417">
        <v>0.20991261415618093</v>
      </c>
      <c r="O56" s="417">
        <v>0.113867</v>
      </c>
      <c r="P56" s="417">
        <v>0.16788363928228667</v>
      </c>
      <c r="Q56" s="419">
        <v>0</v>
      </c>
      <c r="R56" s="419">
        <v>0</v>
      </c>
      <c r="S56" s="419">
        <v>0</v>
      </c>
      <c r="T56" s="419">
        <v>0</v>
      </c>
      <c r="U56" s="419">
        <v>39.4063571092804</v>
      </c>
      <c r="V56" s="419">
        <v>21.495597270994356</v>
      </c>
      <c r="W56" s="23"/>
      <c r="X56" s="924" t="str">
        <f>X75</f>
        <v>IQ260034573</v>
      </c>
      <c r="Y56" s="163"/>
      <c r="Z56" s="23" t="e">
        <f ca="1">_xll.ciqfunctions.udf.CIQ($X56, "IQ_COMPANY_NAME",Current_Date)</f>
        <v>#NAME?</v>
      </c>
      <c r="AA56" s="23"/>
      <c r="AB56" s="189" t="str">
        <f>AB75</f>
        <v>MC</v>
      </c>
      <c r="AC56" s="310" t="e">
        <f ca="1">_xll.ciqfunctions.udf.CIQ($X56, "IQ_MARKETCAP",Current_Date)</f>
        <v>#NAME?</v>
      </c>
      <c r="AD56" s="310" t="e">
        <f ca="1">_xll.ciqfunctions.udf.CIQ($X56, "IQ_TEV",Current_Date)</f>
        <v>#NAME?</v>
      </c>
      <c r="AE56" s="417" t="e">
        <f ca="1">_xll.ciqfunctions.udf.CIQ($X56, "IQ_TOTAL_REV_1YR_ANN_GROWTH",IQ_LTM,Current_Date)/100</f>
        <v>#NAME?</v>
      </c>
      <c r="AF56" s="417" t="e">
        <f ca="1">_xll.ciqfunctions.udf.CIQ($X56,"IQ_REVENUE_EST",IQ_FY+1)/(_xll.ciqfunctions.udf.CIQ($X56,"IQ_TOTAL_REV",IQ_FY))-1</f>
        <v>#NAME?</v>
      </c>
      <c r="AG56" s="417" t="e">
        <f ca="1">_xll.ciqfunctions.udf.CIQ($X56, "IQ_EPS_1YR_ANN_GROWTH",IQ_LTM,Current_Date)/100</f>
        <v>#NAME?</v>
      </c>
      <c r="AH56" s="417" t="e">
        <f ca="1">_xll.ciqfunctions.udf.CIQ($X56,"IQ_EPS_EST",IQ_FY+1)/(_xll.ciqfunctions.udf.CIQ($X56,"IQ_DILUT_EPS_INCL",IQ_FY))-1</f>
        <v>#NAME?</v>
      </c>
      <c r="AI56" s="417" t="e">
        <f ca="1">_xll.ciqfunctions.udf.CIQ($X56, "IQ_EBITDA_MARGIN",IQ_LTM)/100</f>
        <v>#NAME?</v>
      </c>
      <c r="AJ56" s="417" t="e">
        <f ca="1">_xll.ciqfunctions.udf.CIQ($X56,"IQ_EBITDA_EST",IQ_FY+1)/(_xll.ciqfunctions.udf.CIQ($X56,"IQ_REVENUE_EST",IQ_FY+1))</f>
        <v>#NAME?</v>
      </c>
      <c r="AK56" s="417" t="e">
        <f ca="1">_xll.ciqfunctions.udf.CIQ($X56, "IQ_NI_MARGIN",IQ_LTM)/100</f>
        <v>#NAME?</v>
      </c>
      <c r="AL56" s="417" t="e">
        <f ca="1">_xll.ciqfunctions.udf.CIQ($X56,"IQ_NI_EST",IQ_FY+1)/(_xll.ciqfunctions.udf.CIQ($X56,"IQ_REVENUE_EST",IQ_FY+1))</f>
        <v>#NAME?</v>
      </c>
      <c r="AM56" s="419" t="e">
        <f ca="1">_xll.ciqfunctions.udf.CIQ($X56, "IQ_TEV_EBITDA",IQ_LTM)</f>
        <v>#NAME?</v>
      </c>
      <c r="AN56" s="419" t="e">
        <f ca="1">_xll.ciqfunctions.udf.CIQ($X56, "IQ_TEV",Current_Date)/_xll.ciqfunctions.udf.CIQ($X56, "IQ_EBITDA_EST",IQ_FY+1)</f>
        <v>#NAME?</v>
      </c>
      <c r="AO56" s="419" t="e">
        <f ca="1">_xll.ciqfunctions.udf.CIQ($X56, "IQ_TEV_TOTAL_REV",IQ_LTM)</f>
        <v>#NAME?</v>
      </c>
      <c r="AP56" s="419" t="e">
        <f ca="1">_xll.ciqfunctions.udf.CIQ($X56, "IQ_TEV",Current_Date)/_xll.ciqfunctions.udf.CIQ($X56, "IQ_REVENUE_EST",IQ_FY+1)</f>
        <v>#NAME?</v>
      </c>
      <c r="AQ56" s="419" t="e">
        <f ca="1">_xll.ciqfunctions.udf.CIQ($X56, "IQ_PE_EXCL",IQ_LTM)</f>
        <v>#NAME?</v>
      </c>
      <c r="AR56" s="419" t="e">
        <f ca="1">_xll.ciqfunctions.udf.CIQ($X56, "IQ_MARKETCAP",Current_Date)/_xll.ciqfunctions.udf.CIQ($X56, "IQ_NI_EST",IQ_FY+1)</f>
        <v>#NAME?</v>
      </c>
      <c r="AT56" s="924" t="str">
        <f>AT75</f>
        <v>IQ260034573</v>
      </c>
      <c r="AU56" s="163"/>
      <c r="AV56" s="23" t="e">
        <f ca="1">_xll.ciqfunctions.udf.CIQ($AT56, "IQ_COMPANY_NAME",Current_Date)</f>
        <v>#NAME?</v>
      </c>
      <c r="AW56" s="23"/>
      <c r="AX56" s="189" t="str">
        <f>N105</f>
        <v>MC</v>
      </c>
      <c r="AY56" s="310" t="e">
        <f ca="1">_xll.ciqfunctions.udf.CIQ($AT56, "IQ_MARKETCAP",Current_Date)</f>
        <v>#NAME?</v>
      </c>
      <c r="AZ56" s="310" t="e">
        <f ca="1">_xll.ciqfunctions.udf.CIQ($AT56, "IQ_TEV",Current_Date)</f>
        <v>#NAME?</v>
      </c>
      <c r="BA56" s="417" t="e">
        <f ca="1">_xll.ciqfunctions.udf.CIQ($AT56, "IQ_TOTAL_REV_1YR_ANN_GROWTH",IQ_LTM,Current_Date)/100</f>
        <v>#NAME?</v>
      </c>
      <c r="BB56" s="417" t="e">
        <f ca="1">_xll.ciqfunctions.udf.CIQ($AT56,"IQ_REVENUE_EST",IQ_FY+1)/(_xll.ciqfunctions.udf.CIQ($AT56,"IQ_TOTAL_REV",IQ_FY))-1</f>
        <v>#NAME?</v>
      </c>
      <c r="BC56" s="417" t="e">
        <f ca="1">_xll.ciqfunctions.udf.CIQ($AT56, "IQ_EPS_1YR_ANN_GROWTH",IQ_LTM,Current_Date)/100</f>
        <v>#NAME?</v>
      </c>
      <c r="BD56" s="417" t="e">
        <f ca="1">_xll.ciqfunctions.udf.CIQ($AT56,"IQ_EPS_EST",IQ_FY+1)/(_xll.ciqfunctions.udf.CIQ($AT56,"IQ_DILUT_EPS_INCL",IQ_FY))-1</f>
        <v>#NAME?</v>
      </c>
      <c r="BE56" s="417" t="e">
        <f ca="1">_xll.ciqfunctions.udf.CIQ($AT56, "IQ_EBITDA_MARGIN",IQ_LTM)/100</f>
        <v>#NAME?</v>
      </c>
      <c r="BF56" s="417" t="e">
        <f ca="1">_xll.ciqfunctions.udf.CIQ($AT56,"IQ_EBITDA_EST",IQ_FY+1)/(_xll.ciqfunctions.udf.CIQ($AT56,"IQ_REVENUE_EST",IQ_FY+1))</f>
        <v>#NAME?</v>
      </c>
      <c r="BG56" s="417" t="e">
        <f ca="1">_xll.ciqfunctions.udf.CIQ($AT56, "IQ_NI_MARGIN",IQ_LTM)/100</f>
        <v>#NAME?</v>
      </c>
      <c r="BH56" s="417" t="e">
        <f ca="1">_xll.ciqfunctions.udf.CIQ($AT56,"IQ_NI_EST",IQ_FY+1)/(_xll.ciqfunctions.udf.CIQ($AT56,"IQ_REVENUE_EST",IQ_FY+1))</f>
        <v>#NAME?</v>
      </c>
      <c r="BI56" s="419" t="e">
        <f ca="1">_xll.ciqfunctions.udf.CIQ($AT56, "IQ_TEV_EBITDA",IQ_LTM)</f>
        <v>#NAME?</v>
      </c>
      <c r="BJ56" s="419" t="e">
        <f ca="1">_xll.ciqfunctions.udf.CIQ($AT56, "IQ_TEV",Current_Date)/_xll.ciqfunctions.udf.CIQ($AT56, "IQ_EBITDA_EST",IQ_FY+1)</f>
        <v>#NAME?</v>
      </c>
      <c r="BK56" s="419" t="e">
        <f ca="1">_xll.ciqfunctions.udf.CIQ($AT56, "IQ_TEV_TOTAL_REV",IQ_LTM)</f>
        <v>#NAME?</v>
      </c>
      <c r="BL56" s="419" t="e">
        <f ca="1">_xll.ciqfunctions.udf.CIQ($AT56, "IQ_TEV",Current_Date)/_xll.ciqfunctions.udf.CIQ($AT56, "IQ_REVENUE_EST",IQ_FY+1)</f>
        <v>#NAME?</v>
      </c>
      <c r="BM56" s="419" t="e">
        <f ca="1">_xll.ciqfunctions.udf.CIQ($AT56, "IQ_PE_EXCL",IQ_LTM)</f>
        <v>#NAME?</v>
      </c>
      <c r="BN56" s="419" t="e">
        <f ca="1">_xll.ciqfunctions.udf.CIQ($AT56, "IQ_MARKETCAP",Current_Date)/_xll.ciqfunctions.udf.CIQ($AT56, "IQ_NI_EST",IQ_FY+1)</f>
        <v>#NAME?</v>
      </c>
    </row>
    <row r="57" spans="2:66" hidden="1" outlineLevel="1">
      <c r="B57" s="924">
        <f>B76</f>
        <v>0</v>
      </c>
      <c r="C57" s="924"/>
      <c r="D57" s="433"/>
      <c r="E57" s="23"/>
      <c r="F57" s="434"/>
      <c r="G57" s="310"/>
      <c r="H57" s="310"/>
      <c r="I57" s="417"/>
      <c r="J57" s="417"/>
      <c r="K57" s="417"/>
      <c r="L57" s="417"/>
      <c r="M57" s="417"/>
      <c r="N57" s="417"/>
      <c r="O57" s="417"/>
      <c r="P57" s="417"/>
      <c r="Q57" s="419"/>
      <c r="R57" s="419"/>
      <c r="S57" s="419"/>
      <c r="T57" s="419"/>
      <c r="U57" s="419"/>
      <c r="V57" s="419"/>
      <c r="W57" s="23"/>
      <c r="X57" s="924">
        <f>X76</f>
        <v>0</v>
      </c>
      <c r="Y57" s="163"/>
      <c r="Z57" s="433" t="e">
        <f ca="1">_xll.ciqfunctions.udf.CIQ($X57, "IQ_COMPANY_NAME",Current_Date)</f>
        <v>#NAME?</v>
      </c>
      <c r="AA57" s="23"/>
      <c r="AB57" s="434">
        <f>AB76</f>
        <v>0</v>
      </c>
      <c r="AC57" s="310" t="e">
        <f ca="1">_xll.ciqfunctions.udf.CIQ($X57, "IQ_MARKETCAP",Current_Date)</f>
        <v>#NAME?</v>
      </c>
      <c r="AD57" s="310" t="e">
        <f ca="1">_xll.ciqfunctions.udf.CIQ($X57, "IQ_TEV",Current_Date)</f>
        <v>#NAME?</v>
      </c>
      <c r="AE57" s="417" t="e">
        <f ca="1">_xll.ciqfunctions.udf.CIQ($X57, "IQ_TOTAL_REV_1YR_ANN_GROWTH",IQ_LTM,Current_Date)/100</f>
        <v>#NAME?</v>
      </c>
      <c r="AF57" s="417" t="e">
        <f ca="1">_xll.ciqfunctions.udf.CIQ($X57,"IQ_REVENUE_EST",IQ_FY+1)/(_xll.ciqfunctions.udf.CIQ($X57,"IQ_TOTAL_REV",IQ_FY))-1</f>
        <v>#NAME?</v>
      </c>
      <c r="AG57" s="417" t="e">
        <f ca="1">_xll.ciqfunctions.udf.CIQ($X57, "IQ_EPS_1YR_ANN_GROWTH",IQ_LTM,Current_Date)/100</f>
        <v>#NAME?</v>
      </c>
      <c r="AH57" s="417" t="e">
        <f ca="1">_xll.ciqfunctions.udf.CIQ($X57,"IQ_EPS_EST",IQ_FY+1)/(_xll.ciqfunctions.udf.CIQ($X57,"IQ_DILUT_EPS_INCL",IQ_FY))-1</f>
        <v>#NAME?</v>
      </c>
      <c r="AI57" s="417" t="e">
        <f ca="1">_xll.ciqfunctions.udf.CIQ($X57, "IQ_EBITDA_MARGIN",IQ_LTM)/100</f>
        <v>#NAME?</v>
      </c>
      <c r="AJ57" s="417" t="e">
        <f ca="1">_xll.ciqfunctions.udf.CIQ($X57,"IQ_EBITDA_EST",IQ_FY+1)/(_xll.ciqfunctions.udf.CIQ($X57,"IQ_REVENUE_EST",IQ_FY+1))</f>
        <v>#NAME?</v>
      </c>
      <c r="AK57" s="417" t="e">
        <f ca="1">_xll.ciqfunctions.udf.CIQ($X57, "IQ_NI_MARGIN",IQ_LTM)/100</f>
        <v>#NAME?</v>
      </c>
      <c r="AL57" s="417" t="e">
        <f ca="1">_xll.ciqfunctions.udf.CIQ($X57,"IQ_NI_EST",IQ_FY+1)/(_xll.ciqfunctions.udf.CIQ($X57,"IQ_REVENUE_EST",IQ_FY+1))</f>
        <v>#NAME?</v>
      </c>
      <c r="AM57" s="419" t="e">
        <f ca="1">_xll.ciqfunctions.udf.CIQ($X57, "IQ_TEV_EBITDA",IQ_LTM)</f>
        <v>#NAME?</v>
      </c>
      <c r="AN57" s="419" t="e">
        <f ca="1">_xll.ciqfunctions.udf.CIQ($X57, "IQ_TEV",Current_Date)/_xll.ciqfunctions.udf.CIQ($X57, "IQ_EBITDA_EST",IQ_FY+1)</f>
        <v>#NAME?</v>
      </c>
      <c r="AO57" s="419" t="e">
        <f ca="1">_xll.ciqfunctions.udf.CIQ($X57, "IQ_TEV_TOTAL_REV",IQ_LTM)</f>
        <v>#NAME?</v>
      </c>
      <c r="AP57" s="419" t="e">
        <f ca="1">_xll.ciqfunctions.udf.CIQ($X57, "IQ_TEV",Current_Date)/_xll.ciqfunctions.udf.CIQ($X57, "IQ_REVENUE_EST",IQ_FY+1)</f>
        <v>#NAME?</v>
      </c>
      <c r="AQ57" s="419" t="e">
        <f ca="1">_xll.ciqfunctions.udf.CIQ($X57, "IQ_PE_EXCL",IQ_LTM)</f>
        <v>#NAME?</v>
      </c>
      <c r="AR57" s="419" t="e">
        <f ca="1">_xll.ciqfunctions.udf.CIQ($X57, "IQ_MARKETCAP",Current_Date)/_xll.ciqfunctions.udf.CIQ($X57, "IQ_NI_EST",IQ_FY+1)</f>
        <v>#NAME?</v>
      </c>
      <c r="AT57" s="924">
        <f>AT76</f>
        <v>0</v>
      </c>
      <c r="AU57" s="163"/>
      <c r="AV57" s="23" t="e">
        <f ca="1">_xll.ciqfunctions.udf.CIQ($AT57, "IQ_COMPANY_NAME",Current_Date)</f>
        <v>#NAME?</v>
      </c>
      <c r="AW57" s="23"/>
      <c r="AX57" s="434">
        <f>N109</f>
        <v>0</v>
      </c>
      <c r="AY57" s="310" t="e">
        <f ca="1">_xll.ciqfunctions.udf.CIQ($AT57, "IQ_MARKETCAP",Current_Date)</f>
        <v>#NAME?</v>
      </c>
      <c r="AZ57" s="310" t="e">
        <f ca="1">_xll.ciqfunctions.udf.CIQ($AT57, "IQ_TEV",Current_Date)</f>
        <v>#NAME?</v>
      </c>
      <c r="BA57" s="417" t="e">
        <f ca="1">_xll.ciqfunctions.udf.CIQ($AT57, "IQ_TOTAL_REV_1YR_ANN_GROWTH",IQ_LTM,Current_Date)/100</f>
        <v>#NAME?</v>
      </c>
      <c r="BB57" s="417" t="e">
        <f ca="1">_xll.ciqfunctions.udf.CIQ($AT57,"IQ_REVENUE_EST",IQ_FY+1)/(_xll.ciqfunctions.udf.CIQ($AT57,"IQ_TOTAL_REV",IQ_FY))-1</f>
        <v>#NAME?</v>
      </c>
      <c r="BC57" s="417" t="e">
        <f ca="1">_xll.ciqfunctions.udf.CIQ($AT57, "IQ_EPS_1YR_ANN_GROWTH",IQ_LTM,Current_Date)/100</f>
        <v>#NAME?</v>
      </c>
      <c r="BD57" s="417" t="e">
        <f ca="1">_xll.ciqfunctions.udf.CIQ($AT57,"IQ_EPS_EST",IQ_FY+1)/(_xll.ciqfunctions.udf.CIQ($AT57,"IQ_DILUT_EPS_INCL",IQ_FY))-1</f>
        <v>#NAME?</v>
      </c>
      <c r="BE57" s="417" t="e">
        <f ca="1">_xll.ciqfunctions.udf.CIQ($AT57, "IQ_EBITDA_MARGIN",IQ_LTM)/100</f>
        <v>#NAME?</v>
      </c>
      <c r="BF57" s="417" t="e">
        <f ca="1">_xll.ciqfunctions.udf.CIQ($AT57,"IQ_EBITDA_EST",IQ_FY+1)/(_xll.ciqfunctions.udf.CIQ($AT57,"IQ_REVENUE_EST",IQ_FY+1))</f>
        <v>#NAME?</v>
      </c>
      <c r="BG57" s="417" t="e">
        <f ca="1">_xll.ciqfunctions.udf.CIQ($AT57, "IQ_NI_MARGIN",IQ_LTM)/100</f>
        <v>#NAME?</v>
      </c>
      <c r="BH57" s="417" t="e">
        <f ca="1">_xll.ciqfunctions.udf.CIQ($AT57,"IQ_NI_EST",IQ_FY+1)/(_xll.ciqfunctions.udf.CIQ($AT57,"IQ_REVENUE_EST",IQ_FY+1))</f>
        <v>#NAME?</v>
      </c>
      <c r="BI57" s="419" t="e">
        <f ca="1">_xll.ciqfunctions.udf.CIQ($AT57, "IQ_TEV_EBITDA",IQ_LTM)</f>
        <v>#NAME?</v>
      </c>
      <c r="BJ57" s="419" t="e">
        <f ca="1">_xll.ciqfunctions.udf.CIQ($AT57, "IQ_TEV",Current_Date)/_xll.ciqfunctions.udf.CIQ($AT57, "IQ_EBITDA_EST",IQ_FY+1)</f>
        <v>#NAME?</v>
      </c>
      <c r="BK57" s="419" t="e">
        <f ca="1">_xll.ciqfunctions.udf.CIQ($AT57, "IQ_TEV_TOTAL_REV",IQ_LTM)</f>
        <v>#NAME?</v>
      </c>
      <c r="BL57" s="419" t="e">
        <f ca="1">_xll.ciqfunctions.udf.CIQ($AT57, "IQ_TEV",Current_Date)/_xll.ciqfunctions.udf.CIQ($AT57, "IQ_REVENUE_EST",IQ_FY+1)</f>
        <v>#NAME?</v>
      </c>
      <c r="BM57" s="419" t="e">
        <f ca="1">_xll.ciqfunctions.udf.CIQ($AT57, "IQ_PE_EXCL",IQ_LTM)</f>
        <v>#NAME?</v>
      </c>
      <c r="BN57" s="419" t="e">
        <f ca="1">_xll.ciqfunctions.udf.CIQ($AT57, "IQ_MARKETCAP",Current_Date)/_xll.ciqfunctions.udf.CIQ($AT57, "IQ_NI_EST",IQ_FY+1)</f>
        <v>#NAME?</v>
      </c>
    </row>
    <row r="58" spans="2:66" ht="15" hidden="1" outlineLevel="1" thickBot="1">
      <c r="C58" s="3"/>
      <c r="D58" s="23"/>
      <c r="E58" s="23"/>
      <c r="F58" s="189"/>
      <c r="G58" s="189"/>
      <c r="H58" s="189"/>
      <c r="I58" s="189"/>
      <c r="J58" s="189"/>
      <c r="K58" s="189"/>
      <c r="L58" s="189"/>
      <c r="M58" s="189"/>
      <c r="N58" s="189"/>
      <c r="O58" s="189"/>
      <c r="P58" s="189"/>
      <c r="Q58" s="189"/>
      <c r="R58" s="189"/>
      <c r="S58" s="435"/>
      <c r="T58" s="189"/>
      <c r="U58" s="189"/>
      <c r="V58" s="189"/>
      <c r="W58" s="23"/>
      <c r="Y58" s="163"/>
      <c r="Z58" s="23"/>
      <c r="AA58" s="23"/>
      <c r="AB58" s="189"/>
      <c r="AC58" s="189"/>
      <c r="AD58" s="189"/>
      <c r="AE58" s="189"/>
      <c r="AF58" s="189"/>
      <c r="AG58" s="189"/>
      <c r="AH58" s="189"/>
      <c r="AI58" s="189"/>
      <c r="AJ58" s="189"/>
      <c r="AK58" s="189"/>
      <c r="AL58" s="189"/>
      <c r="AM58" s="189"/>
      <c r="AN58" s="189"/>
      <c r="AO58" s="435"/>
      <c r="AP58" s="189"/>
      <c r="AQ58" s="189"/>
      <c r="AR58" s="189"/>
      <c r="AU58" s="163"/>
      <c r="AV58" s="23"/>
      <c r="AW58" s="23"/>
      <c r="AX58" s="189"/>
      <c r="AY58" s="189"/>
      <c r="AZ58" s="189"/>
      <c r="BA58" s="189"/>
      <c r="BB58" s="189"/>
      <c r="BC58" s="189"/>
      <c r="BD58" s="189"/>
      <c r="BE58" s="189"/>
      <c r="BF58" s="189"/>
      <c r="BG58" s="189"/>
      <c r="BH58" s="189"/>
      <c r="BI58" s="189"/>
      <c r="BJ58" s="189"/>
      <c r="BK58" s="435"/>
      <c r="BL58" s="189"/>
      <c r="BM58" s="189"/>
      <c r="BN58" s="189"/>
    </row>
    <row r="59" spans="2:66" hidden="1" outlineLevel="1">
      <c r="C59" s="3"/>
      <c r="D59" s="680" t="str">
        <f>D18</f>
        <v>High</v>
      </c>
      <c r="E59" s="681"/>
      <c r="F59" s="682"/>
      <c r="G59" s="683">
        <f>MAX(G53:G57)</f>
        <v>12504.719735000001</v>
      </c>
      <c r="H59" s="683">
        <f>MAX(H53:H57)</f>
        <v>0</v>
      </c>
      <c r="I59" s="684">
        <f t="shared" ref="I59:V59" si="28">MAX(I53:I57)</f>
        <v>0.39754</v>
      </c>
      <c r="J59" s="684">
        <f t="shared" si="28"/>
        <v>0.24366867719508245</v>
      </c>
      <c r="K59" s="684" t="e">
        <f t="shared" si="28"/>
        <v>#VALUE!</v>
      </c>
      <c r="L59" s="684">
        <f t="shared" si="28"/>
        <v>0.50156639620951826</v>
      </c>
      <c r="M59" s="684" t="e">
        <f t="shared" si="28"/>
        <v>#VALUE!</v>
      </c>
      <c r="N59" s="684">
        <f t="shared" si="28"/>
        <v>0.25533085061058625</v>
      </c>
      <c r="O59" s="684">
        <f t="shared" si="28"/>
        <v>0.15998699999999999</v>
      </c>
      <c r="P59" s="684">
        <f t="shared" si="28"/>
        <v>0.17458136456358694</v>
      </c>
      <c r="Q59" s="685">
        <f t="shared" si="28"/>
        <v>0</v>
      </c>
      <c r="R59" s="686">
        <f t="shared" si="28"/>
        <v>0</v>
      </c>
      <c r="S59" s="686">
        <f t="shared" si="28"/>
        <v>0</v>
      </c>
      <c r="T59" s="686">
        <f t="shared" si="28"/>
        <v>0</v>
      </c>
      <c r="U59" s="686">
        <f t="shared" si="28"/>
        <v>39.4063571092804</v>
      </c>
      <c r="V59" s="687">
        <f t="shared" si="28"/>
        <v>30.458079901043245</v>
      </c>
      <c r="W59" s="23"/>
      <c r="Y59" s="163"/>
      <c r="Z59" s="680" t="str">
        <f>Z18</f>
        <v>High</v>
      </c>
      <c r="AA59" s="681"/>
      <c r="AB59" s="682"/>
      <c r="AC59" s="683" t="e">
        <f ca="1">MAX(AC53:AC57)</f>
        <v>#NAME?</v>
      </c>
      <c r="AD59" s="683" t="e">
        <f ca="1">MAX(AD53:AD57)</f>
        <v>#NAME?</v>
      </c>
      <c r="AE59" s="684" t="e">
        <f t="shared" ref="AE59:AR59" ca="1" si="29">MAX(AE53:AE57)</f>
        <v>#NAME?</v>
      </c>
      <c r="AF59" s="684" t="e">
        <f t="shared" ca="1" si="29"/>
        <v>#NAME?</v>
      </c>
      <c r="AG59" s="684" t="e">
        <f t="shared" ca="1" si="29"/>
        <v>#NAME?</v>
      </c>
      <c r="AH59" s="684" t="e">
        <f t="shared" ca="1" si="29"/>
        <v>#NAME?</v>
      </c>
      <c r="AI59" s="684" t="e">
        <f t="shared" ca="1" si="29"/>
        <v>#NAME?</v>
      </c>
      <c r="AJ59" s="684" t="e">
        <f t="shared" ca="1" si="29"/>
        <v>#NAME?</v>
      </c>
      <c r="AK59" s="684" t="e">
        <f t="shared" ca="1" si="29"/>
        <v>#NAME?</v>
      </c>
      <c r="AL59" s="684" t="e">
        <f t="shared" ca="1" si="29"/>
        <v>#NAME?</v>
      </c>
      <c r="AM59" s="685" t="e">
        <f t="shared" ca="1" si="29"/>
        <v>#NAME?</v>
      </c>
      <c r="AN59" s="686" t="e">
        <f t="shared" ca="1" si="29"/>
        <v>#NAME?</v>
      </c>
      <c r="AO59" s="686" t="e">
        <f t="shared" ca="1" si="29"/>
        <v>#NAME?</v>
      </c>
      <c r="AP59" s="686" t="e">
        <f t="shared" ca="1" si="29"/>
        <v>#NAME?</v>
      </c>
      <c r="AQ59" s="686" t="e">
        <f t="shared" ca="1" si="29"/>
        <v>#NAME?</v>
      </c>
      <c r="AR59" s="687" t="e">
        <f t="shared" ca="1" si="29"/>
        <v>#NAME?</v>
      </c>
      <c r="AU59" s="163"/>
      <c r="AV59" s="680" t="str">
        <f>AV18</f>
        <v>High</v>
      </c>
      <c r="AW59" s="681"/>
      <c r="AX59" s="682"/>
      <c r="AY59" s="683" t="e">
        <f ca="1">MAX(AY53:AY57)</f>
        <v>#NAME?</v>
      </c>
      <c r="AZ59" s="683" t="e">
        <f ca="1">MAX(AZ53:AZ57)</f>
        <v>#NAME?</v>
      </c>
      <c r="BA59" s="684" t="e">
        <f t="shared" ref="BA59:BN59" ca="1" si="30">MAX(BA53:BA57)</f>
        <v>#NAME?</v>
      </c>
      <c r="BB59" s="684" t="e">
        <f t="shared" ca="1" si="30"/>
        <v>#NAME?</v>
      </c>
      <c r="BC59" s="684" t="e">
        <f t="shared" ca="1" si="30"/>
        <v>#NAME?</v>
      </c>
      <c r="BD59" s="684" t="e">
        <f t="shared" ca="1" si="30"/>
        <v>#NAME?</v>
      </c>
      <c r="BE59" s="684" t="e">
        <f t="shared" ca="1" si="30"/>
        <v>#NAME?</v>
      </c>
      <c r="BF59" s="684" t="e">
        <f t="shared" ca="1" si="30"/>
        <v>#NAME?</v>
      </c>
      <c r="BG59" s="684" t="e">
        <f t="shared" ca="1" si="30"/>
        <v>#NAME?</v>
      </c>
      <c r="BH59" s="684" t="e">
        <f t="shared" ca="1" si="30"/>
        <v>#NAME?</v>
      </c>
      <c r="BI59" s="685" t="e">
        <f t="shared" ca="1" si="30"/>
        <v>#NAME?</v>
      </c>
      <c r="BJ59" s="686" t="e">
        <f t="shared" ca="1" si="30"/>
        <v>#NAME?</v>
      </c>
      <c r="BK59" s="686" t="e">
        <f t="shared" ca="1" si="30"/>
        <v>#NAME?</v>
      </c>
      <c r="BL59" s="686" t="e">
        <f t="shared" ca="1" si="30"/>
        <v>#NAME?</v>
      </c>
      <c r="BM59" s="686" t="e">
        <f t="shared" ca="1" si="30"/>
        <v>#NAME?</v>
      </c>
      <c r="BN59" s="687" t="e">
        <f t="shared" ca="1" si="30"/>
        <v>#NAME?</v>
      </c>
    </row>
    <row r="60" spans="2:66" hidden="1" outlineLevel="1">
      <c r="C60" s="3"/>
      <c r="D60" s="688" t="str">
        <f>D19</f>
        <v>Mean</v>
      </c>
      <c r="E60" s="436"/>
      <c r="F60" s="689"/>
      <c r="G60" s="690">
        <f>AVERAGE(G53:G57)</f>
        <v>6757.5775582499991</v>
      </c>
      <c r="H60" s="690">
        <f>AVERAGE(H53:H57)</f>
        <v>0</v>
      </c>
      <c r="I60" s="691">
        <f t="shared" ref="I60:V60" si="31">AVERAGE(I53:I57)</f>
        <v>0.27973550000000003</v>
      </c>
      <c r="J60" s="691">
        <f t="shared" si="31"/>
        <v>0.15371946884740895</v>
      </c>
      <c r="K60" s="691" t="e">
        <f t="shared" si="31"/>
        <v>#VALUE!</v>
      </c>
      <c r="L60" s="691">
        <f t="shared" si="31"/>
        <v>0.38860086655635484</v>
      </c>
      <c r="M60" s="691" t="e">
        <f t="shared" si="31"/>
        <v>#VALUE!</v>
      </c>
      <c r="N60" s="691">
        <f t="shared" si="31"/>
        <v>0.21212943020971053</v>
      </c>
      <c r="O60" s="691">
        <f t="shared" si="31"/>
        <v>0.11389425</v>
      </c>
      <c r="P60" s="691">
        <f t="shared" si="31"/>
        <v>0.15923037262177558</v>
      </c>
      <c r="Q60" s="692">
        <f t="shared" si="31"/>
        <v>0</v>
      </c>
      <c r="R60" s="693">
        <f t="shared" si="31"/>
        <v>0</v>
      </c>
      <c r="S60" s="693">
        <f t="shared" si="31"/>
        <v>0</v>
      </c>
      <c r="T60" s="693">
        <f t="shared" si="31"/>
        <v>0</v>
      </c>
      <c r="U60" s="693">
        <f t="shared" si="31"/>
        <v>32.464007249707429</v>
      </c>
      <c r="V60" s="694">
        <f t="shared" si="31"/>
        <v>19.862022983102584</v>
      </c>
      <c r="W60" s="23"/>
      <c r="Y60" s="163"/>
      <c r="Z60" s="688" t="str">
        <f>Z19</f>
        <v>Mean</v>
      </c>
      <c r="AA60" s="436"/>
      <c r="AB60" s="689"/>
      <c r="AC60" s="690" t="e">
        <f ca="1">AVERAGE(AC53:AC57)</f>
        <v>#NAME?</v>
      </c>
      <c r="AD60" s="690" t="e">
        <f ca="1">AVERAGE(AD53:AD57)</f>
        <v>#NAME?</v>
      </c>
      <c r="AE60" s="691" t="e">
        <f t="shared" ref="AE60:AR60" ca="1" si="32">AVERAGE(AE53:AE57)</f>
        <v>#NAME?</v>
      </c>
      <c r="AF60" s="691" t="e">
        <f t="shared" ca="1" si="32"/>
        <v>#NAME?</v>
      </c>
      <c r="AG60" s="691" t="e">
        <f t="shared" ca="1" si="32"/>
        <v>#NAME?</v>
      </c>
      <c r="AH60" s="691" t="e">
        <f t="shared" ca="1" si="32"/>
        <v>#NAME?</v>
      </c>
      <c r="AI60" s="691" t="e">
        <f t="shared" ca="1" si="32"/>
        <v>#NAME?</v>
      </c>
      <c r="AJ60" s="691" t="e">
        <f t="shared" ca="1" si="32"/>
        <v>#NAME?</v>
      </c>
      <c r="AK60" s="691" t="e">
        <f t="shared" ca="1" si="32"/>
        <v>#NAME?</v>
      </c>
      <c r="AL60" s="691" t="e">
        <f t="shared" ca="1" si="32"/>
        <v>#NAME?</v>
      </c>
      <c r="AM60" s="692" t="e">
        <f t="shared" ca="1" si="32"/>
        <v>#NAME?</v>
      </c>
      <c r="AN60" s="693" t="e">
        <f t="shared" ca="1" si="32"/>
        <v>#NAME?</v>
      </c>
      <c r="AO60" s="693" t="e">
        <f t="shared" ca="1" si="32"/>
        <v>#NAME?</v>
      </c>
      <c r="AP60" s="693" t="e">
        <f t="shared" ca="1" si="32"/>
        <v>#NAME?</v>
      </c>
      <c r="AQ60" s="693" t="e">
        <f t="shared" ca="1" si="32"/>
        <v>#NAME?</v>
      </c>
      <c r="AR60" s="694" t="e">
        <f t="shared" ca="1" si="32"/>
        <v>#NAME?</v>
      </c>
      <c r="AU60" s="163"/>
      <c r="AV60" s="688" t="str">
        <f>AV19</f>
        <v>Mean</v>
      </c>
      <c r="AW60" s="436"/>
      <c r="AX60" s="689"/>
      <c r="AY60" s="690" t="e">
        <f ca="1">AVERAGE(AY53:AY57)</f>
        <v>#NAME?</v>
      </c>
      <c r="AZ60" s="690" t="e">
        <f ca="1">AVERAGE(AZ53:AZ57)</f>
        <v>#NAME?</v>
      </c>
      <c r="BA60" s="691" t="e">
        <f t="shared" ref="BA60:BN60" ca="1" si="33">AVERAGE(BA53:BA57)</f>
        <v>#NAME?</v>
      </c>
      <c r="BB60" s="691" t="e">
        <f t="shared" ca="1" si="33"/>
        <v>#NAME?</v>
      </c>
      <c r="BC60" s="691" t="e">
        <f t="shared" ca="1" si="33"/>
        <v>#NAME?</v>
      </c>
      <c r="BD60" s="691" t="e">
        <f t="shared" ca="1" si="33"/>
        <v>#NAME?</v>
      </c>
      <c r="BE60" s="691" t="e">
        <f t="shared" ca="1" si="33"/>
        <v>#NAME?</v>
      </c>
      <c r="BF60" s="691" t="e">
        <f t="shared" ca="1" si="33"/>
        <v>#NAME?</v>
      </c>
      <c r="BG60" s="691" t="e">
        <f t="shared" ca="1" si="33"/>
        <v>#NAME?</v>
      </c>
      <c r="BH60" s="691" t="e">
        <f t="shared" ca="1" si="33"/>
        <v>#NAME?</v>
      </c>
      <c r="BI60" s="692" t="e">
        <f t="shared" ca="1" si="33"/>
        <v>#NAME?</v>
      </c>
      <c r="BJ60" s="693" t="e">
        <f t="shared" ca="1" si="33"/>
        <v>#NAME?</v>
      </c>
      <c r="BK60" s="693" t="e">
        <f t="shared" ca="1" si="33"/>
        <v>#NAME?</v>
      </c>
      <c r="BL60" s="693" t="e">
        <f t="shared" ca="1" si="33"/>
        <v>#NAME?</v>
      </c>
      <c r="BM60" s="693" t="e">
        <f t="shared" ca="1" si="33"/>
        <v>#NAME?</v>
      </c>
      <c r="BN60" s="694" t="e">
        <f t="shared" ca="1" si="33"/>
        <v>#NAME?</v>
      </c>
    </row>
    <row r="61" spans="2:66" hidden="1" outlineLevel="1">
      <c r="C61" s="3"/>
      <c r="D61" s="688" t="str">
        <f>D20</f>
        <v>Median</v>
      </c>
      <c r="E61" s="436"/>
      <c r="F61" s="436"/>
      <c r="G61" s="690">
        <f>MEDIAN(G53:G57)</f>
        <v>5179.3942834999998</v>
      </c>
      <c r="H61" s="690">
        <f>MEDIAN(H53:H57)</f>
        <v>0</v>
      </c>
      <c r="I61" s="691">
        <f>MEDIAN(I53:I57)</f>
        <v>0.25543349999999998</v>
      </c>
      <c r="J61" s="691">
        <f t="shared" ref="J61:V61" si="34">MEDIAN(J53:J57)</f>
        <v>0.16734916638576558</v>
      </c>
      <c r="K61" s="691" t="e">
        <f t="shared" si="34"/>
        <v>#VALUE!</v>
      </c>
      <c r="L61" s="691">
        <f t="shared" si="34"/>
        <v>0.40478133988599929</v>
      </c>
      <c r="M61" s="691" t="e">
        <f t="shared" si="34"/>
        <v>#VALUE!</v>
      </c>
      <c r="N61" s="691">
        <f t="shared" si="34"/>
        <v>0.20989496315912681</v>
      </c>
      <c r="O61" s="691">
        <f t="shared" si="34"/>
        <v>0.102793</v>
      </c>
      <c r="P61" s="691">
        <f t="shared" si="34"/>
        <v>0.16679263343466197</v>
      </c>
      <c r="Q61" s="692">
        <f t="shared" si="34"/>
        <v>0</v>
      </c>
      <c r="R61" s="693">
        <f t="shared" si="34"/>
        <v>0</v>
      </c>
      <c r="S61" s="693">
        <f t="shared" si="34"/>
        <v>0</v>
      </c>
      <c r="T61" s="693">
        <f t="shared" si="34"/>
        <v>0</v>
      </c>
      <c r="U61" s="693">
        <f t="shared" si="34"/>
        <v>34.91886195000825</v>
      </c>
      <c r="V61" s="694">
        <f t="shared" si="34"/>
        <v>18.359811117452729</v>
      </c>
      <c r="W61" s="23"/>
      <c r="Y61" s="163"/>
      <c r="Z61" s="688" t="str">
        <f>Z20</f>
        <v>Median</v>
      </c>
      <c r="AA61" s="436"/>
      <c r="AB61" s="436"/>
      <c r="AC61" s="690" t="e">
        <f ca="1">MEDIAN(AC53:AC57)</f>
        <v>#NAME?</v>
      </c>
      <c r="AD61" s="690" t="e">
        <f ca="1">MEDIAN(AD53:AD57)</f>
        <v>#NAME?</v>
      </c>
      <c r="AE61" s="691" t="e">
        <f ca="1">MEDIAN(AE53:AE57)</f>
        <v>#NAME?</v>
      </c>
      <c r="AF61" s="691" t="e">
        <f t="shared" ref="AF61:AR61" ca="1" si="35">MEDIAN(AF53:AF57)</f>
        <v>#NAME?</v>
      </c>
      <c r="AG61" s="691" t="e">
        <f t="shared" ca="1" si="35"/>
        <v>#NAME?</v>
      </c>
      <c r="AH61" s="691" t="e">
        <f t="shared" ca="1" si="35"/>
        <v>#NAME?</v>
      </c>
      <c r="AI61" s="691" t="e">
        <f t="shared" ca="1" si="35"/>
        <v>#NAME?</v>
      </c>
      <c r="AJ61" s="691" t="e">
        <f t="shared" ca="1" si="35"/>
        <v>#NAME?</v>
      </c>
      <c r="AK61" s="691" t="e">
        <f t="shared" ca="1" si="35"/>
        <v>#NAME?</v>
      </c>
      <c r="AL61" s="691" t="e">
        <f t="shared" ca="1" si="35"/>
        <v>#NAME?</v>
      </c>
      <c r="AM61" s="692" t="e">
        <f t="shared" ca="1" si="35"/>
        <v>#NAME?</v>
      </c>
      <c r="AN61" s="693" t="e">
        <f t="shared" ca="1" si="35"/>
        <v>#NAME?</v>
      </c>
      <c r="AO61" s="693" t="e">
        <f t="shared" ca="1" si="35"/>
        <v>#NAME?</v>
      </c>
      <c r="AP61" s="693" t="e">
        <f t="shared" ca="1" si="35"/>
        <v>#NAME?</v>
      </c>
      <c r="AQ61" s="693" t="e">
        <f t="shared" ca="1" si="35"/>
        <v>#NAME?</v>
      </c>
      <c r="AR61" s="694" t="e">
        <f t="shared" ca="1" si="35"/>
        <v>#NAME?</v>
      </c>
      <c r="AU61" s="163"/>
      <c r="AV61" s="688" t="str">
        <f>AV20</f>
        <v>Median</v>
      </c>
      <c r="AW61" s="436"/>
      <c r="AX61" s="436"/>
      <c r="AY61" s="690" t="e">
        <f ca="1">MEDIAN(AY53:AY57)</f>
        <v>#NAME?</v>
      </c>
      <c r="AZ61" s="690" t="e">
        <f ca="1">MEDIAN(AZ53:AZ57)</f>
        <v>#NAME?</v>
      </c>
      <c r="BA61" s="691" t="e">
        <f ca="1">MEDIAN(BA53:BA57)</f>
        <v>#NAME?</v>
      </c>
      <c r="BB61" s="691" t="e">
        <f t="shared" ref="BB61:BN61" ca="1" si="36">MEDIAN(BB53:BB57)</f>
        <v>#NAME?</v>
      </c>
      <c r="BC61" s="691" t="e">
        <f t="shared" ca="1" si="36"/>
        <v>#NAME?</v>
      </c>
      <c r="BD61" s="691" t="e">
        <f t="shared" ca="1" si="36"/>
        <v>#NAME?</v>
      </c>
      <c r="BE61" s="691" t="e">
        <f t="shared" ca="1" si="36"/>
        <v>#NAME?</v>
      </c>
      <c r="BF61" s="691" t="e">
        <f t="shared" ca="1" si="36"/>
        <v>#NAME?</v>
      </c>
      <c r="BG61" s="691" t="e">
        <f t="shared" ca="1" si="36"/>
        <v>#NAME?</v>
      </c>
      <c r="BH61" s="691" t="e">
        <f t="shared" ca="1" si="36"/>
        <v>#NAME?</v>
      </c>
      <c r="BI61" s="692" t="e">
        <f t="shared" ca="1" si="36"/>
        <v>#NAME?</v>
      </c>
      <c r="BJ61" s="693" t="e">
        <f t="shared" ca="1" si="36"/>
        <v>#NAME?</v>
      </c>
      <c r="BK61" s="693" t="e">
        <f t="shared" ca="1" si="36"/>
        <v>#NAME?</v>
      </c>
      <c r="BL61" s="693" t="e">
        <f t="shared" ca="1" si="36"/>
        <v>#NAME?</v>
      </c>
      <c r="BM61" s="693" t="e">
        <f t="shared" ca="1" si="36"/>
        <v>#NAME?</v>
      </c>
      <c r="BN61" s="694" t="e">
        <f t="shared" ca="1" si="36"/>
        <v>#NAME?</v>
      </c>
    </row>
    <row r="62" spans="2:66" ht="15" hidden="1" outlineLevel="1" thickBot="1">
      <c r="C62" s="3"/>
      <c r="D62" s="695" t="str">
        <f>D21</f>
        <v>Low</v>
      </c>
      <c r="E62" s="437"/>
      <c r="F62" s="437"/>
      <c r="G62" s="696">
        <f>MIN(G53:G57)</f>
        <v>4166.801931</v>
      </c>
      <c r="H62" s="696">
        <f>MIN(H53:H57)</f>
        <v>0</v>
      </c>
      <c r="I62" s="697">
        <f t="shared" ref="I62:V62" si="37">MIN(I53:I57)</f>
        <v>0.210535</v>
      </c>
      <c r="J62" s="697">
        <f t="shared" si="37"/>
        <v>3.6510865423022176E-2</v>
      </c>
      <c r="K62" s="697" t="e">
        <f t="shared" si="37"/>
        <v>#VALUE!</v>
      </c>
      <c r="L62" s="697">
        <f t="shared" si="37"/>
        <v>0.24327439024390252</v>
      </c>
      <c r="M62" s="697" t="e">
        <f t="shared" si="37"/>
        <v>#VALUE!</v>
      </c>
      <c r="N62" s="697">
        <f t="shared" si="37"/>
        <v>0.17339694391000232</v>
      </c>
      <c r="O62" s="697">
        <f t="shared" si="37"/>
        <v>9.0004000000000015E-2</v>
      </c>
      <c r="P62" s="697">
        <f t="shared" si="37"/>
        <v>0.1287548590541914</v>
      </c>
      <c r="Q62" s="698">
        <f t="shared" si="37"/>
        <v>0</v>
      </c>
      <c r="R62" s="699">
        <f t="shared" si="37"/>
        <v>0</v>
      </c>
      <c r="S62" s="699">
        <f t="shared" si="37"/>
        <v>0</v>
      </c>
      <c r="T62" s="699">
        <f t="shared" si="37"/>
        <v>0</v>
      </c>
      <c r="U62" s="699">
        <f t="shared" si="37"/>
        <v>20.611947989532801</v>
      </c>
      <c r="V62" s="700">
        <f t="shared" si="37"/>
        <v>12.270389796461638</v>
      </c>
      <c r="W62" s="23"/>
      <c r="Y62" s="163"/>
      <c r="Z62" s="695" t="str">
        <f>Z21</f>
        <v>Low</v>
      </c>
      <c r="AA62" s="437"/>
      <c r="AB62" s="437"/>
      <c r="AC62" s="696" t="e">
        <f ca="1">MIN(AC53:AC57)</f>
        <v>#NAME?</v>
      </c>
      <c r="AD62" s="696" t="e">
        <f ca="1">MIN(AD53:AD57)</f>
        <v>#NAME?</v>
      </c>
      <c r="AE62" s="697" t="e">
        <f t="shared" ref="AE62:AR62" ca="1" si="38">MIN(AE53:AE57)</f>
        <v>#NAME?</v>
      </c>
      <c r="AF62" s="697" t="e">
        <f t="shared" ca="1" si="38"/>
        <v>#NAME?</v>
      </c>
      <c r="AG62" s="697" t="e">
        <f t="shared" ca="1" si="38"/>
        <v>#NAME?</v>
      </c>
      <c r="AH62" s="697" t="e">
        <f t="shared" ca="1" si="38"/>
        <v>#NAME?</v>
      </c>
      <c r="AI62" s="697" t="e">
        <f t="shared" ca="1" si="38"/>
        <v>#NAME?</v>
      </c>
      <c r="AJ62" s="697" t="e">
        <f t="shared" ca="1" si="38"/>
        <v>#NAME?</v>
      </c>
      <c r="AK62" s="697" t="e">
        <f t="shared" ca="1" si="38"/>
        <v>#NAME?</v>
      </c>
      <c r="AL62" s="697" t="e">
        <f t="shared" ca="1" si="38"/>
        <v>#NAME?</v>
      </c>
      <c r="AM62" s="698" t="e">
        <f t="shared" ca="1" si="38"/>
        <v>#NAME?</v>
      </c>
      <c r="AN62" s="699" t="e">
        <f t="shared" ca="1" si="38"/>
        <v>#NAME?</v>
      </c>
      <c r="AO62" s="699" t="e">
        <f t="shared" ca="1" si="38"/>
        <v>#NAME?</v>
      </c>
      <c r="AP62" s="699" t="e">
        <f t="shared" ca="1" si="38"/>
        <v>#NAME?</v>
      </c>
      <c r="AQ62" s="699" t="e">
        <f t="shared" ca="1" si="38"/>
        <v>#NAME?</v>
      </c>
      <c r="AR62" s="700" t="e">
        <f t="shared" ca="1" si="38"/>
        <v>#NAME?</v>
      </c>
      <c r="AU62" s="163"/>
      <c r="AV62" s="695" t="str">
        <f>AV21</f>
        <v>Low</v>
      </c>
      <c r="AW62" s="437"/>
      <c r="AX62" s="437"/>
      <c r="AY62" s="696" t="e">
        <f ca="1">MIN(AY53:AY57)</f>
        <v>#NAME?</v>
      </c>
      <c r="AZ62" s="696" t="e">
        <f ca="1">MIN(AZ53:AZ57)</f>
        <v>#NAME?</v>
      </c>
      <c r="BA62" s="697" t="e">
        <f t="shared" ref="BA62:BN62" ca="1" si="39">MIN(BA53:BA57)</f>
        <v>#NAME?</v>
      </c>
      <c r="BB62" s="697" t="e">
        <f t="shared" ca="1" si="39"/>
        <v>#NAME?</v>
      </c>
      <c r="BC62" s="697" t="e">
        <f t="shared" ca="1" si="39"/>
        <v>#NAME?</v>
      </c>
      <c r="BD62" s="697" t="e">
        <f t="shared" ca="1" si="39"/>
        <v>#NAME?</v>
      </c>
      <c r="BE62" s="697" t="e">
        <f t="shared" ca="1" si="39"/>
        <v>#NAME?</v>
      </c>
      <c r="BF62" s="697" t="e">
        <f t="shared" ca="1" si="39"/>
        <v>#NAME?</v>
      </c>
      <c r="BG62" s="697" t="e">
        <f t="shared" ca="1" si="39"/>
        <v>#NAME?</v>
      </c>
      <c r="BH62" s="697" t="e">
        <f t="shared" ca="1" si="39"/>
        <v>#NAME?</v>
      </c>
      <c r="BI62" s="698" t="e">
        <f t="shared" ca="1" si="39"/>
        <v>#NAME?</v>
      </c>
      <c r="BJ62" s="699" t="e">
        <f t="shared" ca="1" si="39"/>
        <v>#NAME?</v>
      </c>
      <c r="BK62" s="699" t="e">
        <f t="shared" ca="1" si="39"/>
        <v>#NAME?</v>
      </c>
      <c r="BL62" s="699" t="e">
        <f t="shared" ca="1" si="39"/>
        <v>#NAME?</v>
      </c>
      <c r="BM62" s="699" t="e">
        <f t="shared" ca="1" si="39"/>
        <v>#NAME?</v>
      </c>
      <c r="BN62" s="700" t="e">
        <f t="shared" ca="1" si="39"/>
        <v>#NAME?</v>
      </c>
    </row>
    <row r="63" spans="2:66" hidden="1" outlineLevel="1">
      <c r="B63" s="163"/>
      <c r="C63" s="163"/>
      <c r="D63" s="23"/>
      <c r="E63" s="23"/>
      <c r="F63" s="23"/>
      <c r="G63" s="23"/>
      <c r="H63" s="23"/>
      <c r="I63" s="23"/>
      <c r="J63" s="23"/>
      <c r="K63" s="23"/>
      <c r="L63" s="23"/>
      <c r="M63" s="23"/>
      <c r="N63" s="23"/>
      <c r="O63" s="23"/>
      <c r="P63" s="23"/>
      <c r="Q63" s="23"/>
      <c r="R63" s="23"/>
      <c r="S63" s="23"/>
      <c r="T63" s="23"/>
      <c r="U63" s="23"/>
      <c r="V63" s="23"/>
      <c r="W63" s="23"/>
      <c r="Y63" s="163"/>
      <c r="Z63" s="23"/>
      <c r="AA63" s="23"/>
      <c r="AB63" s="23"/>
      <c r="AC63" s="23"/>
      <c r="AD63" s="23"/>
      <c r="AE63" s="23"/>
      <c r="AF63" s="23"/>
      <c r="AG63" s="23"/>
      <c r="AH63" s="23"/>
      <c r="AI63" s="23"/>
      <c r="AJ63" s="23"/>
      <c r="AK63" s="23"/>
      <c r="AL63" s="23"/>
      <c r="AM63" s="23"/>
      <c r="AN63" s="23"/>
      <c r="AO63" s="23"/>
      <c r="AP63" s="23"/>
      <c r="AQ63" s="23"/>
      <c r="AR63" s="23"/>
      <c r="AU63" s="163"/>
      <c r="AV63" s="23"/>
      <c r="AW63" s="23"/>
      <c r="AX63" s="23"/>
      <c r="AY63" s="23"/>
      <c r="AZ63" s="23"/>
      <c r="BA63" s="23"/>
      <c r="BB63" s="23"/>
      <c r="BC63" s="23"/>
      <c r="BD63" s="23"/>
      <c r="BE63" s="23"/>
      <c r="BF63" s="23"/>
      <c r="BG63" s="23"/>
      <c r="BH63" s="23"/>
      <c r="BI63" s="23"/>
      <c r="BJ63" s="23"/>
      <c r="BK63" s="23"/>
      <c r="BL63" s="23"/>
      <c r="BM63" s="23"/>
      <c r="BN63" s="23"/>
    </row>
    <row r="64" spans="2:66" hidden="1" outlineLevel="1">
      <c r="B64" s="163"/>
      <c r="C64" s="163"/>
      <c r="D64" s="11"/>
      <c r="E64" s="11"/>
      <c r="F64" s="163"/>
      <c r="G64" s="613"/>
      <c r="H64" s="613"/>
      <c r="I64" s="613"/>
      <c r="J64" s="613"/>
      <c r="K64" s="613"/>
      <c r="L64" s="613"/>
      <c r="M64" s="613"/>
      <c r="N64" s="613"/>
      <c r="O64" s="613"/>
      <c r="P64" s="613"/>
      <c r="Q64" s="613"/>
      <c r="R64" s="613"/>
      <c r="S64" s="548"/>
      <c r="T64" s="613"/>
      <c r="U64" s="613"/>
      <c r="V64" s="613"/>
      <c r="W64" s="23"/>
      <c r="Y64" s="163"/>
      <c r="Z64" s="11"/>
      <c r="AA64" s="11"/>
      <c r="AB64" s="163"/>
      <c r="AC64" s="613"/>
      <c r="AD64" s="613"/>
      <c r="AE64" s="613"/>
      <c r="AF64" s="613"/>
      <c r="AG64" s="613"/>
      <c r="AH64" s="613"/>
      <c r="AI64" s="613"/>
      <c r="AJ64" s="613"/>
      <c r="AK64" s="613"/>
      <c r="AL64" s="613"/>
      <c r="AM64" s="613"/>
      <c r="AN64" s="613"/>
      <c r="AO64" s="548"/>
      <c r="AP64" s="613"/>
      <c r="AQ64" s="613"/>
      <c r="AR64" s="613"/>
      <c r="AU64" s="163"/>
      <c r="AV64" s="11"/>
      <c r="AW64" s="11"/>
      <c r="AX64" s="163"/>
      <c r="AY64" s="613"/>
      <c r="AZ64" s="613"/>
      <c r="BA64" s="613"/>
      <c r="BB64" s="613"/>
      <c r="BC64" s="613"/>
      <c r="BD64" s="613"/>
      <c r="BE64" s="613"/>
      <c r="BF64" s="613"/>
      <c r="BG64" s="613"/>
      <c r="BH64" s="613"/>
      <c r="BI64" s="613"/>
      <c r="BJ64" s="613"/>
      <c r="BK64" s="548"/>
      <c r="BL64" s="613"/>
      <c r="BM64" s="613"/>
      <c r="BN64" s="613"/>
    </row>
    <row r="65" spans="2:66" ht="16.5" hidden="1" outlineLevel="1">
      <c r="B65" s="163"/>
      <c r="C65" s="163"/>
      <c r="D65" s="630" t="str">
        <f>D23</f>
        <v>Company</v>
      </c>
      <c r="E65" s="630"/>
      <c r="F65" s="630"/>
      <c r="G65" s="630" t="str">
        <f>G23</f>
        <v>General Statistics</v>
      </c>
      <c r="H65" s="630"/>
      <c r="I65" s="630"/>
      <c r="J65" s="630" t="str">
        <f>J23</f>
        <v>Returns Analysis</v>
      </c>
      <c r="K65" s="630"/>
      <c r="L65" s="630"/>
      <c r="M65" s="630" t="str">
        <f>M23</f>
        <v>2026A Leverage Analysis</v>
      </c>
      <c r="N65" s="630"/>
      <c r="O65" s="630"/>
      <c r="P65" s="630" t="str">
        <f>P23</f>
        <v>2026A Coverage Analysis</v>
      </c>
      <c r="Q65" s="630"/>
      <c r="R65" s="630"/>
      <c r="S65" s="630" t="str">
        <f>S23</f>
        <v>Liquidity Profile</v>
      </c>
      <c r="T65" s="630"/>
      <c r="U65" s="630" t="str">
        <f>U23</f>
        <v>Credit Profile</v>
      </c>
      <c r="V65" s="630"/>
      <c r="W65" s="23"/>
      <c r="Y65" s="163"/>
      <c r="Z65" s="630" t="str">
        <f>Z23</f>
        <v>Company</v>
      </c>
      <c r="AA65" s="630"/>
      <c r="AB65" s="630"/>
      <c r="AC65" s="630" t="str">
        <f>AC23</f>
        <v>General Statistics</v>
      </c>
      <c r="AD65" s="630"/>
      <c r="AE65" s="630"/>
      <c r="AF65" s="630" t="str">
        <f>AF23</f>
        <v>Returns Analysis</v>
      </c>
      <c r="AG65" s="630"/>
      <c r="AH65" s="630"/>
      <c r="AI65" s="630" t="str">
        <f>AI23</f>
        <v>2026A Leverage Analysis</v>
      </c>
      <c r="AJ65" s="630"/>
      <c r="AK65" s="630"/>
      <c r="AL65" s="630" t="str">
        <f>AL23</f>
        <v>2026A Coverage Analysis</v>
      </c>
      <c r="AM65" s="630"/>
      <c r="AN65" s="630"/>
      <c r="AO65" s="630" t="str">
        <f>AO23</f>
        <v>Liquidity Profile</v>
      </c>
      <c r="AP65" s="630"/>
      <c r="AQ65" s="630" t="str">
        <f>AQ23</f>
        <v>Credit Profile</v>
      </c>
      <c r="AR65" s="630"/>
      <c r="AU65" s="163"/>
      <c r="AV65" s="630" t="str">
        <f>AV23</f>
        <v>Company</v>
      </c>
      <c r="AW65" s="630"/>
      <c r="AX65" s="630"/>
      <c r="AY65" s="630" t="str">
        <f>AY23</f>
        <v>General Statistics</v>
      </c>
      <c r="AZ65" s="630"/>
      <c r="BA65" s="630"/>
      <c r="BB65" s="630" t="str">
        <f>BB23</f>
        <v>Returns Analysis</v>
      </c>
      <c r="BC65" s="630"/>
      <c r="BD65" s="630"/>
      <c r="BE65" s="630" t="str">
        <f>BE23</f>
        <v>2026A Leverage Analysis</v>
      </c>
      <c r="BF65" s="630"/>
      <c r="BG65" s="630"/>
      <c r="BH65" s="630" t="str">
        <f>BH23</f>
        <v>2026A Coverage Analysis</v>
      </c>
      <c r="BI65" s="630"/>
      <c r="BJ65" s="630"/>
      <c r="BK65" s="630" t="str">
        <f>BK23</f>
        <v>Liquidity Profile</v>
      </c>
      <c r="BL65" s="630"/>
      <c r="BM65" s="630" t="str">
        <f>BM23</f>
        <v>Credit Profile</v>
      </c>
      <c r="BN65" s="630"/>
    </row>
    <row r="66" spans="2:66" ht="16.5" hidden="1" outlineLevel="1">
      <c r="B66" s="163"/>
      <c r="C66" s="163"/>
      <c r="D66" s="23"/>
      <c r="E66" s="23"/>
      <c r="F66" s="23"/>
      <c r="G66" s="23"/>
      <c r="H66" s="23"/>
      <c r="I66" s="23"/>
      <c r="J66" s="23"/>
      <c r="K66" s="23"/>
      <c r="L66" s="23"/>
      <c r="M66" s="630" t="str">
        <f>M24</f>
        <v xml:space="preserve">Total Debt / </v>
      </c>
      <c r="N66" s="630"/>
      <c r="O66" s="630"/>
      <c r="P66" s="23"/>
      <c r="Q66" s="23"/>
      <c r="R66" s="23"/>
      <c r="S66" s="23"/>
      <c r="T66" s="23"/>
      <c r="U66" s="23"/>
      <c r="V66" s="23"/>
      <c r="W66" s="23"/>
      <c r="Y66" s="163"/>
      <c r="Z66" s="23"/>
      <c r="AA66" s="23"/>
      <c r="AB66" s="23"/>
      <c r="AC66" s="23"/>
      <c r="AD66" s="23"/>
      <c r="AE66" s="23"/>
      <c r="AF66" s="23"/>
      <c r="AG66" s="23"/>
      <c r="AH66" s="23"/>
      <c r="AI66" s="630" t="str">
        <f>AI24</f>
        <v xml:space="preserve">Total Debt / </v>
      </c>
      <c r="AJ66" s="630"/>
      <c r="AK66" s="630"/>
      <c r="AL66" s="23"/>
      <c r="AM66" s="23"/>
      <c r="AN66" s="23"/>
      <c r="AO66" s="23"/>
      <c r="AP66" s="23"/>
      <c r="AQ66" s="23"/>
      <c r="AR66" s="23"/>
      <c r="AU66" s="163"/>
      <c r="AV66" s="23"/>
      <c r="AW66" s="23"/>
      <c r="AX66" s="23"/>
      <c r="AY66" s="23"/>
      <c r="AZ66" s="23"/>
      <c r="BA66" s="23"/>
      <c r="BB66" s="23"/>
      <c r="BC66" s="23"/>
      <c r="BD66" s="23"/>
      <c r="BE66" s="630" t="str">
        <f>BE24</f>
        <v xml:space="preserve">Total Debt / </v>
      </c>
      <c r="BF66" s="630"/>
      <c r="BG66" s="630"/>
      <c r="BH66" s="23"/>
      <c r="BI66" s="23"/>
      <c r="BJ66" s="23"/>
      <c r="BK66" s="23"/>
      <c r="BL66" s="23"/>
      <c r="BM66" s="23"/>
      <c r="BN66" s="23"/>
    </row>
    <row r="67" spans="2:66" hidden="1" outlineLevel="1">
      <c r="B67" s="163"/>
      <c r="C67" s="163"/>
      <c r="D67" s="189"/>
      <c r="E67" s="189"/>
      <c r="F67" s="189"/>
      <c r="G67" s="189"/>
      <c r="H67" s="189"/>
      <c r="I67" s="189" t="str">
        <f>I25</f>
        <v>Dividend</v>
      </c>
      <c r="J67" s="189"/>
      <c r="K67" s="189"/>
      <c r="L67" s="189"/>
      <c r="M67" s="189"/>
      <c r="N67" s="189"/>
      <c r="O67" s="189"/>
      <c r="P67" s="189" t="str">
        <f>P25</f>
        <v xml:space="preserve">EBITDA / </v>
      </c>
      <c r="Q67" s="189" t="str">
        <f>Q25</f>
        <v>(EBITDA -</v>
      </c>
      <c r="R67" s="189" t="str">
        <f>R25</f>
        <v xml:space="preserve">EBIT / </v>
      </c>
      <c r="S67" s="189" t="str">
        <f>S25</f>
        <v>Quick</v>
      </c>
      <c r="T67" s="189" t="str">
        <f>T25</f>
        <v>Current</v>
      </c>
      <c r="U67" s="189"/>
      <c r="V67" s="189"/>
      <c r="W67" s="23"/>
      <c r="Y67" s="163"/>
      <c r="Z67" s="189"/>
      <c r="AA67" s="189"/>
      <c r="AB67" s="189"/>
      <c r="AC67" s="189"/>
      <c r="AD67" s="189"/>
      <c r="AE67" s="189" t="str">
        <f>AE25</f>
        <v>Dividend</v>
      </c>
      <c r="AF67" s="189"/>
      <c r="AG67" s="189"/>
      <c r="AH67" s="189"/>
      <c r="AI67" s="189"/>
      <c r="AJ67" s="189"/>
      <c r="AK67" s="189"/>
      <c r="AL67" s="189" t="str">
        <f>AL25</f>
        <v xml:space="preserve">EBITDA / </v>
      </c>
      <c r="AM67" s="189" t="str">
        <f>AM25</f>
        <v>(EBITDA -</v>
      </c>
      <c r="AN67" s="189" t="str">
        <f>AN25</f>
        <v xml:space="preserve">EBIT / </v>
      </c>
      <c r="AO67" s="189" t="str">
        <f>AO25</f>
        <v>Quick</v>
      </c>
      <c r="AP67" s="189" t="str">
        <f>AP25</f>
        <v>Current</v>
      </c>
      <c r="AQ67" s="189"/>
      <c r="AR67" s="189"/>
      <c r="AU67" s="163"/>
      <c r="AV67" s="189"/>
      <c r="AW67" s="189"/>
      <c r="AX67" s="189"/>
      <c r="AY67" s="189"/>
      <c r="AZ67" s="189"/>
      <c r="BA67" s="189" t="str">
        <f>BA25</f>
        <v>Dividend</v>
      </c>
      <c r="BB67" s="189"/>
      <c r="BC67" s="189"/>
      <c r="BD67" s="189"/>
      <c r="BE67" s="189"/>
      <c r="BF67" s="189"/>
      <c r="BG67" s="189"/>
      <c r="BH67" s="189" t="str">
        <f>BH25</f>
        <v xml:space="preserve">EBITDA / </v>
      </c>
      <c r="BI67" s="189" t="str">
        <f>BI25</f>
        <v>(EBITDA -</v>
      </c>
      <c r="BJ67" s="189" t="str">
        <f>BJ25</f>
        <v xml:space="preserve">EBIT / </v>
      </c>
      <c r="BK67" s="189" t="str">
        <f>BK25</f>
        <v>Quick</v>
      </c>
      <c r="BL67" s="189" t="str">
        <f>BL25</f>
        <v>Current</v>
      </c>
      <c r="BM67" s="189"/>
      <c r="BN67" s="189"/>
    </row>
    <row r="68" spans="2:66" ht="16.5" hidden="1" outlineLevel="1">
      <c r="B68" s="163"/>
      <c r="C68" s="163"/>
      <c r="D68" s="49"/>
      <c r="E68" s="189"/>
      <c r="F68" s="632" t="str">
        <f>F26</f>
        <v>Ticker</v>
      </c>
      <c r="G68" s="632" t="str">
        <f t="shared" ref="G68:T68" si="40">G26</f>
        <v>Tax Rate</v>
      </c>
      <c r="H68" s="632" t="str">
        <f t="shared" si="40"/>
        <v>Beta</v>
      </c>
      <c r="I68" s="632" t="str">
        <f t="shared" si="40"/>
        <v>Yield</v>
      </c>
      <c r="J68" s="632" t="str">
        <f t="shared" si="40"/>
        <v>ROIC</v>
      </c>
      <c r="K68" s="632" t="str">
        <f t="shared" si="40"/>
        <v xml:space="preserve">ROE </v>
      </c>
      <c r="L68" s="632" t="str">
        <f t="shared" si="40"/>
        <v>ROA</v>
      </c>
      <c r="M68" s="632" t="str">
        <f t="shared" si="40"/>
        <v>Cap</v>
      </c>
      <c r="N68" s="632" t="str">
        <f t="shared" si="40"/>
        <v>EBITDA</v>
      </c>
      <c r="O68" s="632" t="str">
        <f t="shared" si="40"/>
        <v>Equity</v>
      </c>
      <c r="P68" s="632" t="str">
        <f t="shared" si="40"/>
        <v>Int. Exp.</v>
      </c>
      <c r="Q68" s="632" t="str">
        <f t="shared" si="40"/>
        <v>Capex)/Int.</v>
      </c>
      <c r="R68" s="632" t="str">
        <f t="shared" si="40"/>
        <v>Int. Exp.</v>
      </c>
      <c r="S68" s="632" t="str">
        <f t="shared" si="40"/>
        <v>Ratio</v>
      </c>
      <c r="T68" s="632" t="str">
        <f t="shared" si="40"/>
        <v>Ratio</v>
      </c>
      <c r="U68" s="632" t="s">
        <v>384</v>
      </c>
      <c r="V68" s="632" t="s">
        <v>680</v>
      </c>
      <c r="W68" s="23"/>
      <c r="Y68" s="163"/>
      <c r="Z68" s="49"/>
      <c r="AA68" s="189"/>
      <c r="AB68" s="632" t="str">
        <f>AB26</f>
        <v>Ticker</v>
      </c>
      <c r="AC68" s="632" t="str">
        <f t="shared" ref="AC68:AR68" si="41">AC26</f>
        <v>Tax Rate</v>
      </c>
      <c r="AD68" s="632" t="str">
        <f t="shared" si="41"/>
        <v>Beta</v>
      </c>
      <c r="AE68" s="632" t="str">
        <f t="shared" si="41"/>
        <v>Yield</v>
      </c>
      <c r="AF68" s="632" t="str">
        <f t="shared" si="41"/>
        <v>ROIC</v>
      </c>
      <c r="AG68" s="632" t="str">
        <f t="shared" si="41"/>
        <v xml:space="preserve">ROE </v>
      </c>
      <c r="AH68" s="632" t="str">
        <f t="shared" si="41"/>
        <v>ROA</v>
      </c>
      <c r="AI68" s="632" t="str">
        <f t="shared" si="41"/>
        <v>Cap</v>
      </c>
      <c r="AJ68" s="632" t="str">
        <f t="shared" si="41"/>
        <v>EBITDA</v>
      </c>
      <c r="AK68" s="632" t="str">
        <f t="shared" si="41"/>
        <v>Equity</v>
      </c>
      <c r="AL68" s="632" t="str">
        <f t="shared" si="41"/>
        <v>Int. Exp.</v>
      </c>
      <c r="AM68" s="632" t="str">
        <f t="shared" si="41"/>
        <v>Capex)/Int.</v>
      </c>
      <c r="AN68" s="632" t="str">
        <f t="shared" si="41"/>
        <v>Int. Exp.</v>
      </c>
      <c r="AO68" s="632" t="str">
        <f t="shared" si="41"/>
        <v>Ratio</v>
      </c>
      <c r="AP68" s="632" t="str">
        <f t="shared" si="41"/>
        <v>Ratio</v>
      </c>
      <c r="AQ68" s="632" t="str">
        <f t="shared" si="41"/>
        <v>S&amp;P</v>
      </c>
      <c r="AR68" s="632" t="str">
        <f t="shared" si="41"/>
        <v>Outlook</v>
      </c>
      <c r="AU68" s="163"/>
      <c r="AV68" s="49"/>
      <c r="AW68" s="189"/>
      <c r="AX68" s="632" t="str">
        <f>AX26</f>
        <v>Ticker</v>
      </c>
      <c r="AY68" s="632" t="str">
        <f t="shared" ref="AY68:BN68" si="42">AY26</f>
        <v>Tax Rate</v>
      </c>
      <c r="AZ68" s="632" t="str">
        <f t="shared" si="42"/>
        <v>Beta</v>
      </c>
      <c r="BA68" s="632" t="str">
        <f t="shared" si="42"/>
        <v>Yield</v>
      </c>
      <c r="BB68" s="632" t="str">
        <f t="shared" si="42"/>
        <v>ROIC</v>
      </c>
      <c r="BC68" s="632" t="str">
        <f t="shared" si="42"/>
        <v xml:space="preserve">ROE </v>
      </c>
      <c r="BD68" s="632" t="str">
        <f t="shared" si="42"/>
        <v>ROA</v>
      </c>
      <c r="BE68" s="632" t="str">
        <f t="shared" si="42"/>
        <v>Cap</v>
      </c>
      <c r="BF68" s="632" t="str">
        <f t="shared" si="42"/>
        <v>EBITDA</v>
      </c>
      <c r="BG68" s="632" t="str">
        <f t="shared" si="42"/>
        <v>Equity</v>
      </c>
      <c r="BH68" s="632" t="str">
        <f t="shared" si="42"/>
        <v>Int. Exp.</v>
      </c>
      <c r="BI68" s="632" t="str">
        <f t="shared" si="42"/>
        <v>Capex)/Int.</v>
      </c>
      <c r="BJ68" s="632" t="str">
        <f t="shared" si="42"/>
        <v>Int. Exp.</v>
      </c>
      <c r="BK68" s="632" t="str">
        <f t="shared" si="42"/>
        <v>Ratio</v>
      </c>
      <c r="BL68" s="632" t="str">
        <f t="shared" si="42"/>
        <v>Ratio</v>
      </c>
      <c r="BM68" s="632" t="str">
        <f t="shared" si="42"/>
        <v>S&amp;P</v>
      </c>
      <c r="BN68" s="632" t="str">
        <f t="shared" si="42"/>
        <v>Outlook</v>
      </c>
    </row>
    <row r="69" spans="2:66" ht="5.0999999999999996" hidden="1" customHeight="1" outlineLevel="1">
      <c r="B69" s="163"/>
      <c r="C69" s="163"/>
      <c r="D69" s="189"/>
      <c r="E69" s="189"/>
      <c r="F69" s="189"/>
      <c r="G69" s="189"/>
      <c r="H69" s="189"/>
      <c r="I69" s="415"/>
      <c r="J69" s="189"/>
      <c r="K69" s="189"/>
      <c r="L69" s="189"/>
      <c r="M69" s="189"/>
      <c r="N69" s="189"/>
      <c r="O69" s="189"/>
      <c r="P69" s="189"/>
      <c r="Q69" s="189"/>
      <c r="R69" s="189"/>
      <c r="S69" s="189"/>
      <c r="T69" s="189"/>
      <c r="U69" s="189"/>
      <c r="V69" s="189"/>
      <c r="W69" s="23"/>
      <c r="Y69" s="163"/>
      <c r="Z69" s="189"/>
      <c r="AA69" s="189"/>
      <c r="AB69" s="189"/>
      <c r="AC69" s="189"/>
      <c r="AD69" s="189"/>
      <c r="AE69" s="415"/>
      <c r="AF69" s="189"/>
      <c r="AG69" s="189"/>
      <c r="AH69" s="189"/>
      <c r="AI69" s="189"/>
      <c r="AJ69" s="189"/>
      <c r="AK69" s="189"/>
      <c r="AL69" s="189"/>
      <c r="AM69" s="189"/>
      <c r="AN69" s="189"/>
      <c r="AO69" s="189"/>
      <c r="AP69" s="189"/>
      <c r="AQ69" s="189"/>
      <c r="AR69" s="189"/>
      <c r="AU69" s="163"/>
      <c r="AV69" s="189"/>
      <c r="AW69" s="189"/>
      <c r="AX69" s="189"/>
      <c r="AY69" s="189"/>
      <c r="AZ69" s="189"/>
      <c r="BA69" s="415"/>
      <c r="BB69" s="189"/>
      <c r="BC69" s="189"/>
      <c r="BD69" s="189"/>
      <c r="BE69" s="189"/>
      <c r="BF69" s="189"/>
      <c r="BG69" s="189"/>
      <c r="BH69" s="189"/>
      <c r="BI69" s="189"/>
      <c r="BJ69" s="189"/>
      <c r="BK69" s="189"/>
      <c r="BL69" s="189"/>
      <c r="BM69" s="189"/>
      <c r="BN69" s="189"/>
    </row>
    <row r="70" spans="2:66" hidden="1" outlineLevel="1">
      <c r="B70" s="924" t="str">
        <f>E90</f>
        <v>IQ524568</v>
      </c>
      <c r="C70" s="924"/>
      <c r="D70" s="673" t="s">
        <v>850</v>
      </c>
      <c r="E70" s="674"/>
      <c r="F70" s="675" t="s">
        <v>851</v>
      </c>
      <c r="G70" s="677">
        <v>0.21646599999999999</v>
      </c>
      <c r="H70" s="702">
        <v>1.4073702122610301</v>
      </c>
      <c r="I70" s="701">
        <v>0</v>
      </c>
      <c r="J70" s="701">
        <v>0.15915124277956205</v>
      </c>
      <c r="K70" s="701">
        <v>0.23452200000000001</v>
      </c>
      <c r="L70" s="701">
        <v>0</v>
      </c>
      <c r="M70" s="678">
        <v>0.32322899999999999</v>
      </c>
      <c r="N70" s="678" t="s">
        <v>992</v>
      </c>
      <c r="O70" s="678">
        <v>0.477605</v>
      </c>
      <c r="P70" s="678" t="s">
        <v>992</v>
      </c>
      <c r="Q70" s="678" t="s">
        <v>992</v>
      </c>
      <c r="R70" s="678" t="s">
        <v>992</v>
      </c>
      <c r="S70" s="678">
        <v>0</v>
      </c>
      <c r="T70" s="678">
        <v>0</v>
      </c>
      <c r="U70" s="675" t="s">
        <v>993</v>
      </c>
      <c r="V70" s="703" t="s">
        <v>993</v>
      </c>
      <c r="W70" s="23"/>
      <c r="X70" s="924" t="str">
        <f>I90</f>
        <v>IQ524568</v>
      </c>
      <c r="Y70" s="163"/>
      <c r="Z70" s="673" t="str">
        <f>Z51</f>
        <v>Evercore Inc.</v>
      </c>
      <c r="AA70" s="674"/>
      <c r="AB70" s="675" t="str">
        <f>AB51</f>
        <v>EVR</v>
      </c>
      <c r="AC70" s="701" t="e">
        <f ca="1">_xll.ciqfunctions.udf.CIQ($X70, "IQ_EFFECT_TAX_RATE",IQ_FY)/100</f>
        <v>#NAME?</v>
      </c>
      <c r="AD70" s="702" t="e">
        <f ca="1">_xll.ciqfunctions.udf.CIQ($X70, "IQ_BETA_5YR",Current_Date)</f>
        <v>#NAME?</v>
      </c>
      <c r="AE70" s="701" t="e">
        <f ca="1">_xll.ciqfunctions.udf.CIQ($X70, "IQ_DIVIDEND_YIELD",Current_Date)/100</f>
        <v>#NAME?</v>
      </c>
      <c r="AF70" s="677" t="e">
        <f ca="1">(_xll.ciqfunctions.udf.CIQ($X70,"IQ_OPER_INC",IQ_LTM)*(1-AC70))/(((_xll.ciqfunctions.udf.CIQ($X70,"IQ_TOTAL_DEBT",IQ_LTM))+_xll.ciqfunctions.udf.CIQ($X70,"IQ_TOTAL_EQUITY",IQ_LTM))-_xll.ciqfunctions.udf.CIQ($X70,"IQ_CASH_EQUIV",IQ_LTM))</f>
        <v>#NAME?</v>
      </c>
      <c r="AG70" s="701" t="e">
        <f ca="1">_xll.ciqfunctions.udf.CIQ($X70, "IQ_RETURN_EQUITY",IQ_LTM)/100</f>
        <v>#NAME?</v>
      </c>
      <c r="AH70" s="701" t="e">
        <f ca="1">_xll.ciqfunctions.udf.CIQ($X70, "IQ_RETURN_ASSETS",IQ_LTM)/100</f>
        <v>#NAME?</v>
      </c>
      <c r="AI70" s="678" t="e">
        <f ca="1">_xll.ciqfunctions.udf.CIQ($X70, "IQ_TOTAL_DEBT_CAPITAL",IQ_FY)/100</f>
        <v>#NAME?</v>
      </c>
      <c r="AJ70" s="678" t="e">
        <f ca="1">_xll.ciqfunctions.udf.CIQ($X70, "IQ_TOTAL_DEBT_EBITDA",IQ_FY)</f>
        <v>#NAME?</v>
      </c>
      <c r="AK70" s="678" t="e">
        <f ca="1">_xll.ciqfunctions.udf.CIQ($X70, "IQ_TOTAL_DEBT_EQUITY",IQ_FY)/100</f>
        <v>#NAME?</v>
      </c>
      <c r="AL70" s="678" t="e">
        <f ca="1">_xll.ciqfunctions.udf.CIQ($X70, "IQ_EBITDA_INT",IQ_FY)</f>
        <v>#NAME?</v>
      </c>
      <c r="AM70" s="678" t="e">
        <f ca="1">_xll.ciqfunctions.udf.CIQ($X70, "IQ_EBITDA_CAPEX_INT",IQ_FY)</f>
        <v>#NAME?</v>
      </c>
      <c r="AN70" s="678" t="e">
        <f ca="1">_xll.ciqfunctions.udf.CIQ($X70, "IQ_EBIT_INT",IQ_FY)</f>
        <v>#NAME?</v>
      </c>
      <c r="AO70" s="702" t="e">
        <f ca="1">_xll.ciqfunctions.udf.CIQ($X70, "IQ_QUICK_RATIO",IQ_FY)</f>
        <v>#NAME?</v>
      </c>
      <c r="AP70" s="702" t="e">
        <f ca="1">_xll.ciqfunctions.udf.CIQ($X70, "IQ_CURRENT_RATIO",IQ_FY)</f>
        <v>#NAME?</v>
      </c>
      <c r="AQ70" s="675" t="e">
        <f ca="1">_xll.ciqfunctions.udf.CIQ($X70, "IQ_SP_LC_LT",Current)</f>
        <v>#NAME?</v>
      </c>
      <c r="AR70" s="703" t="e">
        <f ca="1">_xll.ciqfunctions.udf.CIQ($X70, "IQ_SP_OUTLOOK_WATCH",Current)</f>
        <v>#NAME?</v>
      </c>
      <c r="AT70" s="924" t="str">
        <f>N90</f>
        <v>IQ524568</v>
      </c>
      <c r="AU70" s="163">
        <f>AU51</f>
        <v>0</v>
      </c>
      <c r="AV70" s="673" t="str">
        <f>AV51</f>
        <v>Evercore Inc.</v>
      </c>
      <c r="AW70" s="674"/>
      <c r="AX70" s="675" t="str">
        <f>AX51</f>
        <v>EVR</v>
      </c>
      <c r="AY70" s="701" t="e">
        <f ca="1">_xll.ciqfunctions.udf.CIQ($AT70, "IQ_EFFECT_TAX_RATE",IQ_FY)/100</f>
        <v>#NAME?</v>
      </c>
      <c r="AZ70" s="702" t="e">
        <f ca="1">_xll.ciqfunctions.udf.CIQ($AT70, "IQ_BETA_5YR",Current_Date)</f>
        <v>#NAME?</v>
      </c>
      <c r="BA70" s="701" t="e">
        <f ca="1">_xll.ciqfunctions.udf.CIQ($AT70, "IQ_DIVIDEND_YIELD",Current_Date)/100</f>
        <v>#NAME?</v>
      </c>
      <c r="BB70" s="677" t="e">
        <f ca="1">(_xll.ciqfunctions.udf.CIQ($AT70,"IQ_OPER_INC",IQ_LTM)*(1-AY70))/(((_xll.ciqfunctions.udf.CIQ($AT70,"IQ_TOTAL_DEBT",IQ_LTM))+_xll.ciqfunctions.udf.CIQ($AT70,"IQ_TOTAL_EQUITY",IQ_LTM))-_xll.ciqfunctions.udf.CIQ($AT70,"IQ_CASH_EQUIV",IQ_LTM))</f>
        <v>#NAME?</v>
      </c>
      <c r="BC70" s="701" t="e">
        <f ca="1">_xll.ciqfunctions.udf.CIQ($AT70, "IQ_RETURN_EQUITY",IQ_LTM)/100</f>
        <v>#NAME?</v>
      </c>
      <c r="BD70" s="701" t="e">
        <f ca="1">_xll.ciqfunctions.udf.CIQ($AT70, "IQ_RETURN_ASSETS",IQ_LTM)/100</f>
        <v>#NAME?</v>
      </c>
      <c r="BE70" s="678" t="e">
        <f ca="1">_xll.ciqfunctions.udf.CIQ($AT70, "IQ_TOTAL_DEBT_CAPITAL",IQ_FY)/100</f>
        <v>#NAME?</v>
      </c>
      <c r="BF70" s="678" t="e">
        <f ca="1">_xll.ciqfunctions.udf.CIQ($AT70, "IQ_TOTAL_DEBT_EBITDA",IQ_FY)</f>
        <v>#NAME?</v>
      </c>
      <c r="BG70" s="678" t="e">
        <f ca="1">_xll.ciqfunctions.udf.CIQ($AT70, "IQ_TOTAL_DEBT_EQUITY",IQ_FY)/100</f>
        <v>#NAME?</v>
      </c>
      <c r="BH70" s="678" t="e">
        <f ca="1">_xll.ciqfunctions.udf.CIQ($AT70, "IQ_EBITDA_INT",IQ_FY)</f>
        <v>#NAME?</v>
      </c>
      <c r="BI70" s="678" t="e">
        <f ca="1">_xll.ciqfunctions.udf.CIQ($AT70, "IQ_EBITDA_CAPEX_INT",IQ_FY)</f>
        <v>#NAME?</v>
      </c>
      <c r="BJ70" s="678" t="e">
        <f ca="1">_xll.ciqfunctions.udf.CIQ($AT70, "IQ_EBIT_INT",IQ_FY)</f>
        <v>#NAME?</v>
      </c>
      <c r="BK70" s="702" t="e">
        <f ca="1">_xll.ciqfunctions.udf.CIQ($AT70, "IQ_QUICK_RATIO",IQ_FY)</f>
        <v>#NAME?</v>
      </c>
      <c r="BL70" s="702" t="e">
        <f ca="1">_xll.ciqfunctions.udf.CIQ($AT70, "IQ_CURRENT_RATIO",IQ_FY)</f>
        <v>#NAME?</v>
      </c>
      <c r="BM70" s="675" t="e">
        <f ca="1">_xll.ciqfunctions.udf.CIQ($AT70, "IQ_SP_LC_LT",Current)</f>
        <v>#NAME?</v>
      </c>
      <c r="BN70" s="703" t="e">
        <f ca="1">_xll.ciqfunctions.udf.CIQ($AT70, "IQ_SP_OUTLOOK_WATCH",Current)</f>
        <v>#NAME?</v>
      </c>
    </row>
    <row r="71" spans="2:66" hidden="1" outlineLevel="1">
      <c r="B71" s="924"/>
      <c r="C71" s="924"/>
      <c r="D71" s="23"/>
      <c r="E71" s="23"/>
      <c r="F71" s="189"/>
      <c r="G71" s="415"/>
      <c r="H71" s="189"/>
      <c r="I71" s="430"/>
      <c r="J71" s="438"/>
      <c r="K71" s="438"/>
      <c r="L71" s="438"/>
      <c r="M71" s="438"/>
      <c r="N71" s="419"/>
      <c r="O71" s="438"/>
      <c r="P71" s="419"/>
      <c r="Q71" s="418"/>
      <c r="R71" s="418"/>
      <c r="S71" s="438"/>
      <c r="T71" s="438"/>
      <c r="U71" s="162"/>
      <c r="V71" s="162"/>
      <c r="W71" s="23"/>
      <c r="X71" s="924"/>
      <c r="Y71" s="163"/>
      <c r="Z71" s="23"/>
      <c r="AA71" s="23"/>
      <c r="AB71" s="189"/>
      <c r="AC71" s="430"/>
      <c r="AD71" s="189"/>
      <c r="AE71" s="430"/>
      <c r="AF71" s="438"/>
      <c r="AG71" s="438"/>
      <c r="AH71" s="438"/>
      <c r="AI71" s="438"/>
      <c r="AJ71" s="419"/>
      <c r="AK71" s="438"/>
      <c r="AL71" s="419"/>
      <c r="AM71" s="418"/>
      <c r="AN71" s="418"/>
      <c r="AO71" s="189"/>
      <c r="AP71" s="189"/>
      <c r="AQ71" s="162"/>
      <c r="AR71" s="162"/>
      <c r="AT71" s="924"/>
      <c r="AU71" s="163"/>
      <c r="AV71" s="23"/>
      <c r="AW71" s="23"/>
      <c r="AX71" s="189"/>
      <c r="AY71" s="430"/>
      <c r="AZ71" s="189"/>
      <c r="BA71" s="430"/>
      <c r="BB71" s="438"/>
      <c r="BC71" s="438"/>
      <c r="BD71" s="438"/>
      <c r="BE71" s="438"/>
      <c r="BF71" s="419"/>
      <c r="BG71" s="438"/>
      <c r="BH71" s="419"/>
      <c r="BI71" s="418"/>
      <c r="BJ71" s="418"/>
      <c r="BK71" s="189"/>
      <c r="BL71" s="189"/>
      <c r="BM71" s="162"/>
      <c r="BN71" s="162"/>
    </row>
    <row r="72" spans="2:66" hidden="1" outlineLevel="1">
      <c r="B72" s="924" t="str">
        <f>E94</f>
        <v>IQ544741</v>
      </c>
      <c r="C72" s="924"/>
      <c r="D72" s="23" t="str">
        <f>D53</f>
        <v>Lazard, Inc.</v>
      </c>
      <c r="E72" s="23"/>
      <c r="F72" s="189" t="str">
        <f>E93</f>
        <v>LAZ</v>
      </c>
      <c r="G72" s="417">
        <v>0.25813999999999998</v>
      </c>
      <c r="H72" s="425">
        <v>1.3949465324517201</v>
      </c>
      <c r="I72" s="420">
        <v>0</v>
      </c>
      <c r="J72" s="417">
        <v>0.19111970875022743</v>
      </c>
      <c r="K72" s="420">
        <v>0.42963900000000005</v>
      </c>
      <c r="L72" s="420">
        <v>6.0808999999999995E-2</v>
      </c>
      <c r="M72" s="419">
        <v>0.74139300000000008</v>
      </c>
      <c r="N72" s="419" t="s">
        <v>992</v>
      </c>
      <c r="O72" s="419">
        <v>2.8668720000000003</v>
      </c>
      <c r="P72" s="419" t="s">
        <v>992</v>
      </c>
      <c r="Q72" s="419" t="s">
        <v>992</v>
      </c>
      <c r="R72" s="419" t="s">
        <v>992</v>
      </c>
      <c r="S72" s="419">
        <v>2.4401839999999999</v>
      </c>
      <c r="T72" s="419">
        <v>2.7965939999999998</v>
      </c>
      <c r="U72" s="189" t="s">
        <v>993</v>
      </c>
      <c r="V72" s="189" t="s">
        <v>993</v>
      </c>
      <c r="W72" s="23"/>
      <c r="X72" s="924" t="str">
        <f>I94</f>
        <v>IQ544741</v>
      </c>
      <c r="Y72" s="163"/>
      <c r="Z72" s="23" t="e">
        <f ca="1">Z53</f>
        <v>#NAME?</v>
      </c>
      <c r="AA72" s="23"/>
      <c r="AB72" s="189" t="str">
        <f>I93</f>
        <v>LAZ</v>
      </c>
      <c r="AC72" s="420" t="e">
        <f ca="1">_xll.ciqfunctions.udf.CIQ($X72, "IQ_EFFECT_TAX_RATE",IQ_FY)/100</f>
        <v>#NAME?</v>
      </c>
      <c r="AD72" s="425" t="e">
        <f ca="1">_xll.ciqfunctions.udf.CIQ($X72, "IQ_BETA_5YR",Current_Date)</f>
        <v>#NAME?</v>
      </c>
      <c r="AE72" s="420" t="e">
        <f ca="1">_xll.ciqfunctions.udf.CIQ($X72, "IQ_DIVIDEND_YIELD",Current_Date)/100</f>
        <v>#NAME?</v>
      </c>
      <c r="AF72" s="417" t="e">
        <f ca="1">(_xll.ciqfunctions.udf.CIQ($X72,"IQ_OPER_INC",IQ_LTM)*(1-AC72))/(((_xll.ciqfunctions.udf.CIQ($X72,"IQ_TOTAL_DEBT",IQ_LTM))+_xll.ciqfunctions.udf.CIQ($X72,"IQ_TOTAL_EQUITY",IQ_LTM))-_xll.ciqfunctions.udf.CIQ($X72,"IQ_CASH_EQUIV",IQ_LTM))</f>
        <v>#NAME?</v>
      </c>
      <c r="AG72" s="420" t="e">
        <f ca="1">_xll.ciqfunctions.udf.CIQ($X72, "IQ_RETURN_EQUITY",IQ_LTM)/100</f>
        <v>#NAME?</v>
      </c>
      <c r="AH72" s="420" t="e">
        <f ca="1">_xll.ciqfunctions.udf.CIQ($X72, "IQ_RETURN_ASSETS",IQ_LTM)/100</f>
        <v>#NAME?</v>
      </c>
      <c r="AI72" s="419" t="e">
        <f ca="1">_xll.ciqfunctions.udf.CIQ($X72, "IQ_TOTAL_DEBT_CAPITAL",IQ_FY)/100</f>
        <v>#NAME?</v>
      </c>
      <c r="AJ72" s="419" t="e">
        <f ca="1">_xll.ciqfunctions.udf.CIQ($X72, "IQ_TOTAL_DEBT_EBITDA",IQ_FY)</f>
        <v>#NAME?</v>
      </c>
      <c r="AK72" s="419" t="e">
        <f ca="1">_xll.ciqfunctions.udf.CIQ($X72, "IQ_TOTAL_DEBT_EQUITY",IQ_FY)/100</f>
        <v>#NAME?</v>
      </c>
      <c r="AL72" s="419" t="e">
        <f ca="1">_xll.ciqfunctions.udf.CIQ($X72, "IQ_EBITDA_INT",IQ_FY)</f>
        <v>#NAME?</v>
      </c>
      <c r="AM72" s="419" t="e">
        <f ca="1">_xll.ciqfunctions.udf.CIQ($X72, "IQ_EBITDA_CAPEX_INT",IQ_FY)</f>
        <v>#NAME?</v>
      </c>
      <c r="AN72" s="419" t="e">
        <f ca="1">_xll.ciqfunctions.udf.CIQ($X72, "IQ_EBIT_INT",IQ_FY)</f>
        <v>#NAME?</v>
      </c>
      <c r="AO72" s="425" t="e">
        <f ca="1">_xll.ciqfunctions.udf.CIQ($X72, "IQ_QUICK_RATIO",IQ_FY)</f>
        <v>#NAME?</v>
      </c>
      <c r="AP72" s="425" t="e">
        <f ca="1">_xll.ciqfunctions.udf.CIQ($X72, "IQ_CURRENT_RATIO",IQ_FY)</f>
        <v>#NAME?</v>
      </c>
      <c r="AQ72" s="189" t="e">
        <f ca="1">_xll.ciqfunctions.udf.CIQ($X72, "IQ_SP_LC_LT",Current)</f>
        <v>#NAME?</v>
      </c>
      <c r="AR72" s="189" t="e">
        <f ca="1">_xll.ciqfunctions.udf.CIQ($X72, "IQ_SP_OUTLOOK_WATCH",Current)</f>
        <v>#NAME?</v>
      </c>
      <c r="AT72" s="924" t="str">
        <f>N94</f>
        <v>IQ544741</v>
      </c>
      <c r="AU72" s="163">
        <f>AU53</f>
        <v>0</v>
      </c>
      <c r="AV72" s="23" t="e">
        <f ca="1">AV53</f>
        <v>#NAME?</v>
      </c>
      <c r="AW72" s="23"/>
      <c r="AX72" s="189" t="str">
        <f>AX53</f>
        <v>LAZ</v>
      </c>
      <c r="AY72" s="420" t="e">
        <f ca="1">_xll.ciqfunctions.udf.CIQ($AT72, "IQ_EFFECT_TAX_RATE",IQ_FY)/100</f>
        <v>#NAME?</v>
      </c>
      <c r="AZ72" s="425" t="e">
        <f ca="1">_xll.ciqfunctions.udf.CIQ($AT72, "IQ_BETA_5YR",Current_Date)</f>
        <v>#NAME?</v>
      </c>
      <c r="BA72" s="420" t="e">
        <f ca="1">_xll.ciqfunctions.udf.CIQ($AT72, "IQ_DIVIDEND_YIELD",Current_Date)/100</f>
        <v>#NAME?</v>
      </c>
      <c r="BB72" s="417" t="e">
        <f ca="1">(_xll.ciqfunctions.udf.CIQ($AT72,"IQ_OPER_INC",IQ_LTM)*(1-AY72))/(((_xll.ciqfunctions.udf.CIQ($AT72,"IQ_TOTAL_DEBT",IQ_LTM))+_xll.ciqfunctions.udf.CIQ($AT72,"IQ_TOTAL_EQUITY",IQ_LTM))-_xll.ciqfunctions.udf.CIQ($AT72,"IQ_CASH_EQUIV",IQ_LTM))</f>
        <v>#NAME?</v>
      </c>
      <c r="BC72" s="420" t="e">
        <f ca="1">_xll.ciqfunctions.udf.CIQ($AT72, "IQ_RETURN_EQUITY",IQ_LTM)/100</f>
        <v>#NAME?</v>
      </c>
      <c r="BD72" s="420" t="e">
        <f ca="1">_xll.ciqfunctions.udf.CIQ($AT72, "IQ_RETURN_ASSETS",IQ_LTM)/100</f>
        <v>#NAME?</v>
      </c>
      <c r="BE72" s="419" t="e">
        <f ca="1">_xll.ciqfunctions.udf.CIQ($AT72, "IQ_TOTAL_DEBT_CAPITAL",IQ_FY)/100</f>
        <v>#NAME?</v>
      </c>
      <c r="BF72" s="419" t="e">
        <f ca="1">_xll.ciqfunctions.udf.CIQ($AT72, "IQ_TOTAL_DEBT_EBITDA",IQ_FY)</f>
        <v>#NAME?</v>
      </c>
      <c r="BG72" s="419" t="e">
        <f ca="1">_xll.ciqfunctions.udf.CIQ($AT72, "IQ_TOTAL_DEBT_EQUITY",IQ_FY)/100</f>
        <v>#NAME?</v>
      </c>
      <c r="BH72" s="419" t="e">
        <f ca="1">_xll.ciqfunctions.udf.CIQ($AT72, "IQ_EBITDA_INT",IQ_FY)</f>
        <v>#NAME?</v>
      </c>
      <c r="BI72" s="419" t="e">
        <f ca="1">_xll.ciqfunctions.udf.CIQ($AT72, "IQ_EBITDA_CAPEX_INT",IQ_FY)</f>
        <v>#NAME?</v>
      </c>
      <c r="BJ72" s="419" t="e">
        <f ca="1">_xll.ciqfunctions.udf.CIQ($AT72, "IQ_EBIT_INT",IQ_FY)</f>
        <v>#NAME?</v>
      </c>
      <c r="BK72" s="425" t="e">
        <f ca="1">_xll.ciqfunctions.udf.CIQ($AT72, "IQ_QUICK_RATIO",IQ_FY)</f>
        <v>#NAME?</v>
      </c>
      <c r="BL72" s="425" t="e">
        <f ca="1">_xll.ciqfunctions.udf.CIQ($AT72, "IQ_CURRENT_RATIO",IQ_FY)</f>
        <v>#NAME?</v>
      </c>
      <c r="BM72" s="189" t="e">
        <f ca="1">_xll.ciqfunctions.udf.CIQ($AT72, "IQ_SP_LC_LT",Current)</f>
        <v>#NAME?</v>
      </c>
      <c r="BN72" s="189" t="e">
        <f ca="1">_xll.ciqfunctions.udf.CIQ($AT72, "IQ_SP_OUTLOOK_WATCH",Current)</f>
        <v>#NAME?</v>
      </c>
    </row>
    <row r="73" spans="2:66" hidden="1" outlineLevel="1">
      <c r="B73" s="924" t="str">
        <f>E98</f>
        <v>IQ20999</v>
      </c>
      <c r="C73" s="924"/>
      <c r="D73" s="23" t="str">
        <f>D54</f>
        <v>Houlihan Lokey, Inc.</v>
      </c>
      <c r="E73" s="23"/>
      <c r="F73" s="189" t="str">
        <f>E97</f>
        <v>HLI</v>
      </c>
      <c r="G73" s="417">
        <v>0.28227099999999999</v>
      </c>
      <c r="H73" s="425">
        <v>0.70293298671087401</v>
      </c>
      <c r="I73" s="420">
        <v>0</v>
      </c>
      <c r="J73" s="417">
        <v>0.19720336277915543</v>
      </c>
      <c r="K73" s="420">
        <v>0.18643200000000001</v>
      </c>
      <c r="L73" s="420">
        <v>0.11154199999999999</v>
      </c>
      <c r="M73" s="419">
        <v>0.18445</v>
      </c>
      <c r="N73" s="419" t="s">
        <v>992</v>
      </c>
      <c r="O73" s="419">
        <v>0.22616599999999998</v>
      </c>
      <c r="P73" s="419" t="s">
        <v>992</v>
      </c>
      <c r="Q73" s="419" t="s">
        <v>992</v>
      </c>
      <c r="R73" s="419" t="s">
        <v>992</v>
      </c>
      <c r="S73" s="419">
        <v>1.2886010000000001</v>
      </c>
      <c r="T73" s="419">
        <v>1.2898590000000001</v>
      </c>
      <c r="U73" s="189" t="s">
        <v>993</v>
      </c>
      <c r="V73" s="189" t="s">
        <v>993</v>
      </c>
      <c r="W73" s="23"/>
      <c r="X73" s="924" t="str">
        <f>I98</f>
        <v>IQ20999</v>
      </c>
      <c r="Y73" s="163"/>
      <c r="Z73" s="23" t="e">
        <f ca="1">Z54</f>
        <v>#NAME?</v>
      </c>
      <c r="AA73" s="23"/>
      <c r="AB73" s="189" t="str">
        <f>I97</f>
        <v>HLI</v>
      </c>
      <c r="AC73" s="420" t="e">
        <f ca="1">_xll.ciqfunctions.udf.CIQ($X73, "IQ_EFFECT_TAX_RATE",IQ_FY)/100</f>
        <v>#NAME?</v>
      </c>
      <c r="AD73" s="425" t="e">
        <f ca="1">_xll.ciqfunctions.udf.CIQ($X73, "IQ_BETA_5YR",Current_Date)</f>
        <v>#NAME?</v>
      </c>
      <c r="AE73" s="420" t="e">
        <f ca="1">_xll.ciqfunctions.udf.CIQ($X73, "IQ_DIVIDEND_YIELD",Current_Date)/100</f>
        <v>#NAME?</v>
      </c>
      <c r="AF73" s="417" t="e">
        <f ca="1">(_xll.ciqfunctions.udf.CIQ($X73,"IQ_OPER_INC",IQ_LTM)*(1-AC73))/(((_xll.ciqfunctions.udf.CIQ($X73,"IQ_TOTAL_DEBT",IQ_LTM))+_xll.ciqfunctions.udf.CIQ($X73,"IQ_TOTAL_EQUITY",IQ_LTM))-_xll.ciqfunctions.udf.CIQ($X73,"IQ_CASH_EQUIV",IQ_LTM))</f>
        <v>#NAME?</v>
      </c>
      <c r="AG73" s="420" t="e">
        <f ca="1">_xll.ciqfunctions.udf.CIQ($X73, "IQ_RETURN_EQUITY",IQ_LTM)/100</f>
        <v>#NAME?</v>
      </c>
      <c r="AH73" s="420" t="e">
        <f ca="1">_xll.ciqfunctions.udf.CIQ($X73, "IQ_RETURN_ASSETS",IQ_LTM)/100</f>
        <v>#NAME?</v>
      </c>
      <c r="AI73" s="419" t="e">
        <f ca="1">_xll.ciqfunctions.udf.CIQ($X73, "IQ_TOTAL_DEBT_CAPITAL",IQ_FY)/100</f>
        <v>#NAME?</v>
      </c>
      <c r="AJ73" s="419" t="e">
        <f ca="1">_xll.ciqfunctions.udf.CIQ($X73, "IQ_TOTAL_DEBT_EBITDA",IQ_FY)</f>
        <v>#NAME?</v>
      </c>
      <c r="AK73" s="419" t="e">
        <f ca="1">_xll.ciqfunctions.udf.CIQ($X73, "IQ_TOTAL_DEBT_EQUITY",IQ_FY)/100</f>
        <v>#NAME?</v>
      </c>
      <c r="AL73" s="419" t="e">
        <f ca="1">_xll.ciqfunctions.udf.CIQ($X73, "IQ_EBITDA_INT",IQ_FY)</f>
        <v>#NAME?</v>
      </c>
      <c r="AM73" s="419" t="e">
        <f ca="1">_xll.ciqfunctions.udf.CIQ($X73, "IQ_EBITDA_CAPEX_INT",IQ_FY)</f>
        <v>#NAME?</v>
      </c>
      <c r="AN73" s="419" t="e">
        <f ca="1">_xll.ciqfunctions.udf.CIQ($X73, "IQ_EBIT_INT",IQ_FY)</f>
        <v>#NAME?</v>
      </c>
      <c r="AO73" s="425" t="e">
        <f ca="1">_xll.ciqfunctions.udf.CIQ($X73, "IQ_QUICK_RATIO",IQ_FY)</f>
        <v>#NAME?</v>
      </c>
      <c r="AP73" s="425" t="e">
        <f ca="1">_xll.ciqfunctions.udf.CIQ($X73, "IQ_CURRENT_RATIO",IQ_FY)</f>
        <v>#NAME?</v>
      </c>
      <c r="AQ73" s="189" t="e">
        <f ca="1">_xll.ciqfunctions.udf.CIQ($X73, "IQ_SP_LC_LT",Current)</f>
        <v>#NAME?</v>
      </c>
      <c r="AR73" s="189" t="e">
        <f ca="1">_xll.ciqfunctions.udf.CIQ($X73, "IQ_SP_OUTLOOK_WATCH",Current)</f>
        <v>#NAME?</v>
      </c>
      <c r="AT73" s="924" t="str">
        <f>N98</f>
        <v>IQ20999</v>
      </c>
      <c r="AU73" s="163">
        <f>AU96</f>
        <v>0</v>
      </c>
      <c r="AV73" s="23" t="e">
        <f ca="1">AV54</f>
        <v>#NAME?</v>
      </c>
      <c r="AW73" s="23"/>
      <c r="AX73" s="189" t="str">
        <f>AX54</f>
        <v>HLI</v>
      </c>
      <c r="AY73" s="420" t="e">
        <f ca="1">_xll.ciqfunctions.udf.CIQ($AT73, "IQ_EFFECT_TAX_RATE",IQ_FY)/100</f>
        <v>#NAME?</v>
      </c>
      <c r="AZ73" s="425" t="e">
        <f ca="1">_xll.ciqfunctions.udf.CIQ($AT73, "IQ_BETA_5YR",Current_Date)</f>
        <v>#NAME?</v>
      </c>
      <c r="BA73" s="420" t="e">
        <f ca="1">_xll.ciqfunctions.udf.CIQ($AT73, "IQ_DIVIDEND_YIELD",Current_Date)/100</f>
        <v>#NAME?</v>
      </c>
      <c r="BB73" s="417" t="e">
        <f ca="1">(_xll.ciqfunctions.udf.CIQ($AT73,"IQ_OPER_INC",IQ_LTM)*(1-AY73))/(((_xll.ciqfunctions.udf.CIQ($AT73,"IQ_TOTAL_DEBT",IQ_LTM))+_xll.ciqfunctions.udf.CIQ($AT73,"IQ_TOTAL_EQUITY",IQ_LTM))-_xll.ciqfunctions.udf.CIQ($AT73,"IQ_CASH_EQUIV",IQ_LTM))</f>
        <v>#NAME?</v>
      </c>
      <c r="BC73" s="420" t="e">
        <f ca="1">_xll.ciqfunctions.udf.CIQ($AT73, "IQ_RETURN_EQUITY",IQ_LTM)/100</f>
        <v>#NAME?</v>
      </c>
      <c r="BD73" s="420" t="e">
        <f ca="1">_xll.ciqfunctions.udf.CIQ($AT73, "IQ_RETURN_ASSETS",IQ_LTM)/100</f>
        <v>#NAME?</v>
      </c>
      <c r="BE73" s="419" t="e">
        <f ca="1">_xll.ciqfunctions.udf.CIQ($AT73, "IQ_TOTAL_DEBT_CAPITAL",IQ_FY)/100</f>
        <v>#NAME?</v>
      </c>
      <c r="BF73" s="419" t="e">
        <f ca="1">_xll.ciqfunctions.udf.CIQ($AT73, "IQ_TOTAL_DEBT_EBITDA",IQ_FY)</f>
        <v>#NAME?</v>
      </c>
      <c r="BG73" s="419" t="e">
        <f ca="1">_xll.ciqfunctions.udf.CIQ($AT73, "IQ_TOTAL_DEBT_EQUITY",IQ_FY)/100</f>
        <v>#NAME?</v>
      </c>
      <c r="BH73" s="419" t="e">
        <f ca="1">_xll.ciqfunctions.udf.CIQ($AT73, "IQ_EBITDA_INT",IQ_FY)</f>
        <v>#NAME?</v>
      </c>
      <c r="BI73" s="419" t="e">
        <f ca="1">_xll.ciqfunctions.udf.CIQ($AT73, "IQ_EBITDA_CAPEX_INT",IQ_FY)</f>
        <v>#NAME?</v>
      </c>
      <c r="BJ73" s="419" t="e">
        <f ca="1">_xll.ciqfunctions.udf.CIQ($AT73, "IQ_EBIT_INT",IQ_FY)</f>
        <v>#NAME?</v>
      </c>
      <c r="BK73" s="425" t="e">
        <f ca="1">_xll.ciqfunctions.udf.CIQ($AT73, "IQ_QUICK_RATIO",IQ_FY)</f>
        <v>#NAME?</v>
      </c>
      <c r="BL73" s="425" t="e">
        <f ca="1">_xll.ciqfunctions.udf.CIQ($AT73, "IQ_CURRENT_RATIO",IQ_FY)</f>
        <v>#NAME?</v>
      </c>
      <c r="BM73" s="189" t="e">
        <f ca="1">_xll.ciqfunctions.udf.CIQ($AT73, "IQ_SP_LC_LT",Current)</f>
        <v>#NAME?</v>
      </c>
      <c r="BN73" s="189" t="e">
        <f ca="1">_xll.ciqfunctions.udf.CIQ($AT73, "IQ_SP_OUTLOOK_WATCH",Current)</f>
        <v>#NAME?</v>
      </c>
    </row>
    <row r="74" spans="2:66" hidden="1" outlineLevel="1">
      <c r="B74" s="924" t="str">
        <f>E102</f>
        <v>IQ286743412</v>
      </c>
      <c r="C74" s="924"/>
      <c r="D74" s="23" t="str">
        <f>D55</f>
        <v>PJT Partners Inc.</v>
      </c>
      <c r="E74" s="23"/>
      <c r="F74" s="189" t="str">
        <f>E101</f>
        <v>PJT</v>
      </c>
      <c r="G74" s="417">
        <v>0.11862399999999999</v>
      </c>
      <c r="H74" s="425">
        <v>0.65836641371377902</v>
      </c>
      <c r="I74" s="420">
        <v>0</v>
      </c>
      <c r="J74" s="417">
        <v>0.19366593083996717</v>
      </c>
      <c r="K74" s="420">
        <v>0.27384000000000003</v>
      </c>
      <c r="L74" s="420">
        <v>0</v>
      </c>
      <c r="M74" s="426">
        <v>0.28634899999999996</v>
      </c>
      <c r="N74" s="426" t="s">
        <v>992</v>
      </c>
      <c r="O74" s="426">
        <v>0.40124599999999999</v>
      </c>
      <c r="P74" s="419" t="s">
        <v>992</v>
      </c>
      <c r="Q74" s="419" t="s">
        <v>992</v>
      </c>
      <c r="R74" s="419" t="s">
        <v>992</v>
      </c>
      <c r="S74" s="426">
        <v>0</v>
      </c>
      <c r="T74" s="426">
        <v>0</v>
      </c>
      <c r="U74" s="189" t="s">
        <v>993</v>
      </c>
      <c r="V74" s="189" t="s">
        <v>993</v>
      </c>
      <c r="W74" s="23"/>
      <c r="X74" s="924" t="str">
        <f>I102</f>
        <v>IQ286743412</v>
      </c>
      <c r="Y74" s="163"/>
      <c r="Z74" s="23" t="e">
        <f ca="1">Z55</f>
        <v>#NAME?</v>
      </c>
      <c r="AA74" s="23"/>
      <c r="AB74" s="189" t="str">
        <f>I101</f>
        <v>PJT</v>
      </c>
      <c r="AC74" s="420" t="e">
        <f ca="1">_xll.ciqfunctions.udf.CIQ($X74, "IQ_EFFECT_TAX_RATE",IQ_FY)/100</f>
        <v>#NAME?</v>
      </c>
      <c r="AD74" s="425" t="e">
        <f ca="1">_xll.ciqfunctions.udf.CIQ($X74, "IQ_BETA_5YR",Current_Date)</f>
        <v>#NAME?</v>
      </c>
      <c r="AE74" s="420" t="e">
        <f ca="1">_xll.ciqfunctions.udf.CIQ($X74, "IQ_DIVIDEND_YIELD",Current_Date)/100</f>
        <v>#NAME?</v>
      </c>
      <c r="AF74" s="417" t="e">
        <f ca="1">(_xll.ciqfunctions.udf.CIQ($X74,"IQ_OPER_INC",IQ_LTM)*(1-AC74))/(((_xll.ciqfunctions.udf.CIQ($X74,"IQ_TOTAL_DEBT",IQ_LTM))+_xll.ciqfunctions.udf.CIQ($X74,"IQ_TOTAL_EQUITY",IQ_LTM))-_xll.ciqfunctions.udf.CIQ($X74,"IQ_CASH_EQUIV",IQ_LTM))</f>
        <v>#NAME?</v>
      </c>
      <c r="AG74" s="420" t="e">
        <f ca="1">_xll.ciqfunctions.udf.CIQ($X74, "IQ_RETURN_EQUITY",IQ_LTM)/100</f>
        <v>#NAME?</v>
      </c>
      <c r="AH74" s="420" t="e">
        <f ca="1">_xll.ciqfunctions.udf.CIQ($X74, "IQ_RETURN_ASSETS",IQ_LTM)/100</f>
        <v>#NAME?</v>
      </c>
      <c r="AI74" s="426" t="e">
        <f ca="1">_xll.ciqfunctions.udf.CIQ($X74, "IQ_TOTAL_DEBT_CAPITAL",IQ_FY)/100</f>
        <v>#NAME?</v>
      </c>
      <c r="AJ74" s="426" t="e">
        <f ca="1">_xll.ciqfunctions.udf.CIQ($X74, "IQ_TOTAL_DEBT_EBITDA",IQ_FY)</f>
        <v>#NAME?</v>
      </c>
      <c r="AK74" s="426" t="e">
        <f ca="1">_xll.ciqfunctions.udf.CIQ($X74, "IQ_TOTAL_DEBT_EQUITY",IQ_FY)/100</f>
        <v>#NAME?</v>
      </c>
      <c r="AL74" s="419" t="e">
        <f ca="1">_xll.ciqfunctions.udf.CIQ($X74, "IQ_EBITDA_INT",IQ_FY)</f>
        <v>#NAME?</v>
      </c>
      <c r="AM74" s="419" t="e">
        <f ca="1">_xll.ciqfunctions.udf.CIQ($X74, "IQ_EBITDA_CAPEX_INT",IQ_FY)</f>
        <v>#NAME?</v>
      </c>
      <c r="AN74" s="419" t="e">
        <f ca="1">_xll.ciqfunctions.udf.CIQ($X74, "IQ_EBIT_INT",IQ_FY)</f>
        <v>#NAME?</v>
      </c>
      <c r="AO74" s="425" t="e">
        <f ca="1">_xll.ciqfunctions.udf.CIQ($X74, "IQ_QUICK_RATIO",IQ_FY)</f>
        <v>#NAME?</v>
      </c>
      <c r="AP74" s="425" t="e">
        <f ca="1">_xll.ciqfunctions.udf.CIQ($X74, "IQ_CURRENT_RATIO",IQ_FY)</f>
        <v>#NAME?</v>
      </c>
      <c r="AQ74" s="189" t="e">
        <f ca="1">_xll.ciqfunctions.udf.CIQ($X74, "IQ_SP_LC_LT",Current)</f>
        <v>#NAME?</v>
      </c>
      <c r="AR74" s="189" t="e">
        <f ca="1">_xll.ciqfunctions.udf.CIQ($X74, "IQ_SP_OUTLOOK_WATCH",Current)</f>
        <v>#NAME?</v>
      </c>
      <c r="AT74" s="924" t="str">
        <f>N102</f>
        <v>IQ286743412</v>
      </c>
      <c r="AU74" s="163">
        <f>AU100</f>
        <v>0</v>
      </c>
      <c r="AV74" s="23" t="e">
        <f ca="1">AV55</f>
        <v>#NAME?</v>
      </c>
      <c r="AW74" s="23"/>
      <c r="AX74" s="189" t="str">
        <f>AX55</f>
        <v>PJT</v>
      </c>
      <c r="AY74" s="420" t="e">
        <f ca="1">_xll.ciqfunctions.udf.CIQ($AT74, "IQ_EFFECT_TAX_RATE",IQ_FY)/100</f>
        <v>#NAME?</v>
      </c>
      <c r="AZ74" s="425" t="e">
        <f ca="1">_xll.ciqfunctions.udf.CIQ($AT74, "IQ_BETA_5YR",Current_Date)</f>
        <v>#NAME?</v>
      </c>
      <c r="BA74" s="420" t="e">
        <f ca="1">_xll.ciqfunctions.udf.CIQ($AT74, "IQ_DIVIDEND_YIELD",Current_Date)/100</f>
        <v>#NAME?</v>
      </c>
      <c r="BB74" s="417" t="e">
        <f ca="1">(_xll.ciqfunctions.udf.CIQ($AT74,"IQ_OPER_INC",IQ_LTM)*(1-AY74))/(((_xll.ciqfunctions.udf.CIQ($AT74,"IQ_TOTAL_DEBT",IQ_LTM))+_xll.ciqfunctions.udf.CIQ($AT74,"IQ_TOTAL_EQUITY",IQ_LTM))-_xll.ciqfunctions.udf.CIQ($AT74,"IQ_CASH_EQUIV",IQ_LTM))</f>
        <v>#NAME?</v>
      </c>
      <c r="BC74" s="420" t="e">
        <f ca="1">_xll.ciqfunctions.udf.CIQ($AT74, "IQ_RETURN_EQUITY",IQ_LTM)/100</f>
        <v>#NAME?</v>
      </c>
      <c r="BD74" s="420" t="e">
        <f ca="1">_xll.ciqfunctions.udf.CIQ($AT74, "IQ_RETURN_ASSETS",IQ_LTM)/100</f>
        <v>#NAME?</v>
      </c>
      <c r="BE74" s="426" t="e">
        <f ca="1">_xll.ciqfunctions.udf.CIQ($AT74, "IQ_TOTAL_DEBT_CAPITAL",IQ_FY)/100</f>
        <v>#NAME?</v>
      </c>
      <c r="BF74" s="426" t="e">
        <f ca="1">_xll.ciqfunctions.udf.CIQ($AT74, "IQ_TOTAL_DEBT_EBITDA",IQ_FY)</f>
        <v>#NAME?</v>
      </c>
      <c r="BG74" s="426" t="e">
        <f ca="1">_xll.ciqfunctions.udf.CIQ($AT74, "IQ_TOTAL_DEBT_EQUITY",IQ_FY)/100</f>
        <v>#NAME?</v>
      </c>
      <c r="BH74" s="419" t="e">
        <f ca="1">_xll.ciqfunctions.udf.CIQ($AT74, "IQ_EBITDA_INT",IQ_FY)</f>
        <v>#NAME?</v>
      </c>
      <c r="BI74" s="419" t="e">
        <f ca="1">_xll.ciqfunctions.udf.CIQ($AT74, "IQ_EBITDA_CAPEX_INT",IQ_FY)</f>
        <v>#NAME?</v>
      </c>
      <c r="BJ74" s="419" t="e">
        <f ca="1">_xll.ciqfunctions.udf.CIQ($AT74, "IQ_EBIT_INT",IQ_FY)</f>
        <v>#NAME?</v>
      </c>
      <c r="BK74" s="425" t="e">
        <f ca="1">_xll.ciqfunctions.udf.CIQ($AT74, "IQ_QUICK_RATIO",IQ_FY)</f>
        <v>#NAME?</v>
      </c>
      <c r="BL74" s="425" t="e">
        <f ca="1">_xll.ciqfunctions.udf.CIQ($AT74, "IQ_CURRENT_RATIO",IQ_FY)</f>
        <v>#NAME?</v>
      </c>
      <c r="BM74" s="189" t="e">
        <f ca="1">_xll.ciqfunctions.udf.CIQ($AT74, "IQ_SP_LC_LT",Current)</f>
        <v>#NAME?</v>
      </c>
      <c r="BN74" s="189" t="e">
        <f ca="1">_xll.ciqfunctions.udf.CIQ($AT74, "IQ_SP_OUTLOOK_WATCH",Current)</f>
        <v>#NAME?</v>
      </c>
    </row>
    <row r="75" spans="2:66" hidden="1" outlineLevel="1">
      <c r="B75" s="924" t="str">
        <f>E106</f>
        <v>IQ260034573</v>
      </c>
      <c r="C75" s="924"/>
      <c r="D75" s="23" t="str">
        <f>D56</f>
        <v>Moelis &amp; Company</v>
      </c>
      <c r="E75" s="23"/>
      <c r="F75" s="189" t="str">
        <f>E105</f>
        <v>MC</v>
      </c>
      <c r="G75" s="417">
        <v>0.227134</v>
      </c>
      <c r="H75" s="425">
        <v>1.4024490956311799</v>
      </c>
      <c r="I75" s="420">
        <v>0</v>
      </c>
      <c r="J75" s="417">
        <v>0.22037487262726968</v>
      </c>
      <c r="K75" s="420">
        <v>0.39994200000000002</v>
      </c>
      <c r="L75" s="420">
        <v>0</v>
      </c>
      <c r="M75" s="419">
        <v>0.348584</v>
      </c>
      <c r="N75" s="419" t="s">
        <v>992</v>
      </c>
      <c r="O75" s="419">
        <v>0.53511799999999998</v>
      </c>
      <c r="P75" s="419" t="s">
        <v>992</v>
      </c>
      <c r="Q75" s="419" t="s">
        <v>992</v>
      </c>
      <c r="R75" s="419" t="s">
        <v>992</v>
      </c>
      <c r="S75" s="419">
        <v>0</v>
      </c>
      <c r="T75" s="419">
        <v>0</v>
      </c>
      <c r="U75" s="189" t="s">
        <v>993</v>
      </c>
      <c r="V75" s="189" t="s">
        <v>993</v>
      </c>
      <c r="W75" s="23"/>
      <c r="X75" s="924" t="str">
        <f>I106</f>
        <v>IQ260034573</v>
      </c>
      <c r="Y75" s="163"/>
      <c r="Z75" s="23" t="e">
        <f ca="1">Z56</f>
        <v>#NAME?</v>
      </c>
      <c r="AA75" s="23"/>
      <c r="AB75" s="189" t="str">
        <f>I105</f>
        <v>MC</v>
      </c>
      <c r="AC75" s="420" t="e">
        <f ca="1">_xll.ciqfunctions.udf.CIQ($X75, "IQ_EFFECT_TAX_RATE",IQ_FY)/100</f>
        <v>#NAME?</v>
      </c>
      <c r="AD75" s="425" t="e">
        <f ca="1">_xll.ciqfunctions.udf.CIQ($X75, "IQ_BETA_5YR",Current_Date)</f>
        <v>#NAME?</v>
      </c>
      <c r="AE75" s="420" t="e">
        <f ca="1">_xll.ciqfunctions.udf.CIQ($X75, "IQ_DIVIDEND_YIELD",Current_Date)/100</f>
        <v>#NAME?</v>
      </c>
      <c r="AF75" s="417" t="e">
        <f ca="1">(_xll.ciqfunctions.udf.CIQ($X75,"IQ_OPER_INC",IQ_LTM)*(1-AC75))/(((_xll.ciqfunctions.udf.CIQ($X75,"IQ_TOTAL_DEBT",IQ_LTM))+_xll.ciqfunctions.udf.CIQ($X75,"IQ_TOTAL_EQUITY",IQ_LTM))-_xll.ciqfunctions.udf.CIQ($X75,"IQ_CASH_EQUIV",IQ_LTM))</f>
        <v>#NAME?</v>
      </c>
      <c r="AG75" s="420" t="e">
        <f ca="1">_xll.ciqfunctions.udf.CIQ($X75, "IQ_RETURN_EQUITY",IQ_LTM)/100</f>
        <v>#NAME?</v>
      </c>
      <c r="AH75" s="420" t="e">
        <f ca="1">_xll.ciqfunctions.udf.CIQ($X75, "IQ_RETURN_ASSETS",IQ_LTM)/100</f>
        <v>#NAME?</v>
      </c>
      <c r="AI75" s="419" t="e">
        <f ca="1">_xll.ciqfunctions.udf.CIQ($X75, "IQ_TOTAL_DEBT_CAPITAL",IQ_FY)/100</f>
        <v>#NAME?</v>
      </c>
      <c r="AJ75" s="419" t="e">
        <f ca="1">_xll.ciqfunctions.udf.CIQ($X75, "IQ_TOTAL_DEBT_EBITDA",IQ_FY)</f>
        <v>#NAME?</v>
      </c>
      <c r="AK75" s="419" t="e">
        <f ca="1">_xll.ciqfunctions.udf.CIQ($X75, "IQ_TOTAL_DEBT_EQUITY",IQ_FY)/100</f>
        <v>#NAME?</v>
      </c>
      <c r="AL75" s="419" t="e">
        <f ca="1">_xll.ciqfunctions.udf.CIQ($X75, "IQ_EBITDA_INT",IQ_FY)</f>
        <v>#NAME?</v>
      </c>
      <c r="AM75" s="419" t="e">
        <f ca="1">_xll.ciqfunctions.udf.CIQ($X75, "IQ_EBITDA_CAPEX_INT",IQ_FY)</f>
        <v>#NAME?</v>
      </c>
      <c r="AN75" s="419" t="e">
        <f ca="1">_xll.ciqfunctions.udf.CIQ($X75, "IQ_EBIT_INT",IQ_FY)</f>
        <v>#NAME?</v>
      </c>
      <c r="AO75" s="425" t="e">
        <f ca="1">_xll.ciqfunctions.udf.CIQ($X75, "IQ_QUICK_RATIO",IQ_FY)</f>
        <v>#NAME?</v>
      </c>
      <c r="AP75" s="425" t="e">
        <f ca="1">_xll.ciqfunctions.udf.CIQ($X75, "IQ_CURRENT_RATIO",IQ_FY)</f>
        <v>#NAME?</v>
      </c>
      <c r="AQ75" s="189" t="e">
        <f ca="1">_xll.ciqfunctions.udf.CIQ($X75, "IQ_SP_LC_LT",Current)</f>
        <v>#NAME?</v>
      </c>
      <c r="AR75" s="189" t="e">
        <f ca="1">_xll.ciqfunctions.udf.CIQ($X75, "IQ_SP_OUTLOOK_WATCH",Current)</f>
        <v>#NAME?</v>
      </c>
      <c r="AT75" s="924" t="str">
        <f>N106</f>
        <v>IQ260034573</v>
      </c>
      <c r="AU75" s="163">
        <f>AU104</f>
        <v>0</v>
      </c>
      <c r="AV75" s="23" t="e">
        <f ca="1">AV56</f>
        <v>#NAME?</v>
      </c>
      <c r="AW75" s="23"/>
      <c r="AX75" s="189" t="str">
        <f>AX56</f>
        <v>MC</v>
      </c>
      <c r="AY75" s="420" t="e">
        <f ca="1">_xll.ciqfunctions.udf.CIQ($AT75, "IQ_EFFECT_TAX_RATE",IQ_FY)/100</f>
        <v>#NAME?</v>
      </c>
      <c r="AZ75" s="425" t="e">
        <f ca="1">_xll.ciqfunctions.udf.CIQ($AT75, "IQ_BETA_5YR",Current_Date)</f>
        <v>#NAME?</v>
      </c>
      <c r="BA75" s="420" t="e">
        <f ca="1">_xll.ciqfunctions.udf.CIQ($AT75, "IQ_DIVIDEND_YIELD",Current_Date)/100</f>
        <v>#NAME?</v>
      </c>
      <c r="BB75" s="417" t="e">
        <f ca="1">(_xll.ciqfunctions.udf.CIQ($AT75,"IQ_OPER_INC",IQ_LTM)*(1-AY75))/(((_xll.ciqfunctions.udf.CIQ($AT75,"IQ_TOTAL_DEBT",IQ_LTM))+_xll.ciqfunctions.udf.CIQ($AT75,"IQ_TOTAL_EQUITY",IQ_LTM))-_xll.ciqfunctions.udf.CIQ($AT75,"IQ_CASH_EQUIV",IQ_LTM))</f>
        <v>#NAME?</v>
      </c>
      <c r="BC75" s="420" t="e">
        <f ca="1">_xll.ciqfunctions.udf.CIQ($AT75, "IQ_RETURN_EQUITY",IQ_LTM)/100</f>
        <v>#NAME?</v>
      </c>
      <c r="BD75" s="420" t="e">
        <f ca="1">_xll.ciqfunctions.udf.CIQ($AT75, "IQ_RETURN_ASSETS",IQ_LTM)/100</f>
        <v>#NAME?</v>
      </c>
      <c r="BE75" s="419" t="e">
        <f ca="1">_xll.ciqfunctions.udf.CIQ($AT75, "IQ_TOTAL_DEBT_CAPITAL",IQ_FY)/100</f>
        <v>#NAME?</v>
      </c>
      <c r="BF75" s="419" t="e">
        <f ca="1">_xll.ciqfunctions.udf.CIQ($AT75, "IQ_TOTAL_DEBT_EBITDA",IQ_FY)</f>
        <v>#NAME?</v>
      </c>
      <c r="BG75" s="419" t="e">
        <f ca="1">_xll.ciqfunctions.udf.CIQ($AT75, "IQ_TOTAL_DEBT_EQUITY",IQ_FY)/100</f>
        <v>#NAME?</v>
      </c>
      <c r="BH75" s="419" t="e">
        <f ca="1">_xll.ciqfunctions.udf.CIQ($AT75, "IQ_EBITDA_INT",IQ_FY)</f>
        <v>#NAME?</v>
      </c>
      <c r="BI75" s="419" t="e">
        <f ca="1">_xll.ciqfunctions.udf.CIQ($AT75, "IQ_EBITDA_CAPEX_INT",IQ_FY)</f>
        <v>#NAME?</v>
      </c>
      <c r="BJ75" s="419" t="e">
        <f ca="1">_xll.ciqfunctions.udf.CIQ($AT75, "IQ_EBIT_INT",IQ_FY)</f>
        <v>#NAME?</v>
      </c>
      <c r="BK75" s="425" t="e">
        <f ca="1">_xll.ciqfunctions.udf.CIQ($AT75, "IQ_QUICK_RATIO",IQ_FY)</f>
        <v>#NAME?</v>
      </c>
      <c r="BL75" s="425" t="e">
        <f ca="1">_xll.ciqfunctions.udf.CIQ($AT75, "IQ_CURRENT_RATIO",IQ_FY)</f>
        <v>#NAME?</v>
      </c>
      <c r="BM75" s="189" t="e">
        <f ca="1">_xll.ciqfunctions.udf.CIQ($AT75, "IQ_SP_LC_LT",Current)</f>
        <v>#NAME?</v>
      </c>
      <c r="BN75" s="189" t="e">
        <f ca="1">_xll.ciqfunctions.udf.CIQ($AT75, "IQ_SP_OUTLOOK_WATCH",Current)</f>
        <v>#NAME?</v>
      </c>
    </row>
    <row r="76" spans="2:66" hidden="1" outlineLevel="1">
      <c r="B76" s="924">
        <f>E110</f>
        <v>0</v>
      </c>
      <c r="C76" s="924"/>
      <c r="D76" s="23"/>
      <c r="E76" s="23"/>
      <c r="F76" s="189"/>
      <c r="G76" s="417"/>
      <c r="H76" s="425"/>
      <c r="I76" s="420"/>
      <c r="J76" s="417"/>
      <c r="K76" s="420"/>
      <c r="L76" s="420"/>
      <c r="M76" s="419"/>
      <c r="N76" s="419"/>
      <c r="O76" s="419"/>
      <c r="P76" s="419"/>
      <c r="Q76" s="419"/>
      <c r="R76" s="419"/>
      <c r="S76" s="419"/>
      <c r="T76" s="419"/>
      <c r="U76" s="189"/>
      <c r="V76" s="189"/>
      <c r="W76" s="23"/>
      <c r="X76" s="924">
        <f>I110</f>
        <v>0</v>
      </c>
      <c r="Y76" s="163"/>
      <c r="Z76" s="23" t="e">
        <f ca="1">Z57</f>
        <v>#NAME?</v>
      </c>
      <c r="AA76" s="23"/>
      <c r="AB76" s="189">
        <f>I109</f>
        <v>0</v>
      </c>
      <c r="AC76" s="420" t="e">
        <f ca="1">_xll.ciqfunctions.udf.CIQ($X76, "IQ_EFFECT_TAX_RATE",IQ_FY)/100</f>
        <v>#NAME?</v>
      </c>
      <c r="AD76" s="425" t="e">
        <f ca="1">_xll.ciqfunctions.udf.CIQ($X76, "IQ_BETA_5YR",Current_Date)</f>
        <v>#NAME?</v>
      </c>
      <c r="AE76" s="420" t="e">
        <f ca="1">_xll.ciqfunctions.udf.CIQ($X76, "IQ_DIVIDEND_YIELD",Current_Date)/100</f>
        <v>#NAME?</v>
      </c>
      <c r="AF76" s="417" t="e">
        <f ca="1">(_xll.ciqfunctions.udf.CIQ($X76,"IQ_OPER_INC",IQ_LTM)*(1-AC76))/(((_xll.ciqfunctions.udf.CIQ($X76,"IQ_TOTAL_DEBT",IQ_LTM))+_xll.ciqfunctions.udf.CIQ($X76,"IQ_TOTAL_EQUITY",IQ_LTM))-_xll.ciqfunctions.udf.CIQ($X76,"IQ_CASH_EQUIV",IQ_LTM))</f>
        <v>#NAME?</v>
      </c>
      <c r="AG76" s="420" t="e">
        <f ca="1">_xll.ciqfunctions.udf.CIQ($X76, "IQ_RETURN_EQUITY",IQ_LTM)/100</f>
        <v>#NAME?</v>
      </c>
      <c r="AH76" s="420" t="e">
        <f ca="1">_xll.ciqfunctions.udf.CIQ($X76, "IQ_RETURN_ASSETS",IQ_LTM)/100</f>
        <v>#NAME?</v>
      </c>
      <c r="AI76" s="419" t="e">
        <f ca="1">_xll.ciqfunctions.udf.CIQ($X76, "IQ_TOTAL_DEBT_CAPITAL",IQ_FY)/100</f>
        <v>#NAME?</v>
      </c>
      <c r="AJ76" s="419" t="e">
        <f ca="1">_xll.ciqfunctions.udf.CIQ($X76, "IQ_TOTAL_DEBT_EBITDA",IQ_FY)</f>
        <v>#NAME?</v>
      </c>
      <c r="AK76" s="419" t="e">
        <f ca="1">_xll.ciqfunctions.udf.CIQ($X76, "IQ_TOTAL_DEBT_EQUITY",IQ_FY)/100</f>
        <v>#NAME?</v>
      </c>
      <c r="AL76" s="419" t="e">
        <f ca="1">_xll.ciqfunctions.udf.CIQ($X76, "IQ_EBITDA_INT",IQ_FY)</f>
        <v>#NAME?</v>
      </c>
      <c r="AM76" s="419" t="e">
        <f ca="1">_xll.ciqfunctions.udf.CIQ($X76, "IQ_EBITDA_CAPEX_INT",IQ_FY)</f>
        <v>#NAME?</v>
      </c>
      <c r="AN76" s="419" t="e">
        <f ca="1">_xll.ciqfunctions.udf.CIQ($X76, "IQ_EBIT_INT",IQ_FY)</f>
        <v>#NAME?</v>
      </c>
      <c r="AO76" s="425" t="e">
        <f ca="1">_xll.ciqfunctions.udf.CIQ($X76, "IQ_QUICK_RATIO",IQ_FY)</f>
        <v>#NAME?</v>
      </c>
      <c r="AP76" s="425" t="e">
        <f ca="1">_xll.ciqfunctions.udf.CIQ($X76, "IQ_CURRENT_RATIO",IQ_FY)</f>
        <v>#NAME?</v>
      </c>
      <c r="AQ76" s="189" t="e">
        <f ca="1">_xll.ciqfunctions.udf.CIQ($X76, "IQ_SP_LC_LT",Current)</f>
        <v>#NAME?</v>
      </c>
      <c r="AR76" s="189" t="e">
        <f ca="1">_xll.ciqfunctions.udf.CIQ($X76, "IQ_SP_OUTLOOK_WATCH",Current)</f>
        <v>#NAME?</v>
      </c>
      <c r="AT76" s="924">
        <f>N110</f>
        <v>0</v>
      </c>
      <c r="AU76" s="163">
        <f>AU108</f>
        <v>0</v>
      </c>
      <c r="AV76" s="23" t="e">
        <f ca="1">AV57</f>
        <v>#NAME?</v>
      </c>
      <c r="AW76" s="23"/>
      <c r="AX76" s="189">
        <f>AX57</f>
        <v>0</v>
      </c>
      <c r="AY76" s="420" t="e">
        <f ca="1">_xll.ciqfunctions.udf.CIQ($AT76, "IQ_EFFECT_TAX_RATE",IQ_FY)/100</f>
        <v>#NAME?</v>
      </c>
      <c r="AZ76" s="425" t="e">
        <f ca="1">_xll.ciqfunctions.udf.CIQ($AT76, "IQ_BETA_5YR",Current_Date)</f>
        <v>#NAME?</v>
      </c>
      <c r="BA76" s="420" t="e">
        <f ca="1">_xll.ciqfunctions.udf.CIQ($AT76, "IQ_DIVIDEND_YIELD",Current_Date)/100</f>
        <v>#NAME?</v>
      </c>
      <c r="BB76" s="417" t="e">
        <f ca="1">(_xll.ciqfunctions.udf.CIQ($AT76,"IQ_OPER_INC",IQ_LTM)*(1-AY76))/(((_xll.ciqfunctions.udf.CIQ($AT76,"IQ_TOTAL_DEBT",IQ_LTM))+_xll.ciqfunctions.udf.CIQ($AT76,"IQ_TOTAL_EQUITY",IQ_LTM))-_xll.ciqfunctions.udf.CIQ($AT76,"IQ_CASH_EQUIV",IQ_LTM))</f>
        <v>#NAME?</v>
      </c>
      <c r="BC76" s="420" t="e">
        <f ca="1">_xll.ciqfunctions.udf.CIQ($AT76, "IQ_RETURN_EQUITY",IQ_LTM)/100</f>
        <v>#NAME?</v>
      </c>
      <c r="BD76" s="420" t="e">
        <f ca="1">_xll.ciqfunctions.udf.CIQ($AT76, "IQ_RETURN_ASSETS",IQ_LTM)/100</f>
        <v>#NAME?</v>
      </c>
      <c r="BE76" s="419" t="e">
        <f ca="1">_xll.ciqfunctions.udf.CIQ($AT76, "IQ_TOTAL_DEBT_CAPITAL",IQ_FY)/100</f>
        <v>#NAME?</v>
      </c>
      <c r="BF76" s="419" t="e">
        <f ca="1">_xll.ciqfunctions.udf.CIQ($AT76, "IQ_TOTAL_DEBT_EBITDA",IQ_FY)</f>
        <v>#NAME?</v>
      </c>
      <c r="BG76" s="419" t="e">
        <f ca="1">_xll.ciqfunctions.udf.CIQ($AT76, "IQ_TOTAL_DEBT_EQUITY",IQ_FY)/100</f>
        <v>#NAME?</v>
      </c>
      <c r="BH76" s="419" t="e">
        <f ca="1">_xll.ciqfunctions.udf.CIQ($AT76, "IQ_EBITDA_INT",IQ_FY)</f>
        <v>#NAME?</v>
      </c>
      <c r="BI76" s="419" t="e">
        <f ca="1">_xll.ciqfunctions.udf.CIQ($AT76, "IQ_EBITDA_CAPEX_INT",IQ_FY)</f>
        <v>#NAME?</v>
      </c>
      <c r="BJ76" s="419" t="e">
        <f ca="1">_xll.ciqfunctions.udf.CIQ($AT76, "IQ_EBIT_INT",IQ_FY)</f>
        <v>#NAME?</v>
      </c>
      <c r="BK76" s="425" t="e">
        <f ca="1">_xll.ciqfunctions.udf.CIQ($AT76, "IQ_QUICK_RATIO",IQ_FY)</f>
        <v>#NAME?</v>
      </c>
      <c r="BL76" s="425" t="e">
        <f ca="1">_xll.ciqfunctions.udf.CIQ($AT76, "IQ_CURRENT_RATIO",IQ_FY)</f>
        <v>#NAME?</v>
      </c>
      <c r="BM76" s="189" t="e">
        <f ca="1">_xll.ciqfunctions.udf.CIQ($AT76, "IQ_SP_LC_LT",Current)</f>
        <v>#NAME?</v>
      </c>
      <c r="BN76" s="189" t="e">
        <f ca="1">_xll.ciqfunctions.udf.CIQ($AT76, "IQ_SP_OUTLOOK_WATCH",Current)</f>
        <v>#NAME?</v>
      </c>
    </row>
    <row r="77" spans="2:66" ht="15" hidden="1" outlineLevel="1" thickBot="1">
      <c r="C77" s="3"/>
      <c r="D77" s="155"/>
      <c r="E77" s="23"/>
      <c r="F77" s="189"/>
      <c r="G77" s="430"/>
      <c r="H77" s="189"/>
      <c r="I77" s="430"/>
      <c r="J77" s="189"/>
      <c r="K77" s="189"/>
      <c r="L77" s="189"/>
      <c r="M77" s="189"/>
      <c r="N77" s="189"/>
      <c r="O77" s="415"/>
      <c r="P77" s="419"/>
      <c r="Q77" s="419"/>
      <c r="R77" s="419"/>
      <c r="S77" s="435"/>
      <c r="T77" s="189"/>
      <c r="U77" s="439"/>
      <c r="V77" s="439"/>
      <c r="W77" s="23"/>
      <c r="Y77" s="163"/>
      <c r="Z77" s="155"/>
      <c r="AA77" s="23"/>
      <c r="AB77" s="189"/>
      <c r="AC77" s="430"/>
      <c r="AD77" s="189"/>
      <c r="AE77" s="430"/>
      <c r="AF77" s="189"/>
      <c r="AG77" s="189"/>
      <c r="AH77" s="189"/>
      <c r="AI77" s="189"/>
      <c r="AJ77" s="189"/>
      <c r="AK77" s="415"/>
      <c r="AL77" s="419"/>
      <c r="AM77" s="419"/>
      <c r="AN77" s="419"/>
      <c r="AO77" s="435"/>
      <c r="AP77" s="189"/>
      <c r="AQ77" s="439"/>
      <c r="AR77" s="439"/>
      <c r="AU77" s="163"/>
      <c r="AV77" s="155"/>
      <c r="AW77" s="23"/>
      <c r="AX77" s="189"/>
      <c r="AY77" s="430"/>
      <c r="AZ77" s="189"/>
      <c r="BA77" s="430"/>
      <c r="BB77" s="189"/>
      <c r="BC77" s="189"/>
      <c r="BD77" s="189"/>
      <c r="BE77" s="189"/>
      <c r="BF77" s="189"/>
      <c r="BG77" s="415"/>
      <c r="BH77" s="419"/>
      <c r="BI77" s="419"/>
      <c r="BJ77" s="419"/>
      <c r="BK77" s="435"/>
      <c r="BL77" s="189"/>
      <c r="BM77" s="439"/>
      <c r="BN77" s="439"/>
    </row>
    <row r="78" spans="2:66" hidden="1" outlineLevel="1">
      <c r="B78" s="163"/>
      <c r="C78" s="163"/>
      <c r="D78" s="680" t="str">
        <f>D36</f>
        <v>High</v>
      </c>
      <c r="E78" s="681"/>
      <c r="F78" s="682"/>
      <c r="G78" s="683">
        <f t="shared" ref="G78:T78" si="43">MAX(G72:G76)</f>
        <v>0.28227099999999999</v>
      </c>
      <c r="H78" s="925">
        <f t="shared" si="43"/>
        <v>1.4024490956311799</v>
      </c>
      <c r="I78" s="684">
        <f t="shared" si="43"/>
        <v>0</v>
      </c>
      <c r="J78" s="684">
        <f t="shared" si="43"/>
        <v>0.22037487262726968</v>
      </c>
      <c r="K78" s="684">
        <f t="shared" si="43"/>
        <v>0.42963900000000005</v>
      </c>
      <c r="L78" s="684">
        <f t="shared" si="43"/>
        <v>0.11154199999999999</v>
      </c>
      <c r="M78" s="685">
        <f t="shared" si="43"/>
        <v>0.74139300000000008</v>
      </c>
      <c r="N78" s="684">
        <f t="shared" si="43"/>
        <v>0</v>
      </c>
      <c r="O78" s="684">
        <f t="shared" si="43"/>
        <v>2.8668720000000003</v>
      </c>
      <c r="P78" s="685">
        <f t="shared" si="43"/>
        <v>0</v>
      </c>
      <c r="Q78" s="685">
        <f t="shared" si="43"/>
        <v>0</v>
      </c>
      <c r="R78" s="685">
        <f t="shared" si="43"/>
        <v>0</v>
      </c>
      <c r="S78" s="685">
        <f t="shared" si="43"/>
        <v>2.4401839999999999</v>
      </c>
      <c r="T78" s="685">
        <f t="shared" si="43"/>
        <v>2.7965939999999998</v>
      </c>
      <c r="U78" s="686"/>
      <c r="V78" s="687"/>
      <c r="W78" s="23"/>
      <c r="Y78" s="163"/>
      <c r="Z78" s="680" t="str">
        <f>Z36</f>
        <v>High</v>
      </c>
      <c r="AA78" s="681"/>
      <c r="AB78" s="682"/>
      <c r="AC78" s="683" t="e">
        <f t="shared" ref="AC78:AP78" ca="1" si="44">MAX(AC72:AC76)</f>
        <v>#NAME?</v>
      </c>
      <c r="AD78" s="925" t="e">
        <f t="shared" ca="1" si="44"/>
        <v>#NAME?</v>
      </c>
      <c r="AE78" s="684" t="e">
        <f t="shared" ca="1" si="44"/>
        <v>#NAME?</v>
      </c>
      <c r="AF78" s="684" t="e">
        <f t="shared" ca="1" si="44"/>
        <v>#NAME?</v>
      </c>
      <c r="AG78" s="684" t="e">
        <f t="shared" ca="1" si="44"/>
        <v>#NAME?</v>
      </c>
      <c r="AH78" s="684" t="e">
        <f t="shared" ca="1" si="44"/>
        <v>#NAME?</v>
      </c>
      <c r="AI78" s="685" t="e">
        <f t="shared" ca="1" si="44"/>
        <v>#NAME?</v>
      </c>
      <c r="AJ78" s="684" t="e">
        <f t="shared" ca="1" si="44"/>
        <v>#NAME?</v>
      </c>
      <c r="AK78" s="686" t="e">
        <f ca="1">MAX(AK72:AK76)</f>
        <v>#NAME?</v>
      </c>
      <c r="AL78" s="686" t="e">
        <f t="shared" ca="1" si="44"/>
        <v>#NAME?</v>
      </c>
      <c r="AM78" s="686" t="e">
        <f t="shared" ca="1" si="44"/>
        <v>#NAME?</v>
      </c>
      <c r="AN78" s="686" t="e">
        <f ca="1">MAX(AN72:AN76)</f>
        <v>#NAME?</v>
      </c>
      <c r="AO78" s="686" t="e">
        <f t="shared" ca="1" si="44"/>
        <v>#NAME?</v>
      </c>
      <c r="AP78" s="686" t="e">
        <f t="shared" ca="1" si="44"/>
        <v>#NAME?</v>
      </c>
      <c r="AQ78" s="686"/>
      <c r="AR78" s="687"/>
      <c r="AU78" s="163"/>
      <c r="AV78" s="680" t="str">
        <f>AV36</f>
        <v>High</v>
      </c>
      <c r="AW78" s="681"/>
      <c r="AX78" s="682"/>
      <c r="AY78" s="683" t="e">
        <f t="shared" ref="AY78:BL78" ca="1" si="45">MAX(AY72:AY76)</f>
        <v>#NAME?</v>
      </c>
      <c r="AZ78" s="683" t="e">
        <f t="shared" ca="1" si="45"/>
        <v>#NAME?</v>
      </c>
      <c r="BA78" s="684" t="e">
        <f t="shared" ca="1" si="45"/>
        <v>#NAME?</v>
      </c>
      <c r="BB78" s="684" t="e">
        <f t="shared" ca="1" si="45"/>
        <v>#NAME?</v>
      </c>
      <c r="BC78" s="684" t="e">
        <f t="shared" ca="1" si="45"/>
        <v>#NAME?</v>
      </c>
      <c r="BD78" s="684" t="e">
        <f t="shared" ca="1" si="45"/>
        <v>#NAME?</v>
      </c>
      <c r="BE78" s="684" t="e">
        <f t="shared" ca="1" si="45"/>
        <v>#NAME?</v>
      </c>
      <c r="BF78" s="684" t="e">
        <f t="shared" ca="1" si="45"/>
        <v>#NAME?</v>
      </c>
      <c r="BG78" s="684" t="e">
        <f t="shared" ca="1" si="45"/>
        <v>#NAME?</v>
      </c>
      <c r="BH78" s="684" t="e">
        <f t="shared" ca="1" si="45"/>
        <v>#NAME?</v>
      </c>
      <c r="BI78" s="685" t="e">
        <f t="shared" ca="1" si="45"/>
        <v>#NAME?</v>
      </c>
      <c r="BJ78" s="686" t="e">
        <f t="shared" ca="1" si="45"/>
        <v>#NAME?</v>
      </c>
      <c r="BK78" s="686" t="e">
        <f t="shared" ca="1" si="45"/>
        <v>#NAME?</v>
      </c>
      <c r="BL78" s="686" t="e">
        <f t="shared" ca="1" si="45"/>
        <v>#NAME?</v>
      </c>
      <c r="BM78" s="686"/>
      <c r="BN78" s="687"/>
    </row>
    <row r="79" spans="2:66" hidden="1" outlineLevel="1">
      <c r="B79" s="163"/>
      <c r="C79" s="163"/>
      <c r="D79" s="688" t="str">
        <f>D37</f>
        <v>Mean</v>
      </c>
      <c r="E79" s="436"/>
      <c r="F79" s="689"/>
      <c r="G79" s="690">
        <f t="shared" ref="G79:T79" si="46">AVERAGE(G72:G76)</f>
        <v>0.22154225</v>
      </c>
      <c r="H79" s="926">
        <f t="shared" si="46"/>
        <v>1.0396737571268884</v>
      </c>
      <c r="I79" s="691">
        <f t="shared" si="46"/>
        <v>0</v>
      </c>
      <c r="J79" s="691">
        <f t="shared" si="46"/>
        <v>0.20059096874915494</v>
      </c>
      <c r="K79" s="691">
        <f t="shared" si="46"/>
        <v>0.32246325000000003</v>
      </c>
      <c r="L79" s="691">
        <f t="shared" si="46"/>
        <v>4.3087749999999994E-2</v>
      </c>
      <c r="M79" s="927">
        <f t="shared" si="46"/>
        <v>0.39019399999999999</v>
      </c>
      <c r="N79" s="691" t="e">
        <f t="shared" si="46"/>
        <v>#DIV/0!</v>
      </c>
      <c r="O79" s="691">
        <f t="shared" si="46"/>
        <v>1.0073505</v>
      </c>
      <c r="P79" s="927" t="e">
        <f t="shared" si="46"/>
        <v>#DIV/0!</v>
      </c>
      <c r="Q79" s="927" t="e">
        <f t="shared" si="46"/>
        <v>#DIV/0!</v>
      </c>
      <c r="R79" s="927" t="e">
        <f t="shared" si="46"/>
        <v>#DIV/0!</v>
      </c>
      <c r="S79" s="927">
        <f t="shared" si="46"/>
        <v>0.93219625000000006</v>
      </c>
      <c r="T79" s="927">
        <f t="shared" si="46"/>
        <v>1.0216132499999999</v>
      </c>
      <c r="U79" s="693"/>
      <c r="V79" s="694"/>
      <c r="W79" s="23"/>
      <c r="Y79" s="163"/>
      <c r="Z79" s="688" t="str">
        <f>Z37</f>
        <v>Mean</v>
      </c>
      <c r="AA79" s="436"/>
      <c r="AB79" s="689"/>
      <c r="AC79" s="690" t="e">
        <f t="shared" ref="AC79:AP79" ca="1" si="47">AVERAGE(AC72:AC76)</f>
        <v>#NAME?</v>
      </c>
      <c r="AD79" s="926" t="e">
        <f t="shared" ca="1" si="47"/>
        <v>#NAME?</v>
      </c>
      <c r="AE79" s="691" t="e">
        <f t="shared" ca="1" si="47"/>
        <v>#NAME?</v>
      </c>
      <c r="AF79" s="691" t="e">
        <f t="shared" ca="1" si="47"/>
        <v>#NAME?</v>
      </c>
      <c r="AG79" s="691" t="e">
        <f t="shared" ca="1" si="47"/>
        <v>#NAME?</v>
      </c>
      <c r="AH79" s="691" t="e">
        <f t="shared" ca="1" si="47"/>
        <v>#NAME?</v>
      </c>
      <c r="AI79" s="692" t="e">
        <f t="shared" ca="1" si="47"/>
        <v>#NAME?</v>
      </c>
      <c r="AJ79" s="691" t="e">
        <f t="shared" ca="1" si="47"/>
        <v>#NAME?</v>
      </c>
      <c r="AK79" s="693" t="e">
        <f ca="1">AVERAGE(AK72:AK76)</f>
        <v>#NAME?</v>
      </c>
      <c r="AL79" s="693" t="e">
        <f t="shared" ca="1" si="47"/>
        <v>#NAME?</v>
      </c>
      <c r="AM79" s="693" t="e">
        <f t="shared" ca="1" si="47"/>
        <v>#NAME?</v>
      </c>
      <c r="AN79" s="693" t="e">
        <f t="shared" ca="1" si="47"/>
        <v>#NAME?</v>
      </c>
      <c r="AO79" s="693" t="e">
        <f t="shared" ca="1" si="47"/>
        <v>#NAME?</v>
      </c>
      <c r="AP79" s="693" t="e">
        <f t="shared" ca="1" si="47"/>
        <v>#NAME?</v>
      </c>
      <c r="AQ79" s="693"/>
      <c r="AR79" s="694"/>
      <c r="AU79" s="163"/>
      <c r="AV79" s="688" t="str">
        <f>AV37</f>
        <v>Mean</v>
      </c>
      <c r="AW79" s="436"/>
      <c r="AX79" s="689"/>
      <c r="AY79" s="690" t="e">
        <f t="shared" ref="AY79:BL79" ca="1" si="48">AVERAGE(AY72:AY76)</f>
        <v>#NAME?</v>
      </c>
      <c r="AZ79" s="690" t="e">
        <f t="shared" ca="1" si="48"/>
        <v>#NAME?</v>
      </c>
      <c r="BA79" s="691" t="e">
        <f t="shared" ca="1" si="48"/>
        <v>#NAME?</v>
      </c>
      <c r="BB79" s="691" t="e">
        <f t="shared" ca="1" si="48"/>
        <v>#NAME?</v>
      </c>
      <c r="BC79" s="691" t="e">
        <f t="shared" ca="1" si="48"/>
        <v>#NAME?</v>
      </c>
      <c r="BD79" s="691" t="e">
        <f t="shared" ca="1" si="48"/>
        <v>#NAME?</v>
      </c>
      <c r="BE79" s="691" t="e">
        <f t="shared" ca="1" si="48"/>
        <v>#NAME?</v>
      </c>
      <c r="BF79" s="691" t="e">
        <f t="shared" ca="1" si="48"/>
        <v>#NAME?</v>
      </c>
      <c r="BG79" s="691" t="e">
        <f t="shared" ca="1" si="48"/>
        <v>#NAME?</v>
      </c>
      <c r="BH79" s="691" t="e">
        <f t="shared" ca="1" si="48"/>
        <v>#NAME?</v>
      </c>
      <c r="BI79" s="692" t="e">
        <f t="shared" ca="1" si="48"/>
        <v>#NAME?</v>
      </c>
      <c r="BJ79" s="693" t="e">
        <f t="shared" ca="1" si="48"/>
        <v>#NAME?</v>
      </c>
      <c r="BK79" s="693" t="e">
        <f t="shared" ca="1" si="48"/>
        <v>#NAME?</v>
      </c>
      <c r="BL79" s="693" t="e">
        <f t="shared" ca="1" si="48"/>
        <v>#NAME?</v>
      </c>
      <c r="BM79" s="693"/>
      <c r="BN79" s="694"/>
    </row>
    <row r="80" spans="2:66" hidden="1" outlineLevel="1">
      <c r="B80" s="163"/>
      <c r="C80" s="163"/>
      <c r="D80" s="688" t="str">
        <f>D38</f>
        <v>Median</v>
      </c>
      <c r="E80" s="436"/>
      <c r="F80" s="436"/>
      <c r="G80" s="690">
        <f t="shared" ref="G80:T80" si="49">MEDIAN(G72:G76)</f>
        <v>0.24263699999999999</v>
      </c>
      <c r="H80" s="926">
        <f t="shared" si="49"/>
        <v>1.048939759581297</v>
      </c>
      <c r="I80" s="691">
        <f t="shared" si="49"/>
        <v>0</v>
      </c>
      <c r="J80" s="691">
        <f t="shared" si="49"/>
        <v>0.1954346468095613</v>
      </c>
      <c r="K80" s="691">
        <f t="shared" si="49"/>
        <v>0.33689100000000005</v>
      </c>
      <c r="L80" s="691">
        <f t="shared" si="49"/>
        <v>3.0404499999999998E-2</v>
      </c>
      <c r="M80" s="927">
        <f t="shared" si="49"/>
        <v>0.31746649999999998</v>
      </c>
      <c r="N80" s="691" t="e">
        <f t="shared" si="49"/>
        <v>#NUM!</v>
      </c>
      <c r="O80" s="691">
        <f t="shared" si="49"/>
        <v>0.46818199999999999</v>
      </c>
      <c r="P80" s="927" t="e">
        <f t="shared" si="49"/>
        <v>#NUM!</v>
      </c>
      <c r="Q80" s="927" t="e">
        <f t="shared" si="49"/>
        <v>#NUM!</v>
      </c>
      <c r="R80" s="927" t="e">
        <f t="shared" si="49"/>
        <v>#NUM!</v>
      </c>
      <c r="S80" s="927">
        <f t="shared" si="49"/>
        <v>0.64430050000000005</v>
      </c>
      <c r="T80" s="927">
        <f t="shared" si="49"/>
        <v>0.64492950000000004</v>
      </c>
      <c r="U80" s="693"/>
      <c r="V80" s="694"/>
      <c r="W80" s="23"/>
      <c r="Y80" s="163"/>
      <c r="Z80" s="688" t="str">
        <f>Z38</f>
        <v>Median</v>
      </c>
      <c r="AA80" s="436"/>
      <c r="AB80" s="436"/>
      <c r="AC80" s="690" t="e">
        <f t="shared" ref="AC80:AP80" ca="1" si="50">MEDIAN(AC72:AC76)</f>
        <v>#NAME?</v>
      </c>
      <c r="AD80" s="926" t="e">
        <f t="shared" ca="1" si="50"/>
        <v>#NAME?</v>
      </c>
      <c r="AE80" s="691" t="e">
        <f t="shared" ca="1" si="50"/>
        <v>#NAME?</v>
      </c>
      <c r="AF80" s="691" t="e">
        <f t="shared" ca="1" si="50"/>
        <v>#NAME?</v>
      </c>
      <c r="AG80" s="691" t="e">
        <f t="shared" ca="1" si="50"/>
        <v>#NAME?</v>
      </c>
      <c r="AH80" s="691" t="e">
        <f t="shared" ca="1" si="50"/>
        <v>#NAME?</v>
      </c>
      <c r="AI80" s="692" t="e">
        <f t="shared" ca="1" si="50"/>
        <v>#NAME?</v>
      </c>
      <c r="AJ80" s="691" t="e">
        <f t="shared" ca="1" si="50"/>
        <v>#NAME?</v>
      </c>
      <c r="AK80" s="693" t="e">
        <f ca="1">MEDIAN(AK72:AK76)</f>
        <v>#NAME?</v>
      </c>
      <c r="AL80" s="693" t="e">
        <f t="shared" ca="1" si="50"/>
        <v>#NAME?</v>
      </c>
      <c r="AM80" s="693" t="e">
        <f t="shared" ca="1" si="50"/>
        <v>#NAME?</v>
      </c>
      <c r="AN80" s="693" t="e">
        <f t="shared" ca="1" si="50"/>
        <v>#NAME?</v>
      </c>
      <c r="AO80" s="693" t="e">
        <f t="shared" ca="1" si="50"/>
        <v>#NAME?</v>
      </c>
      <c r="AP80" s="693" t="e">
        <f t="shared" ca="1" si="50"/>
        <v>#NAME?</v>
      </c>
      <c r="AQ80" s="693"/>
      <c r="AR80" s="694"/>
      <c r="AU80" s="163"/>
      <c r="AV80" s="688" t="str">
        <f>AV38</f>
        <v>Median</v>
      </c>
      <c r="AW80" s="436"/>
      <c r="AX80" s="436"/>
      <c r="AY80" s="690" t="e">
        <f t="shared" ref="AY80:BL80" ca="1" si="51">MEDIAN(AY72:AY76)</f>
        <v>#NAME?</v>
      </c>
      <c r="AZ80" s="690" t="e">
        <f t="shared" ca="1" si="51"/>
        <v>#NAME?</v>
      </c>
      <c r="BA80" s="691" t="e">
        <f t="shared" ca="1" si="51"/>
        <v>#NAME?</v>
      </c>
      <c r="BB80" s="691" t="e">
        <f t="shared" ca="1" si="51"/>
        <v>#NAME?</v>
      </c>
      <c r="BC80" s="691" t="e">
        <f t="shared" ca="1" si="51"/>
        <v>#NAME?</v>
      </c>
      <c r="BD80" s="691" t="e">
        <f t="shared" ca="1" si="51"/>
        <v>#NAME?</v>
      </c>
      <c r="BE80" s="691" t="e">
        <f t="shared" ca="1" si="51"/>
        <v>#NAME?</v>
      </c>
      <c r="BF80" s="691" t="e">
        <f t="shared" ca="1" si="51"/>
        <v>#NAME?</v>
      </c>
      <c r="BG80" s="691" t="e">
        <f t="shared" ca="1" si="51"/>
        <v>#NAME?</v>
      </c>
      <c r="BH80" s="691" t="e">
        <f t="shared" ca="1" si="51"/>
        <v>#NAME?</v>
      </c>
      <c r="BI80" s="692" t="e">
        <f t="shared" ca="1" si="51"/>
        <v>#NAME?</v>
      </c>
      <c r="BJ80" s="693" t="e">
        <f t="shared" ca="1" si="51"/>
        <v>#NAME?</v>
      </c>
      <c r="BK80" s="693" t="e">
        <f t="shared" ca="1" si="51"/>
        <v>#NAME?</v>
      </c>
      <c r="BL80" s="693" t="e">
        <f t="shared" ca="1" si="51"/>
        <v>#NAME?</v>
      </c>
      <c r="BM80" s="693"/>
      <c r="BN80" s="694"/>
    </row>
    <row r="81" spans="2:66" ht="15" hidden="1" outlineLevel="1" thickBot="1">
      <c r="B81" s="163"/>
      <c r="C81" s="163"/>
      <c r="D81" s="695" t="str">
        <f>D39</f>
        <v>Low</v>
      </c>
      <c r="E81" s="437"/>
      <c r="F81" s="437"/>
      <c r="G81" s="696">
        <f t="shared" ref="G81:T81" si="52">MIN(G72:G76)</f>
        <v>0.11862399999999999</v>
      </c>
      <c r="H81" s="928">
        <f t="shared" si="52"/>
        <v>0.65836641371377902</v>
      </c>
      <c r="I81" s="697">
        <f t="shared" si="52"/>
        <v>0</v>
      </c>
      <c r="J81" s="697">
        <f t="shared" si="52"/>
        <v>0.19111970875022743</v>
      </c>
      <c r="K81" s="697">
        <f t="shared" si="52"/>
        <v>0.18643200000000001</v>
      </c>
      <c r="L81" s="697">
        <f t="shared" si="52"/>
        <v>0</v>
      </c>
      <c r="M81" s="929">
        <f t="shared" si="52"/>
        <v>0.18445</v>
      </c>
      <c r="N81" s="697">
        <f t="shared" si="52"/>
        <v>0</v>
      </c>
      <c r="O81" s="697">
        <f t="shared" si="52"/>
        <v>0.22616599999999998</v>
      </c>
      <c r="P81" s="929">
        <f t="shared" si="52"/>
        <v>0</v>
      </c>
      <c r="Q81" s="929">
        <f t="shared" si="52"/>
        <v>0</v>
      </c>
      <c r="R81" s="929">
        <f t="shared" si="52"/>
        <v>0</v>
      </c>
      <c r="S81" s="929">
        <f t="shared" si="52"/>
        <v>0</v>
      </c>
      <c r="T81" s="929">
        <f t="shared" si="52"/>
        <v>0</v>
      </c>
      <c r="U81" s="699"/>
      <c r="V81" s="700"/>
      <c r="W81" s="23"/>
      <c r="Y81" s="163"/>
      <c r="Z81" s="695" t="str">
        <f>Z39</f>
        <v>Low</v>
      </c>
      <c r="AA81" s="437"/>
      <c r="AB81" s="437"/>
      <c r="AC81" s="696" t="e">
        <f t="shared" ref="AC81:AP81" ca="1" si="53">MIN(AC72:AC76)</f>
        <v>#NAME?</v>
      </c>
      <c r="AD81" s="928" t="e">
        <f t="shared" ca="1" si="53"/>
        <v>#NAME?</v>
      </c>
      <c r="AE81" s="697" t="e">
        <f t="shared" ca="1" si="53"/>
        <v>#NAME?</v>
      </c>
      <c r="AF81" s="697" t="e">
        <f t="shared" ca="1" si="53"/>
        <v>#NAME?</v>
      </c>
      <c r="AG81" s="697" t="e">
        <f t="shared" ca="1" si="53"/>
        <v>#NAME?</v>
      </c>
      <c r="AH81" s="697" t="e">
        <f t="shared" ca="1" si="53"/>
        <v>#NAME?</v>
      </c>
      <c r="AI81" s="698" t="e">
        <f t="shared" ca="1" si="53"/>
        <v>#NAME?</v>
      </c>
      <c r="AJ81" s="697" t="e">
        <f t="shared" ca="1" si="53"/>
        <v>#NAME?</v>
      </c>
      <c r="AK81" s="699" t="e">
        <f ca="1">MIN(AK72:AK76)</f>
        <v>#NAME?</v>
      </c>
      <c r="AL81" s="699" t="e">
        <f t="shared" ca="1" si="53"/>
        <v>#NAME?</v>
      </c>
      <c r="AM81" s="699" t="e">
        <f t="shared" ca="1" si="53"/>
        <v>#NAME?</v>
      </c>
      <c r="AN81" s="699" t="e">
        <f t="shared" ca="1" si="53"/>
        <v>#NAME?</v>
      </c>
      <c r="AO81" s="699" t="e">
        <f t="shared" ca="1" si="53"/>
        <v>#NAME?</v>
      </c>
      <c r="AP81" s="699" t="e">
        <f t="shared" ca="1" si="53"/>
        <v>#NAME?</v>
      </c>
      <c r="AQ81" s="699"/>
      <c r="AR81" s="700"/>
      <c r="AU81" s="163"/>
      <c r="AV81" s="695" t="str">
        <f>AV39</f>
        <v>Low</v>
      </c>
      <c r="AW81" s="437"/>
      <c r="AX81" s="437"/>
      <c r="AY81" s="696" t="e">
        <f t="shared" ref="AY81:BL81" ca="1" si="54">MIN(AY72:AY76)</f>
        <v>#NAME?</v>
      </c>
      <c r="AZ81" s="696" t="e">
        <f t="shared" ca="1" si="54"/>
        <v>#NAME?</v>
      </c>
      <c r="BA81" s="697" t="e">
        <f t="shared" ca="1" si="54"/>
        <v>#NAME?</v>
      </c>
      <c r="BB81" s="697" t="e">
        <f t="shared" ca="1" si="54"/>
        <v>#NAME?</v>
      </c>
      <c r="BC81" s="697" t="e">
        <f t="shared" ca="1" si="54"/>
        <v>#NAME?</v>
      </c>
      <c r="BD81" s="697" t="e">
        <f t="shared" ca="1" si="54"/>
        <v>#NAME?</v>
      </c>
      <c r="BE81" s="697" t="e">
        <f t="shared" ca="1" si="54"/>
        <v>#NAME?</v>
      </c>
      <c r="BF81" s="697" t="e">
        <f t="shared" ca="1" si="54"/>
        <v>#NAME?</v>
      </c>
      <c r="BG81" s="697" t="e">
        <f t="shared" ca="1" si="54"/>
        <v>#NAME?</v>
      </c>
      <c r="BH81" s="697" t="e">
        <f t="shared" ca="1" si="54"/>
        <v>#NAME?</v>
      </c>
      <c r="BI81" s="698" t="e">
        <f t="shared" ca="1" si="54"/>
        <v>#NAME?</v>
      </c>
      <c r="BJ81" s="699" t="e">
        <f t="shared" ca="1" si="54"/>
        <v>#NAME?</v>
      </c>
      <c r="BK81" s="699" t="e">
        <f t="shared" ca="1" si="54"/>
        <v>#NAME?</v>
      </c>
      <c r="BL81" s="699" t="e">
        <f t="shared" ca="1" si="54"/>
        <v>#NAME?</v>
      </c>
      <c r="BM81" s="699"/>
      <c r="BN81" s="700"/>
    </row>
    <row r="82" spans="2:66" hidden="1" outlineLevel="1">
      <c r="B82" s="163"/>
      <c r="C82" s="163"/>
      <c r="D82" s="23"/>
      <c r="E82" s="23"/>
      <c r="F82" s="23"/>
      <c r="G82" s="438"/>
      <c r="H82" s="189"/>
      <c r="I82" s="438"/>
      <c r="J82" s="438"/>
      <c r="K82" s="438"/>
      <c r="L82" s="438"/>
      <c r="M82" s="438"/>
      <c r="N82" s="419"/>
      <c r="O82" s="438"/>
      <c r="P82" s="419"/>
      <c r="Q82" s="418"/>
      <c r="R82" s="419"/>
      <c r="S82" s="23"/>
      <c r="T82" s="438"/>
      <c r="U82" s="434"/>
      <c r="V82" s="434"/>
      <c r="W82" s="23"/>
      <c r="Y82" s="163"/>
      <c r="Z82" s="23"/>
      <c r="AA82" s="23"/>
      <c r="AB82" s="23"/>
      <c r="AC82" s="438"/>
      <c r="AD82" s="189"/>
      <c r="AE82" s="438"/>
      <c r="AF82" s="438"/>
      <c r="AG82" s="438"/>
      <c r="AH82" s="438"/>
      <c r="AI82" s="438"/>
      <c r="AJ82" s="419"/>
      <c r="AK82" s="438"/>
      <c r="AL82" s="419"/>
      <c r="AM82" s="418"/>
      <c r="AN82" s="419"/>
      <c r="AO82" s="23"/>
      <c r="AP82" s="438"/>
      <c r="AQ82" s="434"/>
      <c r="AR82" s="434"/>
      <c r="AU82" s="163"/>
      <c r="AV82" s="23"/>
      <c r="AW82" s="23"/>
      <c r="AX82" s="23"/>
      <c r="AY82" s="438"/>
      <c r="AZ82" s="189"/>
      <c r="BA82" s="438"/>
      <c r="BB82" s="438"/>
      <c r="BC82" s="438"/>
      <c r="BD82" s="438"/>
      <c r="BE82" s="438"/>
      <c r="BF82" s="419"/>
      <c r="BG82" s="438"/>
      <c r="BH82" s="419"/>
      <c r="BI82" s="418"/>
      <c r="BJ82" s="419"/>
      <c r="BK82" s="23"/>
      <c r="BL82" s="438"/>
      <c r="BM82" s="434"/>
      <c r="BN82" s="434"/>
    </row>
    <row r="83" spans="2:66" hidden="1" outlineLevel="1">
      <c r="B83" s="163"/>
      <c r="C83" s="163"/>
      <c r="D83" s="23"/>
      <c r="E83" s="23"/>
      <c r="F83" s="23"/>
      <c r="G83" s="23"/>
      <c r="H83" s="23"/>
      <c r="I83" s="23"/>
      <c r="J83" s="23"/>
      <c r="K83" s="23"/>
      <c r="L83" s="23"/>
      <c r="M83" s="23"/>
      <c r="N83" s="23"/>
      <c r="O83" s="23"/>
      <c r="P83" s="23"/>
      <c r="Q83" s="23"/>
      <c r="R83" s="23"/>
      <c r="S83" s="23"/>
      <c r="T83" s="23"/>
      <c r="U83" s="23"/>
      <c r="V83" s="23"/>
      <c r="W83" s="23"/>
      <c r="Y83" s="163"/>
      <c r="Z83" s="23"/>
      <c r="AA83" s="23"/>
      <c r="AB83" s="23"/>
      <c r="AC83" s="23"/>
      <c r="AD83" s="23"/>
      <c r="AE83" s="23"/>
      <c r="AF83" s="23"/>
      <c r="AG83" s="23"/>
      <c r="AH83" s="23"/>
      <c r="AI83" s="23"/>
      <c r="AJ83" s="23"/>
      <c r="AK83" s="23"/>
      <c r="AL83" s="23"/>
      <c r="AM83" s="23"/>
      <c r="AN83" s="23"/>
      <c r="AO83" s="23"/>
      <c r="AP83" s="23"/>
      <c r="AQ83" s="23"/>
      <c r="AR83" s="23"/>
    </row>
    <row r="84" spans="2:66" ht="15" hidden="1" outlineLevel="1" thickBot="1">
      <c r="B84" s="163" t="s">
        <v>1</v>
      </c>
      <c r="C84" s="163"/>
      <c r="D84" s="440" t="s">
        <v>388</v>
      </c>
      <c r="E84" s="440"/>
      <c r="F84" s="440"/>
      <c r="G84" s="440"/>
      <c r="H84" s="440"/>
      <c r="I84" s="440"/>
      <c r="J84" s="440"/>
      <c r="K84" s="440"/>
      <c r="L84" s="440"/>
      <c r="M84" s="440"/>
      <c r="N84" s="440"/>
      <c r="O84" s="440"/>
      <c r="P84" s="440"/>
      <c r="Q84" s="440"/>
      <c r="R84" s="440"/>
      <c r="S84" s="440"/>
      <c r="T84" s="440"/>
      <c r="U84" s="440"/>
      <c r="V84" s="440"/>
      <c r="W84" s="23"/>
      <c r="X84" s="23"/>
      <c r="Y84" s="23"/>
    </row>
    <row r="85" spans="2:66" hidden="1" outlineLevel="1">
      <c r="B85" s="163"/>
      <c r="C85" s="163"/>
      <c r="D85" s="23"/>
      <c r="E85" s="23"/>
      <c r="F85" s="23"/>
      <c r="G85" s="23"/>
      <c r="H85" s="23"/>
      <c r="I85" s="23"/>
      <c r="J85" s="23"/>
      <c r="K85" s="23"/>
      <c r="L85" s="23"/>
      <c r="M85" s="23"/>
      <c r="N85" s="23"/>
      <c r="O85" s="23"/>
      <c r="P85" s="23"/>
      <c r="Q85" s="23"/>
      <c r="R85" s="23"/>
      <c r="S85" s="23"/>
      <c r="T85" s="23"/>
      <c r="U85" s="23"/>
      <c r="V85" s="23"/>
      <c r="W85" s="23"/>
      <c r="X85" s="23"/>
      <c r="Y85" s="23"/>
    </row>
    <row r="86" spans="2:66" ht="15" hidden="1" customHeight="1" outlineLevel="1">
      <c r="B86" s="163"/>
      <c r="C86" s="163"/>
      <c r="D86" s="634" t="str">
        <f>S88</f>
        <v>Primary Peer Group</v>
      </c>
      <c r="E86" s="148"/>
      <c r="F86" s="146" t="s">
        <v>1</v>
      </c>
      <c r="G86" s="634" t="str">
        <f>S89</f>
        <v>Defense Peer Group</v>
      </c>
      <c r="H86" s="147"/>
      <c r="I86" s="147"/>
      <c r="J86" s="148"/>
      <c r="K86" s="23"/>
      <c r="L86" s="634" t="str">
        <f>S90</f>
        <v>Cap. Goods Peer Group</v>
      </c>
      <c r="M86" s="147"/>
      <c r="N86" s="147"/>
      <c r="O86" s="148"/>
      <c r="P86" s="23"/>
      <c r="Q86" s="634" t="s">
        <v>607</v>
      </c>
      <c r="R86" s="147"/>
      <c r="S86" s="147"/>
      <c r="T86" s="148"/>
      <c r="U86" s="23"/>
      <c r="V86" s="23"/>
      <c r="W86" s="23"/>
    </row>
    <row r="87" spans="2:66" ht="15" hidden="1" customHeight="1" outlineLevel="1">
      <c r="B87" s="163"/>
      <c r="C87" s="163"/>
      <c r="D87" s="23"/>
      <c r="E87" s="23"/>
      <c r="F87" s="23"/>
      <c r="G87" s="23"/>
      <c r="H87" s="23"/>
      <c r="I87" s="23"/>
      <c r="J87" s="23"/>
      <c r="K87" s="23"/>
      <c r="L87" s="23"/>
      <c r="M87" s="23"/>
      <c r="N87" s="23"/>
      <c r="O87" s="23"/>
      <c r="P87" s="23"/>
      <c r="Q87" s="23"/>
      <c r="R87" s="23"/>
      <c r="S87" s="23"/>
      <c r="T87" s="204"/>
      <c r="U87" s="23"/>
      <c r="V87" s="23"/>
      <c r="W87" s="23"/>
      <c r="X87" s="23"/>
      <c r="Y87" s="23"/>
    </row>
    <row r="88" spans="2:66" ht="15" hidden="1" customHeight="1" outlineLevel="1">
      <c r="B88" s="163"/>
      <c r="C88" s="163"/>
      <c r="D88" s="251" t="s">
        <v>389</v>
      </c>
      <c r="E88" s="252" t="str">
        <f>Company_Name</f>
        <v>Evercore Inc.</v>
      </c>
      <c r="F88" s="23"/>
      <c r="G88" s="251" t="s">
        <v>389</v>
      </c>
      <c r="H88" s="204"/>
      <c r="I88" s="204" t="str">
        <f>Company_Name</f>
        <v>Evercore Inc.</v>
      </c>
      <c r="J88" s="252"/>
      <c r="K88" s="23"/>
      <c r="L88" s="251" t="s">
        <v>389</v>
      </c>
      <c r="M88" s="204"/>
      <c r="N88" s="204" t="str">
        <f>Company_Name</f>
        <v>Evercore Inc.</v>
      </c>
      <c r="O88" s="252"/>
      <c r="P88" s="23"/>
      <c r="Q88" s="251" t="s">
        <v>614</v>
      </c>
      <c r="R88" s="204"/>
      <c r="S88" s="933" t="s">
        <v>351</v>
      </c>
      <c r="T88" s="252"/>
      <c r="U88" s="23"/>
      <c r="V88" s="23"/>
      <c r="W88" s="23"/>
    </row>
    <row r="89" spans="2:66" ht="15" hidden="1" customHeight="1" outlineLevel="1">
      <c r="B89" s="163"/>
      <c r="C89" s="163"/>
      <c r="D89" s="150" t="s">
        <v>18</v>
      </c>
      <c r="E89" s="357" t="str">
        <f>Ticker</f>
        <v>EVR</v>
      </c>
      <c r="F89" s="23"/>
      <c r="G89" s="150" t="s">
        <v>18</v>
      </c>
      <c r="H89" s="23"/>
      <c r="I89" s="23" t="str">
        <f>Ticker</f>
        <v>EVR</v>
      </c>
      <c r="J89" s="357"/>
      <c r="K89" s="23"/>
      <c r="L89" s="150" t="s">
        <v>18</v>
      </c>
      <c r="M89" s="23"/>
      <c r="N89" s="23" t="str">
        <f>Ticker</f>
        <v>EVR</v>
      </c>
      <c r="O89" s="357"/>
      <c r="P89" s="23"/>
      <c r="Q89" s="150" t="s">
        <v>615</v>
      </c>
      <c r="R89" s="23"/>
      <c r="S89" s="441" t="s">
        <v>391</v>
      </c>
      <c r="T89" s="357"/>
      <c r="U89" s="23"/>
      <c r="V89" s="23"/>
      <c r="W89" s="23"/>
    </row>
    <row r="90" spans="2:66" ht="15" hidden="1" customHeight="1" outlineLevel="1">
      <c r="B90" s="163"/>
      <c r="C90" s="163"/>
      <c r="D90" s="159" t="s">
        <v>666</v>
      </c>
      <c r="E90" s="935" t="s">
        <v>994</v>
      </c>
      <c r="F90" s="23"/>
      <c r="G90" s="159" t="s">
        <v>666</v>
      </c>
      <c r="H90" s="155"/>
      <c r="I90" s="932" t="str">
        <f>$E$90</f>
        <v>IQ524568</v>
      </c>
      <c r="J90" s="931"/>
      <c r="K90" s="23"/>
      <c r="L90" s="159" t="s">
        <v>666</v>
      </c>
      <c r="M90" s="155"/>
      <c r="N90" s="932" t="str">
        <f>$E$90</f>
        <v>IQ524568</v>
      </c>
      <c r="O90" s="931"/>
      <c r="P90" s="23"/>
      <c r="Q90" s="159" t="s">
        <v>616</v>
      </c>
      <c r="R90" s="155"/>
      <c r="S90" s="930" t="s">
        <v>667</v>
      </c>
      <c r="T90" s="931"/>
      <c r="U90" s="23"/>
      <c r="V90" s="23"/>
      <c r="W90" s="23"/>
    </row>
    <row r="91" spans="2:66" ht="15" hidden="1" customHeight="1" outlineLevel="1">
      <c r="B91" s="163"/>
      <c r="C91" s="163"/>
      <c r="D91"/>
      <c r="E91"/>
      <c r="F91" s="23"/>
      <c r="G91"/>
      <c r="H91"/>
      <c r="I91"/>
      <c r="J91"/>
      <c r="K91" s="23"/>
      <c r="L91"/>
      <c r="M91"/>
      <c r="N91"/>
      <c r="O91"/>
      <c r="P91" s="23"/>
      <c r="Q91" s="23"/>
      <c r="R91" s="23"/>
      <c r="S91" s="23"/>
      <c r="T91" s="23"/>
      <c r="U91" s="23"/>
      <c r="V91" s="23"/>
      <c r="W91" s="23"/>
    </row>
    <row r="92" spans="2:66" ht="15" hidden="1" customHeight="1" outlineLevel="1">
      <c r="B92" s="163"/>
      <c r="C92" s="163"/>
      <c r="D92" s="251" t="s">
        <v>390</v>
      </c>
      <c r="E92" s="936" t="s">
        <v>984</v>
      </c>
      <c r="F92" s="23"/>
      <c r="G92" s="251" t="s">
        <v>390</v>
      </c>
      <c r="H92" s="204"/>
      <c r="I92" s="933" t="s">
        <v>984</v>
      </c>
      <c r="J92" s="252"/>
      <c r="K92" s="23"/>
      <c r="L92" s="251" t="s">
        <v>390</v>
      </c>
      <c r="M92" s="204"/>
      <c r="N92" s="933" t="s">
        <v>984</v>
      </c>
      <c r="O92" s="252"/>
      <c r="P92" s="23"/>
      <c r="Q92" s="23"/>
      <c r="R92" s="23"/>
      <c r="S92" s="23"/>
      <c r="T92" s="23"/>
      <c r="U92" s="23"/>
      <c r="V92" s="23"/>
      <c r="W92" s="23"/>
    </row>
    <row r="93" spans="2:66" ht="15" hidden="1" customHeight="1" outlineLevel="1">
      <c r="B93" s="163"/>
      <c r="C93" s="163"/>
      <c r="D93" s="150" t="s">
        <v>18</v>
      </c>
      <c r="E93" s="937" t="s">
        <v>985</v>
      </c>
      <c r="F93" s="23"/>
      <c r="G93" s="150" t="s">
        <v>18</v>
      </c>
      <c r="H93" s="23"/>
      <c r="I93" s="441" t="s">
        <v>985</v>
      </c>
      <c r="J93" s="357"/>
      <c r="K93" s="23"/>
      <c r="L93" s="150" t="s">
        <v>18</v>
      </c>
      <c r="M93" s="23"/>
      <c r="N93" s="441" t="s">
        <v>985</v>
      </c>
      <c r="O93" s="357"/>
      <c r="P93" s="23"/>
      <c r="Q93" s="23"/>
      <c r="R93" s="23"/>
      <c r="S93" s="23"/>
      <c r="T93" s="23"/>
      <c r="U93" s="23"/>
      <c r="V93" s="23"/>
      <c r="W93" s="23"/>
    </row>
    <row r="94" spans="2:66" ht="15" hidden="1" customHeight="1" outlineLevel="1">
      <c r="B94" s="163"/>
      <c r="C94" s="163"/>
      <c r="D94" s="159" t="s">
        <v>666</v>
      </c>
      <c r="E94" s="935" t="s">
        <v>995</v>
      </c>
      <c r="F94" s="23"/>
      <c r="G94" s="159" t="s">
        <v>666</v>
      </c>
      <c r="H94" s="155"/>
      <c r="I94" s="930" t="s">
        <v>995</v>
      </c>
      <c r="J94" s="931"/>
      <c r="K94" s="23"/>
      <c r="L94" s="159" t="s">
        <v>666</v>
      </c>
      <c r="M94" s="155"/>
      <c r="N94" s="930" t="s">
        <v>995</v>
      </c>
      <c r="O94" s="931"/>
      <c r="P94" s="23"/>
      <c r="Q94" s="23"/>
      <c r="R94" s="23"/>
      <c r="S94" s="23"/>
      <c r="T94" s="23"/>
      <c r="U94" s="23"/>
      <c r="V94" s="23"/>
      <c r="W94" s="23"/>
    </row>
    <row r="95" spans="2:66" ht="15" hidden="1" customHeight="1" outlineLevel="1">
      <c r="B95" s="163"/>
      <c r="C95" s="163"/>
      <c r="D95"/>
      <c r="E95"/>
      <c r="F95" s="23"/>
      <c r="G95"/>
      <c r="H95"/>
      <c r="I95"/>
      <c r="J95"/>
      <c r="K95" s="23"/>
      <c r="L95"/>
      <c r="M95"/>
      <c r="N95"/>
      <c r="O95"/>
      <c r="P95" s="23"/>
      <c r="Q95" s="23"/>
      <c r="R95" s="23"/>
      <c r="S95" s="23"/>
      <c r="T95" s="23"/>
      <c r="U95" s="23"/>
      <c r="V95" s="23"/>
      <c r="W95" s="23"/>
    </row>
    <row r="96" spans="2:66" ht="15" hidden="1" customHeight="1" outlineLevel="1">
      <c r="B96" s="163"/>
      <c r="C96" s="163"/>
      <c r="D96" s="251" t="s">
        <v>390</v>
      </c>
      <c r="E96" s="936" t="s">
        <v>986</v>
      </c>
      <c r="F96" s="23"/>
      <c r="G96" s="251" t="s">
        <v>390</v>
      </c>
      <c r="H96" s="204"/>
      <c r="I96" s="936" t="s">
        <v>986</v>
      </c>
      <c r="J96" s="252"/>
      <c r="K96" s="23"/>
      <c r="L96" s="251" t="s">
        <v>390</v>
      </c>
      <c r="M96" s="204"/>
      <c r="N96" s="936" t="s">
        <v>986</v>
      </c>
      <c r="O96" s="252"/>
      <c r="P96" s="23"/>
      <c r="Q96" s="23"/>
      <c r="R96" s="23"/>
      <c r="S96" s="23"/>
      <c r="T96" s="23"/>
      <c r="U96" s="23"/>
      <c r="V96" s="23"/>
      <c r="W96" s="23"/>
    </row>
    <row r="97" spans="2:25" ht="15" hidden="1" customHeight="1" outlineLevel="1">
      <c r="B97" s="163"/>
      <c r="C97" s="163"/>
      <c r="D97" s="150" t="s">
        <v>18</v>
      </c>
      <c r="E97" s="937" t="s">
        <v>987</v>
      </c>
      <c r="F97" s="23"/>
      <c r="G97" s="150" t="s">
        <v>18</v>
      </c>
      <c r="H97" s="23"/>
      <c r="I97" s="441" t="s">
        <v>987</v>
      </c>
      <c r="J97" s="357"/>
      <c r="K97" s="23"/>
      <c r="L97" s="150" t="s">
        <v>18</v>
      </c>
      <c r="M97" s="23"/>
      <c r="N97" s="441" t="s">
        <v>987</v>
      </c>
      <c r="O97" s="357"/>
      <c r="P97" s="23"/>
      <c r="Q97" s="23"/>
      <c r="R97" s="23"/>
      <c r="S97" s="23"/>
      <c r="T97" s="23"/>
      <c r="U97" s="23"/>
      <c r="V97" s="23"/>
      <c r="W97" s="23"/>
    </row>
    <row r="98" spans="2:25" ht="15" hidden="1" customHeight="1" outlineLevel="1">
      <c r="B98" s="163"/>
      <c r="C98" s="163"/>
      <c r="D98" s="159" t="s">
        <v>666</v>
      </c>
      <c r="E98" s="935" t="s">
        <v>996</v>
      </c>
      <c r="F98" s="23"/>
      <c r="G98" s="159" t="s">
        <v>666</v>
      </c>
      <c r="H98" s="155"/>
      <c r="I98" s="930" t="s">
        <v>996</v>
      </c>
      <c r="J98" s="931"/>
      <c r="K98" s="23"/>
      <c r="L98" s="159" t="s">
        <v>666</v>
      </c>
      <c r="M98" s="155"/>
      <c r="N98" s="930" t="s">
        <v>996</v>
      </c>
      <c r="O98" s="931"/>
      <c r="P98" s="23"/>
      <c r="Q98" s="23"/>
      <c r="R98" s="23"/>
      <c r="S98" s="23"/>
      <c r="T98" s="23"/>
      <c r="U98" s="23"/>
      <c r="V98" s="23"/>
      <c r="W98" s="23"/>
    </row>
    <row r="99" spans="2:25" ht="15" hidden="1" customHeight="1" outlineLevel="1">
      <c r="B99" s="163"/>
      <c r="C99" s="163"/>
      <c r="F99" s="23"/>
      <c r="K99" s="23"/>
      <c r="P99" s="23"/>
      <c r="Q99" s="23"/>
      <c r="R99" s="23"/>
      <c r="S99" s="23"/>
      <c r="T99" s="23"/>
      <c r="U99" s="23"/>
      <c r="V99" s="23"/>
      <c r="W99" s="23"/>
    </row>
    <row r="100" spans="2:25" ht="15" hidden="1" customHeight="1" outlineLevel="1">
      <c r="B100" s="163"/>
      <c r="C100" s="163"/>
      <c r="D100" s="251" t="s">
        <v>390</v>
      </c>
      <c r="E100" s="936" t="s">
        <v>988</v>
      </c>
      <c r="F100" s="23"/>
      <c r="G100" s="251" t="s">
        <v>390</v>
      </c>
      <c r="H100" s="204"/>
      <c r="I100" s="936" t="s">
        <v>988</v>
      </c>
      <c r="J100" s="252"/>
      <c r="K100" s="23"/>
      <c r="L100" s="251" t="s">
        <v>390</v>
      </c>
      <c r="M100" s="204"/>
      <c r="N100" s="936" t="s">
        <v>988</v>
      </c>
      <c r="O100" s="252"/>
      <c r="P100" s="23"/>
      <c r="Q100" s="23"/>
      <c r="R100" s="23"/>
      <c r="S100" s="23"/>
      <c r="T100" s="23"/>
      <c r="U100" s="23"/>
      <c r="V100" s="23"/>
      <c r="W100" s="23"/>
    </row>
    <row r="101" spans="2:25" ht="15" hidden="1" customHeight="1" outlineLevel="1">
      <c r="B101" s="163"/>
      <c r="C101" s="163"/>
      <c r="D101" s="150" t="s">
        <v>18</v>
      </c>
      <c r="E101" s="937" t="s">
        <v>989</v>
      </c>
      <c r="F101" s="23"/>
      <c r="G101" s="150" t="s">
        <v>18</v>
      </c>
      <c r="H101" s="163"/>
      <c r="I101" s="441" t="s">
        <v>989</v>
      </c>
      <c r="J101" s="357"/>
      <c r="K101" s="23"/>
      <c r="L101" s="150" t="s">
        <v>18</v>
      </c>
      <c r="M101" s="163"/>
      <c r="N101" s="441" t="s">
        <v>989</v>
      </c>
      <c r="O101" s="357"/>
      <c r="P101" s="23"/>
      <c r="Q101" s="23"/>
      <c r="R101" s="23"/>
      <c r="S101" s="23"/>
      <c r="T101" s="23"/>
      <c r="U101" s="23"/>
      <c r="V101" s="23"/>
      <c r="W101" s="23"/>
    </row>
    <row r="102" spans="2:25" ht="15" hidden="1" customHeight="1" outlineLevel="1">
      <c r="B102" s="163"/>
      <c r="C102" s="163"/>
      <c r="D102" s="159" t="s">
        <v>666</v>
      </c>
      <c r="E102" s="935" t="s">
        <v>997</v>
      </c>
      <c r="F102" s="23"/>
      <c r="G102" s="159" t="s">
        <v>666</v>
      </c>
      <c r="H102" s="155"/>
      <c r="I102" s="935" t="s">
        <v>997</v>
      </c>
      <c r="J102" s="931"/>
      <c r="K102" s="23"/>
      <c r="L102" s="159" t="s">
        <v>666</v>
      </c>
      <c r="M102" s="155"/>
      <c r="N102" s="935" t="s">
        <v>997</v>
      </c>
      <c r="O102" s="931"/>
      <c r="P102" s="23"/>
      <c r="Q102" s="23"/>
      <c r="R102" s="23"/>
      <c r="S102" s="23"/>
      <c r="T102" s="23"/>
      <c r="U102" s="23"/>
      <c r="V102" s="23"/>
      <c r="W102" s="23"/>
    </row>
    <row r="103" spans="2:25" ht="15" hidden="1" customHeight="1" outlineLevel="1">
      <c r="B103" s="163"/>
      <c r="C103" s="163"/>
      <c r="F103" s="23"/>
      <c r="K103" s="23"/>
      <c r="P103" s="23"/>
      <c r="Q103" s="23"/>
      <c r="R103" s="23"/>
      <c r="S103" s="23"/>
      <c r="T103" s="23"/>
      <c r="U103" s="23"/>
      <c r="V103" s="23"/>
      <c r="W103" s="23"/>
    </row>
    <row r="104" spans="2:25" ht="15" hidden="1" customHeight="1" outlineLevel="1">
      <c r="B104" s="163"/>
      <c r="C104" s="163"/>
      <c r="D104" s="251" t="s">
        <v>390</v>
      </c>
      <c r="E104" s="936" t="s">
        <v>990</v>
      </c>
      <c r="F104" s="23"/>
      <c r="G104" s="251" t="s">
        <v>390</v>
      </c>
      <c r="H104" s="204"/>
      <c r="I104" s="936" t="s">
        <v>990</v>
      </c>
      <c r="J104" s="252"/>
      <c r="K104" s="23"/>
      <c r="L104" s="251" t="s">
        <v>390</v>
      </c>
      <c r="M104" s="204"/>
      <c r="N104" s="936" t="s">
        <v>990</v>
      </c>
      <c r="O104" s="252"/>
      <c r="P104" s="23"/>
      <c r="Q104" s="23"/>
      <c r="R104" s="23"/>
      <c r="S104" s="23"/>
      <c r="T104" s="23"/>
      <c r="U104" s="23"/>
      <c r="V104" s="23"/>
      <c r="W104" s="23"/>
    </row>
    <row r="105" spans="2:25" ht="15" hidden="1" customHeight="1" outlineLevel="1">
      <c r="B105" s="163"/>
      <c r="C105" s="163"/>
      <c r="D105" s="150" t="s">
        <v>18</v>
      </c>
      <c r="E105" s="937" t="s">
        <v>991</v>
      </c>
      <c r="F105" s="23"/>
      <c r="G105" s="150" t="s">
        <v>18</v>
      </c>
      <c r="H105" s="23"/>
      <c r="I105" s="441" t="s">
        <v>991</v>
      </c>
      <c r="J105" s="357"/>
      <c r="K105" s="23"/>
      <c r="L105" s="150" t="s">
        <v>18</v>
      </c>
      <c r="M105" s="23"/>
      <c r="N105" s="441" t="s">
        <v>991</v>
      </c>
      <c r="O105" s="357"/>
      <c r="P105" s="23"/>
      <c r="Q105" s="23"/>
      <c r="R105" s="23"/>
      <c r="S105" s="23"/>
      <c r="T105" s="23"/>
      <c r="U105" s="23"/>
      <c r="V105" s="23"/>
      <c r="W105" s="23"/>
    </row>
    <row r="106" spans="2:25" ht="15" hidden="1" customHeight="1" outlineLevel="1">
      <c r="B106" s="163"/>
      <c r="C106" s="163"/>
      <c r="D106" s="159" t="s">
        <v>666</v>
      </c>
      <c r="E106" s="935" t="s">
        <v>998</v>
      </c>
      <c r="F106" s="23"/>
      <c r="G106" s="159" t="s">
        <v>666</v>
      </c>
      <c r="H106" s="155"/>
      <c r="I106" s="935" t="s">
        <v>998</v>
      </c>
      <c r="J106" s="931"/>
      <c r="K106" s="23"/>
      <c r="L106" s="159" t="s">
        <v>666</v>
      </c>
      <c r="M106" s="155"/>
      <c r="N106" s="935" t="s">
        <v>998</v>
      </c>
      <c r="O106" s="931"/>
      <c r="P106" s="23"/>
      <c r="Q106" s="23"/>
      <c r="R106" s="23"/>
      <c r="S106" s="23"/>
      <c r="T106" s="23"/>
      <c r="U106" s="23"/>
      <c r="V106" s="23"/>
      <c r="W106" s="23"/>
    </row>
    <row r="107" spans="2:25" ht="15" hidden="1" customHeight="1" outlineLevel="1">
      <c r="B107" s="163"/>
      <c r="C107" s="163"/>
      <c r="D107" s="23"/>
      <c r="E107" s="23"/>
      <c r="F107" s="23"/>
      <c r="G107" s="23"/>
      <c r="H107" s="23"/>
      <c r="I107" s="23"/>
      <c r="J107" s="23"/>
      <c r="K107" s="23"/>
      <c r="L107" s="23"/>
      <c r="M107" s="23"/>
      <c r="N107" s="23"/>
      <c r="O107" s="23"/>
      <c r="P107" s="23"/>
      <c r="Q107" s="23"/>
      <c r="R107" s="23"/>
      <c r="S107" s="23"/>
      <c r="T107" s="23"/>
      <c r="U107" s="23"/>
      <c r="V107" s="23"/>
      <c r="W107" s="23"/>
    </row>
    <row r="108" spans="2:25" ht="15" hidden="1" customHeight="1" outlineLevel="1">
      <c r="B108" s="163"/>
      <c r="C108" s="163"/>
      <c r="D108" s="251" t="s">
        <v>390</v>
      </c>
      <c r="E108" s="938"/>
      <c r="F108" s="23"/>
      <c r="G108" s="251" t="s">
        <v>390</v>
      </c>
      <c r="H108" s="204"/>
      <c r="I108" s="934"/>
      <c r="J108" s="252"/>
      <c r="K108" s="23"/>
      <c r="L108" s="251" t="s">
        <v>390</v>
      </c>
      <c r="M108" s="204"/>
      <c r="N108" s="934"/>
      <c r="O108" s="252"/>
      <c r="P108" s="23"/>
      <c r="Q108" s="23"/>
      <c r="R108" s="23"/>
      <c r="S108" s="23"/>
      <c r="T108" s="23"/>
      <c r="U108" s="23"/>
      <c r="V108" s="23"/>
      <c r="W108" s="23"/>
    </row>
    <row r="109" spans="2:25" ht="15" hidden="1" customHeight="1" outlineLevel="1">
      <c r="B109" s="163"/>
      <c r="C109" s="163"/>
      <c r="D109" s="150" t="s">
        <v>18</v>
      </c>
      <c r="E109" s="937"/>
      <c r="F109" s="23"/>
      <c r="G109" s="150" t="s">
        <v>18</v>
      </c>
      <c r="H109" s="23"/>
      <c r="I109" s="441"/>
      <c r="J109" s="357"/>
      <c r="K109" s="23"/>
      <c r="L109" s="150" t="s">
        <v>18</v>
      </c>
      <c r="M109" s="23"/>
      <c r="N109" s="441"/>
      <c r="O109" s="357"/>
      <c r="P109" s="23"/>
      <c r="Q109" s="23"/>
      <c r="R109" s="23"/>
      <c r="S109" s="23"/>
      <c r="T109" s="23"/>
      <c r="U109" s="23"/>
      <c r="V109" s="23"/>
      <c r="W109" s="23"/>
    </row>
    <row r="110" spans="2:25" ht="15" hidden="1" customHeight="1" outlineLevel="1">
      <c r="B110" s="163"/>
      <c r="C110" s="163"/>
      <c r="D110" s="159" t="s">
        <v>666</v>
      </c>
      <c r="E110" s="935"/>
      <c r="F110" s="23"/>
      <c r="G110" s="159" t="s">
        <v>666</v>
      </c>
      <c r="H110" s="155"/>
      <c r="I110" s="930"/>
      <c r="J110" s="931"/>
      <c r="K110" s="23"/>
      <c r="L110" s="159" t="s">
        <v>666</v>
      </c>
      <c r="M110" s="155"/>
      <c r="N110" s="930"/>
      <c r="O110" s="931"/>
      <c r="P110" s="23"/>
      <c r="Q110" s="23"/>
      <c r="R110" s="23"/>
      <c r="S110" s="23"/>
      <c r="T110" s="23"/>
      <c r="U110" s="23"/>
      <c r="V110" s="23"/>
      <c r="W110" s="23"/>
    </row>
    <row r="111" spans="2:25" hidden="1" outlineLevel="1">
      <c r="B111" s="163"/>
      <c r="C111" s="163"/>
      <c r="D111" s="23"/>
      <c r="E111" s="23"/>
      <c r="F111" s="23"/>
      <c r="G111" s="23"/>
      <c r="H111" s="23"/>
      <c r="I111" s="23"/>
      <c r="J111" s="23"/>
      <c r="K111" s="23"/>
      <c r="L111" s="23"/>
      <c r="M111" s="23"/>
      <c r="N111" s="23"/>
      <c r="O111" s="23"/>
      <c r="P111" s="23"/>
      <c r="Q111" s="23"/>
      <c r="R111" s="23"/>
      <c r="S111" s="23"/>
      <c r="T111" s="23"/>
      <c r="U111" s="23"/>
      <c r="V111" s="23"/>
      <c r="W111" s="23"/>
      <c r="X111" s="23"/>
      <c r="Y111" s="23"/>
    </row>
    <row r="112" spans="2:25" collapsed="1">
      <c r="B112" s="163"/>
      <c r="C112" s="163"/>
      <c r="H112" s="23"/>
      <c r="I112" s="23"/>
      <c r="J112" s="23"/>
      <c r="K112" s="23"/>
      <c r="L112" s="23"/>
      <c r="M112" s="23"/>
      <c r="N112" s="23"/>
      <c r="O112" s="23"/>
      <c r="P112" s="23"/>
      <c r="Q112" s="23"/>
      <c r="R112" s="23"/>
      <c r="S112" s="23"/>
      <c r="T112" s="23"/>
      <c r="U112" s="23"/>
      <c r="V112" s="23"/>
      <c r="W112" s="23"/>
      <c r="X112" s="23"/>
      <c r="Y112" s="23"/>
    </row>
    <row r="113" spans="2:66" ht="15">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row>
    <row r="114" spans="2:66" ht="15">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row>
    <row r="115" spans="2:66" ht="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row>
    <row r="116" spans="2:66" ht="15">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row>
    <row r="117" spans="2:66" ht="15">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row>
    <row r="118" spans="2:66" ht="15">
      <c r="C118" s="163"/>
      <c r="D118"/>
      <c r="E118"/>
      <c r="F118"/>
      <c r="G118"/>
      <c r="H118"/>
      <c r="I118"/>
      <c r="J118"/>
      <c r="K118"/>
      <c r="L118"/>
      <c r="M118"/>
      <c r="N118"/>
      <c r="O118"/>
      <c r="P118"/>
      <c r="Q118"/>
      <c r="R118"/>
      <c r="S118" s="23"/>
      <c r="T118" s="23"/>
      <c r="U118" s="23"/>
      <c r="V118" s="23"/>
      <c r="W118" s="23"/>
      <c r="X118" s="23"/>
      <c r="Y118" s="23"/>
    </row>
    <row r="119" spans="2:66" ht="15">
      <c r="C119" s="163"/>
      <c r="D119"/>
      <c r="E119"/>
      <c r="F119"/>
      <c r="G119"/>
      <c r="H119"/>
      <c r="I119"/>
      <c r="J119"/>
      <c r="K119"/>
      <c r="L119"/>
      <c r="M119"/>
      <c r="N119"/>
      <c r="O119"/>
      <c r="P119"/>
      <c r="Q119"/>
      <c r="R119"/>
      <c r="S119" s="23"/>
      <c r="T119" s="23"/>
      <c r="U119" s="23"/>
      <c r="V119" s="23"/>
      <c r="W119" s="23"/>
      <c r="X119" s="23"/>
      <c r="Y119" s="23"/>
    </row>
    <row r="120" spans="2:66" ht="15">
      <c r="C120" s="163"/>
      <c r="D120"/>
      <c r="E120"/>
      <c r="F120"/>
      <c r="G120"/>
      <c r="H120"/>
      <c r="I120"/>
      <c r="J120"/>
      <c r="K120"/>
      <c r="L120"/>
      <c r="M120"/>
      <c r="N120"/>
      <c r="O120"/>
      <c r="P120"/>
      <c r="Q120"/>
      <c r="R120"/>
      <c r="S120" s="23"/>
      <c r="T120" s="23"/>
      <c r="U120" s="23"/>
      <c r="V120" s="23"/>
      <c r="W120" s="23"/>
      <c r="X120" s="23"/>
      <c r="Y120" s="23"/>
    </row>
    <row r="121" spans="2:66" ht="15">
      <c r="C121" s="163"/>
      <c r="D121"/>
      <c r="E121"/>
      <c r="F121"/>
      <c r="G121"/>
      <c r="H121"/>
      <c r="I121"/>
      <c r="J121"/>
      <c r="K121"/>
      <c r="L121"/>
      <c r="M121"/>
      <c r="N121"/>
      <c r="O121"/>
      <c r="P121"/>
      <c r="Q121"/>
      <c r="R121"/>
      <c r="S121" s="23"/>
      <c r="T121" s="23"/>
      <c r="U121" s="23"/>
      <c r="V121" s="23"/>
      <c r="W121" s="23"/>
      <c r="X121" s="23"/>
      <c r="Y121" s="23"/>
    </row>
    <row r="122" spans="2:66" ht="15">
      <c r="C122" s="163"/>
      <c r="D122"/>
      <c r="E122"/>
      <c r="F122"/>
      <c r="G122"/>
      <c r="H122"/>
      <c r="I122"/>
      <c r="J122"/>
      <c r="K122"/>
      <c r="L122"/>
      <c r="M122"/>
      <c r="N122"/>
      <c r="O122"/>
      <c r="P122"/>
      <c r="Q122"/>
      <c r="R122"/>
      <c r="S122" s="23"/>
      <c r="T122" s="23"/>
      <c r="U122" s="23"/>
      <c r="V122" s="23"/>
      <c r="W122" s="23"/>
      <c r="X122" s="23"/>
      <c r="Y122" s="23"/>
    </row>
    <row r="123" spans="2:66" ht="15">
      <c r="C123" s="163"/>
      <c r="D123"/>
      <c r="E123"/>
      <c r="F123"/>
      <c r="G123"/>
      <c r="H123"/>
      <c r="I123"/>
      <c r="J123"/>
      <c r="K123"/>
      <c r="L123"/>
      <c r="M123"/>
      <c r="N123"/>
      <c r="O123"/>
      <c r="P123"/>
      <c r="Q123"/>
      <c r="R123"/>
      <c r="S123" s="23"/>
      <c r="T123" s="23"/>
      <c r="U123" s="23"/>
      <c r="V123" s="23"/>
      <c r="W123" s="23"/>
      <c r="X123" s="23"/>
      <c r="Y123" s="23"/>
    </row>
    <row r="124" spans="2:66" ht="15">
      <c r="C124" s="163"/>
      <c r="D124"/>
      <c r="E124"/>
      <c r="F124"/>
      <c r="G124"/>
      <c r="H124"/>
      <c r="I124"/>
      <c r="J124"/>
      <c r="K124"/>
      <c r="L124"/>
      <c r="M124"/>
      <c r="N124"/>
      <c r="O124"/>
      <c r="P124"/>
      <c r="Q124"/>
      <c r="R124"/>
      <c r="S124" s="23"/>
      <c r="T124" s="23"/>
      <c r="U124" s="23"/>
      <c r="V124" s="23"/>
      <c r="W124" s="23"/>
      <c r="X124" s="23"/>
      <c r="Y124" s="23"/>
    </row>
    <row r="125" spans="2:66" ht="15">
      <c r="C125" s="163"/>
      <c r="D125"/>
      <c r="E125"/>
      <c r="F125"/>
      <c r="G125"/>
      <c r="H125"/>
      <c r="I125"/>
      <c r="J125"/>
      <c r="K125"/>
      <c r="L125"/>
      <c r="M125"/>
      <c r="N125"/>
      <c r="O125"/>
      <c r="P125"/>
      <c r="Q125"/>
      <c r="R125"/>
      <c r="S125" s="23"/>
      <c r="T125" s="23"/>
      <c r="U125" s="23"/>
      <c r="V125" s="23"/>
      <c r="W125" s="23"/>
      <c r="X125" s="23"/>
      <c r="Y125" s="23"/>
    </row>
    <row r="126" spans="2:66" ht="15">
      <c r="D126"/>
      <c r="E126"/>
      <c r="F126"/>
      <c r="G126"/>
      <c r="H126"/>
      <c r="I126"/>
      <c r="J126"/>
      <c r="K126"/>
      <c r="L126"/>
      <c r="M126"/>
      <c r="N126"/>
      <c r="O126"/>
      <c r="P126"/>
      <c r="Q126"/>
      <c r="R126"/>
    </row>
    <row r="127" spans="2:66" ht="15">
      <c r="D127"/>
      <c r="E127"/>
      <c r="F127"/>
      <c r="G127"/>
      <c r="H127"/>
      <c r="I127"/>
      <c r="J127"/>
      <c r="K127"/>
      <c r="L127"/>
      <c r="M127"/>
      <c r="N127"/>
      <c r="O127"/>
      <c r="P127"/>
      <c r="Q127"/>
      <c r="R127"/>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CJ142"/>
  <sheetViews>
    <sheetView showGridLines="0" zoomScale="80" zoomScaleNormal="80" workbookViewId="0">
      <pane ySplit="2" topLeftCell="A3" activePane="bottomLeft" state="frozen"/>
      <selection pane="bottomLeft"/>
    </sheetView>
  </sheetViews>
  <sheetFormatPr defaultColWidth="12.7109375" defaultRowHeight="14.45" customHeight="1" outlineLevelCol="2"/>
  <cols>
    <col min="1" max="2" width="1.7109375" style="3" customWidth="1"/>
    <col min="3" max="3" width="18.7109375" style="3" customWidth="1"/>
    <col min="4" max="4" width="5.7109375" style="3" customWidth="1"/>
    <col min="5" max="8" width="18.7109375" style="3" customWidth="1"/>
    <col min="9" max="9" width="13.28515625" style="3" hidden="1" customWidth="1" outlineLevel="1"/>
    <col min="10" max="10" width="12.7109375" style="3" hidden="1" customWidth="1" outlineLevel="2"/>
    <col min="11" max="11" width="12.7109375" style="10" customWidth="1" collapsed="1"/>
    <col min="12" max="12" width="21.42578125" style="3" bestFit="1" customWidth="1"/>
    <col min="13" max="13" width="13.7109375" style="3" bestFit="1" customWidth="1"/>
    <col min="14" max="17" width="17.7109375" style="3" customWidth="1"/>
    <col min="18" max="18" width="21.42578125" style="3" bestFit="1" customWidth="1"/>
    <col min="19" max="23" width="17.7109375" style="3" customWidth="1"/>
    <col min="24" max="24" width="21.42578125" style="3" bestFit="1" customWidth="1"/>
    <col min="25" max="29" width="17.7109375" style="3" customWidth="1"/>
    <col min="30" max="30" width="21.42578125" style="3" bestFit="1" customWidth="1"/>
    <col min="31" max="35" width="17.7109375" style="3" customWidth="1"/>
    <col min="36" max="36" width="1.42578125" style="3" customWidth="1"/>
    <col min="37" max="37" width="12.7109375" style="3" hidden="1" customWidth="1" outlineLevel="1"/>
    <col min="38" max="38" width="21.42578125" style="3" hidden="1" customWidth="1" outlineLevel="1"/>
    <col min="39" max="43" width="17.7109375" style="3" hidden="1" customWidth="1" outlineLevel="1"/>
    <col min="44" max="44" width="21.42578125" style="3" hidden="1" customWidth="1" outlineLevel="1"/>
    <col min="45" max="49" width="17.7109375" style="3" hidden="1" customWidth="1" outlineLevel="1"/>
    <col min="50" max="50" width="21.42578125" style="3" hidden="1" customWidth="1" outlineLevel="1"/>
    <col min="51" max="55" width="17.7109375" style="3" hidden="1" customWidth="1" outlineLevel="1"/>
    <col min="56" max="56" width="21.42578125" style="3" hidden="1" customWidth="1" outlineLevel="1"/>
    <col min="57" max="61" width="17.7109375" style="3" hidden="1" customWidth="1" outlineLevel="1"/>
    <col min="62" max="62" width="1.42578125" style="3" hidden="1" customWidth="1" outlineLevel="1"/>
    <col min="63" max="63" width="12.7109375" style="3" hidden="1" customWidth="1" outlineLevel="1"/>
    <col min="64" max="64" width="21.42578125" style="3" hidden="1" customWidth="1" outlineLevel="1"/>
    <col min="65" max="69" width="17.7109375" style="3" hidden="1" customWidth="1" outlineLevel="1"/>
    <col min="70" max="70" width="21.42578125" style="3" hidden="1" customWidth="1" outlineLevel="1"/>
    <col min="71" max="75" width="17.7109375" style="3" hidden="1" customWidth="1" outlineLevel="1"/>
    <col min="76" max="76" width="21.42578125" style="3" hidden="1" customWidth="1" outlineLevel="1"/>
    <col min="77" max="81" width="17.7109375" style="3" hidden="1" customWidth="1" outlineLevel="1"/>
    <col min="82" max="82" width="21.42578125" style="3" hidden="1" customWidth="1" outlineLevel="1"/>
    <col min="83" max="87" width="17.7109375" style="3" hidden="1" customWidth="1" outlineLevel="1"/>
    <col min="88" max="88" width="12.7109375" style="3" collapsed="1"/>
    <col min="89" max="16384" width="12.7109375" style="3"/>
  </cols>
  <sheetData>
    <row r="1" spans="1:87" s="2" customFormat="1" ht="19.5" customHeight="1">
      <c r="C1" s="592" t="str">
        <f ca="1">Company_Name&amp;" - "&amp;MID(CELL("filename",A1),FIND("]",CELL("filename",A1))+1,255)&amp;": "&amp;Case_Scenario&amp;" Case"</f>
        <v>Evercore Inc. - Multiples Data: Base Case</v>
      </c>
      <c r="K1" s="18"/>
    </row>
    <row r="2" spans="1:87" ht="15" customHeight="1">
      <c r="C2" s="4" t="str">
        <f>Cover!C2</f>
        <v>$ in Thousands Except Per Share Data</v>
      </c>
      <c r="L2" s="593" t="s">
        <v>496</v>
      </c>
    </row>
    <row r="3" spans="1:87" ht="15" customHeight="1">
      <c r="A3" s="588"/>
      <c r="B3" s="23"/>
      <c r="C3" s="24"/>
      <c r="D3" s="23"/>
      <c r="E3" s="23"/>
      <c r="F3" s="23"/>
      <c r="G3" s="23"/>
      <c r="H3" s="23"/>
      <c r="I3" s="23"/>
      <c r="J3" s="23"/>
      <c r="K3" s="189"/>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spans="1:87" ht="14.45" customHeight="1">
      <c r="A4" s="23"/>
      <c r="B4" s="23"/>
      <c r="C4" s="23"/>
      <c r="D4" s="23"/>
      <c r="E4" s="23"/>
      <c r="F4" s="23"/>
      <c r="G4" s="23"/>
      <c r="H4" s="23"/>
      <c r="I4" s="23"/>
      <c r="J4" s="23"/>
      <c r="K4" s="189"/>
      <c r="L4" s="594" t="str">
        <f>Comparables!S88</f>
        <v>Primary Peer Group</v>
      </c>
      <c r="M4" s="459"/>
      <c r="N4" s="459"/>
      <c r="O4" s="459"/>
      <c r="P4" s="459"/>
      <c r="Q4" s="459"/>
      <c r="R4" s="459"/>
      <c r="S4" s="459"/>
      <c r="T4" s="459"/>
      <c r="U4" s="459"/>
      <c r="V4" s="459"/>
      <c r="W4" s="459"/>
      <c r="X4" s="459"/>
      <c r="Y4" s="459"/>
      <c r="Z4" s="459"/>
      <c r="AA4" s="459"/>
      <c r="AB4" s="459"/>
      <c r="AC4" s="459"/>
      <c r="AD4" s="459"/>
      <c r="AE4" s="459"/>
      <c r="AF4" s="459"/>
      <c r="AG4" s="459"/>
      <c r="AH4" s="459"/>
      <c r="AI4" s="459"/>
      <c r="AJ4" s="23"/>
      <c r="AK4" s="23"/>
      <c r="AL4" s="594" t="str">
        <f>Comparables!S89</f>
        <v>Defense Peer Group</v>
      </c>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23"/>
      <c r="BK4" s="23"/>
      <c r="BL4" s="594" t="str">
        <f>Comparables!S90</f>
        <v>Cap. Goods Peer Group</v>
      </c>
      <c r="BM4" s="459"/>
      <c r="BN4" s="459"/>
      <c r="BO4" s="459"/>
      <c r="BP4" s="459"/>
      <c r="BQ4" s="459"/>
      <c r="BR4" s="459"/>
      <c r="BS4" s="459"/>
      <c r="BT4" s="459"/>
      <c r="BU4" s="459"/>
      <c r="BV4" s="459"/>
      <c r="BW4" s="459"/>
      <c r="BX4" s="459"/>
      <c r="BY4" s="459"/>
      <c r="BZ4" s="459"/>
      <c r="CA4" s="459"/>
      <c r="CB4" s="459"/>
      <c r="CC4" s="459"/>
      <c r="CD4" s="459"/>
      <c r="CE4" s="459"/>
      <c r="CF4" s="459"/>
      <c r="CG4" s="459"/>
      <c r="CH4" s="459"/>
      <c r="CI4" s="459"/>
    </row>
    <row r="5" spans="1:87" ht="14.45" customHeight="1">
      <c r="A5" s="22" t="s">
        <v>1</v>
      </c>
      <c r="B5" s="23"/>
      <c r="C5" s="509" t="s">
        <v>32</v>
      </c>
      <c r="D5" s="193"/>
      <c r="E5" s="193"/>
      <c r="F5" s="193"/>
      <c r="G5" s="193"/>
      <c r="H5" s="510"/>
      <c r="I5" s="548"/>
      <c r="J5" s="23"/>
      <c r="K5" s="22"/>
      <c r="L5" s="459" t="s">
        <v>406</v>
      </c>
      <c r="M5" s="459"/>
      <c r="N5" s="459"/>
      <c r="O5" s="459"/>
      <c r="P5" s="459"/>
      <c r="Q5" s="459"/>
      <c r="R5" s="594" t="s">
        <v>407</v>
      </c>
      <c r="S5" s="459"/>
      <c r="T5" s="459"/>
      <c r="U5" s="459"/>
      <c r="V5" s="459"/>
      <c r="W5" s="459"/>
      <c r="X5" s="594" t="s">
        <v>408</v>
      </c>
      <c r="Y5" s="459"/>
      <c r="Z5" s="459"/>
      <c r="AA5" s="459"/>
      <c r="AB5" s="459"/>
      <c r="AC5" s="459"/>
      <c r="AD5" s="594" t="s">
        <v>400</v>
      </c>
      <c r="AE5" s="459"/>
      <c r="AF5" s="459"/>
      <c r="AG5" s="459"/>
      <c r="AH5" s="459"/>
      <c r="AI5" s="459"/>
      <c r="AJ5" s="23"/>
      <c r="AK5" s="23"/>
      <c r="AL5" s="459" t="s">
        <v>406</v>
      </c>
      <c r="AM5" s="459"/>
      <c r="AN5" s="459"/>
      <c r="AO5" s="459"/>
      <c r="AP5" s="459"/>
      <c r="AQ5" s="459"/>
      <c r="AR5" s="594" t="s">
        <v>407</v>
      </c>
      <c r="AS5" s="459"/>
      <c r="AT5" s="459"/>
      <c r="AU5" s="459"/>
      <c r="AV5" s="459"/>
      <c r="AW5" s="459"/>
      <c r="AX5" s="594" t="s">
        <v>408</v>
      </c>
      <c r="AY5" s="459"/>
      <c r="AZ5" s="459"/>
      <c r="BA5" s="459"/>
      <c r="BB5" s="459"/>
      <c r="BC5" s="459"/>
      <c r="BD5" s="594" t="s">
        <v>400</v>
      </c>
      <c r="BE5" s="459"/>
      <c r="BF5" s="459"/>
      <c r="BG5" s="459"/>
      <c r="BH5" s="459"/>
      <c r="BI5" s="459"/>
      <c r="BJ5" s="23"/>
      <c r="BK5" s="23"/>
      <c r="BL5" s="459" t="s">
        <v>406</v>
      </c>
      <c r="BM5" s="459"/>
      <c r="BN5" s="459"/>
      <c r="BO5" s="459"/>
      <c r="BP5" s="459"/>
      <c r="BQ5" s="459"/>
      <c r="BR5" s="594" t="s">
        <v>407</v>
      </c>
      <c r="BS5" s="459"/>
      <c r="BT5" s="459"/>
      <c r="BU5" s="459"/>
      <c r="BV5" s="459"/>
      <c r="BW5" s="459"/>
      <c r="BX5" s="594" t="s">
        <v>408</v>
      </c>
      <c r="BY5" s="459"/>
      <c r="BZ5" s="459"/>
      <c r="CA5" s="459"/>
      <c r="CB5" s="459"/>
      <c r="CC5" s="459"/>
      <c r="CD5" s="594" t="s">
        <v>400</v>
      </c>
      <c r="CE5" s="459"/>
      <c r="CF5" s="459"/>
      <c r="CG5" s="459"/>
      <c r="CH5" s="459"/>
      <c r="CI5" s="459"/>
    </row>
    <row r="6" spans="1:87" ht="14.45" customHeight="1">
      <c r="A6" s="23"/>
      <c r="B6" s="23"/>
      <c r="C6" s="509" t="str">
        <f>Company_Name</f>
        <v>Evercore Inc.</v>
      </c>
      <c r="D6" s="193"/>
      <c r="E6" s="193"/>
      <c r="F6" s="193"/>
      <c r="G6" s="193"/>
      <c r="H6" s="510"/>
      <c r="I6" s="450" t="str">
        <f>Last_FQR</f>
        <v>4Q</v>
      </c>
      <c r="J6" s="23"/>
      <c r="K6" s="22"/>
      <c r="L6" s="595" t="str">
        <f>Comparables!E88</f>
        <v>Evercore Inc.</v>
      </c>
      <c r="M6" s="596" t="str">
        <f>Comparables!$E$92</f>
        <v>Lazard, Inc.</v>
      </c>
      <c r="N6" s="596" t="str">
        <f>Comparables!$E$96</f>
        <v>Houlihan Lokey, Inc.</v>
      </c>
      <c r="O6" s="596" t="str">
        <f>Comparables!$E$100</f>
        <v>PJT Partners Inc.</v>
      </c>
      <c r="P6" s="596" t="str">
        <f>Comparables!$E$104</f>
        <v>Moelis &amp; Company</v>
      </c>
      <c r="Q6" s="596">
        <f>Comparables!$E$108</f>
        <v>0</v>
      </c>
      <c r="R6" s="596" t="str">
        <f>$L$6</f>
        <v>Evercore Inc.</v>
      </c>
      <c r="S6" s="596" t="str">
        <f t="shared" ref="S6:W7" si="0">M6</f>
        <v>Lazard, Inc.</v>
      </c>
      <c r="T6" s="596" t="str">
        <f t="shared" si="0"/>
        <v>Houlihan Lokey, Inc.</v>
      </c>
      <c r="U6" s="596" t="str">
        <f t="shared" si="0"/>
        <v>PJT Partners Inc.</v>
      </c>
      <c r="V6" s="596" t="str">
        <f t="shared" si="0"/>
        <v>Moelis &amp; Company</v>
      </c>
      <c r="W6" s="596">
        <f t="shared" si="0"/>
        <v>0</v>
      </c>
      <c r="X6" s="596" t="str">
        <f>L6</f>
        <v>Evercore Inc.</v>
      </c>
      <c r="Y6" s="596" t="str">
        <f t="shared" ref="Y6:AC7" si="1">M6</f>
        <v>Lazard, Inc.</v>
      </c>
      <c r="Z6" s="596" t="str">
        <f t="shared" si="1"/>
        <v>Houlihan Lokey, Inc.</v>
      </c>
      <c r="AA6" s="596" t="str">
        <f t="shared" si="1"/>
        <v>PJT Partners Inc.</v>
      </c>
      <c r="AB6" s="596" t="str">
        <f t="shared" si="1"/>
        <v>Moelis &amp; Company</v>
      </c>
      <c r="AC6" s="596">
        <f t="shared" si="1"/>
        <v>0</v>
      </c>
      <c r="AD6" s="596" t="str">
        <f>L6</f>
        <v>Evercore Inc.</v>
      </c>
      <c r="AE6" s="596" t="str">
        <f t="shared" ref="AE6:AI7" si="2">M6</f>
        <v>Lazard, Inc.</v>
      </c>
      <c r="AF6" s="596" t="str">
        <f t="shared" si="2"/>
        <v>Houlihan Lokey, Inc.</v>
      </c>
      <c r="AG6" s="596" t="str">
        <f t="shared" si="2"/>
        <v>PJT Partners Inc.</v>
      </c>
      <c r="AH6" s="596" t="str">
        <f t="shared" si="2"/>
        <v>Moelis &amp; Company</v>
      </c>
      <c r="AI6" s="596">
        <f t="shared" si="2"/>
        <v>0</v>
      </c>
      <c r="AJ6" s="23"/>
      <c r="AK6" s="23"/>
      <c r="AL6" s="595" t="str">
        <f>AD6</f>
        <v>Evercore Inc.</v>
      </c>
      <c r="AM6" s="596" t="str">
        <f>Comparables!I$92</f>
        <v>Lazard, Inc.</v>
      </c>
      <c r="AN6" s="596" t="str">
        <f>Comparables!$I$96</f>
        <v>Houlihan Lokey, Inc.</v>
      </c>
      <c r="AO6" s="596" t="str">
        <f>Comparables!$I$100</f>
        <v>PJT Partners Inc.</v>
      </c>
      <c r="AP6" s="596" t="str">
        <f>Comparables!$I$104</f>
        <v>Moelis &amp; Company</v>
      </c>
      <c r="AQ6" s="596">
        <f>Comparables!$I$108</f>
        <v>0</v>
      </c>
      <c r="AR6" s="596" t="str">
        <f>$AL$6</f>
        <v>Evercore Inc.</v>
      </c>
      <c r="AS6" s="596" t="str">
        <f>AM6</f>
        <v>Lazard, Inc.</v>
      </c>
      <c r="AT6" s="596" t="str">
        <f t="shared" ref="AT6:AW7" si="3">AN6</f>
        <v>Houlihan Lokey, Inc.</v>
      </c>
      <c r="AU6" s="596" t="str">
        <f t="shared" si="3"/>
        <v>PJT Partners Inc.</v>
      </c>
      <c r="AV6" s="596" t="str">
        <f t="shared" si="3"/>
        <v>Moelis &amp; Company</v>
      </c>
      <c r="AW6" s="598">
        <f t="shared" si="3"/>
        <v>0</v>
      </c>
      <c r="AX6" s="596" t="s">
        <v>649</v>
      </c>
      <c r="AY6" s="596" t="str">
        <f t="shared" ref="AY6:BC7" si="4">AS6</f>
        <v>Lazard, Inc.</v>
      </c>
      <c r="AZ6" s="596" t="str">
        <f t="shared" si="4"/>
        <v>Houlihan Lokey, Inc.</v>
      </c>
      <c r="BA6" s="596" t="str">
        <f t="shared" si="4"/>
        <v>PJT Partners Inc.</v>
      </c>
      <c r="BB6" s="596" t="str">
        <f t="shared" si="4"/>
        <v>Moelis &amp; Company</v>
      </c>
      <c r="BC6" s="598">
        <f t="shared" si="4"/>
        <v>0</v>
      </c>
      <c r="BD6" s="596" t="s">
        <v>649</v>
      </c>
      <c r="BE6" s="596" t="str">
        <f t="shared" ref="BE6:BI7" si="5">AY6</f>
        <v>Lazard, Inc.</v>
      </c>
      <c r="BF6" s="596" t="str">
        <f t="shared" si="5"/>
        <v>Houlihan Lokey, Inc.</v>
      </c>
      <c r="BG6" s="596" t="str">
        <f t="shared" si="5"/>
        <v>PJT Partners Inc.</v>
      </c>
      <c r="BH6" s="596" t="str">
        <f t="shared" si="5"/>
        <v>Moelis &amp; Company</v>
      </c>
      <c r="BI6" s="598">
        <f t="shared" si="5"/>
        <v>0</v>
      </c>
      <c r="BJ6" s="23"/>
      <c r="BK6" s="23"/>
      <c r="BL6" s="595" t="str">
        <f>BD6</f>
        <v>Lowe's Companies, Inc.</v>
      </c>
      <c r="BM6" s="596" t="str">
        <f>Comparables!N$92</f>
        <v>Lazard, Inc.</v>
      </c>
      <c r="BN6" s="596" t="str">
        <f>Comparables!$N$96</f>
        <v>Houlihan Lokey, Inc.</v>
      </c>
      <c r="BO6" s="596" t="str">
        <f>Comparables!$N$100</f>
        <v>PJT Partners Inc.</v>
      </c>
      <c r="BP6" s="596" t="str">
        <f>Comparables!$N$104</f>
        <v>Moelis &amp; Company</v>
      </c>
      <c r="BQ6" s="597">
        <f>Comparables!$N$108</f>
        <v>0</v>
      </c>
      <c r="BR6" s="596" t="s">
        <v>649</v>
      </c>
      <c r="BS6" s="596" t="str">
        <f>BM6</f>
        <v>Lazard, Inc.</v>
      </c>
      <c r="BT6" s="596" t="str">
        <f t="shared" ref="BT6:BW7" si="6">BN6</f>
        <v>Houlihan Lokey, Inc.</v>
      </c>
      <c r="BU6" s="596" t="str">
        <f t="shared" si="6"/>
        <v>PJT Partners Inc.</v>
      </c>
      <c r="BV6" s="596" t="str">
        <f t="shared" si="6"/>
        <v>Moelis &amp; Company</v>
      </c>
      <c r="BW6" s="598">
        <f t="shared" si="6"/>
        <v>0</v>
      </c>
      <c r="BX6" s="596" t="str">
        <f>$BD$6</f>
        <v>Lowe's Companies, Inc.</v>
      </c>
      <c r="BY6" s="596" t="str">
        <f t="shared" ref="BY6:CC7" si="7">BS6</f>
        <v>Lazard, Inc.</v>
      </c>
      <c r="BZ6" s="596" t="str">
        <f t="shared" si="7"/>
        <v>Houlihan Lokey, Inc.</v>
      </c>
      <c r="CA6" s="596" t="str">
        <f t="shared" si="7"/>
        <v>PJT Partners Inc.</v>
      </c>
      <c r="CB6" s="596" t="str">
        <f t="shared" si="7"/>
        <v>Moelis &amp; Company</v>
      </c>
      <c r="CC6" s="598">
        <f t="shared" si="7"/>
        <v>0</v>
      </c>
      <c r="CD6" s="596" t="str">
        <f>$BD$6</f>
        <v>Lowe's Companies, Inc.</v>
      </c>
      <c r="CE6" s="596" t="str">
        <f t="shared" ref="CE6:CI7" si="8">BY6</f>
        <v>Lazard, Inc.</v>
      </c>
      <c r="CF6" s="596" t="str">
        <f t="shared" si="8"/>
        <v>Houlihan Lokey, Inc.</v>
      </c>
      <c r="CG6" s="596" t="str">
        <f t="shared" si="8"/>
        <v>PJT Partners Inc.</v>
      </c>
      <c r="CH6" s="596" t="str">
        <f t="shared" si="8"/>
        <v>Moelis &amp; Company</v>
      </c>
      <c r="CI6" s="598">
        <f t="shared" si="8"/>
        <v>0</v>
      </c>
    </row>
    <row r="7" spans="1:87" ht="14.45" customHeight="1">
      <c r="A7" s="23"/>
      <c r="B7" s="23"/>
      <c r="C7" s="460" t="s">
        <v>424</v>
      </c>
      <c r="D7" s="460"/>
      <c r="E7" s="460"/>
      <c r="F7" s="460"/>
      <c r="G7" s="460"/>
      <c r="H7" s="460"/>
      <c r="I7" s="189">
        <v>4</v>
      </c>
      <c r="J7" s="23"/>
      <c r="K7" s="189"/>
      <c r="L7" s="595" t="str">
        <f>Ticker</f>
        <v>EVR</v>
      </c>
      <c r="M7" s="596" t="str">
        <f>Comparables!$E$93</f>
        <v>LAZ</v>
      </c>
      <c r="N7" s="596" t="str">
        <f>Comparables!$E$97</f>
        <v>HLI</v>
      </c>
      <c r="O7" s="596" t="str">
        <f>Comparables!$E$101</f>
        <v>PJT</v>
      </c>
      <c r="P7" s="596" t="str">
        <f>Comparables!$E$105</f>
        <v>MC</v>
      </c>
      <c r="Q7" s="596">
        <f>Comparables!$E$109</f>
        <v>0</v>
      </c>
      <c r="R7" s="596" t="str">
        <f>L7</f>
        <v>EVR</v>
      </c>
      <c r="S7" s="596" t="str">
        <f t="shared" si="0"/>
        <v>LAZ</v>
      </c>
      <c r="T7" s="596" t="str">
        <f t="shared" si="0"/>
        <v>HLI</v>
      </c>
      <c r="U7" s="596" t="str">
        <f t="shared" si="0"/>
        <v>PJT</v>
      </c>
      <c r="V7" s="596" t="str">
        <f t="shared" si="0"/>
        <v>MC</v>
      </c>
      <c r="W7" s="596">
        <f t="shared" si="0"/>
        <v>0</v>
      </c>
      <c r="X7" s="596" t="str">
        <f>L7</f>
        <v>EVR</v>
      </c>
      <c r="Y7" s="596" t="str">
        <f t="shared" si="1"/>
        <v>LAZ</v>
      </c>
      <c r="Z7" s="596" t="str">
        <f t="shared" si="1"/>
        <v>HLI</v>
      </c>
      <c r="AA7" s="596" t="str">
        <f t="shared" si="1"/>
        <v>PJT</v>
      </c>
      <c r="AB7" s="596" t="str">
        <f t="shared" si="1"/>
        <v>MC</v>
      </c>
      <c r="AC7" s="596">
        <f t="shared" si="1"/>
        <v>0</v>
      </c>
      <c r="AD7" s="596" t="str">
        <f>L7</f>
        <v>EVR</v>
      </c>
      <c r="AE7" s="596" t="str">
        <f t="shared" si="2"/>
        <v>LAZ</v>
      </c>
      <c r="AF7" s="596" t="str">
        <f t="shared" si="2"/>
        <v>HLI</v>
      </c>
      <c r="AG7" s="596" t="str">
        <f t="shared" si="2"/>
        <v>PJT</v>
      </c>
      <c r="AH7" s="596" t="str">
        <f t="shared" si="2"/>
        <v>MC</v>
      </c>
      <c r="AI7" s="596">
        <f t="shared" si="2"/>
        <v>0</v>
      </c>
      <c r="AJ7" s="23"/>
      <c r="AK7" s="23"/>
      <c r="AL7" s="595" t="str">
        <f>Ticker</f>
        <v>EVR</v>
      </c>
      <c r="AM7" s="596" t="str">
        <f>Comparables!$I$93</f>
        <v>LAZ</v>
      </c>
      <c r="AN7" s="596" t="str">
        <f>Comparables!$I$97</f>
        <v>HLI</v>
      </c>
      <c r="AO7" s="596" t="str">
        <f>Comparables!$I$101</f>
        <v>PJT</v>
      </c>
      <c r="AP7" s="596" t="str">
        <f>Comparables!$I$105</f>
        <v>MC</v>
      </c>
      <c r="AQ7" s="596">
        <f>Comparables!$I$109</f>
        <v>0</v>
      </c>
      <c r="AR7" s="596" t="str">
        <f>$AL$7</f>
        <v>EVR</v>
      </c>
      <c r="AS7" s="596" t="str">
        <f>AM7</f>
        <v>LAZ</v>
      </c>
      <c r="AT7" s="596" t="str">
        <f t="shared" si="3"/>
        <v>HLI</v>
      </c>
      <c r="AU7" s="596" t="str">
        <f t="shared" si="3"/>
        <v>PJT</v>
      </c>
      <c r="AV7" s="596" t="str">
        <f t="shared" si="3"/>
        <v>MC</v>
      </c>
      <c r="AW7" s="597">
        <f t="shared" si="3"/>
        <v>0</v>
      </c>
      <c r="AX7" s="596" t="s">
        <v>650</v>
      </c>
      <c r="AY7" s="596" t="str">
        <f t="shared" si="4"/>
        <v>LAZ</v>
      </c>
      <c r="AZ7" s="596" t="str">
        <f t="shared" si="4"/>
        <v>HLI</v>
      </c>
      <c r="BA7" s="596" t="str">
        <f t="shared" si="4"/>
        <v>PJT</v>
      </c>
      <c r="BB7" s="596" t="str">
        <f t="shared" si="4"/>
        <v>MC</v>
      </c>
      <c r="BC7" s="597">
        <f t="shared" si="4"/>
        <v>0</v>
      </c>
      <c r="BD7" s="596" t="s">
        <v>650</v>
      </c>
      <c r="BE7" s="596" t="str">
        <f t="shared" si="5"/>
        <v>LAZ</v>
      </c>
      <c r="BF7" s="596" t="str">
        <f t="shared" si="5"/>
        <v>HLI</v>
      </c>
      <c r="BG7" s="596" t="str">
        <f t="shared" si="5"/>
        <v>PJT</v>
      </c>
      <c r="BH7" s="596" t="str">
        <f t="shared" si="5"/>
        <v>MC</v>
      </c>
      <c r="BI7" s="597">
        <f t="shared" si="5"/>
        <v>0</v>
      </c>
      <c r="BJ7" s="23"/>
      <c r="BK7" s="23"/>
      <c r="BL7" s="595" t="str">
        <f>Ticker</f>
        <v>EVR</v>
      </c>
      <c r="BM7" s="596" t="str">
        <f>Comparables!$N$93</f>
        <v>LAZ</v>
      </c>
      <c r="BN7" s="596" t="str">
        <f>Comparables!$N$97</f>
        <v>HLI</v>
      </c>
      <c r="BO7" s="596" t="str">
        <f>Comparables!$N$101</f>
        <v>PJT</v>
      </c>
      <c r="BP7" s="596" t="str">
        <f>Comparables!$N$105</f>
        <v>MC</v>
      </c>
      <c r="BQ7" s="597">
        <f>Comparables!$N$109</f>
        <v>0</v>
      </c>
      <c r="BR7" s="596" t="s">
        <v>650</v>
      </c>
      <c r="BS7" s="596" t="str">
        <f>BM7</f>
        <v>LAZ</v>
      </c>
      <c r="BT7" s="596" t="str">
        <f t="shared" si="6"/>
        <v>HLI</v>
      </c>
      <c r="BU7" s="596" t="str">
        <f t="shared" si="6"/>
        <v>PJT</v>
      </c>
      <c r="BV7" s="596" t="str">
        <f t="shared" si="6"/>
        <v>MC</v>
      </c>
      <c r="BW7" s="597">
        <f t="shared" si="6"/>
        <v>0</v>
      </c>
      <c r="BX7" s="596" t="str">
        <f>$BD$7</f>
        <v>LOW</v>
      </c>
      <c r="BY7" s="596" t="str">
        <f t="shared" si="7"/>
        <v>LAZ</v>
      </c>
      <c r="BZ7" s="596" t="str">
        <f t="shared" si="7"/>
        <v>HLI</v>
      </c>
      <c r="CA7" s="596" t="str">
        <f t="shared" si="7"/>
        <v>PJT</v>
      </c>
      <c r="CB7" s="596" t="str">
        <f t="shared" si="7"/>
        <v>MC</v>
      </c>
      <c r="CC7" s="597">
        <f t="shared" si="7"/>
        <v>0</v>
      </c>
      <c r="CD7" s="596" t="str">
        <f>$BD$7</f>
        <v>LOW</v>
      </c>
      <c r="CE7" s="596" t="str">
        <f t="shared" si="8"/>
        <v>LAZ</v>
      </c>
      <c r="CF7" s="596" t="str">
        <f t="shared" si="8"/>
        <v>HLI</v>
      </c>
      <c r="CG7" s="596" t="str">
        <f t="shared" si="8"/>
        <v>PJT</v>
      </c>
      <c r="CH7" s="596" t="str">
        <f t="shared" si="8"/>
        <v>MC</v>
      </c>
      <c r="CI7" s="597">
        <f t="shared" si="8"/>
        <v>0</v>
      </c>
    </row>
    <row r="8" spans="1:87" ht="14.45" customHeight="1">
      <c r="A8" s="23"/>
      <c r="B8" s="23"/>
      <c r="C8" s="189"/>
      <c r="D8" s="23"/>
      <c r="E8" s="189" t="s">
        <v>406</v>
      </c>
      <c r="F8" s="189" t="s">
        <v>407</v>
      </c>
      <c r="G8" s="189" t="s">
        <v>408</v>
      </c>
      <c r="H8" s="189" t="s">
        <v>400</v>
      </c>
      <c r="I8" s="189">
        <f>IF(I7="1",4,I7-1)</f>
        <v>3</v>
      </c>
      <c r="J8" s="441">
        <v>2005</v>
      </c>
      <c r="K8" s="566" t="str">
        <f t="shared" ref="K8:K70" si="9">I8&amp;"Q"&amp;RIGHT(J8,2)</f>
        <v>3Q05</v>
      </c>
      <c r="L8" s="825"/>
      <c r="M8" s="368"/>
      <c r="N8" s="368"/>
      <c r="O8" s="368"/>
      <c r="P8" s="368"/>
      <c r="Q8" s="826">
        <v>37.682200000000002</v>
      </c>
      <c r="R8" s="825"/>
      <c r="S8" s="368">
        <v>16.677700000000002</v>
      </c>
      <c r="T8" s="368"/>
      <c r="U8" s="368"/>
      <c r="V8" s="368"/>
      <c r="W8" s="826">
        <v>31.7712</v>
      </c>
      <c r="X8" s="825"/>
      <c r="Y8" s="368"/>
      <c r="Z8" s="368"/>
      <c r="AA8" s="368"/>
      <c r="AB8" s="368"/>
      <c r="AC8" s="826">
        <v>19.7715</v>
      </c>
      <c r="AD8" s="368"/>
      <c r="AE8" s="368">
        <v>12.496</v>
      </c>
      <c r="AF8" s="368"/>
      <c r="AG8" s="368"/>
      <c r="AH8" s="368"/>
      <c r="AI8" s="826">
        <v>19.7715</v>
      </c>
      <c r="AJ8" s="23"/>
      <c r="AK8" s="566" t="str">
        <f>$K8</f>
        <v>3Q05</v>
      </c>
      <c r="AL8" s="825">
        <f>L8</f>
        <v>0</v>
      </c>
      <c r="AM8" s="368">
        <v>31.637362450861499</v>
      </c>
      <c r="AN8" s="368">
        <v>57.324279925525097</v>
      </c>
      <c r="AO8" s="368">
        <v>29.532374100719402</v>
      </c>
      <c r="AP8" s="368">
        <v>19.820675105485201</v>
      </c>
      <c r="AQ8" s="826"/>
      <c r="AR8" s="825">
        <f t="shared" ref="AR8:AR71" si="10">R8</f>
        <v>0</v>
      </c>
      <c r="AS8" s="368">
        <v>24.162819974821701</v>
      </c>
      <c r="AT8" s="368">
        <v>15.5671617478749</v>
      </c>
      <c r="AU8" s="368">
        <v>19.4273544723142</v>
      </c>
      <c r="AV8" s="368">
        <v>18.1932610379551</v>
      </c>
      <c r="AW8" s="826"/>
      <c r="AX8" s="825">
        <f t="shared" ref="AX8:AX71" si="11">X8</f>
        <v>0</v>
      </c>
      <c r="AY8" s="368">
        <v>13.3943921309475</v>
      </c>
      <c r="AZ8" s="368">
        <v>10.1673549788865</v>
      </c>
      <c r="BA8" s="368">
        <v>16.4177867910307</v>
      </c>
      <c r="BB8" s="368">
        <v>11.5907362783901</v>
      </c>
      <c r="BC8" s="826">
        <v>9.9936780551287896</v>
      </c>
      <c r="BD8" s="825"/>
      <c r="BE8" s="368"/>
      <c r="BF8" s="368"/>
      <c r="BG8" s="368"/>
      <c r="BH8" s="368"/>
      <c r="BI8" s="826"/>
      <c r="BJ8" s="23"/>
      <c r="BK8" s="566" t="str">
        <f>$K8</f>
        <v>3Q05</v>
      </c>
      <c r="BL8" s="825">
        <f>AL8</f>
        <v>0</v>
      </c>
      <c r="BM8" s="368">
        <v>24.088983050847499</v>
      </c>
      <c r="BN8" s="368">
        <v>198.04347826086999</v>
      </c>
      <c r="BO8" s="368">
        <v>24.656757042957398</v>
      </c>
      <c r="BP8" s="368">
        <v>18.308107166803701</v>
      </c>
      <c r="BQ8" s="826">
        <v>18.366336633663401</v>
      </c>
      <c r="BR8" s="825">
        <f>AR8</f>
        <v>0</v>
      </c>
      <c r="BS8" s="368">
        <v>21.340090090090101</v>
      </c>
      <c r="BT8" s="368">
        <v>59.3098958333333</v>
      </c>
      <c r="BU8" s="368">
        <v>21.8971197871046</v>
      </c>
      <c r="BV8" s="368">
        <v>15.649971332448199</v>
      </c>
      <c r="BW8" s="826">
        <v>17.207792207792199</v>
      </c>
      <c r="BX8" s="825">
        <f>AX8</f>
        <v>0</v>
      </c>
      <c r="BY8" s="368">
        <v>9.9573483267269101</v>
      </c>
      <c r="BZ8" s="368"/>
      <c r="CA8" s="368">
        <v>14.827128694622299</v>
      </c>
      <c r="CB8" s="368">
        <v>10.0353539604855</v>
      </c>
      <c r="CC8" s="826">
        <v>9.4322991306432105</v>
      </c>
      <c r="CD8" s="825"/>
      <c r="CE8" s="368"/>
      <c r="CF8" s="368"/>
      <c r="CG8" s="368"/>
      <c r="CH8" s="368"/>
      <c r="CI8" s="826"/>
    </row>
    <row r="9" spans="1:87" ht="14.45" customHeight="1">
      <c r="A9" s="23"/>
      <c r="B9" s="23"/>
      <c r="C9" s="23" t="s">
        <v>427</v>
      </c>
      <c r="D9" s="23"/>
      <c r="E9" s="345">
        <f>AVERAGE(L81:L88)</f>
        <v>27.465683333333331</v>
      </c>
      <c r="F9" s="345">
        <f>AVERAGE(R81:R88)</f>
        <v>22.469412500000001</v>
      </c>
      <c r="G9" s="345">
        <f>AVERAGE(X81:X88)</f>
        <v>20.544483333333332</v>
      </c>
      <c r="H9" s="345">
        <f>AVERAGE(AD81:AD88)</f>
        <v>12.292250000000001</v>
      </c>
      <c r="I9" s="189">
        <f>IF(I8=4,1,I8+1)</f>
        <v>4</v>
      </c>
      <c r="J9" s="461">
        <f t="shared" ref="J9:J19" si="12">IF(I9=1,J8+1,J8)</f>
        <v>2005</v>
      </c>
      <c r="K9" s="566" t="str">
        <f t="shared" si="9"/>
        <v>4Q05</v>
      </c>
      <c r="L9" s="825"/>
      <c r="M9" s="368"/>
      <c r="N9" s="368"/>
      <c r="O9" s="368"/>
      <c r="P9" s="368"/>
      <c r="Q9" s="826">
        <v>26.6159</v>
      </c>
      <c r="R9" s="825"/>
      <c r="S9" s="368">
        <v>19.475000000000001</v>
      </c>
      <c r="T9" s="368"/>
      <c r="U9" s="368"/>
      <c r="V9" s="368"/>
      <c r="W9" s="826">
        <v>23.424700000000001</v>
      </c>
      <c r="X9" s="825"/>
      <c r="Y9" s="368"/>
      <c r="Z9" s="368"/>
      <c r="AA9" s="368"/>
      <c r="AB9" s="368"/>
      <c r="AC9" s="826">
        <v>13.625400000000001</v>
      </c>
      <c r="AD9" s="368"/>
      <c r="AE9" s="368">
        <v>12.218</v>
      </c>
      <c r="AF9" s="368"/>
      <c r="AG9" s="368"/>
      <c r="AH9" s="368"/>
      <c r="AI9" s="826">
        <v>13.625400000000001</v>
      </c>
      <c r="AJ9" s="23"/>
      <c r="AK9" s="566" t="str">
        <f t="shared" ref="AK9:AK72" si="13">$K9</f>
        <v>4Q05</v>
      </c>
      <c r="AL9" s="825">
        <f t="shared" ref="AL9:AL72" si="14">L9</f>
        <v>0</v>
      </c>
      <c r="AM9" s="368">
        <v>33.7378642338589</v>
      </c>
      <c r="AN9" s="368">
        <v>65.206127397706098</v>
      </c>
      <c r="AO9" s="368">
        <v>25.3105590062112</v>
      </c>
      <c r="AP9" s="368">
        <v>21.441532278677698</v>
      </c>
      <c r="AQ9" s="826"/>
      <c r="AR9" s="825">
        <f t="shared" si="10"/>
        <v>0</v>
      </c>
      <c r="AS9" s="368">
        <v>27.5903136165145</v>
      </c>
      <c r="AT9" s="368">
        <v>17.0317268699309</v>
      </c>
      <c r="AU9" s="368">
        <v>18.744250229990801</v>
      </c>
      <c r="AV9" s="368">
        <v>20.404834996162698</v>
      </c>
      <c r="AW9" s="826"/>
      <c r="AX9" s="825">
        <f t="shared" si="11"/>
        <v>0</v>
      </c>
      <c r="AY9" s="368">
        <v>15.4589819476129</v>
      </c>
      <c r="AZ9" s="368">
        <v>9.6315659597678493</v>
      </c>
      <c r="BA9" s="368">
        <v>16.510245053120101</v>
      </c>
      <c r="BB9" s="368">
        <v>12.6637918478585</v>
      </c>
      <c r="BC9" s="826">
        <v>10.578875904655099</v>
      </c>
      <c r="BD9" s="825"/>
      <c r="BE9" s="368"/>
      <c r="BF9" s="368"/>
      <c r="BG9" s="368"/>
      <c r="BH9" s="368"/>
      <c r="BI9" s="826"/>
      <c r="BJ9" s="23"/>
      <c r="BK9" s="566" t="str">
        <f t="shared" ref="BK9:BK72" si="15">$K9</f>
        <v>4Q05</v>
      </c>
      <c r="BL9" s="825">
        <f t="shared" ref="BL9:BL72" si="16">AL9</f>
        <v>0</v>
      </c>
      <c r="BM9" s="368">
        <v>22.662037037036999</v>
      </c>
      <c r="BN9" s="368">
        <v>171.07142857142901</v>
      </c>
      <c r="BO9" s="368">
        <v>18.492949119205299</v>
      </c>
      <c r="BP9" s="368">
        <v>16.853791886242298</v>
      </c>
      <c r="BQ9" s="826">
        <v>16.5206812652068</v>
      </c>
      <c r="BR9" s="825">
        <f t="shared" ref="BR9:BR72" si="17">AR9</f>
        <v>0</v>
      </c>
      <c r="BS9" s="368">
        <v>19.627105052125099</v>
      </c>
      <c r="BT9" s="368">
        <v>55.439814814814802</v>
      </c>
      <c r="BU9" s="368">
        <v>16.882922110036301</v>
      </c>
      <c r="BV9" s="368">
        <v>14.339053379060401</v>
      </c>
      <c r="BW9" s="826">
        <v>15.68853974122</v>
      </c>
      <c r="BX9" s="825">
        <f t="shared" ref="BX9:BX72" si="18">AX9</f>
        <v>0</v>
      </c>
      <c r="BY9" s="368">
        <v>7.8904420478266601</v>
      </c>
      <c r="BZ9" s="368"/>
      <c r="CA9" s="368">
        <v>10.898874644551899</v>
      </c>
      <c r="CB9" s="368">
        <v>9.5320641300941595</v>
      </c>
      <c r="CC9" s="826">
        <v>8.65171889647252</v>
      </c>
      <c r="CD9" s="825"/>
      <c r="CE9" s="368"/>
      <c r="CF9" s="368"/>
      <c r="CG9" s="368"/>
      <c r="CH9" s="368"/>
      <c r="CI9" s="826"/>
    </row>
    <row r="10" spans="1:87" ht="14.45" customHeight="1">
      <c r="A10" s="23"/>
      <c r="B10" s="23"/>
      <c r="C10" s="23" t="s">
        <v>426</v>
      </c>
      <c r="D10" s="23"/>
      <c r="E10" s="345">
        <f>AVERAGE(L77:L88)</f>
        <v>21.799849999999999</v>
      </c>
      <c r="F10" s="345">
        <f>AVERAGE(R77:R88)</f>
        <v>19.576458333333331</v>
      </c>
      <c r="G10" s="345">
        <f>AVERAGE(X77:X88)</f>
        <v>15.534119999999998</v>
      </c>
      <c r="H10" s="345">
        <f>AVERAGE(AD77:AD88)</f>
        <v>12.394129999999999</v>
      </c>
      <c r="I10" s="189">
        <f>IF(I9+1=5,1,I9+1)</f>
        <v>1</v>
      </c>
      <c r="J10" s="461">
        <f t="shared" si="12"/>
        <v>2006</v>
      </c>
      <c r="K10" s="566" t="str">
        <f t="shared" si="9"/>
        <v>1Q06</v>
      </c>
      <c r="L10" s="825"/>
      <c r="M10" s="368">
        <v>23.412700000000001</v>
      </c>
      <c r="N10" s="368"/>
      <c r="O10" s="368"/>
      <c r="P10" s="368"/>
      <c r="Q10" s="826">
        <v>17.5168</v>
      </c>
      <c r="R10" s="825"/>
      <c r="S10" s="368">
        <v>20.298200000000001</v>
      </c>
      <c r="T10" s="368"/>
      <c r="U10" s="368"/>
      <c r="V10" s="368"/>
      <c r="W10" s="826">
        <v>16.415099999999999</v>
      </c>
      <c r="X10" s="825"/>
      <c r="Y10" s="368">
        <v>13.2288</v>
      </c>
      <c r="Z10" s="368"/>
      <c r="AA10" s="368"/>
      <c r="AB10" s="368"/>
      <c r="AC10" s="826">
        <v>8.7786000000000008</v>
      </c>
      <c r="AD10" s="368"/>
      <c r="AE10" s="368">
        <v>14.1403</v>
      </c>
      <c r="AF10" s="368"/>
      <c r="AG10" s="368"/>
      <c r="AH10" s="368"/>
      <c r="AI10" s="826">
        <v>8.7786000000000008</v>
      </c>
      <c r="AJ10" s="23"/>
      <c r="AK10" s="566" t="str">
        <f t="shared" si="13"/>
        <v>1Q06</v>
      </c>
      <c r="AL10" s="825">
        <f t="shared" si="14"/>
        <v>0</v>
      </c>
      <c r="AM10" s="368">
        <v>28.240174554882401</v>
      </c>
      <c r="AN10" s="368">
        <v>61.521475380223102</v>
      </c>
      <c r="AO10" s="368">
        <v>15.668449197860999</v>
      </c>
      <c r="AP10" s="368">
        <v>15.640384615384599</v>
      </c>
      <c r="AQ10" s="826"/>
      <c r="AR10" s="825">
        <f t="shared" si="10"/>
        <v>0</v>
      </c>
      <c r="AS10" s="368">
        <v>25.460629921259802</v>
      </c>
      <c r="AT10" s="368">
        <v>17.211126753747301</v>
      </c>
      <c r="AU10" s="368">
        <v>13.5710977304308</v>
      </c>
      <c r="AV10" s="368">
        <v>15.6947124662293</v>
      </c>
      <c r="AW10" s="826"/>
      <c r="AX10" s="825">
        <f t="shared" si="11"/>
        <v>0</v>
      </c>
      <c r="AY10" s="368">
        <v>14.158169978354501</v>
      </c>
      <c r="AZ10" s="368">
        <v>9.5083560163820504</v>
      </c>
      <c r="BA10" s="368">
        <v>8.8106054983290107</v>
      </c>
      <c r="BB10" s="368">
        <v>9.70905162045044</v>
      </c>
      <c r="BC10" s="826">
        <v>6.7470807153880097</v>
      </c>
      <c r="BD10" s="825"/>
      <c r="BE10" s="368"/>
      <c r="BF10" s="368"/>
      <c r="BG10" s="368"/>
      <c r="BH10" s="368"/>
      <c r="BI10" s="826"/>
      <c r="BJ10" s="23"/>
      <c r="BK10" s="566" t="str">
        <f t="shared" si="15"/>
        <v>1Q06</v>
      </c>
      <c r="BL10" s="825">
        <f t="shared" si="16"/>
        <v>0</v>
      </c>
      <c r="BM10" s="368">
        <v>17.073394495412799</v>
      </c>
      <c r="BN10" s="368">
        <v>77.033898305084804</v>
      </c>
      <c r="BO10" s="368">
        <v>14.902419503144699</v>
      </c>
      <c r="BP10" s="368">
        <v>10.058718431346</v>
      </c>
      <c r="BQ10" s="826">
        <v>13.45</v>
      </c>
      <c r="BR10" s="825">
        <f t="shared" si="17"/>
        <v>0</v>
      </c>
      <c r="BS10" s="368">
        <v>18.371174728529098</v>
      </c>
      <c r="BT10" s="368">
        <v>42.6360225140713</v>
      </c>
      <c r="BU10" s="368">
        <v>14.395411306196801</v>
      </c>
      <c r="BV10" s="368">
        <v>10.177874029743</v>
      </c>
      <c r="BW10" s="826">
        <v>12.8503184713376</v>
      </c>
      <c r="BX10" s="825">
        <f t="shared" si="18"/>
        <v>0</v>
      </c>
      <c r="BY10" s="368">
        <v>6.2963293631215604</v>
      </c>
      <c r="BZ10" s="368"/>
      <c r="CA10" s="368">
        <v>9.2373047125244803</v>
      </c>
      <c r="CB10" s="368">
        <v>6.1883074259171602</v>
      </c>
      <c r="CC10" s="826">
        <v>7.0093251329130304</v>
      </c>
      <c r="CD10" s="825"/>
      <c r="CE10" s="368"/>
      <c r="CF10" s="368"/>
      <c r="CG10" s="368"/>
      <c r="CH10" s="368"/>
      <c r="CI10" s="826"/>
    </row>
    <row r="11" spans="1:87" ht="14.45" customHeight="1">
      <c r="A11" s="23"/>
      <c r="B11" s="23"/>
      <c r="C11" s="23" t="s">
        <v>396</v>
      </c>
      <c r="D11" s="23"/>
      <c r="E11" s="345">
        <f>AVERAGE(L73:L88)</f>
        <v>17.386857142857142</v>
      </c>
      <c r="F11" s="345">
        <f>AVERAGE(R73:R88)</f>
        <v>16.714925000000001</v>
      </c>
      <c r="G11" s="345">
        <f>AVERAGE(X73:X88)</f>
        <v>12.233142857142855</v>
      </c>
      <c r="H11" s="345">
        <f>AVERAGE(AD73:AD88)</f>
        <v>12.363941130223692</v>
      </c>
      <c r="I11" s="189">
        <f>IF(I10=4,1,I10+1)</f>
        <v>2</v>
      </c>
      <c r="J11" s="461">
        <f t="shared" si="12"/>
        <v>2006</v>
      </c>
      <c r="K11" s="566" t="str">
        <f t="shared" si="9"/>
        <v>2Q06</v>
      </c>
      <c r="L11" s="825"/>
      <c r="M11" s="368">
        <v>18.5321</v>
      </c>
      <c r="N11" s="368"/>
      <c r="O11" s="368"/>
      <c r="P11" s="368"/>
      <c r="Q11" s="826">
        <v>15.397399999999999</v>
      </c>
      <c r="R11" s="825"/>
      <c r="S11" s="368">
        <v>17.4892</v>
      </c>
      <c r="T11" s="368"/>
      <c r="U11" s="368"/>
      <c r="V11" s="368"/>
      <c r="W11" s="826">
        <v>15.2994</v>
      </c>
      <c r="X11" s="825"/>
      <c r="Y11" s="368">
        <v>11.409700000000001</v>
      </c>
      <c r="Z11" s="368"/>
      <c r="AA11" s="368"/>
      <c r="AB11" s="368"/>
      <c r="AC11" s="826">
        <v>7.8781999999999996</v>
      </c>
      <c r="AD11" s="368"/>
      <c r="AE11" s="368">
        <v>11.4316</v>
      </c>
      <c r="AF11" s="368"/>
      <c r="AG11" s="368"/>
      <c r="AH11" s="368"/>
      <c r="AI11" s="826">
        <v>7.8781999999999996</v>
      </c>
      <c r="AJ11" s="23"/>
      <c r="AK11" s="566" t="str">
        <f t="shared" si="13"/>
        <v>2Q06</v>
      </c>
      <c r="AL11" s="825">
        <f t="shared" si="14"/>
        <v>0</v>
      </c>
      <c r="AM11" s="368">
        <v>22.470817037238</v>
      </c>
      <c r="AN11" s="368">
        <v>38.275667123239401</v>
      </c>
      <c r="AO11" s="368">
        <v>16.6216216216216</v>
      </c>
      <c r="AP11" s="368">
        <v>15.0037807183365</v>
      </c>
      <c r="AQ11" s="826"/>
      <c r="AR11" s="825">
        <f t="shared" si="10"/>
        <v>0</v>
      </c>
      <c r="AS11" s="368">
        <v>22.647058823529399</v>
      </c>
      <c r="AT11" s="368">
        <v>14.7843172547043</v>
      </c>
      <c r="AU11" s="368">
        <v>14.5047169811321</v>
      </c>
      <c r="AV11" s="368">
        <v>15.3283120896099</v>
      </c>
      <c r="AW11" s="826"/>
      <c r="AX11" s="825">
        <f t="shared" si="11"/>
        <v>0</v>
      </c>
      <c r="AY11" s="368">
        <v>12.438216454011799</v>
      </c>
      <c r="AZ11" s="368">
        <v>12.8718399686108</v>
      </c>
      <c r="BA11" s="368">
        <v>9.5505458050116392</v>
      </c>
      <c r="BB11" s="368">
        <v>9.3855530309703301</v>
      </c>
      <c r="BC11" s="826">
        <v>5.7445343172853498</v>
      </c>
      <c r="BD11" s="825"/>
      <c r="BE11" s="368"/>
      <c r="BF11" s="368"/>
      <c r="BG11" s="368"/>
      <c r="BH11" s="368"/>
      <c r="BI11" s="826"/>
      <c r="BJ11" s="23"/>
      <c r="BK11" s="566" t="str">
        <f t="shared" si="15"/>
        <v>2Q06</v>
      </c>
      <c r="BL11" s="825">
        <f t="shared" si="16"/>
        <v>0</v>
      </c>
      <c r="BM11" s="368">
        <v>19.878260869565199</v>
      </c>
      <c r="BN11" s="368">
        <v>33.713235294117602</v>
      </c>
      <c r="BO11" s="368">
        <v>15.5009745629139</v>
      </c>
      <c r="BP11" s="368">
        <v>11.424029243356999</v>
      </c>
      <c r="BQ11" s="826">
        <v>14.0772727272727</v>
      </c>
      <c r="BR11" s="825">
        <f t="shared" si="17"/>
        <v>0</v>
      </c>
      <c r="BS11" s="368">
        <v>21.8546845124283</v>
      </c>
      <c r="BT11" s="368">
        <v>19.362331081081098</v>
      </c>
      <c r="BU11" s="368">
        <v>15.470238988764001</v>
      </c>
      <c r="BV11" s="368">
        <v>11.4012267897774</v>
      </c>
      <c r="BW11" s="826">
        <v>14.0581025873808</v>
      </c>
      <c r="BX11" s="825">
        <f t="shared" si="18"/>
        <v>0</v>
      </c>
      <c r="BY11" s="368">
        <v>5.6028124647543498</v>
      </c>
      <c r="BZ11" s="368"/>
      <c r="CA11" s="368">
        <v>10.262349948648</v>
      </c>
      <c r="CB11" s="368">
        <v>7.1636422617175199</v>
      </c>
      <c r="CC11" s="826">
        <v>7.5613132749682803</v>
      </c>
      <c r="CD11" s="825"/>
      <c r="CE11" s="368"/>
      <c r="CF11" s="368"/>
      <c r="CG11" s="368"/>
      <c r="CH11" s="368"/>
      <c r="CI11" s="826"/>
    </row>
    <row r="12" spans="1:87" ht="14.45" customHeight="1">
      <c r="A12" s="23"/>
      <c r="B12" s="23"/>
      <c r="C12" s="23" t="s">
        <v>428</v>
      </c>
      <c r="D12" s="23"/>
      <c r="E12" s="345">
        <f>AVERAGE(L65:L88)</f>
        <v>14.726768181818185</v>
      </c>
      <c r="F12" s="345">
        <f>AVERAGE(R65:R88)</f>
        <v>15.645487500000002</v>
      </c>
      <c r="G12" s="345">
        <f>AVERAGE(X65:X88)</f>
        <v>9.9741999999999997</v>
      </c>
      <c r="H12" s="345">
        <f>AVERAGE(AD65:AD88)</f>
        <v>11.752617082869621</v>
      </c>
      <c r="I12" s="189">
        <f>I8</f>
        <v>3</v>
      </c>
      <c r="J12" s="461">
        <f t="shared" si="12"/>
        <v>2006</v>
      </c>
      <c r="K12" s="566" t="str">
        <f t="shared" si="9"/>
        <v>3Q06</v>
      </c>
      <c r="L12" s="825"/>
      <c r="M12" s="368">
        <v>19.890499999999999</v>
      </c>
      <c r="N12" s="368"/>
      <c r="O12" s="368"/>
      <c r="P12" s="368"/>
      <c r="Q12" s="826">
        <v>15.615399999999999</v>
      </c>
      <c r="R12" s="825">
        <v>25.945900000000002</v>
      </c>
      <c r="S12" s="368">
        <v>17.114699999999999</v>
      </c>
      <c r="T12" s="368"/>
      <c r="U12" s="368"/>
      <c r="V12" s="368"/>
      <c r="W12" s="826">
        <v>14.2958</v>
      </c>
      <c r="X12" s="825"/>
      <c r="Y12" s="368">
        <v>11.5601</v>
      </c>
      <c r="Z12" s="368"/>
      <c r="AA12" s="368"/>
      <c r="AB12" s="368"/>
      <c r="AC12" s="826">
        <v>8.2772000000000006</v>
      </c>
      <c r="AD12" s="368"/>
      <c r="AE12" s="368">
        <v>11.085000000000001</v>
      </c>
      <c r="AF12" s="368"/>
      <c r="AG12" s="368"/>
      <c r="AH12" s="368"/>
      <c r="AI12" s="826">
        <v>8.2772000000000006</v>
      </c>
      <c r="AJ12" s="23"/>
      <c r="AK12" s="566" t="str">
        <f t="shared" si="13"/>
        <v>3Q06</v>
      </c>
      <c r="AL12" s="825">
        <f t="shared" si="14"/>
        <v>0</v>
      </c>
      <c r="AM12" s="368">
        <v>18.1488548131938</v>
      </c>
      <c r="AN12" s="368">
        <v>13.8276219685405</v>
      </c>
      <c r="AO12" s="368">
        <v>16.211428571428598</v>
      </c>
      <c r="AP12" s="368">
        <v>10.4695817490494</v>
      </c>
      <c r="AQ12" s="826"/>
      <c r="AR12" s="825">
        <f t="shared" si="10"/>
        <v>25.945900000000002</v>
      </c>
      <c r="AS12" s="368">
        <v>21.5940054495913</v>
      </c>
      <c r="AT12" s="368">
        <v>20.175185023328101</v>
      </c>
      <c r="AU12" s="368">
        <v>16.455916473317899</v>
      </c>
      <c r="AV12" s="368">
        <v>10.935266084193801</v>
      </c>
      <c r="AW12" s="826"/>
      <c r="AX12" s="825">
        <f t="shared" si="11"/>
        <v>0</v>
      </c>
      <c r="AY12" s="368">
        <v>10.3640936852251</v>
      </c>
      <c r="AZ12" s="368">
        <v>10.863550802600701</v>
      </c>
      <c r="BA12" s="368">
        <v>9.7585633130094198</v>
      </c>
      <c r="BB12" s="368">
        <v>7.4360441182740997</v>
      </c>
      <c r="BC12" s="826">
        <v>5.3877467970278898</v>
      </c>
      <c r="BD12" s="825"/>
      <c r="BE12" s="368"/>
      <c r="BF12" s="368"/>
      <c r="BG12" s="368"/>
      <c r="BH12" s="368"/>
      <c r="BI12" s="826"/>
      <c r="BJ12" s="23"/>
      <c r="BK12" s="566" t="str">
        <f t="shared" si="15"/>
        <v>3Q06</v>
      </c>
      <c r="BL12" s="825">
        <f t="shared" si="16"/>
        <v>0</v>
      </c>
      <c r="BM12" s="368">
        <v>20.163934426229499</v>
      </c>
      <c r="BN12" s="368">
        <v>21.811111111111099</v>
      </c>
      <c r="BO12" s="368">
        <v>16.562101824324301</v>
      </c>
      <c r="BP12" s="368">
        <v>10.874209654104501</v>
      </c>
      <c r="BQ12" s="826">
        <v>12.84</v>
      </c>
      <c r="BR12" s="825">
        <f t="shared" si="17"/>
        <v>25.945900000000002</v>
      </c>
      <c r="BS12" s="368">
        <v>21.8278615794144</v>
      </c>
      <c r="BT12" s="368">
        <v>16.523569023568999</v>
      </c>
      <c r="BU12" s="368">
        <v>15.253211387678901</v>
      </c>
      <c r="BV12" s="368">
        <v>12.452401747198699</v>
      </c>
      <c r="BW12" s="826">
        <v>12.3093310609288</v>
      </c>
      <c r="BX12" s="825">
        <f t="shared" si="18"/>
        <v>0</v>
      </c>
      <c r="BY12" s="368">
        <v>6.9375454261654701</v>
      </c>
      <c r="BZ12" s="368"/>
      <c r="CA12" s="368">
        <v>10.9533057003254</v>
      </c>
      <c r="CB12" s="368">
        <v>6.9655827047635199</v>
      </c>
      <c r="CC12" s="826">
        <v>7.0399312759850696</v>
      </c>
      <c r="CD12" s="825"/>
      <c r="CE12" s="368"/>
      <c r="CF12" s="368"/>
      <c r="CG12" s="368"/>
      <c r="CH12" s="368"/>
      <c r="CI12" s="826"/>
    </row>
    <row r="13" spans="1:87" ht="14.45" customHeight="1">
      <c r="A13" s="23"/>
      <c r="B13" s="23"/>
      <c r="C13" s="460" t="s">
        <v>425</v>
      </c>
      <c r="D13" s="460"/>
      <c r="E13" s="460"/>
      <c r="F13" s="460"/>
      <c r="G13" s="460"/>
      <c r="H13" s="460"/>
      <c r="I13" s="189">
        <f>IF(I12=4,1,I12+1)</f>
        <v>4</v>
      </c>
      <c r="J13" s="461">
        <f t="shared" si="12"/>
        <v>2006</v>
      </c>
      <c r="K13" s="566" t="str">
        <f t="shared" si="9"/>
        <v>4Q06</v>
      </c>
      <c r="L13" s="825"/>
      <c r="M13" s="368">
        <v>21.324300000000001</v>
      </c>
      <c r="N13" s="368"/>
      <c r="O13" s="368"/>
      <c r="P13" s="368"/>
      <c r="Q13" s="826">
        <v>20.830200000000001</v>
      </c>
      <c r="R13" s="825">
        <v>33.807299999999998</v>
      </c>
      <c r="S13" s="368">
        <v>21.967500000000001</v>
      </c>
      <c r="T13" s="368"/>
      <c r="U13" s="368"/>
      <c r="V13" s="368"/>
      <c r="W13" s="826">
        <v>19.1114</v>
      </c>
      <c r="X13" s="825">
        <v>2.0926999999999998</v>
      </c>
      <c r="Y13" s="368">
        <v>11.664</v>
      </c>
      <c r="Z13" s="368"/>
      <c r="AA13" s="368"/>
      <c r="AB13" s="368"/>
      <c r="AC13" s="826">
        <v>10.655900000000001</v>
      </c>
      <c r="AD13" s="368">
        <v>7.2701000000000002</v>
      </c>
      <c r="AE13" s="368"/>
      <c r="AF13" s="368"/>
      <c r="AG13" s="368"/>
      <c r="AH13" s="368"/>
      <c r="AI13" s="826">
        <v>10.655900000000001</v>
      </c>
      <c r="AJ13" s="23"/>
      <c r="AK13" s="566" t="str">
        <f t="shared" si="13"/>
        <v>4Q06</v>
      </c>
      <c r="AL13" s="825">
        <f t="shared" si="14"/>
        <v>0</v>
      </c>
      <c r="AM13" s="368">
        <v>18.0189389708436</v>
      </c>
      <c r="AN13" s="368">
        <v>14.365974350033699</v>
      </c>
      <c r="AO13" s="368">
        <v>20.147239263803701</v>
      </c>
      <c r="AP13" s="368">
        <v>14.105058365758801</v>
      </c>
      <c r="AQ13" s="826"/>
      <c r="AR13" s="825">
        <f t="shared" si="10"/>
        <v>33.807299999999998</v>
      </c>
      <c r="AS13" s="368">
        <v>20.6736201651456</v>
      </c>
      <c r="AT13" s="368">
        <v>19.424412156575698</v>
      </c>
      <c r="AU13" s="368">
        <v>18.960739030023099</v>
      </c>
      <c r="AV13" s="368">
        <v>14.905427631578901</v>
      </c>
      <c r="AW13" s="826"/>
      <c r="AX13" s="825">
        <f t="shared" si="11"/>
        <v>2.0926999999999998</v>
      </c>
      <c r="AY13" s="368">
        <v>10.3669599181416</v>
      </c>
      <c r="AZ13" s="368">
        <v>11.1857641603841</v>
      </c>
      <c r="BA13" s="368">
        <v>10.7758521211248</v>
      </c>
      <c r="BB13" s="368">
        <v>9.5850161557941806</v>
      </c>
      <c r="BC13" s="826">
        <v>5.6929665138237198</v>
      </c>
      <c r="BD13" s="825"/>
      <c r="BE13" s="368"/>
      <c r="BF13" s="368"/>
      <c r="BG13" s="368"/>
      <c r="BH13" s="368"/>
      <c r="BI13" s="826"/>
      <c r="BJ13" s="23"/>
      <c r="BK13" s="566" t="str">
        <f t="shared" si="15"/>
        <v>4Q06</v>
      </c>
      <c r="BL13" s="825">
        <f t="shared" si="16"/>
        <v>0</v>
      </c>
      <c r="BM13" s="368">
        <v>18.491694352159499</v>
      </c>
      <c r="BN13" s="368">
        <v>20.043859649122801</v>
      </c>
      <c r="BO13" s="368">
        <v>19.4145705295775</v>
      </c>
      <c r="BP13" s="368">
        <v>15.1250091313676</v>
      </c>
      <c r="BQ13" s="826">
        <v>15.635761589404</v>
      </c>
      <c r="BR13" s="825">
        <f t="shared" si="17"/>
        <v>33.807299999999998</v>
      </c>
      <c r="BS13" s="368">
        <v>24.498239436619698</v>
      </c>
      <c r="BT13" s="368">
        <v>19.664371772805499</v>
      </c>
      <c r="BU13" s="368">
        <v>17.284445236363599</v>
      </c>
      <c r="BV13" s="368">
        <v>16.4381128180137</v>
      </c>
      <c r="BW13" s="826">
        <v>15.291450777202099</v>
      </c>
      <c r="BX13" s="825">
        <f t="shared" si="18"/>
        <v>2.0926999999999998</v>
      </c>
      <c r="BY13" s="368">
        <v>7.8802383832311698</v>
      </c>
      <c r="BZ13" s="368"/>
      <c r="CA13" s="368">
        <v>12.503325778467699</v>
      </c>
      <c r="CB13" s="368">
        <v>9.0789445856969593</v>
      </c>
      <c r="CC13" s="826">
        <v>8.2831119078969699</v>
      </c>
      <c r="CD13" s="825"/>
      <c r="CE13" s="368"/>
      <c r="CF13" s="368"/>
      <c r="CG13" s="368"/>
      <c r="CH13" s="368"/>
      <c r="CI13" s="826"/>
    </row>
    <row r="14" spans="1:87" ht="14.45" customHeight="1">
      <c r="A14" s="23"/>
      <c r="B14" s="23"/>
      <c r="C14" s="189"/>
      <c r="D14" s="23"/>
      <c r="E14" s="189" t="s">
        <v>406</v>
      </c>
      <c r="F14" s="189" t="s">
        <v>407</v>
      </c>
      <c r="G14" s="189" t="s">
        <v>408</v>
      </c>
      <c r="H14" s="189" t="s">
        <v>400</v>
      </c>
      <c r="I14" s="189">
        <f>IF(I13+1=5,1,I13+1)</f>
        <v>1</v>
      </c>
      <c r="J14" s="461">
        <f t="shared" si="12"/>
        <v>2007</v>
      </c>
      <c r="K14" s="566" t="str">
        <f t="shared" si="9"/>
        <v>1Q07</v>
      </c>
      <c r="L14" s="825"/>
      <c r="M14" s="368">
        <v>23.0183</v>
      </c>
      <c r="N14" s="368"/>
      <c r="O14" s="368"/>
      <c r="P14" s="368"/>
      <c r="Q14" s="826">
        <v>19.303000000000001</v>
      </c>
      <c r="R14" s="825">
        <v>21.856999999999999</v>
      </c>
      <c r="S14" s="368">
        <v>18.1812</v>
      </c>
      <c r="T14" s="368"/>
      <c r="U14" s="368"/>
      <c r="V14" s="368"/>
      <c r="W14" s="826">
        <v>18.086300000000001</v>
      </c>
      <c r="X14" s="825">
        <v>1.4818</v>
      </c>
      <c r="Y14" s="368">
        <v>12.826499999999999</v>
      </c>
      <c r="Z14" s="368"/>
      <c r="AA14" s="368"/>
      <c r="AB14" s="368"/>
      <c r="AC14" s="826">
        <v>10.096399999999999</v>
      </c>
      <c r="AD14" s="368"/>
      <c r="AE14" s="368">
        <v>13.037699999999999</v>
      </c>
      <c r="AF14" s="368"/>
      <c r="AG14" s="368"/>
      <c r="AH14" s="368"/>
      <c r="AI14" s="826">
        <v>10.096399999999999</v>
      </c>
      <c r="AJ14" s="23"/>
      <c r="AK14" s="566" t="str">
        <f t="shared" si="13"/>
        <v>1Q07</v>
      </c>
      <c r="AL14" s="825">
        <f t="shared" si="14"/>
        <v>0</v>
      </c>
      <c r="AM14" s="368">
        <v>17.481060195594502</v>
      </c>
      <c r="AN14" s="368">
        <v>15.522261708394099</v>
      </c>
      <c r="AO14" s="368">
        <v>18.6666666666667</v>
      </c>
      <c r="AP14" s="368">
        <v>15.4574257425743</v>
      </c>
      <c r="AQ14" s="826"/>
      <c r="AR14" s="825">
        <f t="shared" si="10"/>
        <v>21.856999999999999</v>
      </c>
      <c r="AS14" s="368">
        <v>19.755993150684901</v>
      </c>
      <c r="AT14" s="368">
        <v>18.1815152343096</v>
      </c>
      <c r="AU14" s="368">
        <v>16.147635524798201</v>
      </c>
      <c r="AV14" s="368">
        <v>15.731559854897201</v>
      </c>
      <c r="AW14" s="826"/>
      <c r="AX14" s="825">
        <f t="shared" si="11"/>
        <v>1.4818</v>
      </c>
      <c r="AY14" s="368">
        <v>10.126900781465899</v>
      </c>
      <c r="AZ14" s="368">
        <v>10.116232479017301</v>
      </c>
      <c r="BA14" s="368">
        <v>11.263662924116799</v>
      </c>
      <c r="BB14" s="368">
        <v>11.3925268271013</v>
      </c>
      <c r="BC14" s="826">
        <v>6.4459823516460197</v>
      </c>
      <c r="BD14" s="825"/>
      <c r="BE14" s="368"/>
      <c r="BF14" s="368"/>
      <c r="BG14" s="368"/>
      <c r="BH14" s="368"/>
      <c r="BI14" s="826"/>
      <c r="BJ14" s="23"/>
      <c r="BK14" s="566" t="str">
        <f t="shared" si="15"/>
        <v>1Q07</v>
      </c>
      <c r="BL14" s="825">
        <f t="shared" si="16"/>
        <v>0</v>
      </c>
      <c r="BM14" s="368">
        <v>21.9936102236422</v>
      </c>
      <c r="BN14" s="368">
        <v>19.817843866171</v>
      </c>
      <c r="BO14" s="368">
        <v>20.3226270304026</v>
      </c>
      <c r="BP14" s="368">
        <v>15.776895731784901</v>
      </c>
      <c r="BQ14" s="826">
        <v>16.8366013071895</v>
      </c>
      <c r="BR14" s="825">
        <f t="shared" si="17"/>
        <v>21.856999999999999</v>
      </c>
      <c r="BS14" s="368">
        <v>22.049967969250499</v>
      </c>
      <c r="BT14" s="368">
        <v>20.922291993720599</v>
      </c>
      <c r="BU14" s="368">
        <v>18.2631639477374</v>
      </c>
      <c r="BV14" s="368">
        <v>15.9982552382258</v>
      </c>
      <c r="BW14" s="826">
        <v>16.612209802235601</v>
      </c>
      <c r="BX14" s="825">
        <f t="shared" si="18"/>
        <v>1.4818</v>
      </c>
      <c r="BY14" s="368">
        <v>9.1184251053912302</v>
      </c>
      <c r="BZ14" s="368"/>
      <c r="CA14" s="368">
        <v>19.213044156261599</v>
      </c>
      <c r="CB14" s="368">
        <v>9.1039461729045499</v>
      </c>
      <c r="CC14" s="826">
        <v>9.1789122762902302</v>
      </c>
      <c r="CD14" s="825"/>
      <c r="CE14" s="368"/>
      <c r="CF14" s="368"/>
      <c r="CG14" s="368"/>
      <c r="CH14" s="368"/>
      <c r="CI14" s="826"/>
    </row>
    <row r="15" spans="1:87" ht="14.45" customHeight="1">
      <c r="A15" s="23"/>
      <c r="B15" s="23"/>
      <c r="C15" s="23" t="s">
        <v>440</v>
      </c>
      <c r="D15" s="23"/>
      <c r="E15" s="345">
        <f>AVERAGE(L8:L75)</f>
        <v>28.716673214285713</v>
      </c>
      <c r="F15" s="345">
        <f>AVERAGE(R8:R75)</f>
        <v>18.382673437499996</v>
      </c>
      <c r="G15" s="345">
        <f>AVERAGE(X8:X75)</f>
        <v>8.710941666666665</v>
      </c>
      <c r="H15" s="345">
        <f>AVERAGE(AD8:AD75)</f>
        <v>7.9165199292056201</v>
      </c>
      <c r="I15" s="189">
        <f>IF(I14=4,1,I14+1)</f>
        <v>2</v>
      </c>
      <c r="J15" s="461">
        <f t="shared" si="12"/>
        <v>2007</v>
      </c>
      <c r="K15" s="566" t="str">
        <f t="shared" si="9"/>
        <v>2Q07</v>
      </c>
      <c r="L15" s="825"/>
      <c r="M15" s="368">
        <v>21.341200000000001</v>
      </c>
      <c r="N15" s="368"/>
      <c r="O15" s="368"/>
      <c r="P15" s="368"/>
      <c r="Q15" s="826">
        <v>20.28</v>
      </c>
      <c r="R15" s="825">
        <v>26.5093</v>
      </c>
      <c r="S15" s="368">
        <v>16.616199999999999</v>
      </c>
      <c r="T15" s="368"/>
      <c r="U15" s="368"/>
      <c r="V15" s="368"/>
      <c r="W15" s="826">
        <v>19.5</v>
      </c>
      <c r="X15" s="825">
        <v>2.9188999999999998</v>
      </c>
      <c r="Y15" s="368">
        <v>11.7608</v>
      </c>
      <c r="Z15" s="368"/>
      <c r="AA15" s="368"/>
      <c r="AB15" s="368"/>
      <c r="AC15" s="826">
        <v>10.345499999999999</v>
      </c>
      <c r="AD15" s="368"/>
      <c r="AE15" s="368">
        <v>13.1553</v>
      </c>
      <c r="AF15" s="368"/>
      <c r="AG15" s="368"/>
      <c r="AH15" s="368"/>
      <c r="AI15" s="826">
        <v>10.345499999999999</v>
      </c>
      <c r="AJ15" s="23"/>
      <c r="AK15" s="566" t="str">
        <f t="shared" si="13"/>
        <v>2Q07</v>
      </c>
      <c r="AL15" s="825">
        <f t="shared" si="14"/>
        <v>0</v>
      </c>
      <c r="AM15" s="368">
        <v>20.078124513820502</v>
      </c>
      <c r="AN15" s="368">
        <v>19.315413680224101</v>
      </c>
      <c r="AO15" s="368">
        <v>17.880952380952401</v>
      </c>
      <c r="AP15" s="368">
        <v>18.0419162535235</v>
      </c>
      <c r="AQ15" s="826"/>
      <c r="AR15" s="825">
        <f t="shared" si="10"/>
        <v>26.5093</v>
      </c>
      <c r="AS15" s="368">
        <v>22.1075268817204</v>
      </c>
      <c r="AT15" s="368">
        <v>20.1782706468125</v>
      </c>
      <c r="AU15" s="368">
        <v>22.7059712773999</v>
      </c>
      <c r="AV15" s="368">
        <v>18.128760529482602</v>
      </c>
      <c r="AW15" s="826"/>
      <c r="AX15" s="825">
        <f t="shared" si="11"/>
        <v>2.9188999999999998</v>
      </c>
      <c r="AY15" s="368">
        <v>10.883162475821999</v>
      </c>
      <c r="AZ15" s="368">
        <v>10.544632455636799</v>
      </c>
      <c r="BA15" s="368">
        <v>11.294114858806999</v>
      </c>
      <c r="BB15" s="368">
        <v>12.066726493507501</v>
      </c>
      <c r="BC15" s="826">
        <v>7.7573009425963004</v>
      </c>
      <c r="BD15" s="825"/>
      <c r="BE15" s="368"/>
      <c r="BF15" s="368"/>
      <c r="BG15" s="368"/>
      <c r="BH15" s="368"/>
      <c r="BI15" s="826"/>
      <c r="BJ15" s="23"/>
      <c r="BK15" s="566" t="str">
        <f t="shared" si="15"/>
        <v>2Q07</v>
      </c>
      <c r="BL15" s="825">
        <f t="shared" si="16"/>
        <v>0</v>
      </c>
      <c r="BM15" s="368">
        <v>25.7826086956522</v>
      </c>
      <c r="BN15" s="368">
        <v>24.640151515151501</v>
      </c>
      <c r="BO15" s="368">
        <v>19.212624682247601</v>
      </c>
      <c r="BP15" s="368">
        <v>20.142684472859901</v>
      </c>
      <c r="BQ15" s="826">
        <v>20.206823027718599</v>
      </c>
      <c r="BR15" s="825">
        <f t="shared" si="17"/>
        <v>26.5093</v>
      </c>
      <c r="BS15" s="368">
        <v>26.7117117117117</v>
      </c>
      <c r="BT15" s="368">
        <v>18.660355708548501</v>
      </c>
      <c r="BU15" s="368">
        <v>19.187866219072198</v>
      </c>
      <c r="BV15" s="368">
        <v>20.479692063782899</v>
      </c>
      <c r="BW15" s="826">
        <v>20.328185328185299</v>
      </c>
      <c r="BX15" s="825">
        <f t="shared" si="18"/>
        <v>2.9188999999999998</v>
      </c>
      <c r="BY15" s="368">
        <v>10.555738507716701</v>
      </c>
      <c r="BZ15" s="368"/>
      <c r="CA15" s="368">
        <v>12.0164333674176</v>
      </c>
      <c r="CB15" s="368">
        <v>11.1252626809564</v>
      </c>
      <c r="CC15" s="826">
        <v>10.547352379232899</v>
      </c>
      <c r="CD15" s="825"/>
      <c r="CE15" s="368"/>
      <c r="CF15" s="368"/>
      <c r="CG15" s="368"/>
      <c r="CH15" s="368"/>
      <c r="CI15" s="826"/>
    </row>
    <row r="16" spans="1:87" ht="14.45" customHeight="1">
      <c r="A16" s="23"/>
      <c r="B16" s="23"/>
      <c r="C16" s="23" t="s">
        <v>441</v>
      </c>
      <c r="D16" s="23"/>
      <c r="E16" s="345">
        <f>AVERAGE(E20,E24)</f>
        <v>19.793431249999998</v>
      </c>
      <c r="F16" s="345">
        <f>AVERAGE(F20,F24)</f>
        <v>19.796146874999998</v>
      </c>
      <c r="G16" s="345">
        <f>AVERAGE(G20,G24)</f>
        <v>6.8047249999999995</v>
      </c>
      <c r="H16" s="345">
        <f>AVERAGE(H20,H24)</f>
        <v>7.8321825</v>
      </c>
      <c r="I16" s="189">
        <f>I12</f>
        <v>3</v>
      </c>
      <c r="J16" s="461">
        <f t="shared" si="12"/>
        <v>2007</v>
      </c>
      <c r="K16" s="566" t="str">
        <f t="shared" si="9"/>
        <v>3Q07</v>
      </c>
      <c r="L16" s="825"/>
      <c r="M16" s="368">
        <v>16.96</v>
      </c>
      <c r="N16" s="368"/>
      <c r="O16" s="368"/>
      <c r="P16" s="368"/>
      <c r="Q16" s="826">
        <v>19.9786</v>
      </c>
      <c r="R16" s="825">
        <v>22.7029</v>
      </c>
      <c r="S16" s="368">
        <v>15.645799999999999</v>
      </c>
      <c r="T16" s="368"/>
      <c r="U16" s="368"/>
      <c r="V16" s="368"/>
      <c r="W16" s="826">
        <v>17.807400000000001</v>
      </c>
      <c r="X16" s="825"/>
      <c r="Y16" s="368">
        <v>9.4890000000000008</v>
      </c>
      <c r="Z16" s="368"/>
      <c r="AA16" s="368"/>
      <c r="AB16" s="368"/>
      <c r="AC16" s="826">
        <v>10.542199999999999</v>
      </c>
      <c r="AD16" s="368">
        <v>18.047899999999998</v>
      </c>
      <c r="AE16" s="368">
        <v>25.5929</v>
      </c>
      <c r="AF16" s="368"/>
      <c r="AG16" s="368"/>
      <c r="AH16" s="368"/>
      <c r="AI16" s="826">
        <v>10.542199999999999</v>
      </c>
      <c r="AJ16" s="23"/>
      <c r="AK16" s="566" t="str">
        <f t="shared" si="13"/>
        <v>3Q07</v>
      </c>
      <c r="AL16" s="825">
        <f t="shared" si="14"/>
        <v>0</v>
      </c>
      <c r="AM16" s="368">
        <v>17.157894413887298</v>
      </c>
      <c r="AN16" s="368">
        <v>17.964677885175998</v>
      </c>
      <c r="AO16" s="368">
        <v>18.993939393939399</v>
      </c>
      <c r="AP16" s="368">
        <v>17.830339406209301</v>
      </c>
      <c r="AQ16" s="826"/>
      <c r="AR16" s="825">
        <f t="shared" si="10"/>
        <v>22.7029</v>
      </c>
      <c r="AS16" s="368">
        <v>18.046658758402501</v>
      </c>
      <c r="AT16" s="368">
        <v>15.2884330339041</v>
      </c>
      <c r="AU16" s="368">
        <v>24.200772200772199</v>
      </c>
      <c r="AV16" s="368">
        <v>15.957484816005699</v>
      </c>
      <c r="AW16" s="826"/>
      <c r="AX16" s="825">
        <f t="shared" si="11"/>
        <v>0</v>
      </c>
      <c r="AY16" s="368">
        <v>9.4015377156013002</v>
      </c>
      <c r="AZ16" s="368">
        <v>10.175973794278899</v>
      </c>
      <c r="BA16" s="368">
        <v>12.1605676983264</v>
      </c>
      <c r="BB16" s="368">
        <v>12.000659807003</v>
      </c>
      <c r="BC16" s="826">
        <v>8.8729452528333503</v>
      </c>
      <c r="BD16" s="825"/>
      <c r="BE16" s="368"/>
      <c r="BF16" s="368"/>
      <c r="BG16" s="368"/>
      <c r="BH16" s="368"/>
      <c r="BI16" s="826"/>
      <c r="BJ16" s="23"/>
      <c r="BK16" s="566" t="str">
        <f t="shared" si="15"/>
        <v>3Q07</v>
      </c>
      <c r="BL16" s="825">
        <f t="shared" si="16"/>
        <v>0</v>
      </c>
      <c r="BM16" s="368">
        <v>19.718204488778099</v>
      </c>
      <c r="BN16" s="368">
        <v>22.7993421052632</v>
      </c>
      <c r="BO16" s="368">
        <v>18.9273500743124</v>
      </c>
      <c r="BP16" s="368">
        <v>19.892149685577898</v>
      </c>
      <c r="BQ16" s="826">
        <v>18.054393305439302</v>
      </c>
      <c r="BR16" s="825">
        <f t="shared" si="17"/>
        <v>22.7029</v>
      </c>
      <c r="BS16" s="368">
        <v>17.784525416104401</v>
      </c>
      <c r="BT16" s="368">
        <v>17.2756729810568</v>
      </c>
      <c r="BU16" s="368">
        <v>18.698147054174601</v>
      </c>
      <c r="BV16" s="368">
        <v>21.0760513346214</v>
      </c>
      <c r="BW16" s="826">
        <v>16.551591868047598</v>
      </c>
      <c r="BX16" s="825">
        <f t="shared" si="18"/>
        <v>0</v>
      </c>
      <c r="BY16" s="368">
        <v>9.0262166141813296</v>
      </c>
      <c r="BZ16" s="368"/>
      <c r="CA16" s="368">
        <v>11.641835977457299</v>
      </c>
      <c r="CB16" s="368">
        <v>11.3025559147528</v>
      </c>
      <c r="CC16" s="826">
        <v>10.010972737361801</v>
      </c>
      <c r="CD16" s="825"/>
      <c r="CE16" s="368"/>
      <c r="CF16" s="368"/>
      <c r="CG16" s="368"/>
      <c r="CH16" s="368"/>
      <c r="CI16" s="826"/>
    </row>
    <row r="17" spans="1:87" ht="14.45" customHeight="1">
      <c r="A17" s="23"/>
      <c r="B17" s="23"/>
      <c r="C17" s="23" t="s">
        <v>442</v>
      </c>
      <c r="D17" s="23"/>
      <c r="E17" s="345">
        <f t="shared" ref="E17:H18" si="19">AVERAGE(E21,E25)</f>
        <v>24.564506249999997</v>
      </c>
      <c r="F17" s="345">
        <f t="shared" si="19"/>
        <v>19.108472916666663</v>
      </c>
      <c r="G17" s="345">
        <f t="shared" si="19"/>
        <v>9.3601034722222227</v>
      </c>
      <c r="H17" s="345">
        <f t="shared" si="19"/>
        <v>7.2077006250000002</v>
      </c>
      <c r="I17" s="189">
        <f>IF(I16=4,1,I16+1)</f>
        <v>4</v>
      </c>
      <c r="J17" s="461">
        <f t="shared" si="12"/>
        <v>2007</v>
      </c>
      <c r="K17" s="566" t="str">
        <f t="shared" si="9"/>
        <v>4Q07</v>
      </c>
      <c r="L17" s="825"/>
      <c r="M17" s="368">
        <v>14.739100000000001</v>
      </c>
      <c r="N17" s="368"/>
      <c r="O17" s="368"/>
      <c r="P17" s="368"/>
      <c r="Q17" s="826">
        <v>17.867999999999999</v>
      </c>
      <c r="R17" s="825">
        <v>14.103400000000001</v>
      </c>
      <c r="S17" s="368">
        <v>15.066700000000001</v>
      </c>
      <c r="T17" s="368"/>
      <c r="U17" s="368"/>
      <c r="V17" s="368"/>
      <c r="W17" s="826">
        <v>16.311399999999999</v>
      </c>
      <c r="X17" s="825"/>
      <c r="Y17" s="368">
        <v>8.2507000000000001</v>
      </c>
      <c r="Z17" s="368"/>
      <c r="AA17" s="368"/>
      <c r="AB17" s="368"/>
      <c r="AC17" s="826">
        <v>9.1232000000000006</v>
      </c>
      <c r="AD17" s="368">
        <v>6.1032000000000002</v>
      </c>
      <c r="AE17" s="368">
        <v>11.625500000000001</v>
      </c>
      <c r="AF17" s="368"/>
      <c r="AG17" s="368"/>
      <c r="AH17" s="368"/>
      <c r="AI17" s="826">
        <v>9.1232000000000006</v>
      </c>
      <c r="AJ17" s="23"/>
      <c r="AK17" s="566" t="str">
        <f t="shared" si="13"/>
        <v>4Q07</v>
      </c>
      <c r="AL17" s="825">
        <f t="shared" si="14"/>
        <v>0</v>
      </c>
      <c r="AM17" s="368">
        <v>19.1470584543003</v>
      </c>
      <c r="AN17" s="368">
        <v>18.700749834614999</v>
      </c>
      <c r="AO17" s="368">
        <v>22.639240506329099</v>
      </c>
      <c r="AP17" s="368">
        <v>19.022988401484302</v>
      </c>
      <c r="AQ17" s="826">
        <v>24.914772727272702</v>
      </c>
      <c r="AR17" s="825">
        <f t="shared" si="10"/>
        <v>14.103400000000001</v>
      </c>
      <c r="AS17" s="368">
        <v>19.727272727272702</v>
      </c>
      <c r="AT17" s="368">
        <v>16.5025248069106</v>
      </c>
      <c r="AU17" s="368">
        <v>26.437546193643801</v>
      </c>
      <c r="AV17" s="368">
        <v>17.162115451088798</v>
      </c>
      <c r="AW17" s="826"/>
      <c r="AX17" s="825">
        <f t="shared" si="11"/>
        <v>0</v>
      </c>
      <c r="AY17" s="368">
        <v>9.9524539902565294</v>
      </c>
      <c r="AZ17" s="368">
        <v>10.214673565937</v>
      </c>
      <c r="BA17" s="368">
        <v>12.613183018927501</v>
      </c>
      <c r="BB17" s="368">
        <v>12.097290373279501</v>
      </c>
      <c r="BC17" s="826">
        <v>8.0199614628731695</v>
      </c>
      <c r="BD17" s="825"/>
      <c r="BE17" s="368"/>
      <c r="BF17" s="368"/>
      <c r="BG17" s="368"/>
      <c r="BH17" s="368"/>
      <c r="BI17" s="826"/>
      <c r="BJ17" s="23"/>
      <c r="BK17" s="566" t="str">
        <f t="shared" si="15"/>
        <v>4Q07</v>
      </c>
      <c r="BL17" s="825">
        <f t="shared" si="16"/>
        <v>0</v>
      </c>
      <c r="BM17" s="368">
        <v>18.0136054421769</v>
      </c>
      <c r="BN17" s="368">
        <v>18.218181818181801</v>
      </c>
      <c r="BO17" s="368">
        <v>20.093254993699901</v>
      </c>
      <c r="BP17" s="368">
        <v>20.512852509027699</v>
      </c>
      <c r="BQ17" s="826">
        <v>18.295999999999999</v>
      </c>
      <c r="BR17" s="825">
        <f t="shared" si="17"/>
        <v>14.103400000000001</v>
      </c>
      <c r="BS17" s="368">
        <v>14.443636363636401</v>
      </c>
      <c r="BT17" s="368">
        <v>14.955223880597</v>
      </c>
      <c r="BU17" s="368">
        <v>19.8499333078394</v>
      </c>
      <c r="BV17" s="368">
        <v>21.835848005852899</v>
      </c>
      <c r="BW17" s="826">
        <v>17.3652239939256</v>
      </c>
      <c r="BX17" s="825">
        <f t="shared" si="18"/>
        <v>0</v>
      </c>
      <c r="BY17" s="368">
        <v>8.5879729980468706</v>
      </c>
      <c r="BZ17" s="368"/>
      <c r="CA17" s="368">
        <v>13.557481281982801</v>
      </c>
      <c r="CB17" s="368">
        <v>12.8221316954229</v>
      </c>
      <c r="CC17" s="826">
        <v>9.8900476159815405</v>
      </c>
      <c r="CD17" s="825"/>
      <c r="CE17" s="368"/>
      <c r="CF17" s="368"/>
      <c r="CG17" s="368"/>
      <c r="CH17" s="368"/>
      <c r="CI17" s="826"/>
    </row>
    <row r="18" spans="1:87" ht="14.45" customHeight="1">
      <c r="A18" s="23"/>
      <c r="B18" s="23"/>
      <c r="C18" s="23" t="s">
        <v>443</v>
      </c>
      <c r="D18" s="23"/>
      <c r="E18" s="345">
        <f t="shared" si="19"/>
        <v>32.88773333333333</v>
      </c>
      <c r="F18" s="345">
        <f t="shared" si="19"/>
        <v>17.839101041666666</v>
      </c>
      <c r="G18" s="345">
        <f t="shared" si="19"/>
        <v>8.8120062500000014</v>
      </c>
      <c r="H18" s="345">
        <f t="shared" si="19"/>
        <v>8.6158013278061993</v>
      </c>
      <c r="I18" s="189">
        <f>IF(I17+1=5,1,I17+1)</f>
        <v>1</v>
      </c>
      <c r="J18" s="461">
        <f t="shared" si="12"/>
        <v>2008</v>
      </c>
      <c r="K18" s="566" t="str">
        <f t="shared" si="9"/>
        <v>1Q08</v>
      </c>
      <c r="L18" s="825"/>
      <c r="M18" s="368">
        <v>15.7202</v>
      </c>
      <c r="N18" s="368"/>
      <c r="O18" s="368"/>
      <c r="P18" s="368"/>
      <c r="Q18" s="826">
        <v>18.578199999999999</v>
      </c>
      <c r="R18" s="825">
        <v>10.641500000000001</v>
      </c>
      <c r="S18" s="368">
        <v>13.9213</v>
      </c>
      <c r="T18" s="368"/>
      <c r="U18" s="368"/>
      <c r="V18" s="368"/>
      <c r="W18" s="826">
        <v>17.697500000000002</v>
      </c>
      <c r="X18" s="825"/>
      <c r="Y18" s="368">
        <v>9.0692000000000004</v>
      </c>
      <c r="Z18" s="368"/>
      <c r="AA18" s="368"/>
      <c r="AB18" s="368"/>
      <c r="AC18" s="826">
        <v>9.6114999999999995</v>
      </c>
      <c r="AD18" s="368">
        <v>6.6299000000000001</v>
      </c>
      <c r="AE18" s="368">
        <v>13.426600000000001</v>
      </c>
      <c r="AF18" s="368"/>
      <c r="AG18" s="368"/>
      <c r="AH18" s="368"/>
      <c r="AI18" s="826">
        <v>9.6114999999999995</v>
      </c>
      <c r="AJ18" s="23"/>
      <c r="AK18" s="566" t="str">
        <f t="shared" si="13"/>
        <v>1Q08</v>
      </c>
      <c r="AL18" s="825">
        <f t="shared" si="14"/>
        <v>0</v>
      </c>
      <c r="AM18" s="368">
        <v>20.283636187782001</v>
      </c>
      <c r="AN18" s="368">
        <v>17.005201226041201</v>
      </c>
      <c r="AO18" s="368">
        <v>24.346153846153801</v>
      </c>
      <c r="AP18" s="368">
        <v>18.768382056819298</v>
      </c>
      <c r="AQ18" s="826">
        <v>25.539772727272702</v>
      </c>
      <c r="AR18" s="825">
        <f t="shared" si="10"/>
        <v>10.641500000000001</v>
      </c>
      <c r="AS18" s="368">
        <v>20.782414307004501</v>
      </c>
      <c r="AT18" s="368">
        <v>16.131976461153702</v>
      </c>
      <c r="AU18" s="368">
        <v>27.8241758241758</v>
      </c>
      <c r="AV18" s="368">
        <v>17.287504232983402</v>
      </c>
      <c r="AW18" s="826"/>
      <c r="AX18" s="825">
        <f t="shared" si="11"/>
        <v>0</v>
      </c>
      <c r="AY18" s="368">
        <v>10.247520184527399</v>
      </c>
      <c r="AZ18" s="368">
        <v>9.5174318423695201</v>
      </c>
      <c r="BA18" s="368">
        <v>12.277601123113399</v>
      </c>
      <c r="BB18" s="368">
        <v>11.477847628534301</v>
      </c>
      <c r="BC18" s="826">
        <v>8.1771807700558199</v>
      </c>
      <c r="BD18" s="825"/>
      <c r="BE18" s="368"/>
      <c r="BF18" s="368"/>
      <c r="BG18" s="368"/>
      <c r="BH18" s="368"/>
      <c r="BI18" s="826"/>
      <c r="BJ18" s="23"/>
      <c r="BK18" s="566" t="str">
        <f t="shared" si="15"/>
        <v>1Q08</v>
      </c>
      <c r="BL18" s="825">
        <f t="shared" si="16"/>
        <v>0</v>
      </c>
      <c r="BM18" s="368">
        <v>15.8366141732283</v>
      </c>
      <c r="BN18" s="368">
        <v>14.6371882086168</v>
      </c>
      <c r="BO18" s="368">
        <v>21.097269288888899</v>
      </c>
      <c r="BP18" s="368">
        <v>19.287461801637502</v>
      </c>
      <c r="BQ18" s="826">
        <v>17.820610687022899</v>
      </c>
      <c r="BR18" s="825">
        <f t="shared" si="17"/>
        <v>10.641500000000001</v>
      </c>
      <c r="BS18" s="368">
        <v>14.143811533052</v>
      </c>
      <c r="BT18" s="368">
        <v>12.577942322681199</v>
      </c>
      <c r="BU18" s="368">
        <v>20.494490166349198</v>
      </c>
      <c r="BV18" s="368">
        <v>20.296556117062099</v>
      </c>
      <c r="BW18" s="826">
        <v>17.0215092963908</v>
      </c>
      <c r="BX18" s="825">
        <f t="shared" si="18"/>
        <v>0</v>
      </c>
      <c r="BY18" s="368">
        <v>8.0824033735712799</v>
      </c>
      <c r="BZ18" s="368"/>
      <c r="CA18" s="368">
        <v>13.695778645739599</v>
      </c>
      <c r="CB18" s="368">
        <v>12.8479606538945</v>
      </c>
      <c r="CC18" s="826">
        <v>9.6001621190547795</v>
      </c>
      <c r="CD18" s="825"/>
      <c r="CE18" s="368"/>
      <c r="CF18" s="368"/>
      <c r="CG18" s="368"/>
      <c r="CH18" s="368"/>
      <c r="CI18" s="826"/>
    </row>
    <row r="19" spans="1:87" ht="14.45" customHeight="1">
      <c r="A19" s="23"/>
      <c r="B19" s="23"/>
      <c r="C19" s="23" t="s">
        <v>410</v>
      </c>
      <c r="D19" s="23"/>
      <c r="E19" s="345">
        <f>AVERAGE(L8:L35)</f>
        <v>46.707606249999998</v>
      </c>
      <c r="F19" s="345">
        <f>AVERAGE(R8:R35)</f>
        <v>23.666012499999997</v>
      </c>
      <c r="G19" s="345">
        <f>AVERAGE(X8:X35)</f>
        <v>9.504154999999999</v>
      </c>
      <c r="H19" s="345">
        <f>AVERAGE(AD8:AD35)</f>
        <v>8.0170526315789488</v>
      </c>
      <c r="I19" s="189">
        <f>IF(I18=4,1,I18+1)</f>
        <v>2</v>
      </c>
      <c r="J19" s="461">
        <f t="shared" si="12"/>
        <v>2008</v>
      </c>
      <c r="K19" s="566" t="str">
        <f t="shared" si="9"/>
        <v>2Q08</v>
      </c>
      <c r="L19" s="825">
        <v>5.4286000000000003</v>
      </c>
      <c r="M19" s="368">
        <v>13.938800000000001</v>
      </c>
      <c r="N19" s="368"/>
      <c r="O19" s="368"/>
      <c r="P19" s="368"/>
      <c r="Q19" s="826">
        <v>19.339400000000001</v>
      </c>
      <c r="R19" s="825">
        <v>10.042299999999999</v>
      </c>
      <c r="S19" s="368">
        <v>17.441299999999998</v>
      </c>
      <c r="T19" s="368"/>
      <c r="U19" s="368"/>
      <c r="V19" s="368"/>
      <c r="W19" s="826">
        <v>18.936599999999999</v>
      </c>
      <c r="X19" s="825">
        <v>3.0796000000000001</v>
      </c>
      <c r="Y19" s="368">
        <v>7.6525999999999996</v>
      </c>
      <c r="Z19" s="368"/>
      <c r="AA19" s="368"/>
      <c r="AB19" s="368"/>
      <c r="AC19" s="826">
        <v>10.2606</v>
      </c>
      <c r="AD19" s="368">
        <v>5.5861000000000001</v>
      </c>
      <c r="AE19" s="368">
        <v>11.5586</v>
      </c>
      <c r="AF19" s="368"/>
      <c r="AG19" s="368"/>
      <c r="AH19" s="368"/>
      <c r="AI19" s="826">
        <v>10.2606</v>
      </c>
      <c r="AJ19" s="23"/>
      <c r="AK19" s="566" t="str">
        <f t="shared" si="13"/>
        <v>2Q08</v>
      </c>
      <c r="AL19" s="825">
        <f t="shared" si="14"/>
        <v>5.4286000000000003</v>
      </c>
      <c r="AM19" s="368">
        <v>19.491227907120301</v>
      </c>
      <c r="AN19" s="368">
        <v>16.688389388832501</v>
      </c>
      <c r="AO19" s="368">
        <v>24.732484076433099</v>
      </c>
      <c r="AP19" s="368">
        <v>17.491638377558701</v>
      </c>
      <c r="AQ19" s="826">
        <v>16.232394366197202</v>
      </c>
      <c r="AR19" s="825">
        <f t="shared" si="10"/>
        <v>10.042299999999999</v>
      </c>
      <c r="AS19" s="368">
        <v>20.362903225806399</v>
      </c>
      <c r="AT19" s="368">
        <v>16.26994082613</v>
      </c>
      <c r="AU19" s="368">
        <v>29.327794561933501</v>
      </c>
      <c r="AV19" s="368">
        <v>17.329357190192201</v>
      </c>
      <c r="AW19" s="826"/>
      <c r="AX19" s="825">
        <f t="shared" si="11"/>
        <v>3.0796000000000001</v>
      </c>
      <c r="AY19" s="368">
        <v>10.7674086640521</v>
      </c>
      <c r="AZ19" s="368">
        <v>8.6047449158160294</v>
      </c>
      <c r="BA19" s="368">
        <v>12.2104350605702</v>
      </c>
      <c r="BB19" s="368">
        <v>10.269674631440299</v>
      </c>
      <c r="BC19" s="826">
        <v>5.4010331768011701</v>
      </c>
      <c r="BD19" s="825"/>
      <c r="BE19" s="368"/>
      <c r="BF19" s="368"/>
      <c r="BG19" s="368"/>
      <c r="BH19" s="368"/>
      <c r="BI19" s="826"/>
      <c r="BJ19" s="23"/>
      <c r="BK19" s="566" t="str">
        <f t="shared" si="15"/>
        <v>2Q08</v>
      </c>
      <c r="BL19" s="825">
        <f t="shared" si="16"/>
        <v>5.4286000000000003</v>
      </c>
      <c r="BM19" s="368">
        <v>17.258407079645998</v>
      </c>
      <c r="BN19" s="368">
        <v>13.3333333333333</v>
      </c>
      <c r="BO19" s="368">
        <v>21.792345403726699</v>
      </c>
      <c r="BP19" s="368">
        <v>18.221841239066201</v>
      </c>
      <c r="BQ19" s="826">
        <v>19.210037174721201</v>
      </c>
      <c r="BR19" s="825">
        <f t="shared" si="17"/>
        <v>10.042299999999999</v>
      </c>
      <c r="BS19" s="368">
        <v>16.9937260369467</v>
      </c>
      <c r="BT19" s="368">
        <v>12.330129267484301</v>
      </c>
      <c r="BU19" s="368">
        <v>22.206124113924101</v>
      </c>
      <c r="BV19" s="368">
        <v>20.0418586755485</v>
      </c>
      <c r="BW19" s="826">
        <v>18.797744634412499</v>
      </c>
      <c r="BX19" s="825">
        <f t="shared" si="18"/>
        <v>3.0796000000000001</v>
      </c>
      <c r="BY19" s="368">
        <v>9.0195886328454105</v>
      </c>
      <c r="BZ19" s="368"/>
      <c r="CA19" s="368">
        <v>13.8749350159271</v>
      </c>
      <c r="CB19" s="368">
        <v>13.6789537402863</v>
      </c>
      <c r="CC19" s="826">
        <v>10.451056246976799</v>
      </c>
      <c r="CD19" s="825"/>
      <c r="CE19" s="368"/>
      <c r="CF19" s="368"/>
      <c r="CG19" s="368"/>
      <c r="CH19" s="368"/>
      <c r="CI19" s="826"/>
    </row>
    <row r="20" spans="1:87" ht="14.45" customHeight="1">
      <c r="A20" s="23"/>
      <c r="B20" s="23"/>
      <c r="C20" s="23" t="s">
        <v>444</v>
      </c>
      <c r="D20" s="23"/>
      <c r="E20" s="345">
        <f>AVERAGE(L8:L19)</f>
        <v>5.4286000000000003</v>
      </c>
      <c r="F20" s="345">
        <f>AVERAGE(R8:R19)</f>
        <v>20.7012</v>
      </c>
      <c r="G20" s="345">
        <f>AVERAGE(X8:X19)</f>
        <v>2.3932500000000001</v>
      </c>
      <c r="H20" s="345">
        <f>AVERAGE(AD8:AD19)</f>
        <v>8.7274399999999996</v>
      </c>
      <c r="I20" s="189">
        <f>I16</f>
        <v>3</v>
      </c>
      <c r="J20" s="461">
        <f t="shared" ref="J20:J83" si="20">IF(I20=1,J19+1,J19)</f>
        <v>2008</v>
      </c>
      <c r="K20" s="566" t="str">
        <f t="shared" si="9"/>
        <v>3Q08</v>
      </c>
      <c r="L20" s="825">
        <v>18.1616</v>
      </c>
      <c r="M20" s="368">
        <v>19.525099999999998</v>
      </c>
      <c r="N20" s="368"/>
      <c r="O20" s="368"/>
      <c r="P20" s="368"/>
      <c r="Q20" s="826">
        <v>16.920400000000001</v>
      </c>
      <c r="R20" s="825">
        <v>22.759499999999999</v>
      </c>
      <c r="S20" s="368">
        <v>22.5885</v>
      </c>
      <c r="T20" s="368"/>
      <c r="U20" s="368"/>
      <c r="V20" s="368"/>
      <c r="W20" s="826">
        <v>16.927800000000001</v>
      </c>
      <c r="X20" s="825">
        <v>5.3878000000000004</v>
      </c>
      <c r="Y20" s="368">
        <v>18.900300000000001</v>
      </c>
      <c r="Z20" s="368"/>
      <c r="AA20" s="368"/>
      <c r="AB20" s="368"/>
      <c r="AC20" s="826">
        <v>9.0824999999999996</v>
      </c>
      <c r="AD20" s="368">
        <v>5.7739000000000003</v>
      </c>
      <c r="AE20" s="368">
        <v>14.2136</v>
      </c>
      <c r="AF20" s="368"/>
      <c r="AG20" s="368"/>
      <c r="AH20" s="368"/>
      <c r="AI20" s="826">
        <v>9.0824999999999996</v>
      </c>
      <c r="AJ20" s="23"/>
      <c r="AK20" s="566" t="str">
        <f t="shared" si="13"/>
        <v>3Q08</v>
      </c>
      <c r="AL20" s="825">
        <f t="shared" si="14"/>
        <v>18.1616</v>
      </c>
      <c r="AM20" s="368">
        <v>20.3533331715796</v>
      </c>
      <c r="AN20" s="368">
        <v>14.8843352711246</v>
      </c>
      <c r="AO20" s="368">
        <v>21.6201117318436</v>
      </c>
      <c r="AP20" s="368">
        <v>17.9013373644136</v>
      </c>
      <c r="AQ20" s="826">
        <v>18.274647887323901</v>
      </c>
      <c r="AR20" s="825">
        <f t="shared" si="10"/>
        <v>22.759499999999999</v>
      </c>
      <c r="AS20" s="368">
        <v>18.275965279856301</v>
      </c>
      <c r="AT20" s="368">
        <v>13.572467583702901</v>
      </c>
      <c r="AU20" s="368">
        <v>20.5087440381558</v>
      </c>
      <c r="AV20" s="368">
        <v>15.719530102789999</v>
      </c>
      <c r="AW20" s="826">
        <v>13.586387434555</v>
      </c>
      <c r="AX20" s="825">
        <f t="shared" si="11"/>
        <v>5.3878000000000004</v>
      </c>
      <c r="AY20" s="368">
        <v>10.377498226542199</v>
      </c>
      <c r="AZ20" s="368">
        <v>8.3226000907228208</v>
      </c>
      <c r="BA20" s="368">
        <v>11.631107683498801</v>
      </c>
      <c r="BB20" s="368">
        <v>10.5217939917218</v>
      </c>
      <c r="BC20" s="826">
        <v>6.0220379057999196</v>
      </c>
      <c r="BD20" s="825"/>
      <c r="BE20" s="368"/>
      <c r="BF20" s="368"/>
      <c r="BG20" s="368"/>
      <c r="BH20" s="368"/>
      <c r="BI20" s="826">
        <v>6.3204672990607103</v>
      </c>
      <c r="BJ20" s="23"/>
      <c r="BK20" s="566" t="str">
        <f t="shared" si="15"/>
        <v>3Q08</v>
      </c>
      <c r="BL20" s="825">
        <f t="shared" si="16"/>
        <v>18.1616</v>
      </c>
      <c r="BM20" s="368">
        <v>14.9411764705882</v>
      </c>
      <c r="BN20" s="368">
        <v>11.6545138888889</v>
      </c>
      <c r="BO20" s="368">
        <v>21.396744125925899</v>
      </c>
      <c r="BP20" s="368">
        <v>17.890914484230301</v>
      </c>
      <c r="BQ20" s="826">
        <v>18.1860465116279</v>
      </c>
      <c r="BR20" s="825">
        <f t="shared" si="17"/>
        <v>22.759499999999999</v>
      </c>
      <c r="BS20" s="368">
        <v>12.515740487270699</v>
      </c>
      <c r="BT20" s="368">
        <v>11.2219993313273</v>
      </c>
      <c r="BU20" s="368">
        <v>19.171861440265499</v>
      </c>
      <c r="BV20" s="368">
        <v>17.571433868440501</v>
      </c>
      <c r="BW20" s="826">
        <v>16.753460777851</v>
      </c>
      <c r="BX20" s="825">
        <f t="shared" si="18"/>
        <v>5.3878000000000004</v>
      </c>
      <c r="BY20" s="368">
        <v>8.2738549462753905</v>
      </c>
      <c r="BZ20" s="368"/>
      <c r="CA20" s="368">
        <v>13.808439568671201</v>
      </c>
      <c r="CB20" s="368">
        <v>13.7812305778841</v>
      </c>
      <c r="CC20" s="826">
        <v>10.06424152212</v>
      </c>
      <c r="CD20" s="825"/>
      <c r="CE20" s="368"/>
      <c r="CF20" s="368"/>
      <c r="CG20" s="368">
        <v>27.8906291783535</v>
      </c>
      <c r="CH20" s="368"/>
      <c r="CI20" s="826"/>
    </row>
    <row r="21" spans="1:87" ht="14.45" customHeight="1">
      <c r="A21" s="23"/>
      <c r="B21" s="23"/>
      <c r="C21" s="23" t="s">
        <v>445</v>
      </c>
      <c r="D21" s="23"/>
      <c r="E21" s="345">
        <f>AVERAGE(L16:L27)</f>
        <v>28.208512499999998</v>
      </c>
      <c r="F21" s="345">
        <f>AVERAGE(R16:R27)</f>
        <v>24.205958333333331</v>
      </c>
      <c r="G21" s="345">
        <f>AVERAGE(X16:X27)</f>
        <v>10.492244444444445</v>
      </c>
      <c r="H21" s="345">
        <f>AVERAGE(AD16:AD27)</f>
        <v>7.9445700000000006</v>
      </c>
      <c r="I21" s="189">
        <f>IF(I20=4,1,I20+1)</f>
        <v>4</v>
      </c>
      <c r="J21" s="461">
        <f t="shared" si="20"/>
        <v>2008</v>
      </c>
      <c r="K21" s="566" t="str">
        <f t="shared" si="9"/>
        <v>4Q08</v>
      </c>
      <c r="L21" s="825">
        <v>12.5556</v>
      </c>
      <c r="M21" s="368">
        <v>18.0242</v>
      </c>
      <c r="N21" s="368"/>
      <c r="O21" s="368"/>
      <c r="P21" s="368"/>
      <c r="Q21" s="826">
        <v>16.413499999999999</v>
      </c>
      <c r="R21" s="825">
        <v>29.880400000000002</v>
      </c>
      <c r="S21" s="368">
        <v>17.381599999999999</v>
      </c>
      <c r="T21" s="368"/>
      <c r="U21" s="368"/>
      <c r="V21" s="368"/>
      <c r="W21" s="826">
        <v>15.1953</v>
      </c>
      <c r="X21" s="825">
        <v>4.5975000000000001</v>
      </c>
      <c r="Y21" s="368">
        <v>21.270900000000001</v>
      </c>
      <c r="Z21" s="368"/>
      <c r="AA21" s="368"/>
      <c r="AB21" s="368"/>
      <c r="AC21" s="826">
        <v>8.6582000000000008</v>
      </c>
      <c r="AD21" s="368"/>
      <c r="AE21" s="368">
        <v>15.457800000000001</v>
      </c>
      <c r="AF21" s="368"/>
      <c r="AG21" s="368"/>
      <c r="AH21" s="368"/>
      <c r="AI21" s="826">
        <v>8.6582000000000008</v>
      </c>
      <c r="AJ21" s="23"/>
      <c r="AK21" s="566" t="str">
        <f t="shared" si="13"/>
        <v>4Q08</v>
      </c>
      <c r="AL21" s="825">
        <f t="shared" si="14"/>
        <v>12.5556</v>
      </c>
      <c r="AM21" s="368">
        <v>19.657575771777999</v>
      </c>
      <c r="AN21" s="368">
        <v>14.2796521296296</v>
      </c>
      <c r="AO21" s="368">
        <v>20.0615384615385</v>
      </c>
      <c r="AP21" s="368">
        <v>17.115624757709501</v>
      </c>
      <c r="AQ21" s="826">
        <v>16.214689265536698</v>
      </c>
      <c r="AR21" s="825">
        <f t="shared" si="10"/>
        <v>29.880400000000002</v>
      </c>
      <c r="AS21" s="368">
        <v>18.304176072234799</v>
      </c>
      <c r="AT21" s="368">
        <v>13.1036807777778</v>
      </c>
      <c r="AU21" s="368">
        <v>19.928680590932199</v>
      </c>
      <c r="AV21" s="368">
        <v>15.7024082568807</v>
      </c>
      <c r="AW21" s="826">
        <v>15.026178010471201</v>
      </c>
      <c r="AX21" s="825">
        <f t="shared" si="11"/>
        <v>4.5975000000000001</v>
      </c>
      <c r="AY21" s="368">
        <v>10.022293535005</v>
      </c>
      <c r="AZ21" s="368">
        <v>7.9050144379231897</v>
      </c>
      <c r="BA21" s="368">
        <v>10.9872619593073</v>
      </c>
      <c r="BB21" s="368"/>
      <c r="BC21" s="826">
        <v>8.8058295051038105</v>
      </c>
      <c r="BD21" s="825"/>
      <c r="BE21" s="368"/>
      <c r="BF21" s="368"/>
      <c r="BG21" s="368"/>
      <c r="BH21" s="368"/>
      <c r="BI21" s="826">
        <v>8.5192492549377103</v>
      </c>
      <c r="BJ21" s="23"/>
      <c r="BK21" s="566" t="str">
        <f t="shared" si="15"/>
        <v>4Q08</v>
      </c>
      <c r="BL21" s="825">
        <f t="shared" si="16"/>
        <v>12.5556</v>
      </c>
      <c r="BM21" s="368">
        <v>14.161961367013401</v>
      </c>
      <c r="BN21" s="368">
        <v>10.411764705882399</v>
      </c>
      <c r="BO21" s="368">
        <v>20.1862794</v>
      </c>
      <c r="BP21" s="368">
        <v>16.6056425073082</v>
      </c>
      <c r="BQ21" s="826">
        <v>17.615780445969101</v>
      </c>
      <c r="BR21" s="825">
        <f t="shared" si="17"/>
        <v>29.880400000000002</v>
      </c>
      <c r="BS21" s="368">
        <v>12.073726881175601</v>
      </c>
      <c r="BT21" s="368">
        <v>10.378763866878</v>
      </c>
      <c r="BU21" s="368">
        <v>18.371407065637101</v>
      </c>
      <c r="BV21" s="368">
        <v>17.0522490295096</v>
      </c>
      <c r="BW21" s="826">
        <v>16.825032765399701</v>
      </c>
      <c r="BX21" s="825">
        <f t="shared" si="18"/>
        <v>4.5975000000000001</v>
      </c>
      <c r="BY21" s="368">
        <v>7.9850694368241601</v>
      </c>
      <c r="BZ21" s="368"/>
      <c r="CA21" s="368">
        <v>12.9726266960503</v>
      </c>
      <c r="CB21" s="368">
        <v>12.827709382321499</v>
      </c>
      <c r="CC21" s="826">
        <v>10.1722518312873</v>
      </c>
      <c r="CD21" s="825"/>
      <c r="CE21" s="368">
        <v>7.8171070404282004</v>
      </c>
      <c r="CF21" s="368"/>
      <c r="CG21" s="368">
        <v>26.766116185278602</v>
      </c>
      <c r="CH21" s="368"/>
      <c r="CI21" s="826">
        <v>9.8004068720064108</v>
      </c>
    </row>
    <row r="22" spans="1:87" ht="14.45" customHeight="1">
      <c r="A22" s="23"/>
      <c r="B22" s="23"/>
      <c r="C22" s="23" t="s">
        <v>446</v>
      </c>
      <c r="D22" s="23"/>
      <c r="E22" s="345">
        <f>AVERAGE(L24:L35)</f>
        <v>55.919541666666667</v>
      </c>
      <c r="F22" s="345">
        <f>AVERAGE(R24:R35)</f>
        <v>23.961158333333334</v>
      </c>
      <c r="G22" s="345">
        <f>AVERAGE(X24:X35)</f>
        <v>11.931925000000001</v>
      </c>
      <c r="H22" s="345">
        <f>AVERAGE(AD24:AD35)</f>
        <v>7.8810416666666656</v>
      </c>
      <c r="I22" s="189">
        <f>IF(I21+1=5,1,I21+1)</f>
        <v>1</v>
      </c>
      <c r="J22" s="461">
        <f t="shared" si="20"/>
        <v>2009</v>
      </c>
      <c r="K22" s="566" t="str">
        <f t="shared" si="9"/>
        <v>1Q09</v>
      </c>
      <c r="L22" s="825"/>
      <c r="M22" s="368">
        <v>19.093599999999999</v>
      </c>
      <c r="N22" s="368"/>
      <c r="O22" s="368"/>
      <c r="P22" s="368"/>
      <c r="Q22" s="826">
        <v>15.317299999999999</v>
      </c>
      <c r="R22" s="825">
        <v>24.72</v>
      </c>
      <c r="S22" s="368">
        <v>15.8919</v>
      </c>
      <c r="T22" s="368"/>
      <c r="U22" s="368"/>
      <c r="V22" s="368"/>
      <c r="W22" s="826">
        <v>15.478899999999999</v>
      </c>
      <c r="X22" s="825">
        <v>9.1235999999999997</v>
      </c>
      <c r="Y22" s="368">
        <v>57.871200000000002</v>
      </c>
      <c r="Z22" s="368"/>
      <c r="AA22" s="368"/>
      <c r="AB22" s="368"/>
      <c r="AC22" s="826">
        <v>8.1684000000000001</v>
      </c>
      <c r="AD22" s="368"/>
      <c r="AE22" s="368">
        <v>13.0313</v>
      </c>
      <c r="AF22" s="368"/>
      <c r="AG22" s="368"/>
      <c r="AH22" s="368"/>
      <c r="AI22" s="826">
        <v>8.1684000000000001</v>
      </c>
      <c r="AJ22" s="23"/>
      <c r="AK22" s="566" t="str">
        <f t="shared" si="13"/>
        <v>1Q09</v>
      </c>
      <c r="AL22" s="825">
        <f t="shared" si="14"/>
        <v>0</v>
      </c>
      <c r="AM22" s="368">
        <v>17.098039215686299</v>
      </c>
      <c r="AN22" s="368">
        <v>14.6741425193452</v>
      </c>
      <c r="AO22" s="368">
        <v>18.546341463414599</v>
      </c>
      <c r="AP22" s="368">
        <v>17.503660322108299</v>
      </c>
      <c r="AQ22" s="826">
        <v>19.406779661017001</v>
      </c>
      <c r="AR22" s="825">
        <f t="shared" si="10"/>
        <v>24.72</v>
      </c>
      <c r="AS22" s="368">
        <v>16.0758493547538</v>
      </c>
      <c r="AT22" s="368">
        <v>12.507640503551499</v>
      </c>
      <c r="AU22" s="368">
        <v>19.000499750124899</v>
      </c>
      <c r="AV22" s="368">
        <v>16.852269523541</v>
      </c>
      <c r="AW22" s="826">
        <v>16.202830188679201</v>
      </c>
      <c r="AX22" s="825">
        <f t="shared" si="11"/>
        <v>9.1235999999999997</v>
      </c>
      <c r="AY22" s="368">
        <v>8.8558565987507194</v>
      </c>
      <c r="AZ22" s="368">
        <v>7.8630487779520299</v>
      </c>
      <c r="BA22" s="368">
        <v>10.2621107586187</v>
      </c>
      <c r="BB22" s="368"/>
      <c r="BC22" s="826">
        <v>10.1926114955517</v>
      </c>
      <c r="BD22" s="825">
        <f t="shared" ref="BD22:BD72" si="21">AD22</f>
        <v>0</v>
      </c>
      <c r="BE22" s="368">
        <v>8.0205296136061097</v>
      </c>
      <c r="BF22" s="368">
        <v>7.3318871095675799</v>
      </c>
      <c r="BG22" s="368">
        <v>9.4429422682377293</v>
      </c>
      <c r="BH22" s="368">
        <v>9.4176624276580192</v>
      </c>
      <c r="BI22" s="826">
        <v>10.2188931136207</v>
      </c>
      <c r="BJ22" s="23"/>
      <c r="BK22" s="566" t="str">
        <f t="shared" si="15"/>
        <v>1Q09</v>
      </c>
      <c r="BL22" s="825">
        <f t="shared" si="16"/>
        <v>0</v>
      </c>
      <c r="BM22" s="368">
        <v>16.296809986130398</v>
      </c>
      <c r="BN22" s="368">
        <v>9.7763578274760405</v>
      </c>
      <c r="BO22" s="368">
        <v>19.038432140000001</v>
      </c>
      <c r="BP22" s="368">
        <v>16.227314266132101</v>
      </c>
      <c r="BQ22" s="826">
        <v>17.222591362126199</v>
      </c>
      <c r="BR22" s="825">
        <f t="shared" si="17"/>
        <v>24.72</v>
      </c>
      <c r="BS22" s="368">
        <v>14.2458777885548</v>
      </c>
      <c r="BT22" s="368">
        <v>10.662020905923301</v>
      </c>
      <c r="BU22" s="368">
        <v>17.822320835903099</v>
      </c>
      <c r="BV22" s="368">
        <v>17.000043516900298</v>
      </c>
      <c r="BW22" s="826">
        <v>16.869508623495001</v>
      </c>
      <c r="BX22" s="825">
        <f t="shared" si="18"/>
        <v>9.1235999999999997</v>
      </c>
      <c r="BY22" s="368">
        <v>8.8394808862530994</v>
      </c>
      <c r="BZ22" s="368"/>
      <c r="CA22" s="368">
        <v>12.158388083180601</v>
      </c>
      <c r="CB22" s="368">
        <v>12.5701333982331</v>
      </c>
      <c r="CC22" s="826">
        <v>10.029459341426101</v>
      </c>
      <c r="CD22" s="825">
        <f t="shared" ref="CD22:CD72" si="22">BD22</f>
        <v>0</v>
      </c>
      <c r="CE22" s="368">
        <v>8.3839336764004795</v>
      </c>
      <c r="CF22" s="368">
        <v>5.3382169469856402</v>
      </c>
      <c r="CG22" s="368">
        <v>9.8634688285857202</v>
      </c>
      <c r="CH22" s="368">
        <v>10.4046216084725</v>
      </c>
      <c r="CI22" s="826">
        <v>9.7352923736149606</v>
      </c>
    </row>
    <row r="23" spans="1:87" ht="14.45" customHeight="1">
      <c r="A23" s="23"/>
      <c r="B23" s="23"/>
      <c r="C23" s="23" t="s">
        <v>411</v>
      </c>
      <c r="D23" s="23"/>
      <c r="E23" s="345">
        <f>AVERAGE(L36:L75)</f>
        <v>21.520299999999999</v>
      </c>
      <c r="F23" s="345">
        <f>AVERAGE(R36:R75)</f>
        <v>15.212669999999997</v>
      </c>
      <c r="G23" s="345">
        <f>AVERAGE(X36:X75)</f>
        <v>8.3143349999999998</v>
      </c>
      <c r="H23" s="345">
        <f>AVERAGE(AD36:AD75)</f>
        <v>7.8687668955782923</v>
      </c>
      <c r="I23" s="189">
        <f>IF(I22=4,1,I22+1)</f>
        <v>2</v>
      </c>
      <c r="J23" s="461">
        <f t="shared" si="20"/>
        <v>2009</v>
      </c>
      <c r="K23" s="566" t="str">
        <f t="shared" si="9"/>
        <v>2Q09</v>
      </c>
      <c r="L23" s="825">
        <v>40.141399999999997</v>
      </c>
      <c r="M23" s="368">
        <v>20.0929</v>
      </c>
      <c r="N23" s="368"/>
      <c r="O23" s="368"/>
      <c r="P23" s="368"/>
      <c r="Q23" s="826">
        <v>15.509600000000001</v>
      </c>
      <c r="R23" s="825">
        <v>37.480899999999998</v>
      </c>
      <c r="S23" s="368">
        <v>44.717599999999997</v>
      </c>
      <c r="T23" s="368"/>
      <c r="U23" s="368"/>
      <c r="V23" s="368"/>
      <c r="W23" s="826">
        <v>15.438599999999999</v>
      </c>
      <c r="X23" s="825">
        <v>18.2181</v>
      </c>
      <c r="Y23" s="368">
        <v>141.63749999999999</v>
      </c>
      <c r="Z23" s="368"/>
      <c r="AA23" s="368"/>
      <c r="AB23" s="368"/>
      <c r="AC23" s="826">
        <v>8.3894000000000002</v>
      </c>
      <c r="AD23" s="368">
        <v>8.3404000000000007</v>
      </c>
      <c r="AE23" s="368">
        <v>12.8972</v>
      </c>
      <c r="AF23" s="368"/>
      <c r="AG23" s="368"/>
      <c r="AH23" s="368"/>
      <c r="AI23" s="826">
        <v>8.3894000000000002</v>
      </c>
      <c r="AJ23" s="23"/>
      <c r="AK23" s="566" t="str">
        <f t="shared" si="13"/>
        <v>2Q09</v>
      </c>
      <c r="AL23" s="825">
        <f t="shared" si="14"/>
        <v>40.141399999999997</v>
      </c>
      <c r="AM23" s="368">
        <v>17.098039215686299</v>
      </c>
      <c r="AN23" s="368">
        <v>14.9398530326027</v>
      </c>
      <c r="AO23" s="368">
        <v>19.119047619047599</v>
      </c>
      <c r="AP23" s="368">
        <v>15.9287709497207</v>
      </c>
      <c r="AQ23" s="826">
        <v>27.464028776978399</v>
      </c>
      <c r="AR23" s="825">
        <f t="shared" si="10"/>
        <v>37.480899999999998</v>
      </c>
      <c r="AS23" s="368">
        <v>16.072240464763802</v>
      </c>
      <c r="AT23" s="368">
        <v>14.7619013451543</v>
      </c>
      <c r="AU23" s="368">
        <v>19.575816674792801</v>
      </c>
      <c r="AV23" s="368">
        <v>15.822697003329599</v>
      </c>
      <c r="AW23" s="826">
        <v>18.007075471698101</v>
      </c>
      <c r="AX23" s="825">
        <f t="shared" si="11"/>
        <v>18.2181</v>
      </c>
      <c r="AY23" s="368">
        <v>8.1439398810986905</v>
      </c>
      <c r="AZ23" s="368">
        <v>8.5150689679768199</v>
      </c>
      <c r="BA23" s="368">
        <v>9.9994970091627806</v>
      </c>
      <c r="BB23" s="368">
        <v>9.5163443593071904</v>
      </c>
      <c r="BC23" s="826">
        <v>11.144456998288</v>
      </c>
      <c r="BD23" s="825">
        <f t="shared" si="21"/>
        <v>8.3404000000000007</v>
      </c>
      <c r="BE23" s="368">
        <v>7.8900350889566901</v>
      </c>
      <c r="BF23" s="368">
        <v>7.6970174886784104</v>
      </c>
      <c r="BG23" s="368">
        <v>8.5520770337793497</v>
      </c>
      <c r="BH23" s="368">
        <v>8.1433103036042898</v>
      </c>
      <c r="BI23" s="826">
        <v>8.6945418722643506</v>
      </c>
      <c r="BJ23" s="23"/>
      <c r="BK23" s="566" t="str">
        <f t="shared" si="15"/>
        <v>2Q09</v>
      </c>
      <c r="BL23" s="825">
        <f t="shared" si="16"/>
        <v>40.141399999999997</v>
      </c>
      <c r="BM23" s="368">
        <v>14.3172242874845</v>
      </c>
      <c r="BN23" s="368">
        <v>11.886561954624799</v>
      </c>
      <c r="BO23" s="368">
        <v>19.2524923257143</v>
      </c>
      <c r="BP23" s="368">
        <v>15.485629159936201</v>
      </c>
      <c r="BQ23" s="826">
        <v>17.805732484076401</v>
      </c>
      <c r="BR23" s="825">
        <f t="shared" si="17"/>
        <v>37.480899999999998</v>
      </c>
      <c r="BS23" s="368">
        <v>14.6401419158642</v>
      </c>
      <c r="BT23" s="368">
        <v>10.7768987341772</v>
      </c>
      <c r="BU23" s="368">
        <v>19.4077543605991</v>
      </c>
      <c r="BV23" s="368">
        <v>16.8786724303922</v>
      </c>
      <c r="BW23" s="826">
        <v>17.994850337946598</v>
      </c>
      <c r="BX23" s="825">
        <f t="shared" si="18"/>
        <v>18.2181</v>
      </c>
      <c r="BY23" s="368">
        <v>8.04174963302337</v>
      </c>
      <c r="BZ23" s="368">
        <v>5.5728648409361803</v>
      </c>
      <c r="CA23" s="368">
        <v>12.3021853597381</v>
      </c>
      <c r="CB23" s="368">
        <v>11.4719491585091</v>
      </c>
      <c r="CC23" s="826">
        <v>10.334716635823799</v>
      </c>
      <c r="CD23" s="825">
        <f t="shared" si="22"/>
        <v>8.3404000000000007</v>
      </c>
      <c r="CE23" s="368">
        <v>7.0964548994156003</v>
      </c>
      <c r="CF23" s="368">
        <v>5.7727633962248301</v>
      </c>
      <c r="CG23" s="368">
        <v>9.4433913800446394</v>
      </c>
      <c r="CH23" s="368">
        <v>8.6521630580195108</v>
      </c>
      <c r="CI23" s="826">
        <v>9.2656518557282492</v>
      </c>
    </row>
    <row r="24" spans="1:87" ht="14.45" customHeight="1">
      <c r="A24" s="23"/>
      <c r="B24" s="23"/>
      <c r="C24" s="23" t="s">
        <v>447</v>
      </c>
      <c r="D24" s="23"/>
      <c r="E24" s="345">
        <f>AVERAGE(L36:L51)</f>
        <v>34.158262499999992</v>
      </c>
      <c r="F24" s="345">
        <f>AVERAGE(R36:R51)</f>
        <v>18.891093749999996</v>
      </c>
      <c r="G24" s="345">
        <f>AVERAGE(X36:X51)</f>
        <v>11.216199999999999</v>
      </c>
      <c r="H24" s="345">
        <f>AVERAGE(AD36:AD51)</f>
        <v>6.9369250000000005</v>
      </c>
      <c r="I24" s="189">
        <f>I20</f>
        <v>3</v>
      </c>
      <c r="J24" s="461">
        <f t="shared" si="20"/>
        <v>2009</v>
      </c>
      <c r="K24" s="566" t="str">
        <f t="shared" si="9"/>
        <v>3Q09</v>
      </c>
      <c r="L24" s="825">
        <v>49.5867</v>
      </c>
      <c r="M24" s="368">
        <v>32.279000000000003</v>
      </c>
      <c r="N24" s="368"/>
      <c r="O24" s="368"/>
      <c r="P24" s="368"/>
      <c r="Q24" s="826">
        <v>15.438000000000001</v>
      </c>
      <c r="R24" s="825">
        <v>41.097000000000001</v>
      </c>
      <c r="S24" s="368">
        <v>43.256500000000003</v>
      </c>
      <c r="T24" s="368"/>
      <c r="U24" s="368"/>
      <c r="V24" s="368"/>
      <c r="W24" s="826">
        <v>13.8416</v>
      </c>
      <c r="X24" s="825">
        <v>25.577000000000002</v>
      </c>
      <c r="Y24" s="368">
        <v>25.133099999999999</v>
      </c>
      <c r="Z24" s="368"/>
      <c r="AA24" s="368"/>
      <c r="AB24" s="368"/>
      <c r="AC24" s="826">
        <v>8.4868000000000006</v>
      </c>
      <c r="AD24" s="368">
        <v>8.1782000000000004</v>
      </c>
      <c r="AE24" s="368">
        <v>21.913799999999998</v>
      </c>
      <c r="AF24" s="368"/>
      <c r="AG24" s="368"/>
      <c r="AH24" s="368"/>
      <c r="AI24" s="826">
        <v>8.4868000000000006</v>
      </c>
      <c r="AJ24" s="23"/>
      <c r="AK24" s="566" t="str">
        <f t="shared" si="13"/>
        <v>3Q09</v>
      </c>
      <c r="AL24" s="825">
        <f t="shared" si="14"/>
        <v>49.5867</v>
      </c>
      <c r="AM24" s="368">
        <v>17.472093023255798</v>
      </c>
      <c r="AN24" s="368">
        <v>16.653542685752701</v>
      </c>
      <c r="AO24" s="368">
        <v>20.648648648648599</v>
      </c>
      <c r="AP24" s="368">
        <v>17.4808743169399</v>
      </c>
      <c r="AQ24" s="826">
        <v>30.2697841726619</v>
      </c>
      <c r="AR24" s="825">
        <f t="shared" si="10"/>
        <v>41.097000000000001</v>
      </c>
      <c r="AS24" s="368">
        <v>16.150042992261401</v>
      </c>
      <c r="AT24" s="368">
        <v>14.271176869615299</v>
      </c>
      <c r="AU24" s="368">
        <v>17.685185185185201</v>
      </c>
      <c r="AV24" s="368">
        <v>16.019028542814201</v>
      </c>
      <c r="AW24" s="826">
        <v>16.564960629921298</v>
      </c>
      <c r="AX24" s="825">
        <f t="shared" si="11"/>
        <v>25.577000000000002</v>
      </c>
      <c r="AY24" s="368">
        <v>8.6155583324144605</v>
      </c>
      <c r="AZ24" s="368">
        <v>9.7716478342702509</v>
      </c>
      <c r="BA24" s="368">
        <v>11.101020374870201</v>
      </c>
      <c r="BB24" s="368">
        <v>10.616211642331001</v>
      </c>
      <c r="BC24" s="826">
        <v>12.2117798159006</v>
      </c>
      <c r="BD24" s="825">
        <f t="shared" si="21"/>
        <v>8.1782000000000004</v>
      </c>
      <c r="BE24" s="368">
        <v>8.4792362069015699</v>
      </c>
      <c r="BF24" s="368">
        <v>8.7349166413010906</v>
      </c>
      <c r="BG24" s="368">
        <v>9.6616564855328697</v>
      </c>
      <c r="BH24" s="368">
        <v>9.2014795799707692</v>
      </c>
      <c r="BI24" s="826">
        <v>9.4477720729985801</v>
      </c>
      <c r="BJ24" s="23"/>
      <c r="BK24" s="566" t="str">
        <f t="shared" si="15"/>
        <v>3Q09</v>
      </c>
      <c r="BL24" s="825">
        <f t="shared" si="16"/>
        <v>49.5867</v>
      </c>
      <c r="BM24" s="368">
        <v>16.246606334841601</v>
      </c>
      <c r="BN24" s="368">
        <v>13.605851979345999</v>
      </c>
      <c r="BO24" s="368">
        <v>18.573513162222199</v>
      </c>
      <c r="BP24" s="368">
        <v>16.895080592613301</v>
      </c>
      <c r="BQ24" s="826">
        <v>17.8369230769231</v>
      </c>
      <c r="BR24" s="825">
        <f t="shared" si="17"/>
        <v>41.097000000000001</v>
      </c>
      <c r="BS24" s="368">
        <v>14.4632426988922</v>
      </c>
      <c r="BT24" s="368">
        <v>12.6237623762376</v>
      </c>
      <c r="BU24" s="368">
        <v>18.1205006460705</v>
      </c>
      <c r="BV24" s="368">
        <v>16.498032507373601</v>
      </c>
      <c r="BW24" s="826">
        <v>16.436064644173499</v>
      </c>
      <c r="BX24" s="825">
        <f t="shared" si="18"/>
        <v>25.577000000000002</v>
      </c>
      <c r="BY24" s="368">
        <v>8.9299204893714101</v>
      </c>
      <c r="BZ24" s="368">
        <v>6.3916241510924197</v>
      </c>
      <c r="CA24" s="368">
        <v>12.243837332000099</v>
      </c>
      <c r="CB24" s="368">
        <v>12.2282689647088</v>
      </c>
      <c r="CC24" s="826">
        <v>10.240905029640301</v>
      </c>
      <c r="CD24" s="825">
        <f t="shared" si="22"/>
        <v>8.1782000000000004</v>
      </c>
      <c r="CE24" s="368">
        <v>8.6345210767727298</v>
      </c>
      <c r="CF24" s="368">
        <v>7.6371273064072804</v>
      </c>
      <c r="CG24" s="368">
        <v>12.804627471440799</v>
      </c>
      <c r="CH24" s="368">
        <v>9.4470022769671207</v>
      </c>
      <c r="CI24" s="826">
        <v>9.3908510087350496</v>
      </c>
    </row>
    <row r="25" spans="1:87" ht="14.45" customHeight="1">
      <c r="A25" s="23"/>
      <c r="B25" s="23"/>
      <c r="C25" s="23" t="s">
        <v>448</v>
      </c>
      <c r="D25" s="23"/>
      <c r="E25" s="345">
        <f>AVERAGE(L48:L63)</f>
        <v>20.920499999999997</v>
      </c>
      <c r="F25" s="345">
        <f>AVERAGE(R48:R63)</f>
        <v>14.010987499999999</v>
      </c>
      <c r="G25" s="345">
        <f>AVERAGE(X48:X63)</f>
        <v>8.2279625000000003</v>
      </c>
      <c r="H25" s="345">
        <f>AVERAGE(AD48:AD63)</f>
        <v>6.4708312499999998</v>
      </c>
      <c r="I25" s="189">
        <f>IF(I24=4,1,I24+1)</f>
        <v>4</v>
      </c>
      <c r="J25" s="461">
        <f t="shared" si="20"/>
        <v>2009</v>
      </c>
      <c r="K25" s="566" t="str">
        <f t="shared" si="9"/>
        <v>4Q09</v>
      </c>
      <c r="L25" s="825">
        <v>28.002300000000002</v>
      </c>
      <c r="M25" s="368">
        <v>28.840900000000001</v>
      </c>
      <c r="N25" s="368"/>
      <c r="O25" s="368"/>
      <c r="P25" s="368"/>
      <c r="Q25" s="826">
        <v>12.6021</v>
      </c>
      <c r="R25" s="825">
        <v>36.538499999999999</v>
      </c>
      <c r="S25" s="368">
        <v>40.479700000000001</v>
      </c>
      <c r="T25" s="368"/>
      <c r="U25" s="368"/>
      <c r="V25" s="368"/>
      <c r="W25" s="826">
        <v>11.4199</v>
      </c>
      <c r="X25" s="825">
        <v>10.7591</v>
      </c>
      <c r="Y25" s="368">
        <v>22.8262</v>
      </c>
      <c r="Z25" s="368"/>
      <c r="AA25" s="368"/>
      <c r="AB25" s="368"/>
      <c r="AC25" s="826">
        <v>6.8148999999999997</v>
      </c>
      <c r="AD25" s="368">
        <v>6.1002999999999998</v>
      </c>
      <c r="AE25" s="368">
        <v>11.093</v>
      </c>
      <c r="AF25" s="368"/>
      <c r="AG25" s="368"/>
      <c r="AH25" s="368"/>
      <c r="AI25" s="826">
        <v>6.8148999999999997</v>
      </c>
      <c r="AJ25" s="23"/>
      <c r="AK25" s="566" t="str">
        <f t="shared" si="13"/>
        <v>4Q09</v>
      </c>
      <c r="AL25" s="825">
        <f t="shared" si="14"/>
        <v>28.002300000000002</v>
      </c>
      <c r="AM25" s="368">
        <v>15.427956989247299</v>
      </c>
      <c r="AN25" s="368">
        <v>15.055392817098401</v>
      </c>
      <c r="AO25" s="368">
        <v>19.5482456140351</v>
      </c>
      <c r="AP25" s="368">
        <v>16.958549222797899</v>
      </c>
      <c r="AQ25" s="826">
        <v>30.5578512396694</v>
      </c>
      <c r="AR25" s="825">
        <f t="shared" si="10"/>
        <v>36.538499999999999</v>
      </c>
      <c r="AS25" s="368">
        <v>14.599104599104599</v>
      </c>
      <c r="AT25" s="368">
        <v>13.249844111719099</v>
      </c>
      <c r="AU25" s="368">
        <v>16.4404278863888</v>
      </c>
      <c r="AV25" s="368">
        <v>15.667783628530399</v>
      </c>
      <c r="AW25" s="826">
        <v>14.9092741935484</v>
      </c>
      <c r="AX25" s="825">
        <f t="shared" si="11"/>
        <v>10.7591</v>
      </c>
      <c r="AY25" s="368">
        <v>7.6377929995554803</v>
      </c>
      <c r="AZ25" s="368">
        <v>8.8135309298881204</v>
      </c>
      <c r="BA25" s="368">
        <v>10.684342563630899</v>
      </c>
      <c r="BB25" s="368">
        <v>10.043763313574001</v>
      </c>
      <c r="BC25" s="826">
        <v>9.8959616372019994</v>
      </c>
      <c r="BD25" s="825">
        <f t="shared" si="21"/>
        <v>6.1002999999999998</v>
      </c>
      <c r="BE25" s="368">
        <v>7.6554872862075598</v>
      </c>
      <c r="BF25" s="368">
        <v>7.9930846590353202</v>
      </c>
      <c r="BG25" s="368">
        <v>8.9566616384480398</v>
      </c>
      <c r="BH25" s="368">
        <v>9.6289268838999007</v>
      </c>
      <c r="BI25" s="826">
        <v>8.6367068787405596</v>
      </c>
      <c r="BJ25" s="23"/>
      <c r="BK25" s="566" t="str">
        <f t="shared" si="15"/>
        <v>4Q09</v>
      </c>
      <c r="BL25" s="825">
        <f t="shared" si="16"/>
        <v>28.002300000000002</v>
      </c>
      <c r="BM25" s="368">
        <v>15.325102880658401</v>
      </c>
      <c r="BN25" s="368">
        <v>14.469670710571901</v>
      </c>
      <c r="BO25" s="368">
        <v>17.125862780540501</v>
      </c>
      <c r="BP25" s="368">
        <v>14.928287240832899</v>
      </c>
      <c r="BQ25" s="826">
        <v>18.5982404692082</v>
      </c>
      <c r="BR25" s="825">
        <f t="shared" si="17"/>
        <v>36.538499999999999</v>
      </c>
      <c r="BS25" s="368">
        <v>14.0927152317881</v>
      </c>
      <c r="BT25" s="368">
        <v>13.0493904345108</v>
      </c>
      <c r="BU25" s="368">
        <v>15.9290327521368</v>
      </c>
      <c r="BV25" s="368">
        <v>15.4017254953595</v>
      </c>
      <c r="BW25" s="826">
        <v>17.597114317425099</v>
      </c>
      <c r="BX25" s="825">
        <f t="shared" si="18"/>
        <v>10.7591</v>
      </c>
      <c r="BY25" s="368">
        <v>8.7134224657271808</v>
      </c>
      <c r="BZ25" s="368">
        <v>6.5845298085852102</v>
      </c>
      <c r="CA25" s="368">
        <v>11.187926702140899</v>
      </c>
      <c r="CB25" s="368">
        <v>10.8915271624449</v>
      </c>
      <c r="CC25" s="826">
        <v>10.6184235577362</v>
      </c>
      <c r="CD25" s="825">
        <f t="shared" si="22"/>
        <v>6.1002999999999998</v>
      </c>
      <c r="CE25" s="368">
        <v>8.7319668736572904</v>
      </c>
      <c r="CF25" s="368">
        <v>7.9292794875331003</v>
      </c>
      <c r="CG25" s="368">
        <v>11.8924594472119</v>
      </c>
      <c r="CH25" s="368">
        <v>9.0616721100844302</v>
      </c>
      <c r="CI25" s="826">
        <v>10.029401854887499</v>
      </c>
    </row>
    <row r="26" spans="1:87" ht="14.45" customHeight="1">
      <c r="A26" s="23"/>
      <c r="B26" s="23"/>
      <c r="C26" s="23" t="s">
        <v>449</v>
      </c>
      <c r="D26" s="23"/>
      <c r="E26" s="345">
        <f>AVERAGE(L60:L75)</f>
        <v>9.8559249999999974</v>
      </c>
      <c r="F26" s="345">
        <f>AVERAGE(R60:R75)</f>
        <v>11.71704375</v>
      </c>
      <c r="G26" s="345">
        <f>AVERAGE(X60:X75)</f>
        <v>5.6920875000000004</v>
      </c>
      <c r="H26" s="345">
        <f>AVERAGE(AD60:AD75)</f>
        <v>9.3505609889457322</v>
      </c>
      <c r="I26" s="189">
        <f>IF(I25+1=5,1,I25+1)</f>
        <v>1</v>
      </c>
      <c r="J26" s="461">
        <f t="shared" si="20"/>
        <v>2010</v>
      </c>
      <c r="K26" s="566" t="str">
        <f t="shared" si="9"/>
        <v>1Q10</v>
      </c>
      <c r="L26" s="825">
        <v>25.1142</v>
      </c>
      <c r="M26" s="368"/>
      <c r="N26" s="368"/>
      <c r="O26" s="368"/>
      <c r="P26" s="368"/>
      <c r="Q26" s="826">
        <v>12.771100000000001</v>
      </c>
      <c r="R26" s="825">
        <v>21.443899999999999</v>
      </c>
      <c r="S26" s="368">
        <v>16.406300000000002</v>
      </c>
      <c r="T26" s="368"/>
      <c r="U26" s="368"/>
      <c r="V26" s="368"/>
      <c r="W26" s="826">
        <v>12.053800000000001</v>
      </c>
      <c r="X26" s="825">
        <v>10.3218</v>
      </c>
      <c r="Y26" s="368">
        <v>599.976</v>
      </c>
      <c r="Z26" s="368"/>
      <c r="AA26" s="368"/>
      <c r="AB26" s="368"/>
      <c r="AC26" s="826">
        <v>6.4954999999999998</v>
      </c>
      <c r="AD26" s="368">
        <v>7.1680999999999999</v>
      </c>
      <c r="AE26" s="368">
        <v>12.807</v>
      </c>
      <c r="AF26" s="368"/>
      <c r="AG26" s="368"/>
      <c r="AH26" s="368"/>
      <c r="AI26" s="826">
        <v>6.4954999999999998</v>
      </c>
      <c r="AJ26" s="23"/>
      <c r="AK26" s="566" t="str">
        <f t="shared" si="13"/>
        <v>1Q10</v>
      </c>
      <c r="AL26" s="825">
        <f t="shared" si="14"/>
        <v>25.1142</v>
      </c>
      <c r="AM26" s="368">
        <v>17.246492985971901</v>
      </c>
      <c r="AN26" s="368">
        <v>14.3943122734266</v>
      </c>
      <c r="AO26" s="368">
        <v>20.172268907563002</v>
      </c>
      <c r="AP26" s="368">
        <v>17.740099009901002</v>
      </c>
      <c r="AQ26" s="826">
        <v>32.665289256198299</v>
      </c>
      <c r="AR26" s="825">
        <f t="shared" si="10"/>
        <v>21.443899999999999</v>
      </c>
      <c r="AS26" s="368">
        <v>16.4929091605979</v>
      </c>
      <c r="AT26" s="368">
        <v>13.759269084893001</v>
      </c>
      <c r="AU26" s="368">
        <v>17.592524734334901</v>
      </c>
      <c r="AV26" s="368">
        <v>17.100930565497499</v>
      </c>
      <c r="AW26" s="826">
        <v>14.971590909090899</v>
      </c>
      <c r="AX26" s="825">
        <f t="shared" si="11"/>
        <v>10.3218</v>
      </c>
      <c r="AY26" s="368">
        <v>8.59690566989158</v>
      </c>
      <c r="AZ26" s="368">
        <v>8.8010836613823695</v>
      </c>
      <c r="BA26" s="368">
        <v>11.094052717673801</v>
      </c>
      <c r="BB26" s="368">
        <v>9.8591070409381203</v>
      </c>
      <c r="BC26" s="826">
        <v>10.5383628649705</v>
      </c>
      <c r="BD26" s="825">
        <f t="shared" si="21"/>
        <v>7.1680999999999999</v>
      </c>
      <c r="BE26" s="368">
        <v>8.7427931686696798</v>
      </c>
      <c r="BF26" s="368">
        <v>8.1529186511967193</v>
      </c>
      <c r="BG26" s="368">
        <v>9.7023588296931198</v>
      </c>
      <c r="BH26" s="368">
        <v>10.233524072478801</v>
      </c>
      <c r="BI26" s="826">
        <v>8.7209608596160209</v>
      </c>
      <c r="BJ26" s="23"/>
      <c r="BK26" s="566" t="str">
        <f t="shared" si="15"/>
        <v>1Q10</v>
      </c>
      <c r="BL26" s="825">
        <f t="shared" si="16"/>
        <v>25.1142</v>
      </c>
      <c r="BM26" s="368">
        <v>12.801556420233499</v>
      </c>
      <c r="BN26" s="368">
        <v>13.8237232289951</v>
      </c>
      <c r="BO26" s="368">
        <v>18.049028946808502</v>
      </c>
      <c r="BP26" s="368">
        <v>14.1588726076758</v>
      </c>
      <c r="BQ26" s="826">
        <v>17.745098039215701</v>
      </c>
      <c r="BR26" s="825">
        <f t="shared" si="17"/>
        <v>21.443899999999999</v>
      </c>
      <c r="BS26" s="368">
        <v>12.016070124178199</v>
      </c>
      <c r="BT26" s="368">
        <v>13.4773530356569</v>
      </c>
      <c r="BU26" s="368">
        <v>17.094294418135998</v>
      </c>
      <c r="BV26" s="368">
        <v>15.531272305986599</v>
      </c>
      <c r="BW26" s="826">
        <v>17.403846153846199</v>
      </c>
      <c r="BX26" s="825">
        <f t="shared" si="18"/>
        <v>10.3218</v>
      </c>
      <c r="BY26" s="368">
        <v>10.894218735942699</v>
      </c>
      <c r="BZ26" s="368">
        <v>5.7967657341768799</v>
      </c>
      <c r="CA26" s="368">
        <v>12.024869795762701</v>
      </c>
      <c r="CB26" s="368">
        <v>10.1625572132205</v>
      </c>
      <c r="CC26" s="826">
        <v>10.1605825557342</v>
      </c>
      <c r="CD26" s="825">
        <f t="shared" si="22"/>
        <v>7.1680999999999999</v>
      </c>
      <c r="CE26" s="368">
        <v>10.597373538778101</v>
      </c>
      <c r="CF26" s="368">
        <v>7.73496272319748</v>
      </c>
      <c r="CG26" s="368">
        <v>12.5738819755107</v>
      </c>
      <c r="CH26" s="368">
        <v>8.9556600334891403</v>
      </c>
      <c r="CI26" s="826">
        <v>9.88405890122222</v>
      </c>
    </row>
    <row r="27" spans="1:87" ht="14.45" customHeight="1">
      <c r="A27" s="23"/>
      <c r="B27" s="23"/>
      <c r="C27" s="23"/>
      <c r="D27" s="23"/>
      <c r="E27" s="23"/>
      <c r="F27" s="23"/>
      <c r="G27" s="23"/>
      <c r="H27" s="23"/>
      <c r="I27" s="189">
        <f>IF(I26=4,1,I26+1)</f>
        <v>2</v>
      </c>
      <c r="J27" s="461">
        <f t="shared" si="20"/>
        <v>2010</v>
      </c>
      <c r="K27" s="566" t="str">
        <f t="shared" si="9"/>
        <v>2Q10</v>
      </c>
      <c r="L27" s="825">
        <v>46.677700000000002</v>
      </c>
      <c r="M27" s="368"/>
      <c r="N27" s="368"/>
      <c r="O27" s="368"/>
      <c r="P27" s="368"/>
      <c r="Q27" s="826">
        <v>14.498200000000001</v>
      </c>
      <c r="R27" s="825">
        <v>19.061199999999999</v>
      </c>
      <c r="S27" s="368">
        <v>14.8306</v>
      </c>
      <c r="T27" s="368"/>
      <c r="U27" s="368"/>
      <c r="V27" s="368"/>
      <c r="W27" s="826">
        <v>14.1408</v>
      </c>
      <c r="X27" s="825">
        <v>7.3657000000000004</v>
      </c>
      <c r="Y27" s="368">
        <v>240.38390000000001</v>
      </c>
      <c r="Z27" s="368"/>
      <c r="AA27" s="368"/>
      <c r="AB27" s="368"/>
      <c r="AC27" s="826">
        <v>7.7990000000000004</v>
      </c>
      <c r="AD27" s="368">
        <v>7.5176999999999996</v>
      </c>
      <c r="AE27" s="368">
        <v>21.542999999999999</v>
      </c>
      <c r="AF27" s="368"/>
      <c r="AG27" s="368"/>
      <c r="AH27" s="368"/>
      <c r="AI27" s="826">
        <v>7.7990000000000004</v>
      </c>
      <c r="AJ27" s="23"/>
      <c r="AK27" s="566" t="str">
        <f t="shared" si="13"/>
        <v>2Q10</v>
      </c>
      <c r="AL27" s="825">
        <f t="shared" si="14"/>
        <v>46.677700000000002</v>
      </c>
      <c r="AM27" s="368">
        <v>16.709618874773099</v>
      </c>
      <c r="AN27" s="368">
        <v>13.7703909932735</v>
      </c>
      <c r="AO27" s="368">
        <v>20.952380952380999</v>
      </c>
      <c r="AP27" s="368">
        <v>17.744630071599001</v>
      </c>
      <c r="AQ27" s="826">
        <v>25.9249561574435</v>
      </c>
      <c r="AR27" s="825">
        <f t="shared" si="10"/>
        <v>19.061199999999999</v>
      </c>
      <c r="AS27" s="368">
        <v>16.773547094188402</v>
      </c>
      <c r="AT27" s="368">
        <v>13.9518273125852</v>
      </c>
      <c r="AU27" s="368">
        <v>20.449264136328399</v>
      </c>
      <c r="AV27" s="368">
        <v>17.727706247019601</v>
      </c>
      <c r="AW27" s="826">
        <v>16.894841269841301</v>
      </c>
      <c r="AX27" s="825">
        <f t="shared" si="11"/>
        <v>7.3657000000000004</v>
      </c>
      <c r="AY27" s="368">
        <v>8.7288716349016404</v>
      </c>
      <c r="AZ27" s="368">
        <v>8.5014019169285699</v>
      </c>
      <c r="BA27" s="368">
        <v>11.1070955202352</v>
      </c>
      <c r="BB27" s="368">
        <v>9.5632617762563594</v>
      </c>
      <c r="BC27" s="826">
        <v>9.7001516869167794</v>
      </c>
      <c r="BD27" s="825">
        <f t="shared" si="21"/>
        <v>7.5176999999999996</v>
      </c>
      <c r="BE27" s="368">
        <v>8.5457104464064795</v>
      </c>
      <c r="BF27" s="368">
        <v>7.6855323452255799</v>
      </c>
      <c r="BG27" s="368">
        <v>9.4236432384612492</v>
      </c>
      <c r="BH27" s="368">
        <v>9.2549822526974808</v>
      </c>
      <c r="BI27" s="826">
        <v>7.8925918150018299</v>
      </c>
      <c r="BJ27" s="23"/>
      <c r="BK27" s="566" t="str">
        <f t="shared" si="15"/>
        <v>2Q10</v>
      </c>
      <c r="BL27" s="825">
        <f t="shared" si="16"/>
        <v>46.677700000000002</v>
      </c>
      <c r="BM27" s="368">
        <v>11.659695817490499</v>
      </c>
      <c r="BN27" s="368">
        <v>14.9481132075472</v>
      </c>
      <c r="BO27" s="368">
        <v>19.025619464893602</v>
      </c>
      <c r="BP27" s="368">
        <v>15.326900443934401</v>
      </c>
      <c r="BQ27" s="826">
        <v>16.806451612903199</v>
      </c>
      <c r="BR27" s="825">
        <f t="shared" si="17"/>
        <v>19.061199999999999</v>
      </c>
      <c r="BS27" s="368">
        <v>11.755798351543</v>
      </c>
      <c r="BT27" s="368">
        <v>15.047483380816701</v>
      </c>
      <c r="BU27" s="368">
        <v>18.0647295929293</v>
      </c>
      <c r="BV27" s="368">
        <v>17.104285245216801</v>
      </c>
      <c r="BW27" s="826">
        <v>17.0215083038388</v>
      </c>
      <c r="BX27" s="825">
        <f t="shared" si="18"/>
        <v>7.3657000000000004</v>
      </c>
      <c r="BY27" s="368">
        <v>10.2197271127802</v>
      </c>
      <c r="BZ27" s="368">
        <v>6.2842439512966699</v>
      </c>
      <c r="CA27" s="368">
        <v>12.6356232363168</v>
      </c>
      <c r="CB27" s="368">
        <v>10.57792595541</v>
      </c>
      <c r="CC27" s="826">
        <v>9.6717505187517503</v>
      </c>
      <c r="CD27" s="825">
        <f t="shared" si="22"/>
        <v>7.5176999999999996</v>
      </c>
      <c r="CE27" s="368">
        <v>10.0449453713049</v>
      </c>
      <c r="CF27" s="368">
        <v>9.2373324005712192</v>
      </c>
      <c r="CG27" s="368">
        <v>10.897307886223</v>
      </c>
      <c r="CH27" s="368">
        <v>8.8081389308221993</v>
      </c>
      <c r="CI27" s="826">
        <v>8.9464228318528694</v>
      </c>
    </row>
    <row r="28" spans="1:87" ht="14.45" customHeight="1">
      <c r="A28" s="22" t="s">
        <v>1</v>
      </c>
      <c r="B28" s="23"/>
      <c r="C28" s="509" t="str">
        <f>Comparables!S88</f>
        <v>Primary Peer Group</v>
      </c>
      <c r="D28" s="193"/>
      <c r="E28" s="193"/>
      <c r="F28" s="193"/>
      <c r="G28" s="193"/>
      <c r="H28" s="510"/>
      <c r="I28" s="189">
        <f>I24</f>
        <v>3</v>
      </c>
      <c r="J28" s="461">
        <f t="shared" si="20"/>
        <v>2010</v>
      </c>
      <c r="K28" s="566" t="str">
        <f t="shared" si="9"/>
        <v>3Q10</v>
      </c>
      <c r="L28" s="825">
        <v>52.7759</v>
      </c>
      <c r="M28" s="368"/>
      <c r="N28" s="368"/>
      <c r="O28" s="368"/>
      <c r="P28" s="368"/>
      <c r="Q28" s="826">
        <v>13.9696</v>
      </c>
      <c r="R28" s="825">
        <v>29.434200000000001</v>
      </c>
      <c r="S28" s="368">
        <v>18.941700000000001</v>
      </c>
      <c r="T28" s="368"/>
      <c r="U28" s="368"/>
      <c r="V28" s="368"/>
      <c r="W28" s="826">
        <v>13.5322</v>
      </c>
      <c r="X28" s="825">
        <v>6.9448999999999996</v>
      </c>
      <c r="Y28" s="368">
        <v>237.8895</v>
      </c>
      <c r="Z28" s="368"/>
      <c r="AA28" s="368"/>
      <c r="AB28" s="368"/>
      <c r="AC28" s="826">
        <v>7.6506999999999996</v>
      </c>
      <c r="AD28" s="368">
        <v>8.5478000000000005</v>
      </c>
      <c r="AE28" s="368">
        <v>23.5961</v>
      </c>
      <c r="AF28" s="368"/>
      <c r="AG28" s="368"/>
      <c r="AH28" s="368"/>
      <c r="AI28" s="826">
        <v>7.6506999999999996</v>
      </c>
      <c r="AJ28" s="23"/>
      <c r="AK28" s="566" t="str">
        <f t="shared" si="13"/>
        <v>3Q10</v>
      </c>
      <c r="AL28" s="825">
        <f t="shared" si="14"/>
        <v>52.7759</v>
      </c>
      <c r="AM28" s="368">
        <v>17.202127659574501</v>
      </c>
      <c r="AN28" s="368">
        <v>14.797965656703299</v>
      </c>
      <c r="AO28" s="368">
        <v>19.796226415094299</v>
      </c>
      <c r="AP28" s="368">
        <v>17.726218097447799</v>
      </c>
      <c r="AQ28" s="826">
        <v>28.010522213561998</v>
      </c>
      <c r="AR28" s="825">
        <f t="shared" si="10"/>
        <v>29.434200000000001</v>
      </c>
      <c r="AS28" s="368">
        <v>16.025768087215098</v>
      </c>
      <c r="AT28" s="368">
        <v>13.476930291833501</v>
      </c>
      <c r="AU28" s="368">
        <v>17.2395662175485</v>
      </c>
      <c r="AV28" s="368">
        <v>16.114743724952501</v>
      </c>
      <c r="AW28" s="826">
        <v>16.727272727272702</v>
      </c>
      <c r="AX28" s="825">
        <f t="shared" si="11"/>
        <v>6.9448999999999996</v>
      </c>
      <c r="AY28" s="368">
        <v>8.8590026178577492</v>
      </c>
      <c r="AZ28" s="368">
        <v>9.3523656576372698</v>
      </c>
      <c r="BA28" s="368">
        <v>11.064332341360499</v>
      </c>
      <c r="BB28" s="368">
        <v>9.5475252876994308</v>
      </c>
      <c r="BC28" s="826">
        <v>10.446835844357601</v>
      </c>
      <c r="BD28" s="825">
        <f t="shared" si="21"/>
        <v>8.5478000000000005</v>
      </c>
      <c r="BE28" s="368">
        <v>8.4865906345286994</v>
      </c>
      <c r="BF28" s="368">
        <v>8.5156768142428003</v>
      </c>
      <c r="BG28" s="368">
        <v>9.7364467336443603</v>
      </c>
      <c r="BH28" s="368">
        <v>9.6443837219062392</v>
      </c>
      <c r="BI28" s="826">
        <v>8.8091049590815196</v>
      </c>
      <c r="BJ28" s="23"/>
      <c r="BK28" s="566" t="str">
        <f t="shared" si="15"/>
        <v>3Q10</v>
      </c>
      <c r="BL28" s="825">
        <f t="shared" si="16"/>
        <v>52.7759</v>
      </c>
      <c r="BM28" s="368">
        <v>12.671077504725901</v>
      </c>
      <c r="BN28" s="368">
        <v>16.817337461300301</v>
      </c>
      <c r="BO28" s="368">
        <v>17.1665906585859</v>
      </c>
      <c r="BP28" s="368">
        <v>14.567851244435801</v>
      </c>
      <c r="BQ28" s="826">
        <v>16.883116883116902</v>
      </c>
      <c r="BR28" s="825">
        <f t="shared" si="17"/>
        <v>29.434200000000001</v>
      </c>
      <c r="BS28" s="368">
        <v>12.285557184750701</v>
      </c>
      <c r="BT28" s="368">
        <v>16.571079926784599</v>
      </c>
      <c r="BU28" s="368">
        <v>15.3245489197475</v>
      </c>
      <c r="BV28" s="368">
        <v>14.759081873359801</v>
      </c>
      <c r="BW28" s="826">
        <v>15.640038498556301</v>
      </c>
      <c r="BX28" s="825">
        <f t="shared" si="18"/>
        <v>6.9448999999999996</v>
      </c>
      <c r="BY28" s="368">
        <v>10.846759407146299</v>
      </c>
      <c r="BZ28" s="368">
        <v>7.3637607097941498</v>
      </c>
      <c r="CA28" s="368">
        <v>11.4163523058198</v>
      </c>
      <c r="CB28" s="368">
        <v>10.2260901018242</v>
      </c>
      <c r="CC28" s="826">
        <v>9.6868617530430292</v>
      </c>
      <c r="CD28" s="825">
        <f t="shared" si="22"/>
        <v>8.5478000000000005</v>
      </c>
      <c r="CE28" s="368">
        <v>11.3120660096171</v>
      </c>
      <c r="CF28" s="368">
        <v>9.9657348175322298</v>
      </c>
      <c r="CG28" s="368">
        <v>10.259485184477599</v>
      </c>
      <c r="CH28" s="368">
        <v>8.8615232646381603</v>
      </c>
      <c r="CI28" s="826">
        <v>9.1640965083525003</v>
      </c>
    </row>
    <row r="29" spans="1:87" ht="14.45" customHeight="1">
      <c r="A29" s="23"/>
      <c r="B29" s="23"/>
      <c r="C29" s="460" t="s">
        <v>424</v>
      </c>
      <c r="D29" s="460"/>
      <c r="E29" s="460"/>
      <c r="F29" s="460"/>
      <c r="G29" s="460"/>
      <c r="H29" s="460"/>
      <c r="I29" s="189">
        <f>IF(I28=4,1,I28+1)</f>
        <v>4</v>
      </c>
      <c r="J29" s="461">
        <f t="shared" si="20"/>
        <v>2010</v>
      </c>
      <c r="K29" s="566" t="str">
        <f t="shared" si="9"/>
        <v>4Q10</v>
      </c>
      <c r="L29" s="825">
        <v>67.611199999999997</v>
      </c>
      <c r="M29" s="368">
        <v>17.9711</v>
      </c>
      <c r="N29" s="368"/>
      <c r="O29" s="368"/>
      <c r="P29" s="368"/>
      <c r="Q29" s="826">
        <v>16.3278</v>
      </c>
      <c r="R29" s="825">
        <v>36.4026</v>
      </c>
      <c r="S29" s="368">
        <v>20.621400000000001</v>
      </c>
      <c r="T29" s="368"/>
      <c r="U29" s="368"/>
      <c r="V29" s="368"/>
      <c r="W29" s="826">
        <v>15.3292</v>
      </c>
      <c r="X29" s="825">
        <v>10.821899999999999</v>
      </c>
      <c r="Y29" s="368">
        <v>13.9697</v>
      </c>
      <c r="Z29" s="368"/>
      <c r="AA29" s="368"/>
      <c r="AB29" s="368"/>
      <c r="AC29" s="826">
        <v>8.5658999999999992</v>
      </c>
      <c r="AD29" s="368">
        <v>7.4443000000000001</v>
      </c>
      <c r="AE29" s="368">
        <v>14.5229</v>
      </c>
      <c r="AF29" s="368"/>
      <c r="AG29" s="368"/>
      <c r="AH29" s="368"/>
      <c r="AI29" s="826">
        <v>8.5658999999999992</v>
      </c>
      <c r="AJ29" s="23"/>
      <c r="AK29" s="566" t="str">
        <f t="shared" si="13"/>
        <v>4Q10</v>
      </c>
      <c r="AL29" s="825">
        <f t="shared" si="14"/>
        <v>67.611199999999997</v>
      </c>
      <c r="AM29" s="368">
        <v>15.405891980360099</v>
      </c>
      <c r="AN29" s="368">
        <v>14.8719880153684</v>
      </c>
      <c r="AO29" s="368">
        <v>18.777003484320598</v>
      </c>
      <c r="AP29" s="368">
        <v>17.191208791208801</v>
      </c>
      <c r="AQ29" s="826">
        <v>17.902609802673499</v>
      </c>
      <c r="AR29" s="825">
        <f t="shared" si="10"/>
        <v>36.4026</v>
      </c>
      <c r="AS29" s="368">
        <v>14.832965647652101</v>
      </c>
      <c r="AT29" s="368">
        <v>14.168059180304899</v>
      </c>
      <c r="AU29" s="368">
        <v>17.616868257600501</v>
      </c>
      <c r="AV29" s="368">
        <v>16.405201342281899</v>
      </c>
      <c r="AW29" s="826">
        <v>14.889705882352899</v>
      </c>
      <c r="AX29" s="825">
        <f t="shared" si="11"/>
        <v>10.821899999999999</v>
      </c>
      <c r="AY29" s="368">
        <v>8.0128863909949501</v>
      </c>
      <c r="AZ29" s="368">
        <v>9.5916429615490504</v>
      </c>
      <c r="BA29" s="368">
        <v>9.6883680004064399</v>
      </c>
      <c r="BB29" s="368">
        <v>9.5695105436488799</v>
      </c>
      <c r="BC29" s="826">
        <v>8.3114767326934</v>
      </c>
      <c r="BD29" s="825">
        <f t="shared" si="21"/>
        <v>7.4443000000000001</v>
      </c>
      <c r="BE29" s="368">
        <v>7.9727314135024896</v>
      </c>
      <c r="BF29" s="368">
        <v>8.6157405733320402</v>
      </c>
      <c r="BG29" s="368">
        <v>9.1085098178390407</v>
      </c>
      <c r="BH29" s="368">
        <v>9.6615114585042594</v>
      </c>
      <c r="BI29" s="826">
        <v>7.7276233874370703</v>
      </c>
      <c r="BJ29" s="23"/>
      <c r="BK29" s="566" t="str">
        <f t="shared" si="15"/>
        <v>4Q10</v>
      </c>
      <c r="BL29" s="825">
        <f t="shared" si="16"/>
        <v>67.611199999999997</v>
      </c>
      <c r="BM29" s="368">
        <v>15.628742514970099</v>
      </c>
      <c r="BN29" s="368">
        <v>17.729809104258401</v>
      </c>
      <c r="BO29" s="368">
        <v>17.862477471844699</v>
      </c>
      <c r="BP29" s="368">
        <v>16.9552839086532</v>
      </c>
      <c r="BQ29" s="826">
        <v>17.688279301745599</v>
      </c>
      <c r="BR29" s="825">
        <f t="shared" si="17"/>
        <v>36.4026</v>
      </c>
      <c r="BS29" s="368">
        <v>13.9896373056995</v>
      </c>
      <c r="BT29" s="368">
        <v>17.3427176098822</v>
      </c>
      <c r="BU29" s="368">
        <v>16.635037790235099</v>
      </c>
      <c r="BV29" s="368">
        <v>17.3787535359534</v>
      </c>
      <c r="BW29" s="826">
        <v>16.977022498803301</v>
      </c>
      <c r="BX29" s="825">
        <f t="shared" si="18"/>
        <v>10.821899999999999</v>
      </c>
      <c r="BY29" s="368">
        <v>8.7367486244836403</v>
      </c>
      <c r="BZ29" s="368">
        <v>7.5076003027180001</v>
      </c>
      <c r="CA29" s="368">
        <v>12.0946544433192</v>
      </c>
      <c r="CB29" s="368">
        <v>11.9712771283663</v>
      </c>
      <c r="CC29" s="826">
        <v>6.7972844586744596</v>
      </c>
      <c r="CD29" s="825">
        <f t="shared" si="22"/>
        <v>7.4443000000000001</v>
      </c>
      <c r="CE29" s="368">
        <v>8.1811344842072504</v>
      </c>
      <c r="CF29" s="368">
        <v>10.216242095317099</v>
      </c>
      <c r="CG29" s="368">
        <v>10.9766502375101</v>
      </c>
      <c r="CH29" s="368">
        <v>10.6271859083267</v>
      </c>
      <c r="CI29" s="826">
        <v>9.6854159394142094</v>
      </c>
    </row>
    <row r="30" spans="1:87" ht="14.45" customHeight="1">
      <c r="A30" s="23"/>
      <c r="B30" s="23"/>
      <c r="C30" s="189"/>
      <c r="D30" s="23"/>
      <c r="E30" s="189" t="s">
        <v>406</v>
      </c>
      <c r="F30" s="189" t="s">
        <v>407</v>
      </c>
      <c r="G30" s="189" t="s">
        <v>408</v>
      </c>
      <c r="H30" s="189" t="s">
        <v>400</v>
      </c>
      <c r="I30" s="189">
        <f>IF(I29+1=5,1,I29+1)</f>
        <v>1</v>
      </c>
      <c r="J30" s="461">
        <f t="shared" si="20"/>
        <v>2011</v>
      </c>
      <c r="K30" s="566" t="str">
        <f t="shared" si="9"/>
        <v>1Q11</v>
      </c>
      <c r="L30" s="825">
        <v>65.487300000000005</v>
      </c>
      <c r="M30" s="368">
        <v>19.8</v>
      </c>
      <c r="N30" s="368"/>
      <c r="O30" s="368"/>
      <c r="P30" s="368"/>
      <c r="Q30" s="826">
        <v>13.745799999999999</v>
      </c>
      <c r="R30" s="825">
        <v>20.017499999999998</v>
      </c>
      <c r="S30" s="368">
        <v>16.141300000000001</v>
      </c>
      <c r="T30" s="368"/>
      <c r="U30" s="368"/>
      <c r="V30" s="368"/>
      <c r="W30" s="826">
        <v>13.613099999999999</v>
      </c>
      <c r="X30" s="825">
        <v>11.8422</v>
      </c>
      <c r="Y30" s="368">
        <v>11.874000000000001</v>
      </c>
      <c r="Z30" s="368"/>
      <c r="AA30" s="368"/>
      <c r="AB30" s="368"/>
      <c r="AC30" s="826">
        <v>6.4526000000000003</v>
      </c>
      <c r="AD30" s="368">
        <v>8.0801999999999996</v>
      </c>
      <c r="AE30" s="368">
        <v>14.4184</v>
      </c>
      <c r="AF30" s="368"/>
      <c r="AG30" s="368"/>
      <c r="AH30" s="368"/>
      <c r="AI30" s="826">
        <v>6.4526000000000003</v>
      </c>
      <c r="AJ30" s="23"/>
      <c r="AK30" s="566" t="str">
        <f t="shared" si="13"/>
        <v>1Q11</v>
      </c>
      <c r="AL30" s="825">
        <f t="shared" si="14"/>
        <v>65.487300000000005</v>
      </c>
      <c r="AM30" s="368">
        <v>16.413010590015102</v>
      </c>
      <c r="AN30" s="368">
        <v>13.929109488189001</v>
      </c>
      <c r="AO30" s="368">
        <v>20.455128205128201</v>
      </c>
      <c r="AP30" s="368">
        <v>17.5613305613306</v>
      </c>
      <c r="AQ30" s="826">
        <v>21.814661574368799</v>
      </c>
      <c r="AR30" s="825">
        <f t="shared" si="10"/>
        <v>20.017499999999998</v>
      </c>
      <c r="AS30" s="368">
        <v>15.7872526193248</v>
      </c>
      <c r="AT30" s="368">
        <v>14.0257435480674</v>
      </c>
      <c r="AU30" s="368">
        <v>19.752398638192499</v>
      </c>
      <c r="AV30" s="368">
        <v>17.106115836371</v>
      </c>
      <c r="AW30" s="826">
        <v>16.900684931506898</v>
      </c>
      <c r="AX30" s="825">
        <f t="shared" si="11"/>
        <v>11.8422</v>
      </c>
      <c r="AY30" s="368">
        <v>8.5842487072506906</v>
      </c>
      <c r="AZ30" s="368">
        <v>8.4427375761939292</v>
      </c>
      <c r="BA30" s="368">
        <v>11.1349827480621</v>
      </c>
      <c r="BB30" s="368">
        <v>10.4017651747751</v>
      </c>
      <c r="BC30" s="826">
        <v>10.7651705951063</v>
      </c>
      <c r="BD30" s="825">
        <f t="shared" si="21"/>
        <v>8.0801999999999996</v>
      </c>
      <c r="BE30" s="368">
        <v>8.5672362112149294</v>
      </c>
      <c r="BF30" s="368">
        <v>8.4611465703845194</v>
      </c>
      <c r="BG30" s="368">
        <v>10.505650640974901</v>
      </c>
      <c r="BH30" s="368">
        <v>10.058965891206</v>
      </c>
      <c r="BI30" s="826">
        <v>9.4456918185699905</v>
      </c>
      <c r="BJ30" s="23"/>
      <c r="BK30" s="566" t="str">
        <f t="shared" si="15"/>
        <v>1Q11</v>
      </c>
      <c r="BL30" s="825">
        <f t="shared" si="16"/>
        <v>65.487300000000005</v>
      </c>
      <c r="BM30" s="368">
        <v>15.111753371869</v>
      </c>
      <c r="BN30" s="368">
        <v>20.248294679399699</v>
      </c>
      <c r="BO30" s="368">
        <v>18.4239851666667</v>
      </c>
      <c r="BP30" s="368">
        <v>17.104406321813698</v>
      </c>
      <c r="BQ30" s="826">
        <v>19.299760191846499</v>
      </c>
      <c r="BR30" s="825">
        <f t="shared" si="17"/>
        <v>20.017499999999998</v>
      </c>
      <c r="BS30" s="368">
        <v>14.5213849287169</v>
      </c>
      <c r="BT30" s="368">
        <v>19.411456970965201</v>
      </c>
      <c r="BU30" s="368">
        <v>18.0479854693878</v>
      </c>
      <c r="BV30" s="368">
        <v>18.007501566540501</v>
      </c>
      <c r="BW30" s="826">
        <v>19.012520670918999</v>
      </c>
      <c r="BX30" s="825">
        <f t="shared" si="18"/>
        <v>11.8422</v>
      </c>
      <c r="BY30" s="368">
        <v>8.2923700244366199</v>
      </c>
      <c r="BZ30" s="368">
        <v>8.9093442042646291</v>
      </c>
      <c r="CA30" s="368">
        <v>12.552364084411501</v>
      </c>
      <c r="CB30" s="368">
        <v>11.712159015325099</v>
      </c>
      <c r="CC30" s="826">
        <v>7.5276037041258403</v>
      </c>
      <c r="CD30" s="825">
        <f t="shared" si="22"/>
        <v>8.0801999999999996</v>
      </c>
      <c r="CE30" s="368">
        <v>8.1542684797450207</v>
      </c>
      <c r="CF30" s="368">
        <v>10.770474443471301</v>
      </c>
      <c r="CG30" s="368">
        <v>12.3639389901145</v>
      </c>
      <c r="CH30" s="368">
        <v>10.6466484541989</v>
      </c>
      <c r="CI30" s="826">
        <v>10.8118977956183</v>
      </c>
    </row>
    <row r="31" spans="1:87" ht="14.45" customHeight="1">
      <c r="A31" s="23"/>
      <c r="B31" s="23"/>
      <c r="C31" s="23" t="s">
        <v>427</v>
      </c>
      <c r="D31" s="23"/>
      <c r="E31" s="345">
        <f>AVERAGE(M81:Q88)</f>
        <v>45.10051428571429</v>
      </c>
      <c r="F31" s="345">
        <f>AVERAGE(S81:W88)</f>
        <v>23.702756250000004</v>
      </c>
      <c r="G31" s="345">
        <f>AVERAGE(Y81:AC88)</f>
        <v>37.281662199680312</v>
      </c>
      <c r="H31" s="345">
        <f>AVERAGE(AE81:AI88)</f>
        <v>15.581890000000003</v>
      </c>
      <c r="I31" s="189">
        <f>IF(I30=4,1,I30+1)</f>
        <v>2</v>
      </c>
      <c r="J31" s="461">
        <f t="shared" si="20"/>
        <v>2011</v>
      </c>
      <c r="K31" s="566" t="str">
        <f t="shared" si="9"/>
        <v>2Q11</v>
      </c>
      <c r="L31" s="825">
        <v>57.807899999999997</v>
      </c>
      <c r="M31" s="368">
        <v>16.9406</v>
      </c>
      <c r="N31" s="368"/>
      <c r="O31" s="368"/>
      <c r="P31" s="368"/>
      <c r="Q31" s="826">
        <v>11.712999999999999</v>
      </c>
      <c r="R31" s="825">
        <v>19.681000000000001</v>
      </c>
      <c r="S31" s="368">
        <v>15.056800000000001</v>
      </c>
      <c r="T31" s="368"/>
      <c r="U31" s="368"/>
      <c r="V31" s="368"/>
      <c r="W31" s="826">
        <v>11.5227</v>
      </c>
      <c r="X31" s="825">
        <v>8.4688999999999997</v>
      </c>
      <c r="Y31" s="368">
        <v>10.2689</v>
      </c>
      <c r="Z31" s="368"/>
      <c r="AA31" s="368"/>
      <c r="AB31" s="368"/>
      <c r="AC31" s="826">
        <v>6.1372</v>
      </c>
      <c r="AD31" s="368">
        <v>9.7700999999999993</v>
      </c>
      <c r="AE31" s="368">
        <v>15.5944</v>
      </c>
      <c r="AF31" s="368"/>
      <c r="AG31" s="368"/>
      <c r="AH31" s="368">
        <v>2.7814000000000001</v>
      </c>
      <c r="AI31" s="826">
        <v>6.1372</v>
      </c>
      <c r="AJ31" s="23"/>
      <c r="AK31" s="566" t="str">
        <f t="shared" si="13"/>
        <v>2Q11</v>
      </c>
      <c r="AL31" s="825">
        <f t="shared" si="14"/>
        <v>57.807899999999997</v>
      </c>
      <c r="AM31" s="368">
        <v>15.3440233236152</v>
      </c>
      <c r="AN31" s="368">
        <v>13.719321164615399</v>
      </c>
      <c r="AO31" s="368">
        <v>18.283132530120501</v>
      </c>
      <c r="AP31" s="368">
        <v>17.449019607843098</v>
      </c>
      <c r="AQ31" s="826">
        <v>19.153846153846199</v>
      </c>
      <c r="AR31" s="825">
        <f t="shared" si="10"/>
        <v>19.681000000000001</v>
      </c>
      <c r="AS31" s="368">
        <v>15.195611375775901</v>
      </c>
      <c r="AT31" s="368">
        <v>13.8983966600429</v>
      </c>
      <c r="AU31" s="368">
        <v>18.694179242377601</v>
      </c>
      <c r="AV31" s="368">
        <v>17.531520882584701</v>
      </c>
      <c r="AW31" s="826">
        <v>16.824324324324301</v>
      </c>
      <c r="AX31" s="825">
        <f t="shared" si="11"/>
        <v>8.4688999999999997</v>
      </c>
      <c r="AY31" s="368">
        <v>8.2411123582192491</v>
      </c>
      <c r="AZ31" s="368">
        <v>8.0242378751095202</v>
      </c>
      <c r="BA31" s="368">
        <v>9.9607292477650695</v>
      </c>
      <c r="BB31" s="368">
        <v>10.0980469559544</v>
      </c>
      <c r="BC31" s="826">
        <v>9.3325299750433999</v>
      </c>
      <c r="BD31" s="825">
        <f t="shared" si="21"/>
        <v>9.7700999999999993</v>
      </c>
      <c r="BE31" s="368">
        <v>7.9738975414521596</v>
      </c>
      <c r="BF31" s="368">
        <v>7.7297697673913799</v>
      </c>
      <c r="BG31" s="368">
        <v>8.7109361469898108</v>
      </c>
      <c r="BH31" s="368">
        <v>9.1508698196450204</v>
      </c>
      <c r="BI31" s="826">
        <v>8.5675347933455797</v>
      </c>
      <c r="BJ31" s="23"/>
      <c r="BK31" s="566" t="str">
        <f t="shared" si="15"/>
        <v>2Q11</v>
      </c>
      <c r="BL31" s="825">
        <f t="shared" si="16"/>
        <v>57.807899999999997</v>
      </c>
      <c r="BM31" s="368">
        <v>13.512104283054001</v>
      </c>
      <c r="BN31" s="368">
        <v>23.250936329588001</v>
      </c>
      <c r="BO31" s="368">
        <v>15.767074954867301</v>
      </c>
      <c r="BP31" s="368">
        <v>16.191930951047201</v>
      </c>
      <c r="BQ31" s="826">
        <v>17.474885844748901</v>
      </c>
      <c r="BR31" s="825">
        <f t="shared" si="17"/>
        <v>19.681000000000001</v>
      </c>
      <c r="BS31" s="368">
        <v>13.4869888475836</v>
      </c>
      <c r="BT31" s="368">
        <v>18.594249201278</v>
      </c>
      <c r="BU31" s="368">
        <v>16.1676902894737</v>
      </c>
      <c r="BV31" s="368">
        <v>18.643381056867302</v>
      </c>
      <c r="BW31" s="826">
        <v>17.9967082059723</v>
      </c>
      <c r="BX31" s="825">
        <f t="shared" si="18"/>
        <v>8.4688999999999997</v>
      </c>
      <c r="BY31" s="368">
        <v>7.3340698627404901</v>
      </c>
      <c r="BZ31" s="368">
        <v>10.3981517643782</v>
      </c>
      <c r="CA31" s="368">
        <v>10.9312546610151</v>
      </c>
      <c r="CB31" s="368">
        <v>11.3586064014464</v>
      </c>
      <c r="CC31" s="826">
        <v>6.9025180302470703</v>
      </c>
      <c r="CD31" s="825">
        <f t="shared" si="22"/>
        <v>9.7700999999999993</v>
      </c>
      <c r="CE31" s="368">
        <v>7.1578106402914301</v>
      </c>
      <c r="CF31" s="368">
        <v>11.0079026660542</v>
      </c>
      <c r="CG31" s="368">
        <v>9.6792214411202</v>
      </c>
      <c r="CH31" s="368">
        <v>9.8381757631916997</v>
      </c>
      <c r="CI31" s="826">
        <v>9.2772007367532705</v>
      </c>
    </row>
    <row r="32" spans="1:87" ht="14.45" customHeight="1">
      <c r="A32" s="23"/>
      <c r="B32" s="23"/>
      <c r="C32" s="23" t="s">
        <v>426</v>
      </c>
      <c r="D32" s="23"/>
      <c r="E32" s="345">
        <f>AVERAGE(M77:Q88)</f>
        <v>41.860202083333341</v>
      </c>
      <c r="F32" s="345">
        <f>AVERAGE(S77:W88)</f>
        <v>22.377600000000001</v>
      </c>
      <c r="G32" s="345">
        <f>AVERAGE(Y77:AC88)</f>
        <v>32.922683750831212</v>
      </c>
      <c r="H32" s="345">
        <f>AVERAGE(AE77:AI88)</f>
        <v>15.036331999999998</v>
      </c>
      <c r="I32" s="189">
        <f>I28</f>
        <v>3</v>
      </c>
      <c r="J32" s="461">
        <f t="shared" si="20"/>
        <v>2011</v>
      </c>
      <c r="K32" s="566" t="str">
        <f t="shared" si="9"/>
        <v>3Q11</v>
      </c>
      <c r="L32" s="825">
        <v>38.4878</v>
      </c>
      <c r="M32" s="368">
        <v>10.193199999999999</v>
      </c>
      <c r="N32" s="368"/>
      <c r="O32" s="368"/>
      <c r="P32" s="368"/>
      <c r="Q32" s="826">
        <v>12.486599999999999</v>
      </c>
      <c r="R32" s="825">
        <v>15.8223</v>
      </c>
      <c r="S32" s="368">
        <v>10.2927</v>
      </c>
      <c r="T32" s="368"/>
      <c r="U32" s="368"/>
      <c r="V32" s="368"/>
      <c r="W32" s="826">
        <v>15.617000000000001</v>
      </c>
      <c r="X32" s="825">
        <v>7.3662000000000001</v>
      </c>
      <c r="Y32" s="368">
        <v>5.8292000000000002</v>
      </c>
      <c r="Z32" s="368"/>
      <c r="AA32" s="368"/>
      <c r="AB32" s="368"/>
      <c r="AC32" s="826">
        <v>6.5780000000000003</v>
      </c>
      <c r="AD32" s="368">
        <v>8.3597999999999999</v>
      </c>
      <c r="AE32" s="368">
        <v>14.666700000000001</v>
      </c>
      <c r="AF32" s="368"/>
      <c r="AG32" s="368"/>
      <c r="AH32" s="368">
        <v>2.4417</v>
      </c>
      <c r="AI32" s="826">
        <v>6.5780000000000003</v>
      </c>
      <c r="AJ32" s="23"/>
      <c r="AK32" s="566" t="str">
        <f t="shared" si="13"/>
        <v>3Q11</v>
      </c>
      <c r="AL32" s="825">
        <f t="shared" si="14"/>
        <v>38.4878</v>
      </c>
      <c r="AM32" s="368">
        <v>13.7916666666667</v>
      </c>
      <c r="AN32" s="368">
        <v>14.464654180122899</v>
      </c>
      <c r="AO32" s="368">
        <v>18.251412429378501</v>
      </c>
      <c r="AP32" s="368">
        <v>15.297247706422</v>
      </c>
      <c r="AQ32" s="826">
        <v>18.663461538461501</v>
      </c>
      <c r="AR32" s="825">
        <f t="shared" si="10"/>
        <v>15.8223</v>
      </c>
      <c r="AS32" s="368">
        <v>13.477198697068401</v>
      </c>
      <c r="AT32" s="368">
        <v>12.340474195629399</v>
      </c>
      <c r="AU32" s="368">
        <v>16.664947124065002</v>
      </c>
      <c r="AV32" s="368">
        <v>14.489051094890501</v>
      </c>
      <c r="AW32" s="826">
        <v>13.785511363636401</v>
      </c>
      <c r="AX32" s="825">
        <f t="shared" si="11"/>
        <v>7.3662000000000001</v>
      </c>
      <c r="AY32" s="368">
        <v>7.5082358060283001</v>
      </c>
      <c r="AZ32" s="368">
        <v>8.5248604412945799</v>
      </c>
      <c r="BA32" s="368">
        <v>10.3114736638174</v>
      </c>
      <c r="BB32" s="368">
        <v>8.9801514544626801</v>
      </c>
      <c r="BC32" s="826">
        <v>9.0857967800564197</v>
      </c>
      <c r="BD32" s="825">
        <f t="shared" si="21"/>
        <v>8.3597999999999999</v>
      </c>
      <c r="BE32" s="368">
        <v>7.4422532156527401</v>
      </c>
      <c r="BF32" s="368">
        <v>7.5823333272749496</v>
      </c>
      <c r="BG32" s="368">
        <v>9.3773908236927497</v>
      </c>
      <c r="BH32" s="368">
        <v>8.5842107938902608</v>
      </c>
      <c r="BI32" s="826">
        <v>8.0647859215188902</v>
      </c>
      <c r="BJ32" s="23"/>
      <c r="BK32" s="566" t="str">
        <f t="shared" si="15"/>
        <v>3Q11</v>
      </c>
      <c r="BL32" s="825">
        <f t="shared" si="16"/>
        <v>38.4878</v>
      </c>
      <c r="BM32" s="368">
        <v>14.005366726297</v>
      </c>
      <c r="BN32" s="368">
        <v>18.641946697566599</v>
      </c>
      <c r="BO32" s="368">
        <v>16.025186627927901</v>
      </c>
      <c r="BP32" s="368">
        <v>14.024015011101</v>
      </c>
      <c r="BQ32" s="826">
        <v>15.15859030837</v>
      </c>
      <c r="BR32" s="825">
        <f t="shared" si="17"/>
        <v>15.8223</v>
      </c>
      <c r="BS32" s="368">
        <v>13.140315542128199</v>
      </c>
      <c r="BT32" s="368">
        <v>15.4811393379523</v>
      </c>
      <c r="BU32" s="368">
        <v>14.652353506589799</v>
      </c>
      <c r="BV32" s="368">
        <v>14.2851003969459</v>
      </c>
      <c r="BW32" s="826">
        <v>14.154668860551199</v>
      </c>
      <c r="BX32" s="825">
        <f t="shared" si="18"/>
        <v>7.3662000000000001</v>
      </c>
      <c r="BY32" s="368">
        <v>7.5835911867171699</v>
      </c>
      <c r="BZ32" s="368">
        <v>8.8265324943553392</v>
      </c>
      <c r="CA32" s="368">
        <v>10.8670026348689</v>
      </c>
      <c r="CB32" s="368">
        <v>10.079275237110799</v>
      </c>
      <c r="CC32" s="826">
        <v>6.17659738967299</v>
      </c>
      <c r="CD32" s="825">
        <f t="shared" si="22"/>
        <v>8.3597999999999999</v>
      </c>
      <c r="CE32" s="368">
        <v>7.9681453066227101</v>
      </c>
      <c r="CF32" s="368">
        <v>9.5744907607354399</v>
      </c>
      <c r="CG32" s="368">
        <v>9.1153544058384899</v>
      </c>
      <c r="CH32" s="368">
        <v>9.0013095935908005</v>
      </c>
      <c r="CI32" s="826">
        <v>8.3684369571943495</v>
      </c>
    </row>
    <row r="33" spans="1:87" ht="14.45" customHeight="1">
      <c r="A33" s="23"/>
      <c r="B33" s="23"/>
      <c r="C33" s="23" t="s">
        <v>396</v>
      </c>
      <c r="D33" s="23"/>
      <c r="E33" s="345">
        <f>AVERAGE(M73:Q88)</f>
        <v>33.519897058823538</v>
      </c>
      <c r="F33" s="345">
        <f>AVERAGE(S73:W88)</f>
        <v>19.873982857142856</v>
      </c>
      <c r="G33" s="345">
        <f>AVERAGE(Y73:AC88)</f>
        <v>26.55577396798159</v>
      </c>
      <c r="H33" s="345">
        <f>AVERAGE(AE73:AI88)</f>
        <v>15.001446648800718</v>
      </c>
      <c r="I33" s="189">
        <f>IF(I32=4,1,I32+1)</f>
        <v>4</v>
      </c>
      <c r="J33" s="461">
        <f t="shared" si="20"/>
        <v>2011</v>
      </c>
      <c r="K33" s="566" t="str">
        <f t="shared" si="9"/>
        <v>4Q11</v>
      </c>
      <c r="L33" s="825">
        <v>53.3001</v>
      </c>
      <c r="M33" s="368">
        <v>20.722200000000001</v>
      </c>
      <c r="N33" s="368"/>
      <c r="O33" s="368"/>
      <c r="P33" s="368"/>
      <c r="Q33" s="826">
        <v>10.7796</v>
      </c>
      <c r="R33" s="825">
        <v>17.421500000000002</v>
      </c>
      <c r="S33" s="368">
        <v>14.885999999999999</v>
      </c>
      <c r="T33" s="368"/>
      <c r="U33" s="368"/>
      <c r="V33" s="368"/>
      <c r="W33" s="826">
        <v>13.5298</v>
      </c>
      <c r="X33" s="825">
        <v>11.0289</v>
      </c>
      <c r="Y33" s="368">
        <v>10.0031</v>
      </c>
      <c r="Z33" s="368"/>
      <c r="AA33" s="368"/>
      <c r="AB33" s="368"/>
      <c r="AC33" s="826">
        <v>6.2369000000000003</v>
      </c>
      <c r="AD33" s="368">
        <v>7.8612000000000002</v>
      </c>
      <c r="AE33" s="368">
        <v>11.391299999999999</v>
      </c>
      <c r="AF33" s="368"/>
      <c r="AG33" s="368"/>
      <c r="AH33" s="368">
        <v>1.8226</v>
      </c>
      <c r="AI33" s="826">
        <v>6.2369000000000003</v>
      </c>
      <c r="AJ33" s="23"/>
      <c r="AK33" s="566" t="str">
        <f t="shared" si="13"/>
        <v>4Q11</v>
      </c>
      <c r="AL33" s="825">
        <f t="shared" si="14"/>
        <v>53.3001</v>
      </c>
      <c r="AM33" s="368">
        <v>13.033025099075299</v>
      </c>
      <c r="AN33" s="368">
        <v>12.3103857018256</v>
      </c>
      <c r="AO33" s="368">
        <v>15.048128342246001</v>
      </c>
      <c r="AP33" s="368">
        <v>14.797891036906901</v>
      </c>
      <c r="AQ33" s="826">
        <v>16.149635036496299</v>
      </c>
      <c r="AR33" s="825">
        <f t="shared" si="10"/>
        <v>17.421500000000002</v>
      </c>
      <c r="AS33" s="368">
        <v>13.2518468770987</v>
      </c>
      <c r="AT33" s="368">
        <v>11.8143277224061</v>
      </c>
      <c r="AU33" s="368">
        <v>14.353481254781901</v>
      </c>
      <c r="AV33" s="368">
        <v>14.2518618821936</v>
      </c>
      <c r="AW33" s="826">
        <v>12.606837606837599</v>
      </c>
      <c r="AX33" s="825">
        <f t="shared" si="11"/>
        <v>11.0289</v>
      </c>
      <c r="AY33" s="368">
        <v>7.1384542788999497</v>
      </c>
      <c r="AZ33" s="368">
        <v>7.2858484195114004</v>
      </c>
      <c r="BA33" s="368">
        <v>8.5602396383199597</v>
      </c>
      <c r="BB33" s="368">
        <v>8.5248369749876307</v>
      </c>
      <c r="BC33" s="826">
        <v>8.51204820813631</v>
      </c>
      <c r="BD33" s="825">
        <f t="shared" si="21"/>
        <v>7.8612000000000002</v>
      </c>
      <c r="BE33" s="368">
        <v>7.1755151239636596</v>
      </c>
      <c r="BF33" s="368">
        <v>7.0784166192176396</v>
      </c>
      <c r="BG33" s="368">
        <v>7.9720944221862897</v>
      </c>
      <c r="BH33" s="368">
        <v>8.2335253897019705</v>
      </c>
      <c r="BI33" s="826">
        <v>8.0098515918821196</v>
      </c>
      <c r="BJ33" s="23"/>
      <c r="BK33" s="566" t="str">
        <f t="shared" si="15"/>
        <v>4Q11</v>
      </c>
      <c r="BL33" s="825">
        <f t="shared" si="16"/>
        <v>53.3001</v>
      </c>
      <c r="BM33" s="368">
        <v>12.1215106732348</v>
      </c>
      <c r="BN33" s="368">
        <v>15.3631522896699</v>
      </c>
      <c r="BO33" s="368">
        <v>11.4534820830357</v>
      </c>
      <c r="BP33" s="368">
        <v>11.7898232831689</v>
      </c>
      <c r="BQ33" s="826">
        <v>13.016877637130801</v>
      </c>
      <c r="BR33" s="825">
        <f t="shared" si="17"/>
        <v>17.421500000000002</v>
      </c>
      <c r="BS33" s="368">
        <v>12.199636423731601</v>
      </c>
      <c r="BT33" s="368">
        <v>14.2156089869925</v>
      </c>
      <c r="BU33" s="368">
        <v>11.5879854859982</v>
      </c>
      <c r="BV33" s="368">
        <v>12.616416059479601</v>
      </c>
      <c r="BW33" s="826">
        <v>12.604698672114401</v>
      </c>
      <c r="BX33" s="825">
        <f t="shared" si="18"/>
        <v>11.0289</v>
      </c>
      <c r="BY33" s="368">
        <v>6.7672629406594202</v>
      </c>
      <c r="BZ33" s="368">
        <v>7.10345359639207</v>
      </c>
      <c r="CA33" s="368">
        <v>7.7810894052890296</v>
      </c>
      <c r="CB33" s="368">
        <v>8.8938680961155896</v>
      </c>
      <c r="CC33" s="826">
        <v>7.8343084438823301</v>
      </c>
      <c r="CD33" s="825">
        <f t="shared" si="22"/>
        <v>7.8612000000000002</v>
      </c>
      <c r="CE33" s="368">
        <v>7.4277573523016596</v>
      </c>
      <c r="CF33" s="368">
        <v>8.3221430140267607</v>
      </c>
      <c r="CG33" s="368">
        <v>7.3101900362286996</v>
      </c>
      <c r="CH33" s="368">
        <v>8.0838186637965208</v>
      </c>
      <c r="CI33" s="826">
        <v>7.5550381111695497</v>
      </c>
    </row>
    <row r="34" spans="1:87" ht="14.45" customHeight="1">
      <c r="A34" s="23"/>
      <c r="B34" s="23"/>
      <c r="C34" s="23" t="s">
        <v>428</v>
      </c>
      <c r="D34" s="23"/>
      <c r="E34" s="345">
        <f>AVERAGE(M65:Q88)</f>
        <v>27.488093518518525</v>
      </c>
      <c r="F34" s="345">
        <f>AVERAGE(S65:W88)</f>
        <v>19.645850000000003</v>
      </c>
      <c r="G34" s="345">
        <f>AVERAGE(Y65:AC88)</f>
        <v>21.531217465969995</v>
      </c>
      <c r="H34" s="345">
        <f>AVERAGE(AE65:AI88)</f>
        <v>17.107507867418629</v>
      </c>
      <c r="I34" s="189">
        <f>IF(I33+1=5,1,I33+1)</f>
        <v>1</v>
      </c>
      <c r="J34" s="461">
        <f t="shared" si="20"/>
        <v>2012</v>
      </c>
      <c r="K34" s="566" t="str">
        <f t="shared" si="9"/>
        <v>1Q12</v>
      </c>
      <c r="L34" s="825">
        <v>127.53189999999999</v>
      </c>
      <c r="M34" s="368">
        <v>24.892299999999999</v>
      </c>
      <c r="N34" s="368"/>
      <c r="O34" s="368"/>
      <c r="P34" s="368"/>
      <c r="Q34" s="826">
        <v>12.2148</v>
      </c>
      <c r="R34" s="825">
        <v>15</v>
      </c>
      <c r="S34" s="368">
        <v>17.4893</v>
      </c>
      <c r="T34" s="368"/>
      <c r="U34" s="368"/>
      <c r="V34" s="368"/>
      <c r="W34" s="826">
        <v>14.7605</v>
      </c>
      <c r="X34" s="825">
        <v>19.309999999999999</v>
      </c>
      <c r="Y34" s="368">
        <v>12.778</v>
      </c>
      <c r="Z34" s="368"/>
      <c r="AA34" s="368"/>
      <c r="AB34" s="368"/>
      <c r="AC34" s="826">
        <v>7.1045999999999996</v>
      </c>
      <c r="AD34" s="368">
        <v>7.5281000000000002</v>
      </c>
      <c r="AE34" s="368">
        <v>11.106999999999999</v>
      </c>
      <c r="AF34" s="368"/>
      <c r="AG34" s="368"/>
      <c r="AH34" s="368">
        <v>2.6945000000000001</v>
      </c>
      <c r="AI34" s="826">
        <v>7.1045999999999996</v>
      </c>
      <c r="AJ34" s="23"/>
      <c r="AK34" s="566" t="str">
        <f t="shared" si="13"/>
        <v>1Q12</v>
      </c>
      <c r="AL34" s="825">
        <f t="shared" si="14"/>
        <v>127.53189999999999</v>
      </c>
      <c r="AM34" s="368">
        <v>14.261378413524101</v>
      </c>
      <c r="AN34" s="368">
        <v>10.9403486187251</v>
      </c>
      <c r="AO34" s="368">
        <v>13.6310164596243</v>
      </c>
      <c r="AP34" s="368">
        <v>12.3939393939394</v>
      </c>
      <c r="AQ34" s="826">
        <v>15.036496350365001</v>
      </c>
      <c r="AR34" s="825">
        <f t="shared" si="10"/>
        <v>15</v>
      </c>
      <c r="AS34" s="368">
        <v>14.1894164833743</v>
      </c>
      <c r="AT34" s="368">
        <v>10.695335942745899</v>
      </c>
      <c r="AU34" s="368">
        <v>13.370814592703599</v>
      </c>
      <c r="AV34" s="368">
        <v>12.027446495670601</v>
      </c>
      <c r="AW34" s="826">
        <v>11.256830601092901</v>
      </c>
      <c r="AX34" s="825">
        <f t="shared" si="11"/>
        <v>19.309999999999999</v>
      </c>
      <c r="AY34" s="368">
        <v>7.6372275872717301</v>
      </c>
      <c r="AZ34" s="368">
        <v>6.5458498682912998</v>
      </c>
      <c r="BA34" s="368">
        <v>7.3848867350655203</v>
      </c>
      <c r="BB34" s="368">
        <v>7.1509670229311304</v>
      </c>
      <c r="BC34" s="826">
        <v>7.9486586605674301</v>
      </c>
      <c r="BD34" s="825">
        <f t="shared" si="21"/>
        <v>7.5281000000000002</v>
      </c>
      <c r="BE34" s="368">
        <v>7.6570957770654102</v>
      </c>
      <c r="BF34" s="368">
        <v>6.3138780932891798</v>
      </c>
      <c r="BG34" s="368">
        <v>7.2927815151931403</v>
      </c>
      <c r="BH34" s="368">
        <v>7.0444458265683103</v>
      </c>
      <c r="BI34" s="826">
        <v>7.0598133029599301</v>
      </c>
      <c r="BJ34" s="23"/>
      <c r="BK34" s="566" t="str">
        <f t="shared" si="15"/>
        <v>1Q12</v>
      </c>
      <c r="BL34" s="825">
        <f t="shared" si="16"/>
        <v>127.53189999999999</v>
      </c>
      <c r="BM34" s="368">
        <v>9.8026315789473699</v>
      </c>
      <c r="BN34" s="368">
        <v>10.248447204968899</v>
      </c>
      <c r="BO34" s="368">
        <v>11.5079392957746</v>
      </c>
      <c r="BP34" s="368">
        <v>8.5249356153283404</v>
      </c>
      <c r="BQ34" s="826">
        <v>12.157894736842101</v>
      </c>
      <c r="BR34" s="825">
        <f t="shared" si="17"/>
        <v>15</v>
      </c>
      <c r="BS34" s="368">
        <v>9.8010195691498101</v>
      </c>
      <c r="BT34" s="368">
        <v>10.116492949111</v>
      </c>
      <c r="BU34" s="368">
        <v>12.1166142857143</v>
      </c>
      <c r="BV34" s="368">
        <v>10.344064135754101</v>
      </c>
      <c r="BW34" s="826">
        <v>12.140691328077599</v>
      </c>
      <c r="BX34" s="825">
        <f t="shared" si="18"/>
        <v>19.309999999999999</v>
      </c>
      <c r="BY34" s="368">
        <v>5.8776212254061004</v>
      </c>
      <c r="BZ34" s="368">
        <v>4.7637249584869297</v>
      </c>
      <c r="CA34" s="368">
        <v>7.5992368752733803</v>
      </c>
      <c r="CB34" s="368">
        <v>8.4334234393285996</v>
      </c>
      <c r="CC34" s="826">
        <v>7.3784026641296796</v>
      </c>
      <c r="CD34" s="825">
        <f t="shared" si="22"/>
        <v>7.5281000000000002</v>
      </c>
      <c r="CE34" s="368">
        <v>6.2248776929543297</v>
      </c>
      <c r="CF34" s="368">
        <v>5.71660154479643</v>
      </c>
      <c r="CG34" s="368">
        <v>7.0680212994009501</v>
      </c>
      <c r="CH34" s="368">
        <v>7.0010617618764801</v>
      </c>
      <c r="CI34" s="826">
        <v>7.1465915282238601</v>
      </c>
    </row>
    <row r="35" spans="1:87" ht="14.45" customHeight="1">
      <c r="A35" s="23"/>
      <c r="B35" s="23"/>
      <c r="C35" s="460" t="s">
        <v>425</v>
      </c>
      <c r="D35" s="460"/>
      <c r="E35" s="460"/>
      <c r="F35" s="460"/>
      <c r="G35" s="460"/>
      <c r="H35" s="460"/>
      <c r="I35" s="189">
        <f>IF(I34=4,1,I34+1)</f>
        <v>2</v>
      </c>
      <c r="J35" s="461">
        <f t="shared" si="20"/>
        <v>2012</v>
      </c>
      <c r="K35" s="566" t="str">
        <f t="shared" si="9"/>
        <v>2Q12</v>
      </c>
      <c r="L35" s="825">
        <v>58.651499999999999</v>
      </c>
      <c r="M35" s="368">
        <v>28.644100000000002</v>
      </c>
      <c r="N35" s="368"/>
      <c r="O35" s="368"/>
      <c r="P35" s="368"/>
      <c r="Q35" s="826">
        <v>11.6289</v>
      </c>
      <c r="R35" s="825">
        <v>15.6142</v>
      </c>
      <c r="S35" s="368">
        <v>18.264199999999999</v>
      </c>
      <c r="T35" s="368"/>
      <c r="U35" s="368"/>
      <c r="V35" s="368"/>
      <c r="W35" s="826">
        <v>13.3141</v>
      </c>
      <c r="X35" s="825">
        <v>13.3765</v>
      </c>
      <c r="Y35" s="368">
        <v>13.662599999999999</v>
      </c>
      <c r="Z35" s="368"/>
      <c r="AA35" s="368"/>
      <c r="AB35" s="368"/>
      <c r="AC35" s="826">
        <v>6.8262</v>
      </c>
      <c r="AD35" s="368">
        <v>8.0167000000000002</v>
      </c>
      <c r="AE35" s="368">
        <v>11.4816</v>
      </c>
      <c r="AF35" s="368"/>
      <c r="AG35" s="368"/>
      <c r="AH35" s="368">
        <v>2.8538000000000001</v>
      </c>
      <c r="AI35" s="826">
        <v>6.8262</v>
      </c>
      <c r="AJ35" s="23"/>
      <c r="AK35" s="566" t="str">
        <f t="shared" si="13"/>
        <v>2Q12</v>
      </c>
      <c r="AL35" s="825">
        <f t="shared" si="14"/>
        <v>58.651499999999999</v>
      </c>
      <c r="AM35" s="368">
        <v>10.821106821106801</v>
      </c>
      <c r="AN35" s="368">
        <v>21.943766174006399</v>
      </c>
      <c r="AO35" s="368">
        <v>12.462136250410801</v>
      </c>
      <c r="AP35" s="368">
        <v>9.3794788273615595</v>
      </c>
      <c r="AQ35" s="826">
        <v>7.5957661290322598</v>
      </c>
      <c r="AR35" s="825">
        <f t="shared" si="10"/>
        <v>15.6142</v>
      </c>
      <c r="AS35" s="368">
        <v>10.888370888370901</v>
      </c>
      <c r="AT35" s="368">
        <v>7.8545352971933902</v>
      </c>
      <c r="AU35" s="368">
        <v>12.649318463444899</v>
      </c>
      <c r="AV35" s="368">
        <v>9.3263157894736892</v>
      </c>
      <c r="AW35" s="826">
        <v>10.0199468085106</v>
      </c>
      <c r="AX35" s="825">
        <f t="shared" si="11"/>
        <v>13.3765</v>
      </c>
      <c r="AY35" s="368">
        <v>5.9001176074741704</v>
      </c>
      <c r="AZ35" s="368">
        <v>4.8244746482124299</v>
      </c>
      <c r="BA35" s="368">
        <v>7.1418511387700798</v>
      </c>
      <c r="BB35" s="368">
        <v>6.0620385752608099</v>
      </c>
      <c r="BC35" s="826">
        <v>5.5076043417287401</v>
      </c>
      <c r="BD35" s="825">
        <f t="shared" si="21"/>
        <v>8.0167000000000002</v>
      </c>
      <c r="BE35" s="368">
        <v>6.0308784768044896</v>
      </c>
      <c r="BF35" s="368">
        <v>4.6250477373843601</v>
      </c>
      <c r="BG35" s="368">
        <v>6.2991772819748997</v>
      </c>
      <c r="BH35" s="368">
        <v>5.5383386735474103</v>
      </c>
      <c r="BI35" s="826">
        <v>5.7051235878715501</v>
      </c>
      <c r="BJ35" s="23"/>
      <c r="BK35" s="566" t="str">
        <f t="shared" si="15"/>
        <v>2Q12</v>
      </c>
      <c r="BL35" s="825">
        <f t="shared" si="16"/>
        <v>58.651499999999999</v>
      </c>
      <c r="BM35" s="368">
        <v>7.8922261484098897</v>
      </c>
      <c r="BN35" s="368">
        <v>8.01673640167364</v>
      </c>
      <c r="BO35" s="368">
        <v>7.9857808615384602</v>
      </c>
      <c r="BP35" s="368">
        <v>6.7069184559980197</v>
      </c>
      <c r="BQ35" s="826">
        <v>10.784708249496999</v>
      </c>
      <c r="BR35" s="825">
        <f t="shared" si="17"/>
        <v>15.6142</v>
      </c>
      <c r="BS35" s="368">
        <v>7.5711864406779696</v>
      </c>
      <c r="BT35" s="368">
        <v>8.4760008847600101</v>
      </c>
      <c r="BU35" s="368">
        <v>8.1487559811617007</v>
      </c>
      <c r="BV35" s="368">
        <v>8.3122978736571191</v>
      </c>
      <c r="BW35" s="826">
        <v>10.938775510204101</v>
      </c>
      <c r="BX35" s="825">
        <f t="shared" si="18"/>
        <v>13.3765</v>
      </c>
      <c r="BY35" s="368">
        <v>4.3028111906212603</v>
      </c>
      <c r="BZ35" s="368">
        <v>3.8414409926750501</v>
      </c>
      <c r="CA35" s="368">
        <v>5.6458130639778403</v>
      </c>
      <c r="CB35" s="368">
        <v>6.8037030262034701</v>
      </c>
      <c r="CC35" s="826">
        <v>6.6247506250611297</v>
      </c>
      <c r="CD35" s="825">
        <f t="shared" si="22"/>
        <v>8.0167000000000002</v>
      </c>
      <c r="CE35" s="368">
        <v>6.1701368280511204</v>
      </c>
      <c r="CF35" s="368">
        <v>4.7910434837116904</v>
      </c>
      <c r="CG35" s="368">
        <v>4.54697852739125</v>
      </c>
      <c r="CH35" s="368">
        <v>6.34376169566361</v>
      </c>
      <c r="CI35" s="826">
        <v>6.7602426331227097</v>
      </c>
    </row>
    <row r="36" spans="1:87" ht="14.45" customHeight="1">
      <c r="A36" s="23"/>
      <c r="B36" s="23"/>
      <c r="C36" s="189"/>
      <c r="D36" s="23"/>
      <c r="E36" s="189" t="s">
        <v>406</v>
      </c>
      <c r="F36" s="189" t="s">
        <v>407</v>
      </c>
      <c r="G36" s="189" t="s">
        <v>408</v>
      </c>
      <c r="H36" s="189" t="s">
        <v>400</v>
      </c>
      <c r="I36" s="189">
        <f>I32</f>
        <v>3</v>
      </c>
      <c r="J36" s="461">
        <f t="shared" si="20"/>
        <v>2012</v>
      </c>
      <c r="K36" s="566" t="str">
        <f t="shared" si="9"/>
        <v>3Q12</v>
      </c>
      <c r="L36" s="825">
        <v>72.790599999999998</v>
      </c>
      <c r="M36" s="368">
        <v>37.602400000000003</v>
      </c>
      <c r="N36" s="368"/>
      <c r="O36" s="368"/>
      <c r="P36" s="368"/>
      <c r="Q36" s="826">
        <v>13.154400000000001</v>
      </c>
      <c r="R36" s="825">
        <v>19.765699999999999</v>
      </c>
      <c r="S36" s="368">
        <v>25.707999999999998</v>
      </c>
      <c r="T36" s="368"/>
      <c r="U36" s="368"/>
      <c r="V36" s="368"/>
      <c r="W36" s="826">
        <v>18.0122</v>
      </c>
      <c r="X36" s="825">
        <v>15.368600000000001</v>
      </c>
      <c r="Y36" s="368">
        <v>16.779599999999999</v>
      </c>
      <c r="Z36" s="368"/>
      <c r="AA36" s="368"/>
      <c r="AB36" s="368"/>
      <c r="AC36" s="826">
        <v>8.1222999999999992</v>
      </c>
      <c r="AD36" s="368">
        <v>6.7625999999999999</v>
      </c>
      <c r="AE36" s="368">
        <v>8.2125000000000004</v>
      </c>
      <c r="AF36" s="368"/>
      <c r="AG36" s="368"/>
      <c r="AH36" s="368">
        <v>2.8628</v>
      </c>
      <c r="AI36" s="826">
        <v>8.1222999999999992</v>
      </c>
      <c r="AJ36" s="23"/>
      <c r="AK36" s="566" t="str">
        <f t="shared" si="13"/>
        <v>3Q12</v>
      </c>
      <c r="AL36" s="825">
        <f t="shared" si="14"/>
        <v>72.790599999999998</v>
      </c>
      <c r="AM36" s="368">
        <v>8.9417098445595808</v>
      </c>
      <c r="AN36" s="368">
        <v>18.143557999999999</v>
      </c>
      <c r="AO36" s="368">
        <v>9.1487933530985508</v>
      </c>
      <c r="AP36" s="368">
        <v>6.7736156351791497</v>
      </c>
      <c r="AQ36" s="826">
        <v>6.7439516129032304</v>
      </c>
      <c r="AR36" s="825">
        <f t="shared" si="10"/>
        <v>19.765699999999999</v>
      </c>
      <c r="AS36" s="368">
        <v>9.4007898679014001</v>
      </c>
      <c r="AT36" s="368">
        <v>8.1660980932343197</v>
      </c>
      <c r="AU36" s="368">
        <v>8.4194594594594605</v>
      </c>
      <c r="AV36" s="368">
        <v>6.8281070431784601</v>
      </c>
      <c r="AW36" s="826">
        <v>8.0602409638554207</v>
      </c>
      <c r="AX36" s="825">
        <f t="shared" si="11"/>
        <v>15.368600000000001</v>
      </c>
      <c r="AY36" s="368">
        <v>4.89790121018937</v>
      </c>
      <c r="AZ36" s="368">
        <v>4.6220094696752696</v>
      </c>
      <c r="BA36" s="368">
        <v>5.0712418496191098</v>
      </c>
      <c r="BB36" s="368">
        <v>4.5023367141351498</v>
      </c>
      <c r="BC36" s="826">
        <v>4.9020437638256702</v>
      </c>
      <c r="BD36" s="825">
        <f t="shared" si="21"/>
        <v>6.7625999999999999</v>
      </c>
      <c r="BE36" s="368">
        <v>5.2630583207003001</v>
      </c>
      <c r="BF36" s="368">
        <v>4.9107333603227996</v>
      </c>
      <c r="BG36" s="368">
        <v>4.7682387463580902</v>
      </c>
      <c r="BH36" s="368">
        <v>4.5585638192333002</v>
      </c>
      <c r="BI36" s="826">
        <v>4.8074347810977001</v>
      </c>
      <c r="BJ36" s="23"/>
      <c r="BK36" s="566" t="str">
        <f t="shared" si="15"/>
        <v>3Q12</v>
      </c>
      <c r="BL36" s="825">
        <f t="shared" si="16"/>
        <v>72.790599999999998</v>
      </c>
      <c r="BM36" s="368">
        <v>6.0626101097709704</v>
      </c>
      <c r="BN36" s="368">
        <v>7.2985455977024802</v>
      </c>
      <c r="BO36" s="368">
        <v>5.5174202748305898</v>
      </c>
      <c r="BP36" s="368">
        <v>6.2027636565908297</v>
      </c>
      <c r="BQ36" s="826">
        <v>8.9672401555434398</v>
      </c>
      <c r="BR36" s="825">
        <f t="shared" si="17"/>
        <v>19.765699999999999</v>
      </c>
      <c r="BS36" s="368">
        <v>13.1576470588235</v>
      </c>
      <c r="BT36" s="368">
        <v>10.2303143479614</v>
      </c>
      <c r="BU36" s="368">
        <v>10.0395161714876</v>
      </c>
      <c r="BV36" s="368">
        <v>8.6477952048670108</v>
      </c>
      <c r="BW36" s="826">
        <v>10.3069544364508</v>
      </c>
      <c r="BX36" s="825">
        <f t="shared" si="18"/>
        <v>15.368600000000001</v>
      </c>
      <c r="BY36" s="368">
        <v>3.7364763015806002</v>
      </c>
      <c r="BZ36" s="368">
        <v>3.6600144582177201</v>
      </c>
      <c r="CA36" s="368">
        <v>4.3412557548271797</v>
      </c>
      <c r="CB36" s="368">
        <v>6.51077564649239</v>
      </c>
      <c r="CC36" s="826">
        <v>5.7618767786199703</v>
      </c>
      <c r="CD36" s="825">
        <f t="shared" si="22"/>
        <v>6.7625999999999999</v>
      </c>
      <c r="CE36" s="368">
        <v>6.6302230892667504</v>
      </c>
      <c r="CF36" s="368">
        <v>5.8500031480394803</v>
      </c>
      <c r="CG36" s="368">
        <v>4.7291923488465599</v>
      </c>
      <c r="CH36" s="368">
        <v>5.9041605578646799</v>
      </c>
      <c r="CI36" s="826">
        <v>6.2719469757294801</v>
      </c>
    </row>
    <row r="37" spans="1:87" ht="14.45" customHeight="1">
      <c r="A37" s="23"/>
      <c r="B37" s="23"/>
      <c r="C37" s="23" t="s">
        <v>440</v>
      </c>
      <c r="D37" s="23"/>
      <c r="E37" s="345">
        <f>AVERAGE(M8:Q75)</f>
        <v>19.018674766355144</v>
      </c>
      <c r="F37" s="345">
        <f>AVERAGE(S8:W75)</f>
        <v>18.325892342342343</v>
      </c>
      <c r="G37" s="345">
        <f>AVERAGE(Y8:AC75)</f>
        <v>24.151680751173696</v>
      </c>
      <c r="H37" s="345">
        <f>AVERAGE(AE8:AI75)</f>
        <v>12.792991773166142</v>
      </c>
      <c r="I37" s="189">
        <f>IF(I36=4,1,I36+1)</f>
        <v>4</v>
      </c>
      <c r="J37" s="461">
        <f t="shared" si="20"/>
        <v>2012</v>
      </c>
      <c r="K37" s="566" t="str">
        <f t="shared" si="9"/>
        <v>4Q12</v>
      </c>
      <c r="L37" s="825">
        <v>33.921100000000003</v>
      </c>
      <c r="M37" s="368">
        <v>17.962199999999999</v>
      </c>
      <c r="N37" s="368"/>
      <c r="O37" s="368"/>
      <c r="P37" s="368"/>
      <c r="Q37" s="826">
        <v>13.725199999999999</v>
      </c>
      <c r="R37" s="825">
        <v>20.537400000000002</v>
      </c>
      <c r="S37" s="368">
        <v>26.430499999999999</v>
      </c>
      <c r="T37" s="368"/>
      <c r="U37" s="368"/>
      <c r="V37" s="368"/>
      <c r="W37" s="826">
        <v>16.512899999999998</v>
      </c>
      <c r="X37" s="825">
        <v>9.1241000000000003</v>
      </c>
      <c r="Y37" s="368">
        <v>16.775700000000001</v>
      </c>
      <c r="Z37" s="368"/>
      <c r="AA37" s="368"/>
      <c r="AB37" s="368"/>
      <c r="AC37" s="826">
        <v>7.6196000000000002</v>
      </c>
      <c r="AD37" s="368">
        <v>6.0190999999999999</v>
      </c>
      <c r="AE37" s="368">
        <v>7.1809000000000003</v>
      </c>
      <c r="AF37" s="368"/>
      <c r="AG37" s="368"/>
      <c r="AH37" s="368">
        <v>1.6032</v>
      </c>
      <c r="AI37" s="826">
        <v>7.6196000000000002</v>
      </c>
      <c r="AJ37" s="23"/>
      <c r="AK37" s="566" t="str">
        <f t="shared" si="13"/>
        <v>4Q12</v>
      </c>
      <c r="AL37" s="825">
        <f t="shared" si="14"/>
        <v>33.921100000000003</v>
      </c>
      <c r="AM37" s="368">
        <v>10.840053763440901</v>
      </c>
      <c r="AN37" s="368">
        <v>20.803155859437801</v>
      </c>
      <c r="AO37" s="368">
        <v>9.8846523585786095</v>
      </c>
      <c r="AP37" s="368">
        <v>8.8482428115015992</v>
      </c>
      <c r="AQ37" s="826">
        <v>10.990259740259701</v>
      </c>
      <c r="AR37" s="825">
        <f t="shared" si="10"/>
        <v>20.537400000000002</v>
      </c>
      <c r="AS37" s="368">
        <v>10.8810037776579</v>
      </c>
      <c r="AT37" s="368">
        <v>8.3497655595406002</v>
      </c>
      <c r="AU37" s="368">
        <v>9.4171259008054307</v>
      </c>
      <c r="AV37" s="368">
        <v>9.0182351025724508</v>
      </c>
      <c r="AW37" s="826">
        <v>8.0595238095238102</v>
      </c>
      <c r="AX37" s="825">
        <f t="shared" si="11"/>
        <v>9.1241000000000003</v>
      </c>
      <c r="AY37" s="368">
        <v>5.8216725255459796</v>
      </c>
      <c r="AZ37" s="368">
        <v>5.0410018022602303</v>
      </c>
      <c r="BA37" s="368">
        <v>5.5182590928874404</v>
      </c>
      <c r="BB37" s="368">
        <v>5.7599053387207402</v>
      </c>
      <c r="BC37" s="826">
        <v>4.6355079714971703</v>
      </c>
      <c r="BD37" s="825">
        <f t="shared" si="21"/>
        <v>6.0190999999999999</v>
      </c>
      <c r="BE37" s="368">
        <v>5.95575380710775</v>
      </c>
      <c r="BF37" s="368">
        <v>5.05876329563125</v>
      </c>
      <c r="BG37" s="368">
        <v>5.2819857287730603</v>
      </c>
      <c r="BH37" s="368">
        <v>5.8642999770834097</v>
      </c>
      <c r="BI37" s="826">
        <v>4.7163862717252103</v>
      </c>
      <c r="BJ37" s="23"/>
      <c r="BK37" s="566" t="str">
        <f t="shared" si="15"/>
        <v>4Q12</v>
      </c>
      <c r="BL37" s="825">
        <f t="shared" si="16"/>
        <v>33.921100000000003</v>
      </c>
      <c r="BM37" s="368">
        <v>9.1985383678440904</v>
      </c>
      <c r="BN37" s="368">
        <v>10.313305041231301</v>
      </c>
      <c r="BO37" s="368">
        <v>7.8212262850747898</v>
      </c>
      <c r="BP37" s="368">
        <v>7.6864943676242303</v>
      </c>
      <c r="BQ37" s="826">
        <v>11.229670535816901</v>
      </c>
      <c r="BR37" s="825">
        <f t="shared" si="17"/>
        <v>20.537400000000002</v>
      </c>
      <c r="BS37" s="368">
        <v>28.263473053892199</v>
      </c>
      <c r="BT37" s="368">
        <v>15.703616352201299</v>
      </c>
      <c r="BU37" s="368">
        <v>11.495782048979599</v>
      </c>
      <c r="BV37" s="368">
        <v>10.4776994462381</v>
      </c>
      <c r="BW37" s="826">
        <v>12.747791952895</v>
      </c>
      <c r="BX37" s="825">
        <f t="shared" si="18"/>
        <v>9.1241000000000003</v>
      </c>
      <c r="BY37" s="368">
        <v>4.9804834814134002</v>
      </c>
      <c r="BZ37" s="368">
        <v>3.5883926004314399</v>
      </c>
      <c r="CA37" s="368">
        <v>5.6751991982419199</v>
      </c>
      <c r="CB37" s="368">
        <v>7.5850988474402401</v>
      </c>
      <c r="CC37" s="826">
        <v>7.0756691074846696</v>
      </c>
      <c r="CD37" s="825">
        <f t="shared" si="22"/>
        <v>6.0190999999999999</v>
      </c>
      <c r="CE37" s="368">
        <v>9.8956170837326596</v>
      </c>
      <c r="CF37" s="368">
        <v>6.0908894516113801</v>
      </c>
      <c r="CG37" s="368">
        <v>6.6627964264094199</v>
      </c>
      <c r="CH37" s="368">
        <v>6.7608583949673697</v>
      </c>
      <c r="CI37" s="826">
        <v>7.4642295095456399</v>
      </c>
    </row>
    <row r="38" spans="1:87" ht="14.45" customHeight="1">
      <c r="A38" s="23"/>
      <c r="B38" s="23"/>
      <c r="C38" s="23" t="s">
        <v>441</v>
      </c>
      <c r="D38" s="23"/>
      <c r="E38" s="345">
        <f>AVERAGE(E42,E46)</f>
        <v>19.781082082452428</v>
      </c>
      <c r="F38" s="345">
        <f>AVERAGE(F42,F46)</f>
        <v>19.209228900709221</v>
      </c>
      <c r="G38" s="345">
        <f>AVERAGE(G42,G46)</f>
        <v>13.002316740576497</v>
      </c>
      <c r="H38" s="345">
        <f>AVERAGE(H42,H46)</f>
        <v>10.406564130434782</v>
      </c>
      <c r="I38" s="189">
        <f>IF(I37+1=5,1,I37+1)</f>
        <v>1</v>
      </c>
      <c r="J38" s="461">
        <f t="shared" si="20"/>
        <v>2013</v>
      </c>
      <c r="K38" s="566" t="str">
        <f t="shared" si="9"/>
        <v>1Q13</v>
      </c>
      <c r="L38" s="825">
        <v>35.2729</v>
      </c>
      <c r="M38" s="368">
        <v>20.534099999999999</v>
      </c>
      <c r="N38" s="368"/>
      <c r="O38" s="368"/>
      <c r="P38" s="368"/>
      <c r="Q38" s="826">
        <v>15.9513</v>
      </c>
      <c r="R38" s="825">
        <v>18.326000000000001</v>
      </c>
      <c r="S38" s="368">
        <v>16.6813</v>
      </c>
      <c r="T38" s="368"/>
      <c r="U38" s="368"/>
      <c r="V38" s="368"/>
      <c r="W38" s="826">
        <v>17.572600000000001</v>
      </c>
      <c r="X38" s="825">
        <v>11.17</v>
      </c>
      <c r="Y38" s="368">
        <v>20.859100000000002</v>
      </c>
      <c r="Z38" s="368"/>
      <c r="AA38" s="368"/>
      <c r="AB38" s="368"/>
      <c r="AC38" s="826">
        <v>8.5838999999999999</v>
      </c>
      <c r="AD38" s="368">
        <v>6.3821000000000003</v>
      </c>
      <c r="AE38" s="368">
        <v>7.2419000000000002</v>
      </c>
      <c r="AF38" s="368"/>
      <c r="AG38" s="368"/>
      <c r="AH38" s="368">
        <v>4.7485999999999997</v>
      </c>
      <c r="AI38" s="826">
        <v>8.5838999999999999</v>
      </c>
      <c r="AJ38" s="23"/>
      <c r="AK38" s="566" t="str">
        <f t="shared" si="13"/>
        <v>1Q13</v>
      </c>
      <c r="AL38" s="825">
        <f t="shared" si="14"/>
        <v>35.2729</v>
      </c>
      <c r="AM38" s="368">
        <v>10.5377576439906</v>
      </c>
      <c r="AN38" s="368">
        <v>27.485185757091099</v>
      </c>
      <c r="AO38" s="368">
        <v>10.208031467209301</v>
      </c>
      <c r="AP38" s="368">
        <v>10.157232704402499</v>
      </c>
      <c r="AQ38" s="826">
        <v>11.3376623376623</v>
      </c>
      <c r="AR38" s="825">
        <f t="shared" si="10"/>
        <v>18.326000000000001</v>
      </c>
      <c r="AS38" s="368">
        <v>10.5899905058999</v>
      </c>
      <c r="AT38" s="368">
        <v>9.6339947311717609</v>
      </c>
      <c r="AU38" s="368">
        <v>10.025078369906</v>
      </c>
      <c r="AV38" s="368">
        <v>10.4683195592286</v>
      </c>
      <c r="AW38" s="826">
        <v>8.6435643564356397</v>
      </c>
      <c r="AX38" s="825">
        <f t="shared" si="11"/>
        <v>11.17</v>
      </c>
      <c r="AY38" s="368">
        <v>5.7508682577648402</v>
      </c>
      <c r="AZ38" s="368">
        <v>5.76379770975627</v>
      </c>
      <c r="BA38" s="368">
        <v>5.6724476995598803</v>
      </c>
      <c r="BB38" s="368">
        <v>6.4189544620072398</v>
      </c>
      <c r="BC38" s="826">
        <v>4.7829807728203297</v>
      </c>
      <c r="BD38" s="825">
        <f t="shared" si="21"/>
        <v>6.3821000000000003</v>
      </c>
      <c r="BE38" s="368">
        <v>5.8262682911125703</v>
      </c>
      <c r="BF38" s="368">
        <v>5.6401633037324803</v>
      </c>
      <c r="BG38" s="368">
        <v>5.50800076174861</v>
      </c>
      <c r="BH38" s="368">
        <v>6.5464021191348198</v>
      </c>
      <c r="BI38" s="826">
        <v>4.9052510063836898</v>
      </c>
      <c r="BJ38" s="23"/>
      <c r="BK38" s="566" t="str">
        <f t="shared" si="15"/>
        <v>1Q13</v>
      </c>
      <c r="BL38" s="825">
        <f t="shared" si="16"/>
        <v>35.2729</v>
      </c>
      <c r="BM38" s="368">
        <v>19.4664826079701</v>
      </c>
      <c r="BN38" s="368">
        <v>12.1118500568766</v>
      </c>
      <c r="BO38" s="368">
        <v>12.9341481944021</v>
      </c>
      <c r="BP38" s="368">
        <v>10.699183871992799</v>
      </c>
      <c r="BQ38" s="826">
        <v>13.654121144525901</v>
      </c>
      <c r="BR38" s="825">
        <f t="shared" si="17"/>
        <v>18.326000000000001</v>
      </c>
      <c r="BS38" s="368">
        <v>35.278350515463899</v>
      </c>
      <c r="BT38" s="368">
        <v>16.3007975693126</v>
      </c>
      <c r="BU38" s="368">
        <v>16.171872938524601</v>
      </c>
      <c r="BV38" s="368">
        <v>12.6626890556961</v>
      </c>
      <c r="BW38" s="826">
        <v>14.919196865817799</v>
      </c>
      <c r="BX38" s="825">
        <f t="shared" si="18"/>
        <v>11.17</v>
      </c>
      <c r="BY38" s="368">
        <v>8.4288551189087499</v>
      </c>
      <c r="BZ38" s="368">
        <v>4.1188114203648203</v>
      </c>
      <c r="CA38" s="368">
        <v>8.4896052720448996</v>
      </c>
      <c r="CB38" s="368">
        <v>7.8981250506955503</v>
      </c>
      <c r="CC38" s="826">
        <v>8.3129248743540494</v>
      </c>
      <c r="CD38" s="825">
        <f t="shared" si="22"/>
        <v>6.3821000000000003</v>
      </c>
      <c r="CE38" s="368">
        <v>13.471739507090801</v>
      </c>
      <c r="CF38" s="368">
        <v>8.5242433393943298</v>
      </c>
      <c r="CG38" s="368">
        <v>6.8403757436109496</v>
      </c>
      <c r="CH38" s="368">
        <v>7.6219259128077796</v>
      </c>
      <c r="CI38" s="826">
        <v>8.4732372972831502</v>
      </c>
    </row>
    <row r="39" spans="1:87" ht="14.45" customHeight="1">
      <c r="A39" s="23"/>
      <c r="B39" s="23"/>
      <c r="C39" s="23" t="s">
        <v>442</v>
      </c>
      <c r="D39" s="23"/>
      <c r="E39" s="345">
        <f t="shared" ref="E39:H40" si="23">AVERAGE(E43,E47)</f>
        <v>19.15828181818182</v>
      </c>
      <c r="F39" s="345">
        <f t="shared" si="23"/>
        <v>19.225559036796533</v>
      </c>
      <c r="G39" s="345">
        <f t="shared" si="23"/>
        <v>42.090073809523808</v>
      </c>
      <c r="H39" s="345">
        <f t="shared" si="23"/>
        <v>11.905690764925371</v>
      </c>
      <c r="I39" s="189">
        <f>IF(I38=4,1,I38+1)</f>
        <v>2</v>
      </c>
      <c r="J39" s="461">
        <f t="shared" si="20"/>
        <v>2013</v>
      </c>
      <c r="K39" s="566" t="str">
        <f t="shared" si="9"/>
        <v>2Q13</v>
      </c>
      <c r="L39" s="825">
        <v>29.005099999999999</v>
      </c>
      <c r="M39" s="368">
        <v>16.471499999999999</v>
      </c>
      <c r="N39" s="368"/>
      <c r="O39" s="368"/>
      <c r="P39" s="368"/>
      <c r="Q39" s="826">
        <v>17.713799999999999</v>
      </c>
      <c r="R39" s="825">
        <v>19.030999999999999</v>
      </c>
      <c r="S39" s="368">
        <v>18.956399999999999</v>
      </c>
      <c r="T39" s="368"/>
      <c r="U39" s="368"/>
      <c r="V39" s="368"/>
      <c r="W39" s="826">
        <v>18.592500000000001</v>
      </c>
      <c r="X39" s="825">
        <v>9.3445999999999998</v>
      </c>
      <c r="Y39" s="368">
        <v>21.776900000000001</v>
      </c>
      <c r="Z39" s="368"/>
      <c r="AA39" s="368"/>
      <c r="AB39" s="368"/>
      <c r="AC39" s="826">
        <v>9.2119</v>
      </c>
      <c r="AD39" s="368">
        <v>7.2587999999999999</v>
      </c>
      <c r="AE39" s="368">
        <v>7.7709000000000001</v>
      </c>
      <c r="AF39" s="368"/>
      <c r="AG39" s="368"/>
      <c r="AH39" s="368">
        <v>3.8885999999999998</v>
      </c>
      <c r="AI39" s="826">
        <v>9.2119</v>
      </c>
      <c r="AJ39" s="23"/>
      <c r="AK39" s="566" t="str">
        <f t="shared" si="13"/>
        <v>2Q13</v>
      </c>
      <c r="AL39" s="825">
        <f t="shared" si="14"/>
        <v>29.005099999999999</v>
      </c>
      <c r="AM39" s="368">
        <v>10.119718893414399</v>
      </c>
      <c r="AN39" s="368">
        <v>11.797038536396499</v>
      </c>
      <c r="AO39" s="368">
        <v>10.580704467082199</v>
      </c>
      <c r="AP39" s="368">
        <v>10.977455716586199</v>
      </c>
      <c r="AQ39" s="826">
        <v>11.6558441558442</v>
      </c>
      <c r="AR39" s="825">
        <f t="shared" si="10"/>
        <v>19.030999999999999</v>
      </c>
      <c r="AS39" s="368">
        <v>9.9327708937516501</v>
      </c>
      <c r="AT39" s="368">
        <v>9.8056678372363102</v>
      </c>
      <c r="AU39" s="368">
        <v>10.6732960430909</v>
      </c>
      <c r="AV39" s="368">
        <v>11.0147035062207</v>
      </c>
      <c r="AW39" s="826">
        <v>8.8985148514851495</v>
      </c>
      <c r="AX39" s="825">
        <f t="shared" si="11"/>
        <v>9.3445999999999998</v>
      </c>
      <c r="AY39" s="368">
        <v>5.9145401930723596</v>
      </c>
      <c r="AZ39" s="368">
        <v>6.5705290385461899</v>
      </c>
      <c r="BA39" s="368">
        <v>5.6743148608767102</v>
      </c>
      <c r="BB39" s="368">
        <v>6.5851013982366302</v>
      </c>
      <c r="BC39" s="826">
        <v>5.0304895281220503</v>
      </c>
      <c r="BD39" s="825">
        <f t="shared" si="21"/>
        <v>7.2587999999999999</v>
      </c>
      <c r="BE39" s="368">
        <v>6.0064613737831998</v>
      </c>
      <c r="BF39" s="368">
        <v>5.0301021445790601</v>
      </c>
      <c r="BG39" s="368">
        <v>5.8657258959571799</v>
      </c>
      <c r="BH39" s="368">
        <v>6.4555933883222201</v>
      </c>
      <c r="BI39" s="826">
        <v>4.6206697248657704</v>
      </c>
      <c r="BJ39" s="23"/>
      <c r="BK39" s="566" t="str">
        <f t="shared" si="15"/>
        <v>2Q13</v>
      </c>
      <c r="BL39" s="825">
        <f t="shared" si="16"/>
        <v>29.005099999999999</v>
      </c>
      <c r="BM39" s="368">
        <v>28.622427045205299</v>
      </c>
      <c r="BN39" s="368">
        <v>25.656057988667499</v>
      </c>
      <c r="BO39" s="368">
        <v>14.7276675216782</v>
      </c>
      <c r="BP39" s="368">
        <v>13.514382978831801</v>
      </c>
      <c r="BQ39" s="826">
        <v>15.4123269305155</v>
      </c>
      <c r="BR39" s="825">
        <f t="shared" si="17"/>
        <v>19.030999999999999</v>
      </c>
      <c r="BS39" s="368">
        <v>28.212871287128699</v>
      </c>
      <c r="BT39" s="368">
        <v>21.5326433121019</v>
      </c>
      <c r="BU39" s="368">
        <v>14.5874961705115</v>
      </c>
      <c r="BV39" s="368">
        <v>13.126449359233</v>
      </c>
      <c r="BW39" s="826">
        <v>16.863459669582099</v>
      </c>
      <c r="BX39" s="825">
        <f t="shared" si="18"/>
        <v>9.3445999999999998</v>
      </c>
      <c r="BY39" s="368">
        <v>14.1545619542665</v>
      </c>
      <c r="BZ39" s="368">
        <v>6.03047033443133</v>
      </c>
      <c r="CA39" s="368">
        <v>7.9655337866461302</v>
      </c>
      <c r="CB39" s="368">
        <v>9.8077547202812596</v>
      </c>
      <c r="CC39" s="826">
        <v>9.2828708723068996</v>
      </c>
      <c r="CD39" s="825">
        <f t="shared" si="22"/>
        <v>7.2587999999999999</v>
      </c>
      <c r="CE39" s="368">
        <v>9.8310099837338907</v>
      </c>
      <c r="CF39" s="368">
        <v>8.1240381305082998</v>
      </c>
      <c r="CG39" s="368">
        <v>7.31440259308921</v>
      </c>
      <c r="CH39" s="368">
        <v>8.1776714446701106</v>
      </c>
      <c r="CI39" s="826">
        <v>8.4880646744051091</v>
      </c>
    </row>
    <row r="40" spans="1:87" ht="14.45" customHeight="1">
      <c r="A40" s="23"/>
      <c r="B40" s="23"/>
      <c r="C40" s="23" t="s">
        <v>443</v>
      </c>
      <c r="D40" s="23"/>
      <c r="E40" s="345">
        <f t="shared" si="23"/>
        <v>17.143900714285714</v>
      </c>
      <c r="F40" s="345">
        <f t="shared" si="23"/>
        <v>17.094216666666668</v>
      </c>
      <c r="G40" s="345">
        <f t="shared" si="23"/>
        <v>34.372216041666668</v>
      </c>
      <c r="H40" s="345">
        <f t="shared" si="23"/>
        <v>13.107837305402033</v>
      </c>
      <c r="I40" s="189">
        <f>I36</f>
        <v>3</v>
      </c>
      <c r="J40" s="461">
        <f t="shared" si="20"/>
        <v>2013</v>
      </c>
      <c r="K40" s="566" t="str">
        <f t="shared" si="9"/>
        <v>3Q13</v>
      </c>
      <c r="L40" s="825">
        <v>31.272099999999998</v>
      </c>
      <c r="M40" s="368">
        <v>16.8172</v>
      </c>
      <c r="N40" s="368"/>
      <c r="O40" s="368"/>
      <c r="P40" s="368"/>
      <c r="Q40" s="826">
        <v>19.474599999999999</v>
      </c>
      <c r="R40" s="825">
        <v>22.9404</v>
      </c>
      <c r="S40" s="368">
        <v>20.9785</v>
      </c>
      <c r="T40" s="368"/>
      <c r="U40" s="368"/>
      <c r="V40" s="368"/>
      <c r="W40" s="826">
        <v>17.677600000000002</v>
      </c>
      <c r="X40" s="825">
        <v>9.6930999999999994</v>
      </c>
      <c r="Y40" s="368">
        <v>20.757000000000001</v>
      </c>
      <c r="Z40" s="368"/>
      <c r="AA40" s="368"/>
      <c r="AB40" s="368"/>
      <c r="AC40" s="826">
        <v>9.5376999999999992</v>
      </c>
      <c r="AD40" s="368">
        <v>5.3318000000000003</v>
      </c>
      <c r="AE40" s="368">
        <v>9.3577999999999992</v>
      </c>
      <c r="AF40" s="368"/>
      <c r="AG40" s="368"/>
      <c r="AH40" s="368">
        <v>4.3654000000000002</v>
      </c>
      <c r="AI40" s="826">
        <v>9.5376999999999992</v>
      </c>
      <c r="AJ40" s="23"/>
      <c r="AK40" s="566" t="str">
        <f t="shared" si="13"/>
        <v>3Q13</v>
      </c>
      <c r="AL40" s="825">
        <f t="shared" si="14"/>
        <v>31.272099999999998</v>
      </c>
      <c r="AM40" s="368">
        <v>11.2459018741683</v>
      </c>
      <c r="AN40" s="368">
        <v>13.1752667734563</v>
      </c>
      <c r="AO40" s="368">
        <v>11.5195012733566</v>
      </c>
      <c r="AP40" s="368">
        <v>12.431561996779401</v>
      </c>
      <c r="AQ40" s="826"/>
      <c r="AR40" s="825">
        <f t="shared" si="10"/>
        <v>22.9404</v>
      </c>
      <c r="AS40" s="368">
        <v>11.137580299785901</v>
      </c>
      <c r="AT40" s="368">
        <v>10.206529667639</v>
      </c>
      <c r="AU40" s="368">
        <v>11.479099678456601</v>
      </c>
      <c r="AV40" s="368">
        <v>11.795263559969399</v>
      </c>
      <c r="AW40" s="826">
        <v>8.6348837209302296</v>
      </c>
      <c r="AX40" s="825">
        <f t="shared" si="11"/>
        <v>9.6930999999999994</v>
      </c>
      <c r="AY40" s="368">
        <v>6.3734654034019602</v>
      </c>
      <c r="AZ40" s="368">
        <v>7.7922877079153903</v>
      </c>
      <c r="BA40" s="368">
        <v>6.2338907473890304</v>
      </c>
      <c r="BB40" s="368">
        <v>7.3834675741837197</v>
      </c>
      <c r="BC40" s="826">
        <v>5.1627184780484798</v>
      </c>
      <c r="BD40" s="825">
        <f t="shared" si="21"/>
        <v>5.3318000000000003</v>
      </c>
      <c r="BE40" s="368">
        <v>6.2673500545729599</v>
      </c>
      <c r="BF40" s="368">
        <v>6.1212017796915301</v>
      </c>
      <c r="BG40" s="368">
        <v>6.4053122904091202</v>
      </c>
      <c r="BH40" s="368">
        <v>7.1946442463125901</v>
      </c>
      <c r="BI40" s="826">
        <v>4.6046051119883096</v>
      </c>
      <c r="BJ40" s="23"/>
      <c r="BK40" s="566" t="str">
        <f t="shared" si="15"/>
        <v>3Q13</v>
      </c>
      <c r="BL40" s="825">
        <f t="shared" si="16"/>
        <v>31.272099999999998</v>
      </c>
      <c r="BM40" s="368">
        <v>30.633028985132899</v>
      </c>
      <c r="BN40" s="368">
        <v>27.9859571305592</v>
      </c>
      <c r="BO40" s="368">
        <v>18.423834165461699</v>
      </c>
      <c r="BP40" s="368">
        <v>14.990135880328401</v>
      </c>
      <c r="BQ40" s="826">
        <v>16.064833749376401</v>
      </c>
      <c r="BR40" s="825">
        <f t="shared" si="17"/>
        <v>22.9404</v>
      </c>
      <c r="BS40" s="368">
        <v>23.806818181818201</v>
      </c>
      <c r="BT40" s="368">
        <v>18.610328638497698</v>
      </c>
      <c r="BU40" s="368">
        <v>17.185437603143399</v>
      </c>
      <c r="BV40" s="368">
        <v>17.8308441541432</v>
      </c>
      <c r="BW40" s="826">
        <v>15.8335125833513</v>
      </c>
      <c r="BX40" s="825">
        <f t="shared" si="18"/>
        <v>9.6930999999999994</v>
      </c>
      <c r="BY40" s="368">
        <v>12.476167804583</v>
      </c>
      <c r="BZ40" s="368">
        <v>7.6382736898547696</v>
      </c>
      <c r="CA40" s="368">
        <v>9.4385645229277095</v>
      </c>
      <c r="CB40" s="368">
        <v>10.6734174337219</v>
      </c>
      <c r="CC40" s="826">
        <v>9.6673338901233805</v>
      </c>
      <c r="CD40" s="825">
        <f t="shared" si="22"/>
        <v>5.3318000000000003</v>
      </c>
      <c r="CE40" s="368">
        <v>10.4278073137258</v>
      </c>
      <c r="CF40" s="368">
        <v>8.8801058488865703</v>
      </c>
      <c r="CG40" s="368">
        <v>8.9840782933758003</v>
      </c>
      <c r="CH40" s="368">
        <v>9.3166420395460907</v>
      </c>
      <c r="CI40" s="826">
        <v>8.8537436509269405</v>
      </c>
    </row>
    <row r="41" spans="1:87" ht="14.45" customHeight="1">
      <c r="A41" s="23"/>
      <c r="B41" s="23"/>
      <c r="C41" s="23" t="s">
        <v>410</v>
      </c>
      <c r="D41" s="23"/>
      <c r="E41" s="345">
        <f>AVERAGE(M8:Q35)</f>
        <v>18.37721176470588</v>
      </c>
      <c r="F41" s="345">
        <f>AVERAGE(S8:W35)</f>
        <v>18.062732142857136</v>
      </c>
      <c r="G41" s="345">
        <f>AVERAGE(Y8:AC35)</f>
        <v>33.325898148148148</v>
      </c>
      <c r="H41" s="345">
        <f>AVERAGE(AE8:AI35)</f>
        <v>10.841826666666661</v>
      </c>
      <c r="I41" s="189">
        <f>IF(I40=4,1,I40+1)</f>
        <v>4</v>
      </c>
      <c r="J41" s="461">
        <f t="shared" si="20"/>
        <v>2013</v>
      </c>
      <c r="K41" s="566" t="str">
        <f t="shared" si="9"/>
        <v>4Q13</v>
      </c>
      <c r="L41" s="825">
        <v>41.988</v>
      </c>
      <c r="M41" s="368">
        <v>21.608599999999999</v>
      </c>
      <c r="N41" s="368"/>
      <c r="O41" s="368"/>
      <c r="P41" s="368"/>
      <c r="Q41" s="826">
        <v>16.059100000000001</v>
      </c>
      <c r="R41" s="825">
        <v>26.723299999999998</v>
      </c>
      <c r="S41" s="368">
        <v>25.532399999999999</v>
      </c>
      <c r="T41" s="368"/>
      <c r="U41" s="368"/>
      <c r="V41" s="368"/>
      <c r="W41" s="826">
        <v>14.544</v>
      </c>
      <c r="X41" s="825">
        <v>11.706899999999999</v>
      </c>
      <c r="Y41" s="368">
        <v>18.864100000000001</v>
      </c>
      <c r="Z41" s="368"/>
      <c r="AA41" s="368"/>
      <c r="AB41" s="368"/>
      <c r="AC41" s="826">
        <v>7.8657000000000004</v>
      </c>
      <c r="AD41" s="368">
        <v>6.5753000000000004</v>
      </c>
      <c r="AE41" s="368">
        <v>8.9286999999999992</v>
      </c>
      <c r="AF41" s="368"/>
      <c r="AG41" s="368"/>
      <c r="AH41" s="368">
        <v>6.2107000000000001</v>
      </c>
      <c r="AI41" s="826">
        <v>7.8657000000000004</v>
      </c>
      <c r="AJ41" s="23"/>
      <c r="AK41" s="566" t="str">
        <f t="shared" si="13"/>
        <v>4Q13</v>
      </c>
      <c r="AL41" s="825">
        <f t="shared" si="14"/>
        <v>41.988</v>
      </c>
      <c r="AM41" s="368">
        <v>9.9999610739770297</v>
      </c>
      <c r="AN41" s="368">
        <v>9.8567090836951099</v>
      </c>
      <c r="AO41" s="368">
        <v>9.6679105685306794</v>
      </c>
      <c r="AP41" s="368">
        <v>9.4299516908212606</v>
      </c>
      <c r="AQ41" s="826">
        <v>20.389183001860101</v>
      </c>
      <c r="AR41" s="825">
        <f t="shared" si="10"/>
        <v>26.723299999999998</v>
      </c>
      <c r="AS41" s="368">
        <v>10.1734261914516</v>
      </c>
      <c r="AT41" s="368">
        <v>8.2366185583722498</v>
      </c>
      <c r="AU41" s="368">
        <v>9.6586826347305408</v>
      </c>
      <c r="AV41" s="368">
        <v>8.9037555116314397</v>
      </c>
      <c r="AW41" s="826">
        <v>7.2737819025522104</v>
      </c>
      <c r="AX41" s="825">
        <f t="shared" si="11"/>
        <v>11.706899999999999</v>
      </c>
      <c r="AY41" s="368">
        <v>5.57867980886728</v>
      </c>
      <c r="AZ41" s="368">
        <v>6.3488956339740898</v>
      </c>
      <c r="BA41" s="368">
        <v>6.1001435767028198</v>
      </c>
      <c r="BB41" s="368">
        <v>5.7419540662097397</v>
      </c>
      <c r="BC41" s="826">
        <v>4.5544976275480202</v>
      </c>
      <c r="BD41" s="825">
        <f t="shared" si="21"/>
        <v>6.5753000000000004</v>
      </c>
      <c r="BE41" s="368">
        <v>5.4862436080116197</v>
      </c>
      <c r="BF41" s="368">
        <v>5.0172390557656596</v>
      </c>
      <c r="BG41" s="368">
        <v>5.4948169337757404</v>
      </c>
      <c r="BH41" s="368">
        <v>5.5132090277973704</v>
      </c>
      <c r="BI41" s="826">
        <v>4.3094182178329801</v>
      </c>
      <c r="BJ41" s="23"/>
      <c r="BK41" s="566" t="str">
        <f t="shared" si="15"/>
        <v>4Q13</v>
      </c>
      <c r="BL41" s="825">
        <f t="shared" si="16"/>
        <v>41.988</v>
      </c>
      <c r="BM41" s="368">
        <v>24.3601654723143</v>
      </c>
      <c r="BN41" s="368">
        <v>24.265275945607101</v>
      </c>
      <c r="BO41" s="368">
        <v>13.810354033387</v>
      </c>
      <c r="BP41" s="368">
        <v>12.518308364882399</v>
      </c>
      <c r="BQ41" s="826">
        <v>13.945700927772601</v>
      </c>
      <c r="BR41" s="825">
        <f t="shared" si="17"/>
        <v>26.723299999999998</v>
      </c>
      <c r="BS41" s="368">
        <v>18.872133207665701</v>
      </c>
      <c r="BT41" s="368">
        <v>13.2539871459176</v>
      </c>
      <c r="BU41" s="368">
        <v>12.7284161505969</v>
      </c>
      <c r="BV41" s="368">
        <v>14.9644201023031</v>
      </c>
      <c r="BW41" s="826">
        <v>13.9172384219554</v>
      </c>
      <c r="BX41" s="825">
        <f t="shared" si="18"/>
        <v>11.706899999999999</v>
      </c>
      <c r="BY41" s="368">
        <v>10.085262951602999</v>
      </c>
      <c r="BZ41" s="368">
        <v>5.6924125677050403</v>
      </c>
      <c r="CA41" s="368">
        <v>6.9719235348552404</v>
      </c>
      <c r="CB41" s="368">
        <v>9.3480235976562494</v>
      </c>
      <c r="CC41" s="826">
        <v>8.3064868487700405</v>
      </c>
      <c r="CD41" s="825">
        <f t="shared" si="22"/>
        <v>6.5753000000000004</v>
      </c>
      <c r="CE41" s="368">
        <v>8.8661907877634896</v>
      </c>
      <c r="CF41" s="368">
        <v>6.4451868598823303</v>
      </c>
      <c r="CG41" s="368">
        <v>6.0558564496601504</v>
      </c>
      <c r="CH41" s="368">
        <v>8.0255848476999301</v>
      </c>
      <c r="CI41" s="826">
        <v>7.9146342421646798</v>
      </c>
    </row>
    <row r="42" spans="1:87" ht="14.45" customHeight="1">
      <c r="A42" s="23"/>
      <c r="B42" s="23"/>
      <c r="C42" s="23" t="s">
        <v>444</v>
      </c>
      <c r="D42" s="23"/>
      <c r="E42" s="345">
        <f>AVERAGE(M8:Q19)</f>
        <v>19.903740909090907</v>
      </c>
      <c r="F42" s="345">
        <f>AVERAGE(S8:W19)</f>
        <v>18.272983333333336</v>
      </c>
      <c r="G42" s="345">
        <f>AVERAGE(Y8:AC19)</f>
        <v>10.721709090909091</v>
      </c>
      <c r="H42" s="345">
        <f>AVERAGE(AE8:AI19)</f>
        <v>12.118856521739131</v>
      </c>
      <c r="I42" s="189">
        <f>IF(I41+1=5,1,I41+1)</f>
        <v>1</v>
      </c>
      <c r="J42" s="461">
        <f t="shared" si="20"/>
        <v>2014</v>
      </c>
      <c r="K42" s="566" t="str">
        <f t="shared" si="9"/>
        <v>1Q14</v>
      </c>
      <c r="L42" s="825">
        <v>36.728000000000002</v>
      </c>
      <c r="M42" s="368">
        <v>19.710100000000001</v>
      </c>
      <c r="N42" s="368"/>
      <c r="O42" s="368"/>
      <c r="P42" s="368"/>
      <c r="Q42" s="826">
        <v>17.575199999999999</v>
      </c>
      <c r="R42" s="825">
        <v>20.010899999999999</v>
      </c>
      <c r="S42" s="368">
        <v>17.986999999999998</v>
      </c>
      <c r="T42" s="368"/>
      <c r="U42" s="368"/>
      <c r="V42" s="368"/>
      <c r="W42" s="826">
        <v>16.586400000000001</v>
      </c>
      <c r="X42" s="825">
        <v>12.140499999999999</v>
      </c>
      <c r="Y42" s="368">
        <v>15.5221</v>
      </c>
      <c r="Z42" s="368"/>
      <c r="AA42" s="368"/>
      <c r="AB42" s="368"/>
      <c r="AC42" s="826">
        <v>8.4603000000000002</v>
      </c>
      <c r="AD42" s="368">
        <v>7.1905999999999999</v>
      </c>
      <c r="AE42" s="368">
        <v>9.9225999999999992</v>
      </c>
      <c r="AF42" s="368"/>
      <c r="AG42" s="368"/>
      <c r="AH42" s="368">
        <v>8.1959999999999997</v>
      </c>
      <c r="AI42" s="826">
        <v>8.4603000000000002</v>
      </c>
      <c r="AJ42" s="23"/>
      <c r="AK42" s="566" t="str">
        <f t="shared" si="13"/>
        <v>1Q14</v>
      </c>
      <c r="AL42" s="825">
        <f t="shared" si="14"/>
        <v>36.728000000000002</v>
      </c>
      <c r="AM42" s="368">
        <v>9.6204043269145103</v>
      </c>
      <c r="AN42" s="368">
        <v>10.369148843188499</v>
      </c>
      <c r="AO42" s="368">
        <v>9.1214238919844597</v>
      </c>
      <c r="AP42" s="368">
        <v>10.001592356687899</v>
      </c>
      <c r="AQ42" s="826">
        <v>22.262256272844301</v>
      </c>
      <c r="AR42" s="825">
        <f t="shared" si="10"/>
        <v>20.010899999999999</v>
      </c>
      <c r="AS42" s="368">
        <v>9.7416974169741692</v>
      </c>
      <c r="AT42" s="368">
        <v>8.0213207054105293</v>
      </c>
      <c r="AU42" s="368">
        <v>10.8368895211</v>
      </c>
      <c r="AV42" s="368">
        <v>9.4224422442244204</v>
      </c>
      <c r="AW42" s="826">
        <v>7.9790209790209801</v>
      </c>
      <c r="AX42" s="825">
        <f t="shared" si="11"/>
        <v>12.140499999999999</v>
      </c>
      <c r="AY42" s="368">
        <v>5.4694720210755303</v>
      </c>
      <c r="AZ42" s="368">
        <v>6.5458067336104904</v>
      </c>
      <c r="BA42" s="368">
        <v>5.7612245937373903</v>
      </c>
      <c r="BB42" s="368">
        <v>6.03174555515099</v>
      </c>
      <c r="BC42" s="826">
        <v>4.9273381045377702</v>
      </c>
      <c r="BD42" s="825">
        <f t="shared" si="21"/>
        <v>7.1905999999999999</v>
      </c>
      <c r="BE42" s="368">
        <v>5.2421652159577397</v>
      </c>
      <c r="BF42" s="368">
        <v>5.2578672817923602</v>
      </c>
      <c r="BG42" s="368">
        <v>5.7519578678377696</v>
      </c>
      <c r="BH42" s="368">
        <v>5.8083747252702196</v>
      </c>
      <c r="BI42" s="826">
        <v>4.6354962113398201</v>
      </c>
      <c r="BJ42" s="23"/>
      <c r="BK42" s="566" t="str">
        <f t="shared" si="15"/>
        <v>1Q14</v>
      </c>
      <c r="BL42" s="825">
        <f t="shared" si="16"/>
        <v>36.728000000000002</v>
      </c>
      <c r="BM42" s="368">
        <v>24.165108997909702</v>
      </c>
      <c r="BN42" s="368">
        <v>25.4241271250078</v>
      </c>
      <c r="BO42" s="368">
        <v>14.8512626154585</v>
      </c>
      <c r="BP42" s="368">
        <v>14.001235439937499</v>
      </c>
      <c r="BQ42" s="826">
        <v>14.8656322568568</v>
      </c>
      <c r="BR42" s="825">
        <f t="shared" si="17"/>
        <v>20.010899999999999</v>
      </c>
      <c r="BS42" s="368">
        <v>20.998131838804401</v>
      </c>
      <c r="BT42" s="368">
        <v>15.5793703951775</v>
      </c>
      <c r="BU42" s="368">
        <v>14.0344431716083</v>
      </c>
      <c r="BV42" s="368">
        <v>16.625988505336</v>
      </c>
      <c r="BW42" s="826">
        <v>15.097498940228901</v>
      </c>
      <c r="BX42" s="825">
        <f t="shared" si="18"/>
        <v>12.140499999999999</v>
      </c>
      <c r="BY42" s="368">
        <v>10.6384200202094</v>
      </c>
      <c r="BZ42" s="368">
        <v>6.7226025644169001</v>
      </c>
      <c r="CA42" s="368">
        <v>7.2666825847504999</v>
      </c>
      <c r="CB42" s="368">
        <v>10.394219186316899</v>
      </c>
      <c r="CC42" s="826">
        <v>8.7331252074086994</v>
      </c>
      <c r="CD42" s="825">
        <f t="shared" si="22"/>
        <v>7.1905999999999999</v>
      </c>
      <c r="CE42" s="368">
        <v>9.9402623212929893</v>
      </c>
      <c r="CF42" s="368">
        <v>7.97901468449838</v>
      </c>
      <c r="CG42" s="368">
        <v>6.4556760118559904</v>
      </c>
      <c r="CH42" s="368">
        <v>8.6540000206489101</v>
      </c>
      <c r="CI42" s="826">
        <v>8.3565512796683201</v>
      </c>
    </row>
    <row r="43" spans="1:87" ht="14.45" customHeight="1">
      <c r="A43" s="23"/>
      <c r="B43" s="23"/>
      <c r="C43" s="23" t="s">
        <v>445</v>
      </c>
      <c r="D43" s="23"/>
      <c r="E43" s="345">
        <f>AVERAGE(M16:Q27)</f>
        <v>17.929463636363632</v>
      </c>
      <c r="F43" s="345">
        <f>AVERAGE(S16:W27)</f>
        <v>19.286558333333332</v>
      </c>
      <c r="G43" s="345">
        <f>AVERAGE(Y16:AC27)</f>
        <v>52.745533333333334</v>
      </c>
      <c r="H43" s="345">
        <f>AVERAGE(AE16:AI27)</f>
        <v>12.024687499999997</v>
      </c>
      <c r="I43" s="189">
        <f>IF(I42=4,1,I42+1)</f>
        <v>2</v>
      </c>
      <c r="J43" s="461">
        <f t="shared" si="20"/>
        <v>2014</v>
      </c>
      <c r="K43" s="566" t="str">
        <f t="shared" si="9"/>
        <v>2Q14</v>
      </c>
      <c r="L43" s="825">
        <v>34.721299999999999</v>
      </c>
      <c r="M43" s="368">
        <v>20.629100000000001</v>
      </c>
      <c r="N43" s="368"/>
      <c r="O43" s="368"/>
      <c r="P43" s="368"/>
      <c r="Q43" s="826">
        <v>18.458200000000001</v>
      </c>
      <c r="R43" s="825">
        <v>23.5458</v>
      </c>
      <c r="S43" s="368">
        <v>18.5534</v>
      </c>
      <c r="T43" s="368"/>
      <c r="U43" s="368"/>
      <c r="V43" s="368">
        <v>21.151700000000002</v>
      </c>
      <c r="W43" s="826">
        <v>17.742899999999999</v>
      </c>
      <c r="X43" s="825">
        <v>12.1487</v>
      </c>
      <c r="Y43" s="368">
        <v>15.006600000000001</v>
      </c>
      <c r="Z43" s="368"/>
      <c r="AA43" s="368"/>
      <c r="AB43" s="368">
        <v>31.0627</v>
      </c>
      <c r="AC43" s="826">
        <v>9.0606000000000009</v>
      </c>
      <c r="AD43" s="368">
        <v>6.9823000000000004</v>
      </c>
      <c r="AE43" s="368">
        <v>9.6313999999999993</v>
      </c>
      <c r="AF43" s="368"/>
      <c r="AG43" s="368"/>
      <c r="AH43" s="368">
        <v>7.5552999999999999</v>
      </c>
      <c r="AI43" s="826">
        <v>9.0606000000000009</v>
      </c>
      <c r="AJ43" s="23"/>
      <c r="AK43" s="566" t="str">
        <f t="shared" si="13"/>
        <v>2Q14</v>
      </c>
      <c r="AL43" s="825">
        <f t="shared" si="14"/>
        <v>34.721299999999999</v>
      </c>
      <c r="AM43" s="368">
        <v>9.0620006242682702</v>
      </c>
      <c r="AN43" s="368">
        <v>9.6317891842749095</v>
      </c>
      <c r="AO43" s="368">
        <v>8.8928566219733796</v>
      </c>
      <c r="AP43" s="368">
        <v>10.389458272328</v>
      </c>
      <c r="AQ43" s="826">
        <v>11.8536611648916</v>
      </c>
      <c r="AR43" s="825">
        <f t="shared" si="10"/>
        <v>23.5458</v>
      </c>
      <c r="AS43" s="368">
        <v>9.9914248963841601</v>
      </c>
      <c r="AT43" s="368">
        <v>8.8331556233278192</v>
      </c>
      <c r="AU43" s="368">
        <v>10.089266274765899</v>
      </c>
      <c r="AV43" s="368">
        <v>10.504811250925201</v>
      </c>
      <c r="AW43" s="826">
        <v>7.8014184397163104</v>
      </c>
      <c r="AX43" s="825">
        <f t="shared" si="11"/>
        <v>12.1487</v>
      </c>
      <c r="AY43" s="368">
        <v>5.3793556144224901</v>
      </c>
      <c r="AZ43" s="368">
        <v>5.8953343077061202</v>
      </c>
      <c r="BA43" s="368">
        <v>5.6164263581300196</v>
      </c>
      <c r="BB43" s="368">
        <v>6.0688318330818003</v>
      </c>
      <c r="BC43" s="826">
        <v>4.6436106780451896</v>
      </c>
      <c r="BD43" s="825">
        <f t="shared" si="21"/>
        <v>6.9823000000000004</v>
      </c>
      <c r="BE43" s="368">
        <v>5.4853607215587497</v>
      </c>
      <c r="BF43" s="368">
        <v>5.3183414379838503</v>
      </c>
      <c r="BG43" s="368">
        <v>5.7875481144032603</v>
      </c>
      <c r="BH43" s="368">
        <v>6.1217222110684402</v>
      </c>
      <c r="BI43" s="826">
        <v>4.1203890954194202</v>
      </c>
      <c r="BJ43" s="23"/>
      <c r="BK43" s="566" t="str">
        <f t="shared" si="15"/>
        <v>2Q14</v>
      </c>
      <c r="BL43" s="825">
        <f t="shared" si="16"/>
        <v>34.721299999999999</v>
      </c>
      <c r="BM43" s="368">
        <v>21.605346942748799</v>
      </c>
      <c r="BN43" s="368">
        <v>18.758399494054</v>
      </c>
      <c r="BO43" s="368">
        <v>15.243961913696699</v>
      </c>
      <c r="BP43" s="368">
        <v>16.769620095024599</v>
      </c>
      <c r="BQ43" s="826">
        <v>15.978646422717601</v>
      </c>
      <c r="BR43" s="825">
        <f t="shared" si="17"/>
        <v>23.5458</v>
      </c>
      <c r="BS43" s="368">
        <v>23.4384384384384</v>
      </c>
      <c r="BT43" s="368">
        <v>15.297476515012001</v>
      </c>
      <c r="BU43" s="368">
        <v>15.683575473684201</v>
      </c>
      <c r="BV43" s="368">
        <v>16.897645925900299</v>
      </c>
      <c r="BW43" s="826">
        <v>16.674433382757901</v>
      </c>
      <c r="BX43" s="825">
        <f t="shared" si="18"/>
        <v>12.1487</v>
      </c>
      <c r="BY43" s="368">
        <v>10.140000975353299</v>
      </c>
      <c r="BZ43" s="368">
        <v>11.1988774428578</v>
      </c>
      <c r="CA43" s="368">
        <v>7.6879706231656399</v>
      </c>
      <c r="CB43" s="368">
        <v>11.3236402907469</v>
      </c>
      <c r="CC43" s="826">
        <v>9.4462181552704507</v>
      </c>
      <c r="CD43" s="825">
        <f t="shared" si="22"/>
        <v>6.9823000000000004</v>
      </c>
      <c r="CE43" s="368">
        <v>11.0350072347685</v>
      </c>
      <c r="CF43" s="368">
        <v>12.8452543560021</v>
      </c>
      <c r="CG43" s="368">
        <v>6.9489849153165402</v>
      </c>
      <c r="CH43" s="368">
        <v>10.370362845866801</v>
      </c>
      <c r="CI43" s="826">
        <v>9.12801964987489</v>
      </c>
    </row>
    <row r="44" spans="1:87" ht="14.45" customHeight="1">
      <c r="A44" s="22"/>
      <c r="B44" s="23"/>
      <c r="C44" s="23" t="s">
        <v>446</v>
      </c>
      <c r="D44" s="23"/>
      <c r="E44" s="345">
        <f>AVERAGE(M24:Q35)</f>
        <v>17.069471428571426</v>
      </c>
      <c r="F44" s="345">
        <f>AVERAGE(S24:W35)</f>
        <v>17.055883333333338</v>
      </c>
      <c r="G44" s="345">
        <f>AVERAGE(Y24:AC35)</f>
        <v>53.739270833333336</v>
      </c>
      <c r="H44" s="345">
        <f>AVERAGE(AE24:AI35)</f>
        <v>9.7199137931034461</v>
      </c>
      <c r="I44" s="189">
        <f>I40</f>
        <v>3</v>
      </c>
      <c r="J44" s="461">
        <f t="shared" si="20"/>
        <v>2014</v>
      </c>
      <c r="K44" s="566" t="str">
        <f t="shared" si="9"/>
        <v>3Q14</v>
      </c>
      <c r="L44" s="825">
        <v>23.8337</v>
      </c>
      <c r="M44" s="368">
        <v>18.643899999999999</v>
      </c>
      <c r="N44" s="368"/>
      <c r="O44" s="368"/>
      <c r="P44" s="368"/>
      <c r="Q44" s="826">
        <v>18.346499999999999</v>
      </c>
      <c r="R44" s="825">
        <v>18.259499999999999</v>
      </c>
      <c r="S44" s="368">
        <v>17.416699999999999</v>
      </c>
      <c r="T44" s="368"/>
      <c r="U44" s="368"/>
      <c r="V44" s="368">
        <v>19.469799999999999</v>
      </c>
      <c r="W44" s="826">
        <v>16.085100000000001</v>
      </c>
      <c r="X44" s="825">
        <v>9.7974999999999994</v>
      </c>
      <c r="Y44" s="368">
        <v>13.602</v>
      </c>
      <c r="Z44" s="368"/>
      <c r="AA44" s="368"/>
      <c r="AB44" s="368">
        <v>14.8773</v>
      </c>
      <c r="AC44" s="826">
        <v>9.1727000000000007</v>
      </c>
      <c r="AD44" s="368">
        <v>7.5716000000000001</v>
      </c>
      <c r="AE44" s="368">
        <v>8.3780000000000001</v>
      </c>
      <c r="AF44" s="368"/>
      <c r="AG44" s="368"/>
      <c r="AH44" s="368">
        <v>9.8041</v>
      </c>
      <c r="AI44" s="826">
        <v>9.1727000000000007</v>
      </c>
      <c r="AJ44" s="23"/>
      <c r="AK44" s="566" t="str">
        <f t="shared" si="13"/>
        <v>3Q14</v>
      </c>
      <c r="AL44" s="825">
        <f t="shared" si="14"/>
        <v>23.8337</v>
      </c>
      <c r="AM44" s="368">
        <v>10.5091692501708</v>
      </c>
      <c r="AN44" s="368">
        <v>9.7506638179158802</v>
      </c>
      <c r="AO44" s="368">
        <v>9.7621842114757396</v>
      </c>
      <c r="AP44" s="368">
        <v>11.209370424597401</v>
      </c>
      <c r="AQ44" s="826">
        <v>11.670468219616</v>
      </c>
      <c r="AR44" s="825">
        <f t="shared" si="10"/>
        <v>18.259499999999999</v>
      </c>
      <c r="AS44" s="368">
        <v>11.5301878674889</v>
      </c>
      <c r="AT44" s="368">
        <v>9.2945012598191799</v>
      </c>
      <c r="AU44" s="368">
        <v>10.173999999999999</v>
      </c>
      <c r="AV44" s="368">
        <v>10.706194937770899</v>
      </c>
      <c r="AW44" s="826">
        <v>7.7541766109785204</v>
      </c>
      <c r="AX44" s="825">
        <f t="shared" si="11"/>
        <v>9.7974999999999994</v>
      </c>
      <c r="AY44" s="368">
        <v>5.7719211459488999</v>
      </c>
      <c r="AZ44" s="368">
        <v>5.19886979324506</v>
      </c>
      <c r="BA44" s="368">
        <v>6.0804868822000104</v>
      </c>
      <c r="BB44" s="368">
        <v>6.4630731003760902</v>
      </c>
      <c r="BC44" s="826">
        <v>4.5750262092020302</v>
      </c>
      <c r="BD44" s="825">
        <f t="shared" si="21"/>
        <v>7.5716000000000001</v>
      </c>
      <c r="BE44" s="368">
        <v>6.2759801428242596</v>
      </c>
      <c r="BF44" s="368">
        <v>4.6276705795283197</v>
      </c>
      <c r="BG44" s="368">
        <v>5.7092746360968896</v>
      </c>
      <c r="BH44" s="368">
        <v>6.3650271472023103</v>
      </c>
      <c r="BI44" s="826">
        <v>4.1614766159540304</v>
      </c>
      <c r="BJ44" s="23"/>
      <c r="BK44" s="566" t="str">
        <f t="shared" si="15"/>
        <v>3Q14</v>
      </c>
      <c r="BL44" s="825">
        <f t="shared" si="16"/>
        <v>23.8337</v>
      </c>
      <c r="BM44" s="368">
        <v>19.5893812359237</v>
      </c>
      <c r="BN44" s="368">
        <v>19.158254817246199</v>
      </c>
      <c r="BO44" s="368">
        <v>15.8492421790324</v>
      </c>
      <c r="BP44" s="368">
        <v>17.562715794490899</v>
      </c>
      <c r="BQ44" s="826">
        <v>16.7394614065933</v>
      </c>
      <c r="BR44" s="825">
        <f t="shared" si="17"/>
        <v>18.259499999999999</v>
      </c>
      <c r="BS44" s="368">
        <v>17.939423231835001</v>
      </c>
      <c r="BT44" s="368">
        <v>15.695771909930301</v>
      </c>
      <c r="BU44" s="368">
        <v>14.382903410447801</v>
      </c>
      <c r="BV44" s="368">
        <v>14.8263081664242</v>
      </c>
      <c r="BW44" s="826">
        <v>15.7693740685544</v>
      </c>
      <c r="BX44" s="825">
        <f t="shared" si="18"/>
        <v>9.7974999999999994</v>
      </c>
      <c r="BY44" s="368">
        <v>9.6084032677444196</v>
      </c>
      <c r="BZ44" s="368">
        <v>8.1692260490010806</v>
      </c>
      <c r="CA44" s="368">
        <v>8.1872919029328095</v>
      </c>
      <c r="CB44" s="368">
        <v>12.135236426954799</v>
      </c>
      <c r="CC44" s="826">
        <v>9.8779039587798003</v>
      </c>
      <c r="CD44" s="825">
        <f t="shared" si="22"/>
        <v>7.5716000000000001</v>
      </c>
      <c r="CE44" s="368">
        <v>8.9282098595308401</v>
      </c>
      <c r="CF44" s="368">
        <v>9.1988416237324806</v>
      </c>
      <c r="CG44" s="368">
        <v>6.3241620101164902</v>
      </c>
      <c r="CH44" s="368">
        <v>8.8863638105699003</v>
      </c>
      <c r="CI44" s="826">
        <v>8.8499357763455198</v>
      </c>
    </row>
    <row r="45" spans="1:87" ht="14.45" customHeight="1">
      <c r="A45" s="23"/>
      <c r="B45" s="23"/>
      <c r="C45" s="23" t="s">
        <v>411</v>
      </c>
      <c r="D45" s="23"/>
      <c r="E45" s="345">
        <f>AVERAGE(M36:Q75)</f>
        <v>19.219377914110435</v>
      </c>
      <c r="F45" s="345">
        <f>AVERAGE(S36:W75)</f>
        <v>18.414669277108434</v>
      </c>
      <c r="G45" s="345">
        <f>AVERAGE(Y36:AC75)</f>
        <v>21.035908805031443</v>
      </c>
      <c r="H45" s="345">
        <f>AVERAGE(AE36:AI75)</f>
        <v>13.51121205776718</v>
      </c>
      <c r="I45" s="189">
        <f>IF(I44=4,1,I44+1)</f>
        <v>4</v>
      </c>
      <c r="J45" s="461">
        <f t="shared" si="20"/>
        <v>2014</v>
      </c>
      <c r="K45" s="566" t="str">
        <f t="shared" si="9"/>
        <v>4Q14</v>
      </c>
      <c r="L45" s="825">
        <v>23.417000000000002</v>
      </c>
      <c r="M45" s="368">
        <v>15.585699999999999</v>
      </c>
      <c r="N45" s="368"/>
      <c r="O45" s="368"/>
      <c r="P45" s="368"/>
      <c r="Q45" s="826">
        <v>17.330100000000002</v>
      </c>
      <c r="R45" s="825">
        <v>20.545300000000001</v>
      </c>
      <c r="S45" s="368">
        <v>16.743600000000001</v>
      </c>
      <c r="T45" s="368"/>
      <c r="U45" s="368"/>
      <c r="V45" s="368">
        <v>19.448799999999999</v>
      </c>
      <c r="W45" s="826">
        <v>15.686400000000001</v>
      </c>
      <c r="X45" s="825">
        <v>10.404299999999999</v>
      </c>
      <c r="Y45" s="368">
        <v>10.552199999999999</v>
      </c>
      <c r="Z45" s="368"/>
      <c r="AA45" s="368"/>
      <c r="AB45" s="368">
        <v>12.536300000000001</v>
      </c>
      <c r="AC45" s="826">
        <v>8.6981999999999999</v>
      </c>
      <c r="AD45" s="368">
        <v>7.1176000000000004</v>
      </c>
      <c r="AE45" s="368">
        <v>15.5312</v>
      </c>
      <c r="AF45" s="368"/>
      <c r="AG45" s="368"/>
      <c r="AH45" s="368">
        <v>9.9894999999999996</v>
      </c>
      <c r="AI45" s="826">
        <v>8.6981999999999999</v>
      </c>
      <c r="AJ45" s="23"/>
      <c r="AK45" s="566" t="str">
        <f t="shared" si="13"/>
        <v>4Q14</v>
      </c>
      <c r="AL45" s="825">
        <f t="shared" si="14"/>
        <v>23.417000000000002</v>
      </c>
      <c r="AM45" s="368">
        <v>10.360250621589399</v>
      </c>
      <c r="AN45" s="368">
        <v>10.610981378837</v>
      </c>
      <c r="AO45" s="368">
        <v>9.7850104631892201</v>
      </c>
      <c r="AP45" s="368">
        <v>10.753246753246801</v>
      </c>
      <c r="AQ45" s="826">
        <v>11.911217487238</v>
      </c>
      <c r="AR45" s="825">
        <f t="shared" si="10"/>
        <v>20.545300000000001</v>
      </c>
      <c r="AS45" s="368">
        <v>11.1498209859543</v>
      </c>
      <c r="AT45" s="368">
        <v>10.333780360602001</v>
      </c>
      <c r="AU45" s="368">
        <v>10.1321138211382</v>
      </c>
      <c r="AV45" s="368">
        <v>10.4574796519787</v>
      </c>
      <c r="AW45" s="826">
        <v>7.7305825242718402</v>
      </c>
      <c r="AX45" s="825">
        <f t="shared" si="11"/>
        <v>10.404299999999999</v>
      </c>
      <c r="AY45" s="368">
        <v>5.9342711326619</v>
      </c>
      <c r="AZ45" s="368">
        <v>5.6618821978602103</v>
      </c>
      <c r="BA45" s="368">
        <v>6.4812835745831103</v>
      </c>
      <c r="BB45" s="368">
        <v>6.2851866440240798</v>
      </c>
      <c r="BC45" s="826">
        <v>5.0582831174011602</v>
      </c>
      <c r="BD45" s="825">
        <f t="shared" si="21"/>
        <v>7.1176000000000004</v>
      </c>
      <c r="BE45" s="368">
        <v>6.3857361563320802</v>
      </c>
      <c r="BF45" s="368">
        <v>5.4605792553048902</v>
      </c>
      <c r="BG45" s="368">
        <v>6.0368814914483702</v>
      </c>
      <c r="BH45" s="368">
        <v>6.2530343016821499</v>
      </c>
      <c r="BI45" s="826">
        <v>4.4398047960153502</v>
      </c>
      <c r="BJ45" s="23"/>
      <c r="BK45" s="566" t="str">
        <f t="shared" si="15"/>
        <v>4Q14</v>
      </c>
      <c r="BL45" s="825">
        <f t="shared" si="16"/>
        <v>23.417000000000002</v>
      </c>
      <c r="BM45" s="368">
        <v>16.68959147028</v>
      </c>
      <c r="BN45" s="368">
        <v>13.9808558081172</v>
      </c>
      <c r="BO45" s="368">
        <v>14.468751868729999</v>
      </c>
      <c r="BP45" s="368">
        <v>16.205048980257601</v>
      </c>
      <c r="BQ45" s="826">
        <v>17.184909509831101</v>
      </c>
      <c r="BR45" s="825">
        <f t="shared" si="17"/>
        <v>20.545300000000001</v>
      </c>
      <c r="BS45" s="368">
        <v>15.241231209735099</v>
      </c>
      <c r="BT45" s="368">
        <v>12.9049929566442</v>
      </c>
      <c r="BU45" s="368">
        <v>13.108605498192301</v>
      </c>
      <c r="BV45" s="368">
        <v>14.300434892270401</v>
      </c>
      <c r="BW45" s="826">
        <v>16.252295262577999</v>
      </c>
      <c r="BX45" s="825">
        <f t="shared" si="18"/>
        <v>10.404299999999999</v>
      </c>
      <c r="BY45" s="368">
        <v>8.3694625048910805</v>
      </c>
      <c r="BZ45" s="368">
        <v>5.8871772792342698</v>
      </c>
      <c r="CA45" s="368">
        <v>7.7302288075718204</v>
      </c>
      <c r="CB45" s="368">
        <v>11.214687895444699</v>
      </c>
      <c r="CC45" s="826">
        <v>9.9399214641402391</v>
      </c>
      <c r="CD45" s="825">
        <f t="shared" si="22"/>
        <v>7.1176000000000004</v>
      </c>
      <c r="CE45" s="368">
        <v>7.7878401119748304</v>
      </c>
      <c r="CF45" s="368">
        <v>7.0981511174056404</v>
      </c>
      <c r="CG45" s="368">
        <v>6.0878290524664997</v>
      </c>
      <c r="CH45" s="368">
        <v>8.4494736155836296</v>
      </c>
      <c r="CI45" s="826">
        <v>9.1474541842588604</v>
      </c>
    </row>
    <row r="46" spans="1:87" ht="14.45" customHeight="1">
      <c r="A46" s="23"/>
      <c r="B46" s="23"/>
      <c r="C46" s="23" t="s">
        <v>447</v>
      </c>
      <c r="D46" s="23"/>
      <c r="E46" s="345">
        <f>AVERAGE(M36:Q51)</f>
        <v>19.658423255813954</v>
      </c>
      <c r="F46" s="345">
        <f>AVERAGE(S36:W51)</f>
        <v>20.145474468085109</v>
      </c>
      <c r="G46" s="345">
        <f>AVERAGE(Y36:AC51)</f>
        <v>15.282924390243901</v>
      </c>
      <c r="H46" s="345">
        <f>AVERAGE(AE36:AI51)</f>
        <v>8.6942717391304338</v>
      </c>
      <c r="I46" s="189">
        <f>IF(I45+1=5,1,I45+1)</f>
        <v>1</v>
      </c>
      <c r="J46" s="461">
        <f t="shared" si="20"/>
        <v>2015</v>
      </c>
      <c r="K46" s="566" t="str">
        <f t="shared" si="9"/>
        <v>1Q15</v>
      </c>
      <c r="L46" s="825">
        <v>23.720600000000001</v>
      </c>
      <c r="M46" s="368">
        <v>15.5959</v>
      </c>
      <c r="N46" s="368"/>
      <c r="O46" s="368"/>
      <c r="P46" s="368">
        <v>124.9238</v>
      </c>
      <c r="Q46" s="826">
        <v>14.6532</v>
      </c>
      <c r="R46" s="825">
        <v>15.706899999999999</v>
      </c>
      <c r="S46" s="368">
        <v>14.898</v>
      </c>
      <c r="T46" s="368"/>
      <c r="U46" s="368"/>
      <c r="V46" s="368">
        <v>16.3429</v>
      </c>
      <c r="W46" s="826">
        <v>13.9575</v>
      </c>
      <c r="X46" s="825">
        <v>11.7217</v>
      </c>
      <c r="Y46" s="368">
        <v>12.353</v>
      </c>
      <c r="Z46" s="368"/>
      <c r="AA46" s="368"/>
      <c r="AB46" s="368">
        <v>13.2163</v>
      </c>
      <c r="AC46" s="826">
        <v>7.5476999999999999</v>
      </c>
      <c r="AD46" s="368">
        <v>7.5861999999999998</v>
      </c>
      <c r="AE46" s="368">
        <v>9.2201000000000004</v>
      </c>
      <c r="AF46" s="368"/>
      <c r="AG46" s="368"/>
      <c r="AH46" s="368">
        <v>13.6287</v>
      </c>
      <c r="AI46" s="826">
        <v>7.5476999999999999</v>
      </c>
      <c r="AJ46" s="23"/>
      <c r="AK46" s="566" t="str">
        <f t="shared" si="13"/>
        <v>1Q15</v>
      </c>
      <c r="AL46" s="825">
        <f t="shared" si="14"/>
        <v>23.720600000000001</v>
      </c>
      <c r="AM46" s="368">
        <v>9.0442537177124596</v>
      </c>
      <c r="AN46" s="368">
        <v>7.5765915416947802</v>
      </c>
      <c r="AO46" s="368">
        <v>7.8850172710238802</v>
      </c>
      <c r="AP46" s="368">
        <v>7.9925124109429904</v>
      </c>
      <c r="AQ46" s="826">
        <v>9.9964472035752294</v>
      </c>
      <c r="AR46" s="825">
        <f t="shared" si="10"/>
        <v>15.706899999999999</v>
      </c>
      <c r="AS46" s="368">
        <v>9.6853333333333307</v>
      </c>
      <c r="AT46" s="368">
        <v>7.58726003490401</v>
      </c>
      <c r="AU46" s="368">
        <v>8.1593132361748903</v>
      </c>
      <c r="AV46" s="368">
        <v>7.9189866369710504</v>
      </c>
      <c r="AW46" s="826">
        <v>6.6825000000000001</v>
      </c>
      <c r="AX46" s="825">
        <f t="shared" si="11"/>
        <v>11.7217</v>
      </c>
      <c r="AY46" s="368">
        <v>5.1725328882019399</v>
      </c>
      <c r="AZ46" s="368">
        <v>4.1998426941363496</v>
      </c>
      <c r="BA46" s="368">
        <v>4.9072512661100998</v>
      </c>
      <c r="BB46" s="368">
        <v>5.11248886371017</v>
      </c>
      <c r="BC46" s="826">
        <v>4.1756043541247401</v>
      </c>
      <c r="BD46" s="825">
        <f t="shared" si="21"/>
        <v>7.5861999999999998</v>
      </c>
      <c r="BE46" s="368">
        <v>5.7395595802065698</v>
      </c>
      <c r="BF46" s="368">
        <v>4.13814087690871</v>
      </c>
      <c r="BG46" s="368">
        <v>5.1077271800270996</v>
      </c>
      <c r="BH46" s="368">
        <v>5.1134671020105698</v>
      </c>
      <c r="BI46" s="826">
        <v>3.8065533789962802</v>
      </c>
      <c r="BJ46" s="23"/>
      <c r="BK46" s="566" t="str">
        <f t="shared" si="15"/>
        <v>1Q15</v>
      </c>
      <c r="BL46" s="825">
        <f t="shared" si="16"/>
        <v>23.720600000000001</v>
      </c>
      <c r="BM46" s="368">
        <v>10.518527508712999</v>
      </c>
      <c r="BN46" s="368">
        <v>10.5037129820166</v>
      </c>
      <c r="BO46" s="368">
        <v>12.230878232496501</v>
      </c>
      <c r="BP46" s="368">
        <v>11.8037669920092</v>
      </c>
      <c r="BQ46" s="826">
        <v>13.3534736207215</v>
      </c>
      <c r="BR46" s="825">
        <f t="shared" si="17"/>
        <v>15.706899999999999</v>
      </c>
      <c r="BS46" s="368">
        <v>11.112114371708101</v>
      </c>
      <c r="BT46" s="368">
        <v>10.02484086322</v>
      </c>
      <c r="BU46" s="368">
        <v>10.586285316932001</v>
      </c>
      <c r="BV46" s="368">
        <v>10.5668420137303</v>
      </c>
      <c r="BW46" s="826">
        <v>12.8911689263466</v>
      </c>
      <c r="BX46" s="825">
        <f t="shared" si="18"/>
        <v>11.7217</v>
      </c>
      <c r="BY46" s="368">
        <v>6.2721458318024998</v>
      </c>
      <c r="BZ46" s="368">
        <v>4.4281218063482299</v>
      </c>
      <c r="CA46" s="368">
        <v>6.4556485602435796</v>
      </c>
      <c r="CB46" s="368">
        <v>8.29363910369546</v>
      </c>
      <c r="CC46" s="826">
        <v>7.7537626450537704</v>
      </c>
      <c r="CD46" s="825">
        <f t="shared" si="22"/>
        <v>7.5861999999999998</v>
      </c>
      <c r="CE46" s="368">
        <v>6.1966563888391502</v>
      </c>
      <c r="CF46" s="368">
        <v>5.6364424865086598</v>
      </c>
      <c r="CG46" s="368">
        <v>5.04933041465077</v>
      </c>
      <c r="CH46" s="368">
        <v>6.5951797733904902</v>
      </c>
      <c r="CI46" s="826">
        <v>7.2000449757373097</v>
      </c>
    </row>
    <row r="47" spans="1:87" ht="14.45" customHeight="1">
      <c r="A47" s="23"/>
      <c r="B47" s="23"/>
      <c r="C47" s="23" t="s">
        <v>448</v>
      </c>
      <c r="D47" s="23"/>
      <c r="E47" s="345">
        <f>AVERAGE(M48:Q63)</f>
        <v>20.387100000000004</v>
      </c>
      <c r="F47" s="345">
        <f>AVERAGE(S48:W63)</f>
        <v>19.164559740259733</v>
      </c>
      <c r="G47" s="345">
        <f>AVERAGE(Y48:AC63)</f>
        <v>31.434614285714282</v>
      </c>
      <c r="H47" s="345">
        <f>AVERAGE(AE48:AI63)</f>
        <v>11.786694029850745</v>
      </c>
      <c r="I47" s="189">
        <f>IF(I46=4,1,I46+1)</f>
        <v>2</v>
      </c>
      <c r="J47" s="461">
        <f t="shared" si="20"/>
        <v>2015</v>
      </c>
      <c r="K47" s="566" t="str">
        <f t="shared" si="9"/>
        <v>2Q15</v>
      </c>
      <c r="L47" s="825">
        <v>29.1036</v>
      </c>
      <c r="M47" s="368">
        <v>14.7698</v>
      </c>
      <c r="N47" s="368"/>
      <c r="O47" s="368"/>
      <c r="P47" s="368">
        <v>15.558999999999999</v>
      </c>
      <c r="Q47" s="826">
        <v>18.0182</v>
      </c>
      <c r="R47" s="825">
        <v>16.894200000000001</v>
      </c>
      <c r="S47" s="368">
        <v>15.878</v>
      </c>
      <c r="T47" s="368"/>
      <c r="U47" s="368"/>
      <c r="V47" s="368">
        <v>17.865600000000001</v>
      </c>
      <c r="W47" s="826">
        <v>17.626799999999999</v>
      </c>
      <c r="X47" s="825">
        <v>12.065</v>
      </c>
      <c r="Y47" s="368">
        <v>12.703099999999999</v>
      </c>
      <c r="Z47" s="368"/>
      <c r="AA47" s="368"/>
      <c r="AB47" s="368">
        <v>4.1848999999999998</v>
      </c>
      <c r="AC47" s="826">
        <v>9.1023999999999994</v>
      </c>
      <c r="AD47" s="368">
        <v>8.6446000000000005</v>
      </c>
      <c r="AE47" s="368">
        <v>8.8674999999999997</v>
      </c>
      <c r="AF47" s="368"/>
      <c r="AG47" s="368"/>
      <c r="AH47" s="368">
        <v>11.6648</v>
      </c>
      <c r="AI47" s="826">
        <v>9.1023999999999994</v>
      </c>
      <c r="AJ47" s="23"/>
      <c r="AK47" s="566" t="str">
        <f t="shared" si="13"/>
        <v>2Q15</v>
      </c>
      <c r="AL47" s="825">
        <f t="shared" si="14"/>
        <v>29.1036</v>
      </c>
      <c r="AM47" s="368">
        <v>10.2927177685897</v>
      </c>
      <c r="AN47" s="368">
        <v>7.8669368437521099</v>
      </c>
      <c r="AO47" s="368">
        <v>9.1934574811142706</v>
      </c>
      <c r="AP47" s="368">
        <v>9.1696224120428695</v>
      </c>
      <c r="AQ47" s="826">
        <v>7.6852161349104504</v>
      </c>
      <c r="AR47" s="825">
        <f t="shared" si="10"/>
        <v>16.894200000000001</v>
      </c>
      <c r="AS47" s="368">
        <v>10.6363397317907</v>
      </c>
      <c r="AT47" s="368">
        <v>8.3399885909868807</v>
      </c>
      <c r="AU47" s="368">
        <v>9.5783013264700099</v>
      </c>
      <c r="AV47" s="368">
        <v>9.1726519337016601</v>
      </c>
      <c r="AW47" s="826">
        <v>7.0920398009950301</v>
      </c>
      <c r="AX47" s="825">
        <f t="shared" si="11"/>
        <v>12.065</v>
      </c>
      <c r="AY47" s="368">
        <v>5.0727873397035799</v>
      </c>
      <c r="AZ47" s="368">
        <v>4.2475628329771302</v>
      </c>
      <c r="BA47" s="368">
        <v>5.3476842685669199</v>
      </c>
      <c r="BB47" s="368">
        <v>5.6429267951685604</v>
      </c>
      <c r="BC47" s="826">
        <v>4.6642162199263097</v>
      </c>
      <c r="BD47" s="825">
        <f t="shared" si="21"/>
        <v>8.6446000000000005</v>
      </c>
      <c r="BE47" s="368">
        <v>6.0754015039439304</v>
      </c>
      <c r="BF47" s="368">
        <v>4.6526810266066603</v>
      </c>
      <c r="BG47" s="368">
        <v>5.4675375684290399</v>
      </c>
      <c r="BH47" s="368">
        <v>5.3194890952561096</v>
      </c>
      <c r="BI47" s="826">
        <v>4.1959826963148199</v>
      </c>
      <c r="BJ47" s="23"/>
      <c r="BK47" s="566" t="str">
        <f t="shared" si="15"/>
        <v>2Q15</v>
      </c>
      <c r="BL47" s="825">
        <f t="shared" si="16"/>
        <v>29.1036</v>
      </c>
      <c r="BM47" s="368">
        <v>11.136940235073</v>
      </c>
      <c r="BN47" s="368">
        <v>11.6666666666667</v>
      </c>
      <c r="BO47" s="368">
        <v>17.1928194605477</v>
      </c>
      <c r="BP47" s="368">
        <v>19.4974550891937</v>
      </c>
      <c r="BQ47" s="826">
        <v>13.712994474089101</v>
      </c>
      <c r="BR47" s="825">
        <f t="shared" si="17"/>
        <v>16.894200000000001</v>
      </c>
      <c r="BS47" s="368">
        <v>13.3372589430296</v>
      </c>
      <c r="BT47" s="368">
        <v>9.89889941131303</v>
      </c>
      <c r="BU47" s="368">
        <v>12.5756118144631</v>
      </c>
      <c r="BV47" s="368">
        <v>12.835855233946299</v>
      </c>
      <c r="BW47" s="826">
        <v>13.330293634871399</v>
      </c>
      <c r="BX47" s="825">
        <f t="shared" si="18"/>
        <v>12.065</v>
      </c>
      <c r="BY47" s="368">
        <v>6.8532861845158397</v>
      </c>
      <c r="BZ47" s="368">
        <v>4.8116381420894303</v>
      </c>
      <c r="CA47" s="368">
        <v>7.4767744896099497</v>
      </c>
      <c r="CB47" s="368">
        <v>13.0253702514268</v>
      </c>
      <c r="CC47" s="826">
        <v>7.8806177904984098</v>
      </c>
      <c r="CD47" s="825">
        <f t="shared" si="22"/>
        <v>8.6446000000000005</v>
      </c>
      <c r="CE47" s="368">
        <v>5.8599294656551697</v>
      </c>
      <c r="CF47" s="368">
        <v>5.4586822092923004</v>
      </c>
      <c r="CG47" s="368">
        <v>6.4343046300791302</v>
      </c>
      <c r="CH47" s="368">
        <v>7.2176928467072701</v>
      </c>
      <c r="CI47" s="826">
        <v>6.8736532340427301</v>
      </c>
    </row>
    <row r="48" spans="1:87" ht="14.45" customHeight="1">
      <c r="A48" s="23"/>
      <c r="B48" s="23"/>
      <c r="C48" s="23" t="s">
        <v>449</v>
      </c>
      <c r="D48" s="23"/>
      <c r="E48" s="345">
        <f>AVERAGE(M60:Q75)</f>
        <v>17.218330000000002</v>
      </c>
      <c r="F48" s="345">
        <f>AVERAGE(S60:W75)</f>
        <v>17.132549999999998</v>
      </c>
      <c r="G48" s="345">
        <f>AVERAGE(Y60:AC75)</f>
        <v>15.00516125</v>
      </c>
      <c r="H48" s="345">
        <f>AVERAGE(AE60:AI75)</f>
        <v>16.495760817700621</v>
      </c>
      <c r="I48" s="189">
        <f>I44</f>
        <v>3</v>
      </c>
      <c r="J48" s="461">
        <f t="shared" si="20"/>
        <v>2015</v>
      </c>
      <c r="K48" s="566" t="str">
        <f t="shared" si="9"/>
        <v>3Q15</v>
      </c>
      <c r="L48" s="825">
        <v>31.833400000000001</v>
      </c>
      <c r="M48" s="368">
        <v>10.648</v>
      </c>
      <c r="N48" s="368">
        <v>16.747699999999998</v>
      </c>
      <c r="O48" s="368"/>
      <c r="P48" s="368">
        <v>13.3207</v>
      </c>
      <c r="Q48" s="826">
        <v>20.251999999999999</v>
      </c>
      <c r="R48" s="825">
        <v>15.858599999999999</v>
      </c>
      <c r="S48" s="368">
        <v>11.2438</v>
      </c>
      <c r="T48" s="368">
        <v>13.6677</v>
      </c>
      <c r="U48" s="368"/>
      <c r="V48" s="368">
        <v>15.8767</v>
      </c>
      <c r="W48" s="826">
        <v>17.590900000000001</v>
      </c>
      <c r="X48" s="825">
        <v>11.321899999999999</v>
      </c>
      <c r="Y48" s="368">
        <v>43.173699999999997</v>
      </c>
      <c r="Z48" s="368"/>
      <c r="AA48" s="368"/>
      <c r="AB48" s="368">
        <v>4.1532999999999998</v>
      </c>
      <c r="AC48" s="826">
        <v>10.240500000000001</v>
      </c>
      <c r="AD48" s="368">
        <v>8.0693000000000001</v>
      </c>
      <c r="AE48" s="368"/>
      <c r="AF48" s="368"/>
      <c r="AG48" s="368"/>
      <c r="AH48" s="368">
        <v>11.388</v>
      </c>
      <c r="AI48" s="826">
        <v>10.240500000000001</v>
      </c>
      <c r="AJ48" s="23"/>
      <c r="AK48" s="566" t="str">
        <f t="shared" si="13"/>
        <v>3Q15</v>
      </c>
      <c r="AL48" s="825">
        <f t="shared" si="14"/>
        <v>31.833400000000001</v>
      </c>
      <c r="AM48" s="368">
        <v>10.800576832053601</v>
      </c>
      <c r="AN48" s="368">
        <v>7.9081852954622596</v>
      </c>
      <c r="AO48" s="368">
        <v>9.5463149108266006</v>
      </c>
      <c r="AP48" s="368">
        <v>10.230896470800801</v>
      </c>
      <c r="AQ48" s="826">
        <v>8.0841680773751108</v>
      </c>
      <c r="AR48" s="825">
        <f t="shared" si="10"/>
        <v>15.858599999999999</v>
      </c>
      <c r="AS48" s="368">
        <v>11.412242824485601</v>
      </c>
      <c r="AT48" s="368">
        <v>9.2925604746691004</v>
      </c>
      <c r="AU48" s="368">
        <v>10.414364640883999</v>
      </c>
      <c r="AV48" s="368">
        <v>10.002726281352199</v>
      </c>
      <c r="AW48" s="826">
        <v>7.4049382716049399</v>
      </c>
      <c r="AX48" s="825">
        <f t="shared" si="11"/>
        <v>11.321899999999999</v>
      </c>
      <c r="AY48" s="368">
        <v>5.4596028791895099</v>
      </c>
      <c r="AZ48" s="368">
        <v>4.3853182636826604</v>
      </c>
      <c r="BA48" s="368">
        <v>5.6389101658389302</v>
      </c>
      <c r="BB48" s="368">
        <v>6.3445682479438403</v>
      </c>
      <c r="BC48" s="826">
        <v>4.8978949619362604</v>
      </c>
      <c r="BD48" s="825">
        <f t="shared" si="21"/>
        <v>8.0693000000000001</v>
      </c>
      <c r="BE48" s="368">
        <v>6.7238118912100804</v>
      </c>
      <c r="BF48" s="368">
        <v>5.0324558356480802</v>
      </c>
      <c r="BG48" s="368">
        <v>6.0317740360888701</v>
      </c>
      <c r="BH48" s="368">
        <v>6.0858725996610499</v>
      </c>
      <c r="BI48" s="826">
        <v>4.4959076817347503</v>
      </c>
      <c r="BJ48" s="23"/>
      <c r="BK48" s="566" t="str">
        <f t="shared" si="15"/>
        <v>3Q15</v>
      </c>
      <c r="BL48" s="825">
        <f t="shared" si="16"/>
        <v>31.833400000000001</v>
      </c>
      <c r="BM48" s="368">
        <v>12.2734575189388</v>
      </c>
      <c r="BN48" s="368">
        <v>12.020802377414601</v>
      </c>
      <c r="BO48" s="368">
        <v>18.892142241050099</v>
      </c>
      <c r="BP48" s="368">
        <v>20.566111479131099</v>
      </c>
      <c r="BQ48" s="826">
        <v>15.502253191008201</v>
      </c>
      <c r="BR48" s="825">
        <f t="shared" si="17"/>
        <v>15.858599999999999</v>
      </c>
      <c r="BS48" s="368">
        <v>11.185550771815601</v>
      </c>
      <c r="BT48" s="368">
        <v>10.1049213090182</v>
      </c>
      <c r="BU48" s="368">
        <v>12.535617672514601</v>
      </c>
      <c r="BV48" s="368">
        <v>13.0753090608726</v>
      </c>
      <c r="BW48" s="826">
        <v>15.0280847979706</v>
      </c>
      <c r="BX48" s="825">
        <f t="shared" si="18"/>
        <v>11.321899999999999</v>
      </c>
      <c r="BY48" s="368">
        <v>7.5665220163616098</v>
      </c>
      <c r="BZ48" s="368">
        <v>5.6916000078695399</v>
      </c>
      <c r="CA48" s="368">
        <v>8.5718704479234198</v>
      </c>
      <c r="CB48" s="368">
        <v>13.8815772921564</v>
      </c>
      <c r="CC48" s="826">
        <v>8.7722503879114395</v>
      </c>
      <c r="CD48" s="825">
        <f t="shared" si="22"/>
        <v>8.0693000000000001</v>
      </c>
      <c r="CE48" s="368">
        <v>6.5048980462069697</v>
      </c>
      <c r="CF48" s="368">
        <v>6.4048413447981503</v>
      </c>
      <c r="CG48" s="368">
        <v>6.9806056585949499</v>
      </c>
      <c r="CH48" s="368">
        <v>8.1589451904695505</v>
      </c>
      <c r="CI48" s="826">
        <v>8.0195826003854709</v>
      </c>
    </row>
    <row r="49" spans="1:87" ht="14.45" customHeight="1">
      <c r="A49" s="23"/>
      <c r="B49" s="23"/>
      <c r="C49" s="23"/>
      <c r="D49" s="23"/>
      <c r="E49" s="23"/>
      <c r="F49" s="23"/>
      <c r="G49" s="23"/>
      <c r="H49" s="23"/>
      <c r="I49" s="189">
        <f>IF(I48=4,1,I48+1)</f>
        <v>4</v>
      </c>
      <c r="J49" s="461">
        <f t="shared" si="20"/>
        <v>2015</v>
      </c>
      <c r="K49" s="566" t="str">
        <f t="shared" si="9"/>
        <v>4Q15</v>
      </c>
      <c r="L49" s="825">
        <v>36.350200000000001</v>
      </c>
      <c r="M49" s="368">
        <v>12.181699999999999</v>
      </c>
      <c r="N49" s="368">
        <v>20.7104</v>
      </c>
      <c r="O49" s="368"/>
      <c r="P49" s="368">
        <v>12.055899999999999</v>
      </c>
      <c r="Q49" s="826">
        <v>20.102599999999999</v>
      </c>
      <c r="R49" s="825">
        <v>17.2637</v>
      </c>
      <c r="S49" s="368">
        <v>12.1027</v>
      </c>
      <c r="T49" s="368">
        <v>16.079799999999999</v>
      </c>
      <c r="U49" s="368">
        <v>157.16669999999999</v>
      </c>
      <c r="V49" s="368">
        <v>17.836200000000002</v>
      </c>
      <c r="W49" s="826">
        <v>18.140999999999998</v>
      </c>
      <c r="X49" s="825">
        <v>11.709899999999999</v>
      </c>
      <c r="Y49" s="368">
        <v>78.636899999999997</v>
      </c>
      <c r="Z49" s="368"/>
      <c r="AA49" s="368"/>
      <c r="AB49" s="368">
        <v>3.6004</v>
      </c>
      <c r="AC49" s="826">
        <v>10.293900000000001</v>
      </c>
      <c r="AD49" s="368">
        <v>4.7506000000000004</v>
      </c>
      <c r="AE49" s="368"/>
      <c r="AF49" s="368"/>
      <c r="AG49" s="368"/>
      <c r="AH49" s="368">
        <v>5.782</v>
      </c>
      <c r="AI49" s="826">
        <v>10.293900000000001</v>
      </c>
      <c r="AJ49" s="23"/>
      <c r="AK49" s="566" t="str">
        <f t="shared" si="13"/>
        <v>4Q15</v>
      </c>
      <c r="AL49" s="825">
        <f t="shared" si="14"/>
        <v>36.350200000000001</v>
      </c>
      <c r="AM49" s="368">
        <v>10.1080216461171</v>
      </c>
      <c r="AN49" s="368">
        <v>8.1848758019837504</v>
      </c>
      <c r="AO49" s="368">
        <v>9.8608863994172999</v>
      </c>
      <c r="AP49" s="368">
        <v>9.1327083880243496</v>
      </c>
      <c r="AQ49" s="826">
        <v>8.1531872577492006</v>
      </c>
      <c r="AR49" s="825">
        <f t="shared" si="10"/>
        <v>17.2637</v>
      </c>
      <c r="AS49" s="368">
        <v>11.043753963221301</v>
      </c>
      <c r="AT49" s="368">
        <v>9.2435878858136498</v>
      </c>
      <c r="AU49" s="368">
        <v>10.886879569065</v>
      </c>
      <c r="AV49" s="368">
        <v>9.19559459082671</v>
      </c>
      <c r="AW49" s="826">
        <v>7.1259259259259302</v>
      </c>
      <c r="AX49" s="825">
        <f t="shared" si="11"/>
        <v>11.709899999999999</v>
      </c>
      <c r="AY49" s="368">
        <v>5.0938422904182499</v>
      </c>
      <c r="AZ49" s="368">
        <v>4.5162177579657596</v>
      </c>
      <c r="BA49" s="368">
        <v>5.9616220191103997</v>
      </c>
      <c r="BB49" s="368">
        <v>5.7406774276128099</v>
      </c>
      <c r="BC49" s="826">
        <v>4.6919011230468799</v>
      </c>
      <c r="BD49" s="825">
        <f t="shared" si="21"/>
        <v>4.7506000000000004</v>
      </c>
      <c r="BE49" s="368">
        <v>6.3667476843007504</v>
      </c>
      <c r="BF49" s="368">
        <v>4.9854819313623802</v>
      </c>
      <c r="BG49" s="368">
        <v>6.4298645083485404</v>
      </c>
      <c r="BH49" s="368">
        <v>5.6189714790247196</v>
      </c>
      <c r="BI49" s="826">
        <v>4.2346854791344999</v>
      </c>
      <c r="BJ49" s="23"/>
      <c r="BK49" s="566" t="str">
        <f t="shared" si="15"/>
        <v>4Q15</v>
      </c>
      <c r="BL49" s="825">
        <f t="shared" si="16"/>
        <v>36.350200000000001</v>
      </c>
      <c r="BM49" s="368">
        <v>9.0476464984031004</v>
      </c>
      <c r="BN49" s="368">
        <v>11.2008310249307</v>
      </c>
      <c r="BO49" s="368">
        <v>19.056518630840099</v>
      </c>
      <c r="BP49" s="368">
        <v>17.744420077930101</v>
      </c>
      <c r="BQ49" s="826">
        <v>13.557266662622</v>
      </c>
      <c r="BR49" s="825">
        <f t="shared" si="17"/>
        <v>17.2637</v>
      </c>
      <c r="BS49" s="368">
        <v>8.7382937120510409</v>
      </c>
      <c r="BT49" s="368">
        <v>9.8012362137922704</v>
      </c>
      <c r="BU49" s="368">
        <v>12.932523677211099</v>
      </c>
      <c r="BV49" s="368">
        <v>11.7818741310035</v>
      </c>
      <c r="BW49" s="826">
        <v>13.737722808293899</v>
      </c>
      <c r="BX49" s="825">
        <f t="shared" si="18"/>
        <v>11.709899999999999</v>
      </c>
      <c r="BY49" s="368">
        <v>5.6087294252266497</v>
      </c>
      <c r="BZ49" s="368">
        <v>4.9802570793535903</v>
      </c>
      <c r="CA49" s="368">
        <v>9.2226650563073296</v>
      </c>
      <c r="CB49" s="368">
        <v>12.458154399644</v>
      </c>
      <c r="CC49" s="826">
        <v>9.2789607868954995</v>
      </c>
      <c r="CD49" s="825">
        <f t="shared" si="22"/>
        <v>4.7506000000000004</v>
      </c>
      <c r="CE49" s="368">
        <v>5.2765147437542899</v>
      </c>
      <c r="CF49" s="368">
        <v>5.61804636350975</v>
      </c>
      <c r="CG49" s="368">
        <v>8.3266432742954208</v>
      </c>
      <c r="CH49" s="368">
        <v>7.4694688739111097</v>
      </c>
      <c r="CI49" s="826">
        <v>8.6931720305652007</v>
      </c>
    </row>
    <row r="50" spans="1:87" ht="14.45" customHeight="1">
      <c r="A50" s="22" t="s">
        <v>1</v>
      </c>
      <c r="B50" s="23"/>
      <c r="C50" s="509" t="str">
        <f>Comparables!S89</f>
        <v>Defense Peer Group</v>
      </c>
      <c r="D50" s="193"/>
      <c r="E50" s="193"/>
      <c r="F50" s="193"/>
      <c r="G50" s="193"/>
      <c r="H50" s="510"/>
      <c r="I50" s="189">
        <f>IF(I49+1=5,1,I49+1)</f>
        <v>1</v>
      </c>
      <c r="J50" s="461">
        <f t="shared" si="20"/>
        <v>2016</v>
      </c>
      <c r="K50" s="566" t="str">
        <f t="shared" si="9"/>
        <v>1Q16</v>
      </c>
      <c r="L50" s="825">
        <v>36.546399999999998</v>
      </c>
      <c r="M50" s="368">
        <v>11.335599999999999</v>
      </c>
      <c r="N50" s="368">
        <v>20.654499999999999</v>
      </c>
      <c r="O50" s="368"/>
      <c r="P50" s="368">
        <v>13.073700000000001</v>
      </c>
      <c r="Q50" s="826">
        <v>21.772300000000001</v>
      </c>
      <c r="R50" s="825">
        <v>14.1432</v>
      </c>
      <c r="S50" s="368">
        <v>11.4252</v>
      </c>
      <c r="T50" s="368">
        <v>16.232099999999999</v>
      </c>
      <c r="U50" s="368">
        <v>16.228899999999999</v>
      </c>
      <c r="V50" s="368">
        <v>15.7798</v>
      </c>
      <c r="W50" s="826">
        <v>20.340299999999999</v>
      </c>
      <c r="X50" s="825">
        <v>12.5441</v>
      </c>
      <c r="Y50" s="368">
        <v>58.0167</v>
      </c>
      <c r="Z50" s="368"/>
      <c r="AA50" s="368"/>
      <c r="AB50" s="368">
        <v>9.8085000000000004</v>
      </c>
      <c r="AC50" s="826">
        <v>11.131</v>
      </c>
      <c r="AD50" s="368">
        <v>7.4827000000000004</v>
      </c>
      <c r="AE50" s="368"/>
      <c r="AF50" s="368"/>
      <c r="AG50" s="368"/>
      <c r="AH50" s="368">
        <v>7.7881999999999998</v>
      </c>
      <c r="AI50" s="826">
        <v>11.131</v>
      </c>
      <c r="AJ50" s="23"/>
      <c r="AK50" s="566" t="str">
        <f t="shared" si="13"/>
        <v>1Q16</v>
      </c>
      <c r="AL50" s="825">
        <f t="shared" si="14"/>
        <v>36.546399999999998</v>
      </c>
      <c r="AM50" s="368">
        <v>10.604506858633499</v>
      </c>
      <c r="AN50" s="368">
        <v>8.5675855852532798</v>
      </c>
      <c r="AO50" s="368">
        <v>9.8064192930491192</v>
      </c>
      <c r="AP50" s="368">
        <v>9.3462699731994405</v>
      </c>
      <c r="AQ50" s="826">
        <v>9.1843422643598895</v>
      </c>
      <c r="AR50" s="825">
        <f t="shared" si="10"/>
        <v>14.1432</v>
      </c>
      <c r="AS50" s="368">
        <v>11.5326664196616</v>
      </c>
      <c r="AT50" s="368">
        <v>9.2046556741028098</v>
      </c>
      <c r="AU50" s="368">
        <v>10.7262150497279</v>
      </c>
      <c r="AV50" s="368">
        <v>9.3113645965357001</v>
      </c>
      <c r="AW50" s="826">
        <v>8.0271604938271608</v>
      </c>
      <c r="AX50" s="825">
        <f t="shared" si="11"/>
        <v>12.5441</v>
      </c>
      <c r="AY50" s="368">
        <v>5.2099114328871901</v>
      </c>
      <c r="AZ50" s="368">
        <v>4.6320341329997197</v>
      </c>
      <c r="BA50" s="368">
        <v>5.6791544496353099</v>
      </c>
      <c r="BB50" s="368">
        <v>5.6690001212186596</v>
      </c>
      <c r="BC50" s="826">
        <v>5.2383286313449604</v>
      </c>
      <c r="BD50" s="825">
        <f t="shared" si="21"/>
        <v>7.4827000000000004</v>
      </c>
      <c r="BE50" s="368">
        <v>6.4001431778441704</v>
      </c>
      <c r="BF50" s="368">
        <v>4.8363259735022304</v>
      </c>
      <c r="BG50" s="368">
        <v>6.1715329463913404</v>
      </c>
      <c r="BH50" s="368">
        <v>5.4748344797844402</v>
      </c>
      <c r="BI50" s="826">
        <v>4.73882668145305</v>
      </c>
      <c r="BJ50" s="23"/>
      <c r="BK50" s="566" t="str">
        <f t="shared" si="15"/>
        <v>1Q16</v>
      </c>
      <c r="BL50" s="825">
        <f t="shared" si="16"/>
        <v>36.546399999999998</v>
      </c>
      <c r="BM50" s="368">
        <v>8.7278773820466</v>
      </c>
      <c r="BN50" s="368">
        <v>10.981358189081201</v>
      </c>
      <c r="BO50" s="368">
        <v>18.6636395296049</v>
      </c>
      <c r="BP50" s="368">
        <v>17.144196181385301</v>
      </c>
      <c r="BQ50" s="826">
        <v>14.213143045327</v>
      </c>
      <c r="BR50" s="825">
        <f t="shared" si="17"/>
        <v>14.1432</v>
      </c>
      <c r="BS50" s="368">
        <v>9.0682967959527794</v>
      </c>
      <c r="BT50" s="368">
        <v>10.6098031648012</v>
      </c>
      <c r="BU50" s="368">
        <v>14.1845479493177</v>
      </c>
      <c r="BV50" s="368">
        <v>12.6292508009654</v>
      </c>
      <c r="BW50" s="826">
        <v>14.7355543007717</v>
      </c>
      <c r="BX50" s="825">
        <f t="shared" si="18"/>
        <v>12.5441</v>
      </c>
      <c r="BY50" s="368">
        <v>5.2022216107864798</v>
      </c>
      <c r="BZ50" s="368">
        <v>4.8894015398405699</v>
      </c>
      <c r="CA50" s="368">
        <v>10.3988669282679</v>
      </c>
      <c r="CB50" s="368">
        <v>12.060953090903</v>
      </c>
      <c r="CC50" s="826">
        <v>10.432918866032299</v>
      </c>
      <c r="CD50" s="825">
        <f t="shared" si="22"/>
        <v>7.4827000000000004</v>
      </c>
      <c r="CE50" s="368">
        <v>5.4005266591104304</v>
      </c>
      <c r="CF50" s="368">
        <v>6.0121299580673702</v>
      </c>
      <c r="CG50" s="368">
        <v>9.2814803373105494</v>
      </c>
      <c r="CH50" s="368">
        <v>7.9211118503344</v>
      </c>
      <c r="CI50" s="826">
        <v>10.098826534220001</v>
      </c>
    </row>
    <row r="51" spans="1:87" ht="14.45" customHeight="1">
      <c r="A51" s="23"/>
      <c r="B51" s="23"/>
      <c r="C51" s="460" t="s">
        <v>424</v>
      </c>
      <c r="D51" s="460"/>
      <c r="E51" s="460"/>
      <c r="F51" s="460"/>
      <c r="G51" s="460"/>
      <c r="H51" s="460"/>
      <c r="I51" s="189">
        <f>IF(I50=4,1,I50+1)</f>
        <v>2</v>
      </c>
      <c r="J51" s="461">
        <f t="shared" si="20"/>
        <v>2016</v>
      </c>
      <c r="K51" s="566" t="str">
        <f t="shared" si="9"/>
        <v>2Q16</v>
      </c>
      <c r="L51" s="825">
        <v>26.028199999999998</v>
      </c>
      <c r="M51" s="368">
        <v>10.070600000000001</v>
      </c>
      <c r="N51" s="368">
        <v>17.213999999999999</v>
      </c>
      <c r="O51" s="368">
        <v>15.4931</v>
      </c>
      <c r="P51" s="368">
        <v>10.739000000000001</v>
      </c>
      <c r="Q51" s="826">
        <v>22.067299999999999</v>
      </c>
      <c r="R51" s="825">
        <v>12.7056</v>
      </c>
      <c r="S51" s="368">
        <v>10.0778</v>
      </c>
      <c r="T51" s="368">
        <v>12.834199999999999</v>
      </c>
      <c r="U51" s="368"/>
      <c r="V51" s="368">
        <v>13.235300000000001</v>
      </c>
      <c r="W51" s="826">
        <v>20.338699999999999</v>
      </c>
      <c r="X51" s="825">
        <v>9.1982999999999997</v>
      </c>
      <c r="Y51" s="368">
        <v>4.2385999999999999</v>
      </c>
      <c r="Z51" s="368"/>
      <c r="AA51" s="368"/>
      <c r="AB51" s="368">
        <v>7.7263999999999999</v>
      </c>
      <c r="AC51" s="826">
        <v>11.168100000000001</v>
      </c>
      <c r="AD51" s="368">
        <v>7.2656000000000001</v>
      </c>
      <c r="AE51" s="368"/>
      <c r="AF51" s="368">
        <v>9.2461000000000002</v>
      </c>
      <c r="AG51" s="368">
        <v>16.355599999999999</v>
      </c>
      <c r="AH51" s="368">
        <v>8.7988999999999997</v>
      </c>
      <c r="AI51" s="826">
        <v>11.168100000000001</v>
      </c>
      <c r="AJ51" s="23"/>
      <c r="AK51" s="566" t="str">
        <f t="shared" si="13"/>
        <v>2Q16</v>
      </c>
      <c r="AL51" s="825">
        <f t="shared" si="14"/>
        <v>26.028199999999998</v>
      </c>
      <c r="AM51" s="368">
        <v>10.939313538814</v>
      </c>
      <c r="AN51" s="368">
        <v>8.6596550540837605</v>
      </c>
      <c r="AO51" s="368">
        <v>10.0778388743355</v>
      </c>
      <c r="AP51" s="368">
        <v>10.943077827921501</v>
      </c>
      <c r="AQ51" s="826">
        <v>11.533681842924199</v>
      </c>
      <c r="AR51" s="825">
        <f t="shared" si="10"/>
        <v>12.7056</v>
      </c>
      <c r="AS51" s="368">
        <v>10.9842894548917</v>
      </c>
      <c r="AT51" s="368">
        <v>9.1373715521903698</v>
      </c>
      <c r="AU51" s="368">
        <v>10.4030363274896</v>
      </c>
      <c r="AV51" s="368">
        <v>9.9056199056199006</v>
      </c>
      <c r="AW51" s="826">
        <v>8.4861460957178796</v>
      </c>
      <c r="AX51" s="825">
        <f t="shared" si="11"/>
        <v>9.1982999999999997</v>
      </c>
      <c r="AY51" s="368">
        <v>6.3212617783667797</v>
      </c>
      <c r="AZ51" s="368">
        <v>4.5769500874110598</v>
      </c>
      <c r="BA51" s="368">
        <v>5.7602046379062797</v>
      </c>
      <c r="BB51" s="368">
        <v>17.2533686233174</v>
      </c>
      <c r="BC51" s="826">
        <v>4.8420267576111904</v>
      </c>
      <c r="BD51" s="825">
        <f t="shared" si="21"/>
        <v>7.2656000000000001</v>
      </c>
      <c r="BE51" s="368">
        <v>6.78215566248927</v>
      </c>
      <c r="BF51" s="368">
        <v>5.09924907976123</v>
      </c>
      <c r="BG51" s="368">
        <v>6.1027920648129204</v>
      </c>
      <c r="BH51" s="368">
        <v>5.6231538759320303</v>
      </c>
      <c r="BI51" s="826">
        <v>4.4171100759988402</v>
      </c>
      <c r="BJ51" s="23"/>
      <c r="BK51" s="566" t="str">
        <f t="shared" si="15"/>
        <v>2Q16</v>
      </c>
      <c r="BL51" s="825">
        <f t="shared" si="16"/>
        <v>26.028199999999998</v>
      </c>
      <c r="BM51" s="368">
        <v>10.410691881697</v>
      </c>
      <c r="BN51" s="368">
        <v>11.1961858862244</v>
      </c>
      <c r="BO51" s="368">
        <v>14.1480637413155</v>
      </c>
      <c r="BP51" s="368">
        <v>14.881808397399199</v>
      </c>
      <c r="BQ51" s="826">
        <v>15.085911145988399</v>
      </c>
      <c r="BR51" s="825">
        <f t="shared" si="17"/>
        <v>12.7056</v>
      </c>
      <c r="BS51" s="368">
        <v>9.8405996046562692</v>
      </c>
      <c r="BT51" s="368">
        <v>10.3459834789896</v>
      </c>
      <c r="BU51" s="368">
        <v>13.4242627318696</v>
      </c>
      <c r="BV51" s="368">
        <v>13.4783838217687</v>
      </c>
      <c r="BW51" s="826">
        <v>15.403831705484601</v>
      </c>
      <c r="BX51" s="825">
        <f t="shared" si="18"/>
        <v>9.1982999999999997</v>
      </c>
      <c r="BY51" s="368">
        <v>5.7814877370529096</v>
      </c>
      <c r="BZ51" s="368">
        <v>4.7203507561979903</v>
      </c>
      <c r="CA51" s="368">
        <v>9.1583822684634502</v>
      </c>
      <c r="CB51" s="368">
        <v>9.0303024554116096</v>
      </c>
      <c r="CC51" s="826">
        <v>10.3128599049214</v>
      </c>
      <c r="CD51" s="825">
        <f t="shared" si="22"/>
        <v>7.2656000000000001</v>
      </c>
      <c r="CE51" s="368">
        <v>5.9061216351418304</v>
      </c>
      <c r="CF51" s="368">
        <v>5.2990035348640001</v>
      </c>
      <c r="CG51" s="368">
        <v>7.8207329634217704</v>
      </c>
      <c r="CH51" s="368">
        <v>7.5038676076876598</v>
      </c>
      <c r="CI51" s="826">
        <v>8.6161712792805591</v>
      </c>
    </row>
    <row r="52" spans="1:87" ht="14.45" customHeight="1">
      <c r="A52" s="23"/>
      <c r="B52" s="23"/>
      <c r="C52" s="189"/>
      <c r="D52" s="23"/>
      <c r="E52" s="189" t="s">
        <v>406</v>
      </c>
      <c r="F52" s="189" t="s">
        <v>407</v>
      </c>
      <c r="G52" s="189" t="s">
        <v>408</v>
      </c>
      <c r="H52" s="189" t="s">
        <v>400</v>
      </c>
      <c r="I52" s="189">
        <f>I48</f>
        <v>3</v>
      </c>
      <c r="J52" s="461">
        <f t="shared" si="20"/>
        <v>2016</v>
      </c>
      <c r="K52" s="566" t="str">
        <f t="shared" si="9"/>
        <v>3Q16</v>
      </c>
      <c r="L52" s="825">
        <v>24.748100000000001</v>
      </c>
      <c r="M52" s="368">
        <v>12.632</v>
      </c>
      <c r="N52" s="368">
        <v>18.180499999999999</v>
      </c>
      <c r="O52" s="368">
        <v>17.891200000000001</v>
      </c>
      <c r="P52" s="368">
        <v>13.7262</v>
      </c>
      <c r="Q52" s="826">
        <v>23.480899999999998</v>
      </c>
      <c r="R52" s="825">
        <v>12.932499999999999</v>
      </c>
      <c r="S52" s="368">
        <v>12.4435</v>
      </c>
      <c r="T52" s="368">
        <v>14.530200000000001</v>
      </c>
      <c r="U52" s="368"/>
      <c r="V52" s="368">
        <v>16.169599999999999</v>
      </c>
      <c r="W52" s="826">
        <v>19.823899999999998</v>
      </c>
      <c r="X52" s="825">
        <v>7.0945999999999998</v>
      </c>
      <c r="Y52" s="368">
        <v>8.3963999999999999</v>
      </c>
      <c r="Z52" s="368"/>
      <c r="AA52" s="368"/>
      <c r="AB52" s="368">
        <v>8.8279999999999994</v>
      </c>
      <c r="AC52" s="826">
        <v>11.847799999999999</v>
      </c>
      <c r="AD52" s="368">
        <v>6.3377999999999997</v>
      </c>
      <c r="AE52" s="368"/>
      <c r="AF52" s="368">
        <v>9.5878999999999994</v>
      </c>
      <c r="AG52" s="368">
        <v>16.9846</v>
      </c>
      <c r="AH52" s="368">
        <v>10.620100000000001</v>
      </c>
      <c r="AI52" s="826">
        <v>11.847799999999999</v>
      </c>
      <c r="AJ52" s="23"/>
      <c r="AK52" s="566" t="str">
        <f t="shared" si="13"/>
        <v>3Q16</v>
      </c>
      <c r="AL52" s="825">
        <f t="shared" si="14"/>
        <v>24.748100000000001</v>
      </c>
      <c r="AM52" s="368">
        <v>10.9747005408781</v>
      </c>
      <c r="AN52" s="368">
        <v>8.9090610294175505</v>
      </c>
      <c r="AO52" s="368">
        <v>9.9958445579010906</v>
      </c>
      <c r="AP52" s="368">
        <v>11.0516739030497</v>
      </c>
      <c r="AQ52" s="826">
        <v>13.498755567423601</v>
      </c>
      <c r="AR52" s="825">
        <f t="shared" si="10"/>
        <v>12.932499999999999</v>
      </c>
      <c r="AS52" s="368">
        <v>10.7964205816555</v>
      </c>
      <c r="AT52" s="368">
        <v>9.9545906059315996</v>
      </c>
      <c r="AU52" s="368">
        <v>11.0217472815898</v>
      </c>
      <c r="AV52" s="368">
        <v>10.410453270338101</v>
      </c>
      <c r="AW52" s="826">
        <v>9.4330143540669908</v>
      </c>
      <c r="AX52" s="825">
        <f t="shared" si="11"/>
        <v>7.0945999999999998</v>
      </c>
      <c r="AY52" s="368">
        <v>6.2522265132100596</v>
      </c>
      <c r="AZ52" s="368">
        <v>4.8395278735310798</v>
      </c>
      <c r="BA52" s="368">
        <v>5.8358753185715804</v>
      </c>
      <c r="BB52" s="368">
        <v>17.595878849189798</v>
      </c>
      <c r="BC52" s="826">
        <v>5.6852747232923804</v>
      </c>
      <c r="BD52" s="825">
        <f t="shared" si="21"/>
        <v>6.3377999999999997</v>
      </c>
      <c r="BE52" s="368">
        <v>6.4006594115313096</v>
      </c>
      <c r="BF52" s="368">
        <v>5.3891891710549098</v>
      </c>
      <c r="BG52" s="368">
        <v>6.3709681153098501</v>
      </c>
      <c r="BH52" s="368">
        <v>6.0659536779070899</v>
      </c>
      <c r="BI52" s="826">
        <v>5.2266664649215997</v>
      </c>
      <c r="BJ52" s="23"/>
      <c r="BK52" s="566" t="str">
        <f t="shared" si="15"/>
        <v>3Q16</v>
      </c>
      <c r="BL52" s="825">
        <f t="shared" si="16"/>
        <v>24.748100000000001</v>
      </c>
      <c r="BM52" s="368">
        <v>11.397949234108101</v>
      </c>
      <c r="BN52" s="368">
        <v>10.6559916715208</v>
      </c>
      <c r="BO52" s="368">
        <v>16.3110862969049</v>
      </c>
      <c r="BP52" s="368">
        <v>16.9422737201693</v>
      </c>
      <c r="BQ52" s="826">
        <v>16.594655252830901</v>
      </c>
      <c r="BR52" s="825">
        <f t="shared" si="17"/>
        <v>12.932499999999999</v>
      </c>
      <c r="BS52" s="368">
        <v>10.861745972274299</v>
      </c>
      <c r="BT52" s="368">
        <v>10.012810061721201</v>
      </c>
      <c r="BU52" s="368">
        <v>13.252315067382201</v>
      </c>
      <c r="BV52" s="368">
        <v>14.4974502069346</v>
      </c>
      <c r="BW52" s="826">
        <v>15.2838213643056</v>
      </c>
      <c r="BX52" s="825">
        <f t="shared" si="18"/>
        <v>7.0945999999999998</v>
      </c>
      <c r="BY52" s="368">
        <v>6.1782432602623603</v>
      </c>
      <c r="BZ52" s="368">
        <v>5.3687123589161496</v>
      </c>
      <c r="CA52" s="368">
        <v>9.7439555047569293</v>
      </c>
      <c r="CB52" s="368">
        <v>10.559128703337301</v>
      </c>
      <c r="CC52" s="826">
        <v>10.940341244788</v>
      </c>
      <c r="CD52" s="825">
        <f t="shared" si="22"/>
        <v>6.3377999999999997</v>
      </c>
      <c r="CE52" s="368">
        <v>6.05796027145949</v>
      </c>
      <c r="CF52" s="368">
        <v>6.0386841822049799</v>
      </c>
      <c r="CG52" s="368">
        <v>7.7790305096280203</v>
      </c>
      <c r="CH52" s="368">
        <v>9.0216648635803995</v>
      </c>
      <c r="CI52" s="826">
        <v>9.7673827715197099</v>
      </c>
    </row>
    <row r="53" spans="1:87" ht="14.45" customHeight="1">
      <c r="A53" s="23"/>
      <c r="B53" s="23"/>
      <c r="C53" s="23" t="s">
        <v>427</v>
      </c>
      <c r="D53" s="23"/>
      <c r="E53" s="345">
        <f>AVERAGE(AM81:AQ88)</f>
        <v>20.159764530508998</v>
      </c>
      <c r="F53" s="345">
        <f>AVERAGE(AS81:AW88)</f>
        <v>18.925435296733532</v>
      </c>
      <c r="G53" s="345">
        <f>AVERAGE(AY81:BC88)</f>
        <v>17.148688513417831</v>
      </c>
      <c r="H53" s="345">
        <f>AVERAGE(BE81:BI88)</f>
        <v>13.001436930482221</v>
      </c>
      <c r="I53" s="189">
        <f>IF(I52=4,1,I52+1)</f>
        <v>4</v>
      </c>
      <c r="J53" s="461">
        <f t="shared" si="20"/>
        <v>2016</v>
      </c>
      <c r="K53" s="566" t="str">
        <f t="shared" si="9"/>
        <v>4Q16</v>
      </c>
      <c r="L53" s="825">
        <v>26.666499999999999</v>
      </c>
      <c r="M53" s="368">
        <v>13.1515</v>
      </c>
      <c r="N53" s="368">
        <v>20.420300000000001</v>
      </c>
      <c r="O53" s="368">
        <v>76.624399999999994</v>
      </c>
      <c r="P53" s="368">
        <v>21.592400000000001</v>
      </c>
      <c r="Q53" s="826">
        <v>24.593699999999998</v>
      </c>
      <c r="R53" s="825">
        <v>16.392299999999999</v>
      </c>
      <c r="S53" s="368">
        <v>13.6648</v>
      </c>
      <c r="T53" s="368">
        <v>17.9573</v>
      </c>
      <c r="U53" s="368">
        <v>23.218</v>
      </c>
      <c r="V53" s="368">
        <v>20.8231</v>
      </c>
      <c r="W53" s="826">
        <v>21.365100000000002</v>
      </c>
      <c r="X53" s="825">
        <v>8.4379000000000008</v>
      </c>
      <c r="Y53" s="368">
        <v>8.5181000000000004</v>
      </c>
      <c r="Z53" s="368">
        <v>50.366799999999998</v>
      </c>
      <c r="AA53" s="368">
        <v>50.366799999999998</v>
      </c>
      <c r="AB53" s="368">
        <v>9.5274000000000001</v>
      </c>
      <c r="AC53" s="826">
        <v>12.341200000000001</v>
      </c>
      <c r="AD53" s="368">
        <v>5.1323999999999996</v>
      </c>
      <c r="AE53" s="368">
        <v>8.6950000000000003</v>
      </c>
      <c r="AF53" s="368">
        <v>10.3034</v>
      </c>
      <c r="AG53" s="368">
        <v>13.9697</v>
      </c>
      <c r="AH53" s="368">
        <v>6.9451999999999998</v>
      </c>
      <c r="AI53" s="826">
        <v>12.341200000000001</v>
      </c>
      <c r="AJ53" s="23"/>
      <c r="AK53" s="566" t="str">
        <f t="shared" si="13"/>
        <v>4Q16</v>
      </c>
      <c r="AL53" s="825">
        <f t="shared" si="14"/>
        <v>26.666499999999999</v>
      </c>
      <c r="AM53" s="368">
        <v>11.9782130374776</v>
      </c>
      <c r="AN53" s="368">
        <v>10.1920161063397</v>
      </c>
      <c r="AO53" s="368">
        <v>11.0652994919033</v>
      </c>
      <c r="AP53" s="368">
        <v>12.1382016308239</v>
      </c>
      <c r="AQ53" s="826">
        <v>13.1569455274973</v>
      </c>
      <c r="AR53" s="825">
        <f t="shared" si="10"/>
        <v>16.392299999999999</v>
      </c>
      <c r="AS53" s="368">
        <v>12.041745309204</v>
      </c>
      <c r="AT53" s="368">
        <v>11.5031953320367</v>
      </c>
      <c r="AU53" s="368">
        <v>12.081125525306</v>
      </c>
      <c r="AV53" s="368">
        <v>11.602725522144899</v>
      </c>
      <c r="AW53" s="826">
        <v>9.0543735224586293</v>
      </c>
      <c r="AX53" s="825">
        <f t="shared" si="11"/>
        <v>8.4379000000000008</v>
      </c>
      <c r="AY53" s="368">
        <v>6.7806384916956501</v>
      </c>
      <c r="AZ53" s="368">
        <v>5.6668475002618903</v>
      </c>
      <c r="BA53" s="368">
        <v>6.6173009488541998</v>
      </c>
      <c r="BB53" s="368">
        <v>19.9828410370048</v>
      </c>
      <c r="BC53" s="826">
        <v>6.5182717307446802</v>
      </c>
      <c r="BD53" s="825">
        <f t="shared" si="21"/>
        <v>5.1323999999999996</v>
      </c>
      <c r="BE53" s="368">
        <v>7.0939731276136504</v>
      </c>
      <c r="BF53" s="368">
        <v>6.3386203367406901</v>
      </c>
      <c r="BG53" s="368">
        <v>7.2843249653187199</v>
      </c>
      <c r="BH53" s="368">
        <v>6.6810589837152801</v>
      </c>
      <c r="BI53" s="826">
        <v>5.7374152984278499</v>
      </c>
      <c r="BJ53" s="23"/>
      <c r="BK53" s="566" t="str">
        <f t="shared" si="15"/>
        <v>4Q16</v>
      </c>
      <c r="BL53" s="825">
        <f t="shared" si="16"/>
        <v>26.666499999999999</v>
      </c>
      <c r="BM53" s="368">
        <v>12.7998713961279</v>
      </c>
      <c r="BN53" s="368">
        <v>9.88599170185066</v>
      </c>
      <c r="BO53" s="368">
        <v>16.8796644924156</v>
      </c>
      <c r="BP53" s="368">
        <v>17.154354094817101</v>
      </c>
      <c r="BQ53" s="826">
        <v>16.296834549429501</v>
      </c>
      <c r="BR53" s="825">
        <f t="shared" si="17"/>
        <v>16.392299999999999</v>
      </c>
      <c r="BS53" s="368">
        <v>12.059941520467801</v>
      </c>
      <c r="BT53" s="368">
        <v>9.5431054733380307</v>
      </c>
      <c r="BU53" s="368">
        <v>13.428566244578301</v>
      </c>
      <c r="BV53" s="368">
        <v>15.258964312591599</v>
      </c>
      <c r="BW53" s="826">
        <v>15.211129296235701</v>
      </c>
      <c r="BX53" s="825">
        <f t="shared" si="18"/>
        <v>8.4379000000000008</v>
      </c>
      <c r="BY53" s="368">
        <v>8.31815669163724</v>
      </c>
      <c r="BZ53" s="368">
        <v>4.3612406942406299</v>
      </c>
      <c r="CA53" s="368">
        <v>9.9897928444639295</v>
      </c>
      <c r="CB53" s="368">
        <v>10.904739652265199</v>
      </c>
      <c r="CC53" s="826">
        <v>10.2848031066489</v>
      </c>
      <c r="CD53" s="825">
        <f t="shared" si="22"/>
        <v>5.1323999999999996</v>
      </c>
      <c r="CE53" s="368">
        <v>8.6052754409505301</v>
      </c>
      <c r="CF53" s="368">
        <v>5.3071131009190902</v>
      </c>
      <c r="CG53" s="368">
        <v>8.22929198083086</v>
      </c>
      <c r="CH53" s="368">
        <v>9.5034929444433693</v>
      </c>
      <c r="CI53" s="826">
        <v>9.4614600438574801</v>
      </c>
    </row>
    <row r="54" spans="1:87" ht="14.45" customHeight="1">
      <c r="A54" s="23"/>
      <c r="B54" s="23"/>
      <c r="C54" s="23" t="s">
        <v>426</v>
      </c>
      <c r="D54" s="23"/>
      <c r="E54" s="345">
        <f>AVERAGE(AM77:AQ88)</f>
        <v>18.505763618554123</v>
      </c>
      <c r="F54" s="345">
        <f>AVERAGE(AS77:AW88)</f>
        <v>17.738741880326391</v>
      </c>
      <c r="G54" s="345">
        <f>AVERAGE(AY77:BC88)</f>
        <v>15.036301543746822</v>
      </c>
      <c r="H54" s="345">
        <f>AVERAGE(BE77:BI88)</f>
        <v>12.620412007088776</v>
      </c>
      <c r="I54" s="189">
        <f>IF(I53+1=5,1,I53+1)</f>
        <v>1</v>
      </c>
      <c r="J54" s="461">
        <f t="shared" si="20"/>
        <v>2017</v>
      </c>
      <c r="K54" s="566" t="str">
        <f t="shared" si="9"/>
        <v>1Q17</v>
      </c>
      <c r="L54" s="825">
        <v>19.281700000000001</v>
      </c>
      <c r="M54" s="368">
        <v>13.3155</v>
      </c>
      <c r="N54" s="368">
        <v>20.4575</v>
      </c>
      <c r="O54" s="368">
        <v>26.008500000000002</v>
      </c>
      <c r="P54" s="368">
        <v>22.383700000000001</v>
      </c>
      <c r="Q54" s="826">
        <v>22.440799999999999</v>
      </c>
      <c r="R54" s="825">
        <v>16.232500000000002</v>
      </c>
      <c r="S54" s="368">
        <v>14.0299</v>
      </c>
      <c r="T54" s="368">
        <v>19.441299999999998</v>
      </c>
      <c r="U54" s="368">
        <v>21.9313</v>
      </c>
      <c r="V54" s="368">
        <v>20.732399999999998</v>
      </c>
      <c r="W54" s="826">
        <v>20.583400000000001</v>
      </c>
      <c r="X54" s="825">
        <v>8.1998999999999995</v>
      </c>
      <c r="Y54" s="368">
        <v>9.1364999999999998</v>
      </c>
      <c r="Z54" s="368">
        <v>66.361500000000007</v>
      </c>
      <c r="AA54" s="368">
        <v>66.361500000000007</v>
      </c>
      <c r="AB54" s="368">
        <v>12.0505</v>
      </c>
      <c r="AC54" s="826">
        <v>11.4298</v>
      </c>
      <c r="AD54" s="368">
        <v>3.1387999999999998</v>
      </c>
      <c r="AE54" s="368">
        <v>5.4574999999999996</v>
      </c>
      <c r="AF54" s="368">
        <v>10.824199999999999</v>
      </c>
      <c r="AG54" s="368">
        <v>12.927099999999999</v>
      </c>
      <c r="AH54" s="368">
        <v>5.5110999999999999</v>
      </c>
      <c r="AI54" s="826">
        <v>11.4298</v>
      </c>
      <c r="AJ54" s="23"/>
      <c r="AK54" s="566" t="str">
        <f>$K54</f>
        <v>1Q17</v>
      </c>
      <c r="AL54" s="825">
        <f t="shared" si="14"/>
        <v>19.281700000000001</v>
      </c>
      <c r="AM54" s="368">
        <v>13.61392571717</v>
      </c>
      <c r="AN54" s="368">
        <v>11.2813752145605</v>
      </c>
      <c r="AO54" s="368">
        <v>12.858861853077601</v>
      </c>
      <c r="AP54" s="368">
        <v>13.2005714616677</v>
      </c>
      <c r="AQ54" s="826">
        <v>15.609702474398899</v>
      </c>
      <c r="AR54" s="825">
        <f t="shared" si="10"/>
        <v>16.232500000000002</v>
      </c>
      <c r="AS54" s="368">
        <v>13.3532244556114</v>
      </c>
      <c r="AT54" s="368">
        <v>12.3698221010258</v>
      </c>
      <c r="AU54" s="368">
        <v>13.561499208164699</v>
      </c>
      <c r="AV54" s="368">
        <v>12.572906191639101</v>
      </c>
      <c r="AW54" s="826">
        <v>10.616822429906501</v>
      </c>
      <c r="AX54" s="825">
        <f t="shared" si="11"/>
        <v>8.1998999999999995</v>
      </c>
      <c r="AY54" s="368">
        <v>7.7770805792906197</v>
      </c>
      <c r="AZ54" s="368">
        <v>6.2543088314255302</v>
      </c>
      <c r="BA54" s="368">
        <v>7.5394697268294202</v>
      </c>
      <c r="BB54" s="368">
        <v>21.457728598780601</v>
      </c>
      <c r="BC54" s="826">
        <v>7.6117751832051903</v>
      </c>
      <c r="BD54" s="825">
        <f t="shared" si="21"/>
        <v>3.1387999999999998</v>
      </c>
      <c r="BE54" s="368">
        <v>7.8494887814227701</v>
      </c>
      <c r="BF54" s="368">
        <v>6.6309938124452001</v>
      </c>
      <c r="BG54" s="368">
        <v>7.9693008206548201</v>
      </c>
      <c r="BH54" s="368">
        <v>7.1844435802312399</v>
      </c>
      <c r="BI54" s="826">
        <v>6.6235016333890897</v>
      </c>
      <c r="BJ54" s="23"/>
      <c r="BK54" s="566" t="str">
        <f>$K54</f>
        <v>1Q17</v>
      </c>
      <c r="BL54" s="825">
        <f t="shared" si="16"/>
        <v>19.281700000000001</v>
      </c>
      <c r="BM54" s="368">
        <v>14.9862401518031</v>
      </c>
      <c r="BN54" s="368">
        <v>9.1330031881912603</v>
      </c>
      <c r="BO54" s="368">
        <v>17.601504697710901</v>
      </c>
      <c r="BP54" s="368">
        <v>17.716476072070002</v>
      </c>
      <c r="BQ54" s="826">
        <v>18.2145269890738</v>
      </c>
      <c r="BR54" s="825">
        <f t="shared" si="17"/>
        <v>16.232500000000002</v>
      </c>
      <c r="BS54" s="368">
        <v>13.265468426912699</v>
      </c>
      <c r="BT54" s="368">
        <v>9.1841570751523296</v>
      </c>
      <c r="BU54" s="368">
        <v>13.8673284698068</v>
      </c>
      <c r="BV54" s="368">
        <v>15.9802470919811</v>
      </c>
      <c r="BW54" s="826">
        <v>17.520311992200199</v>
      </c>
      <c r="BX54" s="825">
        <f t="shared" si="18"/>
        <v>8.1998999999999995</v>
      </c>
      <c r="BY54" s="368">
        <v>7.2208145104475596</v>
      </c>
      <c r="BZ54" s="368">
        <v>4.0539397398064798</v>
      </c>
      <c r="CA54" s="368">
        <v>10.600398887944101</v>
      </c>
      <c r="CB54" s="368">
        <v>11.019232208217501</v>
      </c>
      <c r="CC54" s="826">
        <v>11.200809889294501</v>
      </c>
      <c r="CD54" s="825">
        <f t="shared" si="22"/>
        <v>3.1387999999999998</v>
      </c>
      <c r="CE54" s="368">
        <v>6.9112131795103</v>
      </c>
      <c r="CF54" s="368">
        <v>4.8679646795903597</v>
      </c>
      <c r="CG54" s="368">
        <v>9.2467997269908206</v>
      </c>
      <c r="CH54" s="368">
        <v>10.154798257915299</v>
      </c>
      <c r="CI54" s="826">
        <v>10.8621545004283</v>
      </c>
    </row>
    <row r="55" spans="1:87" ht="14.45" customHeight="1">
      <c r="A55" s="23"/>
      <c r="B55" s="23"/>
      <c r="C55" s="23" t="s">
        <v>396</v>
      </c>
      <c r="D55" s="23"/>
      <c r="E55" s="345">
        <f>AVERAGE(AM73:AQ88)</f>
        <v>18.326618171464926</v>
      </c>
      <c r="F55" s="345">
        <f>AVERAGE(AS73:AW88)</f>
        <v>17.228474053416715</v>
      </c>
      <c r="G55" s="345">
        <f>AVERAGE(AY73:BC88)</f>
        <v>14.165075621526706</v>
      </c>
      <c r="H55" s="345">
        <f>AVERAGE(BE73:BI88)</f>
        <v>12.263105499342005</v>
      </c>
      <c r="I55" s="189">
        <f>IF(I54=4,1,I54+1)</f>
        <v>2</v>
      </c>
      <c r="J55" s="461">
        <f t="shared" si="20"/>
        <v>2017</v>
      </c>
      <c r="K55" s="566" t="str">
        <f t="shared" si="9"/>
        <v>2Q17</v>
      </c>
      <c r="L55" s="825">
        <v>16.0852</v>
      </c>
      <c r="M55" s="368">
        <v>12.3337</v>
      </c>
      <c r="N55" s="368">
        <v>17.61</v>
      </c>
      <c r="O55" s="368">
        <v>18.8963</v>
      </c>
      <c r="P55" s="368">
        <v>19.425000000000001</v>
      </c>
      <c r="Q55" s="826">
        <v>22.254100000000001</v>
      </c>
      <c r="R55" s="825">
        <v>13.81</v>
      </c>
      <c r="S55" s="368">
        <v>13.4641</v>
      </c>
      <c r="T55" s="368">
        <v>17.879100000000001</v>
      </c>
      <c r="U55" s="368">
        <v>22.4693</v>
      </c>
      <c r="V55" s="368">
        <v>18.840900000000001</v>
      </c>
      <c r="W55" s="826">
        <v>21.9925</v>
      </c>
      <c r="X55" s="825">
        <v>7.5885999999999996</v>
      </c>
      <c r="Y55" s="368">
        <v>8.3760999999999992</v>
      </c>
      <c r="Z55" s="368">
        <v>62.507899999999999</v>
      </c>
      <c r="AA55" s="368">
        <v>62.507899999999999</v>
      </c>
      <c r="AB55" s="368">
        <v>11.3309</v>
      </c>
      <c r="AC55" s="826">
        <v>11.6625</v>
      </c>
      <c r="AD55" s="368">
        <v>8.8341999999999992</v>
      </c>
      <c r="AE55" s="368">
        <v>11.6273</v>
      </c>
      <c r="AF55" s="368">
        <v>15.9603</v>
      </c>
      <c r="AG55" s="368"/>
      <c r="AH55" s="368">
        <v>12.481999999999999</v>
      </c>
      <c r="AI55" s="826">
        <v>11.6625</v>
      </c>
      <c r="AJ55" s="23"/>
      <c r="AK55" s="566" t="str">
        <f t="shared" si="13"/>
        <v>2Q17</v>
      </c>
      <c r="AL55" s="825">
        <f t="shared" si="14"/>
        <v>16.0852</v>
      </c>
      <c r="AM55" s="368">
        <v>14.899093867297999</v>
      </c>
      <c r="AN55" s="368">
        <v>13.4652467749377</v>
      </c>
      <c r="AO55" s="368">
        <v>14.8842735424243</v>
      </c>
      <c r="AP55" s="368">
        <v>13.457771119862601</v>
      </c>
      <c r="AQ55" s="826">
        <v>83.653846153846104</v>
      </c>
      <c r="AR55" s="825">
        <f t="shared" si="10"/>
        <v>13.81</v>
      </c>
      <c r="AS55" s="368">
        <v>15.3669629935911</v>
      </c>
      <c r="AT55" s="368">
        <v>14.1145320197044</v>
      </c>
      <c r="AU55" s="368">
        <v>15.565471082889999</v>
      </c>
      <c r="AV55" s="368">
        <v>13.595617529880499</v>
      </c>
      <c r="AW55" s="826">
        <v>10.0694444444444</v>
      </c>
      <c r="AX55" s="825">
        <f t="shared" si="11"/>
        <v>7.5885999999999996</v>
      </c>
      <c r="AY55" s="368">
        <v>9.3088036269655703</v>
      </c>
      <c r="AZ55" s="368">
        <v>7.2477448823505997</v>
      </c>
      <c r="BA55" s="368">
        <v>8.7422728427725698</v>
      </c>
      <c r="BB55" s="368">
        <v>7.6902364817677302</v>
      </c>
      <c r="BC55" s="826">
        <v>6.9857466980330596</v>
      </c>
      <c r="BD55" s="825">
        <f t="shared" si="21"/>
        <v>8.8341999999999992</v>
      </c>
      <c r="BE55" s="368">
        <v>8.4763377880131205</v>
      </c>
      <c r="BF55" s="368">
        <v>7.4726684860347303</v>
      </c>
      <c r="BG55" s="368">
        <v>8.5401097886188708</v>
      </c>
      <c r="BH55" s="368">
        <v>7.4476937680323898</v>
      </c>
      <c r="BI55" s="826">
        <v>6.37364243076596</v>
      </c>
      <c r="BJ55" s="23"/>
      <c r="BK55" s="566" t="str">
        <f t="shared" si="15"/>
        <v>2Q17</v>
      </c>
      <c r="BL55" s="825">
        <f t="shared" si="16"/>
        <v>16.0852</v>
      </c>
      <c r="BM55" s="368">
        <v>16.2012154925796</v>
      </c>
      <c r="BN55" s="368">
        <v>9.7899129487758092</v>
      </c>
      <c r="BO55" s="368">
        <v>20.0747118434189</v>
      </c>
      <c r="BP55" s="368">
        <v>16.408602409626901</v>
      </c>
      <c r="BQ55" s="826">
        <v>18.1950160365563</v>
      </c>
      <c r="BR55" s="825">
        <f t="shared" si="17"/>
        <v>13.81</v>
      </c>
      <c r="BS55" s="368">
        <v>16.6014625228519</v>
      </c>
      <c r="BT55" s="368">
        <v>10.950839328537199</v>
      </c>
      <c r="BU55" s="368">
        <v>16.459301613927899</v>
      </c>
      <c r="BV55" s="368">
        <v>17.586830299998802</v>
      </c>
      <c r="BW55" s="826">
        <v>18.504065040650399</v>
      </c>
      <c r="BX55" s="825">
        <f t="shared" si="18"/>
        <v>7.5885999999999996</v>
      </c>
      <c r="BY55" s="368">
        <v>7.1178990247401401</v>
      </c>
      <c r="BZ55" s="368">
        <v>4.2890281594581401</v>
      </c>
      <c r="CA55" s="368">
        <v>15.144914733762</v>
      </c>
      <c r="CB55" s="368">
        <v>11.4352152994917</v>
      </c>
      <c r="CC55" s="826">
        <v>11.102597606948899</v>
      </c>
      <c r="CD55" s="825">
        <f t="shared" si="22"/>
        <v>8.8341999999999992</v>
      </c>
      <c r="CE55" s="368">
        <v>7.5133221977130003</v>
      </c>
      <c r="CF55" s="368">
        <v>5.6327910831685397</v>
      </c>
      <c r="CG55" s="368">
        <v>9.1631024619332102</v>
      </c>
      <c r="CH55" s="368">
        <v>9.4597631359393599</v>
      </c>
      <c r="CI55" s="826">
        <v>10.199800616474</v>
      </c>
    </row>
    <row r="56" spans="1:87" ht="14.45" customHeight="1">
      <c r="A56" s="23"/>
      <c r="B56" s="23"/>
      <c r="C56" s="23" t="s">
        <v>428</v>
      </c>
      <c r="D56" s="23"/>
      <c r="E56" s="345">
        <f>AVERAGE(AM65:AQ88)</f>
        <v>19.23799270897959</v>
      </c>
      <c r="F56" s="345">
        <f>AVERAGE(AS65:AW88)</f>
        <v>18.025578576472153</v>
      </c>
      <c r="G56" s="345">
        <f>AVERAGE(AY65:BC88)</f>
        <v>13.503674791883482</v>
      </c>
      <c r="H56" s="345">
        <f>AVERAGE(BE65:BI88)</f>
        <v>12.192927047840513</v>
      </c>
      <c r="I56" s="189">
        <f>I52</f>
        <v>3</v>
      </c>
      <c r="J56" s="461">
        <f t="shared" si="20"/>
        <v>2017</v>
      </c>
      <c r="K56" s="566" t="str">
        <f t="shared" si="9"/>
        <v>3Q17</v>
      </c>
      <c r="L56" s="825">
        <v>17.362300000000001</v>
      </c>
      <c r="M56" s="368">
        <v>12.1265</v>
      </c>
      <c r="N56" s="368">
        <v>17.523399999999999</v>
      </c>
      <c r="O56" s="368">
        <v>10.495900000000001</v>
      </c>
      <c r="P56" s="368">
        <v>20.598099999999999</v>
      </c>
      <c r="Q56" s="826">
        <v>21.101299999999998</v>
      </c>
      <c r="R56" s="825">
        <v>15.3324</v>
      </c>
      <c r="S56" s="368">
        <v>12.8102</v>
      </c>
      <c r="T56" s="368">
        <v>19.1158</v>
      </c>
      <c r="U56" s="368">
        <v>23.721399999999999</v>
      </c>
      <c r="V56" s="368">
        <v>19.270399999999999</v>
      </c>
      <c r="W56" s="826">
        <v>17.862300000000001</v>
      </c>
      <c r="X56" s="825">
        <v>8.1623999999999999</v>
      </c>
      <c r="Y56" s="368">
        <v>7.8407999999999998</v>
      </c>
      <c r="Z56" s="368">
        <v>114.39449999999999</v>
      </c>
      <c r="AA56" s="368">
        <v>114.39449999999999</v>
      </c>
      <c r="AB56" s="368">
        <v>14.510199999999999</v>
      </c>
      <c r="AC56" s="826">
        <v>11.1784</v>
      </c>
      <c r="AD56" s="368">
        <v>7.0898000000000003</v>
      </c>
      <c r="AE56" s="368">
        <v>10.6622</v>
      </c>
      <c r="AF56" s="368">
        <v>15.428800000000001</v>
      </c>
      <c r="AG56" s="368"/>
      <c r="AH56" s="368">
        <v>75.262500000000003</v>
      </c>
      <c r="AI56" s="826">
        <v>11.1784</v>
      </c>
      <c r="AJ56" s="23"/>
      <c r="AK56" s="566" t="str">
        <f t="shared" si="13"/>
        <v>3Q17</v>
      </c>
      <c r="AL56" s="825">
        <f t="shared" si="14"/>
        <v>17.362300000000001</v>
      </c>
      <c r="AM56" s="368">
        <v>15.606776538093101</v>
      </c>
      <c r="AN56" s="368">
        <v>13.893918837352199</v>
      </c>
      <c r="AO56" s="368">
        <v>15.856414938254799</v>
      </c>
      <c r="AP56" s="368">
        <v>15.035329296764299</v>
      </c>
      <c r="AQ56" s="826">
        <v>79.653846153846104</v>
      </c>
      <c r="AR56" s="825">
        <f t="shared" si="10"/>
        <v>15.3324</v>
      </c>
      <c r="AS56" s="368">
        <v>15.385485391140399</v>
      </c>
      <c r="AT56" s="368">
        <v>13.9113767053783</v>
      </c>
      <c r="AU56" s="368">
        <v>14.2184801381693</v>
      </c>
      <c r="AV56" s="368">
        <v>15.102606766500299</v>
      </c>
      <c r="AW56" s="826">
        <v>10.5394402035623</v>
      </c>
      <c r="AX56" s="825">
        <f t="shared" si="11"/>
        <v>8.1623999999999999</v>
      </c>
      <c r="AY56" s="368">
        <v>9.5231854188198195</v>
      </c>
      <c r="AZ56" s="368">
        <v>7.7728979535042297</v>
      </c>
      <c r="BA56" s="368">
        <v>9.0760232030326708</v>
      </c>
      <c r="BB56" s="368">
        <v>8.8211581325825801</v>
      </c>
      <c r="BC56" s="826">
        <v>6.5831371911597696</v>
      </c>
      <c r="BD56" s="825">
        <f t="shared" si="21"/>
        <v>7.0898000000000003</v>
      </c>
      <c r="BE56" s="368">
        <v>8.7556190237559903</v>
      </c>
      <c r="BF56" s="368">
        <v>7.9119304202545404</v>
      </c>
      <c r="BG56" s="368">
        <v>8.4781336647996302</v>
      </c>
      <c r="BH56" s="368">
        <v>8.7691625251534209</v>
      </c>
      <c r="BI56" s="826">
        <v>6.3986023556328204</v>
      </c>
      <c r="BJ56" s="23"/>
      <c r="BK56" s="566" t="str">
        <f t="shared" si="15"/>
        <v>3Q17</v>
      </c>
      <c r="BL56" s="825">
        <f t="shared" si="16"/>
        <v>17.362300000000001</v>
      </c>
      <c r="BM56" s="368">
        <v>17.051631075941302</v>
      </c>
      <c r="BN56" s="368">
        <v>9.4996478957599901</v>
      </c>
      <c r="BO56" s="368">
        <v>18.027276007093</v>
      </c>
      <c r="BP56" s="368">
        <v>16.522340445452102</v>
      </c>
      <c r="BQ56" s="826">
        <v>18.345178251574499</v>
      </c>
      <c r="BR56" s="825">
        <f t="shared" si="17"/>
        <v>15.3324</v>
      </c>
      <c r="BS56" s="368">
        <v>17.112106078870301</v>
      </c>
      <c r="BT56" s="368">
        <v>10.8172504169645</v>
      </c>
      <c r="BU56" s="368">
        <v>14.665173097230401</v>
      </c>
      <c r="BV56" s="368">
        <v>15.914173013362699</v>
      </c>
      <c r="BW56" s="826">
        <v>17.086867505118501</v>
      </c>
      <c r="BX56" s="825">
        <f t="shared" si="18"/>
        <v>8.1623999999999999</v>
      </c>
      <c r="BY56" s="368">
        <v>7.6170450798860401</v>
      </c>
      <c r="BZ56" s="368">
        <v>4.9037833624295999</v>
      </c>
      <c r="CA56" s="368">
        <v>13.700333923274799</v>
      </c>
      <c r="CB56" s="368">
        <v>11.524812180155999</v>
      </c>
      <c r="CC56" s="826">
        <v>11.2269030250655</v>
      </c>
      <c r="CD56" s="825">
        <f t="shared" si="22"/>
        <v>7.0898000000000003</v>
      </c>
      <c r="CE56" s="368">
        <v>8.3598022589928096</v>
      </c>
      <c r="CF56" s="368">
        <v>6.5698991592929596</v>
      </c>
      <c r="CG56" s="368">
        <v>9.6957042583094903</v>
      </c>
      <c r="CH56" s="368">
        <v>9.5916604776471708</v>
      </c>
      <c r="CI56" s="826">
        <v>10.1585096304399</v>
      </c>
    </row>
    <row r="57" spans="1:87" ht="14.45" customHeight="1">
      <c r="A57" s="23"/>
      <c r="B57" s="23"/>
      <c r="C57" s="460" t="s">
        <v>425</v>
      </c>
      <c r="D57" s="460"/>
      <c r="E57" s="460"/>
      <c r="F57" s="460"/>
      <c r="G57" s="460"/>
      <c r="H57" s="460"/>
      <c r="I57" s="189">
        <f>IF(I56=4,1,I56+1)</f>
        <v>4</v>
      </c>
      <c r="J57" s="461">
        <f t="shared" si="20"/>
        <v>2017</v>
      </c>
      <c r="K57" s="566" t="str">
        <f t="shared" si="9"/>
        <v>4Q17</v>
      </c>
      <c r="L57" s="825">
        <v>18.6296</v>
      </c>
      <c r="M57" s="368">
        <v>14.043200000000001</v>
      </c>
      <c r="N57" s="368">
        <v>18.6356</v>
      </c>
      <c r="O57" s="368">
        <v>45.824599999999997</v>
      </c>
      <c r="P57" s="368">
        <v>22.7576</v>
      </c>
      <c r="Q57" s="826">
        <v>20.866</v>
      </c>
      <c r="R57" s="825">
        <v>17.032599999999999</v>
      </c>
      <c r="S57" s="368">
        <v>14.5068</v>
      </c>
      <c r="T57" s="368">
        <v>20.896999999999998</v>
      </c>
      <c r="U57" s="368">
        <v>30.665800000000001</v>
      </c>
      <c r="V57" s="368">
        <v>20.744199999999999</v>
      </c>
      <c r="W57" s="826">
        <v>18.3583</v>
      </c>
      <c r="X57" s="825">
        <v>6.9626000000000001</v>
      </c>
      <c r="Y57" s="368">
        <v>7.2252999999999998</v>
      </c>
      <c r="Z57" s="368">
        <v>117.5337</v>
      </c>
      <c r="AA57" s="368">
        <v>117.5337</v>
      </c>
      <c r="AB57" s="368">
        <v>18.214099999999998</v>
      </c>
      <c r="AC57" s="826">
        <v>11.0589</v>
      </c>
      <c r="AD57" s="368">
        <v>7.4871999999999996</v>
      </c>
      <c r="AE57" s="368">
        <v>7.4664999999999999</v>
      </c>
      <c r="AF57" s="368">
        <v>13.5411</v>
      </c>
      <c r="AG57" s="368">
        <v>13.180899999999999</v>
      </c>
      <c r="AH57" s="368">
        <v>12.149900000000001</v>
      </c>
      <c r="AI57" s="826">
        <v>11.0589</v>
      </c>
      <c r="AJ57" s="23"/>
      <c r="AK57" s="566" t="str">
        <f t="shared" si="13"/>
        <v>4Q17</v>
      </c>
      <c r="AL57" s="825">
        <f t="shared" si="14"/>
        <v>18.6296</v>
      </c>
      <c r="AM57" s="368">
        <v>15.192504715933801</v>
      </c>
      <c r="AN57" s="368">
        <v>13.1171174490227</v>
      </c>
      <c r="AO57" s="368">
        <v>14.557299503379101</v>
      </c>
      <c r="AP57" s="368">
        <v>16.0071527457314</v>
      </c>
      <c r="AQ57" s="826">
        <v>72.150000000000006</v>
      </c>
      <c r="AR57" s="825">
        <f t="shared" si="10"/>
        <v>17.032599999999999</v>
      </c>
      <c r="AS57" s="368">
        <v>14.6771984293672</v>
      </c>
      <c r="AT57" s="368">
        <v>13.0886214442013</v>
      </c>
      <c r="AU57" s="368">
        <v>13.288677614520299</v>
      </c>
      <c r="AV57" s="368">
        <v>15.9069196123925</v>
      </c>
      <c r="AW57" s="826">
        <v>11.1285347043702</v>
      </c>
      <c r="AX57" s="825">
        <f t="shared" si="11"/>
        <v>6.9626000000000001</v>
      </c>
      <c r="AY57" s="368">
        <v>9.0434145029534303</v>
      </c>
      <c r="AZ57" s="368">
        <v>7.5654992588176899</v>
      </c>
      <c r="BA57" s="368">
        <v>8.5685078929964096</v>
      </c>
      <c r="BB57" s="368">
        <v>9.5376260796983896</v>
      </c>
      <c r="BC57" s="826">
        <v>7.3059059511382003</v>
      </c>
      <c r="BD57" s="825">
        <f t="shared" si="21"/>
        <v>7.4871999999999996</v>
      </c>
      <c r="BE57" s="368">
        <v>8.3419120553681605</v>
      </c>
      <c r="BF57" s="368">
        <v>7.6867847043769402</v>
      </c>
      <c r="BG57" s="368">
        <v>8.0144088845310897</v>
      </c>
      <c r="BH57" s="368">
        <v>9.3871322553164003</v>
      </c>
      <c r="BI57" s="826">
        <v>6.9825748968034604</v>
      </c>
      <c r="BJ57" s="23"/>
      <c r="BK57" s="566" t="str">
        <f t="shared" si="15"/>
        <v>4Q17</v>
      </c>
      <c r="BL57" s="825">
        <f t="shared" si="16"/>
        <v>18.6296</v>
      </c>
      <c r="BM57" s="368">
        <v>17.512265595980299</v>
      </c>
      <c r="BN57" s="368">
        <v>9.5728267463193504</v>
      </c>
      <c r="BO57" s="368">
        <v>18.8148107152353</v>
      </c>
      <c r="BP57" s="368">
        <v>16.3834695861817</v>
      </c>
      <c r="BQ57" s="826">
        <v>18.814468481079999</v>
      </c>
      <c r="BR57" s="825">
        <f t="shared" si="17"/>
        <v>17.032599999999999</v>
      </c>
      <c r="BS57" s="368">
        <v>17.533075185543701</v>
      </c>
      <c r="BT57" s="368">
        <v>10.6919352934231</v>
      </c>
      <c r="BU57" s="368">
        <v>14.9212562268163</v>
      </c>
      <c r="BV57" s="368">
        <v>15.961151968645201</v>
      </c>
      <c r="BW57" s="826">
        <v>16.8392648774796</v>
      </c>
      <c r="BX57" s="825">
        <f t="shared" si="18"/>
        <v>6.9626000000000001</v>
      </c>
      <c r="BY57" s="368">
        <v>8.0171363602344705</v>
      </c>
      <c r="BZ57" s="368">
        <v>4.4017090889173804</v>
      </c>
      <c r="CA57" s="368">
        <v>16.4908873645734</v>
      </c>
      <c r="CB57" s="368">
        <v>11.2461348569961</v>
      </c>
      <c r="CC57" s="826">
        <v>11.2015939345566</v>
      </c>
      <c r="CD57" s="825">
        <f t="shared" si="22"/>
        <v>7.4871999999999996</v>
      </c>
      <c r="CE57" s="368">
        <v>8.4088038740911699</v>
      </c>
      <c r="CF57" s="368">
        <v>5.6617114377559297</v>
      </c>
      <c r="CG57" s="368">
        <v>12.2215912297605</v>
      </c>
      <c r="CH57" s="368">
        <v>9.9476157319819993</v>
      </c>
      <c r="CI57" s="826">
        <v>10.0975235451036</v>
      </c>
    </row>
    <row r="58" spans="1:87" ht="14.45" customHeight="1">
      <c r="A58" s="23"/>
      <c r="B58" s="23"/>
      <c r="C58" s="189"/>
      <c r="D58" s="23"/>
      <c r="E58" s="189" t="s">
        <v>406</v>
      </c>
      <c r="F58" s="189" t="s">
        <v>407</v>
      </c>
      <c r="G58" s="189" t="s">
        <v>408</v>
      </c>
      <c r="H58" s="189" t="s">
        <v>400</v>
      </c>
      <c r="I58" s="189">
        <f>IF(I57+1=5,1,I57+1)</f>
        <v>1</v>
      </c>
      <c r="J58" s="461">
        <f t="shared" si="20"/>
        <v>2018</v>
      </c>
      <c r="K58" s="566" t="str">
        <f t="shared" si="9"/>
        <v>1Q18</v>
      </c>
      <c r="L58" s="825">
        <v>16.227699999999999</v>
      </c>
      <c r="M58" s="368">
        <v>12.7371</v>
      </c>
      <c r="N58" s="368">
        <v>18.0642</v>
      </c>
      <c r="O58" s="368">
        <v>50.604599999999998</v>
      </c>
      <c r="P58" s="368">
        <v>21.002400000000002</v>
      </c>
      <c r="Q58" s="826">
        <v>22.106000000000002</v>
      </c>
      <c r="R58" s="825">
        <v>12.901300000000001</v>
      </c>
      <c r="S58" s="368">
        <v>12.4079</v>
      </c>
      <c r="T58" s="368">
        <v>19.174499999999998</v>
      </c>
      <c r="U58" s="368">
        <v>21.6602</v>
      </c>
      <c r="V58" s="368">
        <v>19.123699999999999</v>
      </c>
      <c r="W58" s="826">
        <v>20.386700000000001</v>
      </c>
      <c r="X58" s="825">
        <v>7.5625999999999998</v>
      </c>
      <c r="Y58" s="368">
        <v>7.5343</v>
      </c>
      <c r="Z58" s="368">
        <v>129.58359999999999</v>
      </c>
      <c r="AA58" s="368">
        <v>129.58359999999999</v>
      </c>
      <c r="AB58" s="368">
        <v>19.906500000000001</v>
      </c>
      <c r="AC58" s="826">
        <v>11.769399999999999</v>
      </c>
      <c r="AD58" s="368">
        <v>8.4650999999999996</v>
      </c>
      <c r="AE58" s="368">
        <v>9.5518999999999998</v>
      </c>
      <c r="AF58" s="368">
        <v>9.4322999999999997</v>
      </c>
      <c r="AG58" s="368">
        <v>12.331300000000001</v>
      </c>
      <c r="AH58" s="368">
        <v>11.946999999999999</v>
      </c>
      <c r="AI58" s="826">
        <v>11.769399999999999</v>
      </c>
      <c r="AJ58" s="23"/>
      <c r="AK58" s="566" t="str">
        <f t="shared" si="13"/>
        <v>1Q18</v>
      </c>
      <c r="AL58" s="825">
        <f t="shared" si="14"/>
        <v>16.227699999999999</v>
      </c>
      <c r="AM58" s="368">
        <v>16.971911291818</v>
      </c>
      <c r="AN58" s="368">
        <v>14.2595180334852</v>
      </c>
      <c r="AO58" s="368">
        <v>15.677518897643001</v>
      </c>
      <c r="AP58" s="368">
        <v>17.0492565080697</v>
      </c>
      <c r="AQ58" s="826">
        <v>78.5833333333333</v>
      </c>
      <c r="AR58" s="825">
        <f t="shared" si="10"/>
        <v>12.901300000000001</v>
      </c>
      <c r="AS58" s="368">
        <v>16.284746970776901</v>
      </c>
      <c r="AT58" s="368">
        <v>14.1723136495644</v>
      </c>
      <c r="AU58" s="368">
        <v>14.7510524023806</v>
      </c>
      <c r="AV58" s="368">
        <v>16.821972203838499</v>
      </c>
      <c r="AW58" s="826">
        <v>12.3429319371728</v>
      </c>
      <c r="AX58" s="825">
        <f t="shared" si="11"/>
        <v>7.5625999999999998</v>
      </c>
      <c r="AY58" s="368">
        <v>10.041696900795801</v>
      </c>
      <c r="AZ58" s="368">
        <v>8.14425798294657</v>
      </c>
      <c r="BA58" s="368">
        <v>9.3576941846112494</v>
      </c>
      <c r="BB58" s="368">
        <v>9.7576119785272795</v>
      </c>
      <c r="BC58" s="826">
        <v>7.8963804486655196</v>
      </c>
      <c r="BD58" s="825">
        <f t="shared" si="21"/>
        <v>8.4650999999999996</v>
      </c>
      <c r="BE58" s="368">
        <v>9.2948278991056998</v>
      </c>
      <c r="BF58" s="368">
        <v>8.1221508765867796</v>
      </c>
      <c r="BG58" s="368">
        <v>8.8848842596178592</v>
      </c>
      <c r="BH58" s="368">
        <v>9.5330447993826493</v>
      </c>
      <c r="BI58" s="826">
        <v>7.7405887083420097</v>
      </c>
      <c r="BJ58" s="23"/>
      <c r="BK58" s="566" t="str">
        <f t="shared" si="15"/>
        <v>1Q18</v>
      </c>
      <c r="BL58" s="825">
        <f t="shared" si="16"/>
        <v>16.227699999999999</v>
      </c>
      <c r="BM58" s="368">
        <v>15.332360616874</v>
      </c>
      <c r="BN58" s="368">
        <v>8.9939480898144293</v>
      </c>
      <c r="BO58" s="368">
        <v>18.9573315361765</v>
      </c>
      <c r="BP58" s="368">
        <v>15.737742409832499</v>
      </c>
      <c r="BQ58" s="826">
        <v>16.456241824473601</v>
      </c>
      <c r="BR58" s="825">
        <f t="shared" si="17"/>
        <v>12.901300000000001</v>
      </c>
      <c r="BS58" s="368">
        <v>15.756563245823401</v>
      </c>
      <c r="BT58" s="368">
        <v>9.7921891795055505</v>
      </c>
      <c r="BU58" s="368">
        <v>14.7116253691756</v>
      </c>
      <c r="BV58" s="368">
        <v>16.004778286414499</v>
      </c>
      <c r="BW58" s="826">
        <v>15.4003208400175</v>
      </c>
      <c r="BX58" s="825">
        <f t="shared" si="18"/>
        <v>7.5625999999999998</v>
      </c>
      <c r="BY58" s="368">
        <v>7.5754462504368201</v>
      </c>
      <c r="BZ58" s="368">
        <v>4.0560381611917302</v>
      </c>
      <c r="CA58" s="368">
        <v>17.7328149474707</v>
      </c>
      <c r="CB58" s="368">
        <v>10.9756319204545</v>
      </c>
      <c r="CC58" s="826">
        <v>10.141556987726499</v>
      </c>
      <c r="CD58" s="825">
        <f t="shared" si="22"/>
        <v>8.4650999999999996</v>
      </c>
      <c r="CE58" s="368">
        <v>7.9679959335905099</v>
      </c>
      <c r="CF58" s="368">
        <v>5.3607663011854996</v>
      </c>
      <c r="CG58" s="368">
        <v>9.6745143171590104</v>
      </c>
      <c r="CH58" s="368">
        <v>9.9254800396091998</v>
      </c>
      <c r="CI58" s="826">
        <v>9.5160045403397593</v>
      </c>
    </row>
    <row r="59" spans="1:87" ht="14.45" customHeight="1">
      <c r="A59" s="23"/>
      <c r="B59" s="23"/>
      <c r="C59" s="23" t="s">
        <v>440</v>
      </c>
      <c r="D59" s="23"/>
      <c r="E59" s="345">
        <f>AVERAGE(AM8:AQ75)</f>
        <v>17.451844369442512</v>
      </c>
      <c r="F59" s="345">
        <f>AVERAGE(AS8:AW75)</f>
        <v>14.789390590177238</v>
      </c>
      <c r="G59" s="345">
        <f>AVERAGE(AY8:BC75)</f>
        <v>9.0736330644380931</v>
      </c>
      <c r="H59" s="345">
        <f>AVERAGE(BE8:BI75)</f>
        <v>8.2467031760817928</v>
      </c>
      <c r="I59" s="189">
        <f>IF(I58=4,1,I58+1)</f>
        <v>2</v>
      </c>
      <c r="J59" s="461">
        <f t="shared" si="20"/>
        <v>2018</v>
      </c>
      <c r="K59" s="566" t="str">
        <f t="shared" si="9"/>
        <v>2Q18</v>
      </c>
      <c r="L59" s="825">
        <v>17.5839</v>
      </c>
      <c r="M59" s="368">
        <v>11.488</v>
      </c>
      <c r="N59" s="368">
        <v>21.983599999999999</v>
      </c>
      <c r="O59" s="368">
        <v>63.737299999999998</v>
      </c>
      <c r="P59" s="368">
        <v>22.8108</v>
      </c>
      <c r="Q59" s="826">
        <v>24.055599999999998</v>
      </c>
      <c r="R59" s="825">
        <v>14.143000000000001</v>
      </c>
      <c r="S59" s="368">
        <v>10.9101</v>
      </c>
      <c r="T59" s="368">
        <v>17.877800000000001</v>
      </c>
      <c r="U59" s="368">
        <v>24.2682</v>
      </c>
      <c r="V59" s="368">
        <v>20.894200000000001</v>
      </c>
      <c r="W59" s="826">
        <v>23.378599999999999</v>
      </c>
      <c r="X59" s="825">
        <v>8.0321999999999996</v>
      </c>
      <c r="Y59" s="368">
        <v>6.9508000000000001</v>
      </c>
      <c r="Z59" s="368">
        <v>83.369100000000003</v>
      </c>
      <c r="AA59" s="368">
        <v>83.369100000000003</v>
      </c>
      <c r="AB59" s="368">
        <v>16.899100000000001</v>
      </c>
      <c r="AC59" s="826">
        <v>12.929500000000001</v>
      </c>
      <c r="AD59" s="368">
        <v>7.6656000000000004</v>
      </c>
      <c r="AE59" s="368">
        <v>9.0030999999999999</v>
      </c>
      <c r="AF59" s="368">
        <v>11.5297</v>
      </c>
      <c r="AG59" s="368">
        <v>12.9558</v>
      </c>
      <c r="AH59" s="368">
        <v>12.174300000000001</v>
      </c>
      <c r="AI59" s="826">
        <v>12.929500000000001</v>
      </c>
      <c r="AJ59" s="23"/>
      <c r="AK59" s="566" t="str">
        <f t="shared" si="13"/>
        <v>2Q18</v>
      </c>
      <c r="AL59" s="825">
        <f t="shared" si="14"/>
        <v>17.5839</v>
      </c>
      <c r="AM59" s="368">
        <v>16.681755641083299</v>
      </c>
      <c r="AN59" s="368">
        <v>15.918574316111</v>
      </c>
      <c r="AO59" s="368">
        <v>15.8996603114082</v>
      </c>
      <c r="AP59" s="368">
        <v>17.454977522372399</v>
      </c>
      <c r="AQ59" s="826">
        <v>20.170940170940199</v>
      </c>
      <c r="AR59" s="825">
        <f t="shared" si="10"/>
        <v>14.143000000000001</v>
      </c>
      <c r="AS59" s="368">
        <v>17.198356702688201</v>
      </c>
      <c r="AT59" s="368">
        <v>15.743430890835301</v>
      </c>
      <c r="AU59" s="368">
        <v>15.704123112659699</v>
      </c>
      <c r="AV59" s="368">
        <v>17.745970341715001</v>
      </c>
      <c r="AW59" s="826">
        <v>12.4867724867725</v>
      </c>
      <c r="AX59" s="825">
        <f t="shared" si="11"/>
        <v>8.0321999999999996</v>
      </c>
      <c r="AY59" s="368">
        <v>9.9504570543443798</v>
      </c>
      <c r="AZ59" s="368">
        <v>8.7035741654818892</v>
      </c>
      <c r="BA59" s="368">
        <v>9.4411740744080994</v>
      </c>
      <c r="BB59" s="368">
        <v>10.271142080477199</v>
      </c>
      <c r="BC59" s="826">
        <v>8.4878109366662198</v>
      </c>
      <c r="BD59" s="825">
        <f t="shared" si="21"/>
        <v>7.6656000000000004</v>
      </c>
      <c r="BE59" s="368">
        <v>9.9348698981558492</v>
      </c>
      <c r="BF59" s="368">
        <v>9.3674134068342898</v>
      </c>
      <c r="BG59" s="368">
        <v>9.33322544205644</v>
      </c>
      <c r="BH59" s="368">
        <v>9.8450672080491106</v>
      </c>
      <c r="BI59" s="826">
        <v>7.5029045732606097</v>
      </c>
      <c r="BJ59" s="23"/>
      <c r="BK59" s="566" t="str">
        <f t="shared" si="15"/>
        <v>2Q18</v>
      </c>
      <c r="BL59" s="825">
        <f t="shared" si="16"/>
        <v>17.5839</v>
      </c>
      <c r="BM59" s="368">
        <v>14.352246111620101</v>
      </c>
      <c r="BN59" s="368">
        <v>10.168876685674901</v>
      </c>
      <c r="BO59" s="368">
        <v>19.5619707538714</v>
      </c>
      <c r="BP59" s="368">
        <v>16.904715221389601</v>
      </c>
      <c r="BQ59" s="826">
        <v>18.013544619158399</v>
      </c>
      <c r="BR59" s="825">
        <f t="shared" si="17"/>
        <v>14.143000000000001</v>
      </c>
      <c r="BS59" s="368">
        <v>14.0146991272393</v>
      </c>
      <c r="BT59" s="368">
        <v>16.030077912665298</v>
      </c>
      <c r="BU59" s="368">
        <v>14.730638494845399</v>
      </c>
      <c r="BV59" s="368">
        <v>17.164215716291199</v>
      </c>
      <c r="BW59" s="826">
        <v>16.847348373864602</v>
      </c>
      <c r="BX59" s="825">
        <f t="shared" si="18"/>
        <v>8.0321999999999996</v>
      </c>
      <c r="BY59" s="368">
        <v>6.9743443752455496</v>
      </c>
      <c r="BZ59" s="368">
        <v>4.0880982203765299</v>
      </c>
      <c r="CA59" s="368">
        <v>14.0383531727903</v>
      </c>
      <c r="CB59" s="368">
        <v>11.5358113174269</v>
      </c>
      <c r="CC59" s="826">
        <v>10.8198573575872</v>
      </c>
      <c r="CD59" s="825">
        <f t="shared" si="22"/>
        <v>7.6656000000000004</v>
      </c>
      <c r="CE59" s="368">
        <v>6.5203668116549496</v>
      </c>
      <c r="CF59" s="368">
        <v>7.5844817938716096</v>
      </c>
      <c r="CG59" s="368">
        <v>8.7501011127384505</v>
      </c>
      <c r="CH59" s="368">
        <v>9.6780065637342094</v>
      </c>
      <c r="CI59" s="826">
        <v>9.6148317438143795</v>
      </c>
    </row>
    <row r="60" spans="1:87" ht="14.45" customHeight="1">
      <c r="A60" s="22"/>
      <c r="B60" s="23"/>
      <c r="C60" s="23" t="s">
        <v>441</v>
      </c>
      <c r="D60" s="23"/>
      <c r="E60" s="345">
        <f>AVERAGE(E64,E68)</f>
        <v>16.511356338309774</v>
      </c>
      <c r="F60" s="345">
        <f>AVERAGE(F64,F68)</f>
        <v>14.249403727801335</v>
      </c>
      <c r="G60" s="345">
        <f>AVERAGE(G64,G68)</f>
        <v>8.0081879799852764</v>
      </c>
      <c r="H60" s="345" t="e">
        <f>AVERAGE(H64,H68)</f>
        <v>#DIV/0!</v>
      </c>
      <c r="I60" s="189">
        <f>I56</f>
        <v>3</v>
      </c>
      <c r="J60" s="461">
        <f t="shared" si="20"/>
        <v>2018</v>
      </c>
      <c r="K60" s="566" t="str">
        <f t="shared" si="9"/>
        <v>3Q18</v>
      </c>
      <c r="L60" s="825">
        <v>16.6067</v>
      </c>
      <c r="M60" s="368">
        <v>11.310600000000001</v>
      </c>
      <c r="N60" s="368">
        <v>18.591200000000001</v>
      </c>
      <c r="O60" s="368">
        <v>69.526499999999999</v>
      </c>
      <c r="P60" s="368">
        <v>20.287600000000001</v>
      </c>
      <c r="Q60" s="826">
        <v>24.256799999999998</v>
      </c>
      <c r="R60" s="825">
        <v>13.2669</v>
      </c>
      <c r="S60" s="368">
        <v>10.717000000000001</v>
      </c>
      <c r="T60" s="368">
        <v>16.0121</v>
      </c>
      <c r="U60" s="368">
        <v>23.581099999999999</v>
      </c>
      <c r="V60" s="368">
        <v>18.7607</v>
      </c>
      <c r="W60" s="826">
        <v>21.726900000000001</v>
      </c>
      <c r="X60" s="825">
        <v>7.8589000000000002</v>
      </c>
      <c r="Y60" s="368">
        <v>6.8216000000000001</v>
      </c>
      <c r="Z60" s="368">
        <v>42.062899999999999</v>
      </c>
      <c r="AA60" s="368">
        <v>42.062899999999999</v>
      </c>
      <c r="AB60" s="368">
        <v>16.209499999999998</v>
      </c>
      <c r="AC60" s="826">
        <v>13.382899999999999</v>
      </c>
      <c r="AD60" s="368">
        <v>6.3528000000000002</v>
      </c>
      <c r="AE60" s="368">
        <v>8.0962999999999994</v>
      </c>
      <c r="AF60" s="368">
        <v>11.920400000000001</v>
      </c>
      <c r="AG60" s="368">
        <v>13.6884</v>
      </c>
      <c r="AH60" s="368">
        <v>10.9359</v>
      </c>
      <c r="AI60" s="826">
        <v>13.382899999999999</v>
      </c>
      <c r="AJ60" s="23"/>
      <c r="AK60" s="566" t="str">
        <f t="shared" si="13"/>
        <v>3Q18</v>
      </c>
      <c r="AL60" s="825">
        <f t="shared" si="14"/>
        <v>16.6067</v>
      </c>
      <c r="AM60" s="368">
        <v>17.7316040068742</v>
      </c>
      <c r="AN60" s="368">
        <v>17.362804075599001</v>
      </c>
      <c r="AO60" s="368">
        <v>16.701723724901701</v>
      </c>
      <c r="AP60" s="368">
        <v>17.2152601301526</v>
      </c>
      <c r="AQ60" s="826">
        <v>22.371794871794901</v>
      </c>
      <c r="AR60" s="825">
        <f t="shared" si="10"/>
        <v>13.2669</v>
      </c>
      <c r="AS60" s="368">
        <v>18.1945316001793</v>
      </c>
      <c r="AT60" s="368">
        <v>16.9806941660513</v>
      </c>
      <c r="AU60" s="368">
        <v>17.0676456803624</v>
      </c>
      <c r="AV60" s="368">
        <v>16.272629181153299</v>
      </c>
      <c r="AW60" s="826">
        <v>13.286802030456901</v>
      </c>
      <c r="AX60" s="825">
        <f t="shared" si="11"/>
        <v>7.8589000000000002</v>
      </c>
      <c r="AY60" s="368">
        <v>10.6046500596097</v>
      </c>
      <c r="AZ60" s="368">
        <v>9.9657818359920096</v>
      </c>
      <c r="BA60" s="368">
        <v>9.5272581843654205</v>
      </c>
      <c r="BB60" s="368">
        <v>10.0912602544482</v>
      </c>
      <c r="BC60" s="826">
        <v>10.2362649676181</v>
      </c>
      <c r="BD60" s="825">
        <f t="shared" si="21"/>
        <v>6.3528000000000002</v>
      </c>
      <c r="BE60" s="368">
        <v>10.6614615642502</v>
      </c>
      <c r="BF60" s="368">
        <v>10.2604777628974</v>
      </c>
      <c r="BG60" s="368">
        <v>10.278063739100901</v>
      </c>
      <c r="BH60" s="368">
        <v>9.71505194619394</v>
      </c>
      <c r="BI60" s="826">
        <v>9.25020942552141</v>
      </c>
      <c r="BJ60" s="23"/>
      <c r="BK60" s="566" t="str">
        <f t="shared" si="15"/>
        <v>3Q18</v>
      </c>
      <c r="BL60" s="825">
        <f t="shared" si="16"/>
        <v>16.6067</v>
      </c>
      <c r="BM60" s="368">
        <v>11.933163548308199</v>
      </c>
      <c r="BN60" s="368">
        <v>11.0429443217241</v>
      </c>
      <c r="BO60" s="368">
        <v>20.870326430420398</v>
      </c>
      <c r="BP60" s="368">
        <v>17.1616901526493</v>
      </c>
      <c r="BQ60" s="826">
        <v>18.1428389425202</v>
      </c>
      <c r="BR60" s="825">
        <f t="shared" si="17"/>
        <v>13.2669</v>
      </c>
      <c r="BS60" s="368">
        <v>16.823628337187301</v>
      </c>
      <c r="BT60" s="368">
        <v>16.4090568862275</v>
      </c>
      <c r="BU60" s="368">
        <v>13.793318238288</v>
      </c>
      <c r="BV60" s="368">
        <v>16.2845808786291</v>
      </c>
      <c r="BW60" s="826">
        <v>16.7740088736224</v>
      </c>
      <c r="BX60" s="825">
        <f t="shared" si="18"/>
        <v>7.8589000000000002</v>
      </c>
      <c r="BY60" s="368">
        <v>5.9788422712741802</v>
      </c>
      <c r="BZ60" s="368">
        <v>5.0997884348216402</v>
      </c>
      <c r="CA60" s="368">
        <v>16.395215797510499</v>
      </c>
      <c r="CB60" s="368">
        <v>12.1321311527739</v>
      </c>
      <c r="CC60" s="826">
        <v>11.1062594072335</v>
      </c>
      <c r="CD60" s="825">
        <f t="shared" si="22"/>
        <v>6.3528000000000002</v>
      </c>
      <c r="CE60" s="368">
        <v>7.1875639175984203</v>
      </c>
      <c r="CF60" s="368">
        <v>10.405610801995</v>
      </c>
      <c r="CG60" s="368">
        <v>9.4890909221203508</v>
      </c>
      <c r="CH60" s="368">
        <v>10.6121068424686</v>
      </c>
      <c r="CI60" s="826">
        <v>10.0928444397349</v>
      </c>
    </row>
    <row r="61" spans="1:87" ht="14.45" customHeight="1">
      <c r="A61" s="23"/>
      <c r="B61" s="23"/>
      <c r="C61" s="23" t="s">
        <v>442</v>
      </c>
      <c r="D61" s="23"/>
      <c r="E61" s="345">
        <f t="shared" ref="E61:H62" si="24">AVERAGE(E65,E69)</f>
        <v>18.174451528888053</v>
      </c>
      <c r="F61" s="345">
        <f t="shared" si="24"/>
        <v>15.177675768515218</v>
      </c>
      <c r="G61" s="345">
        <f t="shared" si="24"/>
        <v>9.1033872247162755</v>
      </c>
      <c r="H61" s="345">
        <f t="shared" si="24"/>
        <v>8.1673101789748106</v>
      </c>
      <c r="I61" s="189">
        <f>IF(I60=4,1,I60+1)</f>
        <v>4</v>
      </c>
      <c r="J61" s="461">
        <f t="shared" si="20"/>
        <v>2018</v>
      </c>
      <c r="K61" s="566" t="str">
        <f t="shared" si="9"/>
        <v>4Q18</v>
      </c>
      <c r="L61" s="825">
        <v>8.4619999999999997</v>
      </c>
      <c r="M61" s="368">
        <v>9.3148</v>
      </c>
      <c r="N61" s="368">
        <v>15.6477</v>
      </c>
      <c r="O61" s="368">
        <v>13.5014</v>
      </c>
      <c r="P61" s="368">
        <v>12.278600000000001</v>
      </c>
      <c r="Q61" s="826">
        <v>22.7393</v>
      </c>
      <c r="R61" s="825">
        <v>9.9763000000000002</v>
      </c>
      <c r="S61" s="368">
        <v>8.8216999999999999</v>
      </c>
      <c r="T61" s="368">
        <v>12.962300000000001</v>
      </c>
      <c r="U61" s="368">
        <v>18.146100000000001</v>
      </c>
      <c r="V61" s="368">
        <v>11.7098</v>
      </c>
      <c r="W61" s="826">
        <v>21.135400000000001</v>
      </c>
      <c r="X61" s="825">
        <v>4.3086000000000002</v>
      </c>
      <c r="Y61" s="368">
        <v>6.4977</v>
      </c>
      <c r="Z61" s="368">
        <v>40.570399999999999</v>
      </c>
      <c r="AA61" s="368">
        <v>40.570399999999999</v>
      </c>
      <c r="AB61" s="368">
        <v>8.1706000000000003</v>
      </c>
      <c r="AC61" s="826">
        <v>12.589399999999999</v>
      </c>
      <c r="AD61" s="368">
        <v>5.4696999999999996</v>
      </c>
      <c r="AE61" s="368">
        <v>7.4973000000000001</v>
      </c>
      <c r="AF61" s="368">
        <v>9.5747</v>
      </c>
      <c r="AG61" s="368">
        <v>12.76</v>
      </c>
      <c r="AH61" s="368">
        <v>7.4581999999999997</v>
      </c>
      <c r="AI61" s="826">
        <v>12.589399999999999</v>
      </c>
      <c r="AJ61" s="23"/>
      <c r="AK61" s="566" t="str">
        <f t="shared" si="13"/>
        <v>4Q18</v>
      </c>
      <c r="AL61" s="825">
        <f t="shared" si="14"/>
        <v>8.4619999999999997</v>
      </c>
      <c r="AM61" s="368">
        <v>15.955842056904601</v>
      </c>
      <c r="AN61" s="368">
        <v>16.454725077569499</v>
      </c>
      <c r="AO61" s="368">
        <v>15.071863077920799</v>
      </c>
      <c r="AP61" s="368">
        <v>17.153753026634401</v>
      </c>
      <c r="AQ61" s="826">
        <v>20.324324324324301</v>
      </c>
      <c r="AR61" s="825">
        <f t="shared" si="10"/>
        <v>9.9763000000000002</v>
      </c>
      <c r="AS61" s="368">
        <v>16.662185175226298</v>
      </c>
      <c r="AT61" s="368">
        <v>16.515356585111899</v>
      </c>
      <c r="AU61" s="368">
        <v>14.0478637498165</v>
      </c>
      <c r="AV61" s="368">
        <v>16.4813306967547</v>
      </c>
      <c r="AW61" s="826">
        <v>11.539641943734001</v>
      </c>
      <c r="AX61" s="825">
        <f t="shared" si="11"/>
        <v>4.3086000000000002</v>
      </c>
      <c r="AY61" s="368">
        <v>9.7421991223443207</v>
      </c>
      <c r="AZ61" s="368">
        <v>9.8326539192146498</v>
      </c>
      <c r="BA61" s="368">
        <v>9.1354420629513093</v>
      </c>
      <c r="BB61" s="368">
        <v>10.0301823820195</v>
      </c>
      <c r="BC61" s="826">
        <v>8.5575226430084701</v>
      </c>
      <c r="BD61" s="825">
        <f t="shared" si="21"/>
        <v>5.4696999999999996</v>
      </c>
      <c r="BE61" s="368">
        <v>9.6946287353799292</v>
      </c>
      <c r="BF61" s="368">
        <v>10.038852223917701</v>
      </c>
      <c r="BG61" s="368">
        <v>9.46400162584521</v>
      </c>
      <c r="BH61" s="368">
        <v>9.8743163848070896</v>
      </c>
      <c r="BI61" s="826">
        <v>7.5679134780037103</v>
      </c>
      <c r="BJ61" s="23"/>
      <c r="BK61" s="566" t="str">
        <f t="shared" si="15"/>
        <v>4Q18</v>
      </c>
      <c r="BL61" s="825">
        <f t="shared" si="16"/>
        <v>8.4619999999999997</v>
      </c>
      <c r="BM61" s="368">
        <v>13.2951376349264</v>
      </c>
      <c r="BN61" s="368">
        <v>13.2763337893297</v>
      </c>
      <c r="BO61" s="368">
        <v>23.801267295453901</v>
      </c>
      <c r="BP61" s="368">
        <v>16.379993668319099</v>
      </c>
      <c r="BQ61" s="826">
        <v>16.591943342394899</v>
      </c>
      <c r="BR61" s="825">
        <f t="shared" si="17"/>
        <v>9.9763000000000002</v>
      </c>
      <c r="BS61" s="368">
        <v>17.049246231155799</v>
      </c>
      <c r="BT61" s="368">
        <v>17.095296811696301</v>
      </c>
      <c r="BU61" s="368">
        <v>19.798798215503901</v>
      </c>
      <c r="BV61" s="368">
        <v>15.924489582583</v>
      </c>
      <c r="BW61" s="826">
        <v>16.041937816341299</v>
      </c>
      <c r="BX61" s="825">
        <f t="shared" si="18"/>
        <v>4.3086000000000002</v>
      </c>
      <c r="BY61" s="368">
        <v>6.3198598389438603</v>
      </c>
      <c r="BZ61" s="368">
        <v>4.9359877663941196</v>
      </c>
      <c r="CA61" s="368">
        <v>17.383003839682701</v>
      </c>
      <c r="CB61" s="368">
        <v>11.7950653273586</v>
      </c>
      <c r="CC61" s="826">
        <v>10.3600924530421</v>
      </c>
      <c r="CD61" s="825">
        <f t="shared" si="22"/>
        <v>5.4696999999999996</v>
      </c>
      <c r="CE61" s="368">
        <v>7.7212457311679499</v>
      </c>
      <c r="CF61" s="368">
        <v>9.0079669398661206</v>
      </c>
      <c r="CG61" s="368">
        <v>12.531851583217</v>
      </c>
      <c r="CH61" s="368">
        <v>10.499869312052001</v>
      </c>
      <c r="CI61" s="826">
        <v>9.6355215467831101</v>
      </c>
    </row>
    <row r="62" spans="1:87" ht="14.45" customHeight="1">
      <c r="A62" s="23"/>
      <c r="B62" s="23"/>
      <c r="C62" s="23" t="s">
        <v>443</v>
      </c>
      <c r="D62" s="23"/>
      <c r="E62" s="345">
        <f t="shared" si="24"/>
        <v>18.375615705208343</v>
      </c>
      <c r="F62" s="345">
        <f t="shared" si="24"/>
        <v>16.379830180926785</v>
      </c>
      <c r="G62" s="345">
        <f t="shared" si="24"/>
        <v>10.316037257276058</v>
      </c>
      <c r="H62" s="345">
        <f t="shared" si="24"/>
        <v>9.7916138824697967</v>
      </c>
      <c r="I62" s="189">
        <f>IF(I61+1=5,1,I61+1)</f>
        <v>1</v>
      </c>
      <c r="J62" s="461">
        <f t="shared" si="20"/>
        <v>2019</v>
      </c>
      <c r="K62" s="566" t="str">
        <f t="shared" si="9"/>
        <v>1Q19</v>
      </c>
      <c r="L62" s="825">
        <v>11.5694</v>
      </c>
      <c r="M62" s="368">
        <v>9.9964999999999993</v>
      </c>
      <c r="N62" s="368">
        <v>17.705500000000001</v>
      </c>
      <c r="O62" s="368">
        <v>18.511800000000001</v>
      </c>
      <c r="P62" s="368">
        <v>18.0913</v>
      </c>
      <c r="Q62" s="826">
        <v>22.702400000000001</v>
      </c>
      <c r="R62" s="825">
        <v>11.1233</v>
      </c>
      <c r="S62" s="368">
        <v>9.3216000000000001</v>
      </c>
      <c r="T62" s="368">
        <v>16.1843</v>
      </c>
      <c r="U62" s="368">
        <v>16.220400000000001</v>
      </c>
      <c r="V62" s="368">
        <v>13.8469</v>
      </c>
      <c r="W62" s="826">
        <v>21.716799999999999</v>
      </c>
      <c r="X62" s="825">
        <v>6.5986000000000002</v>
      </c>
      <c r="Y62" s="368">
        <v>7.7107999999999999</v>
      </c>
      <c r="Z62" s="368">
        <v>36.144599999999997</v>
      </c>
      <c r="AA62" s="368">
        <v>36.144599999999997</v>
      </c>
      <c r="AB62" s="368">
        <v>12.671099999999999</v>
      </c>
      <c r="AC62" s="826">
        <v>12.721</v>
      </c>
      <c r="AD62" s="368">
        <v>5.0720000000000001</v>
      </c>
      <c r="AE62" s="368">
        <v>7.7206999999999999</v>
      </c>
      <c r="AF62" s="368">
        <v>6.9170999999999996</v>
      </c>
      <c r="AG62" s="368">
        <v>11.1729</v>
      </c>
      <c r="AH62" s="368">
        <v>7.5412999999999997</v>
      </c>
      <c r="AI62" s="826">
        <v>12.721</v>
      </c>
      <c r="AJ62" s="23"/>
      <c r="AK62" s="566" t="str">
        <f t="shared" si="13"/>
        <v>1Q19</v>
      </c>
      <c r="AL62" s="825">
        <f t="shared" si="14"/>
        <v>11.5694</v>
      </c>
      <c r="AM62" s="368">
        <v>18.277944487279001</v>
      </c>
      <c r="AN62" s="368">
        <v>16.381399653636301</v>
      </c>
      <c r="AO62" s="368">
        <v>17.773286649310901</v>
      </c>
      <c r="AP62" s="368">
        <v>15.9479768786127</v>
      </c>
      <c r="AQ62" s="826">
        <v>20.1666666666667</v>
      </c>
      <c r="AR62" s="825">
        <f t="shared" si="10"/>
        <v>11.1233</v>
      </c>
      <c r="AS62" s="368">
        <v>18.242696233720501</v>
      </c>
      <c r="AT62" s="368">
        <v>17.050241446624899</v>
      </c>
      <c r="AU62" s="368">
        <v>16.5320018157059</v>
      </c>
      <c r="AV62" s="368">
        <v>15.619338768115901</v>
      </c>
      <c r="AW62" s="826">
        <v>11.7815789473684</v>
      </c>
      <c r="AX62" s="825">
        <f t="shared" si="11"/>
        <v>6.5986000000000002</v>
      </c>
      <c r="AY62" s="368">
        <v>10.9794454706282</v>
      </c>
      <c r="AZ62" s="368">
        <v>10.0118264817743</v>
      </c>
      <c r="BA62" s="368">
        <v>10.225250052137399</v>
      </c>
      <c r="BB62" s="368">
        <v>9.4047158300927691</v>
      </c>
      <c r="BC62" s="826">
        <v>8.4983885933869292</v>
      </c>
      <c r="BD62" s="825">
        <f t="shared" si="21"/>
        <v>5.0720000000000001</v>
      </c>
      <c r="BE62" s="368">
        <v>10.5132240979169</v>
      </c>
      <c r="BF62" s="368">
        <v>10.299049845344101</v>
      </c>
      <c r="BG62" s="368">
        <v>10.320699660105101</v>
      </c>
      <c r="BH62" s="368">
        <v>9.3266401834669495</v>
      </c>
      <c r="BI62" s="826">
        <v>7.73541989514516</v>
      </c>
      <c r="BJ62" s="23"/>
      <c r="BK62" s="566" t="str">
        <f t="shared" si="15"/>
        <v>1Q19</v>
      </c>
      <c r="BL62" s="825">
        <f t="shared" si="16"/>
        <v>11.5694</v>
      </c>
      <c r="BM62" s="368">
        <v>11.434005530167999</v>
      </c>
      <c r="BN62" s="368">
        <v>11.367127496159799</v>
      </c>
      <c r="BO62" s="368">
        <v>23.189227331859001</v>
      </c>
      <c r="BP62" s="368">
        <v>14.860151345119601</v>
      </c>
      <c r="BQ62" s="826">
        <v>13.777493251753199</v>
      </c>
      <c r="BR62" s="825">
        <f t="shared" si="17"/>
        <v>11.1233</v>
      </c>
      <c r="BS62" s="368">
        <v>14.0498710232158</v>
      </c>
      <c r="BT62" s="368">
        <v>13.595443689142</v>
      </c>
      <c r="BU62" s="368">
        <v>18.6196315729647</v>
      </c>
      <c r="BV62" s="368">
        <v>14.765783907363801</v>
      </c>
      <c r="BW62" s="826">
        <v>14.327805506359701</v>
      </c>
      <c r="BX62" s="825">
        <f t="shared" si="18"/>
        <v>6.5986000000000002</v>
      </c>
      <c r="BY62" s="368">
        <v>5.4645320974003404</v>
      </c>
      <c r="BZ62" s="368">
        <v>3.97258403706561</v>
      </c>
      <c r="CA62" s="368">
        <v>17.696597926342399</v>
      </c>
      <c r="CB62" s="368">
        <v>10.3345445475001</v>
      </c>
      <c r="CC62" s="826">
        <v>8.8796425471765108</v>
      </c>
      <c r="CD62" s="825">
        <f t="shared" si="22"/>
        <v>5.0720000000000001</v>
      </c>
      <c r="CE62" s="368">
        <v>6.6162899663212604</v>
      </c>
      <c r="CF62" s="368">
        <v>7.1279661477878502</v>
      </c>
      <c r="CG62" s="368">
        <v>9.5245217113368401</v>
      </c>
      <c r="CH62" s="368">
        <v>9.3224285404756806</v>
      </c>
      <c r="CI62" s="826">
        <v>8.6477165502680702</v>
      </c>
    </row>
    <row r="63" spans="1:87" ht="14.45" customHeight="1">
      <c r="A63" s="23"/>
      <c r="B63" s="23"/>
      <c r="C63" s="23" t="s">
        <v>410</v>
      </c>
      <c r="D63" s="23"/>
      <c r="E63" s="345">
        <f>AVERAGE(AM8:AQ35)</f>
        <v>19.372174186392851</v>
      </c>
      <c r="F63" s="345">
        <f>AVERAGE(AS8:AW35)</f>
        <v>16.698670553729919</v>
      </c>
      <c r="G63" s="345">
        <f>AVERAGE(AY8:BC35)</f>
        <v>9.6234398026286101</v>
      </c>
      <c r="H63" s="345">
        <f>AVERAGE(BE8:BI35)</f>
        <v>8.299118515323439</v>
      </c>
      <c r="I63" s="189">
        <f>IF(I62=4,1,I62+1)</f>
        <v>2</v>
      </c>
      <c r="J63" s="461">
        <f t="shared" si="20"/>
        <v>2019</v>
      </c>
      <c r="K63" s="566" t="str">
        <f t="shared" si="9"/>
        <v>2Q19</v>
      </c>
      <c r="L63" s="825">
        <v>10.746700000000001</v>
      </c>
      <c r="M63" s="368">
        <v>10.692399999999999</v>
      </c>
      <c r="N63" s="368">
        <v>16.209499999999998</v>
      </c>
      <c r="O63" s="368">
        <v>18.507999999999999</v>
      </c>
      <c r="P63" s="368">
        <v>16.485800000000001</v>
      </c>
      <c r="Q63" s="826">
        <v>25.029900000000001</v>
      </c>
      <c r="R63" s="825">
        <v>11.0616</v>
      </c>
      <c r="S63" s="368">
        <v>9.1341000000000001</v>
      </c>
      <c r="T63" s="368">
        <v>14.132</v>
      </c>
      <c r="U63" s="368">
        <v>17.4055</v>
      </c>
      <c r="V63" s="368">
        <v>13.825200000000001</v>
      </c>
      <c r="W63" s="826">
        <v>24.7196</v>
      </c>
      <c r="X63" s="825">
        <v>6.0663</v>
      </c>
      <c r="Y63" s="368">
        <v>8.4074000000000009</v>
      </c>
      <c r="Z63" s="368">
        <v>30.9069</v>
      </c>
      <c r="AA63" s="368">
        <v>30.9069</v>
      </c>
      <c r="AB63" s="368">
        <v>11.9772</v>
      </c>
      <c r="AC63" s="826">
        <v>14.009499999999999</v>
      </c>
      <c r="AD63" s="368">
        <v>4.9196999999999997</v>
      </c>
      <c r="AE63" s="368">
        <v>7.7587000000000002</v>
      </c>
      <c r="AF63" s="368">
        <v>8.6146999999999991</v>
      </c>
      <c r="AG63" s="368">
        <v>12.1511</v>
      </c>
      <c r="AH63" s="368">
        <v>8.2754999999999992</v>
      </c>
      <c r="AI63" s="826">
        <v>14.009499999999999</v>
      </c>
      <c r="AJ63" s="23"/>
      <c r="AK63" s="566" t="str">
        <f t="shared" si="13"/>
        <v>2Q19</v>
      </c>
      <c r="AL63" s="825">
        <f t="shared" si="14"/>
        <v>10.746700000000001</v>
      </c>
      <c r="AM63" s="368">
        <v>19.615028752299001</v>
      </c>
      <c r="AN63" s="368">
        <v>18.761351357850401</v>
      </c>
      <c r="AO63" s="368">
        <v>20.3668719163684</v>
      </c>
      <c r="AP63" s="368">
        <v>14.749642641156701</v>
      </c>
      <c r="AQ63" s="826">
        <v>17.234896180103998</v>
      </c>
      <c r="AR63" s="825">
        <f t="shared" si="10"/>
        <v>11.0616</v>
      </c>
      <c r="AS63" s="368">
        <v>19.113634363172299</v>
      </c>
      <c r="AT63" s="368">
        <v>19.1607469048102</v>
      </c>
      <c r="AU63" s="368">
        <v>18.625486090338001</v>
      </c>
      <c r="AV63" s="368">
        <v>15.184611983197</v>
      </c>
      <c r="AW63" s="826">
        <v>13.147368421052599</v>
      </c>
      <c r="AX63" s="825">
        <f t="shared" si="11"/>
        <v>6.0663</v>
      </c>
      <c r="AY63" s="368">
        <v>13.2211502199879</v>
      </c>
      <c r="AZ63" s="368">
        <v>10.8983183864816</v>
      </c>
      <c r="BA63" s="368">
        <v>11.474224139550699</v>
      </c>
      <c r="BB63" s="368">
        <v>9.2205540111036992</v>
      </c>
      <c r="BC63" s="826">
        <v>9.3118232464059094</v>
      </c>
      <c r="BD63" s="825">
        <f t="shared" si="21"/>
        <v>4.9196999999999997</v>
      </c>
      <c r="BE63" s="368">
        <v>11.1083674198787</v>
      </c>
      <c r="BF63" s="368">
        <v>10.8722348425467</v>
      </c>
      <c r="BG63" s="368">
        <v>10.7747774030119</v>
      </c>
      <c r="BH63" s="368">
        <v>9.1390090216859505</v>
      </c>
      <c r="BI63" s="826">
        <v>8.2823917207974294</v>
      </c>
      <c r="BJ63" s="23"/>
      <c r="BK63" s="566" t="str">
        <f t="shared" si="15"/>
        <v>2Q19</v>
      </c>
      <c r="BL63" s="825">
        <f t="shared" si="16"/>
        <v>10.746700000000001</v>
      </c>
      <c r="BM63" s="368">
        <v>13.047724606230799</v>
      </c>
      <c r="BN63" s="368">
        <v>13.0830374054452</v>
      </c>
      <c r="BO63" s="368">
        <v>30.398533533533499</v>
      </c>
      <c r="BP63" s="368">
        <v>15.1654976430214</v>
      </c>
      <c r="BQ63" s="826">
        <v>16.426796453234601</v>
      </c>
      <c r="BR63" s="825">
        <f t="shared" si="17"/>
        <v>11.0616</v>
      </c>
      <c r="BS63" s="368">
        <v>14.8416684865691</v>
      </c>
      <c r="BT63" s="368">
        <v>18.0734597156398</v>
      </c>
      <c r="BU63" s="368">
        <v>23.157758012374298</v>
      </c>
      <c r="BV63" s="368">
        <v>16.1584549974664</v>
      </c>
      <c r="BW63" s="826">
        <v>15.3246131759451</v>
      </c>
      <c r="BX63" s="825">
        <f t="shared" si="18"/>
        <v>6.0663</v>
      </c>
      <c r="BY63" s="368">
        <v>6.33942479775392</v>
      </c>
      <c r="BZ63" s="368">
        <v>5.3993013760985704</v>
      </c>
      <c r="CA63" s="368">
        <v>29.4939880182529</v>
      </c>
      <c r="CB63" s="368">
        <v>10.9915068013633</v>
      </c>
      <c r="CC63" s="826">
        <v>10.943205290701201</v>
      </c>
      <c r="CD63" s="825">
        <f t="shared" si="22"/>
        <v>4.9196999999999997</v>
      </c>
      <c r="CE63" s="368">
        <v>7.1880837900999301</v>
      </c>
      <c r="CF63" s="368">
        <v>11.002715913029601</v>
      </c>
      <c r="CG63" s="368">
        <v>17.926023127558199</v>
      </c>
      <c r="CH63" s="368">
        <v>9.8729907958619005</v>
      </c>
      <c r="CI63" s="826">
        <v>9.0273841277273501</v>
      </c>
    </row>
    <row r="64" spans="1:87" ht="14.45" customHeight="1">
      <c r="A64" s="23"/>
      <c r="B64" s="23"/>
      <c r="C64" s="23" t="s">
        <v>444</v>
      </c>
      <c r="D64" s="23"/>
      <c r="E64" s="345">
        <f>AVERAGE(AM8:AQ19)</f>
        <v>22.394953041679578</v>
      </c>
      <c r="F64" s="345">
        <f>AVERAGE(AS8:AW19)</f>
        <v>19.063007806196822</v>
      </c>
      <c r="G64" s="345">
        <f>AVERAGE(AY8:BC19)</f>
        <v>10.384988120065191</v>
      </c>
      <c r="H64" s="345" t="e">
        <f>AVERAGE(BE8:BI19)</f>
        <v>#DIV/0!</v>
      </c>
      <c r="I64" s="189">
        <f>I60</f>
        <v>3</v>
      </c>
      <c r="J64" s="461">
        <f t="shared" si="20"/>
        <v>2019</v>
      </c>
      <c r="K64" s="566" t="str">
        <f t="shared" si="9"/>
        <v>3Q19</v>
      </c>
      <c r="L64" s="825">
        <v>9.7935999999999996</v>
      </c>
      <c r="M64" s="368">
        <v>11.073399999999999</v>
      </c>
      <c r="N64" s="368">
        <v>16.8507</v>
      </c>
      <c r="O64" s="368">
        <v>22.296299999999999</v>
      </c>
      <c r="P64" s="368">
        <v>14.6652</v>
      </c>
      <c r="Q64" s="826">
        <v>24.671199999999999</v>
      </c>
      <c r="R64" s="825">
        <v>9.4713999999999992</v>
      </c>
      <c r="S64" s="368">
        <v>10.0114</v>
      </c>
      <c r="T64" s="368">
        <v>14.335699999999999</v>
      </c>
      <c r="U64" s="368">
        <v>17.4528</v>
      </c>
      <c r="V64" s="368">
        <v>14.529</v>
      </c>
      <c r="W64" s="826">
        <v>21.531400000000001</v>
      </c>
      <c r="X64" s="825">
        <v>5.7275999999999998</v>
      </c>
      <c r="Y64" s="368">
        <v>9.6547999999999998</v>
      </c>
      <c r="Z64" s="368">
        <v>27.219100000000001</v>
      </c>
      <c r="AA64" s="368">
        <v>27.219100000000001</v>
      </c>
      <c r="AB64" s="368">
        <v>11.827400000000001</v>
      </c>
      <c r="AC64" s="826">
        <v>13.6599</v>
      </c>
      <c r="AD64" s="368">
        <v>5.1760000000000002</v>
      </c>
      <c r="AE64" s="368">
        <v>8.4885999999999999</v>
      </c>
      <c r="AF64" s="368">
        <v>9.6399000000000008</v>
      </c>
      <c r="AG64" s="368">
        <v>12.6432</v>
      </c>
      <c r="AH64" s="368">
        <v>8.7104999999999997</v>
      </c>
      <c r="AI64" s="826">
        <v>13.6599</v>
      </c>
      <c r="AJ64" s="23"/>
      <c r="AK64" s="566" t="str">
        <f t="shared" si="13"/>
        <v>3Q19</v>
      </c>
      <c r="AL64" s="825">
        <f t="shared" si="14"/>
        <v>9.7935999999999996</v>
      </c>
      <c r="AM64" s="368">
        <v>19.997181435645999</v>
      </c>
      <c r="AN64" s="368">
        <v>18.5234169124132</v>
      </c>
      <c r="AO64" s="368">
        <v>20.0561270625894</v>
      </c>
      <c r="AP64" s="368">
        <v>14.106439675078301</v>
      </c>
      <c r="AQ64" s="826">
        <v>17.559171648664801</v>
      </c>
      <c r="AR64" s="825">
        <f t="shared" si="10"/>
        <v>9.4713999999999992</v>
      </c>
      <c r="AS64" s="368">
        <v>18.771186440678001</v>
      </c>
      <c r="AT64" s="368">
        <v>19.371574001566199</v>
      </c>
      <c r="AU64" s="368">
        <v>17.428936895963599</v>
      </c>
      <c r="AV64" s="368">
        <v>14.0337570772353</v>
      </c>
      <c r="AW64" s="826">
        <v>13.0179028132992</v>
      </c>
      <c r="AX64" s="825">
        <f t="shared" si="11"/>
        <v>5.7275999999999998</v>
      </c>
      <c r="AY64" s="368">
        <v>13.616533231839</v>
      </c>
      <c r="AZ64" s="368">
        <v>11.671039259236499</v>
      </c>
      <c r="BA64" s="368">
        <v>11.237328099240401</v>
      </c>
      <c r="BB64" s="368">
        <v>8.5636391786993808</v>
      </c>
      <c r="BC64" s="826">
        <v>9.4807678314934005</v>
      </c>
      <c r="BD64" s="825">
        <f t="shared" si="21"/>
        <v>5.1760000000000002</v>
      </c>
      <c r="BE64" s="368">
        <v>11.355119303791399</v>
      </c>
      <c r="BF64" s="368">
        <v>11.846434747342601</v>
      </c>
      <c r="BG64" s="368">
        <v>10.611930261701501</v>
      </c>
      <c r="BH64" s="368">
        <v>8.6543815287443895</v>
      </c>
      <c r="BI64" s="826">
        <v>8.2379108421674392</v>
      </c>
      <c r="BJ64" s="23"/>
      <c r="BK64" s="566" t="str">
        <f t="shared" si="15"/>
        <v>3Q19</v>
      </c>
      <c r="BL64" s="825">
        <f t="shared" si="16"/>
        <v>9.7935999999999996</v>
      </c>
      <c r="BM64" s="368">
        <v>19.384227863700598</v>
      </c>
      <c r="BN64" s="368">
        <v>13.908477197883499</v>
      </c>
      <c r="BO64" s="368">
        <v>33.2283092526121</v>
      </c>
      <c r="BP64" s="368">
        <v>16.0444901612988</v>
      </c>
      <c r="BQ64" s="826">
        <v>17.191582410452199</v>
      </c>
      <c r="BR64" s="825">
        <f t="shared" si="17"/>
        <v>9.4713999999999992</v>
      </c>
      <c r="BS64" s="368">
        <v>20.975609756097601</v>
      </c>
      <c r="BT64" s="368">
        <v>18.8101636941119</v>
      </c>
      <c r="BU64" s="368">
        <v>20.277493036496299</v>
      </c>
      <c r="BV64" s="368">
        <v>16.155061799158801</v>
      </c>
      <c r="BW64" s="826">
        <v>15.4</v>
      </c>
      <c r="BX64" s="825">
        <f t="shared" si="18"/>
        <v>5.7275999999999998</v>
      </c>
      <c r="BY64" s="368">
        <v>8.8108588558203795</v>
      </c>
      <c r="BZ64" s="368">
        <v>5.7308744067364401</v>
      </c>
      <c r="CA64" s="368">
        <v>31.517612592006198</v>
      </c>
      <c r="CB64" s="368">
        <v>11.8960133684471</v>
      </c>
      <c r="CC64" s="826">
        <v>11.3467411692216</v>
      </c>
      <c r="CD64" s="825">
        <f t="shared" si="22"/>
        <v>5.1760000000000002</v>
      </c>
      <c r="CE64" s="368">
        <v>8.6006847953429606</v>
      </c>
      <c r="CF64" s="368">
        <v>11.055244811169899</v>
      </c>
      <c r="CG64" s="368">
        <v>18.195775926978001</v>
      </c>
      <c r="CH64" s="368">
        <v>10.898807331445401</v>
      </c>
      <c r="CI64" s="826">
        <v>9.3971229634638203</v>
      </c>
    </row>
    <row r="65" spans="1:87" ht="14.45" customHeight="1">
      <c r="A65" s="23"/>
      <c r="B65" s="23"/>
      <c r="C65" s="23" t="s">
        <v>445</v>
      </c>
      <c r="D65" s="23"/>
      <c r="E65" s="345">
        <f>AVERAGE(AM16:AQ27)</f>
        <v>19.262472338714346</v>
      </c>
      <c r="F65" s="345">
        <f>AVERAGE(AS16:AW27)</f>
        <v>17.294949146403418</v>
      </c>
      <c r="G65" s="345">
        <f>AVERAGE(AY16:BC27)</f>
        <v>9.8177655309079377</v>
      </c>
      <c r="H65" s="345">
        <f>AVERAGE(BE16:BI27)</f>
        <v>8.656236152701716</v>
      </c>
      <c r="I65" s="189">
        <f>IF(I64=4,1,I64+1)</f>
        <v>4</v>
      </c>
      <c r="J65" s="461">
        <f t="shared" si="20"/>
        <v>2019</v>
      </c>
      <c r="K65" s="566" t="str">
        <f t="shared" si="9"/>
        <v>4Q19</v>
      </c>
      <c r="L65" s="825">
        <v>10.6464</v>
      </c>
      <c r="M65" s="368">
        <v>12.4948</v>
      </c>
      <c r="N65" s="368">
        <v>17.276800000000001</v>
      </c>
      <c r="O65" s="368">
        <v>22.275400000000001</v>
      </c>
      <c r="P65" s="368">
        <v>16.8</v>
      </c>
      <c r="Q65" s="826">
        <v>22.461500000000001</v>
      </c>
      <c r="R65" s="825">
        <v>9.7674000000000003</v>
      </c>
      <c r="S65" s="368">
        <v>12.487500000000001</v>
      </c>
      <c r="T65" s="368">
        <v>15.6584</v>
      </c>
      <c r="U65" s="368">
        <v>19.2043</v>
      </c>
      <c r="V65" s="368">
        <v>14.5223</v>
      </c>
      <c r="W65" s="826">
        <v>20.2361</v>
      </c>
      <c r="X65" s="825">
        <v>5.9511000000000003</v>
      </c>
      <c r="Y65" s="368">
        <v>9.3392999999999997</v>
      </c>
      <c r="Z65" s="368">
        <v>20.638500000000001</v>
      </c>
      <c r="AA65" s="368">
        <v>20.638500000000001</v>
      </c>
      <c r="AB65" s="368">
        <v>14.4236</v>
      </c>
      <c r="AC65" s="826">
        <v>12.4771</v>
      </c>
      <c r="AD65" s="368">
        <v>6.5031999999999996</v>
      </c>
      <c r="AE65" s="368">
        <v>10.3437</v>
      </c>
      <c r="AF65" s="368">
        <v>11.7506</v>
      </c>
      <c r="AG65" s="368">
        <v>13.229799999999999</v>
      </c>
      <c r="AH65" s="368">
        <v>11.137499999999999</v>
      </c>
      <c r="AI65" s="826">
        <v>12.4771</v>
      </c>
      <c r="AJ65" s="23"/>
      <c r="AK65" s="566" t="str">
        <f t="shared" si="13"/>
        <v>4Q19</v>
      </c>
      <c r="AL65" s="825">
        <f t="shared" si="14"/>
        <v>10.6464</v>
      </c>
      <c r="AM65" s="368">
        <v>22.475329167076101</v>
      </c>
      <c r="AN65" s="368">
        <v>20.593353168224599</v>
      </c>
      <c r="AO65" s="368">
        <v>22.034457060929199</v>
      </c>
      <c r="AP65" s="368">
        <v>15.0484698200582</v>
      </c>
      <c r="AQ65" s="826">
        <v>17.710061951419</v>
      </c>
      <c r="AR65" s="825">
        <f t="shared" si="10"/>
        <v>9.7674000000000003</v>
      </c>
      <c r="AS65" s="368">
        <v>20.958533907609201</v>
      </c>
      <c r="AT65" s="368">
        <v>20.7874310296456</v>
      </c>
      <c r="AU65" s="368">
        <v>19.019306099608301</v>
      </c>
      <c r="AV65" s="368">
        <v>14.6337362059905</v>
      </c>
      <c r="AW65" s="826">
        <v>13.4704370179949</v>
      </c>
      <c r="AX65" s="825">
        <f t="shared" si="11"/>
        <v>5.9511000000000003</v>
      </c>
      <c r="AY65" s="368">
        <v>14.964076135473301</v>
      </c>
      <c r="AZ65" s="368">
        <v>13.0378810681472</v>
      </c>
      <c r="BA65" s="368">
        <v>13.237373175453</v>
      </c>
      <c r="BB65" s="368">
        <v>9.4429334346529998</v>
      </c>
      <c r="BC65" s="826">
        <v>9.6626506732740101</v>
      </c>
      <c r="BD65" s="825">
        <f t="shared" si="21"/>
        <v>6.5031999999999996</v>
      </c>
      <c r="BE65" s="368">
        <v>12.700347002688099</v>
      </c>
      <c r="BF65" s="368">
        <v>13.273740829749199</v>
      </c>
      <c r="BG65" s="368">
        <v>11.9112839944216</v>
      </c>
      <c r="BH65" s="368">
        <v>9.2980473345789996</v>
      </c>
      <c r="BI65" s="826">
        <v>8.6781159357397808</v>
      </c>
      <c r="BJ65" s="23"/>
      <c r="BK65" s="566" t="str">
        <f t="shared" si="15"/>
        <v>4Q19</v>
      </c>
      <c r="BL65" s="825">
        <f t="shared" si="16"/>
        <v>10.6464</v>
      </c>
      <c r="BM65" s="368">
        <v>20.835102571861299</v>
      </c>
      <c r="BN65" s="368">
        <v>15.761428299699</v>
      </c>
      <c r="BO65" s="368">
        <v>32.483285140441502</v>
      </c>
      <c r="BP65" s="368">
        <v>16.165528201573299</v>
      </c>
      <c r="BQ65" s="826">
        <v>17.8036123538146</v>
      </c>
      <c r="BR65" s="825">
        <f t="shared" si="17"/>
        <v>9.7674000000000003</v>
      </c>
      <c r="BS65" s="368">
        <v>21.336898395721899</v>
      </c>
      <c r="BT65" s="368">
        <v>20.8168507577704</v>
      </c>
      <c r="BU65" s="368">
        <v>20.106441243853801</v>
      </c>
      <c r="BV65" s="368">
        <v>16.634658775064899</v>
      </c>
      <c r="BW65" s="826">
        <v>15.6780308821281</v>
      </c>
      <c r="BX65" s="825">
        <f t="shared" si="18"/>
        <v>5.9511000000000003</v>
      </c>
      <c r="BY65" s="368">
        <v>9.5962061947483903</v>
      </c>
      <c r="BZ65" s="368">
        <v>5.11271417938661</v>
      </c>
      <c r="CA65" s="368">
        <v>26.051184266846999</v>
      </c>
      <c r="CB65" s="368">
        <v>12.257617505758001</v>
      </c>
      <c r="CC65" s="826">
        <v>11.6439186851917</v>
      </c>
      <c r="CD65" s="825">
        <f t="shared" si="22"/>
        <v>6.5031999999999996</v>
      </c>
      <c r="CE65" s="368">
        <v>9.4467034692216405</v>
      </c>
      <c r="CF65" s="368">
        <v>9.3415389650446894</v>
      </c>
      <c r="CG65" s="368">
        <v>17.722520144499502</v>
      </c>
      <c r="CH65" s="368">
        <v>11.4820845836601</v>
      </c>
      <c r="CI65" s="826">
        <v>9.5855066578281196</v>
      </c>
    </row>
    <row r="66" spans="1:87" ht="14.45" customHeight="1">
      <c r="A66" s="23"/>
      <c r="B66" s="23"/>
      <c r="C66" s="23" t="s">
        <v>446</v>
      </c>
      <c r="D66" s="23"/>
      <c r="E66" s="345">
        <f>AVERAGE(AM24:AQ35)</f>
        <v>17.224511078395345</v>
      </c>
      <c r="F66" s="345">
        <f>AVERAGE(AS24:AW35)</f>
        <v>14.896640295870613</v>
      </c>
      <c r="G66" s="345">
        <f>AVERAGE(AY24:BC35)</f>
        <v>8.9307838896084188</v>
      </c>
      <c r="H66" s="345">
        <f>AVERAGE(BE24:BI35)</f>
        <v>8.2881320038219322</v>
      </c>
      <c r="I66" s="189">
        <f>IF(I65+1=5,1,I65+1)</f>
        <v>1</v>
      </c>
      <c r="J66" s="461">
        <f t="shared" si="20"/>
        <v>2020</v>
      </c>
      <c r="K66" s="566" t="str">
        <f t="shared" si="9"/>
        <v>1Q20</v>
      </c>
      <c r="L66" s="825">
        <v>6.9185999999999996</v>
      </c>
      <c r="M66" s="368">
        <v>8.0961999999999996</v>
      </c>
      <c r="N66" s="368">
        <v>17.953499999999998</v>
      </c>
      <c r="O66" s="368">
        <v>17.486699999999999</v>
      </c>
      <c r="P66" s="368">
        <v>13.445</v>
      </c>
      <c r="Q66" s="826">
        <v>21.920100000000001</v>
      </c>
      <c r="R66" s="825">
        <v>6.0902000000000003</v>
      </c>
      <c r="S66" s="368">
        <v>6.9973000000000001</v>
      </c>
      <c r="T66" s="368">
        <v>16.598700000000001</v>
      </c>
      <c r="U66" s="368">
        <v>14.1797</v>
      </c>
      <c r="V66" s="368">
        <v>12.749499999999999</v>
      </c>
      <c r="W66" s="826">
        <v>20.331800000000001</v>
      </c>
      <c r="X66" s="825">
        <v>4.4969999999999999</v>
      </c>
      <c r="Y66" s="368">
        <v>7.3228</v>
      </c>
      <c r="Z66" s="368">
        <v>16.177399999999999</v>
      </c>
      <c r="AA66" s="368">
        <v>16.177399999999999</v>
      </c>
      <c r="AB66" s="368">
        <v>12.1402</v>
      </c>
      <c r="AC66" s="826">
        <v>12.019600000000001</v>
      </c>
      <c r="AD66" s="368">
        <v>6.6054000000000004</v>
      </c>
      <c r="AE66" s="368">
        <v>9.7296999999999993</v>
      </c>
      <c r="AF66" s="368">
        <v>11.78</v>
      </c>
      <c r="AG66" s="368">
        <v>14.1806</v>
      </c>
      <c r="AH66" s="368">
        <v>13.576700000000001</v>
      </c>
      <c r="AI66" s="826">
        <v>12.019600000000001</v>
      </c>
      <c r="AJ66" s="23"/>
      <c r="AK66" s="566" t="str">
        <f t="shared" si="13"/>
        <v>1Q20</v>
      </c>
      <c r="AL66" s="825">
        <f t="shared" si="14"/>
        <v>6.9185999999999996</v>
      </c>
      <c r="AM66" s="368">
        <v>20.218534252416902</v>
      </c>
      <c r="AN66" s="368">
        <v>18.7777991734784</v>
      </c>
      <c r="AO66" s="368">
        <v>19.449682429963001</v>
      </c>
      <c r="AP66" s="368">
        <v>16.572022290843901</v>
      </c>
      <c r="AQ66" s="826">
        <v>17.710061951419</v>
      </c>
      <c r="AR66" s="825">
        <f t="shared" si="10"/>
        <v>6.0902000000000003</v>
      </c>
      <c r="AS66" s="368">
        <v>19.8855246785566</v>
      </c>
      <c r="AT66" s="368">
        <v>19.339238904456298</v>
      </c>
      <c r="AU66" s="368">
        <v>18.3909754120508</v>
      </c>
      <c r="AV66" s="368">
        <v>15.9416418370492</v>
      </c>
      <c r="AW66" s="826">
        <v>13.3333333333333</v>
      </c>
      <c r="AX66" s="825">
        <f t="shared" si="11"/>
        <v>4.4969999999999999</v>
      </c>
      <c r="AY66" s="368">
        <v>13.1266307559514</v>
      </c>
      <c r="AZ66" s="368">
        <v>12.3867992139277</v>
      </c>
      <c r="BA66" s="368">
        <v>11.466262650738599</v>
      </c>
      <c r="BB66" s="368">
        <v>10.687788081140001</v>
      </c>
      <c r="BC66" s="826">
        <v>9.6667809175315593</v>
      </c>
      <c r="BD66" s="825">
        <f t="shared" si="21"/>
        <v>6.6054000000000004</v>
      </c>
      <c r="BE66" s="368">
        <v>12.4195386896497</v>
      </c>
      <c r="BF66" s="368">
        <v>12.663318332875701</v>
      </c>
      <c r="BG66" s="368">
        <v>11.541856278119299</v>
      </c>
      <c r="BH66" s="368">
        <v>10.2055491446263</v>
      </c>
      <c r="BI66" s="826">
        <v>8.5830829229704602</v>
      </c>
      <c r="BJ66" s="23"/>
      <c r="BK66" s="566" t="str">
        <f t="shared" si="15"/>
        <v>1Q20</v>
      </c>
      <c r="BL66" s="825">
        <f t="shared" si="16"/>
        <v>6.9185999999999996</v>
      </c>
      <c r="BM66" s="368">
        <v>25.815956686658499</v>
      </c>
      <c r="BN66" s="368">
        <v>17.0264463502361</v>
      </c>
      <c r="BO66" s="368">
        <v>29.025166871739799</v>
      </c>
      <c r="BP66" s="368">
        <v>16.2119049357539</v>
      </c>
      <c r="BQ66" s="826">
        <v>17.3509445420435</v>
      </c>
      <c r="BR66" s="825">
        <f t="shared" si="17"/>
        <v>6.0902000000000003</v>
      </c>
      <c r="BS66" s="368">
        <v>25.175836642087301</v>
      </c>
      <c r="BT66" s="368">
        <v>19.871944121071</v>
      </c>
      <c r="BU66" s="368">
        <v>18.931028236702101</v>
      </c>
      <c r="BV66" s="368">
        <v>16.638279736708501</v>
      </c>
      <c r="BW66" s="826">
        <v>15.468940316687</v>
      </c>
      <c r="BX66" s="825">
        <f t="shared" si="18"/>
        <v>4.4969999999999999</v>
      </c>
      <c r="BY66" s="368">
        <v>12.1990038422253</v>
      </c>
      <c r="BZ66" s="368">
        <v>5.0333249197971401</v>
      </c>
      <c r="CA66" s="368">
        <v>24.0965972999172</v>
      </c>
      <c r="CB66" s="368">
        <v>12.327696931207401</v>
      </c>
      <c r="CC66" s="826">
        <v>11.5890282932563</v>
      </c>
      <c r="CD66" s="825">
        <f t="shared" si="22"/>
        <v>6.6054000000000004</v>
      </c>
      <c r="CE66" s="368">
        <v>10.9486870372588</v>
      </c>
      <c r="CF66" s="368">
        <v>8.4251849217201293</v>
      </c>
      <c r="CG66" s="368">
        <v>16.1964084418045</v>
      </c>
      <c r="CH66" s="368">
        <v>11.286621192426299</v>
      </c>
      <c r="CI66" s="826">
        <v>9.3998419809461708</v>
      </c>
    </row>
    <row r="67" spans="1:87" ht="14.45" customHeight="1">
      <c r="A67" s="23"/>
      <c r="B67" s="23"/>
      <c r="C67" s="23" t="s">
        <v>411</v>
      </c>
      <c r="D67" s="23"/>
      <c r="E67" s="345">
        <f>AVERAGE(AM36:AQ75)</f>
        <v>16.187707655771675</v>
      </c>
      <c r="F67" s="345">
        <f>AVERAGE(AS36:AW75)</f>
        <v>13.567451413503498</v>
      </c>
      <c r="G67" s="345">
        <f>AVERAGE(AY36:BC75)</f>
        <v>8.6942664150866467</v>
      </c>
      <c r="H67" s="345">
        <f>AVERAGE(BE36:BI75)</f>
        <v>8.2278336539548018</v>
      </c>
      <c r="I67" s="189">
        <f>IF(I66=4,1,I66+1)</f>
        <v>2</v>
      </c>
      <c r="J67" s="461">
        <f t="shared" si="20"/>
        <v>2020</v>
      </c>
      <c r="K67" s="566" t="str">
        <f t="shared" si="9"/>
        <v>2Q20</v>
      </c>
      <c r="L67" s="825">
        <v>9.4591999999999992</v>
      </c>
      <c r="M67" s="368">
        <v>9.7357999999999993</v>
      </c>
      <c r="N67" s="368">
        <v>19.902899999999999</v>
      </c>
      <c r="O67" s="368">
        <v>18.98</v>
      </c>
      <c r="P67" s="368">
        <v>21.489699999999999</v>
      </c>
      <c r="Q67" s="826">
        <v>21.9</v>
      </c>
      <c r="R67" s="825">
        <v>19.154699999999998</v>
      </c>
      <c r="S67" s="368">
        <v>17.564399999999999</v>
      </c>
      <c r="T67" s="368">
        <v>19.921199999999999</v>
      </c>
      <c r="U67" s="368">
        <v>19.595400000000001</v>
      </c>
      <c r="V67" s="368">
        <v>29.423999999999999</v>
      </c>
      <c r="W67" s="826">
        <v>21.138300000000001</v>
      </c>
      <c r="X67" s="825">
        <v>5.1470000000000002</v>
      </c>
      <c r="Y67" s="368">
        <v>8.5187000000000008</v>
      </c>
      <c r="Z67" s="368">
        <v>14.745699999999999</v>
      </c>
      <c r="AA67" s="368">
        <v>14.745699999999999</v>
      </c>
      <c r="AB67" s="368">
        <v>20.674800000000001</v>
      </c>
      <c r="AC67" s="826">
        <v>12.1732</v>
      </c>
      <c r="AD67" s="368">
        <v>8.7430000000000003</v>
      </c>
      <c r="AE67" s="368">
        <v>28.209599999999998</v>
      </c>
      <c r="AF67" s="368">
        <v>13.7034</v>
      </c>
      <c r="AG67" s="368">
        <v>19.2987</v>
      </c>
      <c r="AH67" s="368">
        <v>55.022300000000001</v>
      </c>
      <c r="AI67" s="826">
        <v>12.1732</v>
      </c>
      <c r="AJ67" s="23"/>
      <c r="AK67" s="566" t="str">
        <f t="shared" si="13"/>
        <v>2Q20</v>
      </c>
      <c r="AL67" s="825">
        <f t="shared" si="14"/>
        <v>9.4591999999999992</v>
      </c>
      <c r="AM67" s="368">
        <v>20.668809737379402</v>
      </c>
      <c r="AN67" s="368">
        <v>15.9005325905884</v>
      </c>
      <c r="AO67" s="368">
        <v>20.3173920023305</v>
      </c>
      <c r="AP67" s="368">
        <v>20.006952491309399</v>
      </c>
      <c r="AQ67" s="826">
        <v>20.5307092900158</v>
      </c>
      <c r="AR67" s="825">
        <f t="shared" si="10"/>
        <v>19.154699999999998</v>
      </c>
      <c r="AS67" s="368">
        <v>20.4015998693984</v>
      </c>
      <c r="AT67" s="368">
        <v>19.895637296834899</v>
      </c>
      <c r="AU67" s="368">
        <v>19.111709286675602</v>
      </c>
      <c r="AV67" s="368">
        <v>17.639967306906399</v>
      </c>
      <c r="AW67" s="826">
        <v>14.750623441396501</v>
      </c>
      <c r="AX67" s="825">
        <f t="shared" si="11"/>
        <v>5.1470000000000002</v>
      </c>
      <c r="AY67" s="368">
        <v>12.074723405307701</v>
      </c>
      <c r="AZ67" s="368">
        <v>12.195018424916301</v>
      </c>
      <c r="BA67" s="368">
        <v>11.569258386006201</v>
      </c>
      <c r="BB67" s="368">
        <v>12.928671491471199</v>
      </c>
      <c r="BC67" s="826">
        <v>10.222826802459499</v>
      </c>
      <c r="BD67" s="825">
        <f t="shared" si="21"/>
        <v>8.7430000000000003</v>
      </c>
      <c r="BE67" s="368">
        <v>11.8871481239925</v>
      </c>
      <c r="BF67" s="368">
        <v>11.964258549333101</v>
      </c>
      <c r="BG67" s="368">
        <v>11.817655580723001</v>
      </c>
      <c r="BH67" s="368">
        <v>11.2019939501488</v>
      </c>
      <c r="BI67" s="826">
        <v>8.8425288587657693</v>
      </c>
      <c r="BJ67" s="23"/>
      <c r="BK67" s="566" t="str">
        <f t="shared" si="15"/>
        <v>2Q20</v>
      </c>
      <c r="BL67" s="825">
        <f t="shared" si="16"/>
        <v>9.4591999999999992</v>
      </c>
      <c r="BM67" s="368">
        <v>28.066034167082801</v>
      </c>
      <c r="BN67" s="368">
        <v>21.307420333945799</v>
      </c>
      <c r="BO67" s="368">
        <v>26.889103128374899</v>
      </c>
      <c r="BP67" s="368">
        <v>16.423273947979698</v>
      </c>
      <c r="BQ67" s="826">
        <v>17.1725751374574</v>
      </c>
      <c r="BR67" s="825">
        <f t="shared" si="17"/>
        <v>19.154699999999998</v>
      </c>
      <c r="BS67" s="368">
        <v>28.456581773550202</v>
      </c>
      <c r="BT67" s="368">
        <v>23.082437275985701</v>
      </c>
      <c r="BU67" s="368">
        <v>20.345307595445401</v>
      </c>
      <c r="BV67" s="368">
        <v>16.801093827897802</v>
      </c>
      <c r="BW67" s="826">
        <v>16.611607819366601</v>
      </c>
      <c r="BX67" s="825">
        <f t="shared" si="18"/>
        <v>5.1470000000000002</v>
      </c>
      <c r="BY67" s="368">
        <v>13.7639728827608</v>
      </c>
      <c r="BZ67" s="368">
        <v>7.5504903192001098</v>
      </c>
      <c r="CA67" s="368">
        <v>23.121079340232299</v>
      </c>
      <c r="CB67" s="368">
        <v>12.2357248665092</v>
      </c>
      <c r="CC67" s="826">
        <v>10.7451877747124</v>
      </c>
      <c r="CD67" s="825">
        <f t="shared" si="22"/>
        <v>8.7430000000000003</v>
      </c>
      <c r="CE67" s="368">
        <v>11.1463692074734</v>
      </c>
      <c r="CF67" s="368">
        <v>12.6304413193167</v>
      </c>
      <c r="CG67" s="368">
        <v>16.374575188527999</v>
      </c>
      <c r="CH67" s="368">
        <v>10.8915082737996</v>
      </c>
      <c r="CI67" s="826">
        <v>10.199528117422799</v>
      </c>
    </row>
    <row r="68" spans="1:87" ht="14.45" customHeight="1">
      <c r="A68" s="23"/>
      <c r="B68" s="23"/>
      <c r="C68" s="23" t="s">
        <v>447</v>
      </c>
      <c r="D68" s="23"/>
      <c r="E68" s="345">
        <f>AVERAGE(AM36:AQ51)</f>
        <v>10.627759634939974</v>
      </c>
      <c r="F68" s="345">
        <f>AVERAGE(AS36:AW51)</f>
        <v>9.4357996494058476</v>
      </c>
      <c r="G68" s="345">
        <f>AVERAGE(AY36:BC51)</f>
        <v>5.6313878399053614</v>
      </c>
      <c r="H68" s="345">
        <f>AVERAGE(BE36:BI51)</f>
        <v>5.4314602700251715</v>
      </c>
      <c r="I68" s="189">
        <f>I64</f>
        <v>3</v>
      </c>
      <c r="J68" s="461">
        <f t="shared" si="20"/>
        <v>2020</v>
      </c>
      <c r="K68" s="566" t="str">
        <f t="shared" si="9"/>
        <v>3Q20</v>
      </c>
      <c r="L68" s="825">
        <v>10.475</v>
      </c>
      <c r="M68" s="368">
        <v>11.618</v>
      </c>
      <c r="N68" s="368">
        <v>19.875800000000002</v>
      </c>
      <c r="O68" s="368">
        <v>18.923300000000001</v>
      </c>
      <c r="P68" s="368">
        <v>27.8889</v>
      </c>
      <c r="Q68" s="826">
        <v>23.033799999999999</v>
      </c>
      <c r="R68" s="825">
        <v>17.4513</v>
      </c>
      <c r="S68" s="368">
        <v>15.589600000000001</v>
      </c>
      <c r="T68" s="368">
        <v>21.984400000000001</v>
      </c>
      <c r="U68" s="368">
        <v>19.970300000000002</v>
      </c>
      <c r="V68" s="368">
        <v>76.557699999999997</v>
      </c>
      <c r="W68" s="826">
        <v>20.435600000000001</v>
      </c>
      <c r="X68" s="825">
        <v>5.3918999999999997</v>
      </c>
      <c r="Y68" s="368">
        <v>8.4682999999999993</v>
      </c>
      <c r="Z68" s="368">
        <v>13.208</v>
      </c>
      <c r="AA68" s="368">
        <v>13.208</v>
      </c>
      <c r="AB68" s="368">
        <v>23.373699999999999</v>
      </c>
      <c r="AC68" s="826">
        <v>12.8368</v>
      </c>
      <c r="AD68" s="368">
        <v>12.673</v>
      </c>
      <c r="AE68" s="368">
        <v>28.7577</v>
      </c>
      <c r="AF68" s="368">
        <v>16.12</v>
      </c>
      <c r="AG68" s="368">
        <v>22.5672</v>
      </c>
      <c r="AH68" s="368">
        <v>134.35720000000001</v>
      </c>
      <c r="AI68" s="826">
        <v>12.8368</v>
      </c>
      <c r="AJ68" s="23"/>
      <c r="AK68" s="566" t="str">
        <f t="shared" si="13"/>
        <v>3Q20</v>
      </c>
      <c r="AL68" s="825">
        <f t="shared" si="14"/>
        <v>10.475</v>
      </c>
      <c r="AM68" s="368">
        <v>21.591940880684898</v>
      </c>
      <c r="AN68" s="368">
        <v>16.3220713054363</v>
      </c>
      <c r="AO68" s="368">
        <v>20.9216903189234</v>
      </c>
      <c r="AP68" s="368">
        <v>20.7308970099668</v>
      </c>
      <c r="AQ68" s="826">
        <v>22.300897242324801</v>
      </c>
      <c r="AR68" s="825">
        <f t="shared" si="10"/>
        <v>17.4513</v>
      </c>
      <c r="AS68" s="368">
        <v>21.109095211800899</v>
      </c>
      <c r="AT68" s="368">
        <v>20.016832183134198</v>
      </c>
      <c r="AU68" s="368">
        <v>20.596974608319801</v>
      </c>
      <c r="AV68" s="368">
        <v>19.1940941248847</v>
      </c>
      <c r="AW68" s="826">
        <v>14.7025171624714</v>
      </c>
      <c r="AX68" s="825">
        <f t="shared" si="11"/>
        <v>5.3918999999999997</v>
      </c>
      <c r="AY68" s="368">
        <v>12.2299186581744</v>
      </c>
      <c r="AZ68" s="368">
        <v>12.2332703953318</v>
      </c>
      <c r="BA68" s="368">
        <v>11.5069141760127</v>
      </c>
      <c r="BB68" s="368">
        <v>13.594794257068299</v>
      </c>
      <c r="BC68" s="826">
        <v>11.0410116059098</v>
      </c>
      <c r="BD68" s="825">
        <f t="shared" si="21"/>
        <v>12.673</v>
      </c>
      <c r="BE68" s="368">
        <v>12.6639328350543</v>
      </c>
      <c r="BF68" s="368">
        <v>12.5960409466614</v>
      </c>
      <c r="BG68" s="368">
        <v>12.3328687695918</v>
      </c>
      <c r="BH68" s="368">
        <v>12.4744740331326</v>
      </c>
      <c r="BI68" s="826">
        <v>9.4987184392038593</v>
      </c>
      <c r="BJ68" s="23"/>
      <c r="BK68" s="566" t="str">
        <f t="shared" si="15"/>
        <v>3Q20</v>
      </c>
      <c r="BL68" s="825">
        <f t="shared" si="16"/>
        <v>10.475</v>
      </c>
      <c r="BM68" s="368">
        <v>23.6974210277568</v>
      </c>
      <c r="BN68" s="368">
        <v>23.589525782489201</v>
      </c>
      <c r="BO68" s="368">
        <v>25.791558894553301</v>
      </c>
      <c r="BP68" s="368">
        <v>17.307023437642702</v>
      </c>
      <c r="BQ68" s="826">
        <v>17.537528451010001</v>
      </c>
      <c r="BR68" s="825">
        <f t="shared" si="17"/>
        <v>17.4513</v>
      </c>
      <c r="BS68" s="368">
        <v>29.616858237547898</v>
      </c>
      <c r="BT68" s="368">
        <v>22.745507730881702</v>
      </c>
      <c r="BU68" s="368">
        <v>17.6495944054221</v>
      </c>
      <c r="BV68" s="368">
        <v>16.987359911395298</v>
      </c>
      <c r="BW68" s="826">
        <v>17.128682643871201</v>
      </c>
      <c r="BX68" s="825">
        <f t="shared" si="18"/>
        <v>5.3918999999999997</v>
      </c>
      <c r="BY68" s="368">
        <v>13.8194579192422</v>
      </c>
      <c r="BZ68" s="368">
        <v>7.9942188901472404</v>
      </c>
      <c r="CA68" s="368">
        <v>22.026197427592699</v>
      </c>
      <c r="CB68" s="368">
        <v>13.3849672643896</v>
      </c>
      <c r="CC68" s="826">
        <v>10.5374575768322</v>
      </c>
      <c r="CD68" s="825">
        <f t="shared" si="22"/>
        <v>12.673</v>
      </c>
      <c r="CE68" s="368">
        <v>10.810994531561599</v>
      </c>
      <c r="CF68" s="368">
        <v>11.5073082924952</v>
      </c>
      <c r="CG68" s="368">
        <v>16.071896079336099</v>
      </c>
      <c r="CH68" s="368">
        <v>11.679860272055899</v>
      </c>
      <c r="CI68" s="826">
        <v>10.218256912726</v>
      </c>
    </row>
    <row r="69" spans="1:87" ht="14.45" customHeight="1">
      <c r="A69" s="23"/>
      <c r="B69" s="23"/>
      <c r="C69" s="23" t="s">
        <v>448</v>
      </c>
      <c r="D69" s="23"/>
      <c r="E69" s="345">
        <f>AVERAGE(AM48:AQ63)</f>
        <v>17.086430719061759</v>
      </c>
      <c r="F69" s="345">
        <f>AVERAGE(AS48:AW63)</f>
        <v>13.060402390627019</v>
      </c>
      <c r="G69" s="345">
        <f>AVERAGE(AY48:BC63)</f>
        <v>8.3890089185246133</v>
      </c>
      <c r="H69" s="345">
        <f>AVERAGE(BE48:BI63)</f>
        <v>7.6783842052479061</v>
      </c>
      <c r="I69" s="189">
        <f>IF(I68=4,1,I68+1)</f>
        <v>4</v>
      </c>
      <c r="J69" s="461">
        <f t="shared" si="20"/>
        <v>2020</v>
      </c>
      <c r="K69" s="566" t="str">
        <f t="shared" si="9"/>
        <v>4Q20</v>
      </c>
      <c r="L69" s="825">
        <v>11.8422</v>
      </c>
      <c r="M69" s="368">
        <v>11.7578</v>
      </c>
      <c r="N69" s="368">
        <v>16.976299999999998</v>
      </c>
      <c r="O69" s="368">
        <v>18.240200000000002</v>
      </c>
      <c r="P69" s="368">
        <v>16.407</v>
      </c>
      <c r="Q69" s="826">
        <v>23.226400000000002</v>
      </c>
      <c r="R69" s="825">
        <v>19.985399999999998</v>
      </c>
      <c r="S69" s="368">
        <v>15.517200000000001</v>
      </c>
      <c r="T69" s="368">
        <v>22.530200000000001</v>
      </c>
      <c r="U69" s="368">
        <v>18.335799999999999</v>
      </c>
      <c r="V69" s="368">
        <v>28.134799999999998</v>
      </c>
      <c r="W69" s="826">
        <v>21.184899999999999</v>
      </c>
      <c r="X69" s="825">
        <v>7.1284999999999998</v>
      </c>
      <c r="Y69" s="368">
        <v>8.7634000000000007</v>
      </c>
      <c r="Z69" s="368">
        <v>12.691700000000001</v>
      </c>
      <c r="AA69" s="368">
        <v>12.691700000000001</v>
      </c>
      <c r="AB69" s="368">
        <v>10.6304</v>
      </c>
      <c r="AC69" s="826">
        <v>12.922700000000001</v>
      </c>
      <c r="AD69" s="368">
        <v>9.4552999999999994</v>
      </c>
      <c r="AE69" s="368">
        <v>8.7714999999999996</v>
      </c>
      <c r="AF69" s="368">
        <v>18.160399999999999</v>
      </c>
      <c r="AG69" s="368">
        <v>17.735299999999999</v>
      </c>
      <c r="AH69" s="368">
        <v>19.885100000000001</v>
      </c>
      <c r="AI69" s="826">
        <v>12.922700000000001</v>
      </c>
      <c r="AJ69" s="23"/>
      <c r="AK69" s="566" t="str">
        <f t="shared" si="13"/>
        <v>4Q20</v>
      </c>
      <c r="AL69" s="825">
        <f t="shared" si="14"/>
        <v>11.8422</v>
      </c>
      <c r="AM69" s="368">
        <v>21.784416902937199</v>
      </c>
      <c r="AN69" s="368">
        <v>17.250068540648599</v>
      </c>
      <c r="AO69" s="368">
        <v>22.120547945205502</v>
      </c>
      <c r="AP69" s="368">
        <v>21.579520697167801</v>
      </c>
      <c r="AQ69" s="826">
        <v>18.736782952041501</v>
      </c>
      <c r="AR69" s="825">
        <f t="shared" si="10"/>
        <v>19.985399999999998</v>
      </c>
      <c r="AS69" s="368">
        <v>22.1397240609299</v>
      </c>
      <c r="AT69" s="368">
        <v>20.814886888834799</v>
      </c>
      <c r="AU69" s="368">
        <v>21.559412550066799</v>
      </c>
      <c r="AV69" s="368">
        <v>20.203977562468101</v>
      </c>
      <c r="AW69" s="826">
        <v>14.4305239179954</v>
      </c>
      <c r="AX69" s="825">
        <f t="shared" si="11"/>
        <v>7.1284999999999998</v>
      </c>
      <c r="AY69" s="368">
        <v>12.0202300603609</v>
      </c>
      <c r="AZ69" s="368">
        <v>12.6144758164482</v>
      </c>
      <c r="BA69" s="368">
        <v>11.7393095004713</v>
      </c>
      <c r="BB69" s="368">
        <v>14.265995216413099</v>
      </c>
      <c r="BC69" s="826">
        <v>10.3526050422766</v>
      </c>
      <c r="BD69" s="825">
        <f t="shared" si="21"/>
        <v>9.4552999999999994</v>
      </c>
      <c r="BE69" s="368">
        <v>13.3289772635557</v>
      </c>
      <c r="BF69" s="368">
        <v>13.1897408687117</v>
      </c>
      <c r="BG69" s="368">
        <v>12.849733579212099</v>
      </c>
      <c r="BH69" s="368">
        <v>13.133248032386</v>
      </c>
      <c r="BI69" s="826">
        <v>9.4087010231322701</v>
      </c>
      <c r="BJ69" s="23"/>
      <c r="BK69" s="566" t="str">
        <f t="shared" si="15"/>
        <v>4Q20</v>
      </c>
      <c r="BL69" s="825">
        <f t="shared" si="16"/>
        <v>11.8422</v>
      </c>
      <c r="BM69" s="368">
        <v>24.742040170703</v>
      </c>
      <c r="BN69" s="368">
        <v>24.021492034170802</v>
      </c>
      <c r="BO69" s="368">
        <v>23.4933771233793</v>
      </c>
      <c r="BP69" s="368">
        <v>18.0285981640464</v>
      </c>
      <c r="BQ69" s="826">
        <v>18.379104744491201</v>
      </c>
      <c r="BR69" s="825">
        <f t="shared" si="17"/>
        <v>19.985399999999998</v>
      </c>
      <c r="BS69" s="368">
        <v>25.962792945155801</v>
      </c>
      <c r="BT69" s="368">
        <v>19.639281741617701</v>
      </c>
      <c r="BU69" s="368">
        <v>15.870049091686999</v>
      </c>
      <c r="BV69" s="368">
        <v>18.0227065984269</v>
      </c>
      <c r="BW69" s="826">
        <v>18.523968446601899</v>
      </c>
      <c r="BX69" s="825">
        <f t="shared" si="18"/>
        <v>7.1284999999999998</v>
      </c>
      <c r="BY69" s="368">
        <v>14.326424404120401</v>
      </c>
      <c r="BZ69" s="368">
        <v>7.1606597322998997</v>
      </c>
      <c r="CA69" s="368">
        <v>25.6475468440842</v>
      </c>
      <c r="CB69" s="368">
        <v>14.752252083434</v>
      </c>
      <c r="CC69" s="826">
        <v>11.3109397504525</v>
      </c>
      <c r="CD69" s="825">
        <f t="shared" si="22"/>
        <v>9.4552999999999994</v>
      </c>
      <c r="CE69" s="368">
        <v>11.112001785686999</v>
      </c>
      <c r="CF69" s="368">
        <v>11.7841043437958</v>
      </c>
      <c r="CG69" s="368">
        <v>15.946937408692801</v>
      </c>
      <c r="CH69" s="368">
        <v>12.6190343687216</v>
      </c>
      <c r="CI69" s="826">
        <v>10.944111913626999</v>
      </c>
    </row>
    <row r="70" spans="1:87" ht="14.45" customHeight="1">
      <c r="A70" s="23"/>
      <c r="B70" s="23"/>
      <c r="C70" s="23" t="s">
        <v>449</v>
      </c>
      <c r="D70" s="23"/>
      <c r="E70" s="345">
        <f>AVERAGE(AM60:AQ75)</f>
        <v>19.526720332021341</v>
      </c>
      <c r="F70" s="345">
        <f>AVERAGE(AS60:AW75)</f>
        <v>17.863020065982958</v>
      </c>
      <c r="G70" s="345">
        <f>AVERAGE(AY60:BC75)</f>
        <v>11.701290624943695</v>
      </c>
      <c r="H70" s="345">
        <f>AVERAGE(BE60:BI75)</f>
        <v>11.295095761117661</v>
      </c>
      <c r="I70" s="189">
        <f>IF(I69+1=5,1,I69+1)</f>
        <v>1</v>
      </c>
      <c r="J70" s="461">
        <f t="shared" si="20"/>
        <v>2021</v>
      </c>
      <c r="K70" s="566" t="str">
        <f t="shared" si="9"/>
        <v>1Q21</v>
      </c>
      <c r="L70" s="825">
        <v>11.670199999999999</v>
      </c>
      <c r="M70" s="368">
        <v>11.247999999999999</v>
      </c>
      <c r="N70" s="368">
        <v>14.430099999999999</v>
      </c>
      <c r="O70" s="368">
        <v>15.2645</v>
      </c>
      <c r="P70" s="368">
        <v>16.093800000000002</v>
      </c>
      <c r="Q70" s="826">
        <v>23.503399999999999</v>
      </c>
      <c r="R70" s="825">
        <v>13.207000000000001</v>
      </c>
      <c r="S70" s="368">
        <v>11.339600000000001</v>
      </c>
      <c r="T70" s="368">
        <v>16.0304</v>
      </c>
      <c r="U70" s="368">
        <v>14.6175</v>
      </c>
      <c r="V70" s="368">
        <v>17.887899999999998</v>
      </c>
      <c r="W70" s="826">
        <v>22.347300000000001</v>
      </c>
      <c r="X70" s="825">
        <v>7.7508999999999997</v>
      </c>
      <c r="Y70" s="368">
        <v>9.9155999999999995</v>
      </c>
      <c r="Z70" s="368">
        <v>11.6411</v>
      </c>
      <c r="AA70" s="368">
        <v>11.6411</v>
      </c>
      <c r="AB70" s="368">
        <v>11.3062</v>
      </c>
      <c r="AC70" s="826">
        <v>13.251899999999999</v>
      </c>
      <c r="AD70" s="368">
        <v>11.2485</v>
      </c>
      <c r="AE70" s="368">
        <v>10.8604</v>
      </c>
      <c r="AF70" s="368">
        <v>18.9116</v>
      </c>
      <c r="AG70" s="368">
        <v>18.890699999999999</v>
      </c>
      <c r="AH70" s="368">
        <v>24.3675</v>
      </c>
      <c r="AI70" s="826">
        <v>13.251899999999999</v>
      </c>
      <c r="AJ70" s="23"/>
      <c r="AK70" s="566" t="str">
        <f t="shared" si="13"/>
        <v>1Q21</v>
      </c>
      <c r="AL70" s="825">
        <f t="shared" si="14"/>
        <v>11.670199999999999</v>
      </c>
      <c r="AM70" s="368">
        <v>24.245630293402701</v>
      </c>
      <c r="AN70" s="368">
        <v>18.926855452818401</v>
      </c>
      <c r="AO70" s="368">
        <v>25.111709286675602</v>
      </c>
      <c r="AP70" s="368">
        <v>22.0107066381156</v>
      </c>
      <c r="AQ70" s="826">
        <v>18.677629730409201</v>
      </c>
      <c r="AR70" s="825">
        <f t="shared" si="10"/>
        <v>13.207000000000001</v>
      </c>
      <c r="AS70" s="368">
        <v>24.559917682444201</v>
      </c>
      <c r="AT70" s="368">
        <v>22.898527656187799</v>
      </c>
      <c r="AU70" s="368">
        <v>24.575869336143299</v>
      </c>
      <c r="AV70" s="368">
        <v>20.983974686128398</v>
      </c>
      <c r="AW70" s="826">
        <v>14.7202797202797</v>
      </c>
      <c r="AX70" s="825">
        <f t="shared" si="11"/>
        <v>7.7508999999999997</v>
      </c>
      <c r="AY70" s="368">
        <v>12.9700972455721</v>
      </c>
      <c r="AZ70" s="368">
        <v>13.7961004266903</v>
      </c>
      <c r="BA70" s="368">
        <v>12.589375476923101</v>
      </c>
      <c r="BB70" s="368">
        <v>14.538753651645001</v>
      </c>
      <c r="BC70" s="826">
        <v>10.3251758897163</v>
      </c>
      <c r="BD70" s="825">
        <f t="shared" si="21"/>
        <v>11.2485</v>
      </c>
      <c r="BE70" s="368">
        <v>14.403700175227801</v>
      </c>
      <c r="BF70" s="368">
        <v>14.572876084436899</v>
      </c>
      <c r="BG70" s="368">
        <v>14.6792074636279</v>
      </c>
      <c r="BH70" s="368">
        <v>13.6358243911247</v>
      </c>
      <c r="BI70" s="826">
        <v>9.4601225986614104</v>
      </c>
      <c r="BJ70" s="23"/>
      <c r="BK70" s="566" t="str">
        <f t="shared" si="15"/>
        <v>1Q21</v>
      </c>
      <c r="BL70" s="825">
        <f t="shared" si="16"/>
        <v>11.670199999999999</v>
      </c>
      <c r="BM70" s="368">
        <v>22.911092065994101</v>
      </c>
      <c r="BN70" s="368">
        <v>22.684546980981001</v>
      </c>
      <c r="BO70" s="368">
        <v>23.0472722740321</v>
      </c>
      <c r="BP70" s="368">
        <v>18.562480488484098</v>
      </c>
      <c r="BQ70" s="826">
        <v>17.196000181915</v>
      </c>
      <c r="BR70" s="825">
        <f t="shared" si="17"/>
        <v>13.207000000000001</v>
      </c>
      <c r="BS70" s="368">
        <v>24.196740395809101</v>
      </c>
      <c r="BT70" s="368">
        <v>19.250459840588601</v>
      </c>
      <c r="BU70" s="368">
        <v>14.9761977139175</v>
      </c>
      <c r="BV70" s="368">
        <v>19.154446768158</v>
      </c>
      <c r="BW70" s="826">
        <v>17.6816450875857</v>
      </c>
      <c r="BX70" s="825">
        <f t="shared" si="18"/>
        <v>7.7508999999999997</v>
      </c>
      <c r="BY70" s="368">
        <v>13.667693155228401</v>
      </c>
      <c r="BZ70" s="368">
        <v>7.4503412945722296</v>
      </c>
      <c r="CA70" s="368">
        <v>30.114087931275598</v>
      </c>
      <c r="CB70" s="368">
        <v>15.5163968058044</v>
      </c>
      <c r="CC70" s="826">
        <v>11.1544756048268</v>
      </c>
      <c r="CD70" s="825">
        <f t="shared" si="22"/>
        <v>11.2485</v>
      </c>
      <c r="CE70" s="368">
        <v>11.266430673689401</v>
      </c>
      <c r="CF70" s="368">
        <v>12.2155263486962</v>
      </c>
      <c r="CG70" s="368">
        <v>15.5063637404971</v>
      </c>
      <c r="CH70" s="368">
        <v>13.3370545414741</v>
      </c>
      <c r="CI70" s="826">
        <v>10.5691443030444</v>
      </c>
    </row>
    <row r="71" spans="1:87" ht="14.45" customHeight="1">
      <c r="A71" s="23"/>
      <c r="B71" s="23"/>
      <c r="C71" s="23"/>
      <c r="D71" s="23"/>
      <c r="E71" s="23"/>
      <c r="F71" s="23"/>
      <c r="G71" s="23"/>
      <c r="H71" s="23"/>
      <c r="I71" s="189">
        <f>IF(I70=4,1,I70+1)</f>
        <v>2</v>
      </c>
      <c r="J71" s="461">
        <f t="shared" si="20"/>
        <v>2021</v>
      </c>
      <c r="K71" s="566" t="str">
        <f t="shared" ref="K71:K87" si="25">I71&amp;"Q"&amp;RIGHT(J71,2)</f>
        <v>2Q21</v>
      </c>
      <c r="L71" s="825">
        <v>10.9718</v>
      </c>
      <c r="M71" s="368">
        <v>10.1181</v>
      </c>
      <c r="N71" s="368">
        <v>15.462400000000001</v>
      </c>
      <c r="O71" s="368">
        <v>15.9475</v>
      </c>
      <c r="P71" s="368">
        <v>12.156000000000001</v>
      </c>
      <c r="Q71" s="826">
        <v>26.3719</v>
      </c>
      <c r="R71" s="825">
        <v>11.966200000000001</v>
      </c>
      <c r="S71" s="368">
        <v>11.2033</v>
      </c>
      <c r="T71" s="368">
        <v>19.096399999999999</v>
      </c>
      <c r="U71" s="368">
        <v>14.8492</v>
      </c>
      <c r="V71" s="368">
        <v>16.509</v>
      </c>
      <c r="W71" s="826">
        <v>25.556899999999999</v>
      </c>
      <c r="X71" s="825">
        <v>6.9615999999999998</v>
      </c>
      <c r="Y71" s="368">
        <v>9.6443999999999992</v>
      </c>
      <c r="Z71" s="368">
        <v>12.1844</v>
      </c>
      <c r="AA71" s="368">
        <v>12.1844</v>
      </c>
      <c r="AB71" s="368">
        <v>8.7070000000000007</v>
      </c>
      <c r="AC71" s="826">
        <v>14.793200000000001</v>
      </c>
      <c r="AD71" s="368">
        <v>13.037699999999999</v>
      </c>
      <c r="AE71" s="368">
        <v>11.1952</v>
      </c>
      <c r="AF71" s="368">
        <v>16.295400000000001</v>
      </c>
      <c r="AG71" s="368">
        <v>23.1677</v>
      </c>
      <c r="AH71" s="368">
        <v>30.016400000000001</v>
      </c>
      <c r="AI71" s="826">
        <v>14.793200000000001</v>
      </c>
      <c r="AJ71" s="23"/>
      <c r="AK71" s="566" t="str">
        <f t="shared" si="13"/>
        <v>2Q21</v>
      </c>
      <c r="AL71" s="825">
        <f t="shared" si="14"/>
        <v>10.9718</v>
      </c>
      <c r="AM71" s="368">
        <v>24.598213221955302</v>
      </c>
      <c r="AN71" s="368">
        <v>21.862621869104199</v>
      </c>
      <c r="AO71" s="368">
        <v>24.9480221869395</v>
      </c>
      <c r="AP71" s="368">
        <v>21.303664921466002</v>
      </c>
      <c r="AQ71" s="826">
        <v>22.038037730043701</v>
      </c>
      <c r="AR71" s="825">
        <f t="shared" si="10"/>
        <v>11.966200000000001</v>
      </c>
      <c r="AS71" s="368">
        <v>24.500152625152602</v>
      </c>
      <c r="AT71" s="368">
        <v>23.289573531643601</v>
      </c>
      <c r="AU71" s="368">
        <v>24.616695059625201</v>
      </c>
      <c r="AV71" s="368">
        <v>20.707379134859998</v>
      </c>
      <c r="AW71" s="826">
        <v>13.419203747072601</v>
      </c>
      <c r="AX71" s="825">
        <f t="shared" si="11"/>
        <v>6.9615999999999998</v>
      </c>
      <c r="AY71" s="368">
        <v>13.040938255454099</v>
      </c>
      <c r="AZ71" s="368">
        <v>15.552757560763199</v>
      </c>
      <c r="BA71" s="368">
        <v>11.8107075820958</v>
      </c>
      <c r="BB71" s="368">
        <v>13.201985791394099</v>
      </c>
      <c r="BC71" s="826">
        <v>9.3627293419853004</v>
      </c>
      <c r="BD71" s="825">
        <f t="shared" si="21"/>
        <v>13.037699999999999</v>
      </c>
      <c r="BE71" s="368">
        <v>14.363320845507699</v>
      </c>
      <c r="BF71" s="368">
        <v>13.597737754988501</v>
      </c>
      <c r="BG71" s="368">
        <v>13.6092786505394</v>
      </c>
      <c r="BH71" s="368">
        <v>12.6617017462373</v>
      </c>
      <c r="BI71" s="826">
        <v>8.0837870522272794</v>
      </c>
      <c r="BJ71" s="23"/>
      <c r="BK71" s="566" t="str">
        <f t="shared" si="15"/>
        <v>2Q21</v>
      </c>
      <c r="BL71" s="825">
        <f t="shared" si="16"/>
        <v>10.9718</v>
      </c>
      <c r="BM71" s="368">
        <v>22.941199164636402</v>
      </c>
      <c r="BN71" s="368">
        <v>25.1826307908707</v>
      </c>
      <c r="BO71" s="368">
        <v>742.46799442280303</v>
      </c>
      <c r="BP71" s="368">
        <v>51.539734556059202</v>
      </c>
      <c r="BQ71" s="826">
        <v>18.773529455913501</v>
      </c>
      <c r="BR71" s="825">
        <f t="shared" si="17"/>
        <v>11.966200000000001</v>
      </c>
      <c r="BS71" s="368">
        <v>24.4120836560806</v>
      </c>
      <c r="BT71" s="368">
        <v>19.315068493150701</v>
      </c>
      <c r="BU71" s="368">
        <v>15.750081624413101</v>
      </c>
      <c r="BV71" s="368">
        <v>20.6897066816639</v>
      </c>
      <c r="BW71" s="826">
        <v>19.252942952007199</v>
      </c>
      <c r="BX71" s="825">
        <f t="shared" si="18"/>
        <v>6.9615999999999998</v>
      </c>
      <c r="BY71" s="368">
        <v>12.8627005385798</v>
      </c>
      <c r="BZ71" s="368">
        <v>8.3525767950180292</v>
      </c>
      <c r="CA71" s="368">
        <v>24.2403751473379</v>
      </c>
      <c r="CB71" s="368">
        <v>16.729522716731399</v>
      </c>
      <c r="CC71" s="826">
        <v>11.7565902366369</v>
      </c>
      <c r="CD71" s="825">
        <f t="shared" si="22"/>
        <v>13.037699999999999</v>
      </c>
      <c r="CE71" s="368">
        <v>10.591679578122401</v>
      </c>
      <c r="CF71" s="368">
        <v>10.7911630214727</v>
      </c>
      <c r="CG71" s="368">
        <v>13.760511897776</v>
      </c>
      <c r="CH71" s="368">
        <v>13.3151035628192</v>
      </c>
      <c r="CI71" s="826">
        <v>11.118698209023799</v>
      </c>
    </row>
    <row r="72" spans="1:87" ht="14.45" customHeight="1">
      <c r="A72" s="22" t="s">
        <v>1</v>
      </c>
      <c r="B72" s="23"/>
      <c r="C72" s="509" t="str">
        <f>Comparables!S90</f>
        <v>Cap. Goods Peer Group</v>
      </c>
      <c r="D72" s="193"/>
      <c r="E72" s="193"/>
      <c r="F72" s="193"/>
      <c r="G72" s="193"/>
      <c r="H72" s="510"/>
      <c r="I72" s="189">
        <f>I68</f>
        <v>3</v>
      </c>
      <c r="J72" s="461">
        <f t="shared" si="20"/>
        <v>2021</v>
      </c>
      <c r="K72" s="566" t="str">
        <f t="shared" si="25"/>
        <v>3Q21</v>
      </c>
      <c r="L72" s="825">
        <v>8.5894999999999992</v>
      </c>
      <c r="M72" s="368">
        <v>9.5809999999999995</v>
      </c>
      <c r="N72" s="368">
        <v>14.730700000000001</v>
      </c>
      <c r="O72" s="368">
        <v>19.6785</v>
      </c>
      <c r="P72" s="368">
        <v>10.4864</v>
      </c>
      <c r="Q72" s="826">
        <v>24.122900000000001</v>
      </c>
      <c r="R72" s="825">
        <v>10.4307</v>
      </c>
      <c r="S72" s="368">
        <v>10.1417</v>
      </c>
      <c r="T72" s="368">
        <v>19.687899999999999</v>
      </c>
      <c r="U72" s="368">
        <v>15.9818</v>
      </c>
      <c r="V72" s="368">
        <v>14.869</v>
      </c>
      <c r="W72" s="826">
        <v>18.897400000000001</v>
      </c>
      <c r="X72" s="825">
        <v>5.3403999999999998</v>
      </c>
      <c r="Y72" s="368">
        <v>8.7087000000000003</v>
      </c>
      <c r="Z72" s="368">
        <v>14.075200000000001</v>
      </c>
      <c r="AA72" s="368">
        <v>14.075200000000001</v>
      </c>
      <c r="AB72" s="368">
        <v>7.6993</v>
      </c>
      <c r="AC72" s="826">
        <v>13.7194</v>
      </c>
      <c r="AD72" s="368">
        <v>17.196300000000001</v>
      </c>
      <c r="AE72" s="368">
        <v>14.9191</v>
      </c>
      <c r="AF72" s="368">
        <v>18.5624</v>
      </c>
      <c r="AG72" s="368">
        <v>25.184999999999999</v>
      </c>
      <c r="AH72" s="368">
        <v>36.842300000000002</v>
      </c>
      <c r="AI72" s="826">
        <v>13.7194</v>
      </c>
      <c r="AJ72" s="23"/>
      <c r="AK72" s="566" t="str">
        <f t="shared" si="13"/>
        <v>3Q21</v>
      </c>
      <c r="AL72" s="825">
        <f t="shared" si="14"/>
        <v>8.5894999999999992</v>
      </c>
      <c r="AM72" s="368">
        <v>24.150938326094799</v>
      </c>
      <c r="AN72" s="368">
        <v>22.022785811754598</v>
      </c>
      <c r="AO72" s="368">
        <v>26.978663454861501</v>
      </c>
      <c r="AP72" s="368">
        <v>22.726337448559701</v>
      </c>
      <c r="AQ72" s="826">
        <v>22.361108440222299</v>
      </c>
      <c r="AR72" s="825">
        <f t="shared" ref="AR72:AR79" si="26">R72</f>
        <v>10.4307</v>
      </c>
      <c r="AS72" s="368">
        <v>21.676074406670899</v>
      </c>
      <c r="AT72" s="368">
        <v>22.413970210580398</v>
      </c>
      <c r="AU72" s="368">
        <v>22.254073004743201</v>
      </c>
      <c r="AV72" s="368">
        <v>19.7144132083891</v>
      </c>
      <c r="AW72" s="826">
        <v>13.365517241379299</v>
      </c>
      <c r="AX72" s="825">
        <f t="shared" ref="AX72:AX79" si="27">X72</f>
        <v>5.3403999999999998</v>
      </c>
      <c r="AY72" s="368">
        <v>13.140693534794099</v>
      </c>
      <c r="AZ72" s="368">
        <v>17.753029920302801</v>
      </c>
      <c r="BA72" s="368">
        <v>13.334774527567101</v>
      </c>
      <c r="BB72" s="368">
        <v>14.6630133422256</v>
      </c>
      <c r="BC72" s="826">
        <v>9.5006017082676504</v>
      </c>
      <c r="BD72" s="825">
        <f t="shared" si="21"/>
        <v>17.196300000000001</v>
      </c>
      <c r="BE72" s="368">
        <v>13.4225475232659</v>
      </c>
      <c r="BF72" s="368">
        <v>15.691728942063</v>
      </c>
      <c r="BG72" s="368">
        <v>13.1858626537768</v>
      </c>
      <c r="BH72" s="368">
        <v>14.2275973172747</v>
      </c>
      <c r="BI72" s="826">
        <v>8.7443957905330993</v>
      </c>
      <c r="BJ72" s="23"/>
      <c r="BK72" s="566" t="str">
        <f t="shared" si="15"/>
        <v>3Q21</v>
      </c>
      <c r="BL72" s="825">
        <f t="shared" si="16"/>
        <v>8.5894999999999992</v>
      </c>
      <c r="BM72" s="368">
        <v>17.5267411238021</v>
      </c>
      <c r="BN72" s="368">
        <v>22.261822364933099</v>
      </c>
      <c r="BO72" s="368">
        <v>649.50721162907303</v>
      </c>
      <c r="BP72" s="368">
        <v>42.8914940993145</v>
      </c>
      <c r="BQ72" s="826">
        <v>17.734212611249301</v>
      </c>
      <c r="BR72" s="825">
        <f t="shared" si="17"/>
        <v>10.4307</v>
      </c>
      <c r="BS72" s="368">
        <v>16.112386574833302</v>
      </c>
      <c r="BT72" s="368">
        <v>16.481324278437999</v>
      </c>
      <c r="BU72" s="368">
        <v>13.6540241011591</v>
      </c>
      <c r="BV72" s="368">
        <v>17.353743580307398</v>
      </c>
      <c r="BW72" s="826">
        <v>17.773696849837499</v>
      </c>
      <c r="BX72" s="825">
        <f t="shared" si="18"/>
        <v>5.3403999999999998</v>
      </c>
      <c r="BY72" s="368">
        <v>9.8614526646038101</v>
      </c>
      <c r="BZ72" s="368">
        <v>8.9144088443626295</v>
      </c>
      <c r="CA72" s="368"/>
      <c r="CB72" s="368">
        <v>15.2716598940273</v>
      </c>
      <c r="CC72" s="826">
        <v>11.9371984794053</v>
      </c>
      <c r="CD72" s="825">
        <f t="shared" si="22"/>
        <v>17.196300000000001</v>
      </c>
      <c r="CE72" s="368">
        <v>9.0120718721198898</v>
      </c>
      <c r="CF72" s="368">
        <v>10.990644209248201</v>
      </c>
      <c r="CG72" s="368">
        <v>11.741001553121899</v>
      </c>
      <c r="CH72" s="368">
        <v>12.427811782767201</v>
      </c>
      <c r="CI72" s="826">
        <v>11.240920086014601</v>
      </c>
    </row>
    <row r="73" spans="1:87" ht="14.45" customHeight="1">
      <c r="A73" s="23"/>
      <c r="B73" s="23"/>
      <c r="C73" s="460" t="s">
        <v>424</v>
      </c>
      <c r="D73" s="460"/>
      <c r="E73" s="460"/>
      <c r="F73" s="460"/>
      <c r="G73" s="460"/>
      <c r="H73" s="460"/>
      <c r="I73" s="189">
        <f>IF(I72=4,1,I72+1)</f>
        <v>4</v>
      </c>
      <c r="J73" s="461">
        <f t="shared" si="20"/>
        <v>2021</v>
      </c>
      <c r="K73" s="566" t="str">
        <f t="shared" si="25"/>
        <v>4Q21</v>
      </c>
      <c r="L73" s="825">
        <v>8.0065000000000008</v>
      </c>
      <c r="M73" s="368">
        <v>8.6507000000000005</v>
      </c>
      <c r="N73" s="368">
        <v>13.4467</v>
      </c>
      <c r="O73" s="368">
        <v>18.822500000000002</v>
      </c>
      <c r="P73" s="368">
        <v>11.706</v>
      </c>
      <c r="Q73" s="826">
        <v>25.0166</v>
      </c>
      <c r="R73" s="825">
        <v>9.1487999999999996</v>
      </c>
      <c r="S73" s="368">
        <v>9.4888999999999992</v>
      </c>
      <c r="T73" s="368">
        <v>16.552600000000002</v>
      </c>
      <c r="U73" s="368">
        <v>16.029900000000001</v>
      </c>
      <c r="V73" s="368">
        <v>11.3222</v>
      </c>
      <c r="W73" s="826">
        <v>20.667400000000001</v>
      </c>
      <c r="X73" s="825">
        <v>4.8056000000000001</v>
      </c>
      <c r="Y73" s="368">
        <v>7.5570000000000004</v>
      </c>
      <c r="Z73" s="368">
        <v>14.148899999999999</v>
      </c>
      <c r="AA73" s="368">
        <v>14.148899999999999</v>
      </c>
      <c r="AB73" s="368">
        <v>8.1142000000000003</v>
      </c>
      <c r="AC73" s="826">
        <v>14.7155</v>
      </c>
      <c r="AD73" s="368">
        <v>12.0566</v>
      </c>
      <c r="AE73" s="368">
        <v>9.2969000000000008</v>
      </c>
      <c r="AF73" s="368">
        <v>19.737500000000001</v>
      </c>
      <c r="AG73" s="368">
        <v>22.357099999999999</v>
      </c>
      <c r="AH73" s="368">
        <v>19.108899999999998</v>
      </c>
      <c r="AI73" s="826">
        <v>14.7155</v>
      </c>
      <c r="AJ73" s="23"/>
      <c r="AK73" s="566" t="str">
        <f t="shared" ref="AK73:AK78" si="28">$K73</f>
        <v>4Q21</v>
      </c>
      <c r="AL73" s="825">
        <f>L73</f>
        <v>8.0065000000000008</v>
      </c>
      <c r="AM73" s="368">
        <v>19.659771428122699</v>
      </c>
      <c r="AN73" s="368">
        <v>17.897159906266999</v>
      </c>
      <c r="AO73" s="368">
        <v>22.5695103649992</v>
      </c>
      <c r="AP73" s="368">
        <v>18.503614364069701</v>
      </c>
      <c r="AQ73" s="826">
        <v>28.2439248051353</v>
      </c>
      <c r="AR73" s="825">
        <f t="shared" si="26"/>
        <v>9.1487999999999996</v>
      </c>
      <c r="AS73" s="368">
        <v>18.406853582554501</v>
      </c>
      <c r="AT73" s="368">
        <v>18.7006199100523</v>
      </c>
      <c r="AU73" s="368">
        <v>19.4875416120246</v>
      </c>
      <c r="AV73" s="368">
        <v>16.7891560839413</v>
      </c>
      <c r="AW73" s="826">
        <v>14.9032258064516</v>
      </c>
      <c r="AX73" s="825">
        <f t="shared" si="27"/>
        <v>4.8056000000000001</v>
      </c>
      <c r="AY73" s="368">
        <v>11.7060983861026</v>
      </c>
      <c r="AZ73" s="368">
        <v>18.210129401083101</v>
      </c>
      <c r="BA73" s="368">
        <v>11.756786004056799</v>
      </c>
      <c r="BB73" s="368">
        <v>14.219845002532001</v>
      </c>
      <c r="BC73" s="826">
        <v>11.6540606664239</v>
      </c>
      <c r="BD73" s="825">
        <f>AD73</f>
        <v>12.0566</v>
      </c>
      <c r="BE73" s="368">
        <v>11.8571842051646</v>
      </c>
      <c r="BF73" s="368">
        <v>15.8835936734414</v>
      </c>
      <c r="BG73" s="368">
        <v>11.272551051406699</v>
      </c>
      <c r="BH73" s="368">
        <v>13.1408227441087</v>
      </c>
      <c r="BI73" s="826">
        <v>10.252465604512</v>
      </c>
      <c r="BJ73" s="23"/>
      <c r="BK73" s="566" t="str">
        <f t="shared" ref="BK73:BK78" si="29">$K73</f>
        <v>4Q21</v>
      </c>
      <c r="BL73" s="825">
        <f>AL73</f>
        <v>8.0065000000000008</v>
      </c>
      <c r="BM73" s="368">
        <v>13.7596348884381</v>
      </c>
      <c r="BN73" s="368">
        <v>17.5804740540875</v>
      </c>
      <c r="BO73" s="368">
        <v>666.37127127819599</v>
      </c>
      <c r="BP73" s="368">
        <v>37.906538616739098</v>
      </c>
      <c r="BQ73" s="826">
        <v>17.318721686355602</v>
      </c>
      <c r="BR73" s="825">
        <f>AR73</f>
        <v>9.1487999999999996</v>
      </c>
      <c r="BS73" s="368">
        <v>12.5249261447563</v>
      </c>
      <c r="BT73" s="368">
        <v>14.533735315521399</v>
      </c>
      <c r="BU73" s="368">
        <v>13.977170463675201</v>
      </c>
      <c r="BV73" s="368">
        <v>17.160752720790999</v>
      </c>
      <c r="BW73" s="826">
        <v>17.516110955449701</v>
      </c>
      <c r="BX73" s="825">
        <f>AX73</f>
        <v>4.8056000000000001</v>
      </c>
      <c r="BY73" s="368">
        <v>8.1510109918097093</v>
      </c>
      <c r="BZ73" s="368">
        <v>7.5611859674321797</v>
      </c>
      <c r="CA73" s="368"/>
      <c r="CB73" s="368">
        <v>14.727524945524401</v>
      </c>
      <c r="CC73" s="826">
        <v>10.944667815762701</v>
      </c>
      <c r="CD73" s="825">
        <f>BD73</f>
        <v>12.0566</v>
      </c>
      <c r="CE73" s="368">
        <v>7.5157935811650098</v>
      </c>
      <c r="CF73" s="368">
        <v>10.075354706715499</v>
      </c>
      <c r="CG73" s="368">
        <v>11.693477565016501</v>
      </c>
      <c r="CH73" s="368">
        <v>12.3198580391385</v>
      </c>
      <c r="CI73" s="826">
        <v>10.8240208659149</v>
      </c>
    </row>
    <row r="74" spans="1:87" ht="14.45" customHeight="1">
      <c r="A74" s="23"/>
      <c r="B74" s="23"/>
      <c r="C74" s="189"/>
      <c r="D74" s="23"/>
      <c r="E74" s="189" t="s">
        <v>406</v>
      </c>
      <c r="F74" s="189" t="s">
        <v>407</v>
      </c>
      <c r="G74" s="189" t="s">
        <v>408</v>
      </c>
      <c r="H74" s="189" t="s">
        <v>400</v>
      </c>
      <c r="I74" s="189">
        <f>IF(I73+1=5,1,I73+1)</f>
        <v>1</v>
      </c>
      <c r="J74" s="461">
        <f t="shared" si="20"/>
        <v>2022</v>
      </c>
      <c r="K74" s="566" t="str">
        <f t="shared" si="25"/>
        <v>1Q22</v>
      </c>
      <c r="L74" s="825">
        <v>6.3623000000000003</v>
      </c>
      <c r="M74" s="368">
        <v>6.5735999999999999</v>
      </c>
      <c r="N74" s="368">
        <v>11.978</v>
      </c>
      <c r="O74" s="368">
        <v>15.9129</v>
      </c>
      <c r="P74" s="368">
        <v>8.8919999999999995</v>
      </c>
      <c r="Q74" s="826">
        <v>24.090499999999999</v>
      </c>
      <c r="R74" s="825">
        <v>7.9954000000000001</v>
      </c>
      <c r="S74" s="368">
        <v>7.6479999999999997</v>
      </c>
      <c r="T74" s="368">
        <v>11.810600000000001</v>
      </c>
      <c r="U74" s="368">
        <v>12.700200000000001</v>
      </c>
      <c r="V74" s="368">
        <v>10.793100000000001</v>
      </c>
      <c r="W74" s="826">
        <v>21.623200000000001</v>
      </c>
      <c r="X74" s="825">
        <v>3.8799000000000001</v>
      </c>
      <c r="Y74" s="368">
        <v>6.8098000000000001</v>
      </c>
      <c r="Z74" s="368">
        <v>12.447100000000001</v>
      </c>
      <c r="AA74" s="368">
        <v>12.447100000000001</v>
      </c>
      <c r="AB74" s="368">
        <v>6.6311</v>
      </c>
      <c r="AC74" s="826">
        <v>15.0067</v>
      </c>
      <c r="AD74" s="368">
        <v>12.627775823131699</v>
      </c>
      <c r="AE74" s="368">
        <v>10.269170528719499</v>
      </c>
      <c r="AF74" s="368">
        <v>19.549694756492698</v>
      </c>
      <c r="AG74" s="368">
        <v>21.0664282880978</v>
      </c>
      <c r="AH74" s="368">
        <v>15.880071842740101</v>
      </c>
      <c r="AI74" s="826">
        <v>15.0067</v>
      </c>
      <c r="AJ74" s="23"/>
      <c r="AK74" s="566" t="str">
        <f t="shared" si="28"/>
        <v>1Q22</v>
      </c>
      <c r="AL74" s="825">
        <f>L74</f>
        <v>6.3623000000000003</v>
      </c>
      <c r="AM74" s="368">
        <v>20.535244780224598</v>
      </c>
      <c r="AN74" s="368">
        <v>15.8189298015738</v>
      </c>
      <c r="AO74" s="368">
        <v>23.379586812808899</v>
      </c>
      <c r="AP74" s="368">
        <v>19.6012197335797</v>
      </c>
      <c r="AQ74" s="826">
        <v>27.501582934870399</v>
      </c>
      <c r="AR74" s="825">
        <f t="shared" si="26"/>
        <v>7.9954000000000001</v>
      </c>
      <c r="AS74" s="368">
        <v>20.239864271924201</v>
      </c>
      <c r="AT74" s="368">
        <v>18.7604185139209</v>
      </c>
      <c r="AU74" s="368">
        <v>20.767762033966399</v>
      </c>
      <c r="AV74" s="368">
        <v>18.423326133909299</v>
      </c>
      <c r="AW74" s="826">
        <v>14.680652680652701</v>
      </c>
      <c r="AX74" s="825">
        <f t="shared" si="27"/>
        <v>3.8799000000000001</v>
      </c>
      <c r="AY74" s="368">
        <v>13.064953230283599</v>
      </c>
      <c r="AZ74" s="368">
        <v>16.512227422282599</v>
      </c>
      <c r="BA74" s="368">
        <v>12.523413146292601</v>
      </c>
      <c r="BB74" s="368">
        <v>14.6980062164592</v>
      </c>
      <c r="BC74" s="826">
        <v>11.3790542079959</v>
      </c>
      <c r="BD74" s="825">
        <f>AD74</f>
        <v>12.627775823131699</v>
      </c>
      <c r="BE74" s="368">
        <v>13.2572136445254</v>
      </c>
      <c r="BF74" s="368">
        <v>16.3477708057932</v>
      </c>
      <c r="BG74" s="368">
        <v>12.122566750727399</v>
      </c>
      <c r="BH74" s="368">
        <v>13.9077997746548</v>
      </c>
      <c r="BI74" s="826">
        <v>10.072731572447299</v>
      </c>
      <c r="BJ74" s="23"/>
      <c r="BK74" s="566" t="str">
        <f t="shared" si="29"/>
        <v>1Q22</v>
      </c>
      <c r="BL74" s="825">
        <f>AL74</f>
        <v>6.3623000000000003</v>
      </c>
      <c r="BM74" s="368">
        <v>13.9515096065874</v>
      </c>
      <c r="BN74" s="368">
        <v>17.179660415722001</v>
      </c>
      <c r="BO74" s="368"/>
      <c r="BP74" s="368">
        <v>39.415229490272601</v>
      </c>
      <c r="BQ74" s="826">
        <v>18.420867479112001</v>
      </c>
      <c r="BR74" s="825">
        <f>AR74</f>
        <v>7.9954000000000001</v>
      </c>
      <c r="BS74" s="368">
        <v>13.143423547664201</v>
      </c>
      <c r="BT74" s="368">
        <v>15.7926252757643</v>
      </c>
      <c r="BU74" s="368">
        <v>11.5207306857749</v>
      </c>
      <c r="BV74" s="368">
        <v>19.577294570659198</v>
      </c>
      <c r="BW74" s="826">
        <v>19.348187102131199</v>
      </c>
      <c r="BX74" s="825">
        <f>AX74</f>
        <v>3.8799000000000001</v>
      </c>
      <c r="BY74" s="368">
        <v>8.6475229941545404</v>
      </c>
      <c r="BZ74" s="368">
        <v>7.5663032963924399</v>
      </c>
      <c r="CA74" s="368"/>
      <c r="CB74" s="368">
        <v>16.398589972675801</v>
      </c>
      <c r="CC74" s="826">
        <v>13.0317764934829</v>
      </c>
      <c r="CD74" s="825">
        <f>BD74</f>
        <v>12.627775823131699</v>
      </c>
      <c r="CE74" s="368">
        <v>8.0574066310076304</v>
      </c>
      <c r="CF74" s="368">
        <v>11.455186403480299</v>
      </c>
      <c r="CG74" s="368">
        <v>12.1940402897499</v>
      </c>
      <c r="CH74" s="368">
        <v>14.1615035463187</v>
      </c>
      <c r="CI74" s="826">
        <v>12.6911814506045</v>
      </c>
    </row>
    <row r="75" spans="1:87" ht="14.45" customHeight="1">
      <c r="A75" s="23"/>
      <c r="B75" s="23"/>
      <c r="C75" s="23" t="s">
        <v>427</v>
      </c>
      <c r="D75" s="23"/>
      <c r="E75" s="345">
        <f>AVERAGE(BM81:BQ88)</f>
        <v>19.761236305183012</v>
      </c>
      <c r="F75" s="345">
        <f>AVERAGE(BS81:BW88)</f>
        <v>18.899021119472224</v>
      </c>
      <c r="G75" s="345">
        <f>AVERAGE(BY81:CC88)</f>
        <v>17.162137550631829</v>
      </c>
      <c r="H75" s="345">
        <f>AVERAGE(CE81:CI88)</f>
        <v>12.622396789822737</v>
      </c>
      <c r="I75" s="189">
        <f>IF(I74=4,1,I74+1)</f>
        <v>2</v>
      </c>
      <c r="J75" s="461">
        <f t="shared" si="20"/>
        <v>2022</v>
      </c>
      <c r="K75" s="566" t="str">
        <f t="shared" si="25"/>
        <v>2Q22</v>
      </c>
      <c r="L75" s="825">
        <v>5.5747</v>
      </c>
      <c r="M75" s="368">
        <v>6.6207000000000003</v>
      </c>
      <c r="N75" s="368">
        <v>10.974299999999999</v>
      </c>
      <c r="O75" s="368">
        <v>17.512899999999998</v>
      </c>
      <c r="P75" s="368">
        <v>8.4260999999999999</v>
      </c>
      <c r="Q75" s="826">
        <v>18.537400000000002</v>
      </c>
      <c r="R75" s="825">
        <v>7.3761000000000001</v>
      </c>
      <c r="S75" s="368">
        <v>7.7222</v>
      </c>
      <c r="T75" s="368">
        <v>13.3058</v>
      </c>
      <c r="U75" s="368">
        <v>14.587</v>
      </c>
      <c r="V75" s="368">
        <v>11.019299999999999</v>
      </c>
      <c r="W75" s="826">
        <v>17.5291</v>
      </c>
      <c r="X75" s="825">
        <v>3.6595</v>
      </c>
      <c r="Y75" s="368">
        <v>6.7752999999999997</v>
      </c>
      <c r="Z75" s="368">
        <v>14.0174</v>
      </c>
      <c r="AA75" s="368">
        <v>14.0174</v>
      </c>
      <c r="AB75" s="368">
        <v>6.4217000000000004</v>
      </c>
      <c r="AC75" s="826">
        <v>12.4819</v>
      </c>
      <c r="AD75" s="368">
        <v>12.472</v>
      </c>
      <c r="AE75" s="368">
        <v>13.092599999999999</v>
      </c>
      <c r="AF75" s="368">
        <v>12.4819</v>
      </c>
      <c r="AG75" s="368">
        <v>12.4819</v>
      </c>
      <c r="AH75" s="368">
        <v>12.4819</v>
      </c>
      <c r="AI75" s="826">
        <v>12.4819</v>
      </c>
      <c r="AJ75" s="23"/>
      <c r="AK75" s="566" t="str">
        <f t="shared" si="28"/>
        <v>2Q22</v>
      </c>
      <c r="AL75" s="825">
        <f>L75</f>
        <v>5.5747</v>
      </c>
      <c r="AM75" s="368">
        <v>14.4221283831607</v>
      </c>
      <c r="AN75" s="368">
        <v>10.8122994961928</v>
      </c>
      <c r="AO75" s="368">
        <v>15.600711315119099</v>
      </c>
      <c r="AP75" s="368">
        <v>13.773136872442199</v>
      </c>
      <c r="AQ75" s="826">
        <v>14.6417832875778</v>
      </c>
      <c r="AR75" s="825">
        <f t="shared" si="26"/>
        <v>7.3761000000000001</v>
      </c>
      <c r="AS75" s="368">
        <v>14.8865768377963</v>
      </c>
      <c r="AT75" s="368">
        <v>12.8079075362167</v>
      </c>
      <c r="AU75" s="368">
        <v>15.177157561361801</v>
      </c>
      <c r="AV75" s="368">
        <v>14.103346191800499</v>
      </c>
      <c r="AW75" s="826">
        <v>10.7540983606557</v>
      </c>
      <c r="AX75" s="825">
        <f t="shared" si="27"/>
        <v>3.6595</v>
      </c>
      <c r="AY75" s="368">
        <v>10.342674767029999</v>
      </c>
      <c r="AZ75" s="368">
        <v>12.114813261602499</v>
      </c>
      <c r="BA75" s="368">
        <v>9.0373840481786107</v>
      </c>
      <c r="BB75" s="368">
        <v>11.113353061982799</v>
      </c>
      <c r="BC75" s="826">
        <v>8.3832981092451995</v>
      </c>
      <c r="BD75" s="825">
        <f>AD75</f>
        <v>12.472</v>
      </c>
      <c r="BE75" s="368">
        <v>9.7555816796082606</v>
      </c>
      <c r="BF75" s="368">
        <v>11.082343072522599</v>
      </c>
      <c r="BG75" s="368">
        <v>8.6945520377183794</v>
      </c>
      <c r="BH75" s="368">
        <v>10.407686029648</v>
      </c>
      <c r="BI75" s="826">
        <v>6.865640275054</v>
      </c>
      <c r="BJ75" s="23"/>
      <c r="BK75" s="566" t="str">
        <f t="shared" si="29"/>
        <v>2Q22</v>
      </c>
      <c r="BL75" s="825">
        <f>AL75</f>
        <v>5.5747</v>
      </c>
      <c r="BM75" s="368">
        <v>11.1878312459125</v>
      </c>
      <c r="BN75" s="368">
        <v>15.8605218246713</v>
      </c>
      <c r="BO75" s="368">
        <v>13.074326127188</v>
      </c>
      <c r="BP75" s="368">
        <v>14.3644481864395</v>
      </c>
      <c r="BQ75" s="826">
        <v>13.5962086905669</v>
      </c>
      <c r="BR75" s="825">
        <f>AR75</f>
        <v>7.3761000000000001</v>
      </c>
      <c r="BS75" s="368">
        <v>10.9166666666667</v>
      </c>
      <c r="BT75" s="368">
        <v>13.0018303843807</v>
      </c>
      <c r="BU75" s="368">
        <v>10.365631193732201</v>
      </c>
      <c r="BV75" s="368">
        <v>16.529463280370301</v>
      </c>
      <c r="BW75" s="826">
        <v>14.8943908238915</v>
      </c>
      <c r="BX75" s="825">
        <f>AX75</f>
        <v>3.6595</v>
      </c>
      <c r="BY75" s="368">
        <v>6.8788190403083496</v>
      </c>
      <c r="BZ75" s="368">
        <v>7.0102347385175099</v>
      </c>
      <c r="CA75" s="368"/>
      <c r="CB75" s="368">
        <v>13.2075042312185</v>
      </c>
      <c r="CC75" s="826">
        <v>12.1601264994065</v>
      </c>
      <c r="CD75" s="825">
        <f>BD75</f>
        <v>12.472</v>
      </c>
      <c r="CE75" s="368">
        <v>6.2097034226505503</v>
      </c>
      <c r="CF75" s="368">
        <v>8.9033540715749595</v>
      </c>
      <c r="CG75" s="368">
        <v>8.6851186752440697</v>
      </c>
      <c r="CH75" s="368">
        <v>11.793632965070399</v>
      </c>
      <c r="CI75" s="826">
        <v>9.8597315777774401</v>
      </c>
    </row>
    <row r="76" spans="1:87" ht="14.45" customHeight="1">
      <c r="A76" s="22"/>
      <c r="B76" s="23"/>
      <c r="C76" s="23" t="s">
        <v>426</v>
      </c>
      <c r="D76" s="23"/>
      <c r="E76" s="345">
        <f>AVERAGE(BM77:BQ88)</f>
        <v>18.197129890094267</v>
      </c>
      <c r="F76" s="345">
        <f>AVERAGE(BS77:BW88)</f>
        <v>17.823688377810416</v>
      </c>
      <c r="G76" s="345">
        <f>AVERAGE(BY77:CC88)</f>
        <v>14.75148725926106</v>
      </c>
      <c r="H76" s="345">
        <f>AVERAGE(CE77:CI88)</f>
        <v>12.204270709763403</v>
      </c>
      <c r="I76" s="189">
        <f>I72</f>
        <v>3</v>
      </c>
      <c r="J76" s="461">
        <f t="shared" si="20"/>
        <v>2022</v>
      </c>
      <c r="K76" s="566" t="str">
        <f t="shared" si="25"/>
        <v>3Q22</v>
      </c>
      <c r="L76" s="825">
        <v>5.4740000000000002</v>
      </c>
      <c r="M76" s="368">
        <v>6.3886000000000003</v>
      </c>
      <c r="N76" s="368">
        <v>11.594099999999999</v>
      </c>
      <c r="O76" s="368">
        <v>15.2369</v>
      </c>
      <c r="P76" s="368">
        <v>10.3079</v>
      </c>
      <c r="Q76" s="826">
        <v>19.3749</v>
      </c>
      <c r="R76" s="825">
        <v>8.0009999999999994</v>
      </c>
      <c r="S76" s="368">
        <v>8.5061</v>
      </c>
      <c r="T76" s="368">
        <v>14.2684</v>
      </c>
      <c r="U76" s="368">
        <v>15.4176</v>
      </c>
      <c r="V76" s="368">
        <v>12.3439</v>
      </c>
      <c r="W76" s="826">
        <v>18.9633</v>
      </c>
      <c r="X76" s="825">
        <v>3.5777999999999999</v>
      </c>
      <c r="Y76" s="368">
        <v>6.3030999999999997</v>
      </c>
      <c r="Z76" s="368">
        <v>13.1814</v>
      </c>
      <c r="AA76" s="368">
        <v>13.1814</v>
      </c>
      <c r="AB76" s="368">
        <v>7.2001999999999997</v>
      </c>
      <c r="AC76" s="826">
        <v>13.530799999999999</v>
      </c>
      <c r="AD76" s="368">
        <v>11.9975</v>
      </c>
      <c r="AE76" s="368">
        <v>14.1533</v>
      </c>
      <c r="AF76" s="368">
        <v>13.530799999999999</v>
      </c>
      <c r="AG76" s="368">
        <v>13.530799999999999</v>
      </c>
      <c r="AH76" s="368">
        <v>13.530799999999999</v>
      </c>
      <c r="AI76" s="826">
        <v>13.530799999999999</v>
      </c>
      <c r="AJ76" s="23"/>
      <c r="AK76" s="566" t="str">
        <f t="shared" si="28"/>
        <v>3Q22</v>
      </c>
      <c r="AL76" s="825">
        <f>L76</f>
        <v>5.4740000000000002</v>
      </c>
      <c r="AM76" s="368">
        <v>15.014176832348801</v>
      </c>
      <c r="AN76" s="368">
        <v>11.762100009524</v>
      </c>
      <c r="AO76" s="368">
        <v>17.508231022493</v>
      </c>
      <c r="AP76" s="368">
        <v>14.9484539723962</v>
      </c>
      <c r="AQ76" s="826">
        <v>15.3815249519327</v>
      </c>
      <c r="AR76" s="825">
        <f t="shared" si="26"/>
        <v>8.0009999999999994</v>
      </c>
      <c r="AS76" s="368">
        <v>15.4657873042045</v>
      </c>
      <c r="AT76" s="368">
        <v>14.209666367996601</v>
      </c>
      <c r="AU76" s="368">
        <v>15.693845888639901</v>
      </c>
      <c r="AV76" s="368">
        <v>14.443686006825899</v>
      </c>
      <c r="AW76" s="826">
        <v>10.8648648648649</v>
      </c>
      <c r="AX76" s="825">
        <f t="shared" si="27"/>
        <v>3.5777999999999999</v>
      </c>
      <c r="AY76" s="368">
        <v>10.6573226693313</v>
      </c>
      <c r="AZ76" s="368">
        <v>11.9267964065934</v>
      </c>
      <c r="BA76" s="368">
        <v>10.5195834978257</v>
      </c>
      <c r="BB76" s="368">
        <v>11.128020294465101</v>
      </c>
      <c r="BC76" s="826">
        <v>8.7923965197611906</v>
      </c>
      <c r="BD76" s="825">
        <f>AD76</f>
        <v>11.9975</v>
      </c>
      <c r="BE76" s="368">
        <v>10.7614328987076</v>
      </c>
      <c r="BF76" s="368">
        <v>12.3090957616733</v>
      </c>
      <c r="BG76" s="368">
        <v>10.549168640280101</v>
      </c>
      <c r="BH76" s="368">
        <v>11.755398185119301</v>
      </c>
      <c r="BI76" s="826">
        <v>7.1011861923879298</v>
      </c>
      <c r="BJ76" s="23"/>
      <c r="BK76" s="566" t="str">
        <f t="shared" si="29"/>
        <v>3Q22</v>
      </c>
      <c r="BL76" s="825">
        <f>AL76</f>
        <v>5.4740000000000002</v>
      </c>
      <c r="BM76" s="368">
        <v>11.734944254467701</v>
      </c>
      <c r="BN76" s="368">
        <v>16.687423284989801</v>
      </c>
      <c r="BO76" s="368">
        <v>16.284706883426601</v>
      </c>
      <c r="BP76" s="368">
        <v>17.633680373897899</v>
      </c>
      <c r="BQ76" s="826">
        <v>16.522907924111799</v>
      </c>
      <c r="BR76" s="825">
        <f>AR76</f>
        <v>8.0009999999999994</v>
      </c>
      <c r="BS76" s="368">
        <v>11.0082872928177</v>
      </c>
      <c r="BT76" s="368">
        <v>14.284182305630001</v>
      </c>
      <c r="BU76" s="368">
        <v>18.097826086956498</v>
      </c>
      <c r="BV76" s="368">
        <v>19.927272727272701</v>
      </c>
      <c r="BW76" s="826">
        <v>16.362828488003</v>
      </c>
      <c r="BX76" s="825">
        <f>AX76</f>
        <v>3.5777999999999999</v>
      </c>
      <c r="BY76" s="368">
        <v>6.9750558793405997</v>
      </c>
      <c r="BZ76" s="368">
        <v>7.3011178257355196</v>
      </c>
      <c r="CA76" s="368"/>
      <c r="CB76" s="368">
        <v>15.4025408311834</v>
      </c>
      <c r="CC76" s="826">
        <v>12.8108272529198</v>
      </c>
      <c r="CD76" s="825">
        <f>BD76</f>
        <v>11.9975</v>
      </c>
      <c r="CE76" s="368">
        <v>6.3968599404937896</v>
      </c>
      <c r="CF76" s="368">
        <v>10.4551699244796</v>
      </c>
      <c r="CG76" s="368">
        <v>12.507422464210901</v>
      </c>
      <c r="CH76" s="368">
        <v>13.9698695489038</v>
      </c>
      <c r="CI76" s="826">
        <v>11.484140436493</v>
      </c>
    </row>
    <row r="77" spans="1:87" ht="14.45" customHeight="1">
      <c r="A77" s="23"/>
      <c r="B77" s="23"/>
      <c r="C77" s="23" t="s">
        <v>396</v>
      </c>
      <c r="D77" s="23"/>
      <c r="E77" s="345">
        <f>AVERAGE(BM73:BQ88)</f>
        <v>27.517498562549203</v>
      </c>
      <c r="F77" s="345">
        <f>AVERAGE(BS73:BW88)</f>
        <v>17.012232848472742</v>
      </c>
      <c r="G77" s="345">
        <f>AVERAGE(BY73:CC88)</f>
        <v>13.592021959738435</v>
      </c>
      <c r="H77" s="345">
        <f>AVERAGE(CE73:CI88)</f>
        <v>11.735233737059716</v>
      </c>
      <c r="I77" s="189">
        <f>IF(I76=4,1,I76+1)</f>
        <v>4</v>
      </c>
      <c r="J77" s="461">
        <f t="shared" si="20"/>
        <v>2022</v>
      </c>
      <c r="K77" s="566" t="str">
        <f t="shared" si="25"/>
        <v>4Q22</v>
      </c>
      <c r="L77" s="825">
        <v>9.4667999999999992</v>
      </c>
      <c r="M77" s="368">
        <v>9.9489999999999998</v>
      </c>
      <c r="N77" s="368">
        <v>20.333300000000001</v>
      </c>
      <c r="O77" s="368">
        <v>18.932500000000001</v>
      </c>
      <c r="P77" s="368">
        <v>17.846499999999999</v>
      </c>
      <c r="Q77" s="826">
        <v>20.603200000000001</v>
      </c>
      <c r="R77" s="825">
        <v>10.0572</v>
      </c>
      <c r="S77" s="368">
        <v>8.6179000000000006</v>
      </c>
      <c r="T77" s="368">
        <v>17.307400000000001</v>
      </c>
      <c r="U77" s="368">
        <v>18.052399999999999</v>
      </c>
      <c r="V77" s="368">
        <v>15.661199999999999</v>
      </c>
      <c r="W77" s="826">
        <v>20.542300000000001</v>
      </c>
      <c r="X77" s="825">
        <v>5.6089000000000002</v>
      </c>
      <c r="Y77" s="368">
        <v>8.2935999999999996</v>
      </c>
      <c r="Z77" s="368">
        <v>15.3447</v>
      </c>
      <c r="AA77" s="368">
        <v>15.3447</v>
      </c>
      <c r="AB77" s="368">
        <v>11.9862</v>
      </c>
      <c r="AC77" s="826">
        <v>13.9343</v>
      </c>
      <c r="AD77" s="368">
        <v>12.8453</v>
      </c>
      <c r="AE77" s="368">
        <v>15.6145</v>
      </c>
      <c r="AF77" s="368">
        <v>13.9343</v>
      </c>
      <c r="AG77" s="368">
        <v>13.9343</v>
      </c>
      <c r="AH77" s="368">
        <v>13.9343</v>
      </c>
      <c r="AI77" s="826">
        <v>13.9343</v>
      </c>
      <c r="AJ77" s="23"/>
      <c r="AK77" s="566" t="str">
        <f t="shared" si="28"/>
        <v>4Q22</v>
      </c>
      <c r="AL77" s="825">
        <f>L77</f>
        <v>9.4667999999999992</v>
      </c>
      <c r="AM77" s="368">
        <v>17.363472686895399</v>
      </c>
      <c r="AN77" s="368">
        <v>13.7604420785299</v>
      </c>
      <c r="AO77" s="368">
        <v>15.996320147194099</v>
      </c>
      <c r="AP77" s="368">
        <v>16.104517271922099</v>
      </c>
      <c r="AQ77" s="826">
        <v>11.919455853020599</v>
      </c>
      <c r="AR77" s="825">
        <f t="shared" si="26"/>
        <v>10.0572</v>
      </c>
      <c r="AS77" s="368">
        <v>17.697400447862901</v>
      </c>
      <c r="AT77" s="368">
        <v>16.781448010803</v>
      </c>
      <c r="AU77" s="368">
        <v>14.9961190168176</v>
      </c>
      <c r="AV77" s="368">
        <v>15.4753596050728</v>
      </c>
      <c r="AW77" s="826">
        <v>11.157657657657699</v>
      </c>
      <c r="AX77" s="825">
        <f t="shared" si="27"/>
        <v>5.6089000000000002</v>
      </c>
      <c r="AY77" s="368">
        <v>12.228317582731201</v>
      </c>
      <c r="AZ77" s="368">
        <v>13.107899317428799</v>
      </c>
      <c r="BA77" s="368">
        <v>9.7187249681421797</v>
      </c>
      <c r="BB77" s="368">
        <v>11.921419388362199</v>
      </c>
      <c r="BC77" s="826">
        <v>9.2022807879390491</v>
      </c>
      <c r="BD77" s="825">
        <f>AD77</f>
        <v>12.8453</v>
      </c>
      <c r="BE77" s="368">
        <v>12.426935441913599</v>
      </c>
      <c r="BF77" s="368">
        <v>13.999081760165801</v>
      </c>
      <c r="BG77" s="368">
        <v>10.1973626177734</v>
      </c>
      <c r="BH77" s="368">
        <v>12.511625560959599</v>
      </c>
      <c r="BI77" s="826">
        <v>8.2885651531940798</v>
      </c>
      <c r="BJ77" s="23"/>
      <c r="BK77" s="566" t="str">
        <f t="shared" si="29"/>
        <v>4Q22</v>
      </c>
      <c r="BL77" s="825">
        <f>AL77</f>
        <v>9.4667999999999992</v>
      </c>
      <c r="BM77" s="368">
        <v>11.792353858178</v>
      </c>
      <c r="BN77" s="368">
        <v>16.642521235007401</v>
      </c>
      <c r="BO77" s="368">
        <v>17.271668541876402</v>
      </c>
      <c r="BP77" s="368">
        <v>19.735925873675601</v>
      </c>
      <c r="BQ77" s="826">
        <v>16.227004577211801</v>
      </c>
      <c r="BR77" s="825">
        <f>AR77</f>
        <v>10.0572</v>
      </c>
      <c r="BS77" s="368">
        <v>11.049047426023501</v>
      </c>
      <c r="BT77" s="368">
        <v>16.125924484235099</v>
      </c>
      <c r="BU77" s="368">
        <v>18.1034482758621</v>
      </c>
      <c r="BV77" s="368">
        <v>21.538366641993601</v>
      </c>
      <c r="BW77" s="826">
        <v>16.321925535915799</v>
      </c>
      <c r="BX77" s="825">
        <f>AX77</f>
        <v>5.6089000000000002</v>
      </c>
      <c r="BY77" s="368">
        <v>6.96557670431564</v>
      </c>
      <c r="BZ77" s="368">
        <v>7.30308788720167</v>
      </c>
      <c r="CA77" s="368"/>
      <c r="CB77" s="368">
        <v>16.936945454512699</v>
      </c>
      <c r="CC77" s="826">
        <v>12.720418557455099</v>
      </c>
      <c r="CD77" s="825">
        <f>BD77</f>
        <v>12.8453</v>
      </c>
      <c r="CE77" s="368">
        <v>6.7674809046734801</v>
      </c>
      <c r="CF77" s="368">
        <v>11.657693955115199</v>
      </c>
      <c r="CG77" s="368">
        <v>12.7447865854973</v>
      </c>
      <c r="CH77" s="368">
        <v>15.2325098937223</v>
      </c>
      <c r="CI77" s="826">
        <v>11.569936532439099</v>
      </c>
    </row>
    <row r="78" spans="1:87" ht="14.45" customHeight="1">
      <c r="A78" s="23"/>
      <c r="B78" s="23"/>
      <c r="C78" s="23" t="s">
        <v>428</v>
      </c>
      <c r="D78" s="23"/>
      <c r="E78" s="345">
        <f>AVERAGE(BM65:BQ88)</f>
        <v>38.062943261695985</v>
      </c>
      <c r="F78" s="345">
        <f>AVERAGE(BS65:BW88)</f>
        <v>17.871572057754278</v>
      </c>
      <c r="G78" s="345">
        <f>AVERAGE(BY65:CC88)</f>
        <v>13.654130133686442</v>
      </c>
      <c r="H78" s="345">
        <f>AVERAGE(CE65:CI88)</f>
        <v>11.792022839851967</v>
      </c>
      <c r="I78" s="189">
        <f>IF(I77+1=5,1,I77+1)</f>
        <v>1</v>
      </c>
      <c r="J78" s="461">
        <f t="shared" si="20"/>
        <v>2023</v>
      </c>
      <c r="K78" s="566" t="str">
        <f t="shared" si="25"/>
        <v>1Q23</v>
      </c>
      <c r="L78" s="825">
        <v>11.65</v>
      </c>
      <c r="M78" s="368">
        <v>15.4117</v>
      </c>
      <c r="N78" s="368">
        <v>20.763200000000001</v>
      </c>
      <c r="O78" s="368">
        <v>21.0303</v>
      </c>
      <c r="P78" s="368">
        <v>30.507899999999999</v>
      </c>
      <c r="Q78" s="826">
        <v>22.715699999999998</v>
      </c>
      <c r="R78" s="368">
        <v>10.710100000000001</v>
      </c>
      <c r="S78" s="368">
        <v>10.5715</v>
      </c>
      <c r="T78" s="368">
        <v>19.1906</v>
      </c>
      <c r="U78" s="368">
        <v>16.369599999999998</v>
      </c>
      <c r="V78" s="368">
        <v>21.680800000000001</v>
      </c>
      <c r="W78" s="826">
        <v>22.920100000000001</v>
      </c>
      <c r="X78" s="368">
        <v>6.9092000000000002</v>
      </c>
      <c r="Y78" s="368">
        <v>11.537000000000001</v>
      </c>
      <c r="Z78" s="368">
        <v>16.755099999999999</v>
      </c>
      <c r="AA78" s="368">
        <v>16.755099999999999</v>
      </c>
      <c r="AB78" s="368">
        <v>19.512</v>
      </c>
      <c r="AC78" s="826">
        <v>15.254899999999999</v>
      </c>
      <c r="AD78" s="368">
        <v>13.9125</v>
      </c>
      <c r="AE78" s="368">
        <v>14.9244</v>
      </c>
      <c r="AF78" s="368">
        <v>15.254899999999999</v>
      </c>
      <c r="AG78" s="368">
        <v>15.254899999999999</v>
      </c>
      <c r="AH78" s="368">
        <v>15.254899999999999</v>
      </c>
      <c r="AI78" s="826">
        <v>15.254899999999999</v>
      </c>
      <c r="AJ78" s="23"/>
      <c r="AK78" s="566" t="str">
        <f t="shared" si="28"/>
        <v>1Q23</v>
      </c>
      <c r="AL78" s="825">
        <f t="shared" ref="AL78:AL83" si="30">L78</f>
        <v>11.65</v>
      </c>
      <c r="AM78" s="368">
        <v>18.630126413188201</v>
      </c>
      <c r="AN78" s="368">
        <v>15.9613632713695</v>
      </c>
      <c r="AO78" s="368">
        <v>18.048758049678</v>
      </c>
      <c r="AP78" s="368">
        <v>16.185119574845</v>
      </c>
      <c r="AQ78" s="826">
        <v>13.714351708158601</v>
      </c>
      <c r="AR78" s="825">
        <f t="shared" si="26"/>
        <v>10.710100000000001</v>
      </c>
      <c r="AS78" s="368">
        <v>18.3782510365624</v>
      </c>
      <c r="AT78" s="368">
        <v>19.062611260871801</v>
      </c>
      <c r="AU78" s="368">
        <v>16.939216024866202</v>
      </c>
      <c r="AV78" s="368">
        <v>15.3839030139754</v>
      </c>
      <c r="AW78" s="826">
        <v>12.4183006535948</v>
      </c>
      <c r="AX78" s="825">
        <f t="shared" si="27"/>
        <v>6.9092000000000002</v>
      </c>
      <c r="AY78" s="368">
        <v>13.0108331657086</v>
      </c>
      <c r="AZ78" s="368">
        <v>14.7207664372533</v>
      </c>
      <c r="BA78" s="368">
        <v>10.8634721764166</v>
      </c>
      <c r="BB78" s="368">
        <v>11.9670120353024</v>
      </c>
      <c r="BC78" s="826">
        <v>10.344170119618999</v>
      </c>
      <c r="BD78" s="825">
        <f t="shared" ref="BD78:BD83" si="31">AD78</f>
        <v>13.9125</v>
      </c>
      <c r="BE78" s="368">
        <v>12.963830585001499</v>
      </c>
      <c r="BF78" s="368">
        <v>15.8491313030872</v>
      </c>
      <c r="BG78" s="368">
        <v>11.268157797573</v>
      </c>
      <c r="BH78" s="368">
        <v>12.447252760254701</v>
      </c>
      <c r="BI78" s="826">
        <v>9.1310455028163098</v>
      </c>
      <c r="BJ78" s="23"/>
      <c r="BK78" s="566" t="str">
        <f t="shared" si="29"/>
        <v>1Q23</v>
      </c>
      <c r="BL78" s="825">
        <f t="shared" ref="BL78:BL83" si="32">AL78</f>
        <v>11.65</v>
      </c>
      <c r="BM78" s="368">
        <v>10.928844492086499</v>
      </c>
      <c r="BN78" s="368">
        <v>16.7407934072159</v>
      </c>
      <c r="BO78" s="368">
        <v>14.7055920727976</v>
      </c>
      <c r="BP78" s="368">
        <v>19.126631867953002</v>
      </c>
      <c r="BQ78" s="826">
        <v>17.014674845475799</v>
      </c>
      <c r="BR78" s="825">
        <f t="shared" ref="BR78:BR83" si="33">AR78</f>
        <v>10.710100000000001</v>
      </c>
      <c r="BS78" s="368">
        <v>10.6852212164791</v>
      </c>
      <c r="BT78" s="368">
        <v>16.9204534055572</v>
      </c>
      <c r="BU78" s="368">
        <v>14.9748743718593</v>
      </c>
      <c r="BV78" s="368">
        <v>20.881155127730501</v>
      </c>
      <c r="BW78" s="826">
        <v>17.001245330012502</v>
      </c>
      <c r="BX78" s="825">
        <f t="shared" ref="BX78:BX83" si="34">AX78</f>
        <v>6.9092000000000002</v>
      </c>
      <c r="BY78" s="368">
        <v>6.3599718964184504</v>
      </c>
      <c r="BZ78" s="368">
        <v>7.4825752744952396</v>
      </c>
      <c r="CA78" s="368"/>
      <c r="CB78" s="368">
        <v>16.265938004998699</v>
      </c>
      <c r="CC78" s="826">
        <v>13.1653885302904</v>
      </c>
      <c r="CD78" s="825">
        <f t="shared" ref="CD78:CD83" si="35">BD78</f>
        <v>13.9125</v>
      </c>
      <c r="CE78" s="368">
        <v>6.44909324484202</v>
      </c>
      <c r="CF78" s="368">
        <v>12.6021043694989</v>
      </c>
      <c r="CG78" s="368">
        <v>11.8642050200603</v>
      </c>
      <c r="CH78" s="368">
        <v>14.642263970264301</v>
      </c>
      <c r="CI78" s="826">
        <v>11.8026554700342</v>
      </c>
    </row>
    <row r="79" spans="1:87" ht="14.45" customHeight="1">
      <c r="A79" s="23"/>
      <c r="B79" s="23"/>
      <c r="C79" s="460" t="s">
        <v>425</v>
      </c>
      <c r="D79" s="460"/>
      <c r="E79" s="460"/>
      <c r="F79" s="460"/>
      <c r="G79" s="460"/>
      <c r="H79" s="460"/>
      <c r="I79" s="189">
        <f>IF(I78=4,1,I78+1)</f>
        <v>2</v>
      </c>
      <c r="J79" s="461">
        <f t="shared" si="20"/>
        <v>2023</v>
      </c>
      <c r="K79" s="566" t="str">
        <f t="shared" si="25"/>
        <v>2Q23</v>
      </c>
      <c r="L79" s="825">
        <v>14.455399999999999</v>
      </c>
      <c r="M79" s="368">
        <v>28.6114</v>
      </c>
      <c r="N79" s="368">
        <v>25.394200000000001</v>
      </c>
      <c r="O79" s="368">
        <v>20.233699999999999</v>
      </c>
      <c r="P79" s="368">
        <v>85.547200000000004</v>
      </c>
      <c r="Q79" s="826">
        <v>21.3385</v>
      </c>
      <c r="R79" s="368">
        <v>13.582800000000001</v>
      </c>
      <c r="S79" s="368">
        <v>24.096399999999999</v>
      </c>
      <c r="T79" s="368">
        <v>19.904800000000002</v>
      </c>
      <c r="U79" s="368">
        <v>22.537199999999999</v>
      </c>
      <c r="V79" s="368"/>
      <c r="W79" s="826">
        <v>21.583300000000001</v>
      </c>
      <c r="X79" s="368">
        <v>8.8016000000000005</v>
      </c>
      <c r="Y79" s="368">
        <v>22.1248</v>
      </c>
      <c r="Z79" s="368">
        <v>15.635199999999999</v>
      </c>
      <c r="AA79" s="368">
        <v>15.635199999999999</v>
      </c>
      <c r="AB79" s="368">
        <v>38.8735</v>
      </c>
      <c r="AC79" s="826">
        <v>14.3506</v>
      </c>
      <c r="AD79" s="368">
        <v>10.1357</v>
      </c>
      <c r="AE79" s="368">
        <v>13.1676</v>
      </c>
      <c r="AF79" s="368">
        <v>14.3506</v>
      </c>
      <c r="AG79" s="368">
        <v>14.3506</v>
      </c>
      <c r="AH79" s="368">
        <v>14.3506</v>
      </c>
      <c r="AI79" s="826">
        <v>14.3506</v>
      </c>
      <c r="AJ79" s="23"/>
      <c r="AK79" s="599" t="str">
        <f t="shared" ref="AK79:AK88" si="36">$K79</f>
        <v>2Q23</v>
      </c>
      <c r="AL79" s="825">
        <f t="shared" si="30"/>
        <v>14.455399999999999</v>
      </c>
      <c r="AM79" s="368">
        <v>18.285283104649</v>
      </c>
      <c r="AN79" s="368">
        <v>15.531229783089</v>
      </c>
      <c r="AO79" s="368">
        <v>18.434223080295499</v>
      </c>
      <c r="AP79" s="368">
        <v>15.7918506010747</v>
      </c>
      <c r="AQ79" s="826">
        <v>13.3630724097093</v>
      </c>
      <c r="AR79" s="825">
        <f t="shared" si="26"/>
        <v>13.582800000000001</v>
      </c>
      <c r="AS79" s="368">
        <v>18.0372200865908</v>
      </c>
      <c r="AT79" s="368">
        <v>18.548904045644001</v>
      </c>
      <c r="AU79" s="368">
        <v>17.3009847075473</v>
      </c>
      <c r="AV79" s="368">
        <v>15.0214839738927</v>
      </c>
      <c r="AW79" s="826">
        <v>12.1266380876433</v>
      </c>
      <c r="AX79" s="825">
        <f t="shared" si="27"/>
        <v>8.8016000000000005</v>
      </c>
      <c r="AY79" s="368">
        <v>12.796323855725401</v>
      </c>
      <c r="AZ79" s="368">
        <v>14.3983930880516</v>
      </c>
      <c r="BA79" s="368">
        <v>11.0784790142357</v>
      </c>
      <c r="BB79" s="368">
        <v>11.740186808549501</v>
      </c>
      <c r="BC79" s="826">
        <v>10.121380136389201</v>
      </c>
      <c r="BD79" s="825">
        <f t="shared" si="31"/>
        <v>10.1357</v>
      </c>
      <c r="BE79" s="368">
        <v>12.783834567162399</v>
      </c>
      <c r="BF79" s="368">
        <v>15.506245752162901</v>
      </c>
      <c r="BG79" s="368">
        <v>11.493190886357301</v>
      </c>
      <c r="BH79" s="368">
        <v>12.2156576237082</v>
      </c>
      <c r="BI79" s="826">
        <v>8.9483231492258302</v>
      </c>
      <c r="BJ79" s="23"/>
      <c r="BK79" s="599" t="str">
        <f t="shared" ref="BK79:BK88" si="37">$K79</f>
        <v>2Q23</v>
      </c>
      <c r="BL79" s="825">
        <f t="shared" si="32"/>
        <v>14.455399999999999</v>
      </c>
      <c r="BM79" s="368">
        <v>11.264557763490499</v>
      </c>
      <c r="BN79" s="368">
        <v>16.9769983363012</v>
      </c>
      <c r="BO79" s="368">
        <v>14.639794612769601</v>
      </c>
      <c r="BP79" s="368">
        <v>18.4969909334805</v>
      </c>
      <c r="BQ79" s="826">
        <v>17.038355642830801</v>
      </c>
      <c r="BR79" s="825">
        <f t="shared" si="33"/>
        <v>13.582800000000001</v>
      </c>
      <c r="BS79" s="368">
        <v>11.098891938738801</v>
      </c>
      <c r="BT79" s="368">
        <v>17.1678038497184</v>
      </c>
      <c r="BU79" s="368">
        <v>15.3184158666614</v>
      </c>
      <c r="BV79" s="368">
        <v>20.233709024707899</v>
      </c>
      <c r="BW79" s="826">
        <v>17.0249074363471</v>
      </c>
      <c r="BX79" s="825">
        <f t="shared" si="34"/>
        <v>8.8016000000000005</v>
      </c>
      <c r="BY79" s="368">
        <v>6.5521070460169701</v>
      </c>
      <c r="BZ79" s="368">
        <v>7.5805714791436696</v>
      </c>
      <c r="CA79" s="368"/>
      <c r="CB79" s="368">
        <v>15.7600485469973</v>
      </c>
      <c r="CC79" s="826">
        <v>13.180766059266601</v>
      </c>
      <c r="CD79" s="825">
        <f t="shared" si="35"/>
        <v>10.1357</v>
      </c>
      <c r="CE79" s="368">
        <v>6.6876218938895002</v>
      </c>
      <c r="CF79" s="368">
        <v>13.011960831629301</v>
      </c>
      <c r="CG79" s="368">
        <v>12.452113855824701</v>
      </c>
      <c r="CH79" s="368">
        <v>14.1638045774507</v>
      </c>
      <c r="CI79" s="826">
        <v>11.7889497648763</v>
      </c>
    </row>
    <row r="80" spans="1:87" ht="14.45" customHeight="1">
      <c r="A80" s="23"/>
      <c r="B80" s="23"/>
      <c r="C80" s="189"/>
      <c r="D80" s="23"/>
      <c r="E80" s="189" t="s">
        <v>406</v>
      </c>
      <c r="F80" s="189" t="s">
        <v>407</v>
      </c>
      <c r="G80" s="189" t="s">
        <v>408</v>
      </c>
      <c r="H80" s="189" t="s">
        <v>400</v>
      </c>
      <c r="I80" s="189">
        <f>I76</f>
        <v>3</v>
      </c>
      <c r="J80" s="461">
        <f t="shared" si="20"/>
        <v>2023</v>
      </c>
      <c r="K80" s="566" t="str">
        <f t="shared" si="25"/>
        <v>3Q23</v>
      </c>
      <c r="L80" s="825">
        <v>17.632200000000001</v>
      </c>
      <c r="M80" s="368">
        <v>210.24299999999999</v>
      </c>
      <c r="N80" s="368">
        <v>27.172699999999999</v>
      </c>
      <c r="O80" s="368">
        <v>25.0974</v>
      </c>
      <c r="P80" s="368">
        <v>86.528300000000002</v>
      </c>
      <c r="Q80" s="826">
        <v>18.215599999999998</v>
      </c>
      <c r="R80" s="368">
        <v>20.812100000000001</v>
      </c>
      <c r="S80" s="368">
        <v>33.165799999999997</v>
      </c>
      <c r="T80" s="368">
        <v>22.987100000000002</v>
      </c>
      <c r="U80" s="368">
        <v>26.48</v>
      </c>
      <c r="V80" s="368"/>
      <c r="W80" s="826">
        <v>18.723400000000002</v>
      </c>
      <c r="X80" s="368">
        <v>10.7546</v>
      </c>
      <c r="Y80" s="368">
        <v>124.32689999999999</v>
      </c>
      <c r="Z80" s="368">
        <v>17.787400000000002</v>
      </c>
      <c r="AA80" s="368">
        <v>17.787400000000002</v>
      </c>
      <c r="AB80" s="368">
        <v>108.357</v>
      </c>
      <c r="AC80" s="826">
        <v>12.447699999999999</v>
      </c>
      <c r="AD80" s="368">
        <v>13.2943</v>
      </c>
      <c r="AE80" s="368">
        <v>16.703399999999998</v>
      </c>
      <c r="AF80" s="368">
        <v>12.447699999999999</v>
      </c>
      <c r="AG80" s="368">
        <v>12.447699999999999</v>
      </c>
      <c r="AH80" s="368">
        <v>12.447699999999999</v>
      </c>
      <c r="AI80" s="826">
        <v>12.447699999999999</v>
      </c>
      <c r="AJ80" s="23"/>
      <c r="AK80" s="599" t="str">
        <f t="shared" si="36"/>
        <v>3Q23</v>
      </c>
      <c r="AL80" s="825">
        <f t="shared" si="30"/>
        <v>17.632200000000001</v>
      </c>
      <c r="AM80" s="368">
        <v>18.285283104649</v>
      </c>
      <c r="AN80" s="368">
        <v>15.531229783089</v>
      </c>
      <c r="AO80" s="368">
        <v>18.434223080295499</v>
      </c>
      <c r="AP80" s="368">
        <v>15.7918506010747</v>
      </c>
      <c r="AQ80" s="826">
        <v>13.3630724097093</v>
      </c>
      <c r="AR80" s="825">
        <f>R80</f>
        <v>20.812100000000001</v>
      </c>
      <c r="AS80" s="368">
        <v>18.0372200865908</v>
      </c>
      <c r="AT80" s="368">
        <v>18.548904045644001</v>
      </c>
      <c r="AU80" s="368">
        <v>17.3009847075473</v>
      </c>
      <c r="AV80" s="368">
        <v>15.0214839738927</v>
      </c>
      <c r="AW80" s="826">
        <v>12.1266380876433</v>
      </c>
      <c r="AX80" s="825">
        <f>X80</f>
        <v>10.7546</v>
      </c>
      <c r="AY80" s="368">
        <v>12.796323855725401</v>
      </c>
      <c r="AZ80" s="368">
        <v>14.3983930880516</v>
      </c>
      <c r="BA80" s="368">
        <v>11.0784790142357</v>
      </c>
      <c r="BB80" s="368">
        <v>11.740186808549501</v>
      </c>
      <c r="BC80" s="826">
        <v>10.121380136389201</v>
      </c>
      <c r="BD80" s="825">
        <f t="shared" si="31"/>
        <v>13.2943</v>
      </c>
      <c r="BE80" s="368">
        <v>12.783834567162399</v>
      </c>
      <c r="BF80" s="368">
        <v>15.506245752162901</v>
      </c>
      <c r="BG80" s="368">
        <v>11.493190886357301</v>
      </c>
      <c r="BH80" s="368">
        <v>12.2156576237082</v>
      </c>
      <c r="BI80" s="826">
        <v>8.9483231492258302</v>
      </c>
      <c r="BJ80" s="23"/>
      <c r="BK80" s="599" t="str">
        <f t="shared" si="37"/>
        <v>3Q23</v>
      </c>
      <c r="BL80" s="825">
        <f t="shared" si="32"/>
        <v>17.632200000000001</v>
      </c>
      <c r="BM80" s="368">
        <v>11.264557763490499</v>
      </c>
      <c r="BN80" s="368">
        <v>16.9769983363012</v>
      </c>
      <c r="BO80" s="368">
        <v>14.639794612769601</v>
      </c>
      <c r="BP80" s="368">
        <v>18.4969909334805</v>
      </c>
      <c r="BQ80" s="826">
        <v>17.038355642830801</v>
      </c>
      <c r="BR80" s="825">
        <f t="shared" si="33"/>
        <v>20.812100000000001</v>
      </c>
      <c r="BS80" s="368">
        <v>11.098891938738801</v>
      </c>
      <c r="BT80" s="368">
        <v>17.1678038497184</v>
      </c>
      <c r="BU80" s="368">
        <v>15.3184158666614</v>
      </c>
      <c r="BV80" s="368">
        <v>20.233709024707899</v>
      </c>
      <c r="BW80" s="826">
        <v>17.0249074363471</v>
      </c>
      <c r="BX80" s="825">
        <f t="shared" si="34"/>
        <v>10.7546</v>
      </c>
      <c r="BY80" s="368">
        <v>6.5521070460169701</v>
      </c>
      <c r="BZ80" s="368">
        <v>7.5805714791436696</v>
      </c>
      <c r="CA80" s="368"/>
      <c r="CB80" s="368">
        <v>15.7600485469973</v>
      </c>
      <c r="CC80" s="826">
        <v>13.180766059266601</v>
      </c>
      <c r="CD80" s="825">
        <f t="shared" si="35"/>
        <v>13.2943</v>
      </c>
      <c r="CE80" s="368">
        <v>6.6876218938895002</v>
      </c>
      <c r="CF80" s="368">
        <v>13.011960831629301</v>
      </c>
      <c r="CG80" s="368">
        <v>12.452113855824701</v>
      </c>
      <c r="CH80" s="368">
        <v>14.1638045774507</v>
      </c>
      <c r="CI80" s="826">
        <v>11.7889497648763</v>
      </c>
    </row>
    <row r="81" spans="1:87" ht="14.45" customHeight="1">
      <c r="A81" s="23"/>
      <c r="B81" s="23"/>
      <c r="C81" s="23" t="s">
        <v>440</v>
      </c>
      <c r="D81" s="23"/>
      <c r="E81" s="345">
        <f>AVERAGE(BM8:BQ75)</f>
        <v>23.989111745649577</v>
      </c>
      <c r="F81" s="345">
        <f>AVERAGE(BS8:BW75)</f>
        <v>16.203546988432574</v>
      </c>
      <c r="G81" s="345">
        <f>AVERAGE(BY8:CC75)</f>
        <v>9.8661131234978807</v>
      </c>
      <c r="H81" s="345">
        <f>AVERAGE(CE8:CI75)</f>
        <v>9.2441464344112774</v>
      </c>
      <c r="I81" s="189">
        <f>IF(I80=4,1,I80+1)</f>
        <v>4</v>
      </c>
      <c r="J81" s="461">
        <f t="shared" si="20"/>
        <v>2023</v>
      </c>
      <c r="K81" s="566" t="str">
        <f t="shared" si="25"/>
        <v>4Q23</v>
      </c>
      <c r="L81" s="825">
        <v>26.755400000000002</v>
      </c>
      <c r="M81" s="368">
        <v>91.189499999999995</v>
      </c>
      <c r="N81" s="368">
        <v>28.7636</v>
      </c>
      <c r="O81" s="368">
        <v>36.555399999999999</v>
      </c>
      <c r="P81" s="368"/>
      <c r="Q81" s="826">
        <v>24.901599999999998</v>
      </c>
      <c r="R81" s="368">
        <v>27.8492</v>
      </c>
      <c r="S81" s="368"/>
      <c r="T81" s="368">
        <v>27.153500000000001</v>
      </c>
      <c r="U81" s="368">
        <v>32.504800000000003</v>
      </c>
      <c r="V81" s="368"/>
      <c r="W81" s="826">
        <v>24.663799999999998</v>
      </c>
      <c r="X81" s="368">
        <v>16.4772</v>
      </c>
      <c r="Y81" s="368">
        <v>128.94990000000001</v>
      </c>
      <c r="Z81" s="368">
        <v>22.845300000000002</v>
      </c>
      <c r="AA81" s="368">
        <v>22.845300000000002</v>
      </c>
      <c r="AB81" s="368">
        <v>136.82990000000001</v>
      </c>
      <c r="AC81" s="826">
        <v>16.196400000000001</v>
      </c>
      <c r="AD81" s="368">
        <v>12.475</v>
      </c>
      <c r="AE81" s="368">
        <v>16.205200000000001</v>
      </c>
      <c r="AF81" s="368">
        <v>16.196400000000001</v>
      </c>
      <c r="AG81" s="368">
        <v>16.196400000000001</v>
      </c>
      <c r="AH81" s="368">
        <v>16.196400000000001</v>
      </c>
      <c r="AI81" s="826">
        <v>16.196400000000001</v>
      </c>
      <c r="AJ81" s="23"/>
      <c r="AK81" s="599" t="str">
        <f t="shared" si="36"/>
        <v>4Q23</v>
      </c>
      <c r="AL81" s="825">
        <f t="shared" si="30"/>
        <v>26.755400000000002</v>
      </c>
      <c r="AM81" s="368">
        <v>18.285283104649</v>
      </c>
      <c r="AN81" s="368">
        <v>15.531229783089</v>
      </c>
      <c r="AO81" s="368">
        <v>18.434223080295499</v>
      </c>
      <c r="AP81" s="368">
        <v>15.7918506010747</v>
      </c>
      <c r="AQ81" s="826">
        <v>13.3630724097093</v>
      </c>
      <c r="AR81" s="825">
        <f>R81</f>
        <v>27.8492</v>
      </c>
      <c r="AS81" s="368">
        <v>18.0372200865908</v>
      </c>
      <c r="AT81" s="368">
        <v>18.548904045644001</v>
      </c>
      <c r="AU81" s="368">
        <v>17.3009847075473</v>
      </c>
      <c r="AV81" s="368">
        <v>15.0214839738927</v>
      </c>
      <c r="AW81" s="826">
        <v>12.1266380876433</v>
      </c>
      <c r="AX81" s="825">
        <f>X81</f>
        <v>16.4772</v>
      </c>
      <c r="AY81" s="368">
        <v>12.796323855725401</v>
      </c>
      <c r="AZ81" s="368">
        <v>14.3983930880516</v>
      </c>
      <c r="BA81" s="368">
        <v>11.0784790142357</v>
      </c>
      <c r="BB81" s="368">
        <v>11.740186808549501</v>
      </c>
      <c r="BC81" s="826">
        <v>10.121380136389201</v>
      </c>
      <c r="BD81" s="825">
        <f t="shared" si="31"/>
        <v>12.475</v>
      </c>
      <c r="BE81" s="368">
        <v>12.783834567162399</v>
      </c>
      <c r="BF81" s="368">
        <v>15.506245752162901</v>
      </c>
      <c r="BG81" s="368">
        <v>11.493190886357301</v>
      </c>
      <c r="BH81" s="368">
        <v>12.2156576237082</v>
      </c>
      <c r="BI81" s="826">
        <v>8.9483231492258302</v>
      </c>
      <c r="BJ81" s="23"/>
      <c r="BK81" s="599" t="str">
        <f t="shared" si="37"/>
        <v>4Q23</v>
      </c>
      <c r="BL81" s="825">
        <f t="shared" si="32"/>
        <v>26.755400000000002</v>
      </c>
      <c r="BM81" s="368">
        <v>11.264557763490499</v>
      </c>
      <c r="BN81" s="368">
        <v>16.9769983363012</v>
      </c>
      <c r="BO81" s="368">
        <v>14.639794612769601</v>
      </c>
      <c r="BP81" s="368">
        <v>18.4969909334805</v>
      </c>
      <c r="BQ81" s="826">
        <v>17.038355642830801</v>
      </c>
      <c r="BR81" s="825">
        <f t="shared" si="33"/>
        <v>27.8492</v>
      </c>
      <c r="BS81" s="368">
        <v>11.098891938738801</v>
      </c>
      <c r="BT81" s="368">
        <v>17.1678038497184</v>
      </c>
      <c r="BU81" s="368">
        <v>15.3184158666614</v>
      </c>
      <c r="BV81" s="368">
        <v>20.233709024707899</v>
      </c>
      <c r="BW81" s="826">
        <v>17.0249074363471</v>
      </c>
      <c r="BX81" s="825">
        <f t="shared" si="34"/>
        <v>16.4772</v>
      </c>
      <c r="BY81" s="368">
        <v>6.5521070460169701</v>
      </c>
      <c r="BZ81" s="368">
        <v>7.5805714791436696</v>
      </c>
      <c r="CA81" s="368"/>
      <c r="CB81" s="368">
        <v>15.7600485469973</v>
      </c>
      <c r="CC81" s="826">
        <v>13.180766059266601</v>
      </c>
      <c r="CD81" s="825">
        <f t="shared" si="35"/>
        <v>12.475</v>
      </c>
      <c r="CE81" s="368">
        <v>6.6876218938895002</v>
      </c>
      <c r="CF81" s="368">
        <v>13.011960831629301</v>
      </c>
      <c r="CG81" s="368">
        <v>12.452113855824701</v>
      </c>
      <c r="CH81" s="368">
        <v>14.1638045774507</v>
      </c>
      <c r="CI81" s="826">
        <v>11.7889497648763</v>
      </c>
    </row>
    <row r="82" spans="1:87" ht="14.45" customHeight="1">
      <c r="A82" s="23"/>
      <c r="B82" s="23"/>
      <c r="C82" s="23" t="s">
        <v>441</v>
      </c>
      <c r="D82" s="23"/>
      <c r="E82" s="345">
        <f t="shared" ref="E82:H84" si="38">AVERAGE(E88,E92)</f>
        <v>20.103998318150133</v>
      </c>
      <c r="F82" s="345">
        <f t="shared" si="38"/>
        <v>16.997209724820074</v>
      </c>
      <c r="G82" s="345">
        <f t="shared" si="38"/>
        <v>9.076301266902977</v>
      </c>
      <c r="H82" s="345" t="e">
        <f t="shared" si="38"/>
        <v>#DIV/0!</v>
      </c>
      <c r="I82" s="189">
        <f>IF(I81+1=5,1,I81+1)</f>
        <v>1</v>
      </c>
      <c r="J82" s="461">
        <f t="shared" si="20"/>
        <v>2024</v>
      </c>
      <c r="K82" s="566" t="str">
        <f t="shared" si="25"/>
        <v>1Q24</v>
      </c>
      <c r="L82" s="825">
        <v>30.233899999999998</v>
      </c>
      <c r="M82" s="368">
        <v>31.695599999999999</v>
      </c>
      <c r="N82" s="368">
        <v>29.057500000000001</v>
      </c>
      <c r="O82" s="368">
        <v>28.233799999999999</v>
      </c>
      <c r="P82" s="368"/>
      <c r="Q82" s="826">
        <v>25.454599999999999</v>
      </c>
      <c r="R82" s="368">
        <v>18.1312</v>
      </c>
      <c r="S82" s="368">
        <v>13.5458</v>
      </c>
      <c r="T82" s="368">
        <v>28.930299999999999</v>
      </c>
      <c r="U82" s="368">
        <v>23.9117</v>
      </c>
      <c r="V82" s="368"/>
      <c r="W82" s="826">
        <v>24.245699999999999</v>
      </c>
      <c r="X82" s="368">
        <v>19.694299999999998</v>
      </c>
      <c r="Y82" s="368">
        <v>47.560299999999998</v>
      </c>
      <c r="Z82" s="368">
        <v>19.610199999999999</v>
      </c>
      <c r="AA82" s="368">
        <v>19.610199999999999</v>
      </c>
      <c r="AB82" s="368" t="s">
        <v>1076</v>
      </c>
      <c r="AC82" s="826">
        <v>16.365200000000002</v>
      </c>
      <c r="AD82" s="368">
        <v>11.7318</v>
      </c>
      <c r="AE82" s="368">
        <v>15.079700000000001</v>
      </c>
      <c r="AF82" s="368">
        <v>16.365200000000002</v>
      </c>
      <c r="AG82" s="368">
        <v>16.365200000000002</v>
      </c>
      <c r="AH82" s="368">
        <v>16.365200000000002</v>
      </c>
      <c r="AI82" s="826">
        <v>16.365200000000002</v>
      </c>
      <c r="AJ82" s="23"/>
      <c r="AK82" s="599" t="str">
        <f t="shared" si="36"/>
        <v>1Q24</v>
      </c>
      <c r="AL82" s="825">
        <f t="shared" si="30"/>
        <v>30.233899999999998</v>
      </c>
      <c r="AM82" s="368">
        <v>18.285283104649</v>
      </c>
      <c r="AN82" s="368">
        <v>15.531229783089</v>
      </c>
      <c r="AO82" s="368">
        <v>18.434223080295499</v>
      </c>
      <c r="AP82" s="368">
        <v>15.7918506010747</v>
      </c>
      <c r="AQ82" s="826">
        <v>13.3630724097093</v>
      </c>
      <c r="AR82" s="825">
        <f>R82</f>
        <v>18.1312</v>
      </c>
      <c r="AS82" s="368">
        <v>18.0372200865908</v>
      </c>
      <c r="AT82" s="368">
        <v>18.548904045644001</v>
      </c>
      <c r="AU82" s="368">
        <v>17.3009847075473</v>
      </c>
      <c r="AV82" s="368">
        <v>15.0214839738927</v>
      </c>
      <c r="AW82" s="826">
        <v>12.1266380876433</v>
      </c>
      <c r="AX82" s="825">
        <f>X82</f>
        <v>19.694299999999998</v>
      </c>
      <c r="AY82" s="368">
        <v>12.796323855725401</v>
      </c>
      <c r="AZ82" s="368">
        <v>14.3983930880516</v>
      </c>
      <c r="BA82" s="368">
        <v>11.0784790142357</v>
      </c>
      <c r="BB82" s="368">
        <v>11.740186808549501</v>
      </c>
      <c r="BC82" s="826">
        <v>10.121380136389201</v>
      </c>
      <c r="BD82" s="825">
        <f t="shared" si="31"/>
        <v>11.7318</v>
      </c>
      <c r="BE82" s="368">
        <v>12.783834567162399</v>
      </c>
      <c r="BF82" s="368">
        <v>15.506245752162901</v>
      </c>
      <c r="BG82" s="368">
        <v>11.493190886357301</v>
      </c>
      <c r="BH82" s="368">
        <v>12.2156576237082</v>
      </c>
      <c r="BI82" s="826">
        <v>8.9483231492258302</v>
      </c>
      <c r="BJ82" s="23"/>
      <c r="BK82" s="599" t="str">
        <f t="shared" si="37"/>
        <v>1Q24</v>
      </c>
      <c r="BL82" s="825">
        <f t="shared" si="32"/>
        <v>30.233899999999998</v>
      </c>
      <c r="BM82" s="368">
        <v>11.264557763490499</v>
      </c>
      <c r="BN82" s="368">
        <v>16.9769983363012</v>
      </c>
      <c r="BO82" s="368">
        <v>14.639794612769601</v>
      </c>
      <c r="BP82" s="368">
        <v>18.4969909334805</v>
      </c>
      <c r="BQ82" s="826">
        <v>17.038355642830801</v>
      </c>
      <c r="BR82" s="825">
        <f t="shared" si="33"/>
        <v>18.1312</v>
      </c>
      <c r="BS82" s="368">
        <v>11.098891938738801</v>
      </c>
      <c r="BT82" s="368">
        <v>17.1678038497184</v>
      </c>
      <c r="BU82" s="368">
        <v>15.3184158666614</v>
      </c>
      <c r="BV82" s="368">
        <v>20.233709024707899</v>
      </c>
      <c r="BW82" s="826">
        <v>17.0249074363471</v>
      </c>
      <c r="BX82" s="825">
        <f t="shared" si="34"/>
        <v>19.694299999999998</v>
      </c>
      <c r="BY82" s="368">
        <v>6.5521070460169701</v>
      </c>
      <c r="BZ82" s="368">
        <v>7.5805714791436696</v>
      </c>
      <c r="CA82" s="368"/>
      <c r="CB82" s="368">
        <v>15.7600485469973</v>
      </c>
      <c r="CC82" s="826">
        <v>13.180766059266601</v>
      </c>
      <c r="CD82" s="825">
        <f t="shared" si="35"/>
        <v>11.7318</v>
      </c>
      <c r="CE82" s="368">
        <v>6.6876218938895002</v>
      </c>
      <c r="CF82" s="368">
        <v>13.011960831629301</v>
      </c>
      <c r="CG82" s="368">
        <v>12.452113855824701</v>
      </c>
      <c r="CH82" s="368">
        <v>14.1638045774507</v>
      </c>
      <c r="CI82" s="826">
        <v>11.7889497648763</v>
      </c>
    </row>
    <row r="83" spans="1:87" ht="14.45" customHeight="1">
      <c r="A83" s="23"/>
      <c r="B83" s="23"/>
      <c r="C83" s="23" t="s">
        <v>442</v>
      </c>
      <c r="D83" s="23"/>
      <c r="E83" s="345">
        <f t="shared" si="38"/>
        <v>16.107894681806094</v>
      </c>
      <c r="F83" s="345">
        <f t="shared" si="38"/>
        <v>15.302983644943669</v>
      </c>
      <c r="G83" s="345">
        <f t="shared" si="38"/>
        <v>9.9751232285254474</v>
      </c>
      <c r="H83" s="345">
        <f t="shared" si="38"/>
        <v>9.3757588494886495</v>
      </c>
      <c r="I83" s="189">
        <f>IF(I82=4,1,I82+1)</f>
        <v>2</v>
      </c>
      <c r="J83" s="461">
        <f t="shared" si="20"/>
        <v>2024</v>
      </c>
      <c r="K83" s="566" t="str">
        <f t="shared" si="25"/>
        <v>2Q24</v>
      </c>
      <c r="L83" s="825">
        <v>28.828499999999998</v>
      </c>
      <c r="M83" s="368">
        <v>19.9392</v>
      </c>
      <c r="N83" s="368">
        <v>26.4373</v>
      </c>
      <c r="O83" s="368">
        <v>30.4938</v>
      </c>
      <c r="P83" s="368">
        <v>379.06670000000003</v>
      </c>
      <c r="Q83" s="826">
        <v>22.977499999999999</v>
      </c>
      <c r="R83" s="368">
        <v>20.412299999999998</v>
      </c>
      <c r="S83" s="368">
        <v>13.1248</v>
      </c>
      <c r="T83" s="368">
        <v>24.086400000000001</v>
      </c>
      <c r="U83" s="368">
        <v>27.133500000000002</v>
      </c>
      <c r="V83" s="368"/>
      <c r="W83" s="826">
        <v>22.3642</v>
      </c>
      <c r="X83" s="368">
        <v>19.0748</v>
      </c>
      <c r="Y83" s="368">
        <v>19.416</v>
      </c>
      <c r="Z83" s="368">
        <v>21.459199999999999</v>
      </c>
      <c r="AA83" s="368">
        <v>21.459199999999999</v>
      </c>
      <c r="AB83" s="368">
        <v>140.22890000000001</v>
      </c>
      <c r="AC83" s="826">
        <v>15.0097</v>
      </c>
      <c r="AD83" s="368">
        <v>13.2317</v>
      </c>
      <c r="AE83" s="368">
        <v>16.451499999999999</v>
      </c>
      <c r="AF83" s="368">
        <v>15.0097</v>
      </c>
      <c r="AG83" s="368">
        <v>15.0097</v>
      </c>
      <c r="AH83" s="368">
        <v>15.0097</v>
      </c>
      <c r="AI83" s="826">
        <v>15.0097</v>
      </c>
      <c r="AJ83" s="23"/>
      <c r="AK83" s="599" t="str">
        <f t="shared" si="36"/>
        <v>2Q24</v>
      </c>
      <c r="AL83" s="825">
        <f t="shared" si="30"/>
        <v>28.828499999999998</v>
      </c>
      <c r="AM83" s="368">
        <v>18.285283104649</v>
      </c>
      <c r="AN83" s="368">
        <v>15.531229783089</v>
      </c>
      <c r="AO83" s="368">
        <v>18.434223080295499</v>
      </c>
      <c r="AP83" s="368">
        <v>15.7918506010747</v>
      </c>
      <c r="AQ83" s="826">
        <v>13.3630724097093</v>
      </c>
      <c r="AR83" s="825">
        <f>R83</f>
        <v>20.412299999999998</v>
      </c>
      <c r="AS83" s="368">
        <v>18.0372200865908</v>
      </c>
      <c r="AT83" s="368">
        <v>18.548904045644001</v>
      </c>
      <c r="AU83" s="368">
        <v>17.3009847075473</v>
      </c>
      <c r="AV83" s="368">
        <v>15.0214839738927</v>
      </c>
      <c r="AW83" s="826">
        <v>12.1266380876433</v>
      </c>
      <c r="AX83" s="825">
        <f>X83</f>
        <v>19.0748</v>
      </c>
      <c r="AY83" s="368">
        <v>12.796323855725401</v>
      </c>
      <c r="AZ83" s="368">
        <v>14.3983930880516</v>
      </c>
      <c r="BA83" s="368">
        <v>11.0784790142357</v>
      </c>
      <c r="BB83" s="368">
        <v>11.740186808549501</v>
      </c>
      <c r="BC83" s="826">
        <v>10.121380136389201</v>
      </c>
      <c r="BD83" s="825">
        <f t="shared" si="31"/>
        <v>13.2317</v>
      </c>
      <c r="BE83" s="368">
        <v>12.783834567162399</v>
      </c>
      <c r="BF83" s="368">
        <v>15.506245752162901</v>
      </c>
      <c r="BG83" s="368">
        <v>11.493190886357301</v>
      </c>
      <c r="BH83" s="368">
        <v>12.2156576237082</v>
      </c>
      <c r="BI83" s="826">
        <v>8.9483231492258302</v>
      </c>
      <c r="BJ83" s="23"/>
      <c r="BK83" s="599" t="str">
        <f t="shared" si="37"/>
        <v>2Q24</v>
      </c>
      <c r="BL83" s="825">
        <f t="shared" si="32"/>
        <v>28.828499999999998</v>
      </c>
      <c r="BM83" s="368">
        <v>11.264557763490499</v>
      </c>
      <c r="BN83" s="368">
        <v>16.9769983363012</v>
      </c>
      <c r="BO83" s="368">
        <v>14.639794612769601</v>
      </c>
      <c r="BP83" s="368">
        <v>18.4969909334805</v>
      </c>
      <c r="BQ83" s="826">
        <v>17.038355642830801</v>
      </c>
      <c r="BR83" s="825">
        <f t="shared" si="33"/>
        <v>20.412299999999998</v>
      </c>
      <c r="BS83" s="368">
        <v>11.098891938738801</v>
      </c>
      <c r="BT83" s="368">
        <v>17.1678038497184</v>
      </c>
      <c r="BU83" s="368">
        <v>15.3184158666614</v>
      </c>
      <c r="BV83" s="368">
        <v>20.233709024707899</v>
      </c>
      <c r="BW83" s="826">
        <v>17.0249074363471</v>
      </c>
      <c r="BX83" s="825">
        <f t="shared" si="34"/>
        <v>19.0748</v>
      </c>
      <c r="BY83" s="368">
        <v>6.5521070460169701</v>
      </c>
      <c r="BZ83" s="368">
        <v>7.5805714791436696</v>
      </c>
      <c r="CA83" s="368"/>
      <c r="CB83" s="368">
        <v>15.7600485469973</v>
      </c>
      <c r="CC83" s="826">
        <v>13.180766059266601</v>
      </c>
      <c r="CD83" s="825">
        <f t="shared" si="35"/>
        <v>13.2317</v>
      </c>
      <c r="CE83" s="368">
        <v>6.6876218938895002</v>
      </c>
      <c r="CF83" s="368">
        <v>13.011960831629301</v>
      </c>
      <c r="CG83" s="368">
        <v>12.452113855824701</v>
      </c>
      <c r="CH83" s="368">
        <v>14.1638045774507</v>
      </c>
      <c r="CI83" s="826">
        <v>11.7889497648763</v>
      </c>
    </row>
    <row r="84" spans="1:87" ht="14.45" customHeight="1">
      <c r="A84" s="23"/>
      <c r="B84" s="23"/>
      <c r="C84" s="23" t="s">
        <v>443</v>
      </c>
      <c r="D84" s="23"/>
      <c r="E84" s="345">
        <f t="shared" si="38"/>
        <v>30.136895572954842</v>
      </c>
      <c r="F84" s="345">
        <f t="shared" si="38"/>
        <v>16.117007849523496</v>
      </c>
      <c r="G84" s="345">
        <f t="shared" si="38"/>
        <v>10.637190256202512</v>
      </c>
      <c r="H84" s="345">
        <f t="shared" si="38"/>
        <v>9.9954522991745449</v>
      </c>
      <c r="I84" s="189">
        <f>I80</f>
        <v>3</v>
      </c>
      <c r="J84" s="461">
        <f t="shared" ref="J84" si="39">IF(I84=1,J83+1,J83)</f>
        <v>2024</v>
      </c>
      <c r="K84" s="566" t="str">
        <f t="shared" si="25"/>
        <v>3Q24</v>
      </c>
      <c r="L84" s="825">
        <v>32.112499999999997</v>
      </c>
      <c r="M84" s="368">
        <v>23.058700000000002</v>
      </c>
      <c r="N84" s="368">
        <v>28.9879</v>
      </c>
      <c r="O84" s="368">
        <v>39.752200000000002</v>
      </c>
      <c r="P84" s="368">
        <v>129.26419999999999</v>
      </c>
      <c r="Q84" s="826">
        <v>25.414999999999999</v>
      </c>
      <c r="R84" s="368">
        <v>26.395099999999999</v>
      </c>
      <c r="S84" s="368">
        <v>19.5045</v>
      </c>
      <c r="T84" s="368">
        <v>28.258199999999999</v>
      </c>
      <c r="U84" s="368">
        <v>30.901499999999999</v>
      </c>
      <c r="V84" s="368"/>
      <c r="W84" s="826">
        <v>23.832799999999999</v>
      </c>
      <c r="X84" s="368">
        <v>21.053100000000001</v>
      </c>
      <c r="Y84" s="368">
        <v>14.7941</v>
      </c>
      <c r="Z84" s="368">
        <v>24.751899999999999</v>
      </c>
      <c r="AA84" s="368">
        <v>24.751899999999999</v>
      </c>
      <c r="AB84" s="368">
        <v>77.667500000000004</v>
      </c>
      <c r="AC84" s="826">
        <v>16.895499999999998</v>
      </c>
      <c r="AD84" s="368">
        <v>12.047000000000001</v>
      </c>
      <c r="AE84" s="368">
        <v>15.599</v>
      </c>
      <c r="AF84" s="368">
        <v>16.895499999999998</v>
      </c>
      <c r="AG84" s="368">
        <v>16.895499999999998</v>
      </c>
      <c r="AH84" s="368">
        <v>16.895499999999998</v>
      </c>
      <c r="AI84" s="826">
        <v>16.895499999999998</v>
      </c>
      <c r="AJ84" s="23"/>
      <c r="AK84" s="599" t="str">
        <f t="shared" si="36"/>
        <v>3Q24</v>
      </c>
      <c r="AL84" s="825">
        <f>L84</f>
        <v>32.112499999999997</v>
      </c>
      <c r="AM84" s="368">
        <v>18.285283104649</v>
      </c>
      <c r="AN84" s="368">
        <v>15.531229783089</v>
      </c>
      <c r="AO84" s="368">
        <v>18.434223080295499</v>
      </c>
      <c r="AP84" s="368">
        <v>15.7918506010747</v>
      </c>
      <c r="AQ84" s="826">
        <v>13.3630724097093</v>
      </c>
      <c r="AR84" s="825">
        <f>R84</f>
        <v>26.395099999999999</v>
      </c>
      <c r="AS84" s="368">
        <v>18.0372200865908</v>
      </c>
      <c r="AT84" s="368">
        <v>18.548904045644001</v>
      </c>
      <c r="AU84" s="368">
        <v>17.3009847075473</v>
      </c>
      <c r="AV84" s="368">
        <v>15.0214839738927</v>
      </c>
      <c r="AW84" s="826">
        <v>12.1266380876433</v>
      </c>
      <c r="AX84" s="825">
        <f>X84</f>
        <v>21.053100000000001</v>
      </c>
      <c r="AY84" s="368">
        <v>12.796323855725401</v>
      </c>
      <c r="AZ84" s="368">
        <v>14.3983930880516</v>
      </c>
      <c r="BA84" s="368">
        <v>11.0784790142357</v>
      </c>
      <c r="BB84" s="368">
        <v>11.740186808549501</v>
      </c>
      <c r="BC84" s="826">
        <v>10.121380136389201</v>
      </c>
      <c r="BD84" s="825">
        <f>AD84</f>
        <v>12.047000000000001</v>
      </c>
      <c r="BE84" s="368">
        <v>12.783834567162399</v>
      </c>
      <c r="BF84" s="368">
        <v>15.506245752162901</v>
      </c>
      <c r="BG84" s="368">
        <v>11.493190886357301</v>
      </c>
      <c r="BH84" s="368">
        <v>12.2156576237082</v>
      </c>
      <c r="BI84" s="826">
        <v>8.9483231492258302</v>
      </c>
      <c r="BJ84" s="23"/>
      <c r="BK84" s="599" t="str">
        <f t="shared" si="37"/>
        <v>3Q24</v>
      </c>
      <c r="BL84" s="825">
        <f>AL84</f>
        <v>32.112499999999997</v>
      </c>
      <c r="BM84" s="368">
        <v>11.264557763490499</v>
      </c>
      <c r="BN84" s="368">
        <v>16.9769983363012</v>
      </c>
      <c r="BO84" s="368">
        <v>14.639794612769601</v>
      </c>
      <c r="BP84" s="368">
        <v>18.4969909334805</v>
      </c>
      <c r="BQ84" s="826">
        <v>17.038355642830801</v>
      </c>
      <c r="BR84" s="825">
        <f>AR84</f>
        <v>26.395099999999999</v>
      </c>
      <c r="BS84" s="368">
        <v>11.098891938738801</v>
      </c>
      <c r="BT84" s="368">
        <v>17.1678038497184</v>
      </c>
      <c r="BU84" s="368">
        <v>15.3184158666614</v>
      </c>
      <c r="BV84" s="368">
        <v>20.233709024707899</v>
      </c>
      <c r="BW84" s="826">
        <v>17.0249074363471</v>
      </c>
      <c r="BX84" s="825">
        <f>AX84</f>
        <v>21.053100000000001</v>
      </c>
      <c r="BY84" s="368">
        <v>6.5521070460169701</v>
      </c>
      <c r="BZ84" s="368">
        <v>7.5805714791436696</v>
      </c>
      <c r="CA84" s="368"/>
      <c r="CB84" s="368">
        <v>15.7600485469973</v>
      </c>
      <c r="CC84" s="826">
        <v>13.180766059266601</v>
      </c>
      <c r="CD84" s="825">
        <f>BD84</f>
        <v>12.047000000000001</v>
      </c>
      <c r="CE84" s="368">
        <v>6.6876218938895002</v>
      </c>
      <c r="CF84" s="368">
        <v>13.011960831629301</v>
      </c>
      <c r="CG84" s="368">
        <v>12.452113855824701</v>
      </c>
      <c r="CH84" s="368">
        <v>14.1638045774507</v>
      </c>
      <c r="CI84" s="826">
        <v>11.7889497648763</v>
      </c>
    </row>
    <row r="85" spans="1:87" ht="14.45" customHeight="1">
      <c r="A85" s="23"/>
      <c r="B85" s="23"/>
      <c r="C85" s="23" t="s">
        <v>410</v>
      </c>
      <c r="D85" s="23"/>
      <c r="E85" s="345">
        <f>AVERAGE(BM8:BQ35)</f>
        <v>19.419899684661807</v>
      </c>
      <c r="F85" s="345">
        <f>AVERAGE(BS8:BW35)</f>
        <v>16.743680586508308</v>
      </c>
      <c r="G85" s="345">
        <f>AVERAGE(BY8:CC35)</f>
        <v>9.5404200826670245</v>
      </c>
      <c r="H85" s="345">
        <f>AVERAGE(CE8:CI35)</f>
        <v>9.3638146738226631</v>
      </c>
      <c r="I85" s="189">
        <f>IF(I84=4,1,I84+1)</f>
        <v>4</v>
      </c>
      <c r="J85" s="461">
        <f>IF(I85=1,J84+1,J84)</f>
        <v>2024</v>
      </c>
      <c r="K85" s="566" t="str">
        <f t="shared" si="25"/>
        <v>4Q24</v>
      </c>
      <c r="L85" s="825">
        <v>30.2638</v>
      </c>
      <c r="M85" s="368">
        <v>22.155899999999999</v>
      </c>
      <c r="N85" s="368">
        <v>29.930800000000001</v>
      </c>
      <c r="O85" s="368">
        <v>34.182600000000001</v>
      </c>
      <c r="P85" s="368">
        <v>41.9773</v>
      </c>
      <c r="Q85" s="826">
        <v>23.123699999999999</v>
      </c>
      <c r="R85" s="368">
        <v>30.8675</v>
      </c>
      <c r="S85" s="368">
        <v>23.690799999999999</v>
      </c>
      <c r="T85" s="368">
        <v>30.488099999999999</v>
      </c>
      <c r="U85" s="368">
        <v>36.9925</v>
      </c>
      <c r="V85" s="368"/>
      <c r="W85" s="826">
        <v>22.525300000000001</v>
      </c>
      <c r="X85" s="368">
        <v>30.8675</v>
      </c>
      <c r="Y85" s="368">
        <v>23.690799999999999</v>
      </c>
      <c r="Z85" s="368">
        <v>36.9925</v>
      </c>
      <c r="AA85" s="368">
        <v>28.607835024156401</v>
      </c>
      <c r="AB85" s="368">
        <v>84.2159687665729</v>
      </c>
      <c r="AC85" s="826">
        <v>15.6145</v>
      </c>
      <c r="AD85" s="368">
        <v>12.167999999999999</v>
      </c>
      <c r="AE85" s="368">
        <v>15.716100000000001</v>
      </c>
      <c r="AF85" s="368">
        <v>15.6145</v>
      </c>
      <c r="AG85" s="368">
        <v>15.6145</v>
      </c>
      <c r="AH85" s="368">
        <v>15.6145</v>
      </c>
      <c r="AI85" s="826">
        <v>15.6145</v>
      </c>
      <c r="AJ85" s="23"/>
      <c r="AK85" s="599" t="str">
        <f t="shared" si="36"/>
        <v>4Q24</v>
      </c>
      <c r="AL85" s="825">
        <v>30.2638</v>
      </c>
      <c r="AM85" s="368">
        <v>22.155899999999999</v>
      </c>
      <c r="AN85" s="368">
        <v>29.930800000000001</v>
      </c>
      <c r="AO85" s="368">
        <v>34.182600000000001</v>
      </c>
      <c r="AP85" s="368">
        <v>41.9773</v>
      </c>
      <c r="AQ85" s="826">
        <v>23.123699999999999</v>
      </c>
      <c r="AR85" s="368">
        <v>30.8675</v>
      </c>
      <c r="AS85" s="368">
        <v>23.690799999999999</v>
      </c>
      <c r="AT85" s="368">
        <v>30.488099999999999</v>
      </c>
      <c r="AU85" s="368">
        <v>36.9925</v>
      </c>
      <c r="AV85" s="368"/>
      <c r="AW85" s="826">
        <v>22.525300000000001</v>
      </c>
      <c r="AX85" s="368">
        <v>30.8675</v>
      </c>
      <c r="AY85" s="368">
        <v>23.690799999999999</v>
      </c>
      <c r="AZ85" s="368">
        <v>36.9925</v>
      </c>
      <c r="BA85" s="368">
        <v>28.607835024156401</v>
      </c>
      <c r="BB85" s="368">
        <v>84.2159687665729</v>
      </c>
      <c r="BC85" s="826">
        <v>15.6145</v>
      </c>
      <c r="BD85" s="368">
        <v>12.167999999999999</v>
      </c>
      <c r="BE85" s="368">
        <v>15.716100000000001</v>
      </c>
      <c r="BF85" s="368">
        <v>15.6145</v>
      </c>
      <c r="BG85" s="368">
        <v>15.6145</v>
      </c>
      <c r="BH85" s="368">
        <v>15.6145</v>
      </c>
      <c r="BI85" s="826">
        <v>15.6145</v>
      </c>
      <c r="BJ85" s="23"/>
      <c r="BK85" s="599" t="str">
        <f t="shared" si="37"/>
        <v>4Q24</v>
      </c>
      <c r="BL85" s="825">
        <v>30.2638</v>
      </c>
      <c r="BM85" s="368">
        <v>22.155899999999999</v>
      </c>
      <c r="BN85" s="368">
        <v>29.930800000000001</v>
      </c>
      <c r="BO85" s="368">
        <v>34.182600000000001</v>
      </c>
      <c r="BP85" s="368">
        <v>41.9773</v>
      </c>
      <c r="BQ85" s="826">
        <v>23.123699999999999</v>
      </c>
      <c r="BR85" s="368">
        <v>30.8675</v>
      </c>
      <c r="BS85" s="368">
        <v>23.690799999999999</v>
      </c>
      <c r="BT85" s="368">
        <v>30.488099999999999</v>
      </c>
      <c r="BU85" s="368">
        <v>36.9925</v>
      </c>
      <c r="BV85" s="368"/>
      <c r="BW85" s="826">
        <v>22.525300000000001</v>
      </c>
      <c r="BX85" s="368">
        <v>30.8675</v>
      </c>
      <c r="BY85" s="368">
        <v>23.690799999999999</v>
      </c>
      <c r="BZ85" s="368">
        <v>36.9925</v>
      </c>
      <c r="CA85" s="368">
        <v>28.607835024156401</v>
      </c>
      <c r="CB85" s="368">
        <v>84.2159687665729</v>
      </c>
      <c r="CC85" s="826">
        <v>15.6145</v>
      </c>
      <c r="CD85" s="368">
        <v>12.167999999999999</v>
      </c>
      <c r="CE85" s="368">
        <v>15.716100000000001</v>
      </c>
      <c r="CF85" s="368">
        <v>15.6145</v>
      </c>
      <c r="CG85" s="368">
        <v>15.6145</v>
      </c>
      <c r="CH85" s="368">
        <v>15.6145</v>
      </c>
      <c r="CI85" s="826">
        <v>15.6145</v>
      </c>
    </row>
    <row r="86" spans="1:87" ht="14.45" customHeight="1">
      <c r="A86" s="23"/>
      <c r="B86" s="23"/>
      <c r="C86" s="23"/>
      <c r="D86" s="23"/>
      <c r="E86" s="345"/>
      <c r="F86" s="345"/>
      <c r="G86" s="345"/>
      <c r="H86" s="345"/>
      <c r="I86" s="189">
        <f t="shared" ref="I86:I87" si="40">IF(I85=4,1,I85+1)</f>
        <v>1</v>
      </c>
      <c r="J86" s="461">
        <f t="shared" ref="J86:J87" si="41">IF(I86=1,J85+1,J85)</f>
        <v>2025</v>
      </c>
      <c r="K86" s="566" t="str">
        <f t="shared" si="25"/>
        <v>1Q25</v>
      </c>
      <c r="L86" s="825"/>
      <c r="M86" s="368"/>
      <c r="N86" s="368"/>
      <c r="O86" s="368"/>
      <c r="P86" s="368"/>
      <c r="Q86" s="826"/>
      <c r="R86" s="368">
        <v>15.6</v>
      </c>
      <c r="S86" s="368">
        <v>12.3</v>
      </c>
      <c r="T86" s="368">
        <v>27.1</v>
      </c>
      <c r="U86" s="368">
        <v>27.1</v>
      </c>
      <c r="V86" s="368">
        <v>21.2</v>
      </c>
      <c r="W86" s="826"/>
      <c r="X86" s="368"/>
      <c r="Y86" s="368"/>
      <c r="Z86" s="368"/>
      <c r="AA86" s="368"/>
      <c r="AB86" s="368"/>
      <c r="AC86" s="826"/>
      <c r="AD86" s="368"/>
      <c r="AE86" s="368"/>
      <c r="AF86" s="368"/>
      <c r="AG86" s="368"/>
      <c r="AH86" s="368"/>
      <c r="AI86" s="826"/>
      <c r="AJ86" s="23"/>
      <c r="AK86" s="599"/>
      <c r="AL86" s="825"/>
      <c r="AM86" s="368"/>
      <c r="AN86" s="368"/>
      <c r="AO86" s="368"/>
      <c r="AP86" s="368"/>
      <c r="AQ86" s="826"/>
      <c r="AR86" s="368"/>
      <c r="AS86" s="368"/>
      <c r="AT86" s="368"/>
      <c r="AU86" s="368"/>
      <c r="AV86" s="368"/>
      <c r="AW86" s="826"/>
      <c r="AX86" s="368"/>
      <c r="AY86" s="368"/>
      <c r="AZ86" s="368"/>
      <c r="BA86" s="368"/>
      <c r="BB86" s="368"/>
      <c r="BC86" s="826"/>
      <c r="BD86" s="368"/>
      <c r="BE86" s="368"/>
      <c r="BF86" s="368"/>
      <c r="BG86" s="368"/>
      <c r="BH86" s="368"/>
      <c r="BI86" s="826"/>
      <c r="BJ86" s="23"/>
      <c r="BK86" s="599"/>
      <c r="BL86" s="825"/>
      <c r="BM86" s="368"/>
      <c r="BN86" s="368"/>
      <c r="BO86" s="368"/>
      <c r="BP86" s="368"/>
      <c r="BQ86" s="826"/>
      <c r="BR86" s="368"/>
      <c r="BS86" s="368"/>
      <c r="BT86" s="368"/>
      <c r="BU86" s="368"/>
      <c r="BV86" s="368"/>
      <c r="BW86" s="826"/>
      <c r="BX86" s="368"/>
      <c r="BY86" s="368"/>
      <c r="BZ86" s="368"/>
      <c r="CA86" s="368"/>
      <c r="CB86" s="368"/>
      <c r="CC86" s="826"/>
      <c r="CD86" s="368"/>
      <c r="CE86" s="368"/>
      <c r="CF86" s="368"/>
      <c r="CG86" s="368"/>
      <c r="CH86" s="368"/>
      <c r="CI86" s="826"/>
    </row>
    <row r="87" spans="1:87" ht="14.45" customHeight="1">
      <c r="A87" s="23"/>
      <c r="B87" s="23"/>
      <c r="C87" s="23"/>
      <c r="D87" s="23"/>
      <c r="E87" s="345"/>
      <c r="F87" s="345"/>
      <c r="G87" s="345"/>
      <c r="H87" s="345"/>
      <c r="I87" s="189">
        <f t="shared" si="40"/>
        <v>2</v>
      </c>
      <c r="J87" s="461">
        <f t="shared" si="41"/>
        <v>2025</v>
      </c>
      <c r="K87" s="566" t="str">
        <f t="shared" si="25"/>
        <v>2Q25</v>
      </c>
      <c r="L87" s="825"/>
      <c r="M87" s="368"/>
      <c r="N87" s="368"/>
      <c r="O87" s="368"/>
      <c r="P87" s="368"/>
      <c r="Q87" s="826"/>
      <c r="R87" s="368">
        <v>23.9</v>
      </c>
      <c r="S87" s="368">
        <v>21.38</v>
      </c>
      <c r="T87" s="368">
        <v>25.45</v>
      </c>
      <c r="U87" s="368">
        <v>25.45</v>
      </c>
      <c r="V87" s="368">
        <v>30.45</v>
      </c>
      <c r="W87" s="826"/>
      <c r="X87" s="368"/>
      <c r="Y87" s="368"/>
      <c r="Z87" s="368"/>
      <c r="AA87" s="368"/>
      <c r="AB87" s="368"/>
      <c r="AC87" s="826"/>
      <c r="AD87" s="368"/>
      <c r="AE87" s="368"/>
      <c r="AF87" s="368"/>
      <c r="AG87" s="368"/>
      <c r="AH87" s="368"/>
      <c r="AI87" s="826"/>
      <c r="AJ87" s="23"/>
      <c r="AK87" s="599"/>
      <c r="AL87" s="825"/>
      <c r="AM87" s="368"/>
      <c r="AN87" s="368"/>
      <c r="AO87" s="368"/>
      <c r="AP87" s="368"/>
      <c r="AQ87" s="826"/>
      <c r="AR87" s="368"/>
      <c r="AS87" s="368"/>
      <c r="AT87" s="368"/>
      <c r="AU87" s="368"/>
      <c r="AV87" s="368"/>
      <c r="AW87" s="826"/>
      <c r="AX87" s="368"/>
      <c r="AY87" s="368"/>
      <c r="AZ87" s="368"/>
      <c r="BA87" s="368"/>
      <c r="BB87" s="368"/>
      <c r="BC87" s="826"/>
      <c r="BD87" s="368"/>
      <c r="BE87" s="368"/>
      <c r="BF87" s="368"/>
      <c r="BG87" s="368"/>
      <c r="BH87" s="368"/>
      <c r="BI87" s="826"/>
      <c r="BJ87" s="23"/>
      <c r="BK87" s="599"/>
      <c r="BL87" s="825"/>
      <c r="BM87" s="368"/>
      <c r="BN87" s="368"/>
      <c r="BO87" s="368"/>
      <c r="BP87" s="368"/>
      <c r="BQ87" s="826"/>
      <c r="BR87" s="368"/>
      <c r="BS87" s="368"/>
      <c r="BT87" s="368"/>
      <c r="BU87" s="368"/>
      <c r="BV87" s="368"/>
      <c r="BW87" s="826"/>
      <c r="BX87" s="368"/>
      <c r="BY87" s="368"/>
      <c r="BZ87" s="368"/>
      <c r="CA87" s="368"/>
      <c r="CB87" s="368"/>
      <c r="CC87" s="826"/>
      <c r="CD87" s="368"/>
      <c r="CE87" s="368"/>
      <c r="CF87" s="368"/>
      <c r="CG87" s="368"/>
      <c r="CH87" s="368"/>
      <c r="CI87" s="826"/>
    </row>
    <row r="88" spans="1:87" ht="14.45" customHeight="1" thickBot="1">
      <c r="A88" s="23"/>
      <c r="B88" s="23"/>
      <c r="C88" s="23" t="s">
        <v>444</v>
      </c>
      <c r="D88" s="23"/>
      <c r="E88" s="345">
        <f>AVERAGE(BM8:BQ19)</f>
        <v>25.08153198498405</v>
      </c>
      <c r="F88" s="345">
        <f>AVERAGE(BS8:BW19)</f>
        <v>19.390935509155117</v>
      </c>
      <c r="G88" s="345">
        <f>AVERAGE(BY8:CC19)</f>
        <v>9.9820368351702946</v>
      </c>
      <c r="H88" s="345" t="e">
        <f>AVERAGE(CE8:CI19)</f>
        <v>#DIV/0!</v>
      </c>
      <c r="I88" s="189"/>
      <c r="J88" s="461"/>
      <c r="K88" s="1063" t="s">
        <v>377</v>
      </c>
      <c r="L88" s="825">
        <v>16.600000000000001</v>
      </c>
      <c r="M88" s="368">
        <v>14.8</v>
      </c>
      <c r="N88" s="368">
        <v>18.3</v>
      </c>
      <c r="O88" s="368">
        <v>19.600000000000001</v>
      </c>
      <c r="P88" s="368">
        <v>19.2</v>
      </c>
      <c r="Q88" s="826">
        <f>MEDIAN(L88:P88)</f>
        <v>18.3</v>
      </c>
      <c r="R88" s="825">
        <v>16.600000000000001</v>
      </c>
      <c r="S88" s="368">
        <v>14.8</v>
      </c>
      <c r="T88" s="368">
        <v>18.3</v>
      </c>
      <c r="U88" s="368">
        <v>19.600000000000001</v>
      </c>
      <c r="V88" s="368">
        <v>19.2</v>
      </c>
      <c r="W88" s="826">
        <f>MEDIAN(R88:V88)</f>
        <v>18.3</v>
      </c>
      <c r="X88" s="368">
        <v>16.100000000000001</v>
      </c>
      <c r="Y88" s="368">
        <v>10.9</v>
      </c>
      <c r="Z88" s="368">
        <v>21.7</v>
      </c>
      <c r="AA88" s="368">
        <v>16</v>
      </c>
      <c r="AB88" s="368">
        <v>20.100000000000001</v>
      </c>
      <c r="AC88" s="826">
        <f>MEDIAN(X88:AB88)</f>
        <v>16.100000000000001</v>
      </c>
      <c r="AD88" s="368">
        <v>12.1</v>
      </c>
      <c r="AE88" s="368">
        <v>10.3</v>
      </c>
      <c r="AF88" s="1061">
        <v>14.98</v>
      </c>
      <c r="AG88" s="368">
        <v>13.5</v>
      </c>
      <c r="AH88" s="368">
        <v>15.8</v>
      </c>
      <c r="AI88" s="826">
        <f>MEDIAN(AD88:AH88)</f>
        <v>13.5</v>
      </c>
      <c r="AJ88" s="23"/>
      <c r="AK88" s="599" t="str">
        <f t="shared" si="36"/>
        <v>Current</v>
      </c>
      <c r="AL88" s="825">
        <v>24.4</v>
      </c>
      <c r="AM88" s="368">
        <v>15.6</v>
      </c>
      <c r="AN88" s="368">
        <v>30.3</v>
      </c>
      <c r="AO88" s="368">
        <v>28.1</v>
      </c>
      <c r="AP88" s="368">
        <v>26.9</v>
      </c>
      <c r="AQ88" s="826">
        <f>MEDIAN(AL88:AP88)</f>
        <v>26.9</v>
      </c>
      <c r="AR88" s="368">
        <v>18.399999999999999</v>
      </c>
      <c r="AS88" s="368">
        <v>14.9</v>
      </c>
      <c r="AT88" s="368">
        <v>24.1</v>
      </c>
      <c r="AU88" s="368">
        <v>24.8</v>
      </c>
      <c r="AV88" s="368">
        <v>23.6</v>
      </c>
      <c r="AW88" s="826">
        <f>MEDIAN(AR88:AV88)</f>
        <v>23.6</v>
      </c>
      <c r="AX88" s="368">
        <v>16.100000000000001</v>
      </c>
      <c r="AY88" s="368">
        <v>10.9</v>
      </c>
      <c r="AZ88" s="368">
        <v>21.7</v>
      </c>
      <c r="BA88" s="368">
        <v>16</v>
      </c>
      <c r="BB88" s="368">
        <v>20.100000000000001</v>
      </c>
      <c r="BC88" s="826">
        <f>MEDIAN(AX88:BB88)</f>
        <v>16.100000000000001</v>
      </c>
      <c r="BD88" s="368">
        <v>12.1</v>
      </c>
      <c r="BE88" s="368">
        <v>10.3</v>
      </c>
      <c r="BF88" s="1061">
        <v>14.98</v>
      </c>
      <c r="BG88" s="368">
        <v>13.5</v>
      </c>
      <c r="BH88" s="368">
        <v>15.8</v>
      </c>
      <c r="BI88" s="826">
        <f>MEDIAN(BD88:BH88)</f>
        <v>13.5</v>
      </c>
      <c r="BJ88" s="23"/>
      <c r="BK88" s="599" t="str">
        <f t="shared" si="37"/>
        <v>Current</v>
      </c>
      <c r="BL88" s="825">
        <v>24.4</v>
      </c>
      <c r="BM88" s="368">
        <v>15.6</v>
      </c>
      <c r="BN88" s="368">
        <v>30.3</v>
      </c>
      <c r="BO88" s="368">
        <v>28.1</v>
      </c>
      <c r="BP88" s="368">
        <v>26.9</v>
      </c>
      <c r="BQ88" s="826">
        <f>MEDIAN(BL88:BP88)</f>
        <v>26.9</v>
      </c>
      <c r="BR88" s="368">
        <v>18.399999999999999</v>
      </c>
      <c r="BS88" s="368">
        <v>14.9</v>
      </c>
      <c r="BT88" s="368">
        <v>24.1</v>
      </c>
      <c r="BU88" s="368">
        <v>24.8</v>
      </c>
      <c r="BV88" s="368">
        <v>23.6</v>
      </c>
      <c r="BW88" s="826">
        <f>MEDIAN(BR88:BV88)</f>
        <v>23.6</v>
      </c>
      <c r="BX88" s="368">
        <v>16.100000000000001</v>
      </c>
      <c r="BY88" s="368">
        <v>10.9</v>
      </c>
      <c r="BZ88" s="368">
        <v>21.7</v>
      </c>
      <c r="CA88" s="368">
        <v>16</v>
      </c>
      <c r="CB88" s="368">
        <v>20.100000000000001</v>
      </c>
      <c r="CC88" s="826">
        <f>MEDIAN(BX88:CB88)</f>
        <v>16.100000000000001</v>
      </c>
      <c r="CD88" s="368">
        <v>12.1</v>
      </c>
      <c r="CE88" s="368">
        <v>10.3</v>
      </c>
      <c r="CF88" s="1061">
        <v>14.98</v>
      </c>
      <c r="CG88" s="368">
        <v>13.5</v>
      </c>
      <c r="CH88" s="368">
        <v>15.8</v>
      </c>
      <c r="CI88" s="826">
        <f>MEDIAN(CD88:CH88)</f>
        <v>13.5</v>
      </c>
    </row>
    <row r="89" spans="1:87" ht="14.45" customHeight="1">
      <c r="A89" s="23"/>
      <c r="B89" s="23"/>
      <c r="C89" s="23" t="s">
        <v>445</v>
      </c>
      <c r="D89" s="23"/>
      <c r="E89" s="345">
        <f>AVERAGE(BM16:BQ27)</f>
        <v>16.855510192182262</v>
      </c>
      <c r="F89" s="345">
        <f>AVERAGE(BS16:BW27)</f>
        <v>16.195028889155573</v>
      </c>
      <c r="G89" s="345">
        <f>AVERAGE(BY16:CC27)</f>
        <v>10.485944434620379</v>
      </c>
      <c r="H89" s="345">
        <f>AVERAGE(CE16:CI27)</f>
        <v>10.278506200183173</v>
      </c>
      <c r="I89" s="189"/>
      <c r="J89" s="461"/>
      <c r="K89" s="189"/>
      <c r="L89" s="462"/>
      <c r="M89" s="462"/>
      <c r="N89" s="462"/>
      <c r="O89" s="462"/>
      <c r="P89" s="462"/>
      <c r="Q89" s="462"/>
      <c r="R89" s="1059"/>
      <c r="S89" s="1059"/>
      <c r="T89" s="1059"/>
      <c r="U89" s="1059"/>
      <c r="V89" s="1059"/>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row>
    <row r="90" spans="1:87" ht="14.45" customHeight="1">
      <c r="A90" s="23"/>
      <c r="B90" s="23"/>
      <c r="C90" s="23" t="s">
        <v>446</v>
      </c>
      <c r="D90" s="23"/>
      <c r="E90" s="345">
        <f>AVERAGE(BM24:BQ35)</f>
        <v>14.892234450874573</v>
      </c>
      <c r="F90" s="345">
        <f>AVERAGE(BS24:BW35)</f>
        <v>14.540423109972403</v>
      </c>
      <c r="G90" s="345">
        <f>AVERAGE(BY24:CC35)</f>
        <v>8.8701398491107799</v>
      </c>
      <c r="H90" s="345">
        <f>AVERAGE(CE24:CI35)</f>
        <v>8.9448678093886382</v>
      </c>
      <c r="I90" s="189"/>
      <c r="J90" s="23"/>
      <c r="K90" s="189"/>
      <c r="L90" s="462"/>
      <c r="M90" s="462"/>
      <c r="N90" s="462"/>
      <c r="O90" s="462"/>
      <c r="P90" s="462"/>
      <c r="Q90" s="462"/>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row>
    <row r="91" spans="1:87" ht="14.45" customHeight="1">
      <c r="A91" s="23"/>
      <c r="B91" s="23"/>
      <c r="C91" s="23" t="s">
        <v>411</v>
      </c>
      <c r="D91" s="23"/>
      <c r="E91" s="345">
        <f>AVERAGE(BM36:BQ75)</f>
        <v>27.20363279358067</v>
      </c>
      <c r="F91" s="345">
        <f>AVERAGE(BS36:BW75)</f>
        <v>15.825453469779573</v>
      </c>
      <c r="G91" s="345">
        <f>AVERAGE(BY36:CC75)</f>
        <v>10.073825521986931</v>
      </c>
      <c r="H91" s="345">
        <f>AVERAGE(CE36:CI75)</f>
        <v>9.1998691858290744</v>
      </c>
      <c r="I91" s="345"/>
      <c r="J91" s="23"/>
      <c r="K91" s="189"/>
      <c r="L91" s="462"/>
      <c r="M91" s="462"/>
      <c r="N91" s="462"/>
      <c r="O91" s="462"/>
      <c r="P91" s="462"/>
      <c r="Q91" s="462"/>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row>
    <row r="92" spans="1:87" ht="14.45" customHeight="1">
      <c r="A92" s="23"/>
      <c r="B92" s="23"/>
      <c r="C92" s="23" t="s">
        <v>447</v>
      </c>
      <c r="D92" s="23"/>
      <c r="E92" s="345">
        <f>AVERAGE(BM36:BQ51)</f>
        <v>15.126464651316216</v>
      </c>
      <c r="F92" s="345">
        <f>AVERAGE(BS36:BW51)</f>
        <v>14.603483940485029</v>
      </c>
      <c r="G92" s="345">
        <f>AVERAGE(BY36:CC51)</f>
        <v>8.1705656986356576</v>
      </c>
      <c r="H92" s="345">
        <f>AVERAGE(CE36:CI51)</f>
        <v>7.7150307167356171</v>
      </c>
      <c r="I92" s="345"/>
      <c r="J92" s="23"/>
      <c r="K92" s="189"/>
      <c r="L92" s="462"/>
      <c r="M92" s="462"/>
      <c r="N92" s="462"/>
      <c r="O92" s="462"/>
      <c r="P92" s="462"/>
      <c r="Q92" s="462"/>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row>
    <row r="93" spans="1:87" ht="14.45" customHeight="1">
      <c r="A93" s="23"/>
      <c r="B93" s="23"/>
      <c r="C93" s="23" t="s">
        <v>448</v>
      </c>
      <c r="D93" s="23"/>
      <c r="E93" s="345">
        <f>AVERAGE(BM48:BQ63)</f>
        <v>15.360279171429923</v>
      </c>
      <c r="F93" s="345">
        <f>AVERAGE(BS48:BW63)</f>
        <v>14.410938400731766</v>
      </c>
      <c r="G93" s="345">
        <f>AVERAGE(BY48:CC63)</f>
        <v>9.4643020224305161</v>
      </c>
      <c r="H93" s="345">
        <f>AVERAGE(CE48:CI63)</f>
        <v>8.4730114987941256</v>
      </c>
      <c r="I93" s="345"/>
      <c r="J93" s="23"/>
      <c r="K93" s="189"/>
      <c r="L93" s="462"/>
      <c r="M93" s="462"/>
      <c r="N93" s="462"/>
      <c r="O93" s="462"/>
      <c r="P93" s="462"/>
      <c r="Q93" s="462"/>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row>
    <row r="94" spans="1:87" ht="14.45" customHeight="1">
      <c r="A94" s="23"/>
      <c r="B94" s="23"/>
      <c r="C94" s="23" t="s">
        <v>449</v>
      </c>
      <c r="D94" s="23"/>
      <c r="E94" s="345">
        <f>AVERAGE(BM60:BQ75)</f>
        <v>45.381556695035108</v>
      </c>
      <c r="F94" s="345">
        <f>AVERAGE(BS60:BW75)</f>
        <v>17.693592589074591</v>
      </c>
      <c r="G94" s="345">
        <f>AVERAGE(BY60:CC75)</f>
        <v>12.404240663294244</v>
      </c>
      <c r="H94" s="345">
        <f>AVERAGE(CE60:CI75)</f>
        <v>11.046036788960452</v>
      </c>
      <c r="I94" s="345"/>
      <c r="J94" s="23"/>
      <c r="K94" s="189"/>
      <c r="L94" s="462"/>
      <c r="M94" s="462"/>
      <c r="N94" s="462"/>
      <c r="O94" s="462"/>
      <c r="P94" s="462"/>
      <c r="Q94" s="462"/>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row>
    <row r="95" spans="1:87" ht="14.45" customHeight="1">
      <c r="A95" s="23"/>
      <c r="B95" s="23"/>
      <c r="C95" s="23"/>
      <c r="D95" s="23"/>
      <c r="E95" s="23"/>
      <c r="F95" s="23"/>
      <c r="G95" s="23"/>
      <c r="H95" s="23"/>
      <c r="I95" s="23"/>
      <c r="J95" s="23"/>
      <c r="K95" s="189"/>
      <c r="L95" s="462"/>
      <c r="M95" s="462"/>
      <c r="N95" s="462"/>
      <c r="O95" s="462"/>
      <c r="P95" s="462"/>
      <c r="Q95" s="462"/>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row>
    <row r="96" spans="1:87" ht="14.45" customHeight="1">
      <c r="A96" s="22" t="s">
        <v>1</v>
      </c>
      <c r="B96" s="23"/>
      <c r="C96" s="23"/>
      <c r="D96" s="23"/>
      <c r="E96" s="23"/>
      <c r="F96" s="23"/>
      <c r="G96" s="23"/>
      <c r="H96" s="23"/>
      <c r="I96" s="23"/>
      <c r="J96" s="23"/>
      <c r="K96" s="189"/>
      <c r="L96" s="462"/>
      <c r="M96" s="462"/>
      <c r="N96" s="462"/>
      <c r="O96" s="462"/>
      <c r="P96" s="462"/>
      <c r="Q96" s="462"/>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row>
    <row r="97" spans="1:87" ht="14.45" customHeight="1">
      <c r="A97" s="23"/>
      <c r="B97" s="23"/>
      <c r="C97" s="23"/>
      <c r="D97" s="23"/>
      <c r="E97" s="23"/>
      <c r="F97" s="23"/>
      <c r="G97" s="23"/>
      <c r="H97" s="23"/>
      <c r="I97" s="23"/>
      <c r="J97" s="23"/>
      <c r="K97" s="189"/>
      <c r="L97" s="462"/>
      <c r="M97" s="462"/>
      <c r="N97" s="462"/>
      <c r="O97" s="462"/>
      <c r="P97" s="462"/>
      <c r="Q97" s="462"/>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row>
    <row r="98" spans="1:87" ht="14.45" customHeight="1">
      <c r="A98" s="23"/>
      <c r="B98" s="23"/>
      <c r="C98" s="23"/>
      <c r="D98" s="23"/>
      <c r="E98" s="23"/>
      <c r="F98" s="23"/>
      <c r="G98" s="23"/>
      <c r="H98" s="23"/>
      <c r="I98" s="23"/>
      <c r="J98" s="23"/>
      <c r="K98" s="189"/>
      <c r="L98" s="462"/>
      <c r="M98" s="462"/>
      <c r="N98" s="462"/>
      <c r="O98" s="462"/>
      <c r="P98" s="462"/>
      <c r="Q98" s="462"/>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row>
    <row r="99" spans="1:87" ht="14.45" customHeight="1">
      <c r="A99" s="23"/>
      <c r="B99" s="23"/>
      <c r="C99" s="23"/>
      <c r="D99" s="23"/>
      <c r="E99" s="23"/>
      <c r="F99" s="23"/>
      <c r="G99" s="23"/>
      <c r="H99" s="23"/>
      <c r="I99" s="23"/>
      <c r="J99" s="23"/>
      <c r="K99" s="189"/>
      <c r="L99" s="462"/>
      <c r="M99" s="462"/>
      <c r="N99" s="462"/>
      <c r="O99" s="462"/>
      <c r="P99" s="462"/>
      <c r="Q99" s="462"/>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row>
    <row r="100" spans="1:87" ht="14.45" customHeight="1">
      <c r="A100" s="23"/>
      <c r="B100" s="23"/>
      <c r="C100" s="23"/>
      <c r="D100" s="23"/>
      <c r="E100" s="23"/>
      <c r="F100" s="23"/>
      <c r="G100" s="23"/>
      <c r="H100" s="23"/>
      <c r="I100" s="23"/>
      <c r="J100" s="23"/>
      <c r="K100" s="189"/>
      <c r="L100" s="462"/>
      <c r="M100" s="462"/>
      <c r="N100" s="462"/>
      <c r="O100" s="462"/>
      <c r="P100" s="462"/>
      <c r="Q100" s="462"/>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row>
    <row r="101" spans="1:87" ht="14.45" customHeight="1">
      <c r="A101" s="23"/>
      <c r="B101" s="23"/>
      <c r="C101" s="23"/>
      <c r="D101" s="23"/>
      <c r="E101" s="23"/>
      <c r="F101" s="23"/>
      <c r="G101" s="23"/>
      <c r="H101" s="23"/>
      <c r="I101" s="23"/>
      <c r="J101" s="23"/>
      <c r="K101" s="189"/>
      <c r="L101" s="462"/>
      <c r="M101" s="462"/>
      <c r="N101" s="462"/>
      <c r="O101" s="462"/>
      <c r="P101" s="462"/>
      <c r="Q101" s="462"/>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row>
    <row r="102" spans="1:87" ht="14.45" customHeight="1">
      <c r="A102" s="23"/>
      <c r="B102" s="23"/>
      <c r="C102" s="23"/>
      <c r="D102" s="23"/>
      <c r="E102" s="23"/>
      <c r="F102" s="23"/>
      <c r="G102" s="23"/>
      <c r="H102" s="23"/>
      <c r="I102" s="23"/>
      <c r="J102" s="23"/>
      <c r="K102" s="189"/>
      <c r="L102" s="462"/>
      <c r="M102" s="462"/>
      <c r="N102" s="462"/>
      <c r="O102" s="462"/>
      <c r="P102" s="462"/>
      <c r="Q102" s="46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row>
    <row r="103" spans="1:87" ht="14.45" customHeight="1">
      <c r="A103" s="23"/>
      <c r="B103" s="23"/>
      <c r="C103" s="23"/>
      <c r="D103" s="23"/>
      <c r="E103" s="23"/>
      <c r="F103" s="23"/>
      <c r="G103" s="23"/>
      <c r="H103" s="23"/>
      <c r="I103" s="23"/>
      <c r="J103" s="23"/>
      <c r="K103" s="189"/>
      <c r="L103" s="462"/>
      <c r="M103" s="462"/>
      <c r="N103" s="462"/>
      <c r="O103" s="462"/>
      <c r="P103" s="462"/>
      <c r="Q103" s="462"/>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row>
    <row r="104" spans="1:87" ht="14.45" customHeight="1">
      <c r="A104" s="23"/>
      <c r="B104" s="23"/>
      <c r="C104" s="23"/>
      <c r="D104" s="23"/>
      <c r="E104" s="23"/>
      <c r="F104" s="23"/>
      <c r="G104" s="23"/>
      <c r="H104" s="23"/>
      <c r="I104" s="23"/>
      <c r="J104" s="23"/>
      <c r="K104" s="189"/>
      <c r="L104" s="462"/>
      <c r="M104" s="462"/>
      <c r="N104" s="462"/>
      <c r="O104" s="462"/>
      <c r="P104" s="462"/>
      <c r="Q104" s="462"/>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row>
    <row r="105" spans="1:87" ht="14.45" customHeight="1">
      <c r="A105" s="23"/>
      <c r="B105" s="23"/>
      <c r="C105" s="23"/>
      <c r="D105" s="23"/>
      <c r="E105" s="23"/>
      <c r="F105" s="23"/>
      <c r="G105" s="23"/>
      <c r="H105" s="23"/>
      <c r="I105" s="23"/>
      <c r="J105" s="23"/>
      <c r="K105" s="189"/>
      <c r="L105" s="462"/>
      <c r="M105" s="462"/>
      <c r="N105" s="462"/>
      <c r="O105" s="462"/>
      <c r="P105" s="462"/>
      <c r="Q105" s="462"/>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row>
    <row r="106" spans="1:87" ht="14.45" customHeight="1">
      <c r="A106" s="23"/>
      <c r="B106" s="23"/>
      <c r="C106" s="23"/>
      <c r="D106" s="23"/>
      <c r="E106" s="23"/>
      <c r="F106" s="23"/>
      <c r="G106" s="23"/>
      <c r="H106" s="23"/>
      <c r="I106" s="23"/>
      <c r="J106" s="23"/>
      <c r="K106" s="189"/>
      <c r="L106" s="462"/>
      <c r="M106" s="462"/>
      <c r="N106" s="462"/>
      <c r="O106" s="462"/>
      <c r="P106" s="462"/>
      <c r="Q106" s="462"/>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row>
    <row r="107" spans="1:87" ht="14.45" customHeight="1">
      <c r="A107" s="23"/>
      <c r="B107" s="23"/>
      <c r="C107" s="23"/>
      <c r="D107" s="23"/>
      <c r="E107" s="23"/>
      <c r="F107" s="23"/>
      <c r="G107" s="23"/>
      <c r="H107" s="23"/>
      <c r="I107" s="23"/>
      <c r="J107" s="23"/>
      <c r="K107" s="189"/>
      <c r="L107" s="462"/>
      <c r="M107" s="462"/>
      <c r="N107" s="462"/>
      <c r="O107" s="462"/>
      <c r="P107" s="462"/>
      <c r="Q107" s="462"/>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row>
    <row r="108" spans="1:87" ht="14.45" customHeight="1">
      <c r="A108" s="23"/>
      <c r="B108" s="23"/>
      <c r="C108" s="23"/>
      <c r="D108" s="23"/>
      <c r="E108" s="23"/>
      <c r="F108" s="23"/>
      <c r="G108" s="23"/>
      <c r="H108" s="23"/>
      <c r="I108" s="23"/>
      <c r="J108" s="23"/>
      <c r="K108" s="189"/>
      <c r="L108" s="462"/>
      <c r="M108" s="462"/>
      <c r="N108" s="462"/>
      <c r="O108" s="462"/>
      <c r="P108" s="462"/>
      <c r="Q108" s="462"/>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row>
    <row r="109" spans="1:87" ht="14.45" customHeight="1">
      <c r="A109" s="23"/>
      <c r="B109" s="23"/>
      <c r="C109" s="23"/>
      <c r="D109" s="23"/>
      <c r="E109" s="23"/>
      <c r="F109" s="23"/>
      <c r="G109" s="23"/>
      <c r="H109" s="23"/>
      <c r="I109" s="23"/>
      <c r="J109" s="23"/>
      <c r="K109" s="189"/>
      <c r="L109" s="462"/>
      <c r="M109" s="462"/>
      <c r="N109" s="462"/>
      <c r="O109" s="462"/>
      <c r="P109" s="462"/>
      <c r="Q109" s="462"/>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row>
    <row r="110" spans="1:87" ht="14.45" customHeight="1">
      <c r="A110" s="23"/>
      <c r="B110" s="23"/>
      <c r="C110" s="23"/>
      <c r="D110" s="23"/>
      <c r="E110" s="23"/>
      <c r="F110" s="23"/>
      <c r="G110" s="23"/>
      <c r="H110" s="23"/>
      <c r="I110" s="23"/>
      <c r="J110" s="23"/>
      <c r="K110" s="189"/>
      <c r="L110" s="462"/>
      <c r="M110" s="462"/>
      <c r="N110" s="462"/>
      <c r="O110" s="462"/>
      <c r="P110" s="462"/>
      <c r="Q110" s="462"/>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row>
    <row r="111" spans="1:87" ht="14.45" customHeight="1">
      <c r="A111" s="23"/>
      <c r="B111" s="23"/>
      <c r="C111" s="23"/>
      <c r="D111" s="23"/>
      <c r="E111" s="23"/>
      <c r="F111" s="23"/>
      <c r="G111" s="23"/>
      <c r="H111" s="23"/>
      <c r="I111" s="23"/>
      <c r="J111" s="23"/>
      <c r="K111" s="189"/>
      <c r="L111" s="462"/>
      <c r="M111" s="462"/>
      <c r="N111" s="462"/>
      <c r="O111" s="462"/>
      <c r="P111" s="462"/>
      <c r="Q111" s="462"/>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row>
    <row r="112" spans="1:87" ht="14.45" customHeight="1">
      <c r="A112" s="23"/>
      <c r="B112" s="23"/>
      <c r="C112" s="23"/>
      <c r="D112" s="23"/>
      <c r="E112" s="23"/>
      <c r="F112" s="23"/>
      <c r="G112" s="23"/>
      <c r="H112" s="23"/>
      <c r="I112" s="23"/>
      <c r="J112" s="23"/>
      <c r="K112" s="189"/>
      <c r="L112" s="462"/>
      <c r="M112" s="462"/>
      <c r="N112" s="462"/>
      <c r="O112" s="462"/>
      <c r="P112" s="462"/>
      <c r="Q112" s="462"/>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row>
    <row r="113" spans="1:87" ht="14.45" customHeight="1">
      <c r="A113" s="23"/>
      <c r="B113" s="23"/>
      <c r="C113" s="23"/>
      <c r="D113" s="23"/>
      <c r="E113" s="23"/>
      <c r="F113" s="23"/>
      <c r="G113" s="23"/>
      <c r="H113" s="23"/>
      <c r="I113" s="23"/>
      <c r="J113" s="23"/>
      <c r="K113" s="189"/>
      <c r="L113" s="462"/>
      <c r="M113" s="462"/>
      <c r="N113" s="462"/>
      <c r="O113" s="462"/>
      <c r="P113" s="462"/>
      <c r="Q113" s="462"/>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row>
    <row r="114" spans="1:87" ht="14.45" customHeight="1">
      <c r="A114" s="23"/>
      <c r="B114" s="23"/>
      <c r="C114" s="23"/>
      <c r="D114" s="23"/>
      <c r="E114" s="23"/>
      <c r="F114" s="23"/>
      <c r="G114" s="23"/>
      <c r="H114" s="23"/>
      <c r="I114" s="23"/>
      <c r="J114" s="23"/>
      <c r="K114" s="189"/>
      <c r="L114" s="462"/>
      <c r="M114" s="462"/>
      <c r="N114" s="462"/>
      <c r="O114" s="462"/>
      <c r="P114" s="462"/>
      <c r="Q114" s="462"/>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row>
    <row r="115" spans="1:87" ht="14.45" customHeight="1">
      <c r="A115" s="23"/>
      <c r="B115" s="23"/>
      <c r="C115" s="23"/>
      <c r="D115" s="23"/>
      <c r="E115" s="23"/>
      <c r="F115" s="23"/>
      <c r="G115" s="23"/>
      <c r="H115" s="23"/>
      <c r="I115" s="23"/>
      <c r="J115" s="23"/>
      <c r="K115" s="189"/>
      <c r="L115" s="462"/>
      <c r="M115" s="462"/>
      <c r="N115" s="462"/>
      <c r="O115" s="462"/>
      <c r="P115" s="462"/>
      <c r="Q115" s="462"/>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row>
    <row r="116" spans="1:87" ht="14.45" customHeight="1">
      <c r="A116" s="23"/>
      <c r="B116" s="23"/>
      <c r="C116" s="23"/>
      <c r="D116" s="23"/>
      <c r="E116" s="23"/>
      <c r="F116" s="23"/>
      <c r="G116" s="23"/>
      <c r="H116" s="23"/>
      <c r="I116" s="23"/>
      <c r="J116" s="23"/>
      <c r="K116" s="189"/>
      <c r="L116" s="462"/>
      <c r="M116" s="462"/>
      <c r="N116" s="462"/>
      <c r="O116" s="462"/>
      <c r="P116" s="462"/>
      <c r="Q116" s="462"/>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row>
    <row r="117" spans="1:87" ht="14.45" customHeight="1">
      <c r="A117" s="23"/>
      <c r="B117" s="23"/>
      <c r="C117" s="23"/>
      <c r="D117" s="23"/>
      <c r="E117" s="23"/>
      <c r="F117" s="23"/>
      <c r="G117" s="23"/>
      <c r="H117" s="23"/>
      <c r="I117" s="23"/>
      <c r="J117" s="23"/>
      <c r="K117" s="189"/>
      <c r="L117" s="462"/>
      <c r="M117" s="462"/>
      <c r="N117" s="462"/>
      <c r="O117" s="462"/>
      <c r="P117" s="462"/>
      <c r="Q117" s="462"/>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row>
    <row r="118" spans="1:87" ht="14.45" customHeight="1">
      <c r="A118" s="23"/>
      <c r="B118" s="23"/>
      <c r="C118" s="23"/>
      <c r="D118" s="23"/>
      <c r="E118" s="23"/>
      <c r="F118" s="23"/>
      <c r="G118" s="23"/>
      <c r="H118" s="23"/>
      <c r="I118" s="23"/>
      <c r="J118" s="23"/>
      <c r="K118" s="189"/>
      <c r="L118" s="462"/>
      <c r="M118" s="462"/>
      <c r="N118" s="462"/>
      <c r="O118" s="462"/>
      <c r="P118" s="462"/>
      <c r="Q118" s="462"/>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row>
    <row r="119" spans="1:87" ht="14.45" customHeight="1">
      <c r="A119" s="23"/>
      <c r="B119" s="23"/>
      <c r="C119" s="23"/>
      <c r="D119" s="23"/>
      <c r="E119" s="23"/>
      <c r="F119" s="23"/>
      <c r="G119" s="23"/>
      <c r="H119" s="23"/>
      <c r="I119" s="23"/>
      <c r="J119" s="23"/>
      <c r="K119" s="189"/>
      <c r="L119" s="462"/>
      <c r="M119" s="462"/>
      <c r="N119" s="462"/>
      <c r="O119" s="462"/>
      <c r="P119" s="462"/>
      <c r="Q119" s="462"/>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row>
    <row r="120" spans="1:87" ht="14.45" customHeight="1">
      <c r="A120" s="23"/>
      <c r="B120" s="23"/>
      <c r="C120" s="23"/>
      <c r="D120" s="23"/>
      <c r="E120" s="23"/>
      <c r="F120" s="23"/>
      <c r="G120" s="23"/>
      <c r="H120" s="23"/>
      <c r="I120" s="23"/>
      <c r="J120" s="23"/>
      <c r="K120" s="189"/>
      <c r="L120" s="462"/>
      <c r="M120" s="462"/>
      <c r="N120" s="462"/>
      <c r="O120" s="462"/>
      <c r="P120" s="462"/>
      <c r="Q120" s="462"/>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row>
    <row r="121" spans="1:87" ht="14.45" customHeight="1">
      <c r="A121" s="23"/>
      <c r="B121" s="23"/>
      <c r="C121" s="23"/>
      <c r="D121" s="23"/>
      <c r="E121" s="23"/>
      <c r="F121" s="23"/>
      <c r="G121" s="23"/>
      <c r="H121" s="23"/>
      <c r="I121" s="23"/>
      <c r="J121" s="23"/>
      <c r="K121" s="189"/>
      <c r="L121" s="462"/>
      <c r="M121" s="462"/>
      <c r="N121" s="462"/>
      <c r="O121" s="462"/>
      <c r="P121" s="462"/>
      <c r="Q121" s="462"/>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row>
    <row r="122" spans="1:87" ht="14.45" customHeight="1">
      <c r="A122" s="23"/>
      <c r="B122" s="23"/>
      <c r="C122" s="23"/>
      <c r="D122" s="23"/>
      <c r="E122" s="23"/>
      <c r="F122" s="23"/>
      <c r="G122" s="23"/>
      <c r="H122" s="23"/>
      <c r="I122" s="23"/>
      <c r="J122" s="23"/>
      <c r="K122" s="189"/>
      <c r="L122" s="462"/>
      <c r="M122" s="462"/>
      <c r="N122" s="462"/>
      <c r="O122" s="462"/>
      <c r="P122" s="462"/>
      <c r="Q122" s="462"/>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row>
    <row r="123" spans="1:87" ht="14.45" customHeight="1">
      <c r="A123" s="23"/>
      <c r="B123" s="23"/>
      <c r="C123" s="23"/>
      <c r="D123" s="23"/>
      <c r="E123" s="23"/>
      <c r="F123" s="23"/>
      <c r="G123" s="23"/>
      <c r="H123" s="23"/>
      <c r="I123" s="23"/>
      <c r="J123" s="23"/>
      <c r="K123" s="189"/>
      <c r="L123" s="462"/>
      <c r="M123" s="462"/>
      <c r="N123" s="462"/>
      <c r="O123" s="462"/>
      <c r="P123" s="462"/>
      <c r="Q123" s="462"/>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row>
    <row r="124" spans="1:87" ht="14.45" customHeight="1">
      <c r="A124" s="23"/>
      <c r="B124" s="23"/>
      <c r="C124" s="23"/>
      <c r="D124" s="23"/>
      <c r="E124" s="23"/>
      <c r="F124" s="23"/>
      <c r="G124" s="23"/>
      <c r="H124" s="23"/>
      <c r="I124" s="23"/>
      <c r="J124" s="23"/>
      <c r="K124" s="189"/>
      <c r="L124" s="462"/>
      <c r="M124" s="462"/>
      <c r="N124" s="462"/>
      <c r="O124" s="462"/>
      <c r="P124" s="462"/>
      <c r="Q124" s="462"/>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row>
    <row r="125" spans="1:87" ht="14.45" customHeight="1">
      <c r="A125" s="23"/>
      <c r="B125" s="23"/>
      <c r="C125" s="23"/>
      <c r="D125" s="23"/>
      <c r="E125" s="23"/>
      <c r="F125" s="23"/>
      <c r="G125" s="23"/>
      <c r="H125" s="23"/>
      <c r="I125" s="23"/>
      <c r="J125" s="23"/>
      <c r="K125" s="189"/>
      <c r="L125" s="462"/>
      <c r="M125" s="462"/>
      <c r="N125" s="462"/>
      <c r="O125" s="462"/>
      <c r="P125" s="462"/>
      <c r="Q125" s="462"/>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row>
    <row r="126" spans="1:87" ht="14.45" customHeight="1">
      <c r="A126" s="23"/>
      <c r="B126" s="23"/>
      <c r="C126" s="23"/>
      <c r="D126" s="23"/>
      <c r="E126" s="23"/>
      <c r="F126" s="23"/>
      <c r="G126" s="23"/>
      <c r="H126" s="23"/>
      <c r="I126" s="23"/>
      <c r="J126" s="23"/>
      <c r="K126" s="189"/>
      <c r="L126" s="462"/>
      <c r="M126" s="462"/>
      <c r="N126" s="462"/>
      <c r="O126" s="462"/>
      <c r="P126" s="462"/>
      <c r="Q126" s="462"/>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row>
    <row r="127" spans="1:87" ht="14.45" customHeight="1">
      <c r="A127" s="23"/>
      <c r="B127" s="23"/>
      <c r="C127" s="23"/>
      <c r="D127" s="23"/>
      <c r="E127" s="23"/>
      <c r="F127" s="23"/>
      <c r="G127" s="23"/>
      <c r="H127" s="23"/>
      <c r="I127" s="23"/>
      <c r="J127" s="23"/>
      <c r="K127" s="189"/>
      <c r="L127" s="462"/>
      <c r="M127" s="462"/>
      <c r="N127" s="462"/>
      <c r="O127" s="462"/>
      <c r="P127" s="462"/>
      <c r="Q127" s="462"/>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row>
    <row r="128" spans="1:87" ht="14.45" customHeight="1">
      <c r="A128" s="23"/>
      <c r="B128" s="23"/>
      <c r="C128" s="23"/>
      <c r="D128" s="23"/>
      <c r="E128" s="23"/>
      <c r="F128" s="23"/>
      <c r="G128" s="23"/>
      <c r="H128" s="23"/>
      <c r="I128" s="23"/>
      <c r="J128" s="23"/>
      <c r="K128" s="189"/>
      <c r="L128" s="462"/>
      <c r="M128" s="462"/>
      <c r="N128" s="462"/>
      <c r="O128" s="462"/>
      <c r="P128" s="462"/>
      <c r="Q128" s="462"/>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row>
    <row r="129" spans="1:87" ht="14.45" customHeight="1">
      <c r="A129" s="23"/>
      <c r="B129" s="23"/>
      <c r="C129" s="23"/>
      <c r="D129" s="23"/>
      <c r="E129" s="23"/>
      <c r="F129" s="23"/>
      <c r="G129" s="23"/>
      <c r="H129" s="23"/>
      <c r="I129" s="23"/>
      <c r="J129" s="23"/>
      <c r="K129" s="189"/>
      <c r="L129" s="462"/>
      <c r="M129" s="462"/>
      <c r="N129" s="462"/>
      <c r="O129" s="462"/>
      <c r="P129" s="462"/>
      <c r="Q129" s="462"/>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row>
    <row r="130" spans="1:87" ht="14.45" customHeight="1">
      <c r="A130" s="23"/>
      <c r="B130" s="23"/>
      <c r="C130" s="23"/>
      <c r="D130" s="23"/>
      <c r="E130" s="23"/>
      <c r="F130" s="23"/>
      <c r="G130" s="23"/>
      <c r="H130" s="23"/>
      <c r="I130" s="23"/>
      <c r="J130" s="23"/>
      <c r="K130" s="189"/>
      <c r="L130" s="462"/>
      <c r="M130" s="462"/>
      <c r="N130" s="462"/>
      <c r="O130" s="462"/>
      <c r="P130" s="462"/>
      <c r="Q130" s="462"/>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row>
    <row r="131" spans="1:87" ht="14.45" customHeight="1">
      <c r="A131" s="23"/>
      <c r="B131" s="23"/>
      <c r="C131" s="23"/>
      <c r="D131" s="23"/>
      <c r="E131" s="23"/>
      <c r="F131" s="23"/>
      <c r="G131" s="23"/>
      <c r="H131" s="23"/>
      <c r="I131" s="23"/>
      <c r="J131" s="23"/>
      <c r="K131" s="189"/>
      <c r="L131" s="462"/>
      <c r="M131" s="462"/>
      <c r="N131" s="462"/>
      <c r="O131" s="462"/>
      <c r="P131" s="462"/>
      <c r="Q131" s="462"/>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row>
    <row r="132" spans="1:87" ht="14.45" customHeight="1">
      <c r="A132" s="23"/>
      <c r="B132" s="23"/>
      <c r="C132" s="23"/>
      <c r="D132" s="23"/>
      <c r="E132" s="23"/>
      <c r="F132" s="23"/>
      <c r="G132" s="23"/>
      <c r="H132" s="23"/>
      <c r="I132" s="23"/>
      <c r="J132" s="23"/>
      <c r="K132" s="189"/>
      <c r="L132" s="462"/>
      <c r="M132" s="462"/>
      <c r="N132" s="462"/>
      <c r="O132" s="462"/>
      <c r="P132" s="462"/>
      <c r="Q132" s="462"/>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row>
    <row r="133" spans="1:87" ht="14.45" customHeight="1">
      <c r="A133" s="23"/>
      <c r="B133" s="23"/>
      <c r="C133" s="23"/>
      <c r="D133" s="23"/>
      <c r="E133" s="23"/>
      <c r="F133" s="23"/>
      <c r="G133" s="23"/>
      <c r="H133" s="23"/>
      <c r="I133" s="23"/>
      <c r="J133" s="23"/>
      <c r="K133" s="189"/>
      <c r="L133" s="462"/>
      <c r="M133" s="462"/>
      <c r="N133" s="462"/>
      <c r="O133" s="462"/>
      <c r="P133" s="462"/>
      <c r="Q133" s="462"/>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row>
    <row r="134" spans="1:87" ht="14.45" customHeight="1">
      <c r="A134" s="23"/>
      <c r="B134" s="23"/>
      <c r="C134" s="23"/>
      <c r="D134" s="23"/>
      <c r="E134" s="23"/>
      <c r="F134" s="23"/>
      <c r="G134" s="23"/>
      <c r="H134" s="23"/>
      <c r="I134" s="23"/>
      <c r="J134" s="23"/>
      <c r="K134" s="189"/>
      <c r="L134" s="462"/>
      <c r="M134" s="462"/>
      <c r="N134" s="462"/>
      <c r="O134" s="462"/>
      <c r="P134" s="462"/>
      <c r="Q134" s="462"/>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row>
    <row r="135" spans="1:87" ht="14.45" customHeight="1">
      <c r="A135" s="23"/>
      <c r="B135" s="23"/>
      <c r="C135" s="23"/>
      <c r="D135" s="23"/>
      <c r="E135" s="23"/>
      <c r="F135" s="23"/>
      <c r="G135" s="23"/>
      <c r="H135" s="23"/>
      <c r="I135" s="23"/>
      <c r="J135" s="23"/>
      <c r="K135" s="189"/>
      <c r="L135" s="462"/>
      <c r="M135" s="462"/>
      <c r="N135" s="462"/>
      <c r="O135" s="462"/>
      <c r="P135" s="462"/>
      <c r="Q135" s="462"/>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row>
    <row r="136" spans="1:87" ht="14.45" customHeight="1">
      <c r="A136" s="23"/>
      <c r="B136" s="23"/>
      <c r="C136" s="23"/>
      <c r="D136" s="23"/>
      <c r="E136" s="23"/>
      <c r="F136" s="23"/>
      <c r="G136" s="23"/>
      <c r="H136" s="23"/>
      <c r="I136" s="23"/>
      <c r="J136" s="23"/>
      <c r="K136" s="189"/>
      <c r="L136" s="462"/>
      <c r="M136" s="462"/>
      <c r="N136" s="462"/>
      <c r="O136" s="462"/>
      <c r="P136" s="462"/>
      <c r="Q136" s="462"/>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row>
    <row r="137" spans="1:87" ht="14.45" customHeight="1">
      <c r="A137" s="23"/>
      <c r="B137" s="23"/>
      <c r="C137" s="23"/>
      <c r="D137" s="23"/>
      <c r="E137" s="23"/>
      <c r="F137" s="23"/>
      <c r="G137" s="23"/>
      <c r="H137" s="23"/>
      <c r="I137" s="23"/>
      <c r="J137" s="23"/>
      <c r="K137" s="189"/>
      <c r="L137" s="462"/>
      <c r="M137" s="462"/>
      <c r="N137" s="462"/>
      <c r="O137" s="462"/>
      <c r="P137" s="462"/>
      <c r="Q137" s="462"/>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row>
    <row r="138" spans="1:87" ht="14.45" customHeight="1">
      <c r="A138" s="23"/>
      <c r="B138" s="23"/>
      <c r="C138" s="23"/>
      <c r="D138" s="23"/>
      <c r="E138" s="23"/>
      <c r="F138" s="23"/>
      <c r="G138" s="23"/>
      <c r="H138" s="23"/>
      <c r="I138" s="23"/>
      <c r="J138" s="23"/>
      <c r="K138" s="189"/>
      <c r="L138" s="462"/>
      <c r="M138" s="462"/>
      <c r="N138" s="23"/>
      <c r="O138" s="462"/>
      <c r="P138" s="462"/>
      <c r="Q138" s="462"/>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row>
    <row r="139" spans="1:87" ht="14.45" customHeight="1">
      <c r="A139" s="23"/>
      <c r="B139" s="23"/>
      <c r="C139" s="23"/>
      <c r="D139" s="23"/>
      <c r="E139" s="23"/>
      <c r="F139" s="23"/>
      <c r="G139" s="23"/>
      <c r="H139" s="23"/>
      <c r="I139" s="23"/>
      <c r="J139" s="23"/>
      <c r="K139" s="189"/>
      <c r="L139" s="462"/>
      <c r="M139" s="462"/>
      <c r="N139" s="23"/>
      <c r="O139" s="462"/>
      <c r="P139" s="462"/>
      <c r="Q139" s="462"/>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row>
    <row r="140" spans="1:87" ht="14.45" customHeight="1">
      <c r="A140" s="23"/>
      <c r="B140" s="23"/>
      <c r="C140" s="23"/>
      <c r="D140" s="23"/>
      <c r="E140" s="23"/>
      <c r="F140" s="23"/>
      <c r="G140" s="23"/>
      <c r="H140" s="23"/>
      <c r="I140" s="23"/>
      <c r="J140" s="23"/>
      <c r="K140" s="189"/>
      <c r="L140" s="462"/>
      <c r="M140" s="462"/>
      <c r="N140" s="23"/>
      <c r="O140" s="462"/>
      <c r="P140" s="462"/>
      <c r="Q140" s="462"/>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row>
    <row r="141" spans="1:87" ht="14.45" customHeight="1">
      <c r="A141" s="23"/>
      <c r="B141" s="23"/>
      <c r="C141" s="23"/>
      <c r="D141" s="23"/>
      <c r="E141" s="23"/>
      <c r="F141" s="23"/>
      <c r="G141" s="23"/>
      <c r="H141" s="23"/>
      <c r="I141" s="23"/>
      <c r="J141" s="23"/>
      <c r="K141" s="189"/>
      <c r="L141" s="462"/>
      <c r="M141" s="462"/>
      <c r="N141" s="23"/>
      <c r="O141" s="462"/>
      <c r="P141" s="462"/>
      <c r="Q141" s="462"/>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row>
    <row r="142" spans="1:87" ht="14.45" customHeight="1">
      <c r="J142" s="23"/>
      <c r="K142" s="189"/>
      <c r="L142" s="462"/>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row>
  </sheetData>
  <pageMargins left="0.7" right="0.7" top="0.75" bottom="0.75" header="0.3" footer="0.3"/>
  <pageSetup orientation="portrait"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pageSetUpPr autoPageBreaks="0"/>
  </sheetPr>
  <dimension ref="A1:U51"/>
  <sheetViews>
    <sheetView showGridLines="0" zoomScale="80" zoomScaleNormal="80" workbookViewId="0">
      <pane ySplit="2" topLeftCell="A3" activePane="bottomLeft" state="frozen"/>
      <selection pane="bottomLeft"/>
    </sheetView>
  </sheetViews>
  <sheetFormatPr defaultColWidth="8.7109375" defaultRowHeight="14.25"/>
  <cols>
    <col min="1" max="2" width="1.7109375" style="3" customWidth="1"/>
    <col min="3" max="3" width="32.7109375" style="3" bestFit="1" customWidth="1"/>
    <col min="4" max="12" width="10.42578125" style="3" customWidth="1"/>
    <col min="13" max="13" width="13.42578125" style="3" bestFit="1" customWidth="1"/>
    <col min="14" max="15" width="12.140625" style="3" bestFit="1" customWidth="1"/>
    <col min="16" max="17" width="10.42578125" style="3" customWidth="1"/>
    <col min="18" max="18" width="11.140625" style="3" bestFit="1" customWidth="1"/>
    <col min="19" max="27" width="10.42578125" style="3" customWidth="1"/>
    <col min="28" max="16384" width="8.7109375" style="3"/>
  </cols>
  <sheetData>
    <row r="1" spans="1:19" s="2" customFormat="1" ht="18">
      <c r="C1" s="508" t="str">
        <f ca="1">Company_Name&amp;" - "&amp;MID(CELL("filename",A1),FIND("]",CELL("filename",A1))+1,255)&amp;": "&amp;Case_Scenario&amp;" Case"</f>
        <v>Evercore Inc. - WACC: Base Case</v>
      </c>
    </row>
    <row r="2" spans="1:19">
      <c r="C2" s="4" t="str">
        <f>Cover!C2</f>
        <v>$ in Thousands Except Per Share Data</v>
      </c>
    </row>
    <row r="3" spans="1:19" s="23" customFormat="1" ht="12.75">
      <c r="A3" s="588"/>
      <c r="R3" s="845"/>
    </row>
    <row r="4" spans="1:19" s="23" customFormat="1" ht="12.75">
      <c r="A4" s="146" t="s">
        <v>1</v>
      </c>
      <c r="C4" s="634" t="s">
        <v>325</v>
      </c>
      <c r="D4" s="147"/>
      <c r="E4" s="147"/>
      <c r="F4" s="147"/>
      <c r="G4" s="148"/>
      <c r="J4" s="634" t="s">
        <v>324</v>
      </c>
      <c r="K4" s="147"/>
      <c r="L4" s="147"/>
      <c r="M4" s="579" t="s">
        <v>323</v>
      </c>
      <c r="N4" s="579" t="s">
        <v>322</v>
      </c>
      <c r="O4" s="580" t="s">
        <v>510</v>
      </c>
      <c r="Q4" s="357"/>
      <c r="R4" s="846" t="s">
        <v>405</v>
      </c>
      <c r="S4" s="150"/>
    </row>
    <row r="5" spans="1:19" s="23" customFormat="1" ht="12.75">
      <c r="A5" s="146"/>
      <c r="M5" s="189"/>
      <c r="N5" s="189"/>
      <c r="O5" s="189"/>
      <c r="Q5" s="357"/>
      <c r="R5" s="844" t="s">
        <v>1080</v>
      </c>
    </row>
    <row r="6" spans="1:19" s="23" customFormat="1" ht="12.75">
      <c r="A6" s="146"/>
      <c r="C6" s="23" t="s">
        <v>321</v>
      </c>
      <c r="G6" s="847">
        <v>4.1399999999999999E-2</v>
      </c>
      <c r="J6" s="23" t="s">
        <v>320</v>
      </c>
      <c r="M6" s="308">
        <f ca="1">Model!V141+Model!V142</f>
        <v>540049</v>
      </c>
      <c r="N6" s="309">
        <f ca="1">M6/$M$9</f>
        <v>3.6209115755268882E-2</v>
      </c>
      <c r="O6" s="309">
        <f>Cost_of_Debt</f>
        <v>2.8977131383296252E-2</v>
      </c>
      <c r="R6" s="204"/>
    </row>
    <row r="7" spans="1:19" s="23" customFormat="1" ht="12.75">
      <c r="A7" s="146"/>
      <c r="C7" s="23" t="s">
        <v>319</v>
      </c>
      <c r="G7" s="847">
        <v>4.3799999999999999E-2</v>
      </c>
      <c r="J7" s="23" t="s">
        <v>318</v>
      </c>
      <c r="M7" s="310">
        <f>Diluted_Shares*Share_Price</f>
        <v>14374675.890000001</v>
      </c>
      <c r="N7" s="815">
        <f ca="1">1-Weight_of_Debt-Weight_of_Preferred</f>
        <v>0.96379088424473114</v>
      </c>
      <c r="O7" s="309">
        <f>Cost_of_Equity</f>
        <v>0.11060400000000001</v>
      </c>
    </row>
    <row r="8" spans="1:19" s="23" customFormat="1" ht="12.75">
      <c r="A8" s="146"/>
      <c r="C8" s="23" t="s">
        <v>312</v>
      </c>
      <c r="G8" s="847">
        <v>4.0800000000000003E-2</v>
      </c>
      <c r="J8" s="23" t="s">
        <v>317</v>
      </c>
      <c r="M8" s="311">
        <v>0</v>
      </c>
      <c r="N8" s="309">
        <f ca="1">M8/$M$9</f>
        <v>0</v>
      </c>
      <c r="O8" s="309">
        <f>Cost_of_Preferred</f>
        <v>0</v>
      </c>
    </row>
    <row r="9" spans="1:19" s="23" customFormat="1" ht="12.75">
      <c r="A9" s="146"/>
      <c r="C9" s="23" t="s">
        <v>24</v>
      </c>
      <c r="G9" s="848">
        <f>Tax_Rate</f>
        <v>0.2897761915858762</v>
      </c>
      <c r="J9" s="204" t="s">
        <v>316</v>
      </c>
      <c r="K9" s="204"/>
      <c r="L9" s="204"/>
      <c r="M9" s="843">
        <f ca="1">SUM(M6:M8)</f>
        <v>14914724.890000001</v>
      </c>
      <c r="N9" s="380">
        <f ca="1">SUM(N6:N8)</f>
        <v>1</v>
      </c>
      <c r="O9" s="380">
        <f ca="1">SUMPRODUCT(N6:N8,O6:O8)</f>
        <v>0.10764836326551766</v>
      </c>
    </row>
    <row r="10" spans="1:19" s="23" customFormat="1" ht="12.75">
      <c r="A10" s="146"/>
      <c r="C10" s="23" t="s">
        <v>315</v>
      </c>
      <c r="G10" s="847">
        <v>0</v>
      </c>
    </row>
    <row r="11" spans="1:19" s="23" customFormat="1" ht="12.75">
      <c r="A11" s="146"/>
    </row>
    <row r="12" spans="1:19" s="23" customFormat="1" ht="12.75">
      <c r="A12" s="146"/>
      <c r="G12" s="312"/>
    </row>
    <row r="13" spans="1:19" s="23" customFormat="1" ht="12.75">
      <c r="A13" s="146" t="s">
        <v>1</v>
      </c>
      <c r="C13" s="634" t="s">
        <v>314</v>
      </c>
      <c r="D13" s="147"/>
      <c r="E13" s="147"/>
      <c r="F13" s="147"/>
      <c r="G13" s="148"/>
      <c r="J13" s="704" t="s">
        <v>313</v>
      </c>
      <c r="K13" s="313"/>
      <c r="L13" s="313"/>
      <c r="M13" s="313"/>
      <c r="N13" s="313"/>
      <c r="O13" s="705">
        <f ca="1">SUMPRODUCT($N$6:$N$8,$O$6:$O$8)</f>
        <v>0.10764836326551766</v>
      </c>
    </row>
    <row r="14" spans="1:19" s="23" customFormat="1" ht="12.75">
      <c r="A14" s="146"/>
    </row>
    <row r="15" spans="1:19" s="23" customFormat="1" ht="12.75">
      <c r="A15" s="146"/>
      <c r="C15" s="23" t="s">
        <v>312</v>
      </c>
      <c r="G15" s="314">
        <f>G8</f>
        <v>4.0800000000000003E-2</v>
      </c>
    </row>
    <row r="16" spans="1:19" s="23" customFormat="1" ht="12.75">
      <c r="A16" s="146"/>
      <c r="C16" s="23" t="s">
        <v>311</v>
      </c>
      <c r="G16" s="222">
        <f>Tax_Rate</f>
        <v>0.2897761915858762</v>
      </c>
    </row>
    <row r="17" spans="1:17" s="23" customFormat="1" ht="12.75">
      <c r="A17" s="146"/>
      <c r="C17" s="204" t="s">
        <v>310</v>
      </c>
      <c r="D17" s="204"/>
      <c r="E17" s="204"/>
      <c r="F17" s="204"/>
      <c r="G17" s="706">
        <f>G15*(1-G16)</f>
        <v>2.8977131383296252E-2</v>
      </c>
    </row>
    <row r="18" spans="1:17" s="23" customFormat="1" ht="12.75">
      <c r="A18" s="146"/>
    </row>
    <row r="19" spans="1:17" s="23" customFormat="1" ht="12.75">
      <c r="A19" s="146"/>
    </row>
    <row r="20" spans="1:17" s="23" customFormat="1" ht="12.75">
      <c r="A20" s="146" t="s">
        <v>1</v>
      </c>
      <c r="C20" s="634" t="s">
        <v>305</v>
      </c>
      <c r="D20" s="147"/>
      <c r="E20" s="147"/>
      <c r="F20" s="147"/>
      <c r="G20" s="148"/>
      <c r="J20" s="634" t="s">
        <v>309</v>
      </c>
      <c r="K20" s="147"/>
      <c r="L20" s="147"/>
      <c r="M20" s="147"/>
      <c r="N20" s="147"/>
      <c r="O20" s="147"/>
      <c r="P20" s="148"/>
      <c r="Q20" s="547">
        <f ca="1">N26-Discount_Rate</f>
        <v>0</v>
      </c>
    </row>
    <row r="21" spans="1:17" s="23" customFormat="1" ht="12.75">
      <c r="A21" s="146"/>
      <c r="J21" s="163"/>
      <c r="K21" s="548"/>
      <c r="L21" s="189"/>
      <c r="M21" s="189"/>
      <c r="N21" s="189"/>
      <c r="O21" s="186"/>
      <c r="P21" s="186"/>
    </row>
    <row r="22" spans="1:17" s="23" customFormat="1" ht="13.5" thickBot="1">
      <c r="A22" s="146"/>
      <c r="C22" s="23" t="str">
        <f>C6</f>
        <v>Risk-Free Rate:</v>
      </c>
      <c r="G22" s="314">
        <f>Risk_Free_Rate</f>
        <v>4.1399999999999999E-2</v>
      </c>
      <c r="J22" s="315"/>
      <c r="K22" s="549"/>
      <c r="L22" s="550" t="s">
        <v>308</v>
      </c>
      <c r="M22" s="316"/>
      <c r="N22" s="316"/>
      <c r="O22" s="316"/>
      <c r="P22" s="316"/>
    </row>
    <row r="23" spans="1:17" s="23" customFormat="1" ht="14.85" customHeight="1" thickBot="1">
      <c r="A23" s="146"/>
      <c r="C23" s="23" t="str">
        <f>C7</f>
        <v>Equity Risk Premium (ERP):</v>
      </c>
      <c r="G23" s="314">
        <f>ERP</f>
        <v>4.3799999999999999E-2</v>
      </c>
      <c r="K23" s="317">
        <f ca="1">Discount_Rate</f>
        <v>0.10764836326551766</v>
      </c>
      <c r="L23" s="554">
        <f>M23-$M$34</f>
        <v>3.0800000000000004E-2</v>
      </c>
      <c r="M23" s="554">
        <f>N23-$M$34</f>
        <v>3.5800000000000005E-2</v>
      </c>
      <c r="N23" s="555">
        <v>4.0800000000000003E-2</v>
      </c>
      <c r="O23" s="554">
        <f>N23+$M$34</f>
        <v>4.58E-2</v>
      </c>
      <c r="P23" s="554">
        <f>O23+$M$34</f>
        <v>5.0799999999999998E-2</v>
      </c>
    </row>
    <row r="24" spans="1:17" s="23" customFormat="1" ht="14.85" customHeight="1">
      <c r="A24" s="146"/>
      <c r="C24" s="155" t="s">
        <v>307</v>
      </c>
      <c r="D24" s="155"/>
      <c r="E24" s="155"/>
      <c r="F24" s="155"/>
      <c r="G24" s="318">
        <f>IF(J44="Comps Relevered Beta",G47,G49)</f>
        <v>1.58</v>
      </c>
      <c r="J24" s="1082" t="s">
        <v>306</v>
      </c>
      <c r="K24" s="387">
        <f>K25-$M$37</f>
        <v>2.620911575526888E-2</v>
      </c>
      <c r="L24" s="816">
        <f t="dataTable" ref="L24:P28" dt2D="1" dtr="1" r1="G15" r2="N6" ca="1"/>
        <v>0.10827848857161597</v>
      </c>
      <c r="M24" s="817">
        <v>0.10837156026165033</v>
      </c>
      <c r="N24" s="817">
        <v>0.1084646319516847</v>
      </c>
      <c r="O24" s="817">
        <v>0.10855770364171907</v>
      </c>
      <c r="P24" s="818">
        <v>0.10865077533175344</v>
      </c>
    </row>
    <row r="25" spans="1:17" s="23" customFormat="1" ht="12.75">
      <c r="A25" s="146"/>
      <c r="C25" s="23" t="s">
        <v>305</v>
      </c>
      <c r="G25" s="314">
        <f>G22+G24*G23</f>
        <v>0.11060400000000001</v>
      </c>
      <c r="J25" s="1083"/>
      <c r="K25" s="387">
        <f>K26-$M$37</f>
        <v>3.1209115755268881E-2</v>
      </c>
      <c r="L25" s="819">
        <v>0.10783484303811174</v>
      </c>
      <c r="M25" s="820">
        <v>0.10794567032335646</v>
      </c>
      <c r="N25" s="820">
        <v>0.10805649760860118</v>
      </c>
      <c r="O25" s="820">
        <v>0.1081673248938459</v>
      </c>
      <c r="P25" s="821">
        <v>0.10827815217909062</v>
      </c>
    </row>
    <row r="26" spans="1:17" s="23" customFormat="1" ht="12.75">
      <c r="A26" s="146"/>
      <c r="J26" s="1083"/>
      <c r="K26" s="707">
        <v>3.6209115755268882E-2</v>
      </c>
      <c r="L26" s="819">
        <v>0.10739119750460752</v>
      </c>
      <c r="M26" s="820">
        <v>0.10751978038506259</v>
      </c>
      <c r="N26" s="820">
        <v>0.10764836326551766</v>
      </c>
      <c r="O26" s="820">
        <v>0.10777694614597273</v>
      </c>
      <c r="P26" s="821">
        <v>0.1079055290264278</v>
      </c>
    </row>
    <row r="27" spans="1:17" s="23" customFormat="1" ht="12.75">
      <c r="A27" s="146"/>
      <c r="J27" s="1083"/>
      <c r="K27" s="387">
        <f>K26+$M$37</f>
        <v>4.120911575526888E-2</v>
      </c>
      <c r="L27" s="819">
        <v>0.10694755197110328</v>
      </c>
      <c r="M27" s="820">
        <v>0.10709389044676872</v>
      </c>
      <c r="N27" s="820">
        <v>0.10724022892243414</v>
      </c>
      <c r="O27" s="820">
        <v>0.10738656739809957</v>
      </c>
      <c r="P27" s="821">
        <v>0.10753290587376499</v>
      </c>
    </row>
    <row r="28" spans="1:17" s="23" customFormat="1" ht="13.5" thickBot="1">
      <c r="A28" s="146" t="s">
        <v>1</v>
      </c>
      <c r="C28" s="634" t="str">
        <f>Company_Name&amp;" - Peer Group Unlevered Beta:"</f>
        <v>Evercore Inc. - Peer Group Unlevered Beta:</v>
      </c>
      <c r="D28" s="147"/>
      <c r="E28" s="147"/>
      <c r="F28" s="147"/>
      <c r="G28" s="148"/>
      <c r="J28" s="1084"/>
      <c r="K28" s="387">
        <f>K27+$M$37</f>
        <v>4.6209115755268877E-2</v>
      </c>
      <c r="L28" s="822">
        <v>0.10650390643759906</v>
      </c>
      <c r="M28" s="823">
        <v>0.10666800050847484</v>
      </c>
      <c r="N28" s="823">
        <v>0.10683209457935063</v>
      </c>
      <c r="O28" s="823">
        <v>0.10699618865022641</v>
      </c>
      <c r="P28" s="824">
        <v>0.10716028272110217</v>
      </c>
    </row>
    <row r="29" spans="1:17" s="23" customFormat="1" ht="12.75">
      <c r="A29" s="146"/>
    </row>
    <row r="30" spans="1:17" s="23" customFormat="1" ht="12.75">
      <c r="A30" s="146"/>
      <c r="D30" s="189" t="s">
        <v>304</v>
      </c>
      <c r="E30" s="189" t="s">
        <v>303</v>
      </c>
      <c r="F30" s="189" t="s">
        <v>292</v>
      </c>
      <c r="G30" s="189" t="s">
        <v>302</v>
      </c>
    </row>
    <row r="31" spans="1:17" s="23" customFormat="1" ht="12.75">
      <c r="A31" s="146"/>
      <c r="C31" s="155" t="s">
        <v>301</v>
      </c>
      <c r="D31" s="435" t="s">
        <v>288</v>
      </c>
      <c r="E31" s="435" t="s">
        <v>290</v>
      </c>
      <c r="F31" s="435" t="s">
        <v>289</v>
      </c>
      <c r="G31" s="435" t="s">
        <v>288</v>
      </c>
      <c r="J31" s="540" t="s">
        <v>300</v>
      </c>
      <c r="K31" s="540"/>
      <c r="L31" s="540"/>
      <c r="M31" s="569"/>
    </row>
    <row r="32" spans="1:17" s="23" customFormat="1" ht="12.75">
      <c r="A32" s="146"/>
      <c r="D32" s="237"/>
      <c r="E32" s="320"/>
      <c r="F32" s="320"/>
      <c r="G32" s="321"/>
    </row>
    <row r="33" spans="1:21" s="23" customFormat="1" ht="12.75">
      <c r="A33" s="146"/>
      <c r="C33" s="322" t="str">
        <f>Comparables!D12</f>
        <v>Lazard, Inc.</v>
      </c>
      <c r="D33" s="323">
        <f>Comparables!H30</f>
        <v>1.2027699999999999</v>
      </c>
      <c r="E33" s="865">
        <f>Comparables!O30</f>
        <v>1.8714390000000001</v>
      </c>
      <c r="F33" s="324">
        <f>Comparables!G30</f>
        <v>0.14428099999999999</v>
      </c>
      <c r="G33" s="325">
        <f>IF(ISERROR(D33/(1+(1-F33)*E33)),"NA",(D33/(1+(1-F33)*E33)))</f>
        <v>0.46235028087576152</v>
      </c>
      <c r="J33" s="23" t="s">
        <v>299</v>
      </c>
      <c r="M33" s="326">
        <f>G8</f>
        <v>4.0800000000000003E-2</v>
      </c>
      <c r="N33" s="547">
        <f>M33-N23</f>
        <v>0</v>
      </c>
    </row>
    <row r="34" spans="1:21" s="23" customFormat="1" ht="12.75">
      <c r="A34" s="146"/>
      <c r="C34" s="322" t="str">
        <f>Comparables!D13</f>
        <v>Houlihan Lokey, Inc.</v>
      </c>
      <c r="D34" s="323">
        <f>Comparables!H31</f>
        <v>1.29172</v>
      </c>
      <c r="E34" s="865">
        <f>Comparables!O31</f>
        <v>8.7121999999999991E-2</v>
      </c>
      <c r="F34" s="324">
        <f>Comparables!G31</f>
        <v>0.12157899999999999</v>
      </c>
      <c r="G34" s="325">
        <f>IF(ISERROR(D34/(1+(1-F34)*E34)),"NA",(D34/(1+(1-F34)*E34)))</f>
        <v>1.1998924755868288</v>
      </c>
      <c r="J34" s="23" t="s">
        <v>537</v>
      </c>
      <c r="M34" s="327">
        <v>5.0000000000000001E-3</v>
      </c>
    </row>
    <row r="35" spans="1:21" s="23" customFormat="1" ht="12.75">
      <c r="A35" s="146"/>
      <c r="C35" s="322" t="str">
        <f>Comparables!D14</f>
        <v>PJT Partners Inc.</v>
      </c>
      <c r="D35" s="323">
        <f>Comparables!H32</f>
        <v>0.77607999999999999</v>
      </c>
      <c r="E35" s="865">
        <f>Comparables!O32</f>
        <v>0.57947099999999996</v>
      </c>
      <c r="F35" s="324">
        <f>Comparables!G32</f>
        <v>0.138266</v>
      </c>
      <c r="G35" s="325">
        <f>IF(ISERROR(D35/(1+(1-F35)*E35)),"NA",(D35/(1+(1-F35)*E35)))</f>
        <v>0.51761101214576011</v>
      </c>
      <c r="M35" s="189"/>
      <c r="U35" s="1014"/>
    </row>
    <row r="36" spans="1:21" s="23" customFormat="1" ht="12.75">
      <c r="A36" s="146"/>
      <c r="C36" s="322" t="str">
        <f>Comparables!D15</f>
        <v>Moelis &amp; Company</v>
      </c>
      <c r="D36" s="323">
        <f>Comparables!H33</f>
        <v>1.27315</v>
      </c>
      <c r="E36" s="865">
        <f>Comparables!O33</f>
        <v>0.85989599999999999</v>
      </c>
      <c r="F36" s="324">
        <f>Comparables!G33</f>
        <v>0.138266</v>
      </c>
      <c r="G36" s="325">
        <f>IF(ISERROR(D36/(1+(1-F36)*E36)),"NA",(D36/(1+(1-F36)*E36)))</f>
        <v>0.73127444892653704</v>
      </c>
      <c r="J36" s="23" t="s">
        <v>298</v>
      </c>
      <c r="M36" s="328">
        <f ca="1">+Weight_of_Debt</f>
        <v>3.6209115755268882E-2</v>
      </c>
      <c r="N36" s="547">
        <f ca="1">M36-K26</f>
        <v>0</v>
      </c>
    </row>
    <row r="37" spans="1:21" s="23" customFormat="1" ht="12.75">
      <c r="A37" s="146"/>
      <c r="C37" s="322">
        <f>Comparables!D16</f>
        <v>0</v>
      </c>
      <c r="D37" s="323">
        <f>Comparables!H34</f>
        <v>0</v>
      </c>
      <c r="E37" s="865">
        <f>Comparables!O34</f>
        <v>0</v>
      </c>
      <c r="F37" s="324">
        <f>Comparables!G34</f>
        <v>0</v>
      </c>
      <c r="G37" s="325">
        <f>IF(ISERROR(D37/(1+(1-F37)*E37)),"NA",(D37/(1+(1-F37)*E37)))</f>
        <v>0</v>
      </c>
      <c r="J37" s="23" t="s">
        <v>538</v>
      </c>
      <c r="M37" s="327">
        <v>5.0000000000000001E-3</v>
      </c>
    </row>
    <row r="38" spans="1:21" s="23" customFormat="1" ht="12.75">
      <c r="A38" s="146"/>
      <c r="C38" s="155"/>
      <c r="D38" s="329"/>
      <c r="E38" s="866"/>
      <c r="F38" s="330"/>
      <c r="G38" s="331"/>
    </row>
    <row r="39" spans="1:21" s="23" customFormat="1" ht="12.75">
      <c r="A39" s="146"/>
      <c r="C39" s="23" t="s">
        <v>297</v>
      </c>
      <c r="D39" s="325">
        <f>AVERAGE(D32:D38)</f>
        <v>0.90874399999999989</v>
      </c>
      <c r="E39" s="418">
        <f>AVERAGE(E32:E38)</f>
        <v>0.67958560000000001</v>
      </c>
      <c r="F39" s="309">
        <f>AVERAGE(F32:F38)</f>
        <v>0.1084784</v>
      </c>
      <c r="G39" s="325">
        <f>AVERAGE(G32:G38)</f>
        <v>0.58222564350697747</v>
      </c>
    </row>
    <row r="40" spans="1:21" s="23" customFormat="1" ht="12.75">
      <c r="A40" s="146"/>
      <c r="C40" s="23" t="s">
        <v>296</v>
      </c>
      <c r="D40" s="325">
        <f>MEDIAN(D32:D38)</f>
        <v>1.2027699999999999</v>
      </c>
      <c r="E40" s="418">
        <f>MEDIAN(E32:E38)</f>
        <v>0.57947099999999996</v>
      </c>
      <c r="F40" s="309">
        <f>MEDIAN(F32:F38)</f>
        <v>0.138266</v>
      </c>
      <c r="G40" s="325">
        <f>MEDIAN(G32:G38)</f>
        <v>0.51761101214576011</v>
      </c>
    </row>
    <row r="41" spans="1:21" s="23" customFormat="1" ht="12.75">
      <c r="A41" s="146"/>
    </row>
    <row r="42" spans="1:21" s="23" customFormat="1" ht="12.75">
      <c r="A42" s="146"/>
    </row>
    <row r="43" spans="1:21" s="23" customFormat="1" ht="12.75">
      <c r="A43" s="146" t="s">
        <v>1</v>
      </c>
      <c r="C43" s="634" t="str">
        <f>Company_Name&amp;" - Relevered Beta"</f>
        <v>Evercore Inc. - Relevered Beta</v>
      </c>
      <c r="D43" s="147"/>
      <c r="E43" s="147"/>
      <c r="F43" s="147"/>
      <c r="G43" s="148"/>
      <c r="J43" s="332" t="s">
        <v>295</v>
      </c>
      <c r="K43" s="149"/>
    </row>
    <row r="44" spans="1:21" s="23" customFormat="1" ht="12.75">
      <c r="A44" s="146"/>
      <c r="J44" s="1085" t="s">
        <v>654</v>
      </c>
      <c r="K44" s="1086"/>
    </row>
    <row r="45" spans="1:21" s="23" customFormat="1" ht="12.75">
      <c r="A45" s="146"/>
      <c r="D45" s="189" t="s">
        <v>294</v>
      </c>
      <c r="E45" s="189" t="s">
        <v>293</v>
      </c>
      <c r="F45" s="189" t="s">
        <v>292</v>
      </c>
      <c r="G45" s="189" t="s">
        <v>291</v>
      </c>
    </row>
    <row r="46" spans="1:21" s="23" customFormat="1" ht="12.75">
      <c r="A46" s="146"/>
      <c r="D46" s="189" t="s">
        <v>288</v>
      </c>
      <c r="E46" s="189" t="s">
        <v>290</v>
      </c>
      <c r="F46" s="189" t="s">
        <v>289</v>
      </c>
      <c r="G46" s="189" t="s">
        <v>288</v>
      </c>
    </row>
    <row r="47" spans="1:21" s="23" customFormat="1" ht="12.75">
      <c r="A47" s="146"/>
      <c r="C47" s="708" t="s">
        <v>287</v>
      </c>
      <c r="D47" s="333">
        <f>G39</f>
        <v>0.58222564350697747</v>
      </c>
      <c r="E47" s="867">
        <f>Comparables!O28</f>
        <v>18.240082999999998</v>
      </c>
      <c r="F47" s="334">
        <f>Tax_Rate</f>
        <v>0.2897761915858762</v>
      </c>
      <c r="G47" s="335">
        <f>IF(ISERROR(D47*(1+(1-F47)*E47)),"NA",(D47*(1+(1-F47)*E47)))</f>
        <v>8.1246917381947341</v>
      </c>
    </row>
    <row r="48" spans="1:21" s="23" customFormat="1" ht="12.75">
      <c r="A48" s="146"/>
    </row>
    <row r="49" spans="1:18" s="23" customFormat="1" ht="12.75">
      <c r="A49" s="146"/>
      <c r="C49" s="708" t="str">
        <f>Company_Name&amp;" Levered Beta"</f>
        <v>Evercore Inc. Levered Beta</v>
      </c>
      <c r="D49" s="336"/>
      <c r="E49" s="337"/>
      <c r="F49" s="337"/>
      <c r="G49" s="338">
        <f>Comparables!H28</f>
        <v>1.58</v>
      </c>
    </row>
    <row r="50" spans="1:18" s="23" customFormat="1" ht="12.75">
      <c r="A50" s="146"/>
    </row>
    <row r="51" spans="1:18" s="23" customFormat="1" ht="12.75">
      <c r="A51" s="146" t="s">
        <v>1</v>
      </c>
      <c r="R51" s="146" t="s">
        <v>1</v>
      </c>
    </row>
  </sheetData>
  <mergeCells count="2">
    <mergeCell ref="J24:J28"/>
    <mergeCell ref="J44:K44"/>
  </mergeCells>
  <conditionalFormatting sqref="C33:F37">
    <cfRule type="expression" dxfId="127" priority="4">
      <formula>$R$5="Report"</formula>
    </cfRule>
  </conditionalFormatting>
  <conditionalFormatting sqref="E47 G49">
    <cfRule type="expression" dxfId="126" priority="3">
      <formula>$R$5="Report"</formula>
    </cfRule>
  </conditionalFormatting>
  <conditionalFormatting sqref="G6:G8 G10">
    <cfRule type="expression" dxfId="125" priority="7">
      <formula>$R$5="Working"</formula>
    </cfRule>
  </conditionalFormatting>
  <conditionalFormatting sqref="G6:G10">
    <cfRule type="expression" dxfId="124" priority="6">
      <formula>$R$5="Report"</formula>
    </cfRule>
  </conditionalFormatting>
  <conditionalFormatting sqref="G9">
    <cfRule type="expression" dxfId="123" priority="5">
      <formula>$R$5="Working"</formula>
    </cfRule>
  </conditionalFormatting>
  <conditionalFormatting sqref="M33:M34 M36:M37">
    <cfRule type="expression" dxfId="122" priority="1">
      <formula>$R$5="Report"</formula>
    </cfRule>
    <cfRule type="expression" dxfId="121" priority="2">
      <formula>$R$5="Working"</formula>
    </cfRule>
  </conditionalFormatting>
  <conditionalFormatting sqref="N33">
    <cfRule type="expression" dxfId="120" priority="14">
      <formula>$R$2="Report"</formula>
    </cfRule>
    <cfRule type="expression" dxfId="119" priority="15">
      <formula>N33&lt;&gt;0</formula>
    </cfRule>
    <cfRule type="expression" dxfId="118" priority="16">
      <formula>$AQ$2="Report"</formula>
    </cfRule>
  </conditionalFormatting>
  <conditionalFormatting sqref="N36">
    <cfRule type="expression" dxfId="117" priority="11">
      <formula>$R$2="Report"</formula>
    </cfRule>
    <cfRule type="expression" dxfId="116" priority="12">
      <formula>N36&lt;&gt;0</formula>
    </cfRule>
    <cfRule type="expression" dxfId="115" priority="13">
      <formula>$AQ$2="Report"</formula>
    </cfRule>
  </conditionalFormatting>
  <conditionalFormatting sqref="Q20">
    <cfRule type="expression" dxfId="114" priority="8">
      <formula>$R$2="Report"</formula>
    </cfRule>
    <cfRule type="expression" dxfId="113" priority="9">
      <formula>Q20&lt;&gt;0</formula>
    </cfRule>
    <cfRule type="expression" dxfId="112" priority="10">
      <formula>$AQ$2="Report"</formula>
    </cfRule>
  </conditionalFormatting>
  <dataValidations count="2">
    <dataValidation type="list" allowBlank="1" showInputMessage="1" showErrorMessage="1" sqref="J44:K44" xr:uid="{00000000-0002-0000-0C00-000000000000}">
      <formula1>"Comps Relevered Beta, Target Company Beta"</formula1>
    </dataValidation>
    <dataValidation type="list" allowBlank="1" showInputMessage="1" showErrorMessage="1" sqref="R5" xr:uid="{00000000-0002-0000-0C00-000001000000}">
      <formula1>"Report, Working"</formula1>
    </dataValidation>
  </dataValidations>
  <pageMargins left="0.7" right="0.7" top="0.75" bottom="0.75" header="0.3" footer="0.3"/>
  <pageSetup orientation="portrait" horizontalDpi="90" verticalDpi="9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pageSetUpPr autoPageBreaks="0"/>
  </sheetPr>
  <dimension ref="A1:AE299"/>
  <sheetViews>
    <sheetView showGridLines="0" zoomScale="80" zoomScaleNormal="80" workbookViewId="0">
      <pane ySplit="2" topLeftCell="A3" activePane="bottomLeft" state="frozen"/>
      <selection pane="bottomLeft"/>
    </sheetView>
  </sheetViews>
  <sheetFormatPr defaultColWidth="12.7109375" defaultRowHeight="14.25" outlineLevelRow="1" outlineLevelCol="1"/>
  <cols>
    <col min="1" max="2" width="1.7109375" style="3" customWidth="1"/>
    <col min="3" max="3" width="22.7109375" style="3" customWidth="1"/>
    <col min="4" max="4" width="16.28515625" style="3" bestFit="1" customWidth="1"/>
    <col min="5" max="5" width="16.28515625" style="3" customWidth="1"/>
    <col min="6" max="6" width="19.42578125" style="3" bestFit="1" customWidth="1"/>
    <col min="7" max="13" width="16.28515625" style="3" customWidth="1"/>
    <col min="14" max="18" width="16.28515625" style="3" bestFit="1" customWidth="1"/>
    <col min="19" max="20" width="1.7109375" style="3" customWidth="1"/>
    <col min="21" max="21" width="12.7109375" style="3"/>
    <col min="22" max="22" width="15.7109375" style="3" bestFit="1" customWidth="1"/>
    <col min="23" max="23" width="12.7109375" style="3"/>
    <col min="24" max="27" width="12.7109375" style="3" customWidth="1" outlineLevel="1"/>
    <col min="28" max="28" width="13.85546875" style="3" customWidth="1" outlineLevel="1"/>
    <col min="29" max="34" width="12.7109375" style="3"/>
    <col min="35" max="35" width="2.7109375" style="3" customWidth="1"/>
    <col min="36" max="16384" width="12.7109375" style="3"/>
  </cols>
  <sheetData>
    <row r="1" spans="1:23" s="2" customFormat="1" ht="18">
      <c r="A1" s="14"/>
      <c r="C1" s="508" t="str">
        <f ca="1">Company_Name&amp;" - "&amp;MID(CELL("filename",A1),FIND("]",CELL("filename",A1))+1,255)&amp;": "&amp;Case_Scenario&amp;" Case"</f>
        <v>Evercore Inc. - Valuation: Base Case</v>
      </c>
      <c r="R1" s="812" t="s">
        <v>405</v>
      </c>
    </row>
    <row r="2" spans="1:23">
      <c r="A2" s="15"/>
      <c r="C2" s="4" t="str">
        <f>Cover!C2</f>
        <v>$ in Thousands Except Per Share Data</v>
      </c>
      <c r="R2" s="813" t="s">
        <v>1080</v>
      </c>
    </row>
    <row r="3" spans="1:23" s="23" customFormat="1" ht="12.75">
      <c r="A3" s="588"/>
    </row>
    <row r="4" spans="1:23" s="23" customFormat="1" ht="12.75">
      <c r="A4" s="22" t="s">
        <v>1</v>
      </c>
      <c r="C4" s="557" t="s">
        <v>32</v>
      </c>
      <c r="D4" s="557"/>
      <c r="E4" s="557"/>
      <c r="F4" s="557"/>
      <c r="G4" s="557"/>
      <c r="H4" s="557"/>
      <c r="I4" s="557"/>
      <c r="J4" s="557"/>
      <c r="K4" s="557"/>
      <c r="L4" s="557"/>
      <c r="M4" s="557"/>
      <c r="N4" s="557"/>
      <c r="O4" s="557"/>
      <c r="P4" s="557"/>
      <c r="Q4" s="557"/>
      <c r="R4" s="557"/>
      <c r="S4" s="22" t="s">
        <v>1</v>
      </c>
      <c r="V4" s="872" t="s">
        <v>630</v>
      </c>
      <c r="W4" s="873" t="str">
        <f>IF(SUM(L9:L22)=100%,"Good", "Check")</f>
        <v>Good</v>
      </c>
    </row>
    <row r="5" spans="1:23" s="23" customFormat="1" ht="5.0999999999999996" customHeight="1"/>
    <row r="6" spans="1:23" s="23" customFormat="1" ht="14.45" customHeight="1">
      <c r="C6" s="511" t="s">
        <v>209</v>
      </c>
      <c r="D6" s="512" t="s">
        <v>429</v>
      </c>
      <c r="E6" s="512" t="s">
        <v>430</v>
      </c>
      <c r="F6" s="513" t="s">
        <v>431</v>
      </c>
      <c r="G6" s="514" t="s">
        <v>432</v>
      </c>
      <c r="L6" s="997" t="s">
        <v>433</v>
      </c>
      <c r="M6" s="858"/>
      <c r="N6" s="998"/>
      <c r="O6" s="998"/>
      <c r="P6" s="998"/>
      <c r="Q6" s="998"/>
      <c r="R6" s="999"/>
    </row>
    <row r="7" spans="1:23" s="23" customFormat="1" ht="14.45" customHeight="1">
      <c r="C7" s="870">
        <f>Diluted_Shares</f>
        <v>42131</v>
      </c>
      <c r="D7" s="339">
        <f>Share_Price</f>
        <v>341.19</v>
      </c>
      <c r="E7" s="340">
        <f>C7*D7</f>
        <v>14374675.890000001</v>
      </c>
      <c r="F7" s="340">
        <f ca="1">Model!V142-Model!V122</f>
        <v>-255490.03272493195</v>
      </c>
      <c r="G7" s="340">
        <f ca="1">SUM(E7:F7)</f>
        <v>14119185.857275069</v>
      </c>
      <c r="L7" s="511"/>
      <c r="M7" s="512" t="s">
        <v>436</v>
      </c>
      <c r="N7" s="512"/>
      <c r="O7" s="512"/>
      <c r="P7" s="512"/>
      <c r="Q7" s="512" t="s">
        <v>437</v>
      </c>
      <c r="R7" s="515" t="s">
        <v>438</v>
      </c>
    </row>
    <row r="8" spans="1:23" s="23" customFormat="1" ht="14.45" customHeight="1">
      <c r="M8" s="243" t="s">
        <v>28</v>
      </c>
      <c r="Q8" s="341"/>
      <c r="R8" s="342"/>
    </row>
    <row r="9" spans="1:23" s="23" customFormat="1" ht="14.45" customHeight="1">
      <c r="B9" s="343" t="str">
        <f>C9</f>
        <v>Primary Peer Group</v>
      </c>
      <c r="C9" s="997" t="str">
        <f>'Multiples Data'!L4</f>
        <v>Primary Peer Group</v>
      </c>
      <c r="D9" s="998"/>
      <c r="E9" s="998"/>
      <c r="F9" s="998"/>
      <c r="G9" s="998"/>
      <c r="H9" s="998"/>
      <c r="I9" s="999"/>
      <c r="J9"/>
      <c r="L9" s="871">
        <v>0</v>
      </c>
      <c r="M9" s="114" t="s">
        <v>266</v>
      </c>
      <c r="Q9" s="341">
        <f ca="1">$AB$76</f>
        <v>457.60530602439337</v>
      </c>
      <c r="R9" s="342">
        <f ca="1">Q9/Share_Price-1</f>
        <v>0.34120374578502699</v>
      </c>
    </row>
    <row r="10" spans="1:23" s="23" customFormat="1" ht="14.45" customHeight="1">
      <c r="B10" s="343" t="str">
        <f>C14</f>
        <v>Defense Peer Group</v>
      </c>
      <c r="C10" s="344"/>
      <c r="D10" s="516" t="str">
        <f>Ticker</f>
        <v>EVR</v>
      </c>
      <c r="E10" s="516" t="s">
        <v>352</v>
      </c>
      <c r="F10" s="517" t="str">
        <f>'Multiples Data'!M$6</f>
        <v>Lazard, Inc.</v>
      </c>
      <c r="G10" s="517" t="str">
        <f>'Multiples Data'!N$6</f>
        <v>Houlihan Lokey, Inc.</v>
      </c>
      <c r="H10" s="517" t="str">
        <f>'Multiples Data'!O$6</f>
        <v>PJT Partners Inc.</v>
      </c>
      <c r="I10" s="1057" t="str">
        <f>'Multiples Data'!P$6</f>
        <v>Moelis &amp; Company</v>
      </c>
      <c r="J10"/>
      <c r="L10" s="871">
        <v>0</v>
      </c>
      <c r="M10" s="114" t="s">
        <v>267</v>
      </c>
      <c r="Q10" s="341">
        <f ca="1">$R$76</f>
        <v>564.3093920512506</v>
      </c>
      <c r="R10" s="342">
        <f ca="1">Q10/Share_Price-1</f>
        <v>0.65394469958454415</v>
      </c>
    </row>
    <row r="11" spans="1:23" s="23" customFormat="1" ht="14.45" customHeight="1">
      <c r="B11" s="343" t="str">
        <f>C19</f>
        <v>Cap. Goods Peer Group</v>
      </c>
      <c r="C11" s="189" t="s">
        <v>393</v>
      </c>
      <c r="D11" s="499">
        <v>16.600000000000001</v>
      </c>
      <c r="E11" s="500">
        <f>AVERAGE(F11:J11)</f>
        <v>17.975000000000001</v>
      </c>
      <c r="F11" s="345">
        <f>IF($D$24="LTM",'Multiples Data'!M$88,IF($D$24="NTM",'Multiples Data'!S$88,"N/A"))</f>
        <v>14.8</v>
      </c>
      <c r="G11" s="345">
        <f>IF($D$24="LTM",'Multiples Data'!N$88,IF($D$24="NTM",'Multiples Data'!T$88,"N/A"))</f>
        <v>18.3</v>
      </c>
      <c r="H11" s="345">
        <f>IF($D$24="LTM",'Multiples Data'!O$88,IF($D$24="NTM",'Multiples Data'!U$88,"N/A"))</f>
        <v>19.600000000000001</v>
      </c>
      <c r="I11" s="345">
        <f>IF($D$24="LTM",'Multiples Data'!P$88,IF($D$24="NTM",'Multiples Data'!V$88,"N/A"))</f>
        <v>19.2</v>
      </c>
      <c r="J11"/>
      <c r="M11" s="243" t="s">
        <v>434</v>
      </c>
      <c r="Q11" s="341"/>
      <c r="R11" s="342"/>
    </row>
    <row r="12" spans="1:23" s="23" customFormat="1" ht="14.45" customHeight="1">
      <c r="B12" s="343" t="str">
        <f>Company_Name</f>
        <v>Evercore Inc.</v>
      </c>
      <c r="C12" s="189" t="s">
        <v>334</v>
      </c>
      <c r="D12" s="501">
        <f>IF($D$24="LTM",'Multiples Data'!X$88,IF($D$24="NTM",'Multiples Data'!AD$88,"N/A"))</f>
        <v>12.1</v>
      </c>
      <c r="E12" s="502">
        <f>AVERAGE(F12:J12)</f>
        <v>13.645</v>
      </c>
      <c r="F12" s="345">
        <f>IF($D$24="LTM",'Multiples Data'!Y$88,IF($D$24="NTM",'Multiples Data'!AE$88,"N/A"))</f>
        <v>10.3</v>
      </c>
      <c r="G12" s="345">
        <f>IF($D$24="LTM",'Multiples Data'!Z$88,IF($D$24="NTM",'Multiples Data'!AF$88,"N/A"))</f>
        <v>14.98</v>
      </c>
      <c r="H12" s="345">
        <f>IF($D$24="LTM",'Multiples Data'!AA$88,IF($D$24="NTM",'Multiples Data'!AG$88,"N/A"))</f>
        <v>13.5</v>
      </c>
      <c r="I12" s="345">
        <f>IF($D$24="LTM",'Multiples Data'!AB$88,IF($D$24="NTM",'Multiples Data'!AH$88,"N/A"))</f>
        <v>15.8</v>
      </c>
      <c r="J12"/>
      <c r="L12" s="871">
        <v>0</v>
      </c>
      <c r="M12" s="114" t="str">
        <f>$G$144&amp;" P/E"</f>
        <v>NTM P/E</v>
      </c>
      <c r="Q12" s="341">
        <f ca="1">$F$126</f>
        <v>471.35312241911203</v>
      </c>
      <c r="R12" s="342">
        <f ca="1">Q12/Share_Price-1</f>
        <v>0.38149747184592764</v>
      </c>
    </row>
    <row r="13" spans="1:23" s="23" customFormat="1" ht="14.45" customHeight="1">
      <c r="L13" s="871">
        <v>1</v>
      </c>
      <c r="M13" s="114" t="str">
        <f>$G$144&amp;" P/E Spread to Comps"</f>
        <v>NTM P/E Spread to Comps</v>
      </c>
      <c r="Q13" s="341">
        <f ca="1">$J$126</f>
        <v>431.26524815589744</v>
      </c>
      <c r="R13" s="342">
        <f ca="1">Q13/Share_Price-1</f>
        <v>0.26400318929598598</v>
      </c>
    </row>
    <row r="14" spans="1:23" s="23" customFormat="1" ht="14.45" hidden="1" customHeight="1" outlineLevel="1">
      <c r="C14" s="997" t="str">
        <f>'Multiples Data'!AL4</f>
        <v>Defense Peer Group</v>
      </c>
      <c r="D14" s="998"/>
      <c r="E14" s="998"/>
      <c r="F14" s="998"/>
      <c r="G14" s="998"/>
      <c r="H14" s="998"/>
      <c r="I14" s="998"/>
      <c r="J14" s="999"/>
      <c r="L14" s="871">
        <v>0</v>
      </c>
      <c r="M14" s="114" t="str">
        <f>$G$144&amp;" EV/EBITDA"</f>
        <v>NTM EV/EBITDA</v>
      </c>
      <c r="Q14" s="341">
        <f ca="1">$N$137</f>
        <v>430.49686960034046</v>
      </c>
      <c r="R14" s="342">
        <f ca="1">Q14/Share_Price-1</f>
        <v>0.26175113455945498</v>
      </c>
    </row>
    <row r="15" spans="1:23" s="23" customFormat="1" ht="14.45" hidden="1" customHeight="1" outlineLevel="1">
      <c r="C15" s="344"/>
      <c r="D15" s="516" t="str">
        <f>Ticker</f>
        <v>EVR</v>
      </c>
      <c r="E15" s="516" t="s">
        <v>352</v>
      </c>
      <c r="F15" s="517" t="str">
        <f>'Multiples Data'!AM$6</f>
        <v>Lazard, Inc.</v>
      </c>
      <c r="G15" s="516" t="str">
        <f>'Multiples Data'!AN$6</f>
        <v>Houlihan Lokey, Inc.</v>
      </c>
      <c r="H15" s="516" t="str">
        <f>'Multiples Data'!AO$6</f>
        <v>PJT Partners Inc.</v>
      </c>
      <c r="I15" s="516" t="str">
        <f>'Multiples Data'!AP$6</f>
        <v>Moelis &amp; Company</v>
      </c>
      <c r="J15" s="518">
        <f>'Multiples Data'!AQ$6</f>
        <v>0</v>
      </c>
      <c r="L15" s="871">
        <v>0</v>
      </c>
      <c r="M15" s="114" t="str">
        <f>$G$144&amp;" EV/EBITDA Spread to Comps"</f>
        <v>NTM EV/EBITDA Spread to Comps</v>
      </c>
      <c r="Q15" s="341">
        <f ca="1">$R$137</f>
        <v>349.10700660916103</v>
      </c>
      <c r="R15" s="342">
        <f ca="1">Q15/Share_Price-1</f>
        <v>2.3204099209124029E-2</v>
      </c>
    </row>
    <row r="16" spans="1:23" s="23" customFormat="1" ht="14.45" hidden="1" customHeight="1" outlineLevel="1">
      <c r="C16" s="189" t="s">
        <v>393</v>
      </c>
      <c r="D16" s="499">
        <f>D$11</f>
        <v>16.600000000000001</v>
      </c>
      <c r="E16" s="500">
        <f>AVERAGE(F16:J16)</f>
        <v>22.2</v>
      </c>
      <c r="F16" s="345">
        <f>IF($D$24="LTM",'Multiples Data'!AM$88,IF($D$24="NTM",'Multiples Data'!AS$88,"N/A"))</f>
        <v>14.9</v>
      </c>
      <c r="G16" s="345">
        <f>IF($D$24="LTM",'Multiples Data'!AN$88,IF($D$24="NTM",'Multiples Data'!AT$88,"N/A"))</f>
        <v>24.1</v>
      </c>
      <c r="H16" s="345">
        <f>IF($D$24="LTM",'Multiples Data'!AO$88,IF($D$24="NTM",'Multiples Data'!AU$88,"N/A"))</f>
        <v>24.8</v>
      </c>
      <c r="I16" s="345">
        <f>IF($D$24="LTM",'Multiples Data'!AP$88,IF($D$24="NTM",'Multiples Data'!AV$88,"N/A"))</f>
        <v>23.6</v>
      </c>
      <c r="J16" s="345">
        <f>IF($D$24="LTM",'Multiples Data'!AQ$88,IF($D$24="NTM",'Multiples Data'!AW$88,"N/A"))</f>
        <v>23.6</v>
      </c>
      <c r="M16" s="243" t="s">
        <v>435</v>
      </c>
      <c r="Q16" s="341"/>
      <c r="R16" s="342"/>
    </row>
    <row r="17" spans="1:31" s="23" customFormat="1" ht="14.45" hidden="1" customHeight="1" outlineLevel="1">
      <c r="C17" s="189" t="s">
        <v>334</v>
      </c>
      <c r="D17" s="501">
        <f>D$12</f>
        <v>12.1</v>
      </c>
      <c r="E17" s="502">
        <f>AVERAGE(F17:J17)</f>
        <v>13.616</v>
      </c>
      <c r="F17" s="345">
        <f>IF($D$24="LTM",'Multiples Data'!AY$88,IF($D$24="NTM",'Multiples Data'!BE$88,"N/A"))</f>
        <v>10.3</v>
      </c>
      <c r="G17" s="345">
        <f>IF($D$24="LTM",'Multiples Data'!AZ$88,IF($D$24="NTM",'Multiples Data'!BF$88,"N/A"))</f>
        <v>14.98</v>
      </c>
      <c r="H17" s="345">
        <f>IF($D$24="LTM",'Multiples Data'!BA$88,IF($D$24="NTM",'Multiples Data'!BG$88,"N/A"))</f>
        <v>13.5</v>
      </c>
      <c r="I17" s="345">
        <f>IF($D$24="LTM",'Multiples Data'!BB$88,IF($D$24="NTM",'Multiples Data'!BH$88,"N/A"))</f>
        <v>15.8</v>
      </c>
      <c r="J17" s="345">
        <f>IF($D$24="LTM",'Multiples Data'!BC$88,IF($D$24="NTM",'Multiples Data'!BI$88,"N/A"))</f>
        <v>13.5</v>
      </c>
      <c r="L17" s="871">
        <v>0</v>
      </c>
      <c r="M17" s="114" t="str">
        <f>$G$222&amp;" P/E"</f>
        <v>NTM P/E</v>
      </c>
      <c r="Q17" s="341">
        <f ca="1">$F$204</f>
        <v>569.1338173370865</v>
      </c>
      <c r="R17" s="342">
        <f ca="1">Q17/Share_Price-1</f>
        <v>0.66808469573283658</v>
      </c>
    </row>
    <row r="18" spans="1:31" s="23" customFormat="1" ht="14.45" hidden="1" customHeight="1" outlineLevel="1">
      <c r="L18" s="871">
        <v>0</v>
      </c>
      <c r="M18" s="114" t="str">
        <f>$G$222&amp;" P/E Spread to Comps"</f>
        <v>NTM P/E Spread to Comps</v>
      </c>
      <c r="Q18" s="341">
        <f ca="1">$J$204</f>
        <v>507.81531022468602</v>
      </c>
      <c r="R18" s="342">
        <f ca="1">Q18/Share_Price-1</f>
        <v>0.4883651637641373</v>
      </c>
    </row>
    <row r="19" spans="1:31" s="23" customFormat="1" ht="14.45" hidden="1" customHeight="1" outlineLevel="1">
      <c r="C19" s="997" t="str">
        <f>'Multiples Data'!BL4</f>
        <v>Cap. Goods Peer Group</v>
      </c>
      <c r="D19" s="998"/>
      <c r="E19" s="998"/>
      <c r="F19" s="998"/>
      <c r="G19" s="998"/>
      <c r="H19" s="998"/>
      <c r="I19" s="998"/>
      <c r="J19" s="999"/>
      <c r="L19" s="871">
        <v>0</v>
      </c>
      <c r="M19" s="114" t="str">
        <f>$G$222&amp;" EV/EBITDA"</f>
        <v>NTM EV/EBITDA</v>
      </c>
      <c r="Q19" s="341">
        <f ca="1">$N$215</f>
        <v>258.07623118715622</v>
      </c>
      <c r="R19" s="342">
        <f ca="1">Q19/Share_Price-1</f>
        <v>-0.24359966239586084</v>
      </c>
    </row>
    <row r="20" spans="1:31" s="23" customFormat="1" ht="14.45" hidden="1" customHeight="1" outlineLevel="1">
      <c r="C20" s="344"/>
      <c r="D20" s="516" t="str">
        <f>Ticker</f>
        <v>EVR</v>
      </c>
      <c r="E20" s="516" t="s">
        <v>352</v>
      </c>
      <c r="F20" s="517" t="str">
        <f>'Multiples Data'!BM$6</f>
        <v>Lazard, Inc.</v>
      </c>
      <c r="G20" s="516" t="str">
        <f>'Multiples Data'!BN$6</f>
        <v>Houlihan Lokey, Inc.</v>
      </c>
      <c r="H20" s="516" t="str">
        <f>'Multiples Data'!BO$6</f>
        <v>PJT Partners Inc.</v>
      </c>
      <c r="I20" s="516" t="str">
        <f>'Multiples Data'!BP$6</f>
        <v>Moelis &amp; Company</v>
      </c>
      <c r="J20" s="518">
        <f>'Multiples Data'!BQ$6</f>
        <v>0</v>
      </c>
      <c r="L20" s="871">
        <v>0</v>
      </c>
      <c r="M20" s="114" t="str">
        <f>$G$222&amp;" EV/EBITDA Spread to Comps"</f>
        <v>NTM EV/EBITDA Spread to Comps</v>
      </c>
      <c r="Q20" s="341">
        <f ca="1">$R$215</f>
        <v>405.62512638654033</v>
      </c>
      <c r="R20" s="342">
        <f ca="1">Q20/Share_Price-1</f>
        <v>0.18885408829842709</v>
      </c>
    </row>
    <row r="21" spans="1:31" s="23" customFormat="1" ht="14.45" hidden="1" customHeight="1" outlineLevel="1">
      <c r="C21" s="189" t="s">
        <v>393</v>
      </c>
      <c r="D21" s="499">
        <f>D$11</f>
        <v>16.600000000000001</v>
      </c>
      <c r="E21" s="500">
        <f>AVERAGE(F21:J21)</f>
        <v>22.2</v>
      </c>
      <c r="F21" s="345">
        <f>IF($D$24="LTM",'Multiples Data'!BM$88,IF($D$24="NTM",'Multiples Data'!BS$88,"N/A"))</f>
        <v>14.9</v>
      </c>
      <c r="G21" s="345">
        <f>IF($D$24="LTM",'Multiples Data'!BN$88,IF($D$24="NTM",'Multiples Data'!BT$88,"N/A"))</f>
        <v>24.1</v>
      </c>
      <c r="H21" s="345">
        <f>IF($D$24="LTM",'Multiples Data'!BO$88,IF($D$24="NTM",'Multiples Data'!BU$88,"N/A"))</f>
        <v>24.8</v>
      </c>
      <c r="I21" s="345">
        <f>IF($D$24="LTM",'Multiples Data'!BP$88,IF($D$24="NTM",'Multiples Data'!BV$88,"N/A"))</f>
        <v>23.6</v>
      </c>
      <c r="J21" s="345">
        <f>IF($D$24="LTM",'Multiples Data'!BQ$88,IF($D$24="NTM",'Multiples Data'!BW$88,"N/A"))</f>
        <v>23.6</v>
      </c>
      <c r="M21" s="243" t="s">
        <v>409</v>
      </c>
      <c r="Q21" s="341"/>
      <c r="R21" s="342"/>
    </row>
    <row r="22" spans="1:31" s="23" customFormat="1" ht="14.45" hidden="1" customHeight="1" outlineLevel="1">
      <c r="C22" s="189" t="s">
        <v>334</v>
      </c>
      <c r="D22" s="501">
        <f>D$12</f>
        <v>12.1</v>
      </c>
      <c r="E22" s="502">
        <f>AVERAGE(F22:J22)</f>
        <v>13.616</v>
      </c>
      <c r="F22" s="345">
        <f>IF($D$24="LTM",'Multiples Data'!BY$88,IF($D$24="NTM",'Multiples Data'!CE$88,"N/A"))</f>
        <v>10.3</v>
      </c>
      <c r="G22" s="345">
        <f>IF($D$24="LTM",'Multiples Data'!BZ$88,IF($D$24="NTM",'Multiples Data'!CF$88,"N/A"))</f>
        <v>14.98</v>
      </c>
      <c r="H22" s="345">
        <f>IF($D$24="LTM",'Multiples Data'!CA$88,IF($D$24="NTM",'Multiples Data'!CG$88,"N/A"))</f>
        <v>13.5</v>
      </c>
      <c r="I22" s="345">
        <f>IF($D$24="LTM",'Multiples Data'!CB$88,IF($D$24="NTM",'Multiples Data'!CH$88,"N/A"))</f>
        <v>15.8</v>
      </c>
      <c r="J22" s="345">
        <f>IF($D$24="LTM",'Multiples Data'!CC$88,IF($D$24="NTM",'Multiples Data'!CI$88,"N/A"))</f>
        <v>13.5</v>
      </c>
      <c r="L22" s="871">
        <v>0</v>
      </c>
      <c r="M22" s="346" t="str">
        <f>D24&amp;" EV/EBITDA"</f>
        <v>NTM EV/EBITDA</v>
      </c>
      <c r="N22" s="155"/>
      <c r="O22" s="155"/>
      <c r="P22" s="155"/>
      <c r="Q22" s="347">
        <f ca="1">$R$284</f>
        <v>2276.1580155448619</v>
      </c>
      <c r="R22" s="348">
        <f ca="1">Q22/Share_Price-1</f>
        <v>5.6712330828713089</v>
      </c>
    </row>
    <row r="23" spans="1:31" s="23" customFormat="1" ht="14.45" hidden="1" customHeight="1" outlineLevel="1">
      <c r="C23" s="189"/>
      <c r="D23" s="345"/>
      <c r="E23" s="345"/>
      <c r="F23" s="345"/>
      <c r="G23" s="345"/>
      <c r="H23" s="345"/>
      <c r="I23" s="345"/>
      <c r="J23" s="345"/>
      <c r="L23" s="342"/>
      <c r="M23" s="23" t="s">
        <v>480</v>
      </c>
      <c r="Q23" s="341">
        <f ca="1">AVERAGE(Q9:Q22)</f>
        <v>610.99504050368057</v>
      </c>
      <c r="R23" s="342">
        <f ca="1">Q23/Share_Price-1</f>
        <v>0.790776518959174</v>
      </c>
    </row>
    <row r="24" spans="1:31" s="23" customFormat="1" ht="14.45" customHeight="1" collapsed="1">
      <c r="C24" s="23" t="s">
        <v>421</v>
      </c>
      <c r="D24" s="484" t="s">
        <v>422</v>
      </c>
      <c r="H24" s="345"/>
      <c r="I24" s="345"/>
      <c r="J24" s="345"/>
      <c r="L24" s="24"/>
      <c r="M24" s="204" t="s">
        <v>629</v>
      </c>
      <c r="N24" s="204"/>
      <c r="O24" s="1054"/>
      <c r="P24" s="204"/>
      <c r="Q24" s="1055">
        <f ca="1">SUMPRODUCT(Q9:Q22,L9:L22)</f>
        <v>431.26524815589744</v>
      </c>
      <c r="R24" s="1056">
        <f ca="1">Q24/Share_Price-1</f>
        <v>0.26400318929598598</v>
      </c>
      <c r="W24" s="221"/>
      <c r="AE24" s="23">
        <f>AVERAGE(356,336)</f>
        <v>346</v>
      </c>
    </row>
    <row r="25" spans="1:31" s="23" customFormat="1" ht="14.45" customHeight="1">
      <c r="D25"/>
      <c r="H25" s="345"/>
      <c r="I25" s="345"/>
      <c r="J25" s="345"/>
      <c r="L25" s="24"/>
      <c r="O25" s="349"/>
      <c r="Q25" s="341"/>
      <c r="R25" s="342"/>
    </row>
    <row r="26" spans="1:31" s="23" customFormat="1" ht="12.75" hidden="1" outlineLevel="1">
      <c r="N26" s="350">
        <v>1</v>
      </c>
      <c r="O26" s="350">
        <f>N26+1</f>
        <v>2</v>
      </c>
      <c r="P26" s="350">
        <f>O26+1</f>
        <v>3</v>
      </c>
      <c r="Q26" s="350">
        <f>P26+1</f>
        <v>4</v>
      </c>
      <c r="R26" s="350">
        <f>Q26+1</f>
        <v>5</v>
      </c>
    </row>
    <row r="27" spans="1:31" s="23" customFormat="1" ht="6.75" customHeight="1" collapsed="1">
      <c r="J27" s="163">
        <f>LEN(J28)</f>
        <v>5</v>
      </c>
      <c r="K27" s="163">
        <f t="shared" ref="K27:M27" si="0">LEN(K28)</f>
        <v>5</v>
      </c>
      <c r="L27" s="163">
        <f t="shared" si="0"/>
        <v>5</v>
      </c>
      <c r="M27" s="163">
        <f t="shared" si="0"/>
        <v>5</v>
      </c>
      <c r="N27" s="350"/>
      <c r="O27" s="350"/>
      <c r="P27" s="350"/>
      <c r="Q27" s="350"/>
      <c r="R27" s="350"/>
    </row>
    <row r="28" spans="1:31" s="23" customFormat="1" ht="12.75" hidden="1" outlineLevel="1">
      <c r="A28" s="22" t="s">
        <v>1</v>
      </c>
      <c r="C28" s="519" t="s">
        <v>542</v>
      </c>
      <c r="D28" s="520"/>
      <c r="E28" s="520"/>
      <c r="F28" s="520"/>
      <c r="G28" s="521">
        <f>G29</f>
        <v>2024</v>
      </c>
      <c r="H28" s="521">
        <f>H29</f>
        <v>2025</v>
      </c>
      <c r="I28" s="521">
        <f>I29</f>
        <v>2026</v>
      </c>
      <c r="J28" s="522" t="str">
        <f>IF(Last_FQR="4Q","1Q"&amp;RIGHT(J29,2)&amp;"e","1Q"&amp;RIGHT(J29,2))</f>
        <v>1Q27e</v>
      </c>
      <c r="K28" s="521" t="str">
        <f>IF(Last_FQR="4Q","2Q"&amp;RIGHT(K29,2)&amp;"e",IF(Last_FQR="1Q","2Q"&amp;RIGHT(K29,2)&amp;"e","2Q"&amp;RIGHT(K29,2)))</f>
        <v>2Q27e</v>
      </c>
      <c r="L28" s="521" t="str">
        <f>IF(Last_FQR="4Q","3Q"&amp;RIGHT(L29,2)&amp;"e",IF(Last_FQR="1Q","3Q"&amp;RIGHT(L29,2)&amp;"e",IF(Last_FQR="2Q","3Q"&amp;RIGHT(L29,2)&amp;"e","3Q"&amp;RIGHT(L29,2))))</f>
        <v>3Q27e</v>
      </c>
      <c r="M28" s="523" t="str">
        <f>"4Q"&amp;RIGHT(M29,2)&amp;"e"</f>
        <v>4Q27e</v>
      </c>
      <c r="N28" s="521" t="str">
        <f>N29&amp;"e"</f>
        <v>2027e</v>
      </c>
      <c r="O28" s="521" t="str">
        <f>O29&amp;"e"</f>
        <v>2028e</v>
      </c>
      <c r="P28" s="521" t="str">
        <f>P29&amp;"e"</f>
        <v>2029e</v>
      </c>
      <c r="Q28" s="521" t="str">
        <f>Q29&amp;"e"</f>
        <v>2030e</v>
      </c>
      <c r="R28" s="524" t="str">
        <f>R29&amp;"e"</f>
        <v>2031e</v>
      </c>
      <c r="S28" s="548" t="s">
        <v>1</v>
      </c>
    </row>
    <row r="29" spans="1:31" s="23" customFormat="1" ht="12.75" hidden="1" outlineLevel="1">
      <c r="A29" s="351"/>
      <c r="B29" s="352"/>
      <c r="C29" s="525"/>
      <c r="D29" s="526"/>
      <c r="E29" s="526"/>
      <c r="F29" s="526"/>
      <c r="G29" s="527">
        <f>H29-1</f>
        <v>2024</v>
      </c>
      <c r="H29" s="527">
        <f>I29-1</f>
        <v>2025</v>
      </c>
      <c r="I29" s="527">
        <f>YEAR(Last_FYE)</f>
        <v>2026</v>
      </c>
      <c r="J29" s="527">
        <f>I29+1</f>
        <v>2027</v>
      </c>
      <c r="K29" s="527">
        <f>J29</f>
        <v>2027</v>
      </c>
      <c r="L29" s="527">
        <f>K29</f>
        <v>2027</v>
      </c>
      <c r="M29" s="527">
        <f>L29</f>
        <v>2027</v>
      </c>
      <c r="N29" s="527">
        <f>M29</f>
        <v>2027</v>
      </c>
      <c r="O29" s="527">
        <f>N29+1</f>
        <v>2028</v>
      </c>
      <c r="P29" s="527">
        <f>O29+1</f>
        <v>2029</v>
      </c>
      <c r="Q29" s="527">
        <f>P29+1</f>
        <v>2030</v>
      </c>
      <c r="R29" s="528">
        <f>Q29+1</f>
        <v>2031</v>
      </c>
      <c r="S29" s="351"/>
    </row>
    <row r="30" spans="1:31" s="23" customFormat="1" ht="5.0999999999999996" hidden="1" customHeight="1" outlineLevel="1">
      <c r="J30" s="488"/>
      <c r="K30" s="485"/>
      <c r="L30" s="485"/>
      <c r="M30" s="489"/>
    </row>
    <row r="31" spans="1:31" s="23" customFormat="1" ht="12.75" hidden="1" outlineLevel="1">
      <c r="C31" s="23" t="str">
        <f>Model!C28</f>
        <v>Revenue</v>
      </c>
      <c r="G31" s="71">
        <f>Model!J28</f>
        <v>2442666</v>
      </c>
      <c r="H31" s="71">
        <f>Model!O28</f>
        <v>2996361</v>
      </c>
      <c r="I31" s="71">
        <f>Model!T28</f>
        <v>3880084</v>
      </c>
      <c r="J31" s="529">
        <f>Model!U28</f>
        <v>1400469</v>
      </c>
      <c r="K31" s="530">
        <f>Model!V28</f>
        <v>1541864.1675</v>
      </c>
      <c r="L31" s="530">
        <f>Model!W28</f>
        <v>1718730.9434175</v>
      </c>
      <c r="M31" s="531">
        <f>Model!X28</f>
        <v>2113727.5750644035</v>
      </c>
      <c r="N31" s="71">
        <f>Model!Y28</f>
        <v>6774791.6859819032</v>
      </c>
      <c r="O31" s="71">
        <f>Model!AD28</f>
        <v>7663353.3862973023</v>
      </c>
      <c r="P31" s="71">
        <f>Model!AE28</f>
        <v>7894057.7637738818</v>
      </c>
      <c r="Q31" s="71">
        <f>Model!AF28</f>
        <v>7727144.4667526977</v>
      </c>
      <c r="R31" s="71">
        <f>Model!AG28</f>
        <v>7330353.4317446342</v>
      </c>
    </row>
    <row r="32" spans="1:31" s="23" customFormat="1" ht="12.75" hidden="1" outlineLevel="1">
      <c r="C32" s="49" t="str">
        <f>Model!C62</f>
        <v>EBITDA</v>
      </c>
      <c r="G32" s="103">
        <f>Model!J62</f>
        <v>400200</v>
      </c>
      <c r="H32" s="103">
        <f ca="1">Model!O62</f>
        <v>568150</v>
      </c>
      <c r="I32" s="103">
        <f>Model!T62</f>
        <v>846763</v>
      </c>
      <c r="J32" s="490">
        <f>Model!U62</f>
        <v>352055</v>
      </c>
      <c r="K32" s="486">
        <f>Model!V62</f>
        <v>323791.47517500003</v>
      </c>
      <c r="L32" s="486">
        <f>Model!W62</f>
        <v>378980.1730235588</v>
      </c>
      <c r="M32" s="491">
        <f>Model!X62</f>
        <v>518920.11967831111</v>
      </c>
      <c r="N32" s="103">
        <f>Model!Y62</f>
        <v>1573746.76787687</v>
      </c>
      <c r="O32" s="103">
        <f ca="1">Model!AD62</f>
        <v>1743237.2066020181</v>
      </c>
      <c r="P32" s="103">
        <f ca="1">Model!AE62</f>
        <v>1817103.5744868633</v>
      </c>
      <c r="Q32" s="103">
        <f ca="1">Model!AF62</f>
        <v>1661971.7826855932</v>
      </c>
      <c r="R32" s="103">
        <f ca="1">Model!AG62</f>
        <v>2051150.728047221</v>
      </c>
    </row>
    <row r="33" spans="2:18" s="23" customFormat="1" ht="12.75" hidden="1" outlineLevel="1">
      <c r="C33" s="23" t="str">
        <f>Model!C60</f>
        <v>EBIT</v>
      </c>
      <c r="G33" s="103">
        <f>Model!J37</f>
        <v>375852</v>
      </c>
      <c r="H33" s="103">
        <f ca="1">Model!O37</f>
        <v>543682</v>
      </c>
      <c r="I33" s="103">
        <f>Model!T37</f>
        <v>814206</v>
      </c>
      <c r="J33" s="490">
        <f>Model!U37</f>
        <v>339617</v>
      </c>
      <c r="K33" s="486">
        <f>Model!V37</f>
        <v>315373.10017500003</v>
      </c>
      <c r="L33" s="486">
        <f>Model!W37</f>
        <v>370051.20502613066</v>
      </c>
      <c r="M33" s="491">
        <f>Model!X37</f>
        <v>509628.06487249187</v>
      </c>
      <c r="N33" s="103">
        <f>Model!Y37</f>
        <v>1534669.3700736226</v>
      </c>
      <c r="O33" s="103">
        <f>Model!AD37</f>
        <v>1739507.7691883887</v>
      </c>
      <c r="P33" s="103">
        <f>Model!AE37</f>
        <v>1798534.739430747</v>
      </c>
      <c r="Q33" s="103">
        <f>Model!AF37</f>
        <v>1632271.3819773886</v>
      </c>
      <c r="R33" s="103">
        <f>Model!AG37</f>
        <v>2012773.1094062608</v>
      </c>
    </row>
    <row r="34" spans="2:18" s="23" customFormat="1" ht="12.75" hidden="1" outlineLevel="1">
      <c r="C34" s="28" t="str">
        <f>Model!C45</f>
        <v>Income Tax Benefit (Expense)</v>
      </c>
      <c r="G34" s="107">
        <f>Model!J45</f>
        <v>-80567</v>
      </c>
      <c r="H34" s="107">
        <f>Model!O45</f>
        <v>-115408</v>
      </c>
      <c r="I34" s="107">
        <f>Model!T45</f>
        <v>-153107</v>
      </c>
      <c r="J34" s="492">
        <f>Model!U45</f>
        <v>-9056</v>
      </c>
      <c r="K34" s="487">
        <f ca="1">Model!V45</f>
        <v>-76934.170335625007</v>
      </c>
      <c r="L34" s="487">
        <f ca="1">Model!W45</f>
        <v>-85209.238197843821</v>
      </c>
      <c r="M34" s="493">
        <f ca="1">Model!X45</f>
        <v>-125641.72736188908</v>
      </c>
      <c r="N34" s="107">
        <f ca="1">Model!Y45</f>
        <v>-296841.13589535793</v>
      </c>
      <c r="O34" s="107">
        <f ca="1">Model!AD45</f>
        <v>-382815.60423996544</v>
      </c>
      <c r="P34" s="107">
        <f ca="1">Model!AE45</f>
        <v>-428862.28896873293</v>
      </c>
      <c r="Q34" s="107">
        <f ca="1">Model!AF45</f>
        <v>-388884.72479735676</v>
      </c>
      <c r="R34" s="107">
        <f ca="1">Model!AG45</f>
        <v>-481418.84550474002</v>
      </c>
    </row>
    <row r="35" spans="2:18" s="23" customFormat="1" ht="12.75" hidden="1" outlineLevel="1">
      <c r="C35" s="23" t="s">
        <v>254</v>
      </c>
      <c r="G35" s="71">
        <f>SUM(G33:G34)</f>
        <v>295285</v>
      </c>
      <c r="H35" s="71">
        <f t="shared" ref="H35:R35" ca="1" si="1">SUM(H33:H34)</f>
        <v>428274</v>
      </c>
      <c r="I35" s="71">
        <f t="shared" si="1"/>
        <v>661099</v>
      </c>
      <c r="J35" s="529">
        <f t="shared" si="1"/>
        <v>330561</v>
      </c>
      <c r="K35" s="530">
        <f t="shared" ca="1" si="1"/>
        <v>238438.92983937502</v>
      </c>
      <c r="L35" s="530">
        <f t="shared" ca="1" si="1"/>
        <v>284841.96682828682</v>
      </c>
      <c r="M35" s="531">
        <f t="shared" ca="1" si="1"/>
        <v>383986.33751060278</v>
      </c>
      <c r="N35" s="71">
        <f t="shared" ca="1" si="1"/>
        <v>1237828.2341782646</v>
      </c>
      <c r="O35" s="71">
        <f t="shared" ca="1" si="1"/>
        <v>1356692.1649484234</v>
      </c>
      <c r="P35" s="71">
        <f t="shared" ca="1" si="1"/>
        <v>1369672.4504620139</v>
      </c>
      <c r="Q35" s="71">
        <f t="shared" ca="1" si="1"/>
        <v>1243386.6571800318</v>
      </c>
      <c r="R35" s="71">
        <f t="shared" ca="1" si="1"/>
        <v>1531354.2639015208</v>
      </c>
    </row>
    <row r="36" spans="2:18" s="23" customFormat="1" ht="12.75" hidden="1" outlineLevel="1">
      <c r="C36" s="24" t="s">
        <v>541</v>
      </c>
      <c r="G36" s="71"/>
      <c r="H36" s="137">
        <f ca="1">H35/G35-1</f>
        <v>0.45037506138137728</v>
      </c>
      <c r="I36" s="137">
        <f ca="1">I35/H35-1</f>
        <v>0.54363561645115044</v>
      </c>
      <c r="J36" s="532"/>
      <c r="K36" s="533"/>
      <c r="L36" s="533"/>
      <c r="M36" s="534"/>
      <c r="N36" s="137">
        <f ca="1">N35/I35-1</f>
        <v>0.8723795289030305</v>
      </c>
      <c r="O36" s="137">
        <f ca="1">O35/N35-1</f>
        <v>9.6026191266405325E-2</v>
      </c>
      <c r="P36" s="137">
        <f ca="1">P35/O35-1</f>
        <v>9.5675981987290992E-3</v>
      </c>
      <c r="Q36" s="137">
        <f ca="1">Q35/P35-1</f>
        <v>-9.220145534750579E-2</v>
      </c>
      <c r="R36" s="137">
        <f ca="1">R35/Q35-1</f>
        <v>0.23159940237302523</v>
      </c>
    </row>
    <row r="37" spans="2:18" s="23" customFormat="1" ht="12.75" hidden="1" outlineLevel="1">
      <c r="J37" s="488"/>
      <c r="K37" s="485"/>
      <c r="L37" s="485"/>
      <c r="M37" s="489"/>
    </row>
    <row r="38" spans="2:18" s="23" customFormat="1" ht="12.75" hidden="1" outlineLevel="1">
      <c r="C38" s="28" t="str">
        <f>Model!C78</f>
        <v>Depreciation &amp; Amortization</v>
      </c>
      <c r="G38" s="103"/>
      <c r="H38" s="103"/>
      <c r="I38" s="103"/>
      <c r="J38" s="490">
        <f>-Model!U35</f>
        <v>12438</v>
      </c>
      <c r="K38" s="486">
        <f>-Model!V35</f>
        <v>8418.375</v>
      </c>
      <c r="L38" s="486">
        <f>-Model!W35</f>
        <v>8928.9679974281244</v>
      </c>
      <c r="M38" s="491">
        <f>-Model!X35</f>
        <v>9292.0548058192126</v>
      </c>
      <c r="N38" s="103">
        <f>-Model!Y35</f>
        <v>39077.397803247339</v>
      </c>
      <c r="O38" s="103">
        <f>-Model!AD35</f>
        <v>41729.437413629232</v>
      </c>
      <c r="P38" s="103">
        <f>-Model!AE35</f>
        <v>56568.835056116077</v>
      </c>
      <c r="Q38" s="103">
        <f>-Model!AF35</f>
        <v>67700.400708204674</v>
      </c>
      <c r="R38" s="103">
        <f>-Model!AG35</f>
        <v>76377.618640960121</v>
      </c>
    </row>
    <row r="39" spans="2:18" s="23" customFormat="1" ht="12.75" hidden="1" outlineLevel="1">
      <c r="C39" s="28" t="str">
        <f>Model!C79</f>
        <v>Stock-Based Compensation</v>
      </c>
      <c r="G39" s="103"/>
      <c r="H39" s="103"/>
      <c r="I39" s="103"/>
      <c r="J39" s="490">
        <f>Model!U248</f>
        <v>122211</v>
      </c>
      <c r="K39" s="486">
        <f>Model!V248</f>
        <v>134549.7556706664</v>
      </c>
      <c r="L39" s="486">
        <f>Model!W248</f>
        <v>149983.9177632608</v>
      </c>
      <c r="M39" s="491">
        <f>Model!X248</f>
        <v>184453.03728693447</v>
      </c>
      <c r="N39" s="103">
        <f>Model!Y248</f>
        <v>591197.71072086168</v>
      </c>
      <c r="O39" s="103">
        <f>Model!AD248</f>
        <v>668737.45916030963</v>
      </c>
      <c r="P39" s="103">
        <f>Model!AE248</f>
        <v>688869.72390575579</v>
      </c>
      <c r="Q39" s="103">
        <f>Model!AF248</f>
        <v>674304.14555860497</v>
      </c>
      <c r="R39" s="103">
        <f>Model!AG248</f>
        <v>639678.4386137384</v>
      </c>
    </row>
    <row r="40" spans="2:18" s="23" customFormat="1" ht="12.75" hidden="1" outlineLevel="1">
      <c r="C40" s="28" t="str">
        <f>Model!C84</f>
        <v>Capital Expenditures</v>
      </c>
      <c r="G40" s="103"/>
      <c r="H40" s="103"/>
      <c r="I40" s="103"/>
      <c r="J40" s="490">
        <f>-Model!U195</f>
        <v>-3103</v>
      </c>
      <c r="K40" s="486">
        <f>-Model!V195</f>
        <v>-23127.962512499998</v>
      </c>
      <c r="L40" s="486">
        <f>-Model!W195</f>
        <v>-25780.964151262498</v>
      </c>
      <c r="M40" s="491">
        <f>-Model!X195</f>
        <v>-31705.913625966052</v>
      </c>
      <c r="N40" s="103">
        <f>-Model!Y195</f>
        <v>-83717.840289728541</v>
      </c>
      <c r="O40" s="103">
        <f>-Model!AD195</f>
        <v>-114950.30079445953</v>
      </c>
      <c r="P40" s="103">
        <f>-Model!AE195</f>
        <v>-118410.86645660823</v>
      </c>
      <c r="Q40" s="103">
        <f>-Model!AF195</f>
        <v>-115907.16700129047</v>
      </c>
      <c r="R40" s="103">
        <f>-Model!AG195</f>
        <v>-109955.30147616951</v>
      </c>
    </row>
    <row r="41" spans="2:18" s="23" customFormat="1" ht="12.75" hidden="1" outlineLevel="1">
      <c r="C41" s="28" t="str">
        <f>Drivers!C67</f>
        <v>Goodwill Impairment</v>
      </c>
      <c r="G41" s="103"/>
      <c r="H41" s="103"/>
      <c r="I41" s="103"/>
      <c r="J41" s="490">
        <f>Model!U41</f>
        <v>0</v>
      </c>
      <c r="K41" s="486">
        <f>Model!V41</f>
        <v>0</v>
      </c>
      <c r="L41" s="486">
        <f>Model!W41</f>
        <v>0</v>
      </c>
      <c r="M41" s="491">
        <f>Model!X41</f>
        <v>0</v>
      </c>
      <c r="N41" s="103">
        <f>Model!Y41</f>
        <v>0</v>
      </c>
      <c r="O41" s="103">
        <f>Model!AD41</f>
        <v>0</v>
      </c>
      <c r="P41" s="103">
        <f>Model!AE41</f>
        <v>0</v>
      </c>
      <c r="Q41" s="103">
        <f>Model!AF41</f>
        <v>0</v>
      </c>
      <c r="R41" s="103">
        <f>Model!AG41</f>
        <v>0</v>
      </c>
    </row>
    <row r="42" spans="2:18" s="23" customFormat="1" ht="12.75" hidden="1" outlineLevel="1">
      <c r="C42" s="28" t="str">
        <f>Model!C80</f>
        <v>(Increase)/Decrease in Working Capital</v>
      </c>
      <c r="G42" s="103"/>
      <c r="H42" s="103"/>
      <c r="I42" s="103"/>
      <c r="J42" s="490">
        <f>Model!U112</f>
        <v>-71407</v>
      </c>
      <c r="K42" s="486">
        <f>Model!V112</f>
        <v>-12212.164790109848</v>
      </c>
      <c r="L42" s="486">
        <f>Model!W112</f>
        <v>-96101.309869790217</v>
      </c>
      <c r="M42" s="491">
        <f>Model!X112</f>
        <v>-158685.60332249489</v>
      </c>
      <c r="N42" s="103">
        <f>Model!Y112</f>
        <v>-338406.07798239496</v>
      </c>
      <c r="O42" s="103">
        <f>Model!AD112</f>
        <v>-131140.54954510462</v>
      </c>
      <c r="P42" s="103">
        <f>Model!AE112</f>
        <v>11825.691467788769</v>
      </c>
      <c r="Q42" s="103">
        <f>Model!AF112</f>
        <v>20477.746412626351</v>
      </c>
      <c r="R42" s="103">
        <f>Model!AG112</f>
        <v>48680.280952496105</v>
      </c>
    </row>
    <row r="43" spans="2:18" s="23" customFormat="1" ht="12.75" hidden="1" outlineLevel="1">
      <c r="C43" s="28" t="str">
        <f>Model!C81</f>
        <v>(Increase)/Decrease in LT Items</v>
      </c>
      <c r="G43" s="103"/>
      <c r="H43" s="103"/>
      <c r="I43" s="103"/>
      <c r="J43" s="490">
        <f>Model!U81</f>
        <v>0</v>
      </c>
      <c r="K43" s="486">
        <f>Model!V81</f>
        <v>-1063.3579999997746</v>
      </c>
      <c r="L43" s="486">
        <f>Model!W81</f>
        <v>-3193.2640739998315</v>
      </c>
      <c r="M43" s="491">
        <f>Model!X81</f>
        <v>-1067.6146220739465</v>
      </c>
      <c r="N43" s="103">
        <f>Model!Y81</f>
        <v>-5324.2366960735526</v>
      </c>
      <c r="O43" s="103">
        <f>Model!AD81</f>
        <v>-6424.9282970447093</v>
      </c>
      <c r="P43" s="103">
        <f>Model!AE81</f>
        <v>-5375.5358249654528</v>
      </c>
      <c r="Q43" s="103">
        <f>Model!AF81</f>
        <v>-5402.413504090393</v>
      </c>
      <c r="R43" s="103">
        <f>Model!AG81</f>
        <v>-5429.4255716106854</v>
      </c>
    </row>
    <row r="44" spans="2:18" s="23" customFormat="1" ht="12.75" hidden="1" outlineLevel="1">
      <c r="J44" s="488"/>
      <c r="K44" s="485"/>
      <c r="L44" s="485"/>
      <c r="M44" s="489"/>
    </row>
    <row r="45" spans="2:18" s="23" customFormat="1" ht="12.75" hidden="1" outlineLevel="1">
      <c r="B45" s="83"/>
      <c r="C45" s="141" t="s">
        <v>261</v>
      </c>
      <c r="D45" s="141"/>
      <c r="E45" s="141"/>
      <c r="F45" s="141"/>
      <c r="G45" s="141"/>
      <c r="H45" s="141"/>
      <c r="I45" s="141"/>
      <c r="J45" s="535">
        <f t="shared" ref="J45:Q45" si="2">SUM(J35:J43)</f>
        <v>390700</v>
      </c>
      <c r="K45" s="536">
        <f t="shared" ca="1" si="2"/>
        <v>345003.5752074318</v>
      </c>
      <c r="L45" s="536">
        <f t="shared" ca="1" si="2"/>
        <v>318679.31449392327</v>
      </c>
      <c r="M45" s="537">
        <f t="shared" ca="1" si="2"/>
        <v>386272.29803282162</v>
      </c>
      <c r="N45" s="538">
        <f t="shared" ca="1" si="2"/>
        <v>1440656.0601137057</v>
      </c>
      <c r="O45" s="538">
        <f t="shared" ca="1" si="2"/>
        <v>1814643.3789119446</v>
      </c>
      <c r="P45" s="538">
        <f t="shared" ca="1" si="2"/>
        <v>2003150.3081776989</v>
      </c>
      <c r="Q45" s="538">
        <f t="shared" ca="1" si="2"/>
        <v>1884559.2771526317</v>
      </c>
      <c r="R45" s="539">
        <f ca="1">SUM(R35:R43)</f>
        <v>2180706.1066603377</v>
      </c>
    </row>
    <row r="46" spans="2:18" s="23" customFormat="1" ht="12.75" hidden="1" outlineLevel="1">
      <c r="C46" s="24" t="s">
        <v>541</v>
      </c>
      <c r="H46" s="137"/>
      <c r="I46" s="137"/>
      <c r="J46" s="532"/>
      <c r="K46" s="533"/>
      <c r="L46" s="533"/>
      <c r="M46" s="534"/>
      <c r="N46" s="137"/>
      <c r="O46" s="137">
        <f ca="1">O45/N45-1</f>
        <v>0.25959514498465475</v>
      </c>
      <c r="P46" s="137">
        <f ca="1">P45/O45-1</f>
        <v>0.10388097818910436</v>
      </c>
      <c r="Q46" s="137">
        <f ca="1">Q45/P45-1</f>
        <v>-5.9202262826173802E-2</v>
      </c>
      <c r="R46" s="137">
        <f ca="1">R45/Q45-1</f>
        <v>0.15714381240114261</v>
      </c>
    </row>
    <row r="47" spans="2:18" s="23" customFormat="1" ht="12.75" hidden="1" outlineLevel="1">
      <c r="J47" s="488"/>
      <c r="K47" s="485"/>
      <c r="L47" s="485"/>
      <c r="M47" s="489"/>
    </row>
    <row r="48" spans="2:18" s="23" customFormat="1" ht="12.75" hidden="1" outlineLevel="1">
      <c r="B48" s="83"/>
      <c r="C48" s="141" t="s">
        <v>540</v>
      </c>
      <c r="D48" s="141"/>
      <c r="E48" s="141"/>
      <c r="F48" s="141"/>
      <c r="G48" s="141"/>
      <c r="H48" s="141"/>
      <c r="I48" s="141"/>
      <c r="J48" s="535">
        <f>IF(J27=4,0,J45)</f>
        <v>390700</v>
      </c>
      <c r="K48" s="536">
        <f t="shared" ref="K48:M48" ca="1" si="3">IF(K27=4,0,K45)</f>
        <v>345003.5752074318</v>
      </c>
      <c r="L48" s="536">
        <f t="shared" ca="1" si="3"/>
        <v>318679.31449392327</v>
      </c>
      <c r="M48" s="537">
        <f t="shared" ca="1" si="3"/>
        <v>386272.29803282162</v>
      </c>
      <c r="N48" s="538">
        <f ca="1">SUM(J48:M48)</f>
        <v>1440655.1877341766</v>
      </c>
      <c r="O48" s="538">
        <f ca="1">SUM(O35:O43)</f>
        <v>1814643.3789119446</v>
      </c>
      <c r="P48" s="538">
        <f ca="1">SUM(P35:P43)</f>
        <v>2003150.3081776989</v>
      </c>
      <c r="Q48" s="538">
        <f ca="1">SUM(Q35:Q43)</f>
        <v>1884559.2771526317</v>
      </c>
      <c r="R48" s="539">
        <f ca="1">SUM(R35:R43)</f>
        <v>2180706.1066603377</v>
      </c>
    </row>
    <row r="49" spans="2:28" s="23" customFormat="1" ht="12.75" hidden="1" outlineLevel="1">
      <c r="J49" s="488"/>
      <c r="K49" s="485"/>
      <c r="L49" s="485"/>
      <c r="M49" s="489"/>
    </row>
    <row r="50" spans="2:28" s="23" customFormat="1" ht="12.75" hidden="1" outlineLevel="1">
      <c r="C50" s="24" t="s">
        <v>263</v>
      </c>
      <c r="J50" s="488"/>
      <c r="K50" s="485"/>
      <c r="L50" s="485"/>
      <c r="M50" s="489"/>
      <c r="N50" s="494">
        <f>YEARFRAC(Current_Date,Next_FYE)</f>
        <v>0.73055555555555551</v>
      </c>
      <c r="O50" s="494">
        <f>N50+1</f>
        <v>1.7305555555555556</v>
      </c>
      <c r="P50" s="494">
        <f>O50+1</f>
        <v>2.7305555555555556</v>
      </c>
      <c r="Q50" s="494">
        <f>P50+1</f>
        <v>3.7305555555555556</v>
      </c>
      <c r="R50" s="494">
        <f>Q50+1</f>
        <v>4.7305555555555561</v>
      </c>
    </row>
    <row r="51" spans="2:28" s="23" customFormat="1" ht="12.75" hidden="1" outlineLevel="1">
      <c r="C51" s="24" t="s">
        <v>262</v>
      </c>
      <c r="J51" s="488"/>
      <c r="K51" s="485"/>
      <c r="L51" s="485"/>
      <c r="M51" s="489"/>
      <c r="N51" s="494">
        <f>N50/2</f>
        <v>0.36527777777777776</v>
      </c>
      <c r="O51" s="494">
        <f>O50-0.5</f>
        <v>1.2305555555555556</v>
      </c>
      <c r="P51" s="494">
        <f>P50-0.5</f>
        <v>2.2305555555555556</v>
      </c>
      <c r="Q51" s="494">
        <f>Q50-0.5</f>
        <v>3.2305555555555556</v>
      </c>
      <c r="R51" s="494">
        <f>R50-0.5</f>
        <v>4.2305555555555561</v>
      </c>
    </row>
    <row r="52" spans="2:28" s="23" customFormat="1" ht="12.75" hidden="1" outlineLevel="1">
      <c r="C52" s="24" t="s">
        <v>264</v>
      </c>
      <c r="J52" s="488"/>
      <c r="K52" s="485"/>
      <c r="L52" s="485"/>
      <c r="M52" s="489"/>
      <c r="N52" s="494">
        <f ca="1">IF($G$83="Yes",1/(1+$G$84)^N51,1/(1+$G$84)^N50)</f>
        <v>0.96334305093975148</v>
      </c>
      <c r="O52" s="494">
        <f ca="1">IF($G$83="Yes",1/(1+$G$84)^O51,1/(1+$G$84)^O50)</f>
        <v>0.8817814997564295</v>
      </c>
      <c r="P52" s="494">
        <f ca="1">IF($G$83="Yes",1/(1+$G$84)^P51,1/(1+$G$84)^P50)</f>
        <v>0.79608432513437932</v>
      </c>
      <c r="Q52" s="494">
        <f ca="1">IF($G$83="Yes",1/(1+$G$84)^Q51,1/(1+$G$84)^Q50)</f>
        <v>0.71871575089715323</v>
      </c>
      <c r="R52" s="494">
        <f ca="1">IF($G$83="Yes",1/(1+$G$84)^R51,1/(1+$G$84)^R50)</f>
        <v>0.64886635030838558</v>
      </c>
    </row>
    <row r="53" spans="2:28" s="23" customFormat="1" ht="12.75" hidden="1" outlineLevel="1">
      <c r="J53" s="488"/>
      <c r="K53" s="485"/>
      <c r="L53" s="485"/>
      <c r="M53" s="489"/>
    </row>
    <row r="54" spans="2:28" s="23" customFormat="1" ht="12.75" hidden="1" outlineLevel="1">
      <c r="B54" s="83"/>
      <c r="C54" s="141" t="s">
        <v>268</v>
      </c>
      <c r="D54" s="141"/>
      <c r="E54" s="141"/>
      <c r="F54" s="141"/>
      <c r="G54" s="141"/>
      <c r="H54" s="141"/>
      <c r="I54" s="141"/>
      <c r="J54" s="535"/>
      <c r="K54" s="536"/>
      <c r="L54" s="536"/>
      <c r="M54" s="537"/>
      <c r="N54" s="538">
        <f ca="1">N48*N52</f>
        <v>1387845.1639040222</v>
      </c>
      <c r="O54" s="538">
        <f ca="1">O48*O52</f>
        <v>1600118.9601800493</v>
      </c>
      <c r="P54" s="538">
        <f ca="1">P48*P52</f>
        <v>1594676.5612283673</v>
      </c>
      <c r="Q54" s="538">
        <f ca="1">Q48*Q52</f>
        <v>1354462.4359889501</v>
      </c>
      <c r="R54" s="539">
        <f ca="1">R48*R52</f>
        <v>1414986.8125239024</v>
      </c>
    </row>
    <row r="55" spans="2:28" s="23" customFormat="1" ht="12.75" hidden="1" outlineLevel="1">
      <c r="C55" s="114" t="s">
        <v>215</v>
      </c>
      <c r="J55" s="488"/>
      <c r="K55" s="485"/>
      <c r="L55" s="485"/>
      <c r="M55" s="489"/>
      <c r="O55" s="137">
        <f ca="1">O54/N54-1</f>
        <v>0.15295207404758249</v>
      </c>
      <c r="P55" s="137">
        <f ca="1">P54/O54-1</f>
        <v>-3.4012464617441118E-3</v>
      </c>
      <c r="Q55" s="137">
        <f ca="1">Q54/P54-1</f>
        <v>-0.1506350134439689</v>
      </c>
      <c r="R55" s="137">
        <f ca="1">R54/Q54-1</f>
        <v>4.4685164332934013E-2</v>
      </c>
      <c r="X55" s="23" t="s">
        <v>659</v>
      </c>
    </row>
    <row r="56" spans="2:28" s="23" customFormat="1" ht="12.75" hidden="1" outlineLevel="1"/>
    <row r="57" spans="2:28" s="23" customFormat="1" ht="12.75" hidden="1" outlineLevel="1">
      <c r="G57" s="540" t="s">
        <v>269</v>
      </c>
      <c r="H57" s="170"/>
      <c r="I57" s="170"/>
      <c r="J57" s="170"/>
      <c r="K57" s="26"/>
      <c r="N57" s="540" t="s">
        <v>270</v>
      </c>
      <c r="O57" s="170"/>
      <c r="P57" s="170"/>
      <c r="Q57" s="170"/>
      <c r="R57" s="26"/>
      <c r="X57" s="540" t="s">
        <v>269</v>
      </c>
      <c r="Y57" s="170"/>
      <c r="Z57" s="170"/>
      <c r="AA57" s="170"/>
      <c r="AB57" s="26"/>
    </row>
    <row r="58" spans="2:28" s="23" customFormat="1" ht="5.0999999999999996" hidden="1" customHeight="1" outlineLevel="1">
      <c r="G58" s="251"/>
      <c r="H58" s="204"/>
      <c r="I58" s="204"/>
      <c r="J58" s="204"/>
      <c r="K58" s="252"/>
      <c r="N58" s="251"/>
      <c r="O58" s="204"/>
      <c r="P58" s="204"/>
      <c r="Q58" s="204"/>
      <c r="R58" s="252"/>
      <c r="W58" s="357"/>
      <c r="X58" s="204"/>
      <c r="Y58" s="204"/>
      <c r="Z58" s="204"/>
      <c r="AA58" s="204"/>
      <c r="AB58" s="252"/>
    </row>
    <row r="59" spans="2:28" s="23" customFormat="1" ht="12.75" hidden="1" outlineLevel="1">
      <c r="F59" s="357"/>
      <c r="G59" s="23" t="s">
        <v>271</v>
      </c>
      <c r="K59" s="353">
        <f ca="1">R32</f>
        <v>2051150.728047221</v>
      </c>
      <c r="N59" s="150" t="s">
        <v>272</v>
      </c>
      <c r="R59" s="354">
        <f ca="1">R48</f>
        <v>2180706.1066603377</v>
      </c>
      <c r="W59" s="357"/>
      <c r="X59" s="23" t="s">
        <v>271</v>
      </c>
      <c r="AB59" s="353">
        <f ca="1">R32</f>
        <v>2051150.728047221</v>
      </c>
    </row>
    <row r="60" spans="2:28" s="23" customFormat="1" ht="15" hidden="1" customHeight="1" outlineLevel="1">
      <c r="F60" s="357"/>
      <c r="G60" s="23" t="s">
        <v>273</v>
      </c>
      <c r="K60" s="892">
        <f>IF(Case_Scenario="Bear",Valuation!J84,IF(Case_Scenario="Base",Valuation!J85,IF(Case_Scenario="Bull",Valuation!J86,"Error")))</f>
        <v>9</v>
      </c>
      <c r="N60" s="150" t="s">
        <v>274</v>
      </c>
      <c r="R60" s="355">
        <f>G86</f>
        <v>0.02</v>
      </c>
      <c r="W60" s="357"/>
      <c r="X60" s="23" t="s">
        <v>273</v>
      </c>
      <c r="AB60" s="892">
        <f>_xlfn.IFS(Case_Scenario="Base",Valuation!J85,Case_Scenario="Bull",Valuation!J86,Case_Scenario="Bear",Valuation!J84)</f>
        <v>9</v>
      </c>
    </row>
    <row r="61" spans="2:28" s="23" customFormat="1" ht="12.75" hidden="1" outlineLevel="1">
      <c r="F61" s="357"/>
      <c r="G61" s="23" t="s">
        <v>275</v>
      </c>
      <c r="K61" s="356">
        <f ca="1">K59*K60</f>
        <v>18460356.55242499</v>
      </c>
      <c r="N61" s="150" t="s">
        <v>275</v>
      </c>
      <c r="R61" s="356">
        <f ca="1">(R59*(1+R60))/(Discount_Rate-R60)</f>
        <v>25377772.566674151</v>
      </c>
      <c r="W61" s="357"/>
      <c r="X61" s="23" t="s">
        <v>275</v>
      </c>
      <c r="AB61" s="356">
        <f ca="1">AB59*AB60</f>
        <v>18460356.55242499</v>
      </c>
    </row>
    <row r="62" spans="2:28" s="23" customFormat="1" ht="12.75" hidden="1" outlineLevel="1">
      <c r="F62" s="357"/>
      <c r="G62" s="23" t="s">
        <v>276</v>
      </c>
      <c r="K62" s="356">
        <f ca="1">K61*R52</f>
        <v>11978304.181563495</v>
      </c>
      <c r="N62" s="150" t="s">
        <v>276</v>
      </c>
      <c r="R62" s="356">
        <f ca="1">R61*R52</f>
        <v>16466782.664294127</v>
      </c>
      <c r="W62" s="357"/>
      <c r="X62" s="23" t="s">
        <v>276</v>
      </c>
      <c r="AB62" s="356">
        <f ca="1">AB61*R52</f>
        <v>11978304.181563495</v>
      </c>
    </row>
    <row r="63" spans="2:28" s="23" customFormat="1" ht="12.75" hidden="1" outlineLevel="1">
      <c r="F63" s="357"/>
      <c r="G63" s="23" t="s">
        <v>277</v>
      </c>
      <c r="K63" s="356">
        <f ca="1">SUM(N54:R54)</f>
        <v>7352089.9338252908</v>
      </c>
      <c r="N63" s="150" t="s">
        <v>277</v>
      </c>
      <c r="R63" s="356">
        <f ca="1">SUM(N54:R54)</f>
        <v>7352089.9338252908</v>
      </c>
      <c r="W63" s="357"/>
      <c r="X63" s="23" t="s">
        <v>277</v>
      </c>
      <c r="AB63" s="356">
        <f ca="1">SUM(N54:R54)</f>
        <v>7352089.9338252908</v>
      </c>
    </row>
    <row r="64" spans="2:28" s="23" customFormat="1" ht="12.75" hidden="1" outlineLevel="1">
      <c r="F64" s="357"/>
      <c r="K64" s="357"/>
      <c r="N64" s="150"/>
      <c r="R64" s="357"/>
      <c r="W64" s="357"/>
      <c r="AB64" s="357"/>
    </row>
    <row r="65" spans="6:28" s="23" customFormat="1" ht="12.75" hidden="1" outlineLevel="1">
      <c r="F65" s="357"/>
      <c r="G65" s="204" t="s">
        <v>19</v>
      </c>
      <c r="H65" s="204"/>
      <c r="I65" s="204"/>
      <c r="J65" s="204"/>
      <c r="K65" s="541">
        <f ca="1">K62+K63</f>
        <v>19330394.115388785</v>
      </c>
      <c r="N65" s="251" t="s">
        <v>19</v>
      </c>
      <c r="O65" s="204"/>
      <c r="P65" s="204"/>
      <c r="Q65" s="204"/>
      <c r="R65" s="541">
        <f ca="1">R62+R63</f>
        <v>23818872.598119419</v>
      </c>
      <c r="W65" s="357"/>
      <c r="X65" s="204" t="s">
        <v>19</v>
      </c>
      <c r="Y65" s="204"/>
      <c r="Z65" s="204"/>
      <c r="AA65" s="204"/>
      <c r="AB65" s="541">
        <f ca="1">AB62+AB63</f>
        <v>19330394.115388785</v>
      </c>
    </row>
    <row r="66" spans="6:28" s="23" customFormat="1" ht="12.75" hidden="1" outlineLevel="1">
      <c r="F66" s="357"/>
      <c r="G66" s="23" t="s">
        <v>278</v>
      </c>
      <c r="K66" s="358">
        <f ca="1">IF(Last_FQR="1Q",Model!$U$122,IF(Last_FQR="2Q",Model!$V$122,IF(Last_FQR="3Q",Model!$W$122,Model!$X$122)))</f>
        <v>802310.39839182084</v>
      </c>
      <c r="N66" s="150" t="s">
        <v>278</v>
      </c>
      <c r="R66" s="359">
        <f t="shared" ref="R66:R71" ca="1" si="4">K66</f>
        <v>802310.39839182084</v>
      </c>
      <c r="W66" s="357"/>
      <c r="X66" s="23" t="s">
        <v>278</v>
      </c>
      <c r="AB66" s="358">
        <f ca="1">Model!$V$122</f>
        <v>795539.03272493195</v>
      </c>
    </row>
    <row r="67" spans="6:28" s="23" customFormat="1" ht="12.75" hidden="1" outlineLevel="1">
      <c r="F67" s="357"/>
      <c r="G67" s="23" t="s">
        <v>279</v>
      </c>
      <c r="K67" s="358">
        <f>WACC!$M$8</f>
        <v>0</v>
      </c>
      <c r="N67" s="150" t="s">
        <v>279</v>
      </c>
      <c r="R67" s="359">
        <f t="shared" si="4"/>
        <v>0</v>
      </c>
      <c r="W67" s="357"/>
      <c r="X67" s="23" t="s">
        <v>279</v>
      </c>
      <c r="AB67" s="358">
        <f>WACC!$M$8</f>
        <v>0</v>
      </c>
    </row>
    <row r="68" spans="6:28" s="23" customFormat="1" ht="12.75" hidden="1" outlineLevel="1">
      <c r="F68" s="357"/>
      <c r="G68" s="23" t="s">
        <v>280</v>
      </c>
      <c r="K68" s="358">
        <f ca="1">-IF(Last_FQR="1Q",Model!$U$141+Model!$U$142,IF(Last_FQR="2Q",Model!$V$141+Model!$V$142,IF(Last_FQR="3Q",Model!$W$141+Model!$W$142,Model!$X$141+Model!$X$142)))</f>
        <v>-539749</v>
      </c>
      <c r="N68" s="150" t="s">
        <v>280</v>
      </c>
      <c r="R68" s="359">
        <f t="shared" ca="1" si="4"/>
        <v>-539749</v>
      </c>
      <c r="W68" s="357"/>
      <c r="X68" s="23" t="s">
        <v>280</v>
      </c>
      <c r="AB68" s="358">
        <f ca="1">-(Model!$V$141+Model!$V$142)</f>
        <v>-540049</v>
      </c>
    </row>
    <row r="69" spans="6:28" s="23" customFormat="1" ht="12.75" hidden="1" outlineLevel="1">
      <c r="F69" s="357"/>
      <c r="G69" s="23" t="s">
        <v>281</v>
      </c>
      <c r="K69" s="360">
        <v>0</v>
      </c>
      <c r="N69" s="150" t="s">
        <v>281</v>
      </c>
      <c r="R69" s="359">
        <f t="shared" si="4"/>
        <v>0</v>
      </c>
      <c r="W69" s="357"/>
      <c r="X69" s="23" t="s">
        <v>281</v>
      </c>
      <c r="AB69" s="360">
        <v>0</v>
      </c>
    </row>
    <row r="70" spans="6:28" s="23" customFormat="1" ht="12.75" hidden="1" outlineLevel="1">
      <c r="F70" s="357"/>
      <c r="G70" s="23" t="s">
        <v>282</v>
      </c>
      <c r="K70" s="358">
        <f>-IF(Last_FQR="1Q",Model!$U$155,IF(Last_FQR="2Q",Model!$V$155,IF(Last_FQR="3Q",Model!$W$155,Model!$X$155)))</f>
        <v>-306515</v>
      </c>
      <c r="N70" s="150" t="s">
        <v>282</v>
      </c>
      <c r="R70" s="359">
        <f t="shared" si="4"/>
        <v>-306515</v>
      </c>
      <c r="W70" s="357"/>
      <c r="X70" s="23" t="s">
        <v>282</v>
      </c>
      <c r="AB70" s="358">
        <f>-Model!$V$155</f>
        <v>-306515</v>
      </c>
    </row>
    <row r="71" spans="6:28" s="23" customFormat="1" ht="12.75" hidden="1" outlineLevel="1">
      <c r="F71" s="357"/>
      <c r="G71" s="23" t="s">
        <v>283</v>
      </c>
      <c r="K71" s="360">
        <v>0</v>
      </c>
      <c r="N71" s="150" t="s">
        <v>283</v>
      </c>
      <c r="R71" s="359">
        <f t="shared" si="4"/>
        <v>0</v>
      </c>
      <c r="W71" s="357"/>
      <c r="X71" s="23" t="s">
        <v>283</v>
      </c>
      <c r="AB71" s="360">
        <v>0</v>
      </c>
    </row>
    <row r="72" spans="6:28" s="23" customFormat="1" ht="12.75" hidden="1" outlineLevel="1">
      <c r="F72" s="357"/>
      <c r="G72" s="204" t="s">
        <v>20</v>
      </c>
      <c r="H72" s="204"/>
      <c r="I72" s="204"/>
      <c r="J72" s="204"/>
      <c r="K72" s="541">
        <f ca="1">SUM(K65:K71)</f>
        <v>19286440.513780605</v>
      </c>
      <c r="N72" s="251" t="s">
        <v>20</v>
      </c>
      <c r="O72" s="204"/>
      <c r="P72" s="204"/>
      <c r="Q72" s="204"/>
      <c r="R72" s="541">
        <f ca="1">SUM(R65:R71)</f>
        <v>23774918.99651124</v>
      </c>
      <c r="W72" s="357"/>
      <c r="X72" s="204" t="s">
        <v>20</v>
      </c>
      <c r="Y72" s="204"/>
      <c r="Z72" s="204"/>
      <c r="AA72" s="204"/>
      <c r="AB72" s="541">
        <f ca="1">SUM(AB65:AB71)</f>
        <v>19279369.148113716</v>
      </c>
    </row>
    <row r="73" spans="6:28" s="23" customFormat="1" ht="12.75" hidden="1" outlineLevel="1">
      <c r="F73" s="357"/>
      <c r="K73" s="357"/>
      <c r="N73" s="150"/>
      <c r="R73" s="357"/>
      <c r="W73" s="357"/>
      <c r="AB73" s="357"/>
    </row>
    <row r="74" spans="6:28" s="23" customFormat="1" ht="12.75" hidden="1" outlineLevel="1">
      <c r="F74" s="357"/>
      <c r="G74" s="23" t="s">
        <v>284</v>
      </c>
      <c r="K74" s="361">
        <f>Diluted_Shares</f>
        <v>42131</v>
      </c>
      <c r="N74" s="150" t="s">
        <v>284</v>
      </c>
      <c r="R74" s="362">
        <f>K74</f>
        <v>42131</v>
      </c>
      <c r="W74" s="357"/>
      <c r="X74" s="23" t="s">
        <v>284</v>
      </c>
      <c r="AB74" s="361">
        <f>Diluted_Shares</f>
        <v>42131</v>
      </c>
    </row>
    <row r="75" spans="6:28" s="23" customFormat="1" ht="12.75" hidden="1" outlineLevel="1">
      <c r="G75" s="150"/>
      <c r="K75" s="357"/>
      <c r="N75" s="150"/>
      <c r="R75" s="357"/>
      <c r="W75" s="357"/>
      <c r="AB75" s="357"/>
    </row>
    <row r="76" spans="6:28" s="23" customFormat="1" ht="12.75" hidden="1" outlineLevel="1">
      <c r="G76" s="251" t="s">
        <v>21</v>
      </c>
      <c r="H76" s="204"/>
      <c r="I76" s="204"/>
      <c r="J76" s="204"/>
      <c r="K76" s="542">
        <f ca="1">K72/K74</f>
        <v>457.77314836535106</v>
      </c>
      <c r="N76" s="251" t="s">
        <v>21</v>
      </c>
      <c r="O76" s="204"/>
      <c r="P76" s="204"/>
      <c r="Q76" s="204"/>
      <c r="R76" s="542">
        <f ca="1">R72/R74</f>
        <v>564.3093920512506</v>
      </c>
      <c r="W76" s="357"/>
      <c r="X76" s="204" t="s">
        <v>21</v>
      </c>
      <c r="Y76" s="204"/>
      <c r="Z76" s="204"/>
      <c r="AA76" s="204"/>
      <c r="AB76" s="542">
        <f ca="1">AB72/AB74</f>
        <v>457.60530602439337</v>
      </c>
    </row>
    <row r="77" spans="6:28" s="23" customFormat="1" ht="12.75" hidden="1" outlineLevel="1">
      <c r="G77" s="154" t="s">
        <v>22</v>
      </c>
      <c r="H77" s="155"/>
      <c r="I77" s="155"/>
      <c r="J77" s="155"/>
      <c r="K77" s="363">
        <f ca="1">K76/Share_Price-1</f>
        <v>0.34169567796638556</v>
      </c>
      <c r="N77" s="154" t="s">
        <v>22</v>
      </c>
      <c r="O77" s="155"/>
      <c r="P77" s="155"/>
      <c r="Q77" s="155"/>
      <c r="R77" s="363">
        <f ca="1">R76/Share_Price-1</f>
        <v>0.65394469958454415</v>
      </c>
      <c r="X77" s="154" t="s">
        <v>22</v>
      </c>
      <c r="Y77" s="155"/>
      <c r="Z77" s="155"/>
      <c r="AA77" s="155"/>
      <c r="AB77" s="363">
        <f ca="1">AB76/Share_Price-1</f>
        <v>0.34120374578502699</v>
      </c>
    </row>
    <row r="78" spans="6:28" s="23" customFormat="1" ht="12.75" hidden="1" outlineLevel="1"/>
    <row r="79" spans="6:28" s="23" customFormat="1" ht="12.75" hidden="1" outlineLevel="1">
      <c r="G79" s="23" t="s">
        <v>285</v>
      </c>
      <c r="K79" s="364">
        <f ca="1">R61/K59</f>
        <v>12.372456211852761</v>
      </c>
      <c r="N79" s="23" t="s">
        <v>286</v>
      </c>
      <c r="R79" s="365">
        <f ca="1">(K61*Discount_Rate-R59)/(R59+K61)</f>
        <v>-9.3734969797570952E-3</v>
      </c>
      <c r="X79" s="23" t="s">
        <v>285</v>
      </c>
      <c r="AB79" s="364">
        <f ca="1">R61/AB59</f>
        <v>12.372456211852761</v>
      </c>
    </row>
    <row r="80" spans="6:28" s="23" customFormat="1" ht="12.75" hidden="1" outlineLevel="1"/>
    <row r="81" spans="1:19" s="23" customFormat="1" ht="12.75" hidden="1" outlineLevel="1">
      <c r="A81" s="22" t="s">
        <v>1</v>
      </c>
      <c r="C81" s="993" t="s">
        <v>25</v>
      </c>
      <c r="D81" s="994"/>
      <c r="E81" s="994"/>
      <c r="F81" s="994"/>
      <c r="G81" s="994"/>
      <c r="H81" s="994"/>
      <c r="I81" s="994"/>
      <c r="J81" s="994"/>
      <c r="K81" s="994"/>
      <c r="L81" s="994"/>
      <c r="M81" s="994"/>
      <c r="N81" s="994"/>
      <c r="O81" s="994"/>
      <c r="P81" s="994"/>
      <c r="Q81" s="994"/>
      <c r="R81" s="995"/>
      <c r="S81" s="22" t="s">
        <v>1</v>
      </c>
    </row>
    <row r="82" spans="1:19" s="23" customFormat="1" ht="5.0999999999999996" hidden="1" customHeight="1" outlineLevel="1"/>
    <row r="83" spans="1:19" s="23" customFormat="1" ht="12.75" hidden="1" outlineLevel="1">
      <c r="C83" s="49" t="s">
        <v>262</v>
      </c>
      <c r="G83" s="162" t="s">
        <v>792</v>
      </c>
      <c r="I83" s="996" t="s">
        <v>266</v>
      </c>
      <c r="J83" s="996"/>
    </row>
    <row r="84" spans="1:19" s="23" customFormat="1" ht="12.75" hidden="1" outlineLevel="1">
      <c r="C84" s="23" t="s">
        <v>265</v>
      </c>
      <c r="G84" s="366">
        <f ca="1">Discount_Rate</f>
        <v>0.10764836326551766</v>
      </c>
      <c r="I84" s="23" t="s">
        <v>640</v>
      </c>
      <c r="J84" s="368">
        <v>8</v>
      </c>
    </row>
    <row r="85" spans="1:19" s="23" customFormat="1" ht="12.75" hidden="1" outlineLevel="1">
      <c r="C85" s="23" t="s">
        <v>63</v>
      </c>
      <c r="G85" s="367">
        <f>Tax_Rate</f>
        <v>0.2897761915858762</v>
      </c>
      <c r="I85" s="23" t="s">
        <v>221</v>
      </c>
      <c r="J85" s="368">
        <v>9</v>
      </c>
    </row>
    <row r="86" spans="1:19" s="23" customFormat="1" ht="12.75" hidden="1" outlineLevel="1">
      <c r="C86" s="23" t="s">
        <v>267</v>
      </c>
      <c r="G86" s="369">
        <v>0.02</v>
      </c>
      <c r="I86" s="23" t="s">
        <v>641</v>
      </c>
      <c r="J86" s="368">
        <v>10</v>
      </c>
    </row>
    <row r="87" spans="1:19" s="23" customFormat="1" ht="12.75" hidden="1" outlineLevel="1">
      <c r="C87" s="23" t="s">
        <v>266</v>
      </c>
      <c r="G87" s="368">
        <f>_xlfn.IFS(Case_Scenario="Base",Valuation!J85,Case_Scenario="Bull",Valuation!J86,Case_Scenario="Bear",Valuation!J84)</f>
        <v>9</v>
      </c>
      <c r="J87" s="368"/>
    </row>
    <row r="88" spans="1:19" s="23" customFormat="1" ht="12.75" hidden="1" outlineLevel="1"/>
    <row r="89" spans="1:19" s="23" customFormat="1" ht="5.0999999999999996" hidden="1" customHeight="1" outlineLevel="1"/>
    <row r="90" spans="1:19" s="23" customFormat="1" ht="14.45" hidden="1" customHeight="1" outlineLevel="1">
      <c r="A90" s="22" t="s">
        <v>1</v>
      </c>
      <c r="C90" s="993" t="s">
        <v>392</v>
      </c>
      <c r="D90" s="994"/>
      <c r="E90" s="994"/>
      <c r="F90" s="994"/>
      <c r="G90" s="994"/>
      <c r="H90" s="994"/>
      <c r="I90" s="994"/>
      <c r="J90" s="994"/>
      <c r="K90" s="994"/>
      <c r="L90" s="994"/>
      <c r="M90" s="994"/>
      <c r="N90" s="994"/>
      <c r="O90" s="994"/>
      <c r="P90" s="994"/>
      <c r="Q90" s="994"/>
      <c r="R90" s="995"/>
      <c r="S90" s="22" t="s">
        <v>1</v>
      </c>
    </row>
    <row r="91" spans="1:19" s="23" customFormat="1" ht="5.0999999999999996" hidden="1" customHeight="1" outlineLevel="1"/>
    <row r="92" spans="1:19" s="23" customFormat="1" ht="14.45" hidden="1" customHeight="1" outlineLevel="1">
      <c r="C92" s="23" t="s">
        <v>328</v>
      </c>
      <c r="E92" s="364">
        <f>J85</f>
        <v>9</v>
      </c>
      <c r="F92" s="547">
        <f>E92-H98</f>
        <v>0</v>
      </c>
      <c r="H92" s="23" t="s">
        <v>329</v>
      </c>
      <c r="J92" s="370">
        <f>G86</f>
        <v>0.02</v>
      </c>
      <c r="K92" s="547">
        <f>J92-H106</f>
        <v>0</v>
      </c>
      <c r="M92" s="23" t="s">
        <v>330</v>
      </c>
      <c r="O92" s="370">
        <v>0.1000930138633299</v>
      </c>
      <c r="P92" s="547">
        <f>O92-E101</f>
        <v>0</v>
      </c>
    </row>
    <row r="93" spans="1:19" s="23" customFormat="1" ht="14.45" hidden="1" customHeight="1" outlineLevel="1">
      <c r="C93" s="23" t="s">
        <v>532</v>
      </c>
      <c r="E93" s="371">
        <v>1</v>
      </c>
      <c r="H93" s="23" t="s">
        <v>533</v>
      </c>
      <c r="J93" s="372">
        <v>5.0000000000000001E-3</v>
      </c>
      <c r="M93" s="23" t="s">
        <v>534</v>
      </c>
      <c r="O93" s="372">
        <v>5.0000000000000001E-3</v>
      </c>
    </row>
    <row r="94" spans="1:19" s="23" customFormat="1" ht="14.45" hidden="1" customHeight="1" outlineLevel="1">
      <c r="E94" s="162"/>
    </row>
    <row r="95" spans="1:19" s="23" customFormat="1" ht="14.45" hidden="1" customHeight="1" outlineLevel="1">
      <c r="D95" s="170" t="s">
        <v>326</v>
      </c>
      <c r="E95" s="170"/>
      <c r="F95" s="170"/>
      <c r="G95" s="170"/>
      <c r="H95" s="170"/>
      <c r="I95" s="170"/>
      <c r="J95" s="26"/>
      <c r="K95" s="373"/>
      <c r="L95" s="170" t="s">
        <v>327</v>
      </c>
      <c r="M95" s="170"/>
      <c r="N95" s="170"/>
      <c r="O95" s="170"/>
      <c r="P95" s="170"/>
      <c r="Q95" s="170"/>
      <c r="R95" s="26"/>
    </row>
    <row r="96" spans="1:19" s="23" customFormat="1" ht="14.45" hidden="1" customHeight="1" outlineLevel="1">
      <c r="D96" s="163"/>
      <c r="E96" s="548"/>
      <c r="F96" s="189"/>
      <c r="G96" s="189"/>
      <c r="H96" s="189"/>
      <c r="I96" s="189"/>
      <c r="J96" s="189"/>
      <c r="K96" s="373"/>
      <c r="L96" s="163"/>
      <c r="M96" s="548"/>
      <c r="N96" s="189"/>
      <c r="O96" s="189"/>
      <c r="P96" s="189"/>
      <c r="Q96" s="189"/>
      <c r="R96" s="189"/>
    </row>
    <row r="97" spans="4:18" s="23" customFormat="1" ht="14.45" hidden="1" customHeight="1" outlineLevel="1" thickBot="1">
      <c r="D97" s="315"/>
      <c r="E97" s="549"/>
      <c r="F97" s="550" t="s">
        <v>266</v>
      </c>
      <c r="G97" s="316"/>
      <c r="H97" s="316"/>
      <c r="I97" s="316"/>
      <c r="J97" s="316"/>
      <c r="L97" s="315"/>
      <c r="M97" s="549"/>
      <c r="N97" s="550" t="s">
        <v>266</v>
      </c>
      <c r="O97" s="316"/>
      <c r="P97" s="316"/>
      <c r="Q97" s="316"/>
      <c r="R97" s="316"/>
    </row>
    <row r="98" spans="4:18" s="23" customFormat="1" ht="14.45" hidden="1" customHeight="1" outlineLevel="1" thickBot="1">
      <c r="E98" s="374">
        <f ca="1">K76</f>
        <v>457.77314836535106</v>
      </c>
      <c r="F98" s="551">
        <f>G98-$E$93</f>
        <v>7</v>
      </c>
      <c r="G98" s="551">
        <f>H98-$E$93</f>
        <v>8</v>
      </c>
      <c r="H98" s="552">
        <v>9</v>
      </c>
      <c r="I98" s="551">
        <f>H98+$E$93</f>
        <v>10</v>
      </c>
      <c r="J98" s="551">
        <f>I98+$E$93</f>
        <v>11</v>
      </c>
      <c r="M98" s="375">
        <f>$H$73</f>
        <v>0</v>
      </c>
      <c r="N98" s="551">
        <f>F98</f>
        <v>7</v>
      </c>
      <c r="O98" s="551">
        <f>G98</f>
        <v>8</v>
      </c>
      <c r="P98" s="551">
        <f>H98</f>
        <v>9</v>
      </c>
      <c r="Q98" s="551">
        <f>I98</f>
        <v>10</v>
      </c>
      <c r="R98" s="551">
        <f>J98</f>
        <v>11</v>
      </c>
    </row>
    <row r="99" spans="4:18" s="23" customFormat="1" ht="14.45" hidden="1" customHeight="1" outlineLevel="1">
      <c r="D99" s="1082" t="s">
        <v>27</v>
      </c>
      <c r="E99" s="319">
        <f>E100-$O$93</f>
        <v>9.0093013863329893E-2</v>
      </c>
      <c r="F99" s="376">
        <f t="dataTable" ref="F99:J103" dt2D="1" dtr="1" r1="J85" r2="G84" ca="1"/>
        <v>416.42663249254616</v>
      </c>
      <c r="G99" s="377">
        <v>450.22565587211687</v>
      </c>
      <c r="H99" s="377">
        <v>484.02467925168753</v>
      </c>
      <c r="I99" s="377">
        <v>517.82370263125824</v>
      </c>
      <c r="J99" s="378">
        <v>551.62272601082896</v>
      </c>
      <c r="L99" s="1082" t="s">
        <v>27</v>
      </c>
      <c r="M99" s="319">
        <f>E99</f>
        <v>9.0093013863329893E-2</v>
      </c>
      <c r="N99" s="379">
        <f t="shared" ref="N99:R103" si="5">F99/Share_Price-1</f>
        <v>0.22051241974426605</v>
      </c>
      <c r="O99" s="380">
        <f t="shared" si="5"/>
        <v>0.31957459442573599</v>
      </c>
      <c r="P99" s="380">
        <f t="shared" si="5"/>
        <v>0.41863676910720571</v>
      </c>
      <c r="Q99" s="380">
        <f t="shared" si="5"/>
        <v>0.51769894378867565</v>
      </c>
      <c r="R99" s="381">
        <f t="shared" si="5"/>
        <v>0.61676111847014559</v>
      </c>
    </row>
    <row r="100" spans="4:18" s="23" customFormat="1" ht="14.45" hidden="1" customHeight="1" outlineLevel="1">
      <c r="D100" s="1083"/>
      <c r="E100" s="319">
        <f>E101-$O$93</f>
        <v>9.5093013863329898E-2</v>
      </c>
      <c r="F100" s="382">
        <v>410.03322826173064</v>
      </c>
      <c r="G100" s="383">
        <v>443.18418947748813</v>
      </c>
      <c r="H100" s="383">
        <v>476.33515069324574</v>
      </c>
      <c r="I100" s="383">
        <v>509.48611190900334</v>
      </c>
      <c r="J100" s="384">
        <v>542.63707312476095</v>
      </c>
      <c r="L100" s="1083"/>
      <c r="M100" s="319">
        <f>E100</f>
        <v>9.5093013863329898E-2</v>
      </c>
      <c r="N100" s="385">
        <f t="shared" si="5"/>
        <v>0.20177387456177098</v>
      </c>
      <c r="O100" s="386">
        <f t="shared" si="5"/>
        <v>0.29893663201585086</v>
      </c>
      <c r="P100" s="386">
        <f t="shared" si="5"/>
        <v>0.39609938946993095</v>
      </c>
      <c r="Q100" s="386">
        <f t="shared" si="5"/>
        <v>0.49326214692401105</v>
      </c>
      <c r="R100" s="387">
        <f t="shared" si="5"/>
        <v>0.59042490437809114</v>
      </c>
    </row>
    <row r="101" spans="4:18" s="23" customFormat="1" ht="14.45" hidden="1" customHeight="1" outlineLevel="1">
      <c r="D101" s="1087"/>
      <c r="E101" s="981">
        <v>0.1000930138633299</v>
      </c>
      <c r="F101" s="979">
        <v>403.78102404589538</v>
      </c>
      <c r="G101" s="383">
        <v>436.29921682466477</v>
      </c>
      <c r="H101" s="383">
        <v>468.81740960343416</v>
      </c>
      <c r="I101" s="383">
        <v>501.3356023822036</v>
      </c>
      <c r="J101" s="384">
        <v>533.85379516097294</v>
      </c>
      <c r="L101" s="1083"/>
      <c r="M101" s="319">
        <f>E101</f>
        <v>0.1000930138633299</v>
      </c>
      <c r="N101" s="385">
        <f t="shared" si="5"/>
        <v>0.18344917508102632</v>
      </c>
      <c r="O101" s="386">
        <f t="shared" si="5"/>
        <v>0.2787573399708807</v>
      </c>
      <c r="P101" s="386">
        <f t="shared" si="5"/>
        <v>0.37406550486073487</v>
      </c>
      <c r="Q101" s="386">
        <f t="shared" si="5"/>
        <v>0.46937366975058947</v>
      </c>
      <c r="R101" s="387">
        <f t="shared" si="5"/>
        <v>0.56468183464044364</v>
      </c>
    </row>
    <row r="102" spans="4:18" s="23" customFormat="1" ht="14.45" hidden="1" customHeight="1" outlineLevel="1">
      <c r="D102" s="1083"/>
      <c r="E102" s="319">
        <f>E101+$O$93</f>
        <v>0.10509301386332991</v>
      </c>
      <c r="F102" s="382">
        <v>397.66619791539318</v>
      </c>
      <c r="G102" s="383">
        <v>429.56648799604346</v>
      </c>
      <c r="H102" s="383">
        <v>461.4667780766938</v>
      </c>
      <c r="I102" s="383">
        <v>493.36706815734408</v>
      </c>
      <c r="J102" s="384">
        <v>525.26735823799436</v>
      </c>
      <c r="L102" s="1083"/>
      <c r="M102" s="319">
        <f>E102</f>
        <v>0.10509301386332991</v>
      </c>
      <c r="N102" s="385">
        <f t="shared" si="5"/>
        <v>0.1655271195386534</v>
      </c>
      <c r="O102" s="386">
        <f t="shared" si="5"/>
        <v>0.25902426212973251</v>
      </c>
      <c r="P102" s="386">
        <f t="shared" si="5"/>
        <v>0.35252140472081184</v>
      </c>
      <c r="Q102" s="386">
        <f t="shared" si="5"/>
        <v>0.44601854731189094</v>
      </c>
      <c r="R102" s="387">
        <f t="shared" si="5"/>
        <v>0.53951568990297005</v>
      </c>
    </row>
    <row r="103" spans="4:18" s="23" customFormat="1" ht="14.45" hidden="1" customHeight="1" outlineLevel="1" thickBot="1">
      <c r="D103" s="1084"/>
      <c r="E103" s="319">
        <f>E102+$O$93</f>
        <v>0.11009301386332991</v>
      </c>
      <c r="F103" s="388">
        <v>391.68504904473446</v>
      </c>
      <c r="G103" s="389">
        <v>422.98188801531012</v>
      </c>
      <c r="H103" s="389">
        <v>454.27872698588584</v>
      </c>
      <c r="I103" s="389">
        <v>485.5755659564615</v>
      </c>
      <c r="J103" s="390">
        <v>516.872404927037</v>
      </c>
      <c r="L103" s="1084"/>
      <c r="M103" s="319">
        <f>E103</f>
        <v>0.11009301386332991</v>
      </c>
      <c r="N103" s="391">
        <f t="shared" si="5"/>
        <v>0.14799686111766008</v>
      </c>
      <c r="O103" s="392">
        <f t="shared" si="5"/>
        <v>0.23972533783320182</v>
      </c>
      <c r="P103" s="392">
        <f t="shared" si="5"/>
        <v>0.33145381454874356</v>
      </c>
      <c r="Q103" s="392">
        <f t="shared" si="5"/>
        <v>0.4231822912642853</v>
      </c>
      <c r="R103" s="393">
        <f t="shared" si="5"/>
        <v>0.51491076797982638</v>
      </c>
    </row>
    <row r="104" spans="4:18" s="23" customFormat="1" ht="14.45" hidden="1" customHeight="1" outlineLevel="1">
      <c r="N104" s="189"/>
      <c r="O104" s="189"/>
      <c r="P104" s="189"/>
      <c r="Q104" s="189"/>
      <c r="R104" s="189"/>
    </row>
    <row r="105" spans="4:18" s="23" customFormat="1" ht="14.45" hidden="1" customHeight="1" outlineLevel="1" thickBot="1">
      <c r="D105" s="315"/>
      <c r="E105" s="549"/>
      <c r="F105" s="316" t="s">
        <v>331</v>
      </c>
      <c r="G105" s="316"/>
      <c r="H105" s="186"/>
      <c r="I105" s="316"/>
      <c r="J105" s="316"/>
      <c r="L105" s="315"/>
      <c r="M105" s="549"/>
      <c r="N105" s="550" t="s">
        <v>331</v>
      </c>
      <c r="O105" s="316"/>
      <c r="P105" s="316"/>
      <c r="Q105" s="316"/>
      <c r="R105" s="316"/>
    </row>
    <row r="106" spans="4:18" s="23" customFormat="1" ht="14.45" hidden="1" customHeight="1" outlineLevel="1" thickBot="1">
      <c r="E106" s="374">
        <f ca="1">$R$76</f>
        <v>564.3093920512506</v>
      </c>
      <c r="F106" s="554">
        <f>G106-$J$93</f>
        <v>9.9999999999999985E-3</v>
      </c>
      <c r="G106" s="554">
        <f>H106-$J$93</f>
        <v>1.4999999999999999E-2</v>
      </c>
      <c r="H106" s="980">
        <v>0.02</v>
      </c>
      <c r="I106" s="554">
        <f>H106+$J$93</f>
        <v>2.5000000000000001E-2</v>
      </c>
      <c r="J106" s="554">
        <f>I106+$J$93</f>
        <v>3.0000000000000002E-2</v>
      </c>
      <c r="M106" s="375">
        <f>$O$73</f>
        <v>0</v>
      </c>
      <c r="N106" s="554">
        <f>F106</f>
        <v>9.9999999999999985E-3</v>
      </c>
      <c r="O106" s="554">
        <f>G106</f>
        <v>1.4999999999999999E-2</v>
      </c>
      <c r="P106" s="554">
        <f>H106</f>
        <v>0.02</v>
      </c>
      <c r="Q106" s="554">
        <f>I106</f>
        <v>2.5000000000000001E-2</v>
      </c>
      <c r="R106" s="554">
        <f>J106</f>
        <v>3.0000000000000002E-2</v>
      </c>
    </row>
    <row r="107" spans="4:18" s="23" customFormat="1" ht="14.45" hidden="1" customHeight="1" outlineLevel="1">
      <c r="D107" s="1082" t="s">
        <v>27</v>
      </c>
      <c r="E107" s="319">
        <f>E99</f>
        <v>9.0093013863329893E-2</v>
      </c>
      <c r="F107" s="376">
        <f t="dataTable" ref="F107:J111" dt2D="1" dtr="1" r1="G86" r2="G84" ca="1"/>
        <v>551.50570560550909</v>
      </c>
      <c r="G107" s="377">
        <v>573.50318454220815</v>
      </c>
      <c r="H107" s="979">
        <v>598.01040560267745</v>
      </c>
      <c r="I107" s="377">
        <v>625.48286639593312</v>
      </c>
      <c r="J107" s="378">
        <v>656.49338770172221</v>
      </c>
      <c r="L107" s="1082" t="s">
        <v>27</v>
      </c>
      <c r="M107" s="319">
        <f>E107</f>
        <v>9.0093013863329893E-2</v>
      </c>
      <c r="N107" s="379">
        <f t="shared" ref="N107:R111" si="6">F107/Share_Price-1</f>
        <v>0.61641814122778826</v>
      </c>
      <c r="O107" s="380">
        <f t="shared" si="6"/>
        <v>0.68089095384450937</v>
      </c>
      <c r="P107" s="380">
        <f t="shared" si="6"/>
        <v>0.75271961547137223</v>
      </c>
      <c r="Q107" s="380">
        <f t="shared" si="6"/>
        <v>0.83323915236652057</v>
      </c>
      <c r="R107" s="381">
        <f t="shared" si="6"/>
        <v>0.92412845541112643</v>
      </c>
    </row>
    <row r="108" spans="4:18" s="23" customFormat="1" ht="14.45" hidden="1" customHeight="1" outlineLevel="1">
      <c r="D108" s="1083"/>
      <c r="E108" s="319">
        <f>E100</f>
        <v>9.5093013863329898E-2</v>
      </c>
      <c r="F108" s="382">
        <v>542.52229646761771</v>
      </c>
      <c r="G108" s="383">
        <v>564.09799594524611</v>
      </c>
      <c r="H108" s="383">
        <v>588.13531577421725</v>
      </c>
      <c r="I108" s="383">
        <v>615.08101985657618</v>
      </c>
      <c r="J108" s="384">
        <v>645.49694571170062</v>
      </c>
      <c r="L108" s="1083"/>
      <c r="M108" s="319">
        <f>E108</f>
        <v>9.5093013863329898E-2</v>
      </c>
      <c r="N108" s="385">
        <f t="shared" si="6"/>
        <v>0.59008850337822838</v>
      </c>
      <c r="O108" s="386">
        <f t="shared" si="6"/>
        <v>0.65332511487806233</v>
      </c>
      <c r="P108" s="386">
        <f t="shared" si="6"/>
        <v>0.72377653440668621</v>
      </c>
      <c r="Q108" s="386">
        <f t="shared" si="6"/>
        <v>0.8027521904410333</v>
      </c>
      <c r="R108" s="387">
        <f t="shared" si="6"/>
        <v>0.89189878282394153</v>
      </c>
    </row>
    <row r="109" spans="4:18" s="23" customFormat="1" ht="14.45" hidden="1" customHeight="1" outlineLevel="1">
      <c r="D109" s="1083"/>
      <c r="E109" s="553">
        <v>8.8877043004454537E-2</v>
      </c>
      <c r="F109" s="382">
        <v>553.72164514872327</v>
      </c>
      <c r="G109" s="383">
        <v>575.82323540916957</v>
      </c>
      <c r="H109" s="383">
        <v>600.44644608978183</v>
      </c>
      <c r="I109" s="383">
        <v>628.04893061293933</v>
      </c>
      <c r="J109" s="384">
        <v>659.20622084768297</v>
      </c>
      <c r="L109" s="1083"/>
      <c r="M109" s="319">
        <f>E109</f>
        <v>8.8877043004454537E-2</v>
      </c>
      <c r="N109" s="385">
        <f t="shared" si="6"/>
        <v>0.62291287889071567</v>
      </c>
      <c r="O109" s="386">
        <f t="shared" si="6"/>
        <v>0.68769083328693559</v>
      </c>
      <c r="P109" s="386">
        <f t="shared" si="6"/>
        <v>0.75985945100906194</v>
      </c>
      <c r="Q109" s="386">
        <f t="shared" si="6"/>
        <v>0.84076007682798237</v>
      </c>
      <c r="R109" s="387">
        <f t="shared" si="6"/>
        <v>0.932079547605976</v>
      </c>
    </row>
    <row r="110" spans="4:18" s="23" customFormat="1" ht="14.45" hidden="1" customHeight="1" outlineLevel="1">
      <c r="D110" s="1083"/>
      <c r="E110" s="319">
        <f>E102</f>
        <v>0.10509301386332991</v>
      </c>
      <c r="F110" s="382">
        <v>525.15691170724301</v>
      </c>
      <c r="G110" s="383">
        <v>545.91863464944618</v>
      </c>
      <c r="H110" s="383">
        <v>569.04910951908789</v>
      </c>
      <c r="I110" s="383">
        <v>594.97824536103838</v>
      </c>
      <c r="J110" s="384">
        <v>624.24668350782792</v>
      </c>
      <c r="L110" s="1083"/>
      <c r="M110" s="319">
        <f>E110</f>
        <v>0.10509301386332991</v>
      </c>
      <c r="N110" s="385">
        <f t="shared" si="6"/>
        <v>0.53919198014960301</v>
      </c>
      <c r="O110" s="386">
        <f t="shared" si="6"/>
        <v>0.60004289296124202</v>
      </c>
      <c r="P110" s="386">
        <f t="shared" si="6"/>
        <v>0.66783642404258003</v>
      </c>
      <c r="Q110" s="386">
        <f t="shared" si="6"/>
        <v>0.7438326016619432</v>
      </c>
      <c r="R110" s="387">
        <f t="shared" si="6"/>
        <v>0.82961600137116531</v>
      </c>
    </row>
    <row r="111" spans="4:18" s="23" customFormat="1" ht="14.45" hidden="1" customHeight="1" outlineLevel="1" thickBot="1">
      <c r="D111" s="1084"/>
      <c r="E111" s="319">
        <f>E103</f>
        <v>0.11009301386332991</v>
      </c>
      <c r="F111" s="388">
        <v>516.76404769018927</v>
      </c>
      <c r="G111" s="389">
        <v>537.13302546534658</v>
      </c>
      <c r="H111" s="389">
        <v>559.82594598355922</v>
      </c>
      <c r="I111" s="389">
        <v>585.2645857902844</v>
      </c>
      <c r="J111" s="390">
        <v>613.97935901913183</v>
      </c>
      <c r="L111" s="1084"/>
      <c r="M111" s="319">
        <f>E111</f>
        <v>0.11009301386332991</v>
      </c>
      <c r="N111" s="391">
        <f t="shared" si="6"/>
        <v>0.51459318177610514</v>
      </c>
      <c r="O111" s="392">
        <f t="shared" si="6"/>
        <v>0.57429299060742278</v>
      </c>
      <c r="P111" s="392">
        <f t="shared" si="6"/>
        <v>0.64080408565186331</v>
      </c>
      <c r="Q111" s="392">
        <f t="shared" si="6"/>
        <v>0.7153626594867506</v>
      </c>
      <c r="R111" s="393">
        <f t="shared" si="6"/>
        <v>0.79952331257988751</v>
      </c>
    </row>
    <row r="112" spans="4:18" s="23" customFormat="1" ht="5.0999999999999996" hidden="1" customHeight="1" outlineLevel="1">
      <c r="N112" s="189"/>
      <c r="O112" s="189"/>
      <c r="P112" s="189"/>
      <c r="Q112" s="189"/>
      <c r="R112" s="189"/>
    </row>
    <row r="113" spans="1:19" s="23" customFormat="1" ht="12.75" hidden="1" outlineLevel="1">
      <c r="N113" s="189"/>
      <c r="O113" s="189"/>
      <c r="P113" s="189"/>
      <c r="Q113" s="189"/>
      <c r="R113" s="189"/>
    </row>
    <row r="114" spans="1:19" s="23" customFormat="1" ht="12.75" collapsed="1">
      <c r="A114" s="22" t="s">
        <v>1</v>
      </c>
      <c r="C114" s="557" t="s">
        <v>402</v>
      </c>
      <c r="D114" s="557"/>
      <c r="E114" s="557"/>
      <c r="F114" s="557"/>
      <c r="G114" s="557"/>
      <c r="H114" s="557"/>
      <c r="I114" s="557"/>
      <c r="J114" s="557"/>
      <c r="K114" s="557"/>
      <c r="L114" s="557"/>
      <c r="M114" s="557"/>
      <c r="N114" s="557"/>
      <c r="O114" s="557"/>
      <c r="P114" s="557"/>
      <c r="Q114" s="557"/>
      <c r="R114" s="557"/>
      <c r="S114" s="22" t="s">
        <v>1</v>
      </c>
    </row>
    <row r="115" spans="1:19" s="23" customFormat="1" ht="5.0999999999999996" customHeight="1"/>
    <row r="116" spans="1:19" s="23" customFormat="1" ht="12.75">
      <c r="D116" s="540" t="s">
        <v>333</v>
      </c>
      <c r="E116" s="170"/>
      <c r="F116" s="26"/>
      <c r="H116" s="540" t="s">
        <v>340</v>
      </c>
      <c r="I116" s="170"/>
      <c r="J116" s="26"/>
      <c r="L116" s="540" t="s">
        <v>334</v>
      </c>
      <c r="M116" s="170"/>
      <c r="N116" s="26"/>
      <c r="O116" s="357"/>
      <c r="P116" s="540" t="s">
        <v>350</v>
      </c>
      <c r="Q116" s="170"/>
      <c r="R116" s="26"/>
    </row>
    <row r="117" spans="1:19" s="23" customFormat="1" ht="4.5" customHeight="1">
      <c r="D117" s="251"/>
      <c r="E117" s="204"/>
      <c r="F117" s="252"/>
      <c r="H117" s="251"/>
      <c r="I117" s="204"/>
      <c r="J117" s="252"/>
      <c r="L117" s="251"/>
      <c r="M117" s="204"/>
      <c r="N117" s="252"/>
      <c r="O117" s="357"/>
      <c r="P117" s="251"/>
      <c r="Q117" s="204"/>
      <c r="R117" s="252"/>
    </row>
    <row r="118" spans="1:19" s="23" customFormat="1" ht="12.75">
      <c r="D118" s="150" t="s">
        <v>332</v>
      </c>
      <c r="F118" s="395">
        <f>$D$11</f>
        <v>16.600000000000001</v>
      </c>
      <c r="H118" s="150" t="s">
        <v>414</v>
      </c>
      <c r="J118" s="396">
        <f>IF(G144="LTM",IF(G143="1 Year",'Multiples Data'!E9,IF(G143="2 Year", 'Multiples Data'!E10,IF(G143="3 Year",'Multiples Data'!E11, IF(G143="5 Year", 'Multiples Data'!E12,"N/A")))),IF(G144="NTM", IF(G143="1 Year",'Multiples Data'!F9,IF(G143="2 Year", 'Multiples Data'!F10,IF(G143="3 Year",'Multiples Data'!F11, IF(G143="5 Year", 'Multiples Data'!F12,"N/A"))))))</f>
        <v>15.645487500000002</v>
      </c>
      <c r="L118" s="150" t="s">
        <v>332</v>
      </c>
      <c r="N118" s="395">
        <f>$D$12</f>
        <v>12.1</v>
      </c>
      <c r="O118" s="357"/>
      <c r="P118" s="150" t="s">
        <v>414</v>
      </c>
      <c r="R118" s="396">
        <f>IF($G$144="LTM",IF($G$143="1 Year",'Multiples Data'!G9,IF($G$143="2 Year", 'Multiples Data'!G10,IF($G$143="3 Year",'Multiples Data'!G11, IF($G$143="5 Year", 'Multiples Data'!G12,"N/A")))),IF($G$144="NTM", IF($G$143="1 Year",'Multiples Data'!H9,IF($G$143="2 Year", 'Multiples Data'!H10,IF($G$143="3 Year",'Multiples Data'!H11, IF($G$143="5 Year", 'Multiples Data'!H12,"N/A"))))))</f>
        <v>11.752617082869621</v>
      </c>
    </row>
    <row r="119" spans="1:19" s="23" customFormat="1" ht="12.75">
      <c r="D119" s="150" t="s">
        <v>415</v>
      </c>
      <c r="F119" s="396">
        <f>IF(G144="LTM",IF(G142="1 Year",'Multiples Data'!E9,IF(G142="2 Year", 'Multiples Data'!E10,IF(G142="3 Year",'Multiples Data'!E11, IF(G142="5 Year", 'Multiples Data'!E12,"N/A")))),IF(G144="NTM", IF(G142="1 Year",'Multiples Data'!F9,IF(G142="2 Year", 'Multiples Data'!F10,IF(G142="3 Year",'Multiples Data'!F11, IF(G142="5 Year", 'Multiples Data'!F12,"N/A"))))))</f>
        <v>15.645487500000002</v>
      </c>
      <c r="H119" s="150" t="s">
        <v>416</v>
      </c>
      <c r="J119" s="396">
        <f>IF(G143="1 Year",J144,IF(G143="2 Year",J145,IF(G143="3 Year",J146,IF(G143="5 Year",J147,"N/A"))))</f>
        <v>19.645850000000003</v>
      </c>
      <c r="L119" s="150" t="s">
        <v>415</v>
      </c>
      <c r="N119" s="396">
        <f>IF($G$144="LTM",IF($G$142="1 Year",'Multiples Data'!G9,IF($G$142="2 Year", 'Multiples Data'!G10,IF($G$142="3 Year",'Multiples Data'!G11, IF($G$142="5 Year", 'Multiples Data'!G12,"N/A")))),IF($G$144="NTM", IF($G$142="1 Year",'Multiples Data'!H9,IF($G$142="2 Year", 'Multiples Data'!H10,IF($G$142="3 Year",'Multiples Data'!H11, IF($G$142="5 Year", 'Multiples Data'!H12,"N/A"))))))</f>
        <v>11.752617082869621</v>
      </c>
      <c r="O119" s="357"/>
      <c r="P119" s="150" t="s">
        <v>416</v>
      </c>
      <c r="R119" s="396">
        <f>IF(G143="1 Year",K144,IF(G143="2 Year",K145,IF(G143="3 Year",K146,IF(G143="5 Year",K147,"N/A"))))</f>
        <v>17.107507867418629</v>
      </c>
    </row>
    <row r="120" spans="1:19" s="23" customFormat="1" ht="12.75">
      <c r="D120" s="260" t="s">
        <v>398</v>
      </c>
      <c r="E120" s="24"/>
      <c r="F120" s="397">
        <f>F118/F119-1</f>
        <v>6.1008805254550325E-2</v>
      </c>
      <c r="H120" s="260" t="s">
        <v>341</v>
      </c>
      <c r="I120" s="24"/>
      <c r="J120" s="398">
        <f>J118/J119-1</f>
        <v>-0.20362379332021785</v>
      </c>
      <c r="L120" s="260" t="s">
        <v>398</v>
      </c>
      <c r="M120" s="24"/>
      <c r="N120" s="397">
        <f>N118/N119-1</f>
        <v>2.9557920136504379E-2</v>
      </c>
      <c r="O120" s="357"/>
      <c r="P120" s="150" t="s">
        <v>341</v>
      </c>
      <c r="R120" s="398">
        <f>R118/R119-1</f>
        <v>-0.31301407698005135</v>
      </c>
    </row>
    <row r="121" spans="1:19" s="23" customFormat="1" ht="12.75">
      <c r="D121" s="260" t="s">
        <v>399</v>
      </c>
      <c r="E121" s="24"/>
      <c r="F121" s="399">
        <v>0</v>
      </c>
      <c r="H121" s="260" t="s">
        <v>399</v>
      </c>
      <c r="J121" s="399">
        <v>0</v>
      </c>
      <c r="L121" s="260" t="s">
        <v>399</v>
      </c>
      <c r="M121" s="24"/>
      <c r="N121" s="399">
        <v>-1.7000000000000001E-2</v>
      </c>
      <c r="O121" s="357"/>
      <c r="P121" s="150" t="s">
        <v>417</v>
      </c>
      <c r="R121" s="395">
        <f>IF($G$145=$K$220,$E$12,IF($G$145=$M$220,$E$17,IF($G$145=$O$220,$E$22,"N/A")))</f>
        <v>13.645</v>
      </c>
    </row>
    <row r="122" spans="1:19" s="23" customFormat="1" ht="12.75">
      <c r="D122" s="150"/>
      <c r="F122" s="357"/>
      <c r="H122" s="150" t="s">
        <v>417</v>
      </c>
      <c r="J122" s="395">
        <f>IF($G$145=$K$220,$E$11,IF($G$145=$M$220,$E$16,IF($G$145=$O$220,$E$21,"N/A")))</f>
        <v>17.975000000000001</v>
      </c>
      <c r="L122" s="150"/>
      <c r="N122" s="357"/>
      <c r="O122" s="357"/>
      <c r="P122" s="150"/>
      <c r="R122" s="357"/>
    </row>
    <row r="123" spans="1:19" s="23" customFormat="1" ht="12.75">
      <c r="D123" s="150" t="s">
        <v>339</v>
      </c>
      <c r="F123" s="396">
        <f>F119*(1+F121)</f>
        <v>15.645487500000002</v>
      </c>
      <c r="H123" s="150" t="s">
        <v>339</v>
      </c>
      <c r="J123" s="396">
        <f>J122*(1+J120+J121)</f>
        <v>14.314862315069085</v>
      </c>
      <c r="L123" s="150" t="s">
        <v>339</v>
      </c>
      <c r="N123" s="396">
        <f>N119*(1+N121)</f>
        <v>11.552822592460837</v>
      </c>
      <c r="O123" s="357"/>
      <c r="P123" s="150" t="s">
        <v>339</v>
      </c>
      <c r="R123" s="396">
        <f>R121*(1+R120)</f>
        <v>9.3739229196071996</v>
      </c>
    </row>
    <row r="124" spans="1:19" s="23" customFormat="1" ht="12.75">
      <c r="D124" s="150" t="s">
        <v>335</v>
      </c>
      <c r="F124" s="400">
        <f ca="1">NTM_EPS</f>
        <v>30.127097184994202</v>
      </c>
      <c r="H124" s="150" t="s">
        <v>335</v>
      </c>
      <c r="J124" s="400">
        <f ca="1">F124</f>
        <v>30.127097184994202</v>
      </c>
      <c r="L124" s="405" t="s">
        <v>342</v>
      </c>
      <c r="N124" s="401">
        <f>NTM_EBITDA</f>
        <v>1573746.76787687</v>
      </c>
      <c r="O124" s="357"/>
      <c r="P124" s="150" t="s">
        <v>342</v>
      </c>
      <c r="R124" s="401">
        <f>NTM_EBITDA</f>
        <v>1573746.76787687</v>
      </c>
    </row>
    <row r="125" spans="1:19" s="23" customFormat="1" ht="12.75">
      <c r="D125" s="150"/>
      <c r="F125" s="556"/>
      <c r="H125" s="150"/>
      <c r="J125" s="556"/>
      <c r="L125" s="150" t="s">
        <v>343</v>
      </c>
      <c r="N125" s="401">
        <f>N123*N124</f>
        <v>18181217.214740124</v>
      </c>
      <c r="O125" s="357"/>
      <c r="P125" s="150" t="s">
        <v>343</v>
      </c>
      <c r="R125" s="401">
        <f>R123*R124</f>
        <v>14752180.897058742</v>
      </c>
    </row>
    <row r="126" spans="1:19" s="23" customFormat="1" ht="12.75">
      <c r="D126" s="150" t="s">
        <v>337</v>
      </c>
      <c r="F126" s="401">
        <f ca="1">F123*F124</f>
        <v>471.35312241911203</v>
      </c>
      <c r="H126" s="150" t="s">
        <v>337</v>
      </c>
      <c r="J126" s="401">
        <f ca="1">J123*J124</f>
        <v>431.26524815589744</v>
      </c>
      <c r="L126" s="150"/>
      <c r="N126" s="357"/>
      <c r="O126" s="357"/>
      <c r="P126" s="150"/>
      <c r="R126" s="357"/>
    </row>
    <row r="127" spans="1:19" s="23" customFormat="1" ht="12.75">
      <c r="D127" s="262" t="s">
        <v>338</v>
      </c>
      <c r="E127" s="155"/>
      <c r="F127" s="402">
        <f ca="1">F126/Share_Price-1</f>
        <v>0.38149747184592764</v>
      </c>
      <c r="H127" s="262" t="s">
        <v>338</v>
      </c>
      <c r="I127" s="155"/>
      <c r="J127" s="402">
        <f ca="1">J126/Share_Price-1</f>
        <v>0.26400318929598598</v>
      </c>
      <c r="L127" s="150" t="s">
        <v>344</v>
      </c>
      <c r="N127" s="977">
        <f ca="1">K66</f>
        <v>802310.39839182084</v>
      </c>
      <c r="O127" s="357"/>
      <c r="P127" s="150" t="s">
        <v>344</v>
      </c>
      <c r="R127" s="359">
        <f t="shared" ref="R127:R132" ca="1" si="7">N127</f>
        <v>802310.39839182084</v>
      </c>
    </row>
    <row r="128" spans="1:19" s="23" customFormat="1" ht="12.75">
      <c r="L128" s="150" t="s">
        <v>345</v>
      </c>
      <c r="N128" s="977">
        <f t="shared" ref="N128:N132" si="8">K67</f>
        <v>0</v>
      </c>
      <c r="O128" s="357"/>
      <c r="P128" s="150" t="s">
        <v>345</v>
      </c>
      <c r="R128" s="359">
        <f t="shared" si="7"/>
        <v>0</v>
      </c>
    </row>
    <row r="129" spans="1:19" s="23" customFormat="1" ht="12.75">
      <c r="L129" s="150" t="s">
        <v>346</v>
      </c>
      <c r="N129" s="977">
        <f t="shared" ca="1" si="8"/>
        <v>-539749</v>
      </c>
      <c r="O129" s="357"/>
      <c r="P129" s="150" t="s">
        <v>346</v>
      </c>
      <c r="R129" s="359">
        <f t="shared" ca="1" si="7"/>
        <v>-539749</v>
      </c>
    </row>
    <row r="130" spans="1:19" s="23" customFormat="1" ht="12.75">
      <c r="L130" s="150" t="s">
        <v>347</v>
      </c>
      <c r="N130" s="977">
        <f t="shared" si="8"/>
        <v>0</v>
      </c>
      <c r="O130" s="357"/>
      <c r="P130" s="150" t="s">
        <v>347</v>
      </c>
      <c r="R130" s="359">
        <f t="shared" si="7"/>
        <v>0</v>
      </c>
    </row>
    <row r="131" spans="1:19" s="23" customFormat="1" ht="12.75">
      <c r="D131" s="251" t="s">
        <v>335</v>
      </c>
      <c r="E131" s="204"/>
      <c r="F131" s="975">
        <f ca="1">IF(Last_FQR="3Q",SUM(Model!X57,Model!Z57:AB57),IF(Last_FQR="2Q",SUM(Model!W57:X57,Model!Z57:AA57),IF(Last_FQR="1Q",SUM(Model!V57:X57,Model!Z57),IF(Last_FQR="4Q",SUM(Model!U57:X57),"Error"))))</f>
        <v>30.127097184994202</v>
      </c>
      <c r="J131" s="130"/>
      <c r="L131" s="150" t="s">
        <v>348</v>
      </c>
      <c r="N131" s="977">
        <f t="shared" si="8"/>
        <v>-306515</v>
      </c>
      <c r="O131" s="357"/>
      <c r="P131" s="150" t="s">
        <v>348</v>
      </c>
      <c r="R131" s="359">
        <f t="shared" si="7"/>
        <v>-306515</v>
      </c>
    </row>
    <row r="132" spans="1:19" s="23" customFormat="1" ht="12.75">
      <c r="D132" s="159" t="s">
        <v>342</v>
      </c>
      <c r="E132" s="155"/>
      <c r="F132" s="976">
        <f>IF(Last_FQR="3Q",SUM(Model!X62,Model!Z62:AB62),IF(Last_FQR="2Q",SUM(Model!W62:X62,Model!Z62:AA62),IF(Last_FQR="1Q",SUM(Model!V62:X62,Model!Z62),IF(Last_FQR="4Q",SUM(Model!U62:X62),"Error"))))</f>
        <v>1573746.76787687</v>
      </c>
      <c r="L132" s="150" t="s">
        <v>349</v>
      </c>
      <c r="M132" s="155"/>
      <c r="N132" s="403">
        <f t="shared" si="8"/>
        <v>0</v>
      </c>
      <c r="O132" s="357"/>
      <c r="P132" s="159" t="s">
        <v>349</v>
      </c>
      <c r="Q132" s="155"/>
      <c r="R132" s="403">
        <f t="shared" si="7"/>
        <v>0</v>
      </c>
    </row>
    <row r="133" spans="1:19" s="23" customFormat="1" ht="12.75">
      <c r="L133" s="251"/>
      <c r="N133" s="357"/>
      <c r="O133" s="357"/>
      <c r="P133" s="150"/>
      <c r="R133" s="357"/>
    </row>
    <row r="134" spans="1:19" s="23" customFormat="1" ht="12.75">
      <c r="L134" s="150" t="s">
        <v>336</v>
      </c>
      <c r="N134" s="401">
        <f ca="1">SUM(N125:N132)</f>
        <v>18137263.613131944</v>
      </c>
      <c r="O134" s="357"/>
      <c r="P134" s="150" t="s">
        <v>336</v>
      </c>
      <c r="R134" s="401">
        <f ca="1">SUM(R125:R132)</f>
        <v>14708227.295450563</v>
      </c>
    </row>
    <row r="135" spans="1:19" s="23" customFormat="1" ht="12.75">
      <c r="L135" s="150" t="s">
        <v>209</v>
      </c>
      <c r="N135" s="401">
        <f>Diluted_Shares</f>
        <v>42131</v>
      </c>
      <c r="O135" s="357"/>
      <c r="P135" s="150" t="s">
        <v>209</v>
      </c>
      <c r="R135" s="401">
        <f>Diluted_Shares</f>
        <v>42131</v>
      </c>
    </row>
    <row r="136" spans="1:19" s="23" customFormat="1" ht="12.75">
      <c r="L136" s="150"/>
      <c r="N136" s="357"/>
      <c r="O136" s="357"/>
      <c r="P136" s="150"/>
      <c r="R136" s="357"/>
    </row>
    <row r="137" spans="1:19" s="23" customFormat="1" ht="12.75">
      <c r="L137" s="150" t="s">
        <v>337</v>
      </c>
      <c r="N137" s="401">
        <f ca="1">N134/N135</f>
        <v>430.49686960034046</v>
      </c>
      <c r="O137" s="357"/>
      <c r="P137" s="150" t="s">
        <v>337</v>
      </c>
      <c r="R137" s="401">
        <f ca="1">R134/R135</f>
        <v>349.10700660916103</v>
      </c>
    </row>
    <row r="138" spans="1:19" s="23" customFormat="1" ht="12.75">
      <c r="L138" s="262" t="s">
        <v>338</v>
      </c>
      <c r="M138" s="155"/>
      <c r="N138" s="402">
        <f ca="1">N137/Share_Price-1</f>
        <v>0.26175113455945498</v>
      </c>
      <c r="O138" s="357"/>
      <c r="P138" s="262" t="s">
        <v>338</v>
      </c>
      <c r="Q138" s="155"/>
      <c r="R138" s="402">
        <f ca="1">R137/Share_Price-1</f>
        <v>2.3204099209124029E-2</v>
      </c>
    </row>
    <row r="139" spans="1:19" s="23" customFormat="1" ht="5.0999999999999996" customHeight="1"/>
    <row r="140" spans="1:19" s="23" customFormat="1" ht="12.75">
      <c r="A140" s="22" t="s">
        <v>1</v>
      </c>
      <c r="C140" s="1088" t="s">
        <v>25</v>
      </c>
      <c r="D140" s="1089"/>
      <c r="E140" s="1089"/>
      <c r="F140" s="1089"/>
      <c r="G140" s="1089"/>
      <c r="H140" s="1089"/>
      <c r="I140" s="1089"/>
      <c r="J140" s="1089"/>
      <c r="K140" s="1089"/>
      <c r="L140" s="1089"/>
      <c r="M140" s="1089"/>
      <c r="N140" s="1089"/>
      <c r="O140" s="1089"/>
      <c r="P140" s="1089"/>
      <c r="Q140" s="1089"/>
      <c r="R140" s="1090"/>
      <c r="S140" s="22" t="s">
        <v>1</v>
      </c>
    </row>
    <row r="141" spans="1:19" s="23" customFormat="1" ht="5.0999999999999996" customHeight="1"/>
    <row r="142" spans="1:19" s="23" customFormat="1" ht="12.75">
      <c r="C142" s="23" t="s">
        <v>394</v>
      </c>
      <c r="G142" s="162" t="s">
        <v>428</v>
      </c>
      <c r="J142" s="557" t="s">
        <v>439</v>
      </c>
      <c r="K142" s="557"/>
    </row>
    <row r="143" spans="1:19" s="23" customFormat="1" ht="12.75">
      <c r="C143" s="23" t="s">
        <v>395</v>
      </c>
      <c r="G143" s="162" t="s">
        <v>428</v>
      </c>
      <c r="J143" s="189" t="s">
        <v>393</v>
      </c>
      <c r="K143" s="189" t="s">
        <v>334</v>
      </c>
      <c r="L143" s="189"/>
      <c r="M143" s="189"/>
    </row>
    <row r="144" spans="1:19" s="23" customFormat="1" ht="12.75">
      <c r="C144" s="23" t="s">
        <v>421</v>
      </c>
      <c r="G144" s="162" t="s">
        <v>422</v>
      </c>
      <c r="H144" s="163" t="b">
        <f>G144=$D$24</f>
        <v>1</v>
      </c>
      <c r="I144" s="189" t="s">
        <v>427</v>
      </c>
      <c r="J144" s="345">
        <f>IF($G$145=$C$9,IF($G$144="LTM",'Multiples Data'!E31,IF($G$144="NTM",'Multiples Data'!F31,"N/A")),IF($G$145=Valuation!$C$14,IF(Valuation!$G$144="LTM",'Multiples Data'!E53,IF(Valuation!$G$144="NTM",'Multiples Data'!F53,"N/A")),IF($G$145=Valuation!$C$19,IF(Valuation!$G$144="LTM",'Multiples Data'!E75,IF($G$144="NTM",'Multiples Data'!F75,"N/A")))))</f>
        <v>23.702756250000004</v>
      </c>
      <c r="K144" s="345">
        <f>IF($G$145=$C$9,IF($G$144="LTM",'Multiples Data'!G31,IF($G$144="NTM",'Multiples Data'!H31,"N/A")),IF($G$145=Valuation!$C$14,IF(Valuation!$G$144="LTM",'Multiples Data'!G53,IF(Valuation!$G$144="NTM",'Multiples Data'!H53,"N/A")),IF($G$145=Valuation!$C$19,IF(Valuation!$G$144="LTM",'Multiples Data'!G75,IF($G$144="NTM",'Multiples Data'!H75,"N/A")))))</f>
        <v>15.581890000000003</v>
      </c>
      <c r="M144" s="189"/>
    </row>
    <row r="145" spans="1:19" s="23" customFormat="1" ht="12.75">
      <c r="C145" s="23" t="s">
        <v>397</v>
      </c>
      <c r="G145" s="162" t="s">
        <v>351</v>
      </c>
      <c r="I145" s="189" t="s">
        <v>426</v>
      </c>
      <c r="J145" s="345">
        <f>IF($G$145=$C$9,IF($G$144="LTM",'Multiples Data'!E32,IF($G$144="NTM",'Multiples Data'!F32,"N/A")),IF($G$145=Valuation!$C$14,IF(Valuation!$G$144="LTM",'Multiples Data'!E54,IF(Valuation!$G$144="NTM",'Multiples Data'!F54,"N/A")),IF($G$145=Valuation!$C$19,IF(Valuation!$G$144="LTM",'Multiples Data'!E76,IF($G$144="NTM",'Multiples Data'!F76,"N/A")))))</f>
        <v>22.377600000000001</v>
      </c>
      <c r="K145" s="345">
        <f>IF($G$145=$C$9,IF($G$144="LTM",'Multiples Data'!G32,IF($G$144="NTM",'Multiples Data'!H32,"N/A")),IF($G$145=Valuation!$C$14,IF(Valuation!$G$144="LTM",'Multiples Data'!G54,IF(Valuation!$G$144="NTM",'Multiples Data'!H54,"N/A")),IF($G$145=Valuation!$C$19,IF(Valuation!$G$144="LTM",'Multiples Data'!G76,IF($G$144="NTM",'Multiples Data'!H76,"N/A")))))</f>
        <v>15.036331999999998</v>
      </c>
      <c r="M145" s="189"/>
    </row>
    <row r="146" spans="1:19" s="23" customFormat="1" ht="12.75">
      <c r="G146" s="162"/>
      <c r="I146" s="189" t="s">
        <v>396</v>
      </c>
      <c r="J146" s="345">
        <f>IF($G$145=$C$9,IF($G$144="LTM",'Multiples Data'!E33,IF($G$144="NTM",'Multiples Data'!F33,"N/A")),IF($G$145=Valuation!$C$14,IF(Valuation!$G$144="LTM",'Multiples Data'!E55,IF(Valuation!$G$144="NTM",'Multiples Data'!F55,"N/A")),IF($G$145=Valuation!$C$19,IF(Valuation!$G$144="LTM",'Multiples Data'!E77,IF($G$144="NTM",'Multiples Data'!F77,"N/A")))))</f>
        <v>19.873982857142856</v>
      </c>
      <c r="K146" s="345">
        <f>IF($G$145=$C$9,IF($G$144="LTM",'Multiples Data'!G33,IF($G$144="NTM",'Multiples Data'!H33,"N/A")),IF($G$145=Valuation!$C$14,IF(Valuation!$G$144="LTM",'Multiples Data'!G55,IF(Valuation!$G$144="NTM",'Multiples Data'!H55,"N/A")),IF($G$145=Valuation!$C$19,IF(Valuation!$G$144="LTM",'Multiples Data'!G77,IF($G$144="NTM",'Multiples Data'!H77,"N/A")))))</f>
        <v>15.001446648800718</v>
      </c>
      <c r="M146" s="189"/>
    </row>
    <row r="147" spans="1:19" s="23" customFormat="1" ht="14.45" customHeight="1">
      <c r="I147" s="189" t="s">
        <v>428</v>
      </c>
      <c r="J147" s="345">
        <f>IF($G$145=$C$9,IF($G$144="LTM",'Multiples Data'!E34,IF($G$144="NTM",'Multiples Data'!F34,"N/A")),IF($G$145=Valuation!$C$14,IF(Valuation!$G$144="LTM",'Multiples Data'!E56,IF(Valuation!$G$144="NTM",'Multiples Data'!F56,"N/A")),IF($G$145=Valuation!$C$19,IF(Valuation!$G$144="LTM",'Multiples Data'!E78,IF($G$144="NTM",'Multiples Data'!F78,"N/A")))))</f>
        <v>19.645850000000003</v>
      </c>
      <c r="K147" s="345">
        <f>IF($G$145=$C$9,IF($G$144="LTM",'Multiples Data'!G34,IF($G$144="NTM",'Multiples Data'!H34,"N/A")),IF($G$145=Valuation!$C$14,IF(Valuation!$G$144="LTM",'Multiples Data'!G56,IF(Valuation!$G$144="NTM",'Multiples Data'!H56,"N/A")),IF($G$145=Valuation!$C$19,IF(Valuation!$G$144="LTM",'Multiples Data'!G78,IF($G$144="NTM",'Multiples Data'!H78,"N/A")))))</f>
        <v>17.107507867418629</v>
      </c>
    </row>
    <row r="148" spans="1:19" s="23" customFormat="1" ht="5.0999999999999996" customHeight="1"/>
    <row r="149" spans="1:19" s="23" customFormat="1" ht="14.45" customHeight="1">
      <c r="A149" s="22" t="s">
        <v>1</v>
      </c>
      <c r="C149" s="1088" t="s">
        <v>392</v>
      </c>
      <c r="D149" s="1089"/>
      <c r="E149" s="1089"/>
      <c r="F149" s="1089"/>
      <c r="G149" s="1089"/>
      <c r="H149" s="1089"/>
      <c r="I149" s="1089"/>
      <c r="J149" s="1089"/>
      <c r="K149" s="1089"/>
      <c r="L149" s="1089"/>
      <c r="M149" s="1089"/>
      <c r="N149" s="1089"/>
      <c r="O149" s="1089"/>
      <c r="P149" s="1089"/>
      <c r="Q149" s="1089"/>
      <c r="R149" s="1090"/>
      <c r="S149" s="22" t="s">
        <v>1</v>
      </c>
    </row>
    <row r="150" spans="1:19" s="23" customFormat="1" ht="5.0999999999999996" customHeight="1">
      <c r="A150" s="22"/>
      <c r="C150" s="558"/>
      <c r="D150" s="163"/>
      <c r="E150" s="163"/>
      <c r="F150" s="163"/>
      <c r="G150" s="548"/>
      <c r="H150" s="548"/>
      <c r="I150" s="548"/>
      <c r="J150" s="548"/>
      <c r="K150" s="548"/>
      <c r="L150" s="548"/>
      <c r="M150" s="548"/>
      <c r="N150" s="548"/>
      <c r="O150" s="548"/>
      <c r="P150" s="548"/>
      <c r="Q150" s="548"/>
      <c r="R150" s="548"/>
      <c r="S150" s="22"/>
    </row>
    <row r="151" spans="1:19" s="23" customFormat="1" ht="14.45" customHeight="1">
      <c r="C151" s="23" t="s">
        <v>476</v>
      </c>
      <c r="E151" s="364">
        <f>$F$123</f>
        <v>15.645487500000002</v>
      </c>
      <c r="F151" s="547">
        <f>E151-H161</f>
        <v>0</v>
      </c>
      <c r="H151" s="23" t="s">
        <v>478</v>
      </c>
      <c r="K151" s="364">
        <v>11.6</v>
      </c>
      <c r="L151" s="547">
        <f>K151-H177</f>
        <v>0</v>
      </c>
      <c r="M151" s="547"/>
      <c r="N151" s="461" t="s">
        <v>335</v>
      </c>
      <c r="Q151" s="961">
        <f ca="1">NTM_EPS</f>
        <v>30.127097184994202</v>
      </c>
      <c r="R151" s="958">
        <f ca="1">Q151-E164</f>
        <v>0</v>
      </c>
    </row>
    <row r="152" spans="1:19" s="23" customFormat="1" ht="14.45" customHeight="1">
      <c r="C152" s="23" t="s">
        <v>532</v>
      </c>
      <c r="E152" s="371">
        <v>1</v>
      </c>
      <c r="H152" s="23" t="s">
        <v>532</v>
      </c>
      <c r="K152" s="371">
        <v>1</v>
      </c>
      <c r="L152" s="559"/>
      <c r="N152" s="959" t="s">
        <v>772</v>
      </c>
      <c r="R152" s="958">
        <f ca="1">Q151-E172</f>
        <v>0</v>
      </c>
    </row>
    <row r="153" spans="1:19" s="23" customFormat="1" ht="14.45" customHeight="1">
      <c r="C153" s="23" t="s">
        <v>535</v>
      </c>
      <c r="E153" s="372">
        <v>0.1</v>
      </c>
      <c r="H153" s="23" t="s">
        <v>536</v>
      </c>
      <c r="K153" s="372">
        <v>0.1</v>
      </c>
      <c r="L153" s="559"/>
      <c r="N153" s="461" t="s">
        <v>342</v>
      </c>
      <c r="Q153" s="960">
        <v>848653.2</v>
      </c>
      <c r="R153" s="958">
        <f>Q153-E180</f>
        <v>0</v>
      </c>
    </row>
    <row r="154" spans="1:19" s="23" customFormat="1" ht="14.45" customHeight="1">
      <c r="C154" s="23" t="s">
        <v>477</v>
      </c>
      <c r="E154" s="364">
        <f>$J$123</f>
        <v>14.314862315069085</v>
      </c>
      <c r="F154" s="547">
        <f>E154-H169</f>
        <v>0</v>
      </c>
      <c r="H154" s="23" t="s">
        <v>479</v>
      </c>
      <c r="K154" s="364">
        <v>9.3739229196071996</v>
      </c>
      <c r="L154" s="547">
        <f>K154-H185</f>
        <v>0</v>
      </c>
      <c r="M154" s="503"/>
      <c r="N154" s="959" t="s">
        <v>772</v>
      </c>
      <c r="O154" s="404"/>
      <c r="R154" s="958">
        <f>Q153-E188</f>
        <v>0</v>
      </c>
    </row>
    <row r="155" spans="1:19" s="23" customFormat="1" ht="14.45" customHeight="1">
      <c r="C155" s="23" t="s">
        <v>532</v>
      </c>
      <c r="E155" s="371">
        <v>1</v>
      </c>
      <c r="H155" s="23" t="s">
        <v>532</v>
      </c>
      <c r="K155" s="371">
        <v>1</v>
      </c>
      <c r="L155" s="559"/>
      <c r="O155" s="404"/>
    </row>
    <row r="156" spans="1:19" s="23" customFormat="1" ht="14.45" customHeight="1">
      <c r="E156" s="162"/>
    </row>
    <row r="157" spans="1:19" s="23" customFormat="1" ht="5.0999999999999996" customHeight="1"/>
    <row r="158" spans="1:19" s="23" customFormat="1" ht="14.45" customHeight="1">
      <c r="D158" s="170" t="s">
        <v>326</v>
      </c>
      <c r="E158" s="170"/>
      <c r="F158" s="170"/>
      <c r="G158" s="170"/>
      <c r="H158" s="170"/>
      <c r="I158" s="170"/>
      <c r="J158" s="26"/>
      <c r="K158" s="373"/>
      <c r="L158" s="170" t="s">
        <v>327</v>
      </c>
      <c r="M158" s="170"/>
      <c r="N158" s="170"/>
      <c r="O158" s="170"/>
      <c r="P158" s="170"/>
      <c r="Q158" s="170"/>
      <c r="R158" s="26"/>
    </row>
    <row r="159" spans="1:19" s="23" customFormat="1" ht="5.0999999999999996" customHeight="1">
      <c r="D159" s="163"/>
      <c r="E159" s="548"/>
      <c r="F159" s="189"/>
      <c r="G159" s="189"/>
      <c r="H159" s="189"/>
      <c r="I159" s="189"/>
      <c r="J159" s="189"/>
      <c r="K159" s="373"/>
      <c r="L159" s="163"/>
      <c r="M159" s="548"/>
      <c r="N159" s="189"/>
      <c r="O159" s="189"/>
      <c r="P159" s="189"/>
      <c r="Q159" s="189"/>
      <c r="R159" s="189"/>
    </row>
    <row r="160" spans="1:19" s="23" customFormat="1" ht="14.45" customHeight="1" thickBot="1">
      <c r="D160" s="315"/>
      <c r="E160" s="549"/>
      <c r="F160" s="550" t="str">
        <f>G144&amp;" P/E"</f>
        <v>NTM P/E</v>
      </c>
      <c r="G160" s="316"/>
      <c r="H160" s="316"/>
      <c r="I160" s="316"/>
      <c r="J160" s="316"/>
      <c r="L160" s="315"/>
      <c r="M160" s="549"/>
      <c r="N160" s="550" t="str">
        <f>F160</f>
        <v>NTM P/E</v>
      </c>
      <c r="O160" s="316"/>
      <c r="P160" s="316"/>
      <c r="Q160" s="316"/>
      <c r="R160" s="316"/>
    </row>
    <row r="161" spans="4:18" s="23" customFormat="1" ht="14.45" customHeight="1" thickBot="1">
      <c r="E161" s="374">
        <f ca="1">$F$126</f>
        <v>471.35312241911203</v>
      </c>
      <c r="F161" s="551">
        <f>G161-$E$93</f>
        <v>13.645487500000002</v>
      </c>
      <c r="G161" s="551">
        <f>H161-$E$93</f>
        <v>14.645487500000002</v>
      </c>
      <c r="H161" s="552">
        <v>15.645487500000002</v>
      </c>
      <c r="I161" s="551">
        <f>H161+$E$93</f>
        <v>16.645487500000002</v>
      </c>
      <c r="J161" s="551">
        <f>I161+$E$93</f>
        <v>17.645487500000002</v>
      </c>
      <c r="M161" s="375">
        <f>$H$73</f>
        <v>0</v>
      </c>
      <c r="N161" s="551">
        <f>F161</f>
        <v>13.645487500000002</v>
      </c>
      <c r="O161" s="551">
        <f>G161</f>
        <v>14.645487500000002</v>
      </c>
      <c r="P161" s="551">
        <f>H161</f>
        <v>15.645487500000002</v>
      </c>
      <c r="Q161" s="551">
        <f>I161</f>
        <v>16.645487500000002</v>
      </c>
      <c r="R161" s="551">
        <f>J161</f>
        <v>17.645487500000002</v>
      </c>
    </row>
    <row r="162" spans="4:18" s="23" customFormat="1" ht="14.45" customHeight="1">
      <c r="D162" s="1082" t="s">
        <v>212</v>
      </c>
      <c r="E162" s="560">
        <f ca="1">$E$164*(1-(2*$E$153))</f>
        <v>24.101677747995364</v>
      </c>
      <c r="F162" s="376">
        <f t="dataTable" ref="F162:J166" dt2D="1" dtr="1" r1="F123" r2="F124" ca="1"/>
        <v>328.8791424392989</v>
      </c>
      <c r="G162" s="377">
        <v>352.98082018729428</v>
      </c>
      <c r="H162" s="377">
        <v>377.08249793528967</v>
      </c>
      <c r="I162" s="377">
        <v>401.18417568328499</v>
      </c>
      <c r="J162" s="378">
        <v>425.28585343128037</v>
      </c>
      <c r="L162" s="1082" t="s">
        <v>212</v>
      </c>
      <c r="M162" s="560">
        <f ca="1">E162</f>
        <v>24.101677747995364</v>
      </c>
      <c r="N162" s="379">
        <f t="shared" ref="N162:R166" si="9">F162/Share_Price-1</f>
        <v>-3.608211718016674E-2</v>
      </c>
      <c r="O162" s="380">
        <f t="shared" si="9"/>
        <v>3.4557930148287674E-2</v>
      </c>
      <c r="P162" s="380">
        <f t="shared" si="9"/>
        <v>0.1051979774767422</v>
      </c>
      <c r="Q162" s="380">
        <f t="shared" si="9"/>
        <v>0.1758380248051965</v>
      </c>
      <c r="R162" s="381">
        <f t="shared" si="9"/>
        <v>0.24647807213365103</v>
      </c>
    </row>
    <row r="163" spans="4:18" s="23" customFormat="1" ht="14.45" customHeight="1">
      <c r="D163" s="1083"/>
      <c r="E163" s="560">
        <f ca="1">$E$164*(1-$E$153)</f>
        <v>27.114387466494783</v>
      </c>
      <c r="F163" s="382">
        <v>369.98903524421127</v>
      </c>
      <c r="G163" s="383">
        <v>397.10342271070607</v>
      </c>
      <c r="H163" s="383">
        <v>424.21781017720082</v>
      </c>
      <c r="I163" s="383">
        <v>451.33219764369562</v>
      </c>
      <c r="J163" s="384">
        <v>478.44658511019043</v>
      </c>
      <c r="L163" s="1083"/>
      <c r="M163" s="560">
        <f ca="1">E163</f>
        <v>27.114387466494783</v>
      </c>
      <c r="N163" s="385">
        <f t="shared" si="9"/>
        <v>8.4407618172312349E-2</v>
      </c>
      <c r="O163" s="386">
        <f t="shared" si="9"/>
        <v>0.16387767141682374</v>
      </c>
      <c r="P163" s="386">
        <f t="shared" si="9"/>
        <v>0.2433477246613347</v>
      </c>
      <c r="Q163" s="386">
        <f t="shared" si="9"/>
        <v>0.32281777790584609</v>
      </c>
      <c r="R163" s="387">
        <f t="shared" si="9"/>
        <v>0.40228783115035727</v>
      </c>
    </row>
    <row r="164" spans="4:18" s="23" customFormat="1" ht="14.45" customHeight="1">
      <c r="D164" s="1083"/>
      <c r="E164" s="561">
        <f ca="1">Q151</f>
        <v>30.127097184994202</v>
      </c>
      <c r="F164" s="382">
        <v>411.09892804912363</v>
      </c>
      <c r="G164" s="383">
        <v>441.2260252341178</v>
      </c>
      <c r="H164" s="383">
        <v>471.35312241911203</v>
      </c>
      <c r="I164" s="383">
        <v>501.48021960410625</v>
      </c>
      <c r="J164" s="384">
        <v>531.60731678910042</v>
      </c>
      <c r="L164" s="1083"/>
      <c r="M164" s="562">
        <f ca="1">E164</f>
        <v>30.127097184994202</v>
      </c>
      <c r="N164" s="385">
        <f t="shared" si="9"/>
        <v>0.20489735352479155</v>
      </c>
      <c r="O164" s="386">
        <f t="shared" si="9"/>
        <v>0.29319741268535959</v>
      </c>
      <c r="P164" s="386">
        <f t="shared" si="9"/>
        <v>0.38149747184592764</v>
      </c>
      <c r="Q164" s="386">
        <f t="shared" si="9"/>
        <v>0.46979753100649568</v>
      </c>
      <c r="R164" s="387">
        <f t="shared" si="9"/>
        <v>0.55809759016706351</v>
      </c>
    </row>
    <row r="165" spans="4:18" s="23" customFormat="1" ht="14.45" customHeight="1">
      <c r="D165" s="1083"/>
      <c r="E165" s="560">
        <f ca="1">$E$164*(1+$E$153)</f>
        <v>33.139806903493628</v>
      </c>
      <c r="F165" s="382">
        <v>452.20882085403605</v>
      </c>
      <c r="G165" s="383">
        <v>485.3486277575297</v>
      </c>
      <c r="H165" s="383">
        <v>518.48843466102335</v>
      </c>
      <c r="I165" s="383">
        <v>551.628241564517</v>
      </c>
      <c r="J165" s="384">
        <v>584.76804846801053</v>
      </c>
      <c r="L165" s="1083"/>
      <c r="M165" s="560">
        <f ca="1">E165</f>
        <v>33.139806903493628</v>
      </c>
      <c r="N165" s="385">
        <f t="shared" si="9"/>
        <v>0.32538708887727097</v>
      </c>
      <c r="O165" s="386">
        <f t="shared" si="9"/>
        <v>0.42251715395389589</v>
      </c>
      <c r="P165" s="386">
        <f t="shared" si="9"/>
        <v>0.51964721903052058</v>
      </c>
      <c r="Q165" s="386">
        <f t="shared" si="9"/>
        <v>0.6167772841071455</v>
      </c>
      <c r="R165" s="387">
        <f t="shared" si="9"/>
        <v>0.71390734918377019</v>
      </c>
    </row>
    <row r="166" spans="4:18" s="23" customFormat="1" ht="14.45" customHeight="1" thickBot="1">
      <c r="D166" s="1084"/>
      <c r="E166" s="560">
        <f ca="1">$E$164*(1+(2*$E$153))</f>
        <v>36.152516621993044</v>
      </c>
      <c r="F166" s="388">
        <v>493.31871365894835</v>
      </c>
      <c r="G166" s="389">
        <v>529.47123028094143</v>
      </c>
      <c r="H166" s="389">
        <v>565.6237469029345</v>
      </c>
      <c r="I166" s="389">
        <v>601.77626352492746</v>
      </c>
      <c r="J166" s="390">
        <v>637.92878014692053</v>
      </c>
      <c r="L166" s="1084"/>
      <c r="M166" s="560">
        <f ca="1">E166</f>
        <v>36.152516621993044</v>
      </c>
      <c r="N166" s="391">
        <f t="shared" si="9"/>
        <v>0.44587682422974995</v>
      </c>
      <c r="O166" s="392">
        <f t="shared" si="9"/>
        <v>0.55183689522243151</v>
      </c>
      <c r="P166" s="392">
        <f t="shared" si="9"/>
        <v>0.6577969662151133</v>
      </c>
      <c r="Q166" s="392">
        <f t="shared" si="9"/>
        <v>0.76375703720779464</v>
      </c>
      <c r="R166" s="393">
        <f t="shared" si="9"/>
        <v>0.86971710820047643</v>
      </c>
    </row>
    <row r="167" spans="4:18" s="23" customFormat="1" ht="14.45" customHeight="1"/>
    <row r="168" spans="4:18" s="23" customFormat="1" ht="14.45" customHeight="1" thickBot="1">
      <c r="D168" s="315"/>
      <c r="E168" s="549"/>
      <c r="F168" s="550" t="str">
        <f>G144&amp;" P/E Spread to Comps"</f>
        <v>NTM P/E Spread to Comps</v>
      </c>
      <c r="G168" s="316"/>
      <c r="H168" s="316"/>
      <c r="I168" s="316"/>
      <c r="J168" s="316"/>
      <c r="L168" s="315"/>
      <c r="M168" s="549"/>
      <c r="N168" s="550" t="str">
        <f>F168</f>
        <v>NTM P/E Spread to Comps</v>
      </c>
      <c r="O168" s="316"/>
      <c r="P168" s="316"/>
      <c r="Q168" s="316"/>
      <c r="R168" s="316"/>
    </row>
    <row r="169" spans="4:18" s="23" customFormat="1" ht="14.45" customHeight="1" thickBot="1">
      <c r="E169" s="374">
        <f ca="1">$J$126</f>
        <v>431.26524815589744</v>
      </c>
      <c r="F169" s="551">
        <f>G169-$E$93</f>
        <v>12.314862315069085</v>
      </c>
      <c r="G169" s="551">
        <f>H169-$E$93</f>
        <v>13.314862315069085</v>
      </c>
      <c r="H169" s="552">
        <v>14.314862315069085</v>
      </c>
      <c r="I169" s="551">
        <f>H169+$E$93</f>
        <v>15.314862315069085</v>
      </c>
      <c r="J169" s="551">
        <f>I169+$E$93</f>
        <v>16.314862315069085</v>
      </c>
      <c r="M169" s="374">
        <f>$H$73</f>
        <v>0</v>
      </c>
      <c r="N169" s="551">
        <f>F169</f>
        <v>12.314862315069085</v>
      </c>
      <c r="O169" s="551">
        <f>G169</f>
        <v>13.314862315069085</v>
      </c>
      <c r="P169" s="551">
        <f>H169</f>
        <v>14.314862315069085</v>
      </c>
      <c r="Q169" s="551">
        <f>I169</f>
        <v>15.314862315069085</v>
      </c>
      <c r="R169" s="551">
        <f>J169</f>
        <v>16.314862315069085</v>
      </c>
    </row>
    <row r="170" spans="4:18" s="23" customFormat="1" ht="14.45" customHeight="1">
      <c r="D170" s="1082" t="s">
        <v>212</v>
      </c>
      <c r="E170" s="560">
        <f ca="1">$E$172*(1-(2*$E$153))</f>
        <v>24.101677747995364</v>
      </c>
      <c r="F170" s="376">
        <f t="dataTable" ref="F170:J174" dt2D="1" dtr="1" r1="J123" r2="J124" ca="1"/>
        <v>296.80884302872727</v>
      </c>
      <c r="G170" s="377">
        <v>320.91052077672259</v>
      </c>
      <c r="H170" s="377">
        <v>345.01219852471797</v>
      </c>
      <c r="I170" s="377">
        <v>369.11387627271336</v>
      </c>
      <c r="J170" s="378">
        <v>393.21555402070868</v>
      </c>
      <c r="L170" s="1082" t="s">
        <v>212</v>
      </c>
      <c r="M170" s="560">
        <f ca="1">E170</f>
        <v>24.101677747995364</v>
      </c>
      <c r="N170" s="379">
        <f t="shared" ref="N170:R174" si="10">F170/Share_Price-1</f>
        <v>-0.13007754322012</v>
      </c>
      <c r="O170" s="380">
        <f t="shared" si="10"/>
        <v>-5.9437495891665693E-2</v>
      </c>
      <c r="P170" s="380">
        <f t="shared" si="10"/>
        <v>1.1202551436788832E-2</v>
      </c>
      <c r="Q170" s="380">
        <f t="shared" si="10"/>
        <v>8.1842598765243357E-2</v>
      </c>
      <c r="R170" s="381">
        <f t="shared" si="10"/>
        <v>0.15248264609369766</v>
      </c>
    </row>
    <row r="171" spans="4:18" s="23" customFormat="1" ht="14.45" customHeight="1">
      <c r="D171" s="1083"/>
      <c r="E171" s="560">
        <f ca="1">$E$172*(1-$E$153)</f>
        <v>27.114387466494783</v>
      </c>
      <c r="F171" s="382">
        <v>333.90994840731815</v>
      </c>
      <c r="G171" s="383">
        <v>361.0243358738129</v>
      </c>
      <c r="H171" s="383">
        <v>388.13872334030771</v>
      </c>
      <c r="I171" s="383">
        <v>415.25311080680245</v>
      </c>
      <c r="J171" s="384">
        <v>442.36749827329726</v>
      </c>
      <c r="L171" s="1083"/>
      <c r="M171" s="560">
        <f ca="1">E171</f>
        <v>27.114387466494783</v>
      </c>
      <c r="N171" s="385">
        <f t="shared" si="10"/>
        <v>-2.133723612263505E-2</v>
      </c>
      <c r="O171" s="386">
        <f t="shared" si="10"/>
        <v>5.8132817121876013E-2</v>
      </c>
      <c r="P171" s="386">
        <f t="shared" si="10"/>
        <v>0.13760287036638741</v>
      </c>
      <c r="Q171" s="386">
        <f t="shared" si="10"/>
        <v>0.21707292361089858</v>
      </c>
      <c r="R171" s="387">
        <f t="shared" si="10"/>
        <v>0.29654297685540976</v>
      </c>
    </row>
    <row r="172" spans="4:18" s="23" customFormat="1" ht="14.45" customHeight="1">
      <c r="D172" s="1083"/>
      <c r="E172" s="561">
        <f ca="1">E164</f>
        <v>30.127097184994202</v>
      </c>
      <c r="F172" s="382">
        <v>371.01105378590904</v>
      </c>
      <c r="G172" s="383">
        <v>401.13815097090321</v>
      </c>
      <c r="H172" s="383">
        <v>431.26524815589744</v>
      </c>
      <c r="I172" s="383">
        <v>461.39234534089161</v>
      </c>
      <c r="J172" s="384">
        <v>491.51944252588584</v>
      </c>
      <c r="L172" s="1083"/>
      <c r="M172" s="562">
        <f ca="1">E172</f>
        <v>30.127097184994202</v>
      </c>
      <c r="N172" s="385">
        <f t="shared" si="10"/>
        <v>8.7403070974849895E-2</v>
      </c>
      <c r="O172" s="386">
        <f t="shared" si="10"/>
        <v>0.17570313013541794</v>
      </c>
      <c r="P172" s="386">
        <f t="shared" si="10"/>
        <v>0.26400318929598598</v>
      </c>
      <c r="Q172" s="386">
        <f t="shared" si="10"/>
        <v>0.35230324845655381</v>
      </c>
      <c r="R172" s="387">
        <f t="shared" si="10"/>
        <v>0.44060330761712185</v>
      </c>
    </row>
    <row r="173" spans="4:18" s="23" customFormat="1" ht="14.45" customHeight="1">
      <c r="D173" s="1083"/>
      <c r="E173" s="560">
        <f ca="1">$E$172*(1+$E$153)</f>
        <v>33.139806903493628</v>
      </c>
      <c r="F173" s="382">
        <v>408.11215916449999</v>
      </c>
      <c r="G173" s="383">
        <v>441.25196606799364</v>
      </c>
      <c r="H173" s="383">
        <v>474.39177297148723</v>
      </c>
      <c r="I173" s="383">
        <v>507.53157987498088</v>
      </c>
      <c r="J173" s="384">
        <v>540.67138677847447</v>
      </c>
      <c r="L173" s="1083"/>
      <c r="M173" s="560">
        <f ca="1">E173</f>
        <v>33.139806903493628</v>
      </c>
      <c r="N173" s="385">
        <f t="shared" si="10"/>
        <v>0.19614337807233495</v>
      </c>
      <c r="O173" s="386">
        <f t="shared" si="10"/>
        <v>0.29327344314895987</v>
      </c>
      <c r="P173" s="386">
        <f t="shared" si="10"/>
        <v>0.39040350822558456</v>
      </c>
      <c r="Q173" s="386">
        <f t="shared" si="10"/>
        <v>0.48753357330220948</v>
      </c>
      <c r="R173" s="387">
        <f t="shared" si="10"/>
        <v>0.58466363837883439</v>
      </c>
    </row>
    <row r="174" spans="4:18" s="23" customFormat="1" ht="14.45" customHeight="1" thickBot="1">
      <c r="D174" s="1084"/>
      <c r="E174" s="560">
        <f ca="1">$E$172*(1+(2*$E$153))</f>
        <v>36.152516621993044</v>
      </c>
      <c r="F174" s="388">
        <v>445.21326454309082</v>
      </c>
      <c r="G174" s="389">
        <v>481.36578116508389</v>
      </c>
      <c r="H174" s="389">
        <v>517.5182977870769</v>
      </c>
      <c r="I174" s="389">
        <v>553.67081440906998</v>
      </c>
      <c r="J174" s="390">
        <v>589.82333103106305</v>
      </c>
      <c r="L174" s="1084"/>
      <c r="M174" s="560">
        <f ca="1">E174</f>
        <v>36.152516621993044</v>
      </c>
      <c r="N174" s="391">
        <f t="shared" si="10"/>
        <v>0.30488368516981978</v>
      </c>
      <c r="O174" s="392">
        <f t="shared" si="10"/>
        <v>0.41084375616250157</v>
      </c>
      <c r="P174" s="392">
        <f t="shared" si="10"/>
        <v>0.51680382715518314</v>
      </c>
      <c r="Q174" s="392">
        <f t="shared" si="10"/>
        <v>0.6227638981478647</v>
      </c>
      <c r="R174" s="393">
        <f t="shared" si="10"/>
        <v>0.72872396914054649</v>
      </c>
    </row>
    <row r="175" spans="4:18" s="23" customFormat="1" ht="14.45" customHeight="1"/>
    <row r="176" spans="4:18" s="23" customFormat="1" ht="14.45" customHeight="1" thickBot="1">
      <c r="D176" s="315"/>
      <c r="E176" s="549"/>
      <c r="F176" s="550" t="str">
        <f>G144&amp;" EV/EBITDA"</f>
        <v>NTM EV/EBITDA</v>
      </c>
      <c r="G176" s="316"/>
      <c r="H176" s="316"/>
      <c r="I176" s="316"/>
      <c r="J176" s="316"/>
      <c r="L176" s="315"/>
      <c r="M176" s="549"/>
      <c r="N176" s="550" t="str">
        <f>F176</f>
        <v>NTM EV/EBITDA</v>
      </c>
      <c r="O176" s="316"/>
      <c r="P176" s="316"/>
      <c r="Q176" s="316"/>
      <c r="R176" s="316"/>
    </row>
    <row r="177" spans="1:19" s="23" customFormat="1" ht="14.45" customHeight="1" thickBot="1">
      <c r="E177" s="374">
        <f ca="1">$N$137</f>
        <v>430.49686960034046</v>
      </c>
      <c r="F177" s="551">
        <f>G177-$E$93</f>
        <v>9.6</v>
      </c>
      <c r="G177" s="551">
        <f>H177-$E$93</f>
        <v>10.6</v>
      </c>
      <c r="H177" s="552">
        <v>11.6</v>
      </c>
      <c r="I177" s="551">
        <f>H177+$E$93</f>
        <v>12.6</v>
      </c>
      <c r="J177" s="551">
        <f>I177+$E$93</f>
        <v>13.6</v>
      </c>
      <c r="M177" s="374">
        <f>$H$73</f>
        <v>0</v>
      </c>
      <c r="N177" s="551">
        <f>F177</f>
        <v>9.6</v>
      </c>
      <c r="O177" s="551">
        <f>G177</f>
        <v>10.6</v>
      </c>
      <c r="P177" s="551">
        <f>H177</f>
        <v>11.6</v>
      </c>
      <c r="Q177" s="551">
        <f>I177</f>
        <v>12.6</v>
      </c>
      <c r="R177" s="551">
        <f>J177</f>
        <v>13.6</v>
      </c>
    </row>
    <row r="178" spans="1:19" s="23" customFormat="1" ht="14.45" customHeight="1">
      <c r="D178" s="1082" t="s">
        <v>47</v>
      </c>
      <c r="E178" s="354">
        <f>$E$180*(1-(2*$K$153))</f>
        <v>678922.56</v>
      </c>
      <c r="F178" s="376">
        <f t="dataTable" ref="F178:J182" dt2D="1" dtr="1" r1="N123" r2="N124" ca="1"/>
        <v>153.65652309206573</v>
      </c>
      <c r="G178" s="377">
        <v>169.77108386679217</v>
      </c>
      <c r="H178" s="377">
        <v>185.88564464151861</v>
      </c>
      <c r="I178" s="377">
        <v>202.00020541624508</v>
      </c>
      <c r="J178" s="378">
        <v>218.11476619097149</v>
      </c>
      <c r="L178" s="1082" t="s">
        <v>47</v>
      </c>
      <c r="M178" s="354">
        <f>E178</f>
        <v>678922.56</v>
      </c>
      <c r="N178" s="380">
        <f t="shared" ref="N178:R182" si="11">F178/Share_Price-1</f>
        <v>-0.54964529120998351</v>
      </c>
      <c r="O178" s="380">
        <f t="shared" si="11"/>
        <v>-0.50241483083680016</v>
      </c>
      <c r="P178" s="380">
        <f t="shared" si="11"/>
        <v>-0.45518437046361671</v>
      </c>
      <c r="Q178" s="380">
        <f t="shared" si="11"/>
        <v>-0.40795391009043325</v>
      </c>
      <c r="R178" s="381">
        <f t="shared" si="11"/>
        <v>-0.3607234497172499</v>
      </c>
    </row>
    <row r="179" spans="1:19" s="23" customFormat="1" ht="14.45" customHeight="1">
      <c r="D179" s="1083"/>
      <c r="E179" s="354">
        <f>$E$180*(1-$K$153)</f>
        <v>763787.88</v>
      </c>
      <c r="F179" s="382">
        <v>172.99399602173744</v>
      </c>
      <c r="G179" s="383">
        <v>191.12287689330472</v>
      </c>
      <c r="H179" s="383">
        <v>209.25175776487197</v>
      </c>
      <c r="I179" s="383">
        <v>227.38063863643922</v>
      </c>
      <c r="J179" s="384">
        <v>245.50951950800646</v>
      </c>
      <c r="L179" s="1083"/>
      <c r="M179" s="354">
        <f>E179</f>
        <v>763787.88</v>
      </c>
      <c r="N179" s="385">
        <f t="shared" si="11"/>
        <v>-0.49296873876216352</v>
      </c>
      <c r="O179" s="386">
        <f t="shared" si="11"/>
        <v>-0.43983447084233207</v>
      </c>
      <c r="P179" s="386">
        <f t="shared" si="11"/>
        <v>-0.38670020292250074</v>
      </c>
      <c r="Q179" s="386">
        <f t="shared" si="11"/>
        <v>-0.3335659350026694</v>
      </c>
      <c r="R179" s="387">
        <f t="shared" si="11"/>
        <v>-0.28043166708283807</v>
      </c>
    </row>
    <row r="180" spans="1:19" s="23" customFormat="1" ht="14.45" customHeight="1">
      <c r="D180" s="1083"/>
      <c r="E180" s="563">
        <v>848653.2</v>
      </c>
      <c r="F180" s="382">
        <v>192.33146895140916</v>
      </c>
      <c r="G180" s="383">
        <v>212.47466991981725</v>
      </c>
      <c r="H180" s="383">
        <v>232.6178708882253</v>
      </c>
      <c r="I180" s="383">
        <v>252.76107185663332</v>
      </c>
      <c r="J180" s="384">
        <v>272.9042728250414</v>
      </c>
      <c r="L180" s="1083"/>
      <c r="M180" s="564">
        <f>E180</f>
        <v>848653.2</v>
      </c>
      <c r="N180" s="385">
        <f t="shared" si="11"/>
        <v>-0.43629218631434341</v>
      </c>
      <c r="O180" s="386">
        <f t="shared" si="11"/>
        <v>-0.37725411084786409</v>
      </c>
      <c r="P180" s="386">
        <f t="shared" si="11"/>
        <v>-0.31821603538138488</v>
      </c>
      <c r="Q180" s="386">
        <f t="shared" si="11"/>
        <v>-0.25917795991490566</v>
      </c>
      <c r="R180" s="387">
        <f t="shared" si="11"/>
        <v>-0.20013988444842634</v>
      </c>
    </row>
    <row r="181" spans="1:19" s="23" customFormat="1" ht="14.45" customHeight="1">
      <c r="D181" s="1083"/>
      <c r="E181" s="354">
        <f>$E$180*(1+$K$153)</f>
        <v>933518.52</v>
      </c>
      <c r="F181" s="382">
        <v>211.66894188108091</v>
      </c>
      <c r="G181" s="383">
        <v>233.82646294632977</v>
      </c>
      <c r="H181" s="383">
        <v>255.98398401157866</v>
      </c>
      <c r="I181" s="383">
        <v>278.14150507682751</v>
      </c>
      <c r="J181" s="384">
        <v>300.2990261420764</v>
      </c>
      <c r="L181" s="1083"/>
      <c r="M181" s="354">
        <f>E181</f>
        <v>933518.52</v>
      </c>
      <c r="N181" s="385">
        <f t="shared" si="11"/>
        <v>-0.37961563386652331</v>
      </c>
      <c r="O181" s="386">
        <f t="shared" si="11"/>
        <v>-0.31467375085339611</v>
      </c>
      <c r="P181" s="386">
        <f t="shared" si="11"/>
        <v>-0.24973186784026891</v>
      </c>
      <c r="Q181" s="386">
        <f t="shared" si="11"/>
        <v>-0.18478998482714171</v>
      </c>
      <c r="R181" s="387">
        <f t="shared" si="11"/>
        <v>-0.11984810181401451</v>
      </c>
    </row>
    <row r="182" spans="1:19" s="23" customFormat="1" ht="14.45" customHeight="1" thickBot="1">
      <c r="D182" s="1084"/>
      <c r="E182" s="354">
        <f>$E$180*(1+(2*$K$153))</f>
        <v>1018383.8399999999</v>
      </c>
      <c r="F182" s="388">
        <v>231.00641481075263</v>
      </c>
      <c r="G182" s="389">
        <v>255.17825597284229</v>
      </c>
      <c r="H182" s="389">
        <v>279.35009713493196</v>
      </c>
      <c r="I182" s="389">
        <v>303.52193829702162</v>
      </c>
      <c r="J182" s="390">
        <v>327.69377945911128</v>
      </c>
      <c r="L182" s="1084"/>
      <c r="M182" s="354">
        <f>E182</f>
        <v>1018383.8399999999</v>
      </c>
      <c r="N182" s="391">
        <f t="shared" si="11"/>
        <v>-0.32293908141870331</v>
      </c>
      <c r="O182" s="392">
        <f t="shared" si="11"/>
        <v>-0.25209339085892812</v>
      </c>
      <c r="P182" s="392">
        <f t="shared" si="11"/>
        <v>-0.18124770029915305</v>
      </c>
      <c r="Q182" s="392">
        <f t="shared" si="11"/>
        <v>-0.11040200973937797</v>
      </c>
      <c r="R182" s="393">
        <f t="shared" si="11"/>
        <v>-3.9556319179602895E-2</v>
      </c>
    </row>
    <row r="183" spans="1:19" s="23" customFormat="1" ht="14.45" customHeight="1"/>
    <row r="184" spans="1:19" s="23" customFormat="1" ht="14.45" customHeight="1" thickBot="1">
      <c r="D184" s="315"/>
      <c r="E184" s="549"/>
      <c r="F184" s="550" t="str">
        <f>G144&amp;" EV/EBITDA Spread to Comps"</f>
        <v>NTM EV/EBITDA Spread to Comps</v>
      </c>
      <c r="G184" s="316"/>
      <c r="H184" s="316"/>
      <c r="I184" s="316"/>
      <c r="J184" s="316"/>
      <c r="L184" s="315"/>
      <c r="M184" s="549"/>
      <c r="N184" s="550" t="str">
        <f>F184</f>
        <v>NTM EV/EBITDA Spread to Comps</v>
      </c>
      <c r="O184" s="316"/>
      <c r="P184" s="316"/>
      <c r="Q184" s="316"/>
      <c r="R184" s="316"/>
    </row>
    <row r="185" spans="1:19" s="23" customFormat="1" ht="14.45" customHeight="1" thickBot="1">
      <c r="E185" s="374">
        <f ca="1">$R$137</f>
        <v>349.10700660916103</v>
      </c>
      <c r="F185" s="551">
        <f>G185-$E$93</f>
        <v>7.3739229196071996</v>
      </c>
      <c r="G185" s="551">
        <f>H185-$E$93</f>
        <v>8.3739229196071996</v>
      </c>
      <c r="H185" s="552">
        <f>K154</f>
        <v>9.3739229196071996</v>
      </c>
      <c r="I185" s="551">
        <f>H185+$E$93</f>
        <v>10.3739229196072</v>
      </c>
      <c r="J185" s="551">
        <f>I185+$E$93</f>
        <v>11.3739229196072</v>
      </c>
      <c r="M185" s="374">
        <f>$H$73</f>
        <v>0</v>
      </c>
      <c r="N185" s="551">
        <f>F185</f>
        <v>7.3739229196071996</v>
      </c>
      <c r="O185" s="551">
        <f>G185</f>
        <v>8.3739229196071996</v>
      </c>
      <c r="P185" s="551">
        <f>H185</f>
        <v>9.3739229196071996</v>
      </c>
      <c r="Q185" s="551">
        <f>I185</f>
        <v>10.3739229196072</v>
      </c>
      <c r="R185" s="551">
        <f>J185</f>
        <v>11.3739229196072</v>
      </c>
    </row>
    <row r="186" spans="1:19" s="23" customFormat="1" ht="14.45" customHeight="1">
      <c r="D186" s="1082" t="s">
        <v>47</v>
      </c>
      <c r="E186" s="354">
        <f>$E$188*(1-(2*$K$153))</f>
        <v>678922.56</v>
      </c>
      <c r="F186" s="376">
        <f t="dataTable" ref="F186:J190" dt2D="1" dtr="1" r1="R123" r2="R124" ca="1"/>
        <v>117.78426869085031</v>
      </c>
      <c r="G186" s="377">
        <v>133.89882946557677</v>
      </c>
      <c r="H186" s="377">
        <v>150.01339024030321</v>
      </c>
      <c r="I186" s="377">
        <v>166.12795101502968</v>
      </c>
      <c r="J186" s="378">
        <v>182.24251178975615</v>
      </c>
      <c r="L186" s="1082" t="s">
        <v>47</v>
      </c>
      <c r="M186" s="354">
        <f>E186</f>
        <v>678922.56</v>
      </c>
      <c r="N186" s="379">
        <f t="shared" ref="N186:R190" si="12">F186/Share_Price-1</f>
        <v>-0.65478393654312761</v>
      </c>
      <c r="O186" s="380">
        <f t="shared" si="12"/>
        <v>-0.60755347616994415</v>
      </c>
      <c r="P186" s="380">
        <f t="shared" si="12"/>
        <v>-0.56032301579676069</v>
      </c>
      <c r="Q186" s="380">
        <f t="shared" si="12"/>
        <v>-0.51309255542357723</v>
      </c>
      <c r="R186" s="381">
        <f t="shared" si="12"/>
        <v>-0.46586209505039378</v>
      </c>
    </row>
    <row r="187" spans="1:19" s="23" customFormat="1" ht="14.45" customHeight="1">
      <c r="D187" s="1083"/>
      <c r="E187" s="354">
        <f>$E$188*(1-$K$153)</f>
        <v>763787.88</v>
      </c>
      <c r="F187" s="382">
        <v>132.63770982037013</v>
      </c>
      <c r="G187" s="383">
        <v>150.76659069193738</v>
      </c>
      <c r="H187" s="383">
        <v>168.89547156350463</v>
      </c>
      <c r="I187" s="383">
        <v>187.02435243507188</v>
      </c>
      <c r="J187" s="384">
        <v>205.15323330663915</v>
      </c>
      <c r="L187" s="1083"/>
      <c r="M187" s="354">
        <f>E187</f>
        <v>763787.88</v>
      </c>
      <c r="N187" s="385">
        <f t="shared" si="12"/>
        <v>-0.61124971476195045</v>
      </c>
      <c r="O187" s="386">
        <f t="shared" si="12"/>
        <v>-0.55811544684211911</v>
      </c>
      <c r="P187" s="386">
        <f t="shared" si="12"/>
        <v>-0.50498117892228778</v>
      </c>
      <c r="Q187" s="386">
        <f t="shared" si="12"/>
        <v>-0.45184691100245644</v>
      </c>
      <c r="R187" s="387">
        <f t="shared" si="12"/>
        <v>-0.39871264308262511</v>
      </c>
    </row>
    <row r="188" spans="1:19" s="23" customFormat="1" ht="14.45" customHeight="1">
      <c r="D188" s="1083"/>
      <c r="E188" s="563">
        <v>848653.2</v>
      </c>
      <c r="F188" s="382">
        <v>147.49115094988991</v>
      </c>
      <c r="G188" s="383">
        <v>167.63435191829799</v>
      </c>
      <c r="H188" s="383">
        <v>187.77755288670605</v>
      </c>
      <c r="I188" s="383">
        <v>207.9207538551141</v>
      </c>
      <c r="J188" s="384">
        <v>228.06395482352218</v>
      </c>
      <c r="L188" s="1083"/>
      <c r="M188" s="564">
        <f>E188</f>
        <v>848653.2</v>
      </c>
      <c r="N188" s="385">
        <f t="shared" si="12"/>
        <v>-0.56771549298077351</v>
      </c>
      <c r="O188" s="386">
        <f t="shared" si="12"/>
        <v>-0.50867741751429407</v>
      </c>
      <c r="P188" s="386">
        <f t="shared" si="12"/>
        <v>-0.44963934204781486</v>
      </c>
      <c r="Q188" s="386">
        <f t="shared" si="12"/>
        <v>-0.39060126658133565</v>
      </c>
      <c r="R188" s="387">
        <f t="shared" si="12"/>
        <v>-0.33156319111485633</v>
      </c>
    </row>
    <row r="189" spans="1:19" s="23" customFormat="1" ht="14.45" customHeight="1">
      <c r="D189" s="1083"/>
      <c r="E189" s="354">
        <f>$E$188*(1+$K$153)</f>
        <v>933518.52</v>
      </c>
      <c r="F189" s="382">
        <v>162.34459207940978</v>
      </c>
      <c r="G189" s="383">
        <v>184.50211314465864</v>
      </c>
      <c r="H189" s="383">
        <v>206.65963420990749</v>
      </c>
      <c r="I189" s="383">
        <v>228.81715527515635</v>
      </c>
      <c r="J189" s="384">
        <v>250.97467634040521</v>
      </c>
      <c r="L189" s="1083"/>
      <c r="M189" s="354">
        <f>E189</f>
        <v>933518.52</v>
      </c>
      <c r="N189" s="385">
        <f t="shared" si="12"/>
        <v>-0.52418127119959612</v>
      </c>
      <c r="O189" s="386">
        <f t="shared" si="12"/>
        <v>-0.45923938818646903</v>
      </c>
      <c r="P189" s="386">
        <f t="shared" si="12"/>
        <v>-0.39429750517334183</v>
      </c>
      <c r="Q189" s="386">
        <f t="shared" si="12"/>
        <v>-0.32935562216021463</v>
      </c>
      <c r="R189" s="387">
        <f t="shared" si="12"/>
        <v>-0.26441373914708755</v>
      </c>
    </row>
    <row r="190" spans="1:19" s="23" customFormat="1" ht="14.45" customHeight="1" thickBot="1">
      <c r="D190" s="1084"/>
      <c r="E190" s="354">
        <f>$E$188*(1+(2*$K$153))</f>
        <v>1018383.8399999999</v>
      </c>
      <c r="F190" s="388">
        <v>177.19803320892953</v>
      </c>
      <c r="G190" s="389">
        <v>201.36987437101922</v>
      </c>
      <c r="H190" s="389">
        <v>225.54171553310888</v>
      </c>
      <c r="I190" s="389">
        <v>249.71355669519858</v>
      </c>
      <c r="J190" s="390">
        <v>273.88539785728824</v>
      </c>
      <c r="L190" s="1084"/>
      <c r="M190" s="354">
        <f>E190</f>
        <v>1018383.8399999999</v>
      </c>
      <c r="N190" s="391">
        <f t="shared" si="12"/>
        <v>-0.48064704941841929</v>
      </c>
      <c r="O190" s="392">
        <f t="shared" si="12"/>
        <v>-0.4098013588586441</v>
      </c>
      <c r="P190" s="392">
        <f t="shared" si="12"/>
        <v>-0.33895566829886903</v>
      </c>
      <c r="Q190" s="392">
        <f t="shared" si="12"/>
        <v>-0.26810997773909384</v>
      </c>
      <c r="R190" s="393">
        <f t="shared" si="12"/>
        <v>-0.19726428717931876</v>
      </c>
    </row>
    <row r="191" spans="1:19" s="23" customFormat="1" ht="5.0999999999999996" customHeight="1"/>
    <row r="192" spans="1:19" s="23" customFormat="1" ht="12.75">
      <c r="A192" s="22" t="s">
        <v>1</v>
      </c>
      <c r="C192" s="557" t="s">
        <v>401</v>
      </c>
      <c r="D192" s="557"/>
      <c r="E192" s="557"/>
      <c r="F192" s="557"/>
      <c r="G192" s="557"/>
      <c r="H192" s="557"/>
      <c r="I192" s="557"/>
      <c r="J192" s="557"/>
      <c r="K192" s="557"/>
      <c r="L192" s="557"/>
      <c r="M192" s="557"/>
      <c r="N192" s="557"/>
      <c r="O192" s="557"/>
      <c r="P192" s="557"/>
      <c r="Q192" s="557"/>
      <c r="R192" s="557"/>
      <c r="S192" s="22" t="s">
        <v>1</v>
      </c>
    </row>
    <row r="193" spans="4:19" s="23" customFormat="1" ht="5.0999999999999996" customHeight="1"/>
    <row r="194" spans="4:19" s="23" customFormat="1" ht="12.75" hidden="1" outlineLevel="1">
      <c r="D194" s="540" t="s">
        <v>333</v>
      </c>
      <c r="E194" s="170"/>
      <c r="F194" s="26"/>
      <c r="H194" s="540" t="s">
        <v>340</v>
      </c>
      <c r="I194" s="170"/>
      <c r="J194" s="26"/>
      <c r="L194" s="540" t="s">
        <v>334</v>
      </c>
      <c r="M194" s="170"/>
      <c r="N194" s="26"/>
      <c r="P194" s="540" t="s">
        <v>350</v>
      </c>
      <c r="Q194" s="170"/>
      <c r="R194" s="170"/>
      <c r="S194" s="150"/>
    </row>
    <row r="195" spans="4:19" s="23" customFormat="1" ht="5.0999999999999996" hidden="1" customHeight="1" outlineLevel="1">
      <c r="D195" s="251"/>
      <c r="E195" s="204"/>
      <c r="F195" s="252"/>
      <c r="H195" s="251"/>
      <c r="I195" s="204"/>
      <c r="J195" s="252"/>
      <c r="L195" s="251"/>
      <c r="M195" s="204"/>
      <c r="N195" s="252"/>
      <c r="P195" s="251"/>
      <c r="Q195" s="204"/>
      <c r="R195" s="204"/>
      <c r="S195" s="150"/>
    </row>
    <row r="196" spans="4:19" s="23" customFormat="1" ht="12.75" hidden="1" outlineLevel="1">
      <c r="D196" s="150" t="s">
        <v>332</v>
      </c>
      <c r="F196" s="395">
        <f>$D$11</f>
        <v>16.600000000000001</v>
      </c>
      <c r="H196" s="405" t="s">
        <v>418</v>
      </c>
      <c r="J196" s="396">
        <f>INDEX(Company_Cyclical_Multiples_Data,MATCH(CONCATENATE($G$220," ",$G$221),'Multiples Data'!$C$14:$C$26,0),MATCH(CONCATENATE(Valuation!$G$222," P/E"),'Multiples Data'!$C$14:$H$14,0))</f>
        <v>18.891093749999996</v>
      </c>
      <c r="L196" s="150" t="s">
        <v>332</v>
      </c>
      <c r="N196" s="395">
        <f>$D$12</f>
        <v>12.1</v>
      </c>
      <c r="P196" s="405" t="s">
        <v>418</v>
      </c>
      <c r="R196" s="396">
        <f>INDEX(Company_Cyclical_Multiples_Data,MATCH(CONCATENATE($G$220," ",$G$221),'Multiples Data'!$C$14:$C$26,0),MATCH(CONCATENATE(Valuation!$G$222," EV/EBITDA"),'Multiples Data'!$C$14:$H$14,0))</f>
        <v>6.9369250000000005</v>
      </c>
      <c r="S196" s="150"/>
    </row>
    <row r="197" spans="4:19" s="23" customFormat="1" ht="12.75" hidden="1" outlineLevel="1">
      <c r="D197" s="405" t="s">
        <v>419</v>
      </c>
      <c r="F197" s="396">
        <f>INDEX(Company_Cyclical_Multiples_Data,MATCH(CONCATENATE($G$220," ",$G$221),'Multiples Data'!$C$14:$C$26,0),MATCH(CONCATENATE(Valuation!$G$222," P/E"),'Multiples Data'!$C$14:$H$14,0))</f>
        <v>18.891093749999996</v>
      </c>
      <c r="H197" s="405" t="s">
        <v>420</v>
      </c>
      <c r="J197" s="396">
        <f>INDEX($J$220:$O$222,2,MATCH($G$223,$J$220:$O$220,0))</f>
        <v>20.145474468085109</v>
      </c>
      <c r="L197" s="150" t="s">
        <v>419</v>
      </c>
      <c r="N197" s="396">
        <f>INDEX(Company_Cyclical_Multiples_Data,MATCH(CONCATENATE($G$220," ",$G$221),'Multiples Data'!$C$14:$C$26,0),MATCH(CONCATENATE(Valuation!$G$222," EV/EBITDA"),'Multiples Data'!$C$14:$H$14,0))</f>
        <v>6.9369250000000005</v>
      </c>
      <c r="P197" s="405" t="s">
        <v>420</v>
      </c>
      <c r="R197" s="396">
        <f>INDEX($J$220:$O$222,3,MATCH($G$223,$J$220:$O$220,0))</f>
        <v>8.6942717391304338</v>
      </c>
      <c r="S197" s="150"/>
    </row>
    <row r="198" spans="4:19" s="23" customFormat="1" ht="12.75" hidden="1" outlineLevel="1">
      <c r="D198" s="260" t="s">
        <v>398</v>
      </c>
      <c r="E198" s="24"/>
      <c r="F198" s="397">
        <f>F196/F197-1</f>
        <v>-0.12127904187654537</v>
      </c>
      <c r="H198" s="260" t="s">
        <v>341</v>
      </c>
      <c r="J198" s="398">
        <f>J196/J197-1</f>
        <v>-6.2266129302257389E-2</v>
      </c>
      <c r="L198" s="260" t="s">
        <v>398</v>
      </c>
      <c r="M198" s="24"/>
      <c r="N198" s="397">
        <f>N196/N197-1</f>
        <v>0.74428871582149125</v>
      </c>
      <c r="P198" s="260" t="s">
        <v>341</v>
      </c>
      <c r="R198" s="397">
        <f>R196/R197-1</f>
        <v>-0.20212696265532137</v>
      </c>
      <c r="S198" s="150"/>
    </row>
    <row r="199" spans="4:19" s="23" customFormat="1" ht="12.75" hidden="1" outlineLevel="1">
      <c r="D199" s="260" t="s">
        <v>399</v>
      </c>
      <c r="E199" s="24"/>
      <c r="F199" s="399">
        <v>0</v>
      </c>
      <c r="H199" s="150" t="s">
        <v>417</v>
      </c>
      <c r="J199" s="395">
        <f>IF($G$223=$K$220,$E$11,IF($G$223=$M$220,$E$16,IF($G$223=$O$220,$E$21,"N/A")))</f>
        <v>17.975000000000001</v>
      </c>
      <c r="L199" s="260" t="s">
        <v>399</v>
      </c>
      <c r="M199" s="24"/>
      <c r="N199" s="399">
        <v>0</v>
      </c>
      <c r="P199" s="150" t="s">
        <v>417</v>
      </c>
      <c r="R199" s="395">
        <f>IF($G$223=$K$220,$E$12,IF($G$223=$M$220,$E$17,IF($G$223=$O$220,$E$22,"N/A")))</f>
        <v>13.645</v>
      </c>
      <c r="S199" s="150"/>
    </row>
    <row r="200" spans="4:19" s="23" customFormat="1" ht="12.75" hidden="1" outlineLevel="1">
      <c r="D200" s="150"/>
      <c r="F200" s="357"/>
      <c r="H200" s="150"/>
      <c r="J200" s="357"/>
      <c r="L200" s="150"/>
      <c r="N200" s="357"/>
      <c r="P200" s="150"/>
      <c r="R200" s="357"/>
      <c r="S200" s="150"/>
    </row>
    <row r="201" spans="4:19" s="23" customFormat="1" ht="12.75" hidden="1" outlineLevel="1">
      <c r="D201" s="150" t="s">
        <v>339</v>
      </c>
      <c r="F201" s="396">
        <f>F197*(1+F199)</f>
        <v>18.891093749999996</v>
      </c>
      <c r="H201" s="150" t="s">
        <v>339</v>
      </c>
      <c r="J201" s="396">
        <f>J199*(1+J198)</f>
        <v>16.855766325791926</v>
      </c>
      <c r="L201" s="150" t="s">
        <v>339</v>
      </c>
      <c r="N201" s="396">
        <f>N197*(1+N199)</f>
        <v>6.9369250000000005</v>
      </c>
      <c r="P201" s="150" t="s">
        <v>339</v>
      </c>
      <c r="R201" s="396">
        <f>R199*(1+R198)</f>
        <v>10.886977594568139</v>
      </c>
      <c r="S201" s="150"/>
    </row>
    <row r="202" spans="4:19" s="23" customFormat="1" ht="12.75" hidden="1" outlineLevel="1">
      <c r="D202" s="150" t="s">
        <v>335</v>
      </c>
      <c r="F202" s="400">
        <f ca="1">SUM(NTM_EPS)</f>
        <v>30.127097184994202</v>
      </c>
      <c r="H202" s="150" t="s">
        <v>335</v>
      </c>
      <c r="J202" s="400">
        <f ca="1">SUM(NTM_EPS)</f>
        <v>30.127097184994202</v>
      </c>
      <c r="L202" s="405" t="s">
        <v>342</v>
      </c>
      <c r="N202" s="401">
        <f>SUM(NTM_EBITDA)</f>
        <v>1573746.76787687</v>
      </c>
      <c r="P202" s="150" t="s">
        <v>342</v>
      </c>
      <c r="R202" s="401">
        <f>SUM(NTM_EBITDA)</f>
        <v>1573746.76787687</v>
      </c>
      <c r="S202" s="150"/>
    </row>
    <row r="203" spans="4:19" s="23" customFormat="1" ht="12.75" hidden="1" outlineLevel="1">
      <c r="D203" s="150"/>
      <c r="F203" s="556"/>
      <c r="H203" s="150"/>
      <c r="J203" s="556"/>
      <c r="L203" s="150" t="s">
        <v>343</v>
      </c>
      <c r="N203" s="401">
        <f>N201*N202</f>
        <v>10916963.297754258</v>
      </c>
      <c r="P203" s="150" t="s">
        <v>343</v>
      </c>
      <c r="R203" s="401">
        <f>R201*R202</f>
        <v>17133345.80139951</v>
      </c>
      <c r="S203" s="150"/>
    </row>
    <row r="204" spans="4:19" s="23" customFormat="1" ht="12.75" hidden="1" outlineLevel="1">
      <c r="D204" s="150" t="s">
        <v>337</v>
      </c>
      <c r="F204" s="400">
        <f ca="1">F201*F202</f>
        <v>569.1338173370865</v>
      </c>
      <c r="H204" s="150" t="s">
        <v>337</v>
      </c>
      <c r="J204" s="400">
        <f ca="1">J201*J202</f>
        <v>507.81531022468602</v>
      </c>
      <c r="L204" s="150"/>
      <c r="N204" s="357"/>
      <c r="P204" s="150"/>
      <c r="S204" s="150"/>
    </row>
    <row r="205" spans="4:19" s="23" customFormat="1" ht="12.75" hidden="1" outlineLevel="1">
      <c r="D205" s="262" t="s">
        <v>338</v>
      </c>
      <c r="E205" s="155"/>
      <c r="F205" s="402">
        <f ca="1">F204/Share_Price-1</f>
        <v>0.66808469573283658</v>
      </c>
      <c r="H205" s="262" t="s">
        <v>338</v>
      </c>
      <c r="I205" s="155"/>
      <c r="J205" s="402">
        <f ca="1">J204/Share_Price-1</f>
        <v>0.4883651637641373</v>
      </c>
      <c r="L205" s="150" t="s">
        <v>344</v>
      </c>
      <c r="N205" s="359">
        <f ca="1">N127</f>
        <v>802310.39839182084</v>
      </c>
      <c r="P205" s="150" t="s">
        <v>344</v>
      </c>
      <c r="R205" s="359">
        <f t="shared" ref="R205:R210" ca="1" si="13">N205</f>
        <v>802310.39839182084</v>
      </c>
      <c r="S205" s="150"/>
    </row>
    <row r="206" spans="4:19" s="23" customFormat="1" ht="12.75" hidden="1" outlineLevel="1">
      <c r="L206" s="150" t="s">
        <v>345</v>
      </c>
      <c r="N206" s="359">
        <f t="shared" ref="N206:N210" si="14">N128</f>
        <v>0</v>
      </c>
      <c r="P206" s="150" t="s">
        <v>345</v>
      </c>
      <c r="R206" s="359">
        <f t="shared" si="13"/>
        <v>0</v>
      </c>
      <c r="S206" s="150"/>
    </row>
    <row r="207" spans="4:19" s="23" customFormat="1" ht="12.75" hidden="1" outlineLevel="1">
      <c r="L207" s="150" t="s">
        <v>346</v>
      </c>
      <c r="N207" s="359">
        <f t="shared" ca="1" si="14"/>
        <v>-539749</v>
      </c>
      <c r="P207" s="150" t="s">
        <v>346</v>
      </c>
      <c r="R207" s="359">
        <f t="shared" ca="1" si="13"/>
        <v>-539749</v>
      </c>
      <c r="S207" s="150"/>
    </row>
    <row r="208" spans="4:19" s="23" customFormat="1" ht="12.75" hidden="1" outlineLevel="1">
      <c r="L208" s="150" t="s">
        <v>347</v>
      </c>
      <c r="N208" s="359">
        <f t="shared" si="14"/>
        <v>0</v>
      </c>
      <c r="P208" s="150" t="s">
        <v>347</v>
      </c>
      <c r="R208" s="359">
        <f t="shared" si="13"/>
        <v>0</v>
      </c>
      <c r="S208" s="150"/>
    </row>
    <row r="209" spans="1:19" s="23" customFormat="1" ht="12.75" hidden="1" outlineLevel="1">
      <c r="B209" s="343"/>
      <c r="C209" s="565"/>
      <c r="L209" s="150" t="s">
        <v>348</v>
      </c>
      <c r="N209" s="359">
        <f t="shared" si="14"/>
        <v>-306515</v>
      </c>
      <c r="P209" s="150" t="s">
        <v>348</v>
      </c>
      <c r="R209" s="359">
        <f t="shared" si="13"/>
        <v>-306515</v>
      </c>
      <c r="S209" s="150"/>
    </row>
    <row r="210" spans="1:19" s="23" customFormat="1" ht="12.75" hidden="1" outlineLevel="1">
      <c r="B210" s="343"/>
      <c r="D210" s="189"/>
      <c r="E210" s="189"/>
      <c r="F210" s="566"/>
      <c r="G210" s="566"/>
      <c r="H210" s="566"/>
      <c r="I210" s="566"/>
      <c r="J210" s="566"/>
      <c r="L210" s="150" t="s">
        <v>349</v>
      </c>
      <c r="M210" s="155"/>
      <c r="N210" s="403">
        <f t="shared" si="14"/>
        <v>0</v>
      </c>
      <c r="P210" s="159" t="s">
        <v>349</v>
      </c>
      <c r="Q210" s="155"/>
      <c r="R210" s="403">
        <f t="shared" si="13"/>
        <v>0</v>
      </c>
      <c r="S210" s="150"/>
    </row>
    <row r="211" spans="1:19" s="23" customFormat="1" ht="12.75" hidden="1" outlineLevel="1">
      <c r="B211" s="343"/>
      <c r="C211" s="189"/>
      <c r="D211" s="345"/>
      <c r="E211" s="345"/>
      <c r="F211" s="345"/>
      <c r="G211" s="345"/>
      <c r="H211" s="345"/>
      <c r="I211" s="345"/>
      <c r="J211" s="345"/>
      <c r="L211" s="251"/>
      <c r="N211" s="357"/>
      <c r="P211" s="150"/>
      <c r="S211" s="150"/>
    </row>
    <row r="212" spans="1:19" s="23" customFormat="1" ht="12.75" hidden="1" outlineLevel="1">
      <c r="C212" s="189"/>
      <c r="D212" s="345"/>
      <c r="E212" s="345"/>
      <c r="F212" s="345"/>
      <c r="G212" s="345"/>
      <c r="H212" s="345"/>
      <c r="I212" s="345"/>
      <c r="J212" s="345"/>
      <c r="L212" s="150" t="s">
        <v>336</v>
      </c>
      <c r="N212" s="401">
        <f ca="1">SUM(N203:N210)</f>
        <v>10873009.696146078</v>
      </c>
      <c r="P212" s="150" t="s">
        <v>336</v>
      </c>
      <c r="R212" s="401">
        <f ca="1">SUM(R203:R210)</f>
        <v>17089392.199791331</v>
      </c>
      <c r="S212" s="150"/>
    </row>
    <row r="213" spans="1:19" s="23" customFormat="1" ht="12.75" hidden="1" outlineLevel="1">
      <c r="L213" s="150" t="s">
        <v>209</v>
      </c>
      <c r="N213" s="406">
        <f>Diluted_Shares</f>
        <v>42131</v>
      </c>
      <c r="P213" s="150" t="s">
        <v>209</v>
      </c>
      <c r="R213" s="407">
        <f>N213</f>
        <v>42131</v>
      </c>
      <c r="S213" s="150"/>
    </row>
    <row r="214" spans="1:19" s="23" customFormat="1" ht="12.75" hidden="1" outlineLevel="1">
      <c r="C214" s="565"/>
      <c r="L214" s="150"/>
      <c r="N214" s="357"/>
      <c r="P214" s="150"/>
      <c r="R214" s="357"/>
      <c r="S214" s="150"/>
    </row>
    <row r="215" spans="1:19" s="23" customFormat="1" ht="12.75" hidden="1" outlineLevel="1">
      <c r="D215" s="189"/>
      <c r="E215" s="189"/>
      <c r="F215" s="189"/>
      <c r="G215" s="189"/>
      <c r="H215" s="189"/>
      <c r="I215" s="189"/>
      <c r="J215" s="189"/>
      <c r="L215" s="150" t="s">
        <v>337</v>
      </c>
      <c r="N215" s="401">
        <f ca="1">N212/N213</f>
        <v>258.07623118715622</v>
      </c>
      <c r="P215" s="150" t="s">
        <v>337</v>
      </c>
      <c r="R215" s="401">
        <f ca="1">R212/R213</f>
        <v>405.62512638654033</v>
      </c>
      <c r="S215" s="150"/>
    </row>
    <row r="216" spans="1:19" s="23" customFormat="1" ht="12.75" hidden="1" outlineLevel="1">
      <c r="C216" s="189"/>
      <c r="D216" s="345"/>
      <c r="E216" s="345"/>
      <c r="F216" s="345"/>
      <c r="G216" s="345"/>
      <c r="H216" s="345"/>
      <c r="I216" s="345"/>
      <c r="J216" s="345"/>
      <c r="L216" s="262" t="s">
        <v>338</v>
      </c>
      <c r="M216" s="155"/>
      <c r="N216" s="402">
        <f ca="1">N215/Share_Price-1</f>
        <v>-0.24359966239586084</v>
      </c>
      <c r="P216" s="262" t="s">
        <v>338</v>
      </c>
      <c r="Q216" s="155"/>
      <c r="R216" s="402">
        <f ca="1">R215/Share_Price-1</f>
        <v>0.18885408829842709</v>
      </c>
      <c r="S216" s="150"/>
    </row>
    <row r="217" spans="1:19" s="23" customFormat="1" ht="5.0999999999999996" hidden="1" customHeight="1" outlineLevel="1"/>
    <row r="218" spans="1:19" s="23" customFormat="1" ht="12.75" hidden="1" outlineLevel="1">
      <c r="A218" s="22" t="s">
        <v>1</v>
      </c>
      <c r="C218" s="993" t="s">
        <v>25</v>
      </c>
      <c r="D218" s="994"/>
      <c r="E218" s="994"/>
      <c r="F218" s="994"/>
      <c r="G218" s="994"/>
      <c r="H218" s="994"/>
      <c r="I218" s="994"/>
      <c r="J218" s="994"/>
      <c r="K218" s="994"/>
      <c r="L218" s="994"/>
      <c r="M218" s="994"/>
      <c r="N218" s="994"/>
      <c r="O218" s="994"/>
      <c r="P218" s="994"/>
      <c r="Q218" s="994"/>
      <c r="R218" s="995"/>
      <c r="S218" s="22" t="s">
        <v>1</v>
      </c>
    </row>
    <row r="219" spans="1:19" s="23" customFormat="1" ht="5.0999999999999996" hidden="1" customHeight="1" outlineLevel="1"/>
    <row r="220" spans="1:19" s="23" customFormat="1" ht="12.75" hidden="1" outlineLevel="1">
      <c r="C220" s="23" t="s">
        <v>403</v>
      </c>
      <c r="G220" s="162" t="s">
        <v>652</v>
      </c>
      <c r="H220" s="163"/>
      <c r="K220" s="557" t="str">
        <f>$C$9</f>
        <v>Primary Peer Group</v>
      </c>
      <c r="L220" s="557"/>
      <c r="M220" s="557" t="str">
        <f>$C$14</f>
        <v>Defense Peer Group</v>
      </c>
      <c r="N220" s="557"/>
      <c r="O220" s="557" t="str">
        <f>$C$19</f>
        <v>Cap. Goods Peer Group</v>
      </c>
      <c r="P220" s="557"/>
    </row>
    <row r="221" spans="1:19" s="23" customFormat="1" ht="12.75" hidden="1" outlineLevel="1">
      <c r="C221" s="23" t="s">
        <v>404</v>
      </c>
      <c r="G221" s="162" t="s">
        <v>653</v>
      </c>
      <c r="J221" s="189" t="s">
        <v>393</v>
      </c>
      <c r="K221" s="408">
        <f>INDEX(Primary_Peer_Cyclical_Valuation_Data,MATCH(CONCATENATE(Cycle_Toggle," ",Cycle_Period_Toggle),'Multiples Data'!$C$36:$C$48,0),MATCH(CONCATENATE(Cyclical_LTM_NTM_Toggle," P/E"),'Multiples Data'!$C$36:$H$36,0))</f>
        <v>20.145474468085109</v>
      </c>
      <c r="L221" s="186"/>
      <c r="M221" s="408">
        <f>INDEX(PeerGroup2_Cyclical_Valuation_Data,MATCH(CONCATENATE(Cycle_Toggle," ",Cycle_Period_Toggle),'Multiples Data'!$C$58:$C$70,0),MATCH(CONCATENATE(Cyclical_LTM_NTM_Toggle," P/E"),'Multiples Data'!$C$58:$H$58,0))</f>
        <v>9.4357996494058476</v>
      </c>
      <c r="N221" s="186"/>
      <c r="O221" s="408">
        <f>INDEX(PeerGroup3_Cyclical_Valuation_Data,MATCH(CONCATENATE(Cycle_Toggle," ",Cycle_Period_Toggle),'Multiples Data'!$C$80:$C$94,0),MATCH(CONCATENATE(Cyclical_LTM_NTM_Toggle," P/E"),'Multiples Data'!$C$80:$H$80,0))</f>
        <v>14.603483940485029</v>
      </c>
      <c r="P221" s="186"/>
    </row>
    <row r="222" spans="1:19" s="23" customFormat="1" ht="12.75" hidden="1" outlineLevel="1">
      <c r="C222" s="23" t="s">
        <v>423</v>
      </c>
      <c r="G222" s="162" t="s">
        <v>422</v>
      </c>
      <c r="H222" s="163" t="b">
        <f>G222=$D$24</f>
        <v>1</v>
      </c>
      <c r="J222" s="189" t="s">
        <v>334</v>
      </c>
      <c r="K222" s="408">
        <f>INDEX(Primary_Peer_Cyclical_Valuation_Data,MATCH(CONCATENATE(Cycle_Toggle," ",Cycle_Period_Toggle),'Multiples Data'!$C$36:$C$48,0),MATCH(CONCATENATE(Cyclical_LTM_NTM_Toggle," EV/EBITDA"),'Multiples Data'!$C$36:$H$36,0))</f>
        <v>8.6942717391304338</v>
      </c>
      <c r="L222" s="186"/>
      <c r="M222" s="408">
        <f>INDEX(PeerGroup2_Cyclical_Valuation_Data,MATCH(CONCATENATE(Cycle_Toggle," ",Cycle_Period_Toggle),'Multiples Data'!$C$58:$C$70,0),MATCH(CONCATENATE(Cyclical_LTM_NTM_Toggle," EV/EBITDA"),'Multiples Data'!$C$58:$H$58,0))</f>
        <v>5.4314602700251715</v>
      </c>
      <c r="N222" s="186"/>
      <c r="O222" s="408">
        <f>INDEX(PeerGroup3_Cyclical_Valuation_Data,MATCH(CONCATENATE(Cycle_Toggle," ",Cycle_Period_Toggle),'Multiples Data'!$C$80:$C$94,0),MATCH(CONCATENATE(Cyclical_LTM_NTM_Toggle," EV/EBITDA"),'Multiples Data'!$C$80:$H$80,0))</f>
        <v>7.7150307167356171</v>
      </c>
      <c r="P222" s="186"/>
    </row>
    <row r="223" spans="1:19" s="23" customFormat="1" ht="12.75" hidden="1" outlineLevel="1">
      <c r="C223" s="23" t="s">
        <v>397</v>
      </c>
      <c r="G223" s="162" t="s">
        <v>351</v>
      </c>
    </row>
    <row r="224" spans="1:19" s="23" customFormat="1" ht="5.0999999999999996" hidden="1" customHeight="1" outlineLevel="1">
      <c r="G224" s="162"/>
    </row>
    <row r="225" spans="1:19" s="23" customFormat="1" ht="12.75" hidden="1" outlineLevel="1">
      <c r="A225" s="22" t="s">
        <v>1</v>
      </c>
      <c r="C225" s="993" t="s">
        <v>392</v>
      </c>
      <c r="D225" s="994"/>
      <c r="E225" s="994"/>
      <c r="F225" s="994"/>
      <c r="G225" s="994"/>
      <c r="H225" s="994"/>
      <c r="I225" s="994"/>
      <c r="J225" s="994"/>
      <c r="K225" s="994"/>
      <c r="L225" s="994"/>
      <c r="M225" s="994"/>
      <c r="N225" s="994"/>
      <c r="O225" s="994"/>
      <c r="P225" s="994"/>
      <c r="Q225" s="994"/>
      <c r="R225" s="995"/>
      <c r="S225" s="22" t="s">
        <v>1</v>
      </c>
    </row>
    <row r="226" spans="1:19" s="23" customFormat="1" ht="5.0999999999999996" hidden="1" customHeight="1" outlineLevel="1"/>
    <row r="227" spans="1:19" s="23" customFormat="1" ht="12.75" hidden="1" outlineLevel="1">
      <c r="C227" s="23" t="s">
        <v>476</v>
      </c>
      <c r="E227" s="364">
        <f>$F$201</f>
        <v>18.891093749999996</v>
      </c>
      <c r="F227" s="547">
        <f>E227-H237</f>
        <v>0</v>
      </c>
      <c r="H227" s="23" t="s">
        <v>478</v>
      </c>
      <c r="K227" s="364">
        <f>$N$201</f>
        <v>6.9369250000000005</v>
      </c>
      <c r="L227" s="547">
        <f>K227-H253</f>
        <v>0</v>
      </c>
      <c r="N227" s="461" t="s">
        <v>335</v>
      </c>
      <c r="Q227" s="961">
        <f ca="1">F202</f>
        <v>30.127097184994202</v>
      </c>
      <c r="R227" s="958">
        <f ca="1">Q227-E240</f>
        <v>0</v>
      </c>
    </row>
    <row r="228" spans="1:19" s="23" customFormat="1" ht="15" hidden="1" outlineLevel="1">
      <c r="C228" s="23" t="s">
        <v>532</v>
      </c>
      <c r="E228" s="371">
        <v>1</v>
      </c>
      <c r="F228" s="559"/>
      <c r="H228" s="23" t="s">
        <v>532</v>
      </c>
      <c r="K228" s="371">
        <v>1</v>
      </c>
      <c r="L228" s="559"/>
      <c r="N228" s="959" t="s">
        <v>772</v>
      </c>
      <c r="R228" s="958">
        <f ca="1">Q227-E248</f>
        <v>0</v>
      </c>
    </row>
    <row r="229" spans="1:19" s="23" customFormat="1" ht="15" hidden="1" outlineLevel="1">
      <c r="C229" s="23" t="s">
        <v>535</v>
      </c>
      <c r="E229" s="372">
        <v>0.1</v>
      </c>
      <c r="F229" s="559"/>
      <c r="H229" s="23" t="s">
        <v>536</v>
      </c>
      <c r="K229" s="372">
        <v>0.1</v>
      </c>
      <c r="L229" s="559"/>
      <c r="N229" s="461" t="s">
        <v>342</v>
      </c>
      <c r="Q229" s="960">
        <f>N202</f>
        <v>1573746.76787687</v>
      </c>
      <c r="R229" s="958">
        <f>Q229-E256</f>
        <v>0</v>
      </c>
    </row>
    <row r="230" spans="1:19" s="23" customFormat="1" ht="12.75" hidden="1" outlineLevel="1">
      <c r="C230" s="23" t="s">
        <v>477</v>
      </c>
      <c r="E230" s="364">
        <f>$J$201</f>
        <v>16.855766325791926</v>
      </c>
      <c r="F230" s="547">
        <f>E230-H245</f>
        <v>-7.6392489776391592</v>
      </c>
      <c r="H230" s="23" t="s">
        <v>479</v>
      </c>
      <c r="K230" s="364">
        <f>$R$201</f>
        <v>10.886977594568139</v>
      </c>
      <c r="L230" s="547">
        <f>K230-H261</f>
        <v>0</v>
      </c>
      <c r="N230" s="959" t="s">
        <v>772</v>
      </c>
      <c r="O230" s="404"/>
      <c r="R230" s="958">
        <f>Q229-E264</f>
        <v>0</v>
      </c>
    </row>
    <row r="231" spans="1:19" s="23" customFormat="1" ht="15" hidden="1" outlineLevel="1">
      <c r="C231" s="23" t="s">
        <v>532</v>
      </c>
      <c r="E231" s="371">
        <v>1</v>
      </c>
      <c r="F231" s="559"/>
      <c r="H231" s="23" t="s">
        <v>532</v>
      </c>
      <c r="K231" s="371">
        <v>1</v>
      </c>
      <c r="L231" s="559"/>
      <c r="O231" s="404"/>
    </row>
    <row r="232" spans="1:19" s="23" customFormat="1" ht="12.75" hidden="1" outlineLevel="1">
      <c r="E232" s="162"/>
    </row>
    <row r="233" spans="1:19" s="23" customFormat="1" ht="12.75" hidden="1" outlineLevel="1"/>
    <row r="234" spans="1:19" s="23" customFormat="1" ht="12.75" hidden="1" outlineLevel="1">
      <c r="D234" s="170" t="s">
        <v>326</v>
      </c>
      <c r="E234" s="170"/>
      <c r="F234" s="170"/>
      <c r="G234" s="170"/>
      <c r="H234" s="170"/>
      <c r="I234" s="170"/>
      <c r="J234" s="26"/>
      <c r="K234" s="373"/>
      <c r="L234" s="170" t="s">
        <v>327</v>
      </c>
      <c r="M234" s="170"/>
      <c r="N234" s="170"/>
      <c r="O234" s="170"/>
      <c r="P234" s="170"/>
      <c r="Q234" s="170"/>
      <c r="R234" s="26"/>
    </row>
    <row r="235" spans="1:19" s="23" customFormat="1" ht="12.75" hidden="1" outlineLevel="1">
      <c r="D235" s="163"/>
      <c r="E235" s="548"/>
      <c r="F235" s="189"/>
      <c r="G235" s="189"/>
      <c r="H235" s="189"/>
      <c r="I235" s="189"/>
      <c r="J235" s="189"/>
      <c r="K235" s="373"/>
      <c r="L235" s="163"/>
      <c r="M235" s="548"/>
      <c r="N235" s="189"/>
      <c r="O235" s="189"/>
      <c r="P235" s="189"/>
      <c r="Q235" s="189"/>
      <c r="R235" s="189"/>
    </row>
    <row r="236" spans="1:19" s="23" customFormat="1" ht="13.5" hidden="1" outlineLevel="1" thickBot="1">
      <c r="D236" s="315"/>
      <c r="E236" s="549"/>
      <c r="F236" s="550" t="str">
        <f>$G$220&amp;" "&amp;$G$221&amp;" P/E"</f>
        <v>2009-2018 Early Cycle P/E</v>
      </c>
      <c r="G236" s="316"/>
      <c r="H236" s="316"/>
      <c r="I236" s="316"/>
      <c r="J236" s="316"/>
      <c r="L236" s="315"/>
      <c r="M236" s="549"/>
      <c r="N236" s="550" t="str">
        <f>F236</f>
        <v>2009-2018 Early Cycle P/E</v>
      </c>
      <c r="O236" s="316"/>
      <c r="P236" s="316"/>
      <c r="Q236" s="316"/>
      <c r="R236" s="316"/>
    </row>
    <row r="237" spans="1:19" s="23" customFormat="1" ht="13.5" hidden="1" outlineLevel="1" thickBot="1">
      <c r="E237" s="374">
        <f ca="1">$F$204</f>
        <v>569.1338173370865</v>
      </c>
      <c r="F237" s="551">
        <f>G237-$E$93</f>
        <v>16.891093749999996</v>
      </c>
      <c r="G237" s="551">
        <f>H237-$E$93</f>
        <v>17.891093749999996</v>
      </c>
      <c r="H237" s="552">
        <v>18.891093749999996</v>
      </c>
      <c r="I237" s="551">
        <f>H237+$E$93</f>
        <v>19.891093749999996</v>
      </c>
      <c r="J237" s="551">
        <f>I237+$E$93</f>
        <v>20.891093749999996</v>
      </c>
      <c r="M237" s="375">
        <f>$H$73</f>
        <v>0</v>
      </c>
      <c r="N237" s="551">
        <f>F237</f>
        <v>16.891093749999996</v>
      </c>
      <c r="O237" s="551">
        <f>G237</f>
        <v>17.891093749999996</v>
      </c>
      <c r="P237" s="551">
        <f>H237</f>
        <v>18.891093749999996</v>
      </c>
      <c r="Q237" s="551">
        <f>I237</f>
        <v>19.891093749999996</v>
      </c>
      <c r="R237" s="551">
        <f>J237</f>
        <v>20.891093749999996</v>
      </c>
    </row>
    <row r="238" spans="1:19" s="23" customFormat="1" ht="12.75" hidden="1" outlineLevel="1">
      <c r="D238" s="1082" t="s">
        <v>212</v>
      </c>
      <c r="E238" s="560">
        <f ca="1">$E$164*(1-(2*$E$153))</f>
        <v>24.101677747995364</v>
      </c>
      <c r="F238" s="376">
        <f t="dataTable" ref="F238:J242" dt2D="1" dtr="1" r1="F201" r2="F202" ca="1"/>
        <v>407.10369837367847</v>
      </c>
      <c r="G238" s="377">
        <v>431.20537612167385</v>
      </c>
      <c r="H238" s="377">
        <v>455.30705386966918</v>
      </c>
      <c r="I238" s="377">
        <v>479.40873161766456</v>
      </c>
      <c r="J238" s="378">
        <v>503.51040936565994</v>
      </c>
      <c r="L238" s="1082" t="s">
        <v>212</v>
      </c>
      <c r="M238" s="560">
        <f ca="1">E238</f>
        <v>24.101677747995364</v>
      </c>
      <c r="N238" s="379">
        <f t="shared" ref="N238:R242" si="15">F238/Share_Price-1</f>
        <v>0.19318766192936043</v>
      </c>
      <c r="O238" s="380">
        <f t="shared" si="15"/>
        <v>0.26382770925781496</v>
      </c>
      <c r="P238" s="380">
        <f t="shared" si="15"/>
        <v>0.33446775658626926</v>
      </c>
      <c r="Q238" s="380">
        <f t="shared" si="15"/>
        <v>0.40510780391472356</v>
      </c>
      <c r="R238" s="381">
        <f t="shared" si="15"/>
        <v>0.47574785124317809</v>
      </c>
    </row>
    <row r="239" spans="1:19" s="23" customFormat="1" ht="12.75" hidden="1" outlineLevel="1">
      <c r="D239" s="1083"/>
      <c r="E239" s="560">
        <f ca="1">$E$164*(1-$E$153)</f>
        <v>27.114387466494783</v>
      </c>
      <c r="F239" s="382">
        <v>457.99166067038823</v>
      </c>
      <c r="G239" s="383">
        <v>485.10604813688303</v>
      </c>
      <c r="H239" s="383">
        <v>512.22043560337784</v>
      </c>
      <c r="I239" s="383">
        <v>539.33482306987264</v>
      </c>
      <c r="J239" s="384">
        <v>566.44921053636733</v>
      </c>
      <c r="L239" s="1083"/>
      <c r="M239" s="560">
        <f ca="1">E239</f>
        <v>27.114387466494783</v>
      </c>
      <c r="N239" s="385">
        <f t="shared" si="15"/>
        <v>0.34233611967053035</v>
      </c>
      <c r="O239" s="386">
        <f t="shared" si="15"/>
        <v>0.42180617291504152</v>
      </c>
      <c r="P239" s="386">
        <f t="shared" si="15"/>
        <v>0.50127622615955292</v>
      </c>
      <c r="Q239" s="386">
        <f t="shared" si="15"/>
        <v>0.58074627940406409</v>
      </c>
      <c r="R239" s="387">
        <f t="shared" si="15"/>
        <v>0.66021633264857504</v>
      </c>
    </row>
    <row r="240" spans="1:19" s="23" customFormat="1" ht="12.75" hidden="1" outlineLevel="1">
      <c r="D240" s="1083"/>
      <c r="E240" s="561">
        <f ca="1">Q227</f>
        <v>30.127097184994202</v>
      </c>
      <c r="F240" s="382">
        <v>457.99166067038823</v>
      </c>
      <c r="G240" s="383">
        <v>485.10604813688303</v>
      </c>
      <c r="H240" s="383">
        <v>512.22043560337784</v>
      </c>
      <c r="I240" s="383">
        <v>539.33482306987264</v>
      </c>
      <c r="J240" s="384">
        <v>566.44921053636733</v>
      </c>
      <c r="L240" s="1083"/>
      <c r="M240" s="562">
        <f ca="1">E240</f>
        <v>30.127097184994202</v>
      </c>
      <c r="N240" s="385">
        <f t="shared" si="15"/>
        <v>0.34233611967053035</v>
      </c>
      <c r="O240" s="386">
        <f t="shared" si="15"/>
        <v>0.42180617291504152</v>
      </c>
      <c r="P240" s="386">
        <f t="shared" si="15"/>
        <v>0.50127622615955292</v>
      </c>
      <c r="Q240" s="386">
        <f t="shared" si="15"/>
        <v>0.58074627940406409</v>
      </c>
      <c r="R240" s="387">
        <f t="shared" si="15"/>
        <v>0.66021633264857504</v>
      </c>
    </row>
    <row r="241" spans="4:18" s="23" customFormat="1" ht="12.75" hidden="1" outlineLevel="1">
      <c r="D241" s="1083"/>
      <c r="E241" s="560">
        <f ca="1">$E$164*(1+$E$153)</f>
        <v>33.139806903493628</v>
      </c>
      <c r="F241" s="382">
        <v>559.76758526380797</v>
      </c>
      <c r="G241" s="383">
        <v>592.90739216730162</v>
      </c>
      <c r="H241" s="383">
        <v>626.04719907079516</v>
      </c>
      <c r="I241" s="383">
        <v>659.18700597428881</v>
      </c>
      <c r="J241" s="384">
        <v>692.32681287778246</v>
      </c>
      <c r="L241" s="1083"/>
      <c r="M241" s="560">
        <f ca="1">E241</f>
        <v>33.139806903493628</v>
      </c>
      <c r="N241" s="385">
        <f t="shared" si="15"/>
        <v>0.64063303515287084</v>
      </c>
      <c r="O241" s="386">
        <f t="shared" si="15"/>
        <v>0.73776310022949576</v>
      </c>
      <c r="P241" s="386">
        <f t="shared" si="15"/>
        <v>0.83489316530612023</v>
      </c>
      <c r="Q241" s="386">
        <f t="shared" si="15"/>
        <v>0.93202323038274515</v>
      </c>
      <c r="R241" s="387">
        <f t="shared" si="15"/>
        <v>1.0291532954593698</v>
      </c>
    </row>
    <row r="242" spans="4:18" s="23" customFormat="1" ht="13.5" hidden="1" outlineLevel="1" thickBot="1">
      <c r="D242" s="1084"/>
      <c r="E242" s="560">
        <f ca="1">$E$164*(1+(2*$E$153))</f>
        <v>36.152516621993044</v>
      </c>
      <c r="F242" s="388">
        <v>610.65554756051768</v>
      </c>
      <c r="G242" s="389">
        <v>646.80806418251075</v>
      </c>
      <c r="H242" s="389">
        <v>682.96058080450371</v>
      </c>
      <c r="I242" s="389">
        <v>719.11309742649678</v>
      </c>
      <c r="J242" s="390">
        <v>755.26561404848985</v>
      </c>
      <c r="L242" s="1084"/>
      <c r="M242" s="560">
        <f ca="1">E242</f>
        <v>36.152516621993044</v>
      </c>
      <c r="N242" s="391">
        <f t="shared" si="15"/>
        <v>0.78978149289404054</v>
      </c>
      <c r="O242" s="392">
        <f t="shared" si="15"/>
        <v>0.8957415638867221</v>
      </c>
      <c r="P242" s="392">
        <f t="shared" si="15"/>
        <v>1.0017016348794034</v>
      </c>
      <c r="Q242" s="392">
        <f t="shared" si="15"/>
        <v>1.1076617058720855</v>
      </c>
      <c r="R242" s="393">
        <f t="shared" si="15"/>
        <v>1.213621776864767</v>
      </c>
    </row>
    <row r="243" spans="4:18" s="23" customFormat="1" ht="12.75" hidden="1" outlineLevel="1"/>
    <row r="244" spans="4:18" s="23" customFormat="1" ht="13.5" hidden="1" outlineLevel="1" thickBot="1">
      <c r="D244" s="315"/>
      <c r="E244" s="549"/>
      <c r="F244" s="550" t="str">
        <f>$G$220&amp;" "&amp;$G$221&amp;" P/E Spread to Comps"</f>
        <v>2009-2018 Early Cycle P/E Spread to Comps</v>
      </c>
      <c r="G244" s="316"/>
      <c r="H244" s="316"/>
      <c r="I244" s="316"/>
      <c r="J244" s="316"/>
      <c r="L244" s="315"/>
      <c r="M244" s="549"/>
      <c r="N244" s="550" t="str">
        <f>F244</f>
        <v>2009-2018 Early Cycle P/E Spread to Comps</v>
      </c>
      <c r="O244" s="316"/>
      <c r="P244" s="316"/>
      <c r="Q244" s="316"/>
      <c r="R244" s="316"/>
    </row>
    <row r="245" spans="4:18" s="23" customFormat="1" ht="13.5" hidden="1" outlineLevel="1" thickBot="1">
      <c r="E245" s="374">
        <f ca="1">$J$204</f>
        <v>507.81531022468602</v>
      </c>
      <c r="F245" s="551">
        <f>G245-$E$93</f>
        <v>22.495015303431085</v>
      </c>
      <c r="G245" s="551">
        <f>H245-$E$93</f>
        <v>23.495015303431085</v>
      </c>
      <c r="H245" s="552">
        <v>24.495015303431085</v>
      </c>
      <c r="I245" s="551">
        <f>H245+$E$93</f>
        <v>25.495015303431085</v>
      </c>
      <c r="J245" s="551">
        <f>I245+$E$93</f>
        <v>26.495015303431085</v>
      </c>
      <c r="M245" s="374">
        <f>$H$73</f>
        <v>0</v>
      </c>
      <c r="N245" s="551">
        <f>F245</f>
        <v>22.495015303431085</v>
      </c>
      <c r="O245" s="551">
        <f>G245</f>
        <v>23.495015303431085</v>
      </c>
      <c r="P245" s="551">
        <f>H245</f>
        <v>24.495015303431085</v>
      </c>
      <c r="Q245" s="551">
        <f>I245</f>
        <v>25.495015303431085</v>
      </c>
      <c r="R245" s="551">
        <f>J245</f>
        <v>26.495015303431085</v>
      </c>
    </row>
    <row r="246" spans="4:18" s="23" customFormat="1" ht="12.75" hidden="1" outlineLevel="1">
      <c r="D246" s="1082" t="s">
        <v>212</v>
      </c>
      <c r="E246" s="560">
        <f ca="1">$E$172*(1-(2*$E$153))</f>
        <v>24.101677747995364</v>
      </c>
      <c r="F246" s="376">
        <f t="dataTable" ref="F246:J250" dt2D="1" dtr="1" r1="J201" r2="J202" ca="1"/>
        <v>542.16760977952015</v>
      </c>
      <c r="G246" s="377">
        <v>566.26928752751553</v>
      </c>
      <c r="H246" s="377">
        <v>590.37096527551091</v>
      </c>
      <c r="I246" s="377">
        <v>614.47264302350629</v>
      </c>
      <c r="J246" s="378">
        <v>638.57432077150168</v>
      </c>
      <c r="L246" s="1082" t="s">
        <v>212</v>
      </c>
      <c r="M246" s="560">
        <f ca="1">E246</f>
        <v>24.101677747995364</v>
      </c>
      <c r="N246" s="379">
        <f t="shared" ref="N246:R250" si="16">F246/Share_Price-1</f>
        <v>0.58904894568867827</v>
      </c>
      <c r="O246" s="380">
        <f t="shared" si="16"/>
        <v>0.6596889930171328</v>
      </c>
      <c r="P246" s="380">
        <f t="shared" si="16"/>
        <v>0.73032904034558732</v>
      </c>
      <c r="Q246" s="380">
        <f t="shared" si="16"/>
        <v>0.80096908767404162</v>
      </c>
      <c r="R246" s="381">
        <f t="shared" si="16"/>
        <v>0.87160913500249615</v>
      </c>
    </row>
    <row r="247" spans="4:18" s="23" customFormat="1" ht="12.75" hidden="1" outlineLevel="1">
      <c r="D247" s="1083"/>
      <c r="E247" s="560">
        <f ca="1">$E$172*(1-$E$153)</f>
        <v>27.114387466494783</v>
      </c>
      <c r="F247" s="382">
        <v>609.93856100196012</v>
      </c>
      <c r="G247" s="383">
        <v>637.05294846845493</v>
      </c>
      <c r="H247" s="383">
        <v>664.16733593494973</v>
      </c>
      <c r="I247" s="383">
        <v>691.28172340144454</v>
      </c>
      <c r="J247" s="384">
        <v>718.39611086793934</v>
      </c>
      <c r="L247" s="1083"/>
      <c r="M247" s="560">
        <f ca="1">E247</f>
        <v>27.114387466494783</v>
      </c>
      <c r="N247" s="385">
        <f t="shared" si="16"/>
        <v>0.78768006389976297</v>
      </c>
      <c r="O247" s="386">
        <f t="shared" si="16"/>
        <v>0.86715011714427415</v>
      </c>
      <c r="P247" s="386">
        <f t="shared" si="16"/>
        <v>0.94662017038878554</v>
      </c>
      <c r="Q247" s="386">
        <f t="shared" si="16"/>
        <v>1.0260902236332967</v>
      </c>
      <c r="R247" s="387">
        <f t="shared" si="16"/>
        <v>1.1055602768778079</v>
      </c>
    </row>
    <row r="248" spans="4:18" s="23" customFormat="1" ht="12.75" hidden="1" outlineLevel="1">
      <c r="D248" s="1083"/>
      <c r="E248" s="561">
        <f ca="1">Q227</f>
        <v>30.127097184994202</v>
      </c>
      <c r="F248" s="382">
        <v>677.7095122244001</v>
      </c>
      <c r="G248" s="383">
        <v>707.83660940939433</v>
      </c>
      <c r="H248" s="383">
        <v>737.96370659438855</v>
      </c>
      <c r="I248" s="383">
        <v>768.09080377938278</v>
      </c>
      <c r="J248" s="384">
        <v>798.21790096437701</v>
      </c>
      <c r="L248" s="1083"/>
      <c r="M248" s="562">
        <f ca="1">E248</f>
        <v>30.127097184994202</v>
      </c>
      <c r="N248" s="385">
        <f t="shared" si="16"/>
        <v>0.98631118211084767</v>
      </c>
      <c r="O248" s="386">
        <f t="shared" si="16"/>
        <v>1.0746112412714157</v>
      </c>
      <c r="P248" s="386">
        <f t="shared" si="16"/>
        <v>1.162911300431984</v>
      </c>
      <c r="Q248" s="386">
        <f t="shared" si="16"/>
        <v>1.2512113595925518</v>
      </c>
      <c r="R248" s="387">
        <f t="shared" si="16"/>
        <v>1.3395114187531201</v>
      </c>
    </row>
    <row r="249" spans="4:18" s="23" customFormat="1" ht="12.75" hidden="1" outlineLevel="1">
      <c r="D249" s="1083"/>
      <c r="E249" s="560">
        <f ca="1">$E$172*(1+$E$153)</f>
        <v>33.139806903493628</v>
      </c>
      <c r="F249" s="382">
        <v>745.4804634468403</v>
      </c>
      <c r="G249" s="383">
        <v>778.62027035033395</v>
      </c>
      <c r="H249" s="383">
        <v>811.7600772538276</v>
      </c>
      <c r="I249" s="383">
        <v>844.89988415732114</v>
      </c>
      <c r="J249" s="384">
        <v>878.03969106081479</v>
      </c>
      <c r="L249" s="1083"/>
      <c r="M249" s="560">
        <f ca="1">E249</f>
        <v>33.139806903493628</v>
      </c>
      <c r="N249" s="385">
        <f t="shared" si="16"/>
        <v>1.184942300321933</v>
      </c>
      <c r="O249" s="386">
        <f t="shared" si="16"/>
        <v>1.282072365398558</v>
      </c>
      <c r="P249" s="386">
        <f t="shared" si="16"/>
        <v>1.3792024304751829</v>
      </c>
      <c r="Q249" s="386">
        <f t="shared" si="16"/>
        <v>1.4763324955518073</v>
      </c>
      <c r="R249" s="387">
        <f t="shared" si="16"/>
        <v>1.5734625606284323</v>
      </c>
    </row>
    <row r="250" spans="4:18" s="23" customFormat="1" ht="13.5" hidden="1" outlineLevel="1" thickBot="1">
      <c r="D250" s="1084"/>
      <c r="E250" s="560">
        <f ca="1">$E$172*(1+(2*$E$153))</f>
        <v>36.152516621993044</v>
      </c>
      <c r="F250" s="388">
        <v>813.25141466928017</v>
      </c>
      <c r="G250" s="389">
        <v>849.40393129127324</v>
      </c>
      <c r="H250" s="389">
        <v>885.55644791326631</v>
      </c>
      <c r="I250" s="389">
        <v>921.70896453525938</v>
      </c>
      <c r="J250" s="390">
        <v>957.86148115725234</v>
      </c>
      <c r="L250" s="1084"/>
      <c r="M250" s="560">
        <f ca="1">E250</f>
        <v>36.152516621993044</v>
      </c>
      <c r="N250" s="391">
        <f t="shared" si="16"/>
        <v>1.3835734185330173</v>
      </c>
      <c r="O250" s="392">
        <f t="shared" si="16"/>
        <v>1.4895334895256989</v>
      </c>
      <c r="P250" s="392">
        <f t="shared" si="16"/>
        <v>1.5954935605183809</v>
      </c>
      <c r="Q250" s="392">
        <f t="shared" si="16"/>
        <v>1.7014536315110624</v>
      </c>
      <c r="R250" s="393">
        <f t="shared" si="16"/>
        <v>1.807413702503744</v>
      </c>
    </row>
    <row r="251" spans="4:18" s="23" customFormat="1" ht="12.75" hidden="1" outlineLevel="1"/>
    <row r="252" spans="4:18" s="23" customFormat="1" ht="13.5" hidden="1" outlineLevel="1" thickBot="1">
      <c r="D252" s="315"/>
      <c r="E252" s="549"/>
      <c r="F252" s="550" t="str">
        <f>$G$220&amp;" "&amp;$G$221&amp;" EV/EBITDA"</f>
        <v>2009-2018 Early Cycle EV/EBITDA</v>
      </c>
      <c r="G252" s="316"/>
      <c r="H252" s="316"/>
      <c r="I252" s="316"/>
      <c r="J252" s="316"/>
      <c r="L252" s="315"/>
      <c r="M252" s="549"/>
      <c r="N252" s="550" t="str">
        <f>F252</f>
        <v>2009-2018 Early Cycle EV/EBITDA</v>
      </c>
      <c r="O252" s="316"/>
      <c r="P252" s="316"/>
      <c r="Q252" s="316"/>
      <c r="R252" s="316"/>
    </row>
    <row r="253" spans="4:18" s="23" customFormat="1" ht="13.5" hidden="1" outlineLevel="1" thickBot="1">
      <c r="E253" s="374">
        <f ca="1">$N$215</f>
        <v>258.07623118715622</v>
      </c>
      <c r="F253" s="551">
        <f>G253-$E$93</f>
        <v>4.9369250000000005</v>
      </c>
      <c r="G253" s="551">
        <f>H253-$E$93</f>
        <v>5.9369250000000005</v>
      </c>
      <c r="H253" s="552">
        <v>6.9369250000000005</v>
      </c>
      <c r="I253" s="551">
        <f>H253+$E$93</f>
        <v>7.9369250000000005</v>
      </c>
      <c r="J253" s="551">
        <f>I253+$E$93</f>
        <v>8.9369250000000005</v>
      </c>
      <c r="M253" s="374">
        <f>$H$73</f>
        <v>0</v>
      </c>
      <c r="N253" s="551">
        <f>F253</f>
        <v>4.9369250000000005</v>
      </c>
      <c r="O253" s="551">
        <f>G253</f>
        <v>5.9369250000000005</v>
      </c>
      <c r="P253" s="551">
        <f>H253</f>
        <v>6.9369250000000005</v>
      </c>
      <c r="Q253" s="551">
        <f>I253</f>
        <v>7.9369250000000005</v>
      </c>
      <c r="R253" s="551">
        <f>J253</f>
        <v>8.9369250000000005</v>
      </c>
    </row>
    <row r="254" spans="4:18" s="23" customFormat="1" ht="12.75" hidden="1" outlineLevel="1">
      <c r="D254" s="1082" t="s">
        <v>47</v>
      </c>
      <c r="E254" s="354">
        <f>$E$180*(1-(2*$K$153))</f>
        <v>678922.56</v>
      </c>
      <c r="F254" s="376">
        <f t="dataTable" ref="F254:J258" dt2D="1" dtr="1" r1="N201" r2="N202" ca="1"/>
        <v>78.513117607458199</v>
      </c>
      <c r="G254" s="377">
        <v>94.627678382184641</v>
      </c>
      <c r="H254" s="377">
        <v>110.7422391569111</v>
      </c>
      <c r="I254" s="377">
        <v>126.85679993163754</v>
      </c>
      <c r="J254" s="378">
        <v>142.97136070636401</v>
      </c>
      <c r="L254" s="1082" t="s">
        <v>47</v>
      </c>
      <c r="M254" s="354">
        <f>E254</f>
        <v>678922.56</v>
      </c>
      <c r="N254" s="379">
        <f t="shared" ref="N254:R258" si="17">F254/Share_Price-1</f>
        <v>-0.76988447021466577</v>
      </c>
      <c r="O254" s="380">
        <f t="shared" si="17"/>
        <v>-0.72265400984148231</v>
      </c>
      <c r="P254" s="380">
        <f t="shared" si="17"/>
        <v>-0.67542354946829897</v>
      </c>
      <c r="Q254" s="380">
        <f t="shared" si="17"/>
        <v>-0.62819308909511551</v>
      </c>
      <c r="R254" s="381">
        <f t="shared" si="17"/>
        <v>-0.58096262872193205</v>
      </c>
    </row>
    <row r="255" spans="4:18" s="23" customFormat="1" ht="12.75" hidden="1" outlineLevel="1">
      <c r="D255" s="1083"/>
      <c r="E255" s="354">
        <f>$E$180*(1-$K$153)</f>
        <v>763787.88</v>
      </c>
      <c r="F255" s="382">
        <v>88.457664851553986</v>
      </c>
      <c r="G255" s="383">
        <v>106.58654572312123</v>
      </c>
      <c r="H255" s="383">
        <v>124.71542659468848</v>
      </c>
      <c r="I255" s="383">
        <v>142.84430746625574</v>
      </c>
      <c r="J255" s="384">
        <v>160.97318833782302</v>
      </c>
      <c r="L255" s="1083"/>
      <c r="M255" s="354">
        <f>E255</f>
        <v>763787.88</v>
      </c>
      <c r="N255" s="385">
        <f t="shared" si="17"/>
        <v>-0.74073781514243087</v>
      </c>
      <c r="O255" s="386">
        <f t="shared" si="17"/>
        <v>-0.68760354722259964</v>
      </c>
      <c r="P255" s="386">
        <f t="shared" si="17"/>
        <v>-0.63446927930276831</v>
      </c>
      <c r="Q255" s="386">
        <f t="shared" si="17"/>
        <v>-0.58133501138293697</v>
      </c>
      <c r="R255" s="387">
        <f t="shared" si="17"/>
        <v>-0.52820074346310553</v>
      </c>
    </row>
    <row r="256" spans="4:18" s="23" customFormat="1" ht="12.75" hidden="1" outlineLevel="1">
      <c r="D256" s="1083"/>
      <c r="E256" s="563">
        <f>Q229</f>
        <v>1573746.76787687</v>
      </c>
      <c r="F256" s="382">
        <v>88.457664851553986</v>
      </c>
      <c r="G256" s="383">
        <v>106.58654572312123</v>
      </c>
      <c r="H256" s="383">
        <v>124.71542659468848</v>
      </c>
      <c r="I256" s="383">
        <v>142.84430746625574</v>
      </c>
      <c r="J256" s="384">
        <v>160.97318833782302</v>
      </c>
      <c r="L256" s="1083"/>
      <c r="M256" s="564">
        <f>E256</f>
        <v>1573746.76787687</v>
      </c>
      <c r="N256" s="385">
        <f t="shared" si="17"/>
        <v>-0.74073781514243087</v>
      </c>
      <c r="O256" s="386">
        <f t="shared" si="17"/>
        <v>-0.68760354722259964</v>
      </c>
      <c r="P256" s="386">
        <f t="shared" si="17"/>
        <v>-0.63446927930276831</v>
      </c>
      <c r="Q256" s="386">
        <f t="shared" si="17"/>
        <v>-0.58133501138293697</v>
      </c>
      <c r="R256" s="387">
        <f t="shared" si="17"/>
        <v>-0.52820074346310553</v>
      </c>
    </row>
    <row r="257" spans="1:19" s="23" customFormat="1" ht="12.75" hidden="1" outlineLevel="1">
      <c r="D257" s="1083"/>
      <c r="E257" s="354">
        <f>$E$180*(1+$K$153)</f>
        <v>933518.52</v>
      </c>
      <c r="F257" s="382">
        <v>108.34675933974557</v>
      </c>
      <c r="G257" s="383">
        <v>130.50428040499446</v>
      </c>
      <c r="H257" s="383">
        <v>152.66180147024332</v>
      </c>
      <c r="I257" s="383">
        <v>174.81932253549218</v>
      </c>
      <c r="J257" s="384">
        <v>196.97684360074103</v>
      </c>
      <c r="L257" s="1083"/>
      <c r="M257" s="354">
        <f>E257</f>
        <v>933518.52</v>
      </c>
      <c r="N257" s="385">
        <f t="shared" si="17"/>
        <v>-0.68244450499796128</v>
      </c>
      <c r="O257" s="386">
        <f t="shared" si="17"/>
        <v>-0.61750262198483408</v>
      </c>
      <c r="P257" s="386">
        <f t="shared" si="17"/>
        <v>-0.55256073897170688</v>
      </c>
      <c r="Q257" s="386">
        <f t="shared" si="17"/>
        <v>-0.48761885595857979</v>
      </c>
      <c r="R257" s="387">
        <f t="shared" si="17"/>
        <v>-0.42267697294545259</v>
      </c>
    </row>
    <row r="258" spans="1:19" s="23" customFormat="1" ht="13.5" hidden="1" outlineLevel="1" thickBot="1">
      <c r="D258" s="1084"/>
      <c r="E258" s="354">
        <f>$E$180*(1+(2*$K$153))</f>
        <v>1018383.8399999999</v>
      </c>
      <c r="F258" s="388">
        <v>118.29130658384136</v>
      </c>
      <c r="G258" s="389">
        <v>142.46314774593102</v>
      </c>
      <c r="H258" s="389">
        <v>166.63498890802069</v>
      </c>
      <c r="I258" s="389">
        <v>190.80683007011038</v>
      </c>
      <c r="J258" s="390">
        <v>214.97867123220004</v>
      </c>
      <c r="L258" s="1084"/>
      <c r="M258" s="354">
        <f>E258</f>
        <v>1018383.8399999999</v>
      </c>
      <c r="N258" s="391">
        <f t="shared" si="17"/>
        <v>-0.65329784992572648</v>
      </c>
      <c r="O258" s="392">
        <f t="shared" si="17"/>
        <v>-0.58245215936595152</v>
      </c>
      <c r="P258" s="392">
        <f t="shared" si="17"/>
        <v>-0.51160646880617633</v>
      </c>
      <c r="Q258" s="392">
        <f t="shared" si="17"/>
        <v>-0.44076077824640114</v>
      </c>
      <c r="R258" s="393">
        <f t="shared" si="17"/>
        <v>-0.36991508768662607</v>
      </c>
    </row>
    <row r="259" spans="1:19" s="23" customFormat="1" ht="12.75" hidden="1" outlineLevel="1"/>
    <row r="260" spans="1:19" s="23" customFormat="1" ht="13.5" hidden="1" outlineLevel="1" thickBot="1">
      <c r="D260" s="315"/>
      <c r="E260" s="549"/>
      <c r="F260" s="550" t="str">
        <f>$G$220&amp;" "&amp;$G$221&amp;" EV/EBITDA Spread to Comps"</f>
        <v>2009-2018 Early Cycle EV/EBITDA Spread to Comps</v>
      </c>
      <c r="G260" s="316"/>
      <c r="H260" s="316"/>
      <c r="I260" s="316"/>
      <c r="J260" s="316"/>
      <c r="L260" s="315"/>
      <c r="M260" s="549"/>
      <c r="N260" s="550" t="str">
        <f>F260</f>
        <v>2009-2018 Early Cycle EV/EBITDA Spread to Comps</v>
      </c>
      <c r="O260" s="316"/>
      <c r="P260" s="316"/>
      <c r="Q260" s="316"/>
      <c r="R260" s="316"/>
    </row>
    <row r="261" spans="1:19" s="23" customFormat="1" ht="13.5" hidden="1" outlineLevel="1" thickBot="1">
      <c r="E261" s="374">
        <f ca="1">$R$215</f>
        <v>405.62512638654033</v>
      </c>
      <c r="F261" s="551">
        <f>G261-$E$93</f>
        <v>8.8869775945681386</v>
      </c>
      <c r="G261" s="551">
        <f>H261-$E$93</f>
        <v>9.8869775945681386</v>
      </c>
      <c r="H261" s="552">
        <v>10.886977594568139</v>
      </c>
      <c r="I261" s="551">
        <f>H261+$E$93</f>
        <v>11.886977594568139</v>
      </c>
      <c r="J261" s="551">
        <f>I261+$E$93</f>
        <v>12.886977594568139</v>
      </c>
      <c r="M261" s="374">
        <f>$H$73</f>
        <v>0</v>
      </c>
      <c r="N261" s="551">
        <f>F261</f>
        <v>8.8869775945681386</v>
      </c>
      <c r="O261" s="551">
        <f>G261</f>
        <v>9.8869775945681386</v>
      </c>
      <c r="P261" s="551">
        <f>H261</f>
        <v>10.886977594568139</v>
      </c>
      <c r="Q261" s="551">
        <f>I261</f>
        <v>11.886977594568139</v>
      </c>
      <c r="R261" s="551">
        <f>J261</f>
        <v>12.886977594568139</v>
      </c>
    </row>
    <row r="262" spans="1:19" s="23" customFormat="1" ht="12.75" hidden="1" outlineLevel="1">
      <c r="D262" s="1082" t="s">
        <v>47</v>
      </c>
      <c r="E262" s="354">
        <f>$E$188*(1-(2*$K$153))</f>
        <v>678922.56</v>
      </c>
      <c r="F262" s="376">
        <f t="dataTable" ref="F262:J266" dt2D="1" dtr="1" r1="R201" r2="R202" ca="1"/>
        <v>142.16648020599237</v>
      </c>
      <c r="G262" s="377">
        <v>158.28104098071879</v>
      </c>
      <c r="H262" s="377">
        <v>174.39560175544526</v>
      </c>
      <c r="I262" s="377">
        <v>190.51016253017173</v>
      </c>
      <c r="J262" s="378">
        <v>206.62472330489814</v>
      </c>
      <c r="L262" s="1082" t="s">
        <v>47</v>
      </c>
      <c r="M262" s="354">
        <f>E262</f>
        <v>678922.56</v>
      </c>
      <c r="N262" s="379">
        <f t="shared" ref="N262:R266" si="18">F262/Share_Price-1</f>
        <v>-0.58332166767492488</v>
      </c>
      <c r="O262" s="380">
        <f t="shared" si="18"/>
        <v>-0.53609120730174165</v>
      </c>
      <c r="P262" s="380">
        <f t="shared" si="18"/>
        <v>-0.48886074692855808</v>
      </c>
      <c r="Q262" s="380">
        <f t="shared" si="18"/>
        <v>-0.44163028655537462</v>
      </c>
      <c r="R262" s="381">
        <f t="shared" si="18"/>
        <v>-0.39439982618219127</v>
      </c>
    </row>
    <row r="263" spans="1:19" s="23" customFormat="1" ht="12.75" hidden="1" outlineLevel="1">
      <c r="D263" s="1083"/>
      <c r="E263" s="354">
        <f>$E$188*(1-$K$153)</f>
        <v>763787.88</v>
      </c>
      <c r="F263" s="382">
        <v>160.0676977749049</v>
      </c>
      <c r="G263" s="383">
        <v>178.19657864647215</v>
      </c>
      <c r="H263" s="383">
        <v>196.32545951803942</v>
      </c>
      <c r="I263" s="383">
        <v>214.4543403896067</v>
      </c>
      <c r="J263" s="384">
        <v>232.58322126117392</v>
      </c>
      <c r="L263" s="1083"/>
      <c r="M263" s="354">
        <f>E263</f>
        <v>763787.88</v>
      </c>
      <c r="N263" s="385">
        <f t="shared" si="18"/>
        <v>-0.5308546622852226</v>
      </c>
      <c r="O263" s="386">
        <f t="shared" si="18"/>
        <v>-0.47772039436539127</v>
      </c>
      <c r="P263" s="386">
        <f t="shared" si="18"/>
        <v>-0.42458612644555993</v>
      </c>
      <c r="Q263" s="386">
        <f t="shared" si="18"/>
        <v>-0.37145185852572848</v>
      </c>
      <c r="R263" s="387">
        <f t="shared" si="18"/>
        <v>-0.31831759060589726</v>
      </c>
    </row>
    <row r="264" spans="1:19" s="23" customFormat="1" ht="12.75" hidden="1" outlineLevel="1">
      <c r="D264" s="1083"/>
      <c r="E264" s="563">
        <f>E256</f>
        <v>1573746.76787687</v>
      </c>
      <c r="F264" s="382">
        <v>330.91781975356838</v>
      </c>
      <c r="G264" s="383">
        <v>368.27147307005436</v>
      </c>
      <c r="H264" s="383">
        <v>405.62512638654033</v>
      </c>
      <c r="I264" s="383">
        <v>442.97877970302625</v>
      </c>
      <c r="J264" s="384">
        <v>480.33243301951222</v>
      </c>
      <c r="L264" s="1083"/>
      <c r="M264" s="564">
        <f>E264</f>
        <v>1573746.76787687</v>
      </c>
      <c r="N264" s="385">
        <f t="shared" si="18"/>
        <v>-3.010692062027498E-2</v>
      </c>
      <c r="O264" s="386">
        <f t="shared" si="18"/>
        <v>7.9373583839076112E-2</v>
      </c>
      <c r="P264" s="386">
        <f t="shared" si="18"/>
        <v>0.18885408829842709</v>
      </c>
      <c r="Q264" s="386">
        <f t="shared" si="18"/>
        <v>0.29833459275777785</v>
      </c>
      <c r="R264" s="387">
        <f t="shared" si="18"/>
        <v>0.40781509721712905</v>
      </c>
    </row>
    <row r="265" spans="1:19" s="23" customFormat="1" ht="12.75" hidden="1" outlineLevel="1">
      <c r="D265" s="1083"/>
      <c r="E265" s="354">
        <f>$E$188*(1+$K$153)</f>
        <v>933518.52</v>
      </c>
      <c r="F265" s="382">
        <v>195.87013291273004</v>
      </c>
      <c r="G265" s="383">
        <v>218.0276539779789</v>
      </c>
      <c r="H265" s="383">
        <v>240.18517504322776</v>
      </c>
      <c r="I265" s="383">
        <v>262.34269610847667</v>
      </c>
      <c r="J265" s="384">
        <v>284.5002171737255</v>
      </c>
      <c r="L265" s="1083"/>
      <c r="M265" s="354">
        <f>E265</f>
        <v>933518.52</v>
      </c>
      <c r="N265" s="385">
        <f t="shared" si="18"/>
        <v>-0.4259206515058177</v>
      </c>
      <c r="O265" s="386">
        <f t="shared" si="18"/>
        <v>-0.36097876849269062</v>
      </c>
      <c r="P265" s="386">
        <f t="shared" si="18"/>
        <v>-0.29603688547956342</v>
      </c>
      <c r="Q265" s="386">
        <f t="shared" si="18"/>
        <v>-0.23109500246643611</v>
      </c>
      <c r="R265" s="387">
        <f t="shared" si="18"/>
        <v>-0.16615311945330902</v>
      </c>
    </row>
    <row r="266" spans="1:19" s="23" customFormat="1" ht="14.45" hidden="1" customHeight="1" outlineLevel="1" thickBot="1">
      <c r="D266" s="1084"/>
      <c r="E266" s="354">
        <f>$E$188*(1+(2*$K$153))</f>
        <v>1018383.8399999999</v>
      </c>
      <c r="F266" s="388">
        <v>213.77135048164257</v>
      </c>
      <c r="G266" s="389">
        <v>237.94319164373223</v>
      </c>
      <c r="H266" s="389">
        <v>262.1150328058219</v>
      </c>
      <c r="I266" s="389">
        <v>286.28687396791156</v>
      </c>
      <c r="J266" s="390">
        <v>310.45871513000128</v>
      </c>
      <c r="L266" s="1084"/>
      <c r="M266" s="354">
        <f>E266</f>
        <v>1018383.8399999999</v>
      </c>
      <c r="N266" s="391">
        <f t="shared" si="18"/>
        <v>-0.37345364611611542</v>
      </c>
      <c r="O266" s="392">
        <f t="shared" si="18"/>
        <v>-0.30260795555634035</v>
      </c>
      <c r="P266" s="392">
        <f t="shared" si="18"/>
        <v>-0.23176226499656527</v>
      </c>
      <c r="Q266" s="392">
        <f t="shared" si="18"/>
        <v>-0.16091657443679019</v>
      </c>
      <c r="R266" s="393">
        <f t="shared" si="18"/>
        <v>-9.0070883877014896E-2</v>
      </c>
    </row>
    <row r="267" spans="1:19" s="23" customFormat="1" ht="5.0999999999999996" hidden="1" customHeight="1" outlineLevel="1">
      <c r="D267" s="567"/>
      <c r="E267" s="211"/>
      <c r="F267" s="234"/>
      <c r="G267" s="234"/>
      <c r="H267" s="234"/>
      <c r="I267" s="234"/>
      <c r="J267" s="234"/>
      <c r="L267" s="567"/>
      <c r="M267" s="211"/>
      <c r="N267" s="222"/>
      <c r="O267" s="222"/>
      <c r="P267" s="222"/>
      <c r="Q267" s="222"/>
      <c r="R267" s="222"/>
    </row>
    <row r="268" spans="1:19" s="23" customFormat="1" ht="12.75" hidden="1" outlineLevel="1">
      <c r="A268" s="22" t="s">
        <v>1</v>
      </c>
      <c r="C268" s="557" t="s">
        <v>409</v>
      </c>
      <c r="D268" s="557"/>
      <c r="E268" s="557"/>
      <c r="F268" s="557"/>
      <c r="G268" s="557"/>
      <c r="H268" s="557"/>
      <c r="I268" s="557"/>
      <c r="J268" s="557"/>
      <c r="K268" s="557"/>
      <c r="L268" s="557"/>
      <c r="M268" s="557"/>
      <c r="N268" s="557"/>
      <c r="O268" s="557"/>
      <c r="P268" s="557"/>
      <c r="Q268" s="557"/>
      <c r="R268" s="557"/>
      <c r="S268" s="22" t="s">
        <v>1</v>
      </c>
    </row>
    <row r="269" spans="1:19" s="23" customFormat="1" ht="5.0999999999999996" hidden="1" customHeight="1" outlineLevel="1"/>
    <row r="270" spans="1:19" s="23" customFormat="1" ht="12.75" hidden="1" outlineLevel="1">
      <c r="C270" s="568" t="s">
        <v>223</v>
      </c>
      <c r="D270" s="409"/>
      <c r="E270" s="512" t="s">
        <v>342</v>
      </c>
      <c r="F270" s="409"/>
      <c r="G270" s="512" t="s">
        <v>481</v>
      </c>
      <c r="H270" s="512"/>
      <c r="I270" s="512" t="s">
        <v>482</v>
      </c>
      <c r="J270" s="512"/>
      <c r="K270" s="512" t="s">
        <v>339</v>
      </c>
      <c r="L270" s="512"/>
      <c r="M270" s="515" t="s">
        <v>412</v>
      </c>
      <c r="O270" s="540" t="s">
        <v>413</v>
      </c>
      <c r="P270" s="410"/>
      <c r="Q270" s="410"/>
      <c r="R270" s="411"/>
    </row>
    <row r="271" spans="1:19" s="23" customFormat="1" ht="5.0999999999999996" hidden="1" customHeight="1" outlineLevel="1">
      <c r="O271" s="251"/>
      <c r="P271" s="204"/>
      <c r="Q271" s="204"/>
      <c r="R271" s="252"/>
    </row>
    <row r="272" spans="1:19" s="23" customFormat="1" ht="15" hidden="1" customHeight="1" outlineLevel="1">
      <c r="C272" s="23" t="str">
        <f>'Segment Analysis'!C16</f>
        <v>Investment Banking &amp; Equities</v>
      </c>
      <c r="E272" s="973">
        <f>SUM('Segment Analysis'!W70:X70,'Segment Analysis'!Z70:AA70)</f>
        <v>7009287.0114051718</v>
      </c>
      <c r="G272" s="974">
        <f>IF($G289=Comparables!$D$86,Valuation!$E$12,IF(Valuation!$G289=Comparables!$G$86,Valuation!$E$17,IF(Valuation!$G289=Comparables!$L$86,Valuation!$E$22,IF($G289=Company_Name,$D$12))))</f>
        <v>13.645</v>
      </c>
      <c r="H272" s="412"/>
      <c r="I272" s="413">
        <v>0</v>
      </c>
      <c r="J272" s="412"/>
      <c r="K272" s="412">
        <f t="shared" ref="K272:K277" si="19">G272+I272</f>
        <v>13.645</v>
      </c>
      <c r="L272" s="412"/>
      <c r="M272" s="211">
        <f t="shared" ref="M272:M277" si="20">E272*K272</f>
        <v>95641721.270623565</v>
      </c>
      <c r="O272" s="150" t="s">
        <v>343</v>
      </c>
      <c r="R272" s="354">
        <f>SUM($M$272:$M$277)</f>
        <v>95940766.954528749</v>
      </c>
    </row>
    <row r="273" spans="1:19" s="23" customFormat="1" ht="12.75" hidden="1" outlineLevel="1">
      <c r="C273" s="23" t="str">
        <f>'Segment Analysis'!C17</f>
        <v>Investment Management</v>
      </c>
      <c r="E273" s="973">
        <f>SUM('Segment Analysis'!W71:X71,'Segment Analysis'!Z71:AA71)</f>
        <v>21916.136599867332</v>
      </c>
      <c r="G273" s="974">
        <f>IF($G290=Comparables!$D$86,Valuation!$E$12,IF(Valuation!$G290=Comparables!$G$86,Valuation!$E$17,IF(Valuation!$G290=Comparables!$L$86,Valuation!$E$22,IF($G290=Company_Name,$D$12))))</f>
        <v>13.645</v>
      </c>
      <c r="H273" s="412"/>
      <c r="I273" s="414">
        <v>0</v>
      </c>
      <c r="J273" s="412"/>
      <c r="K273" s="412">
        <f t="shared" si="19"/>
        <v>13.645</v>
      </c>
      <c r="L273" s="412"/>
      <c r="M273" s="211">
        <f t="shared" si="20"/>
        <v>299045.68390518974</v>
      </c>
      <c r="O273" s="150"/>
      <c r="R273" s="357"/>
    </row>
    <row r="274" spans="1:19" s="23" customFormat="1" ht="12.75" hidden="1" outlineLevel="1">
      <c r="C274" s="23" t="str">
        <f>'Segment Analysis'!C18</f>
        <v>Segment 3</v>
      </c>
      <c r="E274" s="973">
        <f>SUM('Segment Analysis'!W72:X72,'Segment Analysis'!Z72:AA72)</f>
        <v>0</v>
      </c>
      <c r="G274" s="974" t="b">
        <f>IF($G291=Comparables!$D$86,Valuation!$E$12,IF(Valuation!$G291=Comparables!$G$86,Valuation!$E$17,IF(Valuation!$G291=Comparables!$L$86,Valuation!$E$22,IF($G291=Company_Name,$D$12))))</f>
        <v>0</v>
      </c>
      <c r="H274" s="412"/>
      <c r="I274" s="414">
        <v>0</v>
      </c>
      <c r="J274" s="412"/>
      <c r="K274" s="412">
        <f t="shared" si="19"/>
        <v>0</v>
      </c>
      <c r="L274" s="412"/>
      <c r="M274" s="211">
        <f t="shared" si="20"/>
        <v>0</v>
      </c>
      <c r="O274" s="150" t="s">
        <v>344</v>
      </c>
      <c r="R274" s="977">
        <f ca="1">K66</f>
        <v>802310.39839182084</v>
      </c>
    </row>
    <row r="275" spans="1:19" s="23" customFormat="1" ht="12.75" hidden="1" outlineLevel="1">
      <c r="C275" s="23" t="str">
        <f>'Segment Analysis'!C19</f>
        <v>Segment 4</v>
      </c>
      <c r="E275" s="973">
        <f>SUM('Segment Analysis'!W73:X73,'Segment Analysis'!Z73:AA73)</f>
        <v>0</v>
      </c>
      <c r="G275" s="974" t="b">
        <f>IF($G292=Comparables!$D$86,Valuation!$E$12,IF(Valuation!$G292=Comparables!$G$86,Valuation!$E$17,IF(Valuation!$G292=Comparables!$L$86,Valuation!$E$22,IF($G292=Company_Name,$D$12))))</f>
        <v>0</v>
      </c>
      <c r="H275" s="412"/>
      <c r="I275" s="414">
        <v>0</v>
      </c>
      <c r="J275" s="412"/>
      <c r="K275" s="412">
        <f t="shared" si="19"/>
        <v>0</v>
      </c>
      <c r="L275" s="412"/>
      <c r="M275" s="211">
        <f t="shared" si="20"/>
        <v>0</v>
      </c>
      <c r="O275" s="150" t="s">
        <v>345</v>
      </c>
      <c r="R275" s="359">
        <f t="shared" ref="R275:R279" si="21">K67</f>
        <v>0</v>
      </c>
    </row>
    <row r="276" spans="1:19" s="23" customFormat="1" ht="12.75" hidden="1" outlineLevel="1">
      <c r="C276" s="23" t="str">
        <f>'Segment Analysis'!C20</f>
        <v>Segment 5</v>
      </c>
      <c r="E276" s="973">
        <f>SUM('Segment Analysis'!W74:X74,'Segment Analysis'!Z74:AA74)</f>
        <v>0</v>
      </c>
      <c r="G276" s="974" t="b">
        <f>IF($G293=Comparables!$D$86,Valuation!$E$12,IF(Valuation!$G293=Comparables!$G$86,Valuation!$E$17,IF(Valuation!$G293=Comparables!$L$86,Valuation!$E$22,IF($G293=Company_Name,$D$12))))</f>
        <v>0</v>
      </c>
      <c r="H276" s="412"/>
      <c r="I276" s="414">
        <v>0</v>
      </c>
      <c r="J276" s="412"/>
      <c r="K276" s="412">
        <f t="shared" si="19"/>
        <v>0</v>
      </c>
      <c r="L276" s="412"/>
      <c r="M276" s="211">
        <f t="shared" si="20"/>
        <v>0</v>
      </c>
      <c r="O276" s="150" t="s">
        <v>346</v>
      </c>
      <c r="R276" s="359">
        <f t="shared" ca="1" si="21"/>
        <v>-539749</v>
      </c>
    </row>
    <row r="277" spans="1:19" s="23" customFormat="1" ht="12.75" hidden="1" outlineLevel="1">
      <c r="C277" s="23" t="str">
        <f>'Segment Analysis'!C21</f>
        <v>Segment 6</v>
      </c>
      <c r="E277" s="973">
        <f>SUM('Segment Analysis'!W75:X75,'Segment Analysis'!Z75:AA75)</f>
        <v>0</v>
      </c>
      <c r="G277" s="974" t="b">
        <f>IF($G294=Comparables!$D$86,Valuation!$E$12,IF(Valuation!$G294=Comparables!$G$86,Valuation!$E$17,IF(Valuation!$G294=Comparables!$L$86,Valuation!$E$22,IF($G294=Company_Name,$D$12))))</f>
        <v>0</v>
      </c>
      <c r="H277" s="412"/>
      <c r="I277" s="414">
        <v>0</v>
      </c>
      <c r="J277" s="412"/>
      <c r="K277" s="412">
        <f t="shared" si="19"/>
        <v>0</v>
      </c>
      <c r="L277" s="412"/>
      <c r="M277" s="211">
        <f t="shared" si="20"/>
        <v>0</v>
      </c>
      <c r="O277" s="150" t="s">
        <v>347</v>
      </c>
      <c r="R277" s="359">
        <f t="shared" si="21"/>
        <v>0</v>
      </c>
    </row>
    <row r="278" spans="1:19" s="23" customFormat="1" ht="12.75" hidden="1" outlineLevel="1">
      <c r="O278" s="150" t="s">
        <v>348</v>
      </c>
      <c r="R278" s="359">
        <f t="shared" si="21"/>
        <v>-306515</v>
      </c>
    </row>
    <row r="279" spans="1:19" s="23" customFormat="1" ht="12.75" hidden="1" outlineLevel="1">
      <c r="B279" s="343"/>
      <c r="C279" s="565"/>
      <c r="O279" s="150" t="s">
        <v>349</v>
      </c>
      <c r="P279" s="155"/>
      <c r="R279" s="403">
        <f t="shared" si="21"/>
        <v>0</v>
      </c>
    </row>
    <row r="280" spans="1:19" s="23" customFormat="1" ht="12.75" hidden="1" outlineLevel="1">
      <c r="B280" s="343"/>
      <c r="D280" s="189"/>
      <c r="E280" s="189"/>
      <c r="F280" s="566"/>
      <c r="G280" s="566"/>
      <c r="H280" s="566"/>
      <c r="I280" s="566"/>
      <c r="J280" s="566"/>
      <c r="O280" s="251"/>
      <c r="Q280" s="204"/>
      <c r="R280" s="357"/>
    </row>
    <row r="281" spans="1:19" s="23" customFormat="1" ht="12.75" hidden="1" outlineLevel="1">
      <c r="B281" s="343"/>
      <c r="C281" s="189"/>
      <c r="D281" s="345"/>
      <c r="E281" s="345"/>
      <c r="F281" s="345"/>
      <c r="G281" s="345"/>
      <c r="H281" s="345"/>
      <c r="I281" s="345"/>
      <c r="J281" s="345"/>
      <c r="O281" s="150" t="s">
        <v>336</v>
      </c>
      <c r="R281" s="401">
        <f ca="1">SUM(R272:R279)</f>
        <v>95896813.352920577</v>
      </c>
    </row>
    <row r="282" spans="1:19" s="23" customFormat="1" ht="12.75" hidden="1" outlineLevel="1">
      <c r="C282" s="189"/>
      <c r="D282" s="345"/>
      <c r="E282" s="345"/>
      <c r="F282" s="345"/>
      <c r="G282" s="345"/>
      <c r="H282" s="345"/>
      <c r="I282" s="345"/>
      <c r="J282" s="345"/>
      <c r="O282" s="150" t="s">
        <v>209</v>
      </c>
      <c r="R282" s="406">
        <f>Diluted_Shares</f>
        <v>42131</v>
      </c>
    </row>
    <row r="283" spans="1:19" s="23" customFormat="1" ht="12.75" hidden="1" outlineLevel="1">
      <c r="O283" s="150"/>
      <c r="R283" s="357"/>
    </row>
    <row r="284" spans="1:19" s="23" customFormat="1" ht="12.75" hidden="1" outlineLevel="1">
      <c r="C284" s="565"/>
      <c r="O284" s="150" t="s">
        <v>337</v>
      </c>
      <c r="R284" s="401">
        <f ca="1">R281/R282</f>
        <v>2276.1580155448619</v>
      </c>
    </row>
    <row r="285" spans="1:19" s="23" customFormat="1" ht="12.75" hidden="1" outlineLevel="1">
      <c r="D285" s="189"/>
      <c r="E285" s="189"/>
      <c r="F285" s="189"/>
      <c r="G285" s="189"/>
      <c r="H285" s="189"/>
      <c r="I285" s="189"/>
      <c r="J285" s="189"/>
      <c r="O285" s="262" t="s">
        <v>338</v>
      </c>
      <c r="P285" s="155"/>
      <c r="Q285" s="155"/>
      <c r="R285" s="402">
        <f ca="1">R284/Share_Price-1</f>
        <v>5.6712330828713089</v>
      </c>
    </row>
    <row r="286" spans="1:19" s="23" customFormat="1" ht="5.0999999999999996" hidden="1" customHeight="1" outlineLevel="1">
      <c r="C286" s="189"/>
      <c r="D286" s="345"/>
      <c r="E286" s="345"/>
      <c r="F286" s="345"/>
      <c r="G286" s="345"/>
      <c r="H286" s="345"/>
      <c r="I286" s="345"/>
      <c r="J286" s="345"/>
    </row>
    <row r="287" spans="1:19" s="23" customFormat="1" ht="12.75" hidden="1" outlineLevel="1">
      <c r="A287" s="22" t="s">
        <v>1</v>
      </c>
      <c r="C287" s="543" t="s">
        <v>25</v>
      </c>
      <c r="D287" s="544"/>
      <c r="E287" s="544"/>
      <c r="F287" s="544"/>
      <c r="G287" s="545"/>
      <c r="H287" s="545"/>
      <c r="I287" s="545"/>
      <c r="J287" s="545"/>
      <c r="K287" s="545"/>
      <c r="L287" s="545"/>
      <c r="M287" s="545"/>
      <c r="N287" s="545"/>
      <c r="O287" s="545"/>
      <c r="P287" s="545"/>
      <c r="Q287" s="545"/>
      <c r="R287" s="546"/>
      <c r="S287" s="22" t="s">
        <v>1</v>
      </c>
    </row>
    <row r="288" spans="1:19" s="23" customFormat="1" ht="5.0999999999999996" hidden="1" customHeight="1" outlineLevel="1"/>
    <row r="289" spans="1:19" s="23" customFormat="1" ht="12.75" hidden="1" outlineLevel="1">
      <c r="C289" s="23" t="str">
        <f t="shared" ref="C289:C294" si="22">"Multiple Used for "&amp;C272</f>
        <v>Multiple Used for Investment Banking &amp; Equities</v>
      </c>
      <c r="G289" s="162" t="s">
        <v>351</v>
      </c>
    </row>
    <row r="290" spans="1:19" s="23" customFormat="1" ht="12.75" hidden="1" outlineLevel="1">
      <c r="C290" s="23" t="str">
        <f t="shared" si="22"/>
        <v>Multiple Used for Investment Management</v>
      </c>
      <c r="G290" s="162" t="s">
        <v>351</v>
      </c>
    </row>
    <row r="291" spans="1:19" s="23" customFormat="1" ht="12.75" hidden="1" outlineLevel="1">
      <c r="C291" s="23" t="str">
        <f t="shared" si="22"/>
        <v>Multiple Used for Segment 3</v>
      </c>
      <c r="G291" s="162" t="s">
        <v>505</v>
      </c>
    </row>
    <row r="292" spans="1:19" s="23" customFormat="1" ht="12.75" hidden="1" outlineLevel="1">
      <c r="C292" s="23" t="str">
        <f t="shared" si="22"/>
        <v>Multiple Used for Segment 4</v>
      </c>
      <c r="G292" s="162" t="s">
        <v>505</v>
      </c>
    </row>
    <row r="293" spans="1:19" s="23" customFormat="1" ht="12.75" hidden="1" outlineLevel="1">
      <c r="C293" s="23" t="str">
        <f t="shared" si="22"/>
        <v>Multiple Used for Segment 5</v>
      </c>
      <c r="G293" s="162" t="s">
        <v>505</v>
      </c>
    </row>
    <row r="294" spans="1:19" s="23" customFormat="1" ht="12.75" hidden="1" outlineLevel="1">
      <c r="C294" s="23" t="str">
        <f t="shared" si="22"/>
        <v>Multiple Used for Segment 6</v>
      </c>
      <c r="G294" s="162" t="s">
        <v>505</v>
      </c>
    </row>
    <row r="295" spans="1:19" s="23" customFormat="1" ht="12.75" hidden="1" outlineLevel="1"/>
    <row r="296" spans="1:19" s="23" customFormat="1" ht="12.75" hidden="1" outlineLevel="1">
      <c r="A296" s="22" t="s">
        <v>1</v>
      </c>
      <c r="B296" s="22" t="s">
        <v>1</v>
      </c>
      <c r="C296" s="509" t="s">
        <v>235</v>
      </c>
      <c r="D296" s="193"/>
      <c r="E296" s="193"/>
      <c r="F296" s="193"/>
      <c r="G296" s="510"/>
      <c r="H296" s="510"/>
      <c r="I296" s="510"/>
      <c r="J296" s="510"/>
      <c r="K296" s="510"/>
      <c r="L296" s="510"/>
      <c r="M296" s="510"/>
      <c r="N296" s="510"/>
      <c r="O296" s="510"/>
      <c r="P296" s="510"/>
      <c r="Q296" s="510"/>
      <c r="R296" s="510"/>
      <c r="S296" s="22" t="s">
        <v>1</v>
      </c>
    </row>
    <row r="297" spans="1:19" s="23" customFormat="1" ht="12.75" collapsed="1"/>
    <row r="298" spans="1:19" s="23" customFormat="1" ht="12.75"/>
    <row r="299" spans="1:19" s="23" customFormat="1" ht="12.75">
      <c r="A299" s="22"/>
      <c r="B299" s="22"/>
    </row>
  </sheetData>
  <sheetProtection formatCells="0" formatColumns="0" formatRows="0" insertColumns="0" insertRows="0" insertHyperlinks="0" deleteColumns="0" deleteRows="0" sort="0" autoFilter="0" pivotTables="0"/>
  <mergeCells count="22">
    <mergeCell ref="D262:D266"/>
    <mergeCell ref="L262:L266"/>
    <mergeCell ref="D238:D242"/>
    <mergeCell ref="L238:L242"/>
    <mergeCell ref="D246:D250"/>
    <mergeCell ref="L246:L250"/>
    <mergeCell ref="D254:D258"/>
    <mergeCell ref="L254:L258"/>
    <mergeCell ref="L186:L190"/>
    <mergeCell ref="D178:D182"/>
    <mergeCell ref="D186:D190"/>
    <mergeCell ref="D107:D111"/>
    <mergeCell ref="D99:D103"/>
    <mergeCell ref="D162:D166"/>
    <mergeCell ref="D170:D174"/>
    <mergeCell ref="L99:L103"/>
    <mergeCell ref="L107:L111"/>
    <mergeCell ref="L162:L166"/>
    <mergeCell ref="L170:L174"/>
    <mergeCell ref="L178:L182"/>
    <mergeCell ref="C140:R140"/>
    <mergeCell ref="C149:R149"/>
  </mergeCells>
  <conditionalFormatting sqref="E92:P93 C7:G7 K59:K79 R59:R79 G83:G87 H106 E109 F118:F127 N118:N131 N133:N138 G142:G145 H161 E164 H169 E172 H177 E180 H185 E188 N196:N204 F196:F205 N211:N216 G220:G223 H237 E240 H245 E248 H253 E256 H261 E264 R272:R274 I272:I277 R280:R285">
    <cfRule type="expression" dxfId="111" priority="88">
      <formula>$R$2="Report"</formula>
    </cfRule>
  </conditionalFormatting>
  <conditionalFormatting sqref="F92">
    <cfRule type="expression" dxfId="110" priority="84">
      <formula>F92&lt;&gt;0</formula>
    </cfRule>
    <cfRule type="expression" dxfId="109" priority="90">
      <formula>$AQ$2="Report"</formula>
    </cfRule>
    <cfRule type="expression" dxfId="108" priority="89">
      <formula>F92&lt;&gt;0</formula>
    </cfRule>
    <cfRule type="expression" dxfId="107" priority="85">
      <formula>$AQ$2="Report"</formula>
    </cfRule>
  </conditionalFormatting>
  <conditionalFormatting sqref="F121">
    <cfRule type="cellIs" dxfId="106" priority="152" operator="between">
      <formula>0.15</formula>
      <formula>0.3</formula>
    </cfRule>
  </conditionalFormatting>
  <conditionalFormatting sqref="F131:F132">
    <cfRule type="expression" dxfId="105" priority="9">
      <formula>$R$2="Report"</formula>
    </cfRule>
  </conditionalFormatting>
  <conditionalFormatting sqref="F151">
    <cfRule type="expression" dxfId="104" priority="75">
      <formula>$R$2="Report"</formula>
    </cfRule>
    <cfRule type="expression" dxfId="103" priority="77">
      <formula>$AQ$2="Report"</formula>
    </cfRule>
    <cfRule type="expression" dxfId="102" priority="76">
      <formula>F151&lt;&gt;0</formula>
    </cfRule>
  </conditionalFormatting>
  <conditionalFormatting sqref="F154">
    <cfRule type="expression" dxfId="101" priority="72">
      <formula>$R$2="Report"</formula>
    </cfRule>
    <cfRule type="expression" dxfId="100" priority="73">
      <formula>F154&lt;&gt;0</formula>
    </cfRule>
    <cfRule type="expression" dxfId="99" priority="74">
      <formula>$AQ$2="Report"</formula>
    </cfRule>
  </conditionalFormatting>
  <conditionalFormatting sqref="F199">
    <cfRule type="cellIs" dxfId="98" priority="127" operator="between">
      <formula>0.15</formula>
      <formula>0.3</formula>
    </cfRule>
  </conditionalFormatting>
  <conditionalFormatting sqref="F227">
    <cfRule type="expression" dxfId="97" priority="69">
      <formula>$R$2="Report"</formula>
    </cfRule>
  </conditionalFormatting>
  <conditionalFormatting sqref="F227:F229">
    <cfRule type="expression" dxfId="96" priority="70">
      <formula>F227&lt;&gt;0</formula>
    </cfRule>
    <cfRule type="expression" dxfId="95" priority="71">
      <formula>$AQ$2="Report"</formula>
    </cfRule>
  </conditionalFormatting>
  <conditionalFormatting sqref="F230">
    <cfRule type="expression" dxfId="94" priority="66">
      <formula>$R$2="Report"</formula>
    </cfRule>
  </conditionalFormatting>
  <conditionalFormatting sqref="F230:F231">
    <cfRule type="expression" dxfId="93" priority="68">
      <formula>$AQ$2="Report"</formula>
    </cfRule>
    <cfRule type="expression" dxfId="92" priority="67">
      <formula>F230&lt;&gt;0</formula>
    </cfRule>
  </conditionalFormatting>
  <conditionalFormatting sqref="G58:S59 G60:K60 M60:R60 G61:S77 K79 R79 L127:L133">
    <cfRule type="expression" dxfId="91" priority="183">
      <formula>$R$4=1</formula>
    </cfRule>
  </conditionalFormatting>
  <conditionalFormatting sqref="H98 E101">
    <cfRule type="expression" dxfId="90" priority="26">
      <formula>$R$2="Report"</formula>
    </cfRule>
  </conditionalFormatting>
  <conditionalFormatting sqref="H144">
    <cfRule type="cellIs" dxfId="89" priority="114" operator="equal">
      <formula>FALSE</formula>
    </cfRule>
  </conditionalFormatting>
  <conditionalFormatting sqref="H222">
    <cfRule type="cellIs" dxfId="88" priority="116" operator="equal">
      <formula>FALSE</formula>
    </cfRule>
  </conditionalFormatting>
  <conditionalFormatting sqref="H31:I31">
    <cfRule type="expression" dxfId="87" priority="105">
      <formula>$AF$11="On"</formula>
    </cfRule>
  </conditionalFormatting>
  <conditionalFormatting sqref="J84:J87">
    <cfRule type="expression" dxfId="86" priority="37">
      <formula>$R$2="Report"</formula>
    </cfRule>
  </conditionalFormatting>
  <conditionalFormatting sqref="J121">
    <cfRule type="expression" dxfId="85" priority="4">
      <formula>$R$2="Report"</formula>
    </cfRule>
    <cfRule type="cellIs" dxfId="84" priority="5" operator="between">
      <formula>0.15</formula>
      <formula>0.3</formula>
    </cfRule>
  </conditionalFormatting>
  <conditionalFormatting sqref="K92">
    <cfRule type="expression" dxfId="83" priority="91">
      <formula>K92&lt;&gt;0</formula>
    </cfRule>
    <cfRule type="expression" dxfId="82" priority="87">
      <formula>$AQ$2="Report"</formula>
    </cfRule>
    <cfRule type="expression" dxfId="81" priority="86">
      <formula>K92&lt;&gt;0</formula>
    </cfRule>
    <cfRule type="expression" dxfId="80" priority="92">
      <formula>$AQ$2="Report"</formula>
    </cfRule>
  </conditionalFormatting>
  <conditionalFormatting sqref="L9:L10">
    <cfRule type="cellIs" dxfId="79" priority="36" operator="between">
      <formula>0.15</formula>
      <formula>0.3</formula>
    </cfRule>
    <cfRule type="expression" dxfId="78" priority="35">
      <formula>$R$2="Report"</formula>
    </cfRule>
  </conditionalFormatting>
  <conditionalFormatting sqref="L12:L15">
    <cfRule type="cellIs" dxfId="77" priority="28" operator="between">
      <formula>0.15</formula>
      <formula>0.3</formula>
    </cfRule>
    <cfRule type="expression" dxfId="76" priority="27">
      <formula>$R$2="Report"</formula>
    </cfRule>
  </conditionalFormatting>
  <conditionalFormatting sqref="L17:L20">
    <cfRule type="cellIs" dxfId="75" priority="41" operator="between">
      <formula>0.15</formula>
      <formula>0.3</formula>
    </cfRule>
    <cfRule type="expression" dxfId="74" priority="40">
      <formula>$R$2="Report"</formula>
    </cfRule>
  </conditionalFormatting>
  <conditionalFormatting sqref="L22">
    <cfRule type="cellIs" dxfId="73" priority="39" operator="between">
      <formula>0.15</formula>
      <formula>0.3</formula>
    </cfRule>
    <cfRule type="expression" dxfId="72" priority="38">
      <formula>$R$2="Report"</formula>
    </cfRule>
  </conditionalFormatting>
  <conditionalFormatting sqref="L151:L155">
    <cfRule type="expression" dxfId="71" priority="79">
      <formula>L151&lt;&gt;0</formula>
    </cfRule>
    <cfRule type="expression" dxfId="70" priority="80">
      <formula>$AQ$2="Report"</formula>
    </cfRule>
  </conditionalFormatting>
  <conditionalFormatting sqref="L154">
    <cfRule type="expression" dxfId="69" priority="78">
      <formula>$R$2="Report"</formula>
    </cfRule>
  </conditionalFormatting>
  <conditionalFormatting sqref="L205:L211">
    <cfRule type="expression" dxfId="68" priority="123">
      <formula>$R$4=1</formula>
    </cfRule>
  </conditionalFormatting>
  <conditionalFormatting sqref="L227">
    <cfRule type="expression" dxfId="67" priority="63">
      <formula>$R$2="Report"</formula>
    </cfRule>
  </conditionalFormatting>
  <conditionalFormatting sqref="L227:L229">
    <cfRule type="expression" dxfId="66" priority="65">
      <formula>$AQ$2="Report"</formula>
    </cfRule>
    <cfRule type="expression" dxfId="65" priority="64">
      <formula>L227&lt;&gt;0</formula>
    </cfRule>
  </conditionalFormatting>
  <conditionalFormatting sqref="L230">
    <cfRule type="expression" dxfId="64" priority="60">
      <formula>$R$2="Report"</formula>
    </cfRule>
  </conditionalFormatting>
  <conditionalFormatting sqref="L230:L231">
    <cfRule type="expression" dxfId="63" priority="61">
      <formula>L230&lt;&gt;0</formula>
    </cfRule>
    <cfRule type="expression" dxfId="62" priority="62">
      <formula>$AQ$2="Report"</formula>
    </cfRule>
  </conditionalFormatting>
  <conditionalFormatting sqref="L151:M151">
    <cfRule type="expression" dxfId="61" priority="1">
      <formula>$R$2="Report"</formula>
    </cfRule>
  </conditionalFormatting>
  <conditionalFormatting sqref="M151">
    <cfRule type="expression" dxfId="60" priority="3">
      <formula>$AQ$2="Report"</formula>
    </cfRule>
    <cfRule type="expression" dxfId="59" priority="2">
      <formula>M151&lt;&gt;0</formula>
    </cfRule>
  </conditionalFormatting>
  <conditionalFormatting sqref="N121">
    <cfRule type="cellIs" dxfId="58" priority="146" operator="between">
      <formula>0.15</formula>
      <formula>0.3</formula>
    </cfRule>
  </conditionalFormatting>
  <conditionalFormatting sqref="N127:N131">
    <cfRule type="expression" dxfId="57" priority="120">
      <formula>$R$4=1</formula>
    </cfRule>
  </conditionalFormatting>
  <conditionalFormatting sqref="N132">
    <cfRule type="expression" dxfId="56" priority="8">
      <formula>$R$4=1</formula>
    </cfRule>
  </conditionalFormatting>
  <conditionalFormatting sqref="N199">
    <cfRule type="cellIs" dxfId="55" priority="122" operator="between">
      <formula>0.15</formula>
      <formula>0.3</formula>
    </cfRule>
  </conditionalFormatting>
  <conditionalFormatting sqref="N205:N210">
    <cfRule type="expression" dxfId="54" priority="7">
      <formula>$R$4=1</formula>
    </cfRule>
  </conditionalFormatting>
  <conditionalFormatting sqref="N99:R103">
    <cfRule type="cellIs" dxfId="53" priority="168" operator="between">
      <formula>0.15</formula>
      <formula>0.3</formula>
    </cfRule>
  </conditionalFormatting>
  <conditionalFormatting sqref="N107:R111">
    <cfRule type="cellIs" dxfId="52" priority="167" operator="between">
      <formula>0.15</formula>
      <formula>0.3</formula>
    </cfRule>
  </conditionalFormatting>
  <conditionalFormatting sqref="N162:R166">
    <cfRule type="cellIs" dxfId="51" priority="161" operator="between">
      <formula>0.15</formula>
      <formula>0.3</formula>
    </cfRule>
  </conditionalFormatting>
  <conditionalFormatting sqref="N170:R174">
    <cfRule type="cellIs" dxfId="50" priority="160" operator="between">
      <formula>0.15</formula>
      <formula>0.3</formula>
    </cfRule>
  </conditionalFormatting>
  <conditionalFormatting sqref="N178:R182">
    <cfRule type="cellIs" dxfId="49" priority="112" operator="between">
      <formula>0.15</formula>
      <formula>0.3</formula>
    </cfRule>
  </conditionalFormatting>
  <conditionalFormatting sqref="N186:R190">
    <cfRule type="cellIs" dxfId="48" priority="111" operator="between">
      <formula>0.15</formula>
      <formula>0.3</formula>
    </cfRule>
  </conditionalFormatting>
  <conditionalFormatting sqref="N238:R242">
    <cfRule type="cellIs" dxfId="47" priority="110" operator="between">
      <formula>0.15</formula>
      <formula>0.3</formula>
    </cfRule>
  </conditionalFormatting>
  <conditionalFormatting sqref="N246:R250">
    <cfRule type="cellIs" dxfId="46" priority="109" operator="between">
      <formula>0.15</formula>
      <formula>0.3</formula>
    </cfRule>
  </conditionalFormatting>
  <conditionalFormatting sqref="N254:R258">
    <cfRule type="cellIs" dxfId="45" priority="108" operator="between">
      <formula>0.15</formula>
      <formula>0.3</formula>
    </cfRule>
  </conditionalFormatting>
  <conditionalFormatting sqref="N262:R267">
    <cfRule type="cellIs" dxfId="44" priority="107" operator="between">
      <formula>0.15</formula>
      <formula>0.3</formula>
    </cfRule>
  </conditionalFormatting>
  <conditionalFormatting sqref="O274:O280">
    <cfRule type="expression" dxfId="43" priority="162">
      <formula>$R$4=1</formula>
    </cfRule>
  </conditionalFormatting>
  <conditionalFormatting sqref="P92">
    <cfRule type="expression" dxfId="42" priority="93">
      <formula>P92&lt;&gt;0</formula>
    </cfRule>
    <cfRule type="expression" dxfId="41" priority="94">
      <formula>$AQ$2="Report"</formula>
    </cfRule>
  </conditionalFormatting>
  <conditionalFormatting sqref="P127:P133">
    <cfRule type="expression" dxfId="40" priority="165">
      <formula>$R$4=1</formula>
    </cfRule>
  </conditionalFormatting>
  <conditionalFormatting sqref="P205:P211">
    <cfRule type="expression" dxfId="39" priority="163">
      <formula>$R$4=1</formula>
    </cfRule>
  </conditionalFormatting>
  <conditionalFormatting sqref="R127:R132">
    <cfRule type="expression" dxfId="38" priority="142">
      <formula>$R$4=1</formula>
    </cfRule>
  </conditionalFormatting>
  <conditionalFormatting sqref="R151:R154">
    <cfRule type="expression" dxfId="37" priority="18">
      <formula>$AQ$2="Report"</formula>
    </cfRule>
    <cfRule type="expression" dxfId="36" priority="16">
      <formula>$R$2="Report"</formula>
    </cfRule>
    <cfRule type="expression" dxfId="35" priority="17">
      <formula>R151&lt;&gt;0</formula>
    </cfRule>
  </conditionalFormatting>
  <conditionalFormatting sqref="R205:R210">
    <cfRule type="expression" dxfId="34" priority="117">
      <formula>$R$4=1</formula>
    </cfRule>
  </conditionalFormatting>
  <conditionalFormatting sqref="R227:R230">
    <cfRule type="expression" dxfId="33" priority="10">
      <formula>$R$2="Report"</formula>
    </cfRule>
    <cfRule type="expression" dxfId="32" priority="11">
      <formula>R227&lt;&gt;0</formula>
    </cfRule>
    <cfRule type="expression" dxfId="31" priority="12">
      <formula>$AQ$2="Report"</formula>
    </cfRule>
  </conditionalFormatting>
  <conditionalFormatting sqref="R274">
    <cfRule type="expression" dxfId="30" priority="113">
      <formula>$R$4=1</formula>
    </cfRule>
  </conditionalFormatting>
  <conditionalFormatting sqref="R275:R279">
    <cfRule type="expression" dxfId="29" priority="6">
      <formula>$R$4=1</formula>
    </cfRule>
  </conditionalFormatting>
  <conditionalFormatting sqref="X58:AB77 AB79">
    <cfRule type="expression" dxfId="28" priority="25">
      <formula>$R$4=1</formula>
    </cfRule>
  </conditionalFormatting>
  <conditionalFormatting sqref="AB59:AB79">
    <cfRule type="expression" dxfId="27" priority="24">
      <formula>$R$2="Report"</formula>
    </cfRule>
  </conditionalFormatting>
  <dataValidations count="9">
    <dataValidation type="list" allowBlank="1" showInputMessage="1" showErrorMessage="1" sqref="G83" xr:uid="{00000000-0002-0000-0E00-000000000000}">
      <formula1>"Yes, No"</formula1>
    </dataValidation>
    <dataValidation type="list" allowBlank="1" showInputMessage="1" showErrorMessage="1" sqref="G86" xr:uid="{00000000-0002-0000-0E00-000001000000}">
      <formula1>"1.00%, 1.25%, 1.50%, 1.75%, 2.00%, 2.25%, 2.50%, 2.75%, 3.00%, 3.25%, 3.50%, 3.75%, 4.00%"</formula1>
    </dataValidation>
    <dataValidation type="list" allowBlank="1" showInputMessage="1" showErrorMessage="1" sqref="G142:G143" xr:uid="{00000000-0002-0000-0E00-000002000000}">
      <formula1>"1 Year, 2 Year, 3 Year, 5 Year"</formula1>
    </dataValidation>
    <dataValidation type="list" allowBlank="1" showInputMessage="1" showErrorMessage="1" sqref="G220" xr:uid="{00000000-0002-0000-0E00-000003000000}">
      <formula1>"2002-2008,2009-2018,2002-2018"</formula1>
    </dataValidation>
    <dataValidation type="list" allowBlank="1" showInputMessage="1" showErrorMessage="1" sqref="G221" xr:uid="{00000000-0002-0000-0E00-000004000000}">
      <formula1>"Early Cycle, Mid Cycle, Late Cycle, Full Cycle"</formula1>
    </dataValidation>
    <dataValidation type="list" allowBlank="1" showInputMessage="1" showErrorMessage="1" sqref="G222 G144 D24" xr:uid="{00000000-0002-0000-0E00-000005000000}">
      <formula1>"LTM, NTM"</formula1>
    </dataValidation>
    <dataValidation type="list" allowBlank="1" showInputMessage="1" showErrorMessage="1" sqref="G145:G146 G223:G224" xr:uid="{00000000-0002-0000-0E00-000006000000}">
      <formula1>$B$9:$B$11</formula1>
    </dataValidation>
    <dataValidation type="list" allowBlank="1" showInputMessage="1" showErrorMessage="1" sqref="G289:G294" xr:uid="{00000000-0002-0000-0E00-000007000000}">
      <formula1>$B$9:$B$12</formula1>
    </dataValidation>
    <dataValidation type="list" allowBlank="1" showInputMessage="1" showErrorMessage="1" sqref="R2" xr:uid="{00000000-0002-0000-0E00-000008000000}">
      <formula1>"Working,Report"</formula1>
    </dataValidation>
  </dataValidation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autoPageBreaks="0"/>
  </sheetPr>
  <dimension ref="A1:AD448"/>
  <sheetViews>
    <sheetView showGridLines="0" zoomScale="80" zoomScaleNormal="80" workbookViewId="0">
      <pane ySplit="2" topLeftCell="A3" activePane="bottomLeft" state="frozen"/>
      <selection pane="bottomLeft"/>
    </sheetView>
  </sheetViews>
  <sheetFormatPr defaultColWidth="8.7109375" defaultRowHeight="14.25" outlineLevelRow="1"/>
  <cols>
    <col min="1" max="2" width="1.7109375" style="3" customWidth="1"/>
    <col min="3" max="3" width="12.42578125" style="3" customWidth="1"/>
    <col min="4" max="4" width="28.140625" style="3" bestFit="1" customWidth="1"/>
    <col min="5" max="5" width="22.85546875" style="3" bestFit="1" customWidth="1"/>
    <col min="6" max="10" width="12.7109375" style="3" bestFit="1" customWidth="1"/>
    <col min="11" max="11" width="22" style="3" bestFit="1" customWidth="1"/>
    <col min="12" max="15" width="12.7109375" style="3" bestFit="1" customWidth="1"/>
    <col min="16" max="16" width="12.85546875" style="3" bestFit="1" customWidth="1"/>
    <col min="17" max="17" width="12.7109375" style="3" bestFit="1" customWidth="1"/>
    <col min="18" max="18" width="10.42578125" style="3" customWidth="1"/>
    <col min="19" max="19" width="1.7109375" style="3" customWidth="1"/>
    <col min="20" max="25" width="10.42578125" style="3" customWidth="1"/>
    <col min="26" max="16384" width="8.7109375" style="3"/>
  </cols>
  <sheetData>
    <row r="1" spans="1:30" s="2" customFormat="1" ht="18">
      <c r="C1" s="508" t="str">
        <f ca="1">Company_Name&amp;" - "&amp;MID(CELL("filename",A1),FIND("]",CELL("filename",A1))+1,255)&amp;": "&amp;Case_Scenario&amp;" Case"</f>
        <v>Evercore Inc. - Charts: Base Case</v>
      </c>
    </row>
    <row r="2" spans="1:30">
      <c r="C2" s="4" t="str">
        <f>Cover!C2</f>
        <v>$ in Thousands Except Per Share Data</v>
      </c>
    </row>
    <row r="3" spans="1:30">
      <c r="A3" s="588" t="s">
        <v>1</v>
      </c>
      <c r="B3" s="23"/>
      <c r="C3" s="23"/>
      <c r="D3" s="23"/>
      <c r="E3" s="23"/>
      <c r="F3" s="23"/>
      <c r="G3" s="23"/>
      <c r="H3" s="23"/>
      <c r="I3" s="23"/>
      <c r="J3" s="23"/>
      <c r="K3" s="23"/>
      <c r="L3" s="23"/>
      <c r="M3" s="23"/>
      <c r="N3" s="23"/>
      <c r="O3" s="23"/>
      <c r="P3" s="23"/>
      <c r="Q3" s="23"/>
      <c r="R3" s="23"/>
      <c r="S3" s="23" t="s">
        <v>1</v>
      </c>
      <c r="T3" s="23"/>
      <c r="U3" s="23"/>
      <c r="V3" s="23"/>
      <c r="W3" s="23"/>
      <c r="X3" s="23"/>
      <c r="Y3" s="23"/>
      <c r="Z3" s="23"/>
      <c r="AA3" s="23"/>
      <c r="AB3" s="23"/>
      <c r="AC3" s="23"/>
      <c r="AD3" s="23"/>
    </row>
    <row r="4" spans="1:30">
      <c r="A4" s="146"/>
      <c r="B4" s="23"/>
      <c r="C4" s="193" t="s">
        <v>613</v>
      </c>
      <c r="D4" s="557"/>
      <c r="E4" s="557"/>
      <c r="F4" s="557"/>
      <c r="G4" s="557"/>
      <c r="H4" s="557"/>
      <c r="I4" s="557"/>
      <c r="J4" s="23"/>
      <c r="K4" s="23"/>
      <c r="L4" s="23"/>
      <c r="M4" s="23"/>
      <c r="N4" s="23"/>
      <c r="O4" s="23"/>
      <c r="P4" s="23"/>
      <c r="Q4" s="23"/>
      <c r="R4" s="23"/>
      <c r="S4" s="23"/>
      <c r="T4" s="23"/>
      <c r="U4" s="23"/>
      <c r="V4" s="23"/>
      <c r="W4" s="23"/>
      <c r="X4" s="23"/>
      <c r="Y4" s="23"/>
      <c r="Z4" s="23"/>
      <c r="AA4" s="23"/>
      <c r="AB4" s="23"/>
      <c r="AC4" s="23"/>
      <c r="AD4" s="23"/>
    </row>
    <row r="5" spans="1:30">
      <c r="A5" s="146"/>
      <c r="B5" s="23"/>
      <c r="C5" s="613"/>
      <c r="D5" s="613"/>
      <c r="E5" s="613"/>
      <c r="F5" s="613"/>
      <c r="G5" s="613"/>
      <c r="H5" s="613"/>
      <c r="I5" s="613"/>
      <c r="J5" s="23"/>
      <c r="K5" s="23"/>
      <c r="L5" s="23"/>
      <c r="M5" s="23"/>
      <c r="N5" s="23"/>
      <c r="O5" s="23"/>
      <c r="P5" s="23"/>
      <c r="Q5" s="23"/>
      <c r="R5" s="23"/>
      <c r="S5" s="23"/>
      <c r="T5" s="23"/>
      <c r="U5" s="23"/>
      <c r="V5" s="23"/>
      <c r="W5" s="23"/>
      <c r="X5" s="23"/>
      <c r="Y5" s="23"/>
      <c r="Z5" s="23"/>
      <c r="AA5" s="23"/>
      <c r="AB5" s="23"/>
      <c r="AC5" s="23"/>
      <c r="AD5" s="23"/>
    </row>
    <row r="6" spans="1:30">
      <c r="A6" s="146"/>
      <c r="B6" s="23"/>
      <c r="C6" s="251"/>
      <c r="D6" s="614">
        <f>Summary!T$6</f>
        <v>2023</v>
      </c>
      <c r="E6" s="614">
        <f>Summary!U$6</f>
        <v>2024</v>
      </c>
      <c r="F6" s="614">
        <f>Summary!V$6</f>
        <v>2025</v>
      </c>
      <c r="G6" s="614" t="str">
        <f>Summary!W$6</f>
        <v>2026e</v>
      </c>
      <c r="H6" s="614" t="str">
        <f>Summary!X$6</f>
        <v>2027e</v>
      </c>
      <c r="I6" s="615" t="str">
        <f>Summary!Y$6</f>
        <v>2028e</v>
      </c>
      <c r="J6" s="23"/>
      <c r="K6" s="442"/>
      <c r="L6" s="23"/>
      <c r="M6" s="23"/>
      <c r="N6" s="23"/>
      <c r="O6" s="23"/>
      <c r="P6" s="23"/>
      <c r="Q6" s="23"/>
      <c r="R6" s="23"/>
      <c r="S6" s="23"/>
      <c r="T6" s="23"/>
      <c r="U6" s="23"/>
      <c r="V6" s="23"/>
      <c r="W6" s="23"/>
      <c r="X6" s="23"/>
      <c r="Y6" s="23"/>
      <c r="Z6" s="23"/>
      <c r="AA6" s="23"/>
      <c r="AB6" s="23"/>
      <c r="AC6" s="23"/>
      <c r="AD6" s="23"/>
    </row>
    <row r="7" spans="1:30">
      <c r="A7" s="146"/>
      <c r="B7" s="23"/>
      <c r="C7" s="616" t="s">
        <v>255</v>
      </c>
      <c r="D7" s="443">
        <f>Summary!T16</f>
        <v>0.15386958347968982</v>
      </c>
      <c r="E7" s="443">
        <f ca="1">Summary!U16</f>
        <v>0.18144742906478892</v>
      </c>
      <c r="F7" s="443">
        <f>Summary!V16</f>
        <v>0.20984236423747527</v>
      </c>
      <c r="G7" s="443">
        <f>Summary!W16</f>
        <v>0.22652642932905109</v>
      </c>
      <c r="H7" s="443">
        <f>Summary!X16</f>
        <v>0.22699041548818169</v>
      </c>
      <c r="I7" s="443">
        <f>Summary!Y16</f>
        <v>0.22783399783116465</v>
      </c>
      <c r="J7" s="23"/>
      <c r="K7" s="23"/>
      <c r="L7" s="23"/>
      <c r="M7" s="23"/>
      <c r="N7" s="23"/>
      <c r="O7" s="23"/>
      <c r="P7" s="23"/>
      <c r="Q7" s="23"/>
      <c r="R7" s="23"/>
      <c r="S7" s="23"/>
      <c r="T7" s="23"/>
      <c r="U7" s="23"/>
      <c r="V7" s="23"/>
      <c r="W7" s="23"/>
      <c r="X7" s="23"/>
      <c r="Y7" s="23"/>
      <c r="Z7" s="444"/>
      <c r="AA7" s="23"/>
      <c r="AB7" s="23"/>
      <c r="AC7" s="23"/>
      <c r="AD7" s="23"/>
    </row>
    <row r="8" spans="1:30">
      <c r="A8" s="146"/>
      <c r="B8" s="23"/>
      <c r="C8" s="616" t="s">
        <v>47</v>
      </c>
      <c r="D8" s="443">
        <f>Summary!T28</f>
        <v>0.16383738095998387</v>
      </c>
      <c r="E8" s="443">
        <f ca="1">Summary!U28</f>
        <v>0.18961333430784874</v>
      </c>
      <c r="F8" s="443">
        <f>Summary!V28</f>
        <v>0.21823316196247297</v>
      </c>
      <c r="G8" s="443">
        <f>Summary!W28</f>
        <v>0.23229448827676821</v>
      </c>
      <c r="H8" s="443">
        <f ca="1">Summary!X28</f>
        <v>0.22747707416430354</v>
      </c>
      <c r="I8" s="443">
        <f ca="1">Summary!Y28</f>
        <v>0.23018625260453726</v>
      </c>
      <c r="J8" s="23"/>
      <c r="K8" s="23"/>
      <c r="L8" s="23"/>
      <c r="M8" s="23"/>
      <c r="N8" s="23"/>
      <c r="O8" s="23"/>
      <c r="P8" s="23"/>
      <c r="Q8" s="23"/>
      <c r="R8" s="23"/>
      <c r="S8" s="23"/>
      <c r="T8" s="23"/>
      <c r="U8" s="23"/>
      <c r="V8" s="23"/>
      <c r="W8" s="23"/>
      <c r="X8" s="23"/>
      <c r="Y8" s="23"/>
      <c r="Z8" s="23"/>
      <c r="AA8" s="23"/>
      <c r="AB8" s="23"/>
      <c r="AC8" s="23"/>
      <c r="AD8" s="23"/>
    </row>
    <row r="9" spans="1:30">
      <c r="A9" s="146"/>
      <c r="B9" s="23"/>
      <c r="C9" s="617" t="s">
        <v>458</v>
      </c>
      <c r="D9" s="445">
        <f>Summary!T20</f>
        <v>0.1167670897290092</v>
      </c>
      <c r="E9" s="445">
        <f ca="1">Summary!U20</f>
        <v>0.13941477679091405</v>
      </c>
      <c r="F9" s="445">
        <f>Summary!V20</f>
        <v>0.16512709518659904</v>
      </c>
      <c r="G9" s="445">
        <f ca="1">Summary!W20</f>
        <v>0.17828326151539664</v>
      </c>
      <c r="H9" s="445">
        <f ca="1">Summary!X20</f>
        <v>0.17486762919362153</v>
      </c>
      <c r="I9" s="445">
        <f ca="1">Summary!Y20</f>
        <v>0.17203622721129042</v>
      </c>
      <c r="J9" s="23"/>
      <c r="K9" s="23"/>
      <c r="L9" s="23"/>
      <c r="M9" s="23"/>
      <c r="N9" s="23"/>
      <c r="O9" s="23"/>
      <c r="P9" s="23"/>
      <c r="Q9" s="23"/>
      <c r="R9" s="23"/>
      <c r="S9" s="23"/>
      <c r="T9" s="23"/>
      <c r="U9" s="23"/>
      <c r="V9" s="23"/>
      <c r="W9" s="23"/>
      <c r="X9" s="23"/>
      <c r="Y9" s="23"/>
      <c r="Z9" s="23"/>
      <c r="AA9" s="23"/>
      <c r="AB9" s="23"/>
      <c r="AC9" s="23"/>
      <c r="AD9" s="23"/>
    </row>
    <row r="10" spans="1:30">
      <c r="A10" s="146"/>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row>
    <row r="11" spans="1:30">
      <c r="A11" s="146"/>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spans="1:30">
      <c r="A12" s="146"/>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row>
    <row r="13" spans="1:30">
      <c r="A13" s="146"/>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row>
    <row r="14" spans="1:30">
      <c r="A14" s="146"/>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spans="1:30">
      <c r="A15" s="146"/>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spans="1:30">
      <c r="A16" s="146"/>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row>
    <row r="17" spans="1:30">
      <c r="A17" s="146"/>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row>
    <row r="18" spans="1:30">
      <c r="A18" s="146"/>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row>
    <row r="19" spans="1:30">
      <c r="A19" s="146"/>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spans="1:30">
      <c r="A20" s="146"/>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spans="1:30">
      <c r="A21" s="146"/>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spans="1:30">
      <c r="A22" s="146"/>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spans="1:30">
      <c r="A23" s="146"/>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row>
    <row r="24" spans="1:30">
      <c r="A24" s="146"/>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row>
    <row r="25" spans="1:30">
      <c r="A25" s="146" t="s">
        <v>1</v>
      </c>
      <c r="B25" s="23"/>
      <c r="C25" s="193" t="str">
        <f>Ticker&amp;" - Financial Analysis"</f>
        <v>EVR - Financial Analysis</v>
      </c>
      <c r="D25" s="557"/>
      <c r="E25" s="557"/>
      <c r="F25" s="557"/>
      <c r="G25" s="557"/>
      <c r="H25" s="557"/>
      <c r="I25" s="557"/>
      <c r="J25" s="557"/>
      <c r="K25" s="557"/>
      <c r="L25" s="557"/>
      <c r="M25" s="557"/>
      <c r="N25" s="557"/>
      <c r="O25" s="557"/>
      <c r="P25" s="557"/>
      <c r="Q25" s="557"/>
      <c r="R25" s="23"/>
      <c r="S25" s="23"/>
      <c r="T25" s="23"/>
      <c r="U25" s="23"/>
      <c r="V25" s="23"/>
      <c r="W25" s="23"/>
      <c r="X25" s="23"/>
      <c r="Y25" s="23"/>
      <c r="Z25" s="23"/>
      <c r="AA25" s="23"/>
      <c r="AB25" s="23"/>
      <c r="AC25" s="23"/>
      <c r="AD25" s="23"/>
    </row>
    <row r="26" spans="1:30">
      <c r="A26" s="146"/>
      <c r="B26" s="23"/>
      <c r="C26" s="613"/>
      <c r="D26" s="613"/>
      <c r="E26" s="613"/>
      <c r="F26" s="613"/>
      <c r="G26" s="613"/>
      <c r="H26" s="613"/>
      <c r="I26" s="613"/>
      <c r="J26" s="23"/>
      <c r="K26" s="23"/>
      <c r="L26" s="23"/>
      <c r="M26" s="23"/>
      <c r="N26" s="23"/>
      <c r="O26" s="23"/>
      <c r="P26" s="23"/>
      <c r="Q26" s="23"/>
      <c r="R26" s="23"/>
      <c r="S26" s="23"/>
      <c r="T26" s="23"/>
      <c r="U26" s="23"/>
      <c r="V26" s="23"/>
      <c r="W26" s="23"/>
      <c r="X26" s="23"/>
      <c r="Y26" s="23"/>
      <c r="Z26" s="23"/>
      <c r="AA26" s="23"/>
      <c r="AB26" s="23"/>
      <c r="AC26" s="23"/>
      <c r="AD26" s="23"/>
    </row>
    <row r="27" spans="1:30">
      <c r="A27" s="146"/>
      <c r="B27" s="23"/>
      <c r="C27" s="613"/>
      <c r="D27" s="613"/>
      <c r="E27" s="613"/>
      <c r="F27" s="613"/>
      <c r="G27" s="613"/>
      <c r="H27" s="613"/>
      <c r="I27" s="613"/>
      <c r="J27" s="23"/>
      <c r="K27" s="23"/>
      <c r="L27" s="23"/>
      <c r="M27" s="23"/>
      <c r="N27" s="23"/>
      <c r="O27" s="23"/>
      <c r="P27" s="23"/>
      <c r="Q27" s="23"/>
      <c r="R27" s="23"/>
      <c r="S27" s="23"/>
      <c r="T27" s="23"/>
      <c r="U27" s="23"/>
      <c r="V27" s="23"/>
      <c r="W27" s="23"/>
      <c r="X27" s="23"/>
      <c r="Y27" s="23"/>
      <c r="Z27" s="23"/>
      <c r="AA27" s="23"/>
      <c r="AB27" s="23"/>
      <c r="AC27" s="23"/>
      <c r="AD27" s="23"/>
    </row>
    <row r="28" spans="1:30">
      <c r="A28" s="146"/>
      <c r="B28" s="23"/>
      <c r="C28" s="193" t="str">
        <f>'Revenue Build'!$C$32</f>
        <v>Investment Banking &amp; Equities Revenue</v>
      </c>
      <c r="D28" s="193"/>
      <c r="E28" s="193"/>
      <c r="F28" s="193"/>
      <c r="G28" s="193"/>
      <c r="H28" s="193"/>
      <c r="I28" s="193"/>
      <c r="J28" s="23"/>
      <c r="K28" s="193" t="str">
        <f>'Revenue Build'!$C$30</f>
        <v>Total Company Revenue</v>
      </c>
      <c r="L28" s="193"/>
      <c r="M28" s="193"/>
      <c r="N28" s="193"/>
      <c r="O28" s="193"/>
      <c r="P28" s="193"/>
      <c r="Q28" s="193"/>
      <c r="R28" s="23"/>
      <c r="S28" s="23"/>
      <c r="T28" s="23"/>
      <c r="U28" s="23"/>
      <c r="V28" s="23"/>
      <c r="W28" s="23"/>
      <c r="X28" s="23"/>
      <c r="Y28" s="23"/>
      <c r="Z28" s="23"/>
      <c r="AA28" s="23"/>
      <c r="AB28" s="23"/>
      <c r="AC28" s="23"/>
      <c r="AD28" s="23"/>
    </row>
    <row r="29" spans="1:30">
      <c r="A29" s="146"/>
      <c r="B29" s="23"/>
      <c r="C29" s="613"/>
      <c r="D29" s="613"/>
      <c r="E29" s="613"/>
      <c r="F29" s="613"/>
      <c r="G29" s="613"/>
      <c r="H29" s="613"/>
      <c r="I29" s="613"/>
      <c r="J29" s="23"/>
      <c r="K29" s="23"/>
      <c r="L29" s="23"/>
      <c r="M29" s="23"/>
      <c r="N29" s="23"/>
      <c r="O29" s="23"/>
      <c r="P29" s="23"/>
      <c r="Q29" s="23"/>
      <c r="R29" s="23"/>
      <c r="S29" s="23"/>
      <c r="T29" s="23"/>
      <c r="U29" s="23"/>
      <c r="V29" s="23"/>
      <c r="W29" s="23"/>
      <c r="X29" s="23"/>
      <c r="Y29" s="23"/>
      <c r="Z29" s="23"/>
      <c r="AA29" s="23"/>
      <c r="AB29" s="23"/>
      <c r="AC29" s="23"/>
      <c r="AD29" s="23"/>
    </row>
    <row r="30" spans="1:30">
      <c r="A30" s="146"/>
      <c r="B30" s="23"/>
      <c r="C30" s="251"/>
      <c r="D30" s="614">
        <f t="shared" ref="D30:I30" si="0">D6</f>
        <v>2023</v>
      </c>
      <c r="E30" s="614">
        <f t="shared" si="0"/>
        <v>2024</v>
      </c>
      <c r="F30" s="614">
        <f t="shared" si="0"/>
        <v>2025</v>
      </c>
      <c r="G30" s="614" t="str">
        <f t="shared" si="0"/>
        <v>2026e</v>
      </c>
      <c r="H30" s="614" t="str">
        <f t="shared" si="0"/>
        <v>2027e</v>
      </c>
      <c r="I30" s="615" t="str">
        <f t="shared" si="0"/>
        <v>2028e</v>
      </c>
      <c r="J30" s="23"/>
      <c r="K30" s="251"/>
      <c r="L30" s="614">
        <f t="shared" ref="L30:Q30" si="1">D30</f>
        <v>2023</v>
      </c>
      <c r="M30" s="614">
        <f t="shared" si="1"/>
        <v>2024</v>
      </c>
      <c r="N30" s="614">
        <f t="shared" si="1"/>
        <v>2025</v>
      </c>
      <c r="O30" s="614" t="str">
        <f t="shared" si="1"/>
        <v>2026e</v>
      </c>
      <c r="P30" s="614" t="str">
        <f t="shared" si="1"/>
        <v>2027e</v>
      </c>
      <c r="Q30" s="615" t="str">
        <f t="shared" si="1"/>
        <v>2028e</v>
      </c>
      <c r="R30" s="23"/>
      <c r="S30" s="23"/>
      <c r="T30" s="23"/>
      <c r="U30" s="23"/>
      <c r="V30" s="23"/>
      <c r="W30" s="23"/>
      <c r="X30" s="23"/>
      <c r="Y30" s="23"/>
      <c r="Z30" s="23"/>
      <c r="AA30" s="23"/>
      <c r="AB30" s="23"/>
      <c r="AC30" s="23"/>
      <c r="AD30" s="23"/>
    </row>
    <row r="31" spans="1:30">
      <c r="A31" s="146"/>
      <c r="B31" s="23"/>
      <c r="C31" s="618" t="str">
        <f>C28</f>
        <v>Investment Banking &amp; Equities Revenue</v>
      </c>
      <c r="D31" s="446">
        <f>INDEX(Revenue_Data_Summary,MATCH($C31,'Revenue Build'!$C$28:$C$49,0),MATCH(Charts!D$30,'Revenue Build'!$C$28:$AG$28,0))</f>
        <v>2355943</v>
      </c>
      <c r="E31" s="446">
        <f>INDEX(Revenue_Data_Summary,MATCH($C31,'Revenue Build'!$C$28:$C$49,0),MATCH(Charts!E$30,'Revenue Build'!$C$28:$AG$28,0))</f>
        <v>2898489</v>
      </c>
      <c r="F31" s="446">
        <f>INDEX(Revenue_Data_Summary,MATCH($C31,'Revenue Build'!$C$28:$C$49,0),MATCH(Charts!F$30,'Revenue Build'!$C$28:$AG$28,0))</f>
        <v>3689419</v>
      </c>
      <c r="G31" s="446">
        <f>INDEX(Revenue_Data_Summary,MATCH($C31,'Revenue Build'!$C$28:$C$49,0),MATCH(Charts!G$30,'Revenue Build'!$C$28:$AG$28,0))</f>
        <v>6618536.0547519028</v>
      </c>
      <c r="H31" s="446">
        <f>INDEX(Revenue_Data_Summary,MATCH($C31,'Revenue Build'!$C$28:$C$49,0),MATCH(Charts!H$30,'Revenue Build'!$C$28:$AG$28,0))</f>
        <v>7496539.2188444342</v>
      </c>
      <c r="I31" s="446">
        <f>INDEX(Revenue_Data_Summary,MATCH($C31,'Revenue Build'!$C$28:$C$49,0),MATCH(Charts!I$30,'Revenue Build'!$C$28:$AG$28,0))</f>
        <v>7743925.0130663002</v>
      </c>
      <c r="J31" s="23"/>
      <c r="K31" s="618" t="str">
        <f>K28</f>
        <v>Total Company Revenue</v>
      </c>
      <c r="L31" s="446">
        <f>INDEX(Revenue_Data_Summary,MATCH($K31,'Revenue Build'!$C$28:$C$49,0),MATCH(Charts!L$30,'Revenue Build'!$C$28:$AG$28,0))</f>
        <v>2442666</v>
      </c>
      <c r="M31" s="446">
        <f>INDEX(Revenue_Data_Summary,MATCH($K31,'Revenue Build'!$C$28:$C$49,0),MATCH(Charts!M$30,'Revenue Build'!$C$28:$AG$28,0))</f>
        <v>2996361</v>
      </c>
      <c r="N31" s="446">
        <f>INDEX(Revenue_Data_Summary,MATCH($K31,'Revenue Build'!$C$28:$C$49,0),MATCH(Charts!N$30,'Revenue Build'!$C$28:$AG$28,0))</f>
        <v>3880084</v>
      </c>
      <c r="O31" s="446">
        <f>INDEX(Revenue_Data_Summary,MATCH($K31,'Revenue Build'!$C$28:$C$49,0),MATCH(Charts!O$30,'Revenue Build'!$C$28:$AG$28,0))</f>
        <v>6774791.6859819032</v>
      </c>
      <c r="P31" s="446">
        <f>INDEX(Revenue_Data_Summary,MATCH($K31,'Revenue Build'!$C$28:$C$49,0),MATCH(Charts!P$30,'Revenue Build'!$C$28:$AG$28,0))</f>
        <v>7663353.3862973023</v>
      </c>
      <c r="Q31" s="446">
        <f>INDEX(Revenue_Data_Summary,MATCH($K31,'Revenue Build'!$C$28:$C$49,0),MATCH(Charts!Q$30,'Revenue Build'!$C$28:$AG$28,0))</f>
        <v>7894057.7637738818</v>
      </c>
      <c r="R31" s="23"/>
      <c r="S31" s="23"/>
      <c r="T31" s="23"/>
      <c r="U31" s="23"/>
      <c r="V31" s="23"/>
      <c r="W31" s="23"/>
      <c r="X31" s="23"/>
      <c r="Y31" s="23"/>
      <c r="Z31" s="23"/>
      <c r="AA31" s="23"/>
      <c r="AB31" s="23"/>
      <c r="AC31" s="23"/>
      <c r="AD31" s="23"/>
    </row>
    <row r="32" spans="1:30">
      <c r="A32" s="146"/>
      <c r="B32" s="23"/>
      <c r="C32" s="617" t="s">
        <v>606</v>
      </c>
      <c r="D32" s="447">
        <v>0</v>
      </c>
      <c r="E32" s="448">
        <f>E31/D31-1</f>
        <v>0.23028825400274955</v>
      </c>
      <c r="F32" s="448">
        <f>F31/E31-1</f>
        <v>0.27287666090849405</v>
      </c>
      <c r="G32" s="448">
        <f>G31/F31-1</f>
        <v>0.79392366514941859</v>
      </c>
      <c r="H32" s="448">
        <f>H31/G31-1</f>
        <v>0.13265821275720824</v>
      </c>
      <c r="I32" s="448">
        <f>I31/H31-1</f>
        <v>3.2999999999999918E-2</v>
      </c>
      <c r="J32" s="23"/>
      <c r="K32" s="617" t="s">
        <v>606</v>
      </c>
      <c r="L32" s="447">
        <v>0</v>
      </c>
      <c r="M32" s="448">
        <f>M31/L31-1</f>
        <v>0.22667650837240938</v>
      </c>
      <c r="N32" s="448">
        <f>N31/M31-1</f>
        <v>0.2949320859535951</v>
      </c>
      <c r="O32" s="448">
        <f>O31/N31-1</f>
        <v>0.74604253051787106</v>
      </c>
      <c r="P32" s="448">
        <f>P31/O31-1</f>
        <v>0.13115705124247157</v>
      </c>
      <c r="Q32" s="448">
        <f>Q31/P31-1</f>
        <v>3.01048856612951E-2</v>
      </c>
      <c r="R32" s="23"/>
      <c r="S32" s="23"/>
      <c r="T32" s="23"/>
      <c r="U32" s="23"/>
      <c r="V32" s="23"/>
      <c r="W32" s="23"/>
      <c r="X32" s="23"/>
      <c r="Y32" s="23"/>
      <c r="Z32" s="23"/>
      <c r="AA32" s="23"/>
      <c r="AB32" s="23"/>
      <c r="AC32" s="23"/>
      <c r="AD32" s="23"/>
    </row>
    <row r="33" spans="1:30">
      <c r="A33" s="14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spans="1:30">
      <c r="A34" s="146"/>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spans="1:30">
      <c r="A35" s="146"/>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spans="1:30">
      <c r="A36" s="146"/>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spans="1:30">
      <c r="A37" s="146"/>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spans="1:30">
      <c r="A38" s="146"/>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spans="1:30">
      <c r="A39" s="146"/>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spans="1:30">
      <c r="A40" s="146"/>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spans="1:30">
      <c r="A41" s="146"/>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spans="1:30">
      <c r="A42" s="146"/>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spans="1:30">
      <c r="A43" s="146"/>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spans="1:30">
      <c r="A44" s="146"/>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spans="1:30">
      <c r="A45" s="146"/>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spans="1:30">
      <c r="A46" s="146"/>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spans="1:30">
      <c r="A47" s="146"/>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spans="1:30" hidden="1" outlineLevel="1">
      <c r="A48" s="146"/>
      <c r="B48" s="23"/>
      <c r="C48" s="193" t="str">
        <f>'Revenue Build'!$C$35</f>
        <v>Investment Management Revenue</v>
      </c>
      <c r="D48" s="193"/>
      <c r="E48" s="193"/>
      <c r="F48" s="193"/>
      <c r="G48" s="193"/>
      <c r="H48" s="193"/>
      <c r="I48" s="193"/>
      <c r="J48" s="23"/>
      <c r="K48" s="193" t="str">
        <f>'Revenue Build'!$C$44</f>
        <v>Segment 5 Revenue</v>
      </c>
      <c r="L48" s="193"/>
      <c r="M48" s="193"/>
      <c r="N48" s="193"/>
      <c r="O48" s="193"/>
      <c r="P48" s="193"/>
      <c r="Q48" s="193"/>
      <c r="R48" s="23"/>
      <c r="S48" s="23"/>
      <c r="T48" s="23"/>
      <c r="U48" s="23"/>
      <c r="V48" s="23"/>
      <c r="W48" s="23"/>
      <c r="X48" s="23"/>
      <c r="Y48" s="23"/>
      <c r="Z48" s="23"/>
      <c r="AA48" s="23"/>
      <c r="AB48" s="23"/>
      <c r="AC48" s="23"/>
      <c r="AD48" s="23"/>
    </row>
    <row r="49" spans="1:30" hidden="1" outlineLevel="1">
      <c r="A49" s="146"/>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spans="1:30" hidden="1" outlineLevel="1">
      <c r="A50" s="146"/>
      <c r="B50" s="23"/>
      <c r="C50" s="251"/>
      <c r="D50" s="614">
        <f t="shared" ref="D50:I50" si="2">D30</f>
        <v>2023</v>
      </c>
      <c r="E50" s="614">
        <f t="shared" si="2"/>
        <v>2024</v>
      </c>
      <c r="F50" s="614">
        <f t="shared" si="2"/>
        <v>2025</v>
      </c>
      <c r="G50" s="614" t="str">
        <f t="shared" si="2"/>
        <v>2026e</v>
      </c>
      <c r="H50" s="614" t="str">
        <f t="shared" si="2"/>
        <v>2027e</v>
      </c>
      <c r="I50" s="615" t="str">
        <f t="shared" si="2"/>
        <v>2028e</v>
      </c>
      <c r="J50" s="23"/>
      <c r="K50" s="251"/>
      <c r="L50" s="614">
        <f t="shared" ref="L50:Q50" si="3">L30</f>
        <v>2023</v>
      </c>
      <c r="M50" s="614">
        <f t="shared" si="3"/>
        <v>2024</v>
      </c>
      <c r="N50" s="614">
        <f t="shared" si="3"/>
        <v>2025</v>
      </c>
      <c r="O50" s="614" t="str">
        <f t="shared" si="3"/>
        <v>2026e</v>
      </c>
      <c r="P50" s="614" t="str">
        <f t="shared" si="3"/>
        <v>2027e</v>
      </c>
      <c r="Q50" s="615" t="str">
        <f t="shared" si="3"/>
        <v>2028e</v>
      </c>
      <c r="R50" s="23"/>
      <c r="S50" s="23"/>
      <c r="T50" s="23"/>
      <c r="U50" s="23"/>
      <c r="V50" s="23"/>
      <c r="W50" s="23"/>
      <c r="X50" s="23"/>
      <c r="Y50" s="23"/>
      <c r="Z50" s="23"/>
      <c r="AA50" s="23"/>
      <c r="AB50" s="23"/>
      <c r="AC50" s="23"/>
      <c r="AD50" s="23"/>
    </row>
    <row r="51" spans="1:30" hidden="1" outlineLevel="1">
      <c r="A51" s="146"/>
      <c r="B51" s="23"/>
      <c r="C51" s="618" t="str">
        <f>C48</f>
        <v>Investment Management Revenue</v>
      </c>
      <c r="D51" s="446">
        <f>INDEX(Revenue_Data_Summary,MATCH($C51,'Revenue Build'!$C$28:$C$49,0),MATCH(Charts!D$50,'Revenue Build'!$C$28:$AG$28,0))</f>
        <v>70006</v>
      </c>
      <c r="E51" s="446">
        <f>INDEX(Revenue_Data_Summary,MATCH($C51,'Revenue Build'!$C$28:$C$49,0),MATCH(Charts!E$50,'Revenue Build'!$C$28:$AG$28,0))</f>
        <v>81104</v>
      </c>
      <c r="F51" s="446">
        <f>INDEX(Revenue_Data_Summary,MATCH($C51,'Revenue Build'!$C$28:$C$49,0),MATCH(Charts!F$50,'Revenue Build'!$C$28:$AG$28,0))</f>
        <v>190665</v>
      </c>
      <c r="G51" s="446">
        <f>INDEX(Revenue_Data_Summary,MATCH($C51,'Revenue Build'!$C$28:$C$49,0),MATCH(Charts!G$50,'Revenue Build'!$C$28:$AG$28,0))</f>
        <v>156255.63123</v>
      </c>
      <c r="H51" s="446">
        <f>INDEX(Revenue_Data_Summary,MATCH($C51,'Revenue Build'!$C$28:$C$49,0),MATCH(Charts!H$50,'Revenue Build'!$C$28:$AG$28,0))</f>
        <v>166814.16745286866</v>
      </c>
      <c r="I51" s="446">
        <f>INDEX(Revenue_Data_Summary,MATCH($C51,'Revenue Build'!$C$28:$C$49,0),MATCH(Charts!I$50,'Revenue Build'!$C$28:$AG$28,0))</f>
        <v>150132.75070758178</v>
      </c>
      <c r="J51" s="23"/>
      <c r="K51" s="618" t="str">
        <f>K48</f>
        <v>Segment 5 Revenue</v>
      </c>
      <c r="L51" s="446">
        <f>INDEX(Revenue_Data_Summary,MATCH($K51,'Revenue Build'!$C$28:$C$49,0),MATCH(Charts!L$50,'Revenue Build'!$C$28:$AG$28,0))</f>
        <v>0</v>
      </c>
      <c r="M51" s="446">
        <f>INDEX(Revenue_Data_Summary,MATCH($K51,'Revenue Build'!$C$28:$C$49,0),MATCH(Charts!M$50,'Revenue Build'!$C$28:$AG$28,0))</f>
        <v>0</v>
      </c>
      <c r="N51" s="446">
        <f>INDEX(Revenue_Data_Summary,MATCH($K51,'Revenue Build'!$C$28:$C$49,0),MATCH(Charts!N$50,'Revenue Build'!$C$28:$AG$28,0))</f>
        <v>0</v>
      </c>
      <c r="O51" s="446">
        <f>INDEX(Revenue_Data_Summary,MATCH($K51,'Revenue Build'!$C$28:$C$49,0),MATCH(Charts!O$50,'Revenue Build'!$C$28:$AG$28,0))</f>
        <v>0</v>
      </c>
      <c r="P51" s="446">
        <f>INDEX(Revenue_Data_Summary,MATCH($K51,'Revenue Build'!$C$28:$C$49,0),MATCH(Charts!P$50,'Revenue Build'!$C$28:$AG$28,0))</f>
        <v>0</v>
      </c>
      <c r="Q51" s="446">
        <f>INDEX(Revenue_Data_Summary,MATCH($K51,'Revenue Build'!$C$28:$C$49,0),MATCH(Charts!Q$50,'Revenue Build'!$C$28:$AG$28,0))</f>
        <v>0</v>
      </c>
      <c r="R51" s="23"/>
      <c r="S51" s="23"/>
      <c r="T51" s="23"/>
      <c r="U51" s="23"/>
      <c r="V51" s="23"/>
      <c r="W51" s="23"/>
      <c r="X51" s="23"/>
      <c r="Y51" s="23"/>
      <c r="Z51" s="23"/>
      <c r="AA51" s="23"/>
      <c r="AB51" s="23"/>
      <c r="AC51" s="23"/>
      <c r="AD51" s="23"/>
    </row>
    <row r="52" spans="1:30" hidden="1" outlineLevel="1">
      <c r="A52" s="146"/>
      <c r="B52" s="23"/>
      <c r="C52" s="617" t="s">
        <v>606</v>
      </c>
      <c r="D52" s="447">
        <v>0</v>
      </c>
      <c r="E52" s="448">
        <f>E51/D51-1</f>
        <v>0.15852926891980679</v>
      </c>
      <c r="F52" s="448">
        <f>F51/E51-1</f>
        <v>1.3508704872755968</v>
      </c>
      <c r="G52" s="448">
        <f>G51/F51-1</f>
        <v>-0.18047029486271737</v>
      </c>
      <c r="H52" s="448">
        <f>H51/G51-1</f>
        <v>6.7572196533045581E-2</v>
      </c>
      <c r="I52" s="448">
        <f>I51/H51-1</f>
        <v>-0.10000000000000009</v>
      </c>
      <c r="J52" s="23"/>
      <c r="K52" s="617" t="s">
        <v>606</v>
      </c>
      <c r="L52" s="447">
        <v>0</v>
      </c>
      <c r="M52" s="448">
        <v>0</v>
      </c>
      <c r="N52" s="448" t="e">
        <f>N51/M51-1</f>
        <v>#DIV/0!</v>
      </c>
      <c r="O52" s="448" t="e">
        <f>O51/N51-1</f>
        <v>#DIV/0!</v>
      </c>
      <c r="P52" s="448" t="e">
        <f>P51/O51-1</f>
        <v>#DIV/0!</v>
      </c>
      <c r="Q52" s="448" t="e">
        <f>Q51/P51-1</f>
        <v>#DIV/0!</v>
      </c>
      <c r="R52" s="23"/>
      <c r="S52" s="23"/>
      <c r="T52" s="23"/>
      <c r="U52" s="23"/>
      <c r="V52" s="23"/>
      <c r="W52" s="23"/>
      <c r="X52" s="23"/>
      <c r="Y52" s="23"/>
      <c r="Z52" s="23"/>
      <c r="AA52" s="23"/>
      <c r="AB52" s="23"/>
      <c r="AC52" s="23"/>
      <c r="AD52" s="23"/>
    </row>
    <row r="53" spans="1:30" hidden="1" outlineLevel="1">
      <c r="A53" s="146"/>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spans="1:30" hidden="1" outlineLevel="1">
      <c r="A54" s="146"/>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spans="1:30" hidden="1" outlineLevel="1">
      <c r="A55" s="146"/>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spans="1:30" hidden="1" outlineLevel="1">
      <c r="A56" s="146"/>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spans="1:30" hidden="1" outlineLevel="1">
      <c r="A57" s="146"/>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spans="1:30" hidden="1" outlineLevel="1">
      <c r="A58" s="146"/>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spans="1:30" hidden="1" outlineLevel="1">
      <c r="A59" s="146"/>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spans="1:30" hidden="1" outlineLevel="1">
      <c r="A60" s="146"/>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idden="1" outlineLevel="1">
      <c r="A61" s="146"/>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spans="1:30" hidden="1" outlineLevel="1">
      <c r="A62" s="146"/>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spans="1:30" hidden="1" outlineLevel="1">
      <c r="A63" s="146"/>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spans="1:30" hidden="1" outlineLevel="1">
      <c r="A64" s="146"/>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spans="1:30" hidden="1" outlineLevel="1">
      <c r="A65" s="146"/>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spans="1:30" collapsed="1">
      <c r="A66" s="146"/>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spans="1:30">
      <c r="A67" s="146"/>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spans="1:30">
      <c r="A68" s="146" t="s">
        <v>1</v>
      </c>
      <c r="B68" s="23"/>
      <c r="C68" s="193" t="str">
        <f>Ticker&amp;" - Free Cash Flow"</f>
        <v>EVR - Free Cash Flow</v>
      </c>
      <c r="D68" s="193"/>
      <c r="E68" s="193"/>
      <c r="F68" s="193"/>
      <c r="G68" s="193"/>
      <c r="H68" s="193"/>
      <c r="I68" s="193"/>
      <c r="J68" s="613"/>
      <c r="K68" s="193" t="str">
        <f>Ticker&amp;" - Adj. EPS"</f>
        <v>EVR - Adj. EPS</v>
      </c>
      <c r="L68" s="193"/>
      <c r="M68" s="193"/>
      <c r="N68" s="193"/>
      <c r="O68" s="193"/>
      <c r="P68" s="193"/>
      <c r="Q68" s="193"/>
      <c r="R68" s="23"/>
      <c r="S68" s="23"/>
      <c r="T68" s="23"/>
      <c r="U68" s="23"/>
      <c r="V68" s="23"/>
      <c r="W68" s="23"/>
      <c r="X68" s="23"/>
      <c r="Y68" s="23"/>
      <c r="Z68" s="23"/>
      <c r="AA68" s="23"/>
      <c r="AB68" s="23"/>
      <c r="AC68" s="23"/>
      <c r="AD68" s="23"/>
    </row>
    <row r="69" spans="1:30">
      <c r="A69" s="146"/>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spans="1:30">
      <c r="A70" s="146"/>
      <c r="B70" s="23"/>
      <c r="C70" s="251"/>
      <c r="D70" s="614">
        <f t="shared" ref="D70:I70" si="4">D50</f>
        <v>2023</v>
      </c>
      <c r="E70" s="614">
        <f t="shared" si="4"/>
        <v>2024</v>
      </c>
      <c r="F70" s="614">
        <f t="shared" si="4"/>
        <v>2025</v>
      </c>
      <c r="G70" s="614" t="str">
        <f t="shared" si="4"/>
        <v>2026e</v>
      </c>
      <c r="H70" s="614" t="str">
        <f t="shared" si="4"/>
        <v>2027e</v>
      </c>
      <c r="I70" s="615" t="str">
        <f t="shared" si="4"/>
        <v>2028e</v>
      </c>
      <c r="J70" s="23"/>
      <c r="K70" s="251"/>
      <c r="L70" s="614">
        <f t="shared" ref="L70:Q70" si="5">L50</f>
        <v>2023</v>
      </c>
      <c r="M70" s="614">
        <f t="shared" si="5"/>
        <v>2024</v>
      </c>
      <c r="N70" s="614">
        <f t="shared" si="5"/>
        <v>2025</v>
      </c>
      <c r="O70" s="614" t="str">
        <f t="shared" si="5"/>
        <v>2026e</v>
      </c>
      <c r="P70" s="614" t="str">
        <f t="shared" si="5"/>
        <v>2027e</v>
      </c>
      <c r="Q70" s="615" t="str">
        <f t="shared" si="5"/>
        <v>2028e</v>
      </c>
      <c r="R70" s="23"/>
      <c r="S70" s="23"/>
      <c r="T70" s="23"/>
      <c r="U70" s="23"/>
      <c r="V70" s="23"/>
      <c r="W70" s="23"/>
      <c r="X70" s="23"/>
      <c r="Y70" s="23"/>
      <c r="Z70" s="23"/>
      <c r="AA70" s="23"/>
      <c r="AB70" s="23"/>
      <c r="AC70" s="23"/>
      <c r="AD70" s="23"/>
    </row>
    <row r="71" spans="1:30">
      <c r="A71" s="146"/>
      <c r="B71" s="23"/>
      <c r="C71" s="616" t="str">
        <f>Model!C114</f>
        <v>Free Cash Flow (FCF)</v>
      </c>
      <c r="D71" s="446">
        <f>INDEX(Data,MATCH($C71,Line_Items,0),MATCH(Charts!D$70,Fiscal_Periods,0))</f>
        <v>-71792</v>
      </c>
      <c r="E71" s="446">
        <f ca="1">INDEX(Data,MATCH($C71,Line_Items,0),MATCH(Charts!E$70,Fiscal_Periods,0))</f>
        <v>351405</v>
      </c>
      <c r="F71" s="446">
        <f>INDEX(Data,MATCH($C71,Line_Items,0),MATCH(Charts!F$70,Fiscal_Periods,0))</f>
        <v>466034</v>
      </c>
      <c r="G71" s="446">
        <f ca="1">INDEX(Data,MATCH($C71,Line_Items,0),MATCH(Charts!G$70,Fiscal_Periods,0))</f>
        <v>824785.43739537057</v>
      </c>
      <c r="H71" s="446">
        <f ca="1">INDEX(Data,MATCH($C71,Line_Items,0),MATCH(Charts!H$70,Fiscal_Periods,0))</f>
        <v>1135711.0254087858</v>
      </c>
      <c r="I71" s="446">
        <f ca="1">INDEX(Data,MATCH($C71,Line_Items,0),MATCH(Charts!I$70,Fiscal_Periods,0))</f>
        <v>1308047.5751349512</v>
      </c>
      <c r="J71" s="23"/>
      <c r="K71" s="616" t="str">
        <f>Model!C58</f>
        <v>Adj. EPS (Diluted)</v>
      </c>
      <c r="L71" s="449">
        <f>INDEX(Data,MATCH($K71,Line_Items,0),MATCH(Charts!L$70,Fiscal_Periods,0))</f>
        <v>6.371206264495374</v>
      </c>
      <c r="M71" s="449">
        <f ca="1">INDEX(Data,MATCH($K71,Line_Items,0),MATCH(Charts!M$70,Fiscal_Periods,0))</f>
        <v>9.0832012678288425</v>
      </c>
      <c r="N71" s="449">
        <f>INDEX(Data,MATCH($K71,Line_Items,0),MATCH(Charts!N$70,Fiscal_Periods,0))</f>
        <v>14.049559706629323</v>
      </c>
      <c r="O71" s="449">
        <f ca="1">INDEX(Data,MATCH($K71,Line_Items,0),MATCH(Charts!O$70,Fiscal_Periods,0))</f>
        <v>25.791306843326122</v>
      </c>
      <c r="P71" s="449">
        <f ca="1">INDEX(Data,MATCH($K71,Line_Items,0),MATCH(Charts!P$70,Fiscal_Periods,0))</f>
        <v>27.030169440180391</v>
      </c>
      <c r="Q71" s="449">
        <f ca="1">INDEX(Data,MATCH($K71,Line_Items,0),MATCH(Charts!Q$70,Fiscal_Periods,0))</f>
        <v>27.912089942800439</v>
      </c>
      <c r="R71" s="23"/>
      <c r="S71" s="23"/>
      <c r="T71" s="23"/>
      <c r="U71" s="23"/>
      <c r="V71" s="23"/>
      <c r="W71" s="23"/>
      <c r="X71" s="23"/>
      <c r="Y71" s="23"/>
      <c r="Z71" s="23"/>
      <c r="AA71" s="23"/>
      <c r="AB71" s="23"/>
      <c r="AC71" s="23"/>
      <c r="AD71" s="23"/>
    </row>
    <row r="72" spans="1:30">
      <c r="A72" s="146"/>
      <c r="B72" s="23"/>
      <c r="C72" s="617" t="s">
        <v>606</v>
      </c>
      <c r="D72" s="447">
        <v>0</v>
      </c>
      <c r="E72" s="448">
        <f ca="1">E71/D71-1</f>
        <v>-5.8947654334744817</v>
      </c>
      <c r="F72" s="448">
        <f ca="1">F71/E71-1</f>
        <v>0.32620196070061613</v>
      </c>
      <c r="G72" s="448">
        <f ca="1">G71/F71-1</f>
        <v>0.76979670452235371</v>
      </c>
      <c r="H72" s="448">
        <f ca="1">H71/G71-1</f>
        <v>0.3769775433903173</v>
      </c>
      <c r="I72" s="448">
        <f ca="1">I71/H71-1</f>
        <v>0.15174330958364601</v>
      </c>
      <c r="J72" s="23"/>
      <c r="K72" s="617" t="s">
        <v>606</v>
      </c>
      <c r="L72" s="447">
        <v>0</v>
      </c>
      <c r="M72" s="448">
        <f ca="1">M71/L71-1</f>
        <v>0.42566429193267852</v>
      </c>
      <c r="N72" s="448">
        <f ca="1">N71/M71-1</f>
        <v>0.5467630070458176</v>
      </c>
      <c r="O72" s="448">
        <f ca="1">O71/N71-1</f>
        <v>0.83573772999850138</v>
      </c>
      <c r="P72" s="448">
        <f ca="1">P71/O71-1</f>
        <v>4.8034114920192383E-2</v>
      </c>
      <c r="Q72" s="448">
        <f ca="1">Q71/P71-1</f>
        <v>3.2627265048108534E-2</v>
      </c>
      <c r="R72" s="23"/>
      <c r="S72" s="23"/>
      <c r="T72" s="23"/>
      <c r="U72" s="23"/>
      <c r="V72" s="23"/>
      <c r="W72" s="23"/>
      <c r="X72" s="23"/>
      <c r="Y72" s="23"/>
      <c r="Z72" s="23"/>
      <c r="AA72" s="23"/>
      <c r="AB72" s="23"/>
      <c r="AC72" s="23"/>
      <c r="AD72" s="23"/>
    </row>
    <row r="73" spans="1:30">
      <c r="A73" s="146"/>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spans="1:30">
      <c r="A74" s="146"/>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spans="1:30">
      <c r="A75" s="146"/>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spans="1:30">
      <c r="A76" s="146"/>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spans="1:30">
      <c r="A77" s="146"/>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spans="1:30">
      <c r="A78" s="146"/>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spans="1:30">
      <c r="A79" s="146"/>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spans="1:30">
      <c r="A80" s="146"/>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spans="1:30">
      <c r="A81" s="146"/>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spans="1:30">
      <c r="A82" s="146"/>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spans="1:30">
      <c r="A83" s="146"/>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spans="1:30">
      <c r="A84" s="146"/>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spans="1:30">
      <c r="A85" s="146"/>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spans="1:30">
      <c r="A86" s="146"/>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spans="1:30">
      <c r="A87" s="146"/>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spans="1:30">
      <c r="A88" s="146"/>
      <c r="B88" s="23"/>
      <c r="C88" s="193" t="str">
        <f>'Revenue Build'!$C$30</f>
        <v>Total Company Revenue</v>
      </c>
      <c r="D88" s="193"/>
      <c r="E88" s="193"/>
      <c r="F88" s="193"/>
      <c r="G88" s="193"/>
      <c r="H88" s="193"/>
      <c r="I88" s="193"/>
      <c r="J88" s="193"/>
      <c r="K88" s="193"/>
      <c r="L88" s="193"/>
      <c r="M88" s="193"/>
      <c r="N88" s="193"/>
      <c r="O88" s="193"/>
      <c r="P88" s="193"/>
      <c r="Q88" s="193"/>
      <c r="R88" s="450" t="str">
        <f>Last_FQR</f>
        <v>4Q</v>
      </c>
      <c r="S88" s="23"/>
      <c r="T88" s="23"/>
      <c r="U88" s="23"/>
      <c r="V88" s="23"/>
      <c r="W88" s="23"/>
      <c r="X88" s="23"/>
      <c r="Y88" s="23"/>
      <c r="Z88" s="23"/>
      <c r="AA88" s="23"/>
      <c r="AB88" s="23"/>
      <c r="AC88" s="23"/>
      <c r="AD88" s="23"/>
    </row>
    <row r="89" spans="1:30">
      <c r="A89" s="146"/>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spans="1:30">
      <c r="A90" s="146"/>
      <c r="B90" s="23"/>
      <c r="C90" s="251"/>
      <c r="D90" s="614">
        <f>E90-1</f>
        <v>2019</v>
      </c>
      <c r="E90" s="614">
        <f>F90-1</f>
        <v>2020</v>
      </c>
      <c r="F90" s="614">
        <f>G90-1</f>
        <v>2021</v>
      </c>
      <c r="G90" s="614">
        <f>H90-1</f>
        <v>2022</v>
      </c>
      <c r="H90" s="614">
        <f t="shared" ref="H90:M90" si="6">D70</f>
        <v>2023</v>
      </c>
      <c r="I90" s="614">
        <f t="shared" si="6"/>
        <v>2024</v>
      </c>
      <c r="J90" s="614">
        <f t="shared" si="6"/>
        <v>2025</v>
      </c>
      <c r="K90" s="614" t="str">
        <f t="shared" si="6"/>
        <v>2026e</v>
      </c>
      <c r="L90" s="614" t="str">
        <f t="shared" si="6"/>
        <v>2027e</v>
      </c>
      <c r="M90" s="614" t="str">
        <f t="shared" si="6"/>
        <v>2028e</v>
      </c>
      <c r="N90" s="614" t="str">
        <f>H90&amp;" YTD"</f>
        <v>2023 YTD</v>
      </c>
      <c r="O90" s="614" t="str">
        <f>J90&amp;" YTD"</f>
        <v>2025 YTD</v>
      </c>
      <c r="P90" s="614" t="str">
        <f>LEFT(G70,4)&amp;" YTD"</f>
        <v>2026 YTD</v>
      </c>
      <c r="Q90" s="615" t="str">
        <f>LEFT(H70,4)&amp;" YTD"</f>
        <v>2027 YTD</v>
      </c>
      <c r="R90" s="23"/>
      <c r="S90" s="23"/>
      <c r="T90" s="23"/>
      <c r="U90" s="23"/>
      <c r="V90" s="23"/>
      <c r="W90" s="23"/>
      <c r="X90" s="23"/>
      <c r="Y90" s="23"/>
      <c r="Z90" s="23"/>
      <c r="AA90" s="23"/>
      <c r="AB90" s="23"/>
      <c r="AC90" s="23"/>
      <c r="AD90" s="23"/>
    </row>
    <row r="91" spans="1:30">
      <c r="A91" s="146"/>
      <c r="B91" s="23"/>
      <c r="C91" s="618" t="str">
        <f>C88</f>
        <v>Total Company Revenue</v>
      </c>
      <c r="D91" s="451">
        <v>56223</v>
      </c>
      <c r="E91" s="451">
        <v>59074</v>
      </c>
      <c r="F91" s="451">
        <v>65017</v>
      </c>
      <c r="G91" s="451">
        <v>68619</v>
      </c>
      <c r="H91" s="446">
        <f>INDEX(Revenue_Data_Summary,MATCH($C91,'Revenue Build'!$C$28:$C$49,0),MATCH(Charts!H$90,'Revenue Build'!$C$28:$AG$28,0))</f>
        <v>2442666</v>
      </c>
      <c r="I91" s="446">
        <f>INDEX(Revenue_Data_Summary,MATCH($C91,'Revenue Build'!$C$28:$C$49,0),MATCH(Charts!I$90,'Revenue Build'!$C$28:$AG$28,0))</f>
        <v>2996361</v>
      </c>
      <c r="J91" s="446">
        <f>INDEX(Revenue_Data_Summary,MATCH($C91,'Revenue Build'!$C$28:$C$49,0),MATCH(Charts!J$90,'Revenue Build'!$C$28:$AG$28,0))</f>
        <v>3880084</v>
      </c>
      <c r="K91" s="446">
        <f>INDEX(Revenue_Data_Summary,MATCH($C91,'Revenue Build'!$C$28:$C$49,0),MATCH(Charts!K$90,'Revenue Build'!$C$28:$AG$28,0))</f>
        <v>6774791.6859819032</v>
      </c>
      <c r="L91" s="446">
        <f>INDEX(Revenue_Data_Summary,MATCH($C91,'Revenue Build'!$C$28:$C$49,0),MATCH(Charts!L$90,'Revenue Build'!$C$28:$AG$28,0))</f>
        <v>7663353.3862973023</v>
      </c>
      <c r="M91" s="446">
        <f>INDEX(Revenue_Data_Summary,MATCH($C91,'Revenue Build'!$C$28:$C$49,0),MATCH(Charts!M$90,'Revenue Build'!$C$28:$AG$28,0))</f>
        <v>7894057.7637738818</v>
      </c>
      <c r="N91" s="446">
        <f>IF(Charts!$R$88="1Q",SUM('Revenue Build'!K30:K30),IF(Charts!$R$88="2Q",SUM('Revenue Build'!K30:L30),IF(Charts!$R$88="3Q",SUM('Revenue Build'!K30:M30),IF(Charts!$R$88="4Q",SUM('Revenue Build'!K30:N30),"N/A"))))</f>
        <v>2996361</v>
      </c>
      <c r="O91" s="446">
        <f>IF(Charts!$R$88="1Q",SUM('Revenue Build'!P30:P30),IF(Charts!$R$88="2Q",SUM('Revenue Build'!P30:Q30),IF(Charts!$R$88="3Q",SUM('Revenue Build'!P30:R30),IF(Charts!$R$88="4Q",SUM('Revenue Build'!P30:S30),"N/A"))))</f>
        <v>3880084</v>
      </c>
      <c r="P91" s="446">
        <f>IF(Charts!$R$88="1Q",SUM('Revenue Build'!U30:U30),IF(Charts!$R$88="2Q",SUM('Revenue Build'!U30:V30),IF(Charts!$R$88="3Q",SUM('Revenue Build'!U30:W30),IF(Charts!$R$88="4Q",SUM('Revenue Build'!U30:X30),"N/A"))))</f>
        <v>6774791.6859819032</v>
      </c>
      <c r="Q91" s="446">
        <f>IF(Charts!$R$88="1Q",SUM('Revenue Build'!V30:V30),IF(Charts!$R$88="2Q",SUM('Revenue Build'!V30:W30),IF(Charts!$R$88="3Q",SUM('Revenue Build'!V30:X30),IF(Charts!$R$88="4Q",SUM('Revenue Build'!V30:Y30),"N/A"))))</f>
        <v>12149114.371963806</v>
      </c>
      <c r="R91" s="446"/>
      <c r="S91" s="23"/>
      <c r="T91" s="446"/>
      <c r="U91" s="23"/>
      <c r="V91" s="23"/>
      <c r="W91" s="446"/>
      <c r="X91" s="446"/>
      <c r="Y91" s="23"/>
      <c r="Z91" s="23"/>
      <c r="AA91" s="23"/>
      <c r="AB91" s="23"/>
      <c r="AC91" s="23"/>
      <c r="AD91" s="446"/>
    </row>
    <row r="92" spans="1:30">
      <c r="A92" s="146"/>
      <c r="B92" s="23"/>
      <c r="C92" s="617" t="s">
        <v>606</v>
      </c>
      <c r="D92" s="447">
        <v>5.2999999999999999E-2</v>
      </c>
      <c r="E92" s="448">
        <f t="shared" ref="E92:M92" si="7">E91/D91-1</f>
        <v>5.0708784661081863E-2</v>
      </c>
      <c r="F92" s="448">
        <f t="shared" si="7"/>
        <v>0.10060263398449409</v>
      </c>
      <c r="G92" s="448">
        <f t="shared" si="7"/>
        <v>5.5400895150499174E-2</v>
      </c>
      <c r="H92" s="448">
        <f t="shared" si="7"/>
        <v>34.597516722773577</v>
      </c>
      <c r="I92" s="448">
        <f t="shared" si="7"/>
        <v>0.22667650837240938</v>
      </c>
      <c r="J92" s="448">
        <f t="shared" si="7"/>
        <v>0.2949320859535951</v>
      </c>
      <c r="K92" s="448">
        <f t="shared" si="7"/>
        <v>0.74604253051787106</v>
      </c>
      <c r="L92" s="448">
        <f t="shared" si="7"/>
        <v>0.13115705124247157</v>
      </c>
      <c r="M92" s="448">
        <f t="shared" si="7"/>
        <v>3.01048856612951E-2</v>
      </c>
      <c r="N92" s="448">
        <v>0.17499999999999999</v>
      </c>
      <c r="O92" s="448">
        <f>O91/N91-1</f>
        <v>0.2949320859535951</v>
      </c>
      <c r="P92" s="448">
        <f>P91/O91-1</f>
        <v>0.74604253051787106</v>
      </c>
      <c r="Q92" s="448">
        <f>Q91/P91-1</f>
        <v>0.79328235244519951</v>
      </c>
      <c r="R92" s="23"/>
      <c r="S92" s="23"/>
      <c r="T92" s="23"/>
      <c r="U92" s="23"/>
      <c r="V92" s="23"/>
      <c r="W92" s="23"/>
      <c r="X92" s="23"/>
      <c r="Y92" s="23"/>
      <c r="Z92" s="23"/>
      <c r="AA92" s="23"/>
      <c r="AB92" s="23"/>
      <c r="AC92" s="23"/>
      <c r="AD92" s="23"/>
    </row>
    <row r="93" spans="1:30">
      <c r="A93" s="146"/>
      <c r="B93" s="23"/>
      <c r="C93" s="23"/>
      <c r="D93" s="447"/>
      <c r="E93" s="448"/>
      <c r="F93" s="448"/>
      <c r="G93" s="448"/>
      <c r="H93" s="448"/>
      <c r="I93" s="448"/>
      <c r="J93" s="448"/>
      <c r="K93" s="448"/>
      <c r="L93" s="448"/>
      <c r="M93" s="447"/>
      <c r="N93" s="448"/>
      <c r="O93" s="448"/>
      <c r="P93" s="448"/>
      <c r="Q93" s="23"/>
      <c r="R93" s="23"/>
      <c r="S93" s="23"/>
      <c r="T93" s="23"/>
      <c r="U93" s="23"/>
      <c r="V93" s="23"/>
      <c r="W93" s="23"/>
      <c r="X93" s="23"/>
      <c r="Y93" s="23"/>
      <c r="Z93" s="23"/>
      <c r="AA93" s="23"/>
      <c r="AB93" s="23"/>
      <c r="AC93" s="23"/>
      <c r="AD93" s="23"/>
    </row>
    <row r="94" spans="1:30">
      <c r="A94" s="146"/>
      <c r="B94" s="23"/>
      <c r="C94" s="23"/>
      <c r="D94" s="447"/>
      <c r="E94" s="448"/>
      <c r="F94" s="448"/>
      <c r="G94" s="448"/>
      <c r="H94" s="448"/>
      <c r="I94" s="448"/>
      <c r="J94" s="448"/>
      <c r="K94" s="448"/>
      <c r="L94" s="448"/>
      <c r="M94" s="447"/>
      <c r="N94" s="448"/>
      <c r="O94" s="448"/>
      <c r="P94" s="448"/>
      <c r="Q94" s="23"/>
      <c r="R94" s="23"/>
      <c r="S94" s="23"/>
      <c r="T94" s="23"/>
      <c r="U94" s="23"/>
      <c r="V94" s="23"/>
      <c r="W94" s="23"/>
      <c r="X94" s="23"/>
      <c r="Y94" s="23"/>
      <c r="Z94" s="23"/>
      <c r="AA94" s="23"/>
      <c r="AB94" s="23"/>
      <c r="AC94" s="23"/>
      <c r="AD94" s="23"/>
    </row>
    <row r="95" spans="1:30">
      <c r="A95" s="146"/>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spans="1:30">
      <c r="A96" s="146"/>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spans="1:30">
      <c r="A97" s="146"/>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spans="1:30">
      <c r="A98" s="146"/>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spans="1:30">
      <c r="A99" s="146"/>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spans="1:30">
      <c r="A100" s="146"/>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spans="1:30">
      <c r="A101" s="146"/>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spans="1:30">
      <c r="A102" s="146"/>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spans="1:30">
      <c r="A103" s="146"/>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spans="1:30">
      <c r="A104" s="146"/>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spans="1:30">
      <c r="A105" s="146"/>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spans="1:30">
      <c r="A106" s="146"/>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spans="1:30">
      <c r="A107" s="146"/>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spans="1:30">
      <c r="A108" s="146"/>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spans="1:30">
      <c r="A109" s="146"/>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spans="1:30">
      <c r="A110" s="146"/>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spans="1:30">
      <c r="A111" s="146"/>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spans="1:30">
      <c r="A112" s="146"/>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spans="1:30">
      <c r="A113" s="146"/>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spans="1:30">
      <c r="A114" s="146" t="s">
        <v>1</v>
      </c>
      <c r="B114" s="23"/>
      <c r="C114" s="193" t="s">
        <v>52</v>
      </c>
      <c r="D114" s="557"/>
      <c r="E114" s="557"/>
      <c r="F114" s="557"/>
      <c r="G114" s="557"/>
      <c r="H114" s="557"/>
      <c r="I114" s="557"/>
      <c r="J114" s="557"/>
      <c r="K114" s="557"/>
      <c r="L114" s="557"/>
      <c r="M114" s="557"/>
      <c r="N114" s="557"/>
      <c r="O114" s="557"/>
      <c r="P114" s="557"/>
      <c r="Q114" s="557"/>
      <c r="R114" s="23"/>
      <c r="S114" s="23"/>
      <c r="T114" s="23"/>
      <c r="U114" s="23"/>
      <c r="V114" s="23"/>
      <c r="W114" s="23"/>
      <c r="X114" s="23"/>
      <c r="Y114" s="23"/>
      <c r="Z114" s="23"/>
      <c r="AA114" s="23"/>
      <c r="AB114" s="23"/>
      <c r="AC114" s="23"/>
      <c r="AD114" s="23"/>
    </row>
    <row r="115" spans="1:30">
      <c r="A115" s="146"/>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spans="1:30">
      <c r="A116" s="146"/>
      <c r="B116" s="23"/>
      <c r="C116" s="251"/>
      <c r="D116" s="619" t="str">
        <f>'Segment Analysis'!$C$16</f>
        <v>Investment Banking &amp; Equities</v>
      </c>
      <c r="E116" s="619" t="str">
        <f>'Segment Analysis'!$C$17</f>
        <v>Investment Management</v>
      </c>
      <c r="F116" s="619" t="str">
        <f>'Segment Analysis'!$C$20</f>
        <v>Segment 5</v>
      </c>
      <c r="G116" s="619" t="str">
        <f>'Segment Analysis'!$C$18</f>
        <v>Segment 3</v>
      </c>
      <c r="H116" s="619" t="str">
        <f>'Segment Analysis'!$C$19</f>
        <v>Segment 4</v>
      </c>
      <c r="I116" s="620" t="str">
        <f>'Segment Analysis'!$C$21</f>
        <v>Segment 6</v>
      </c>
      <c r="J116" s="189"/>
      <c r="K116" s="23"/>
      <c r="L116" s="23"/>
      <c r="M116" s="23"/>
      <c r="N116" s="23"/>
      <c r="O116" s="23"/>
      <c r="P116" s="23"/>
      <c r="Q116" s="23"/>
      <c r="R116" s="23"/>
      <c r="S116" s="23"/>
      <c r="T116" s="23"/>
      <c r="U116" s="23"/>
      <c r="V116" s="23"/>
      <c r="W116" s="23"/>
      <c r="X116" s="23"/>
      <c r="Y116" s="23"/>
      <c r="Z116" s="23"/>
      <c r="AA116" s="23"/>
      <c r="AB116" s="23"/>
      <c r="AC116" s="23"/>
      <c r="AD116" s="23"/>
    </row>
    <row r="117" spans="1:30">
      <c r="A117" s="146"/>
      <c r="B117" s="23"/>
      <c r="C117" s="617" t="s">
        <v>459</v>
      </c>
      <c r="D117" s="838">
        <f>'Segment Analysis'!$T$16</f>
        <v>0.95086059992515626</v>
      </c>
      <c r="E117" s="839">
        <f>'Segment Analysis'!$T$17</f>
        <v>4.9139400074843742E-2</v>
      </c>
      <c r="F117" s="839">
        <f>'Segment Analysis'!$T$20</f>
        <v>0</v>
      </c>
      <c r="G117" s="839">
        <f>'Segment Analysis'!$T$18</f>
        <v>0</v>
      </c>
      <c r="H117" s="839">
        <f>'Segment Analysis'!$T$19</f>
        <v>0</v>
      </c>
      <c r="I117" s="839">
        <f>'Segment Analysis'!$T$21</f>
        <v>0</v>
      </c>
      <c r="J117" s="452" t="s">
        <v>460</v>
      </c>
      <c r="K117" s="453">
        <f>SUM(D117:I117)</f>
        <v>1</v>
      </c>
      <c r="L117" s="433" t="s">
        <v>461</v>
      </c>
      <c r="M117" s="23"/>
      <c r="N117" s="23"/>
      <c r="O117" s="23"/>
      <c r="P117" s="23"/>
      <c r="Q117" s="23"/>
      <c r="R117" s="23"/>
      <c r="S117" s="23"/>
      <c r="T117" s="23"/>
      <c r="U117" s="23"/>
      <c r="V117" s="23"/>
      <c r="W117" s="23"/>
      <c r="X117" s="23"/>
      <c r="Y117" s="23"/>
      <c r="Z117" s="23"/>
      <c r="AA117" s="23"/>
      <c r="AB117" s="23"/>
      <c r="AC117" s="23"/>
      <c r="AD117" s="23"/>
    </row>
    <row r="118" spans="1:30">
      <c r="A118" s="146"/>
      <c r="B118" s="23"/>
      <c r="C118" s="23"/>
      <c r="D118" s="23"/>
      <c r="E118" s="23"/>
      <c r="F118" s="94"/>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spans="1:30">
      <c r="A119" s="146"/>
      <c r="B119" s="23"/>
      <c r="C119" s="23"/>
      <c r="D119" s="23"/>
      <c r="E119" s="23"/>
      <c r="F119" s="23"/>
      <c r="G119" s="23"/>
      <c r="H119" s="23"/>
      <c r="I119" s="23"/>
      <c r="J119" s="23"/>
      <c r="K119" s="23"/>
      <c r="L119" s="23"/>
      <c r="M119" s="23"/>
      <c r="N119" s="23"/>
      <c r="O119" s="23"/>
      <c r="P119" s="23"/>
      <c r="Q119" s="23"/>
      <c r="R119" s="454"/>
      <c r="S119" s="454"/>
      <c r="T119" s="454"/>
      <c r="U119" s="454"/>
      <c r="V119" s="454"/>
      <c r="W119" s="454"/>
      <c r="X119" s="23"/>
      <c r="Y119" s="23"/>
      <c r="Z119" s="23"/>
      <c r="AA119" s="23"/>
      <c r="AB119" s="23"/>
      <c r="AC119" s="23"/>
      <c r="AD119" s="23"/>
    </row>
    <row r="120" spans="1:30">
      <c r="A120" s="146"/>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spans="1:30">
      <c r="A121" s="146"/>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spans="1:30">
      <c r="A122" s="146"/>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spans="1:30">
      <c r="A123" s="146"/>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spans="1:30">
      <c r="A124" s="146"/>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spans="1:30">
      <c r="A125" s="146"/>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c r="A126" s="146"/>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spans="1:30">
      <c r="A127" s="146"/>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spans="1:30">
      <c r="A128" s="146"/>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spans="1:30">
      <c r="A129" s="146"/>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spans="1:30">
      <c r="A130" s="146"/>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spans="1:30">
      <c r="A131" s="146"/>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spans="1:30">
      <c r="A132" s="146"/>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spans="1:30">
      <c r="A133" s="146" t="s">
        <v>1</v>
      </c>
      <c r="B133" s="23"/>
      <c r="C133" s="193" t="str">
        <f>Ticker&amp;" - Debt Distribution"</f>
        <v>EVR - Debt Distribution</v>
      </c>
      <c r="D133" s="557"/>
      <c r="E133" s="557"/>
      <c r="F133" s="557"/>
      <c r="G133" s="557"/>
      <c r="H133" s="557"/>
      <c r="I133" s="557"/>
      <c r="J133" s="557"/>
      <c r="K133" s="557"/>
      <c r="L133" s="557"/>
      <c r="M133" s="557"/>
      <c r="N133" s="557"/>
      <c r="O133" s="557"/>
      <c r="P133" s="557"/>
      <c r="Q133" s="557"/>
      <c r="R133" s="23"/>
      <c r="S133" s="23"/>
      <c r="T133" s="23"/>
      <c r="U133" s="23"/>
      <c r="V133" s="23"/>
      <c r="W133" s="23"/>
      <c r="X133" s="23"/>
      <c r="Y133" s="23"/>
      <c r="Z133" s="23"/>
      <c r="AA133" s="23"/>
      <c r="AB133" s="23"/>
      <c r="AC133" s="23"/>
      <c r="AD133" s="23"/>
    </row>
    <row r="134" spans="1:30">
      <c r="A134" s="146"/>
      <c r="B134" s="23"/>
      <c r="C134" s="163"/>
      <c r="D134" s="613"/>
      <c r="E134" s="613"/>
      <c r="F134" s="613"/>
      <c r="G134" s="613"/>
      <c r="H134" s="613"/>
      <c r="I134" s="613"/>
      <c r="J134" s="613"/>
      <c r="K134" s="613"/>
      <c r="L134" s="613"/>
      <c r="M134" s="613"/>
      <c r="N134" s="613"/>
      <c r="O134" s="613"/>
      <c r="P134" s="613"/>
      <c r="Q134" s="613"/>
      <c r="R134" s="23"/>
      <c r="S134" s="23"/>
      <c r="T134" s="23"/>
      <c r="U134" s="23"/>
      <c r="V134" s="23"/>
      <c r="W134" s="23"/>
      <c r="X134" s="23"/>
      <c r="Y134" s="23"/>
      <c r="Z134" s="23"/>
      <c r="AA134" s="23"/>
      <c r="AB134" s="23"/>
      <c r="AC134" s="23"/>
      <c r="AD134" s="23"/>
    </row>
    <row r="135" spans="1:30">
      <c r="A135" s="146"/>
      <c r="B135" s="23"/>
      <c r="C135" s="251"/>
      <c r="D135" s="621">
        <v>2024</v>
      </c>
      <c r="E135" s="622">
        <f t="shared" ref="E135:Q135" si="8">D135+1</f>
        <v>2025</v>
      </c>
      <c r="F135" s="622">
        <f t="shared" si="8"/>
        <v>2026</v>
      </c>
      <c r="G135" s="622">
        <f t="shared" si="8"/>
        <v>2027</v>
      </c>
      <c r="H135" s="622">
        <f t="shared" si="8"/>
        <v>2028</v>
      </c>
      <c r="I135" s="622">
        <f t="shared" si="8"/>
        <v>2029</v>
      </c>
      <c r="J135" s="622">
        <f t="shared" si="8"/>
        <v>2030</v>
      </c>
      <c r="K135" s="622">
        <f t="shared" si="8"/>
        <v>2031</v>
      </c>
      <c r="L135" s="622">
        <f t="shared" si="8"/>
        <v>2032</v>
      </c>
      <c r="M135" s="622">
        <f t="shared" si="8"/>
        <v>2033</v>
      </c>
      <c r="N135" s="622">
        <f t="shared" si="8"/>
        <v>2034</v>
      </c>
      <c r="O135" s="622">
        <f t="shared" si="8"/>
        <v>2035</v>
      </c>
      <c r="P135" s="622">
        <f t="shared" si="8"/>
        <v>2036</v>
      </c>
      <c r="Q135" s="623">
        <f t="shared" si="8"/>
        <v>2037</v>
      </c>
      <c r="R135" s="624"/>
      <c r="S135" s="624"/>
      <c r="T135" s="624"/>
      <c r="U135" s="624"/>
      <c r="V135" s="624"/>
      <c r="W135" s="624"/>
      <c r="X135" s="23"/>
      <c r="Y135" s="23"/>
      <c r="Z135" s="23"/>
      <c r="AA135" s="23"/>
      <c r="AB135" s="23"/>
      <c r="AC135" s="23"/>
      <c r="AD135" s="23"/>
    </row>
    <row r="136" spans="1:30">
      <c r="A136" s="146"/>
      <c r="B136" s="23"/>
      <c r="C136" s="616" t="s">
        <v>462</v>
      </c>
      <c r="D136" s="455">
        <v>0</v>
      </c>
      <c r="E136" s="455">
        <v>0</v>
      </c>
      <c r="F136" s="455">
        <v>0</v>
      </c>
      <c r="G136" s="455">
        <v>0</v>
      </c>
      <c r="H136" s="455">
        <v>0</v>
      </c>
      <c r="I136" s="455">
        <v>0</v>
      </c>
      <c r="J136" s="455">
        <v>0</v>
      </c>
      <c r="K136" s="455">
        <v>0</v>
      </c>
      <c r="L136" s="455">
        <v>0</v>
      </c>
      <c r="M136" s="455">
        <v>0</v>
      </c>
      <c r="N136" s="455">
        <v>0</v>
      </c>
      <c r="O136" s="455">
        <v>0</v>
      </c>
      <c r="P136" s="455">
        <v>0</v>
      </c>
      <c r="Q136" s="455">
        <v>0</v>
      </c>
      <c r="R136" s="454"/>
      <c r="S136" s="454"/>
      <c r="T136" s="454"/>
      <c r="U136" s="454"/>
      <c r="V136" s="454"/>
      <c r="W136" s="454"/>
      <c r="X136" s="23"/>
      <c r="Y136" s="23"/>
      <c r="Z136" s="23"/>
      <c r="AA136" s="23"/>
      <c r="AB136" s="23"/>
      <c r="AC136" s="23"/>
      <c r="AD136" s="23"/>
    </row>
    <row r="137" spans="1:30">
      <c r="A137" s="146"/>
      <c r="B137" s="23"/>
      <c r="C137" s="616" t="s">
        <v>463</v>
      </c>
      <c r="D137" s="456">
        <v>0</v>
      </c>
      <c r="E137" s="456">
        <v>123130</v>
      </c>
      <c r="F137" s="456">
        <v>123130</v>
      </c>
      <c r="G137" s="456">
        <v>152680</v>
      </c>
      <c r="H137" s="456">
        <v>0</v>
      </c>
      <c r="I137" s="456">
        <v>0</v>
      </c>
      <c r="J137" s="456">
        <v>0</v>
      </c>
      <c r="K137" s="456">
        <v>0</v>
      </c>
      <c r="L137" s="456">
        <v>0</v>
      </c>
      <c r="M137" s="456">
        <v>0</v>
      </c>
      <c r="N137" s="456">
        <v>0</v>
      </c>
      <c r="O137" s="456">
        <v>0</v>
      </c>
      <c r="P137" s="456">
        <v>0</v>
      </c>
      <c r="Q137" s="456">
        <v>0</v>
      </c>
      <c r="R137" s="454"/>
      <c r="S137" s="454"/>
      <c r="T137" s="454"/>
      <c r="U137" s="454"/>
      <c r="V137" s="454"/>
      <c r="W137" s="454"/>
      <c r="X137" s="23"/>
      <c r="Y137" s="23"/>
      <c r="Z137" s="23"/>
      <c r="AA137" s="23"/>
      <c r="AB137" s="23"/>
      <c r="AC137" s="23"/>
      <c r="AD137" s="23"/>
    </row>
    <row r="138" spans="1:30">
      <c r="A138" s="146"/>
      <c r="B138" s="23"/>
      <c r="C138" s="617" t="s">
        <v>464</v>
      </c>
      <c r="D138" s="456">
        <v>0</v>
      </c>
      <c r="E138" s="456">
        <v>0</v>
      </c>
      <c r="F138" s="456">
        <v>0</v>
      </c>
      <c r="G138" s="456">
        <v>0</v>
      </c>
      <c r="H138" s="456">
        <v>0</v>
      </c>
      <c r="I138" s="456">
        <v>0</v>
      </c>
      <c r="J138" s="456">
        <v>0</v>
      </c>
      <c r="K138" s="456">
        <v>0</v>
      </c>
      <c r="L138" s="456">
        <v>0</v>
      </c>
      <c r="M138" s="456">
        <v>0</v>
      </c>
      <c r="N138" s="456">
        <v>0</v>
      </c>
      <c r="O138" s="456">
        <v>0</v>
      </c>
      <c r="P138" s="456">
        <v>0</v>
      </c>
      <c r="Q138" s="456">
        <v>0</v>
      </c>
      <c r="R138" s="23"/>
      <c r="S138" s="23"/>
      <c r="T138" s="23"/>
      <c r="U138" s="23"/>
      <c r="V138" s="23"/>
      <c r="W138" s="23"/>
      <c r="X138" s="23"/>
      <c r="Y138" s="23"/>
      <c r="Z138" s="23"/>
      <c r="AA138" s="23"/>
      <c r="AB138" s="23"/>
      <c r="AC138" s="23"/>
      <c r="AD138" s="23"/>
    </row>
    <row r="139" spans="1:30">
      <c r="A139" s="146"/>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spans="1:30">
      <c r="A140" s="146"/>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spans="1:30">
      <c r="A141" s="146"/>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spans="1:30">
      <c r="A142" s="146"/>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spans="1:30">
      <c r="A143" s="146"/>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spans="1:30">
      <c r="A144" s="146"/>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spans="1:30">
      <c r="A145" s="146"/>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spans="1:30">
      <c r="A146" s="146"/>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spans="1:30">
      <c r="A147" s="146"/>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spans="1:30">
      <c r="A148" s="146"/>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spans="1:30">
      <c r="A149" s="146"/>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spans="1:30">
      <c r="A150" s="146"/>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spans="1:30">
      <c r="A151" s="146"/>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spans="1:30">
      <c r="A152" s="146"/>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spans="1:30">
      <c r="A153" s="146"/>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spans="1:30" hidden="1" outlineLevel="1">
      <c r="A154" s="146" t="s">
        <v>1</v>
      </c>
      <c r="B154" s="23"/>
      <c r="C154" s="193" t="s">
        <v>465</v>
      </c>
      <c r="D154" s="557"/>
      <c r="E154" s="557"/>
      <c r="F154" s="557"/>
      <c r="G154" s="557"/>
      <c r="H154" s="557"/>
      <c r="I154" s="557"/>
      <c r="J154" s="557"/>
      <c r="K154" s="557"/>
      <c r="L154" s="557"/>
      <c r="M154" s="557"/>
      <c r="N154" s="557"/>
      <c r="O154" s="557"/>
      <c r="P154" s="557"/>
      <c r="Q154" s="557"/>
      <c r="R154" s="23"/>
      <c r="S154" s="23"/>
      <c r="T154" s="23"/>
      <c r="U154" s="23"/>
      <c r="V154" s="23"/>
      <c r="W154" s="23"/>
      <c r="X154" s="23"/>
      <c r="Y154" s="23"/>
      <c r="Z154" s="23"/>
      <c r="AA154" s="23"/>
      <c r="AB154" s="23"/>
      <c r="AC154" s="23"/>
      <c r="AD154" s="23"/>
    </row>
    <row r="155" spans="1:30" hidden="1" outlineLevel="1">
      <c r="A155" s="146"/>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spans="1:30" hidden="1" outlineLevel="1">
      <c r="A156" s="146"/>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spans="1:30" hidden="1" outlineLevel="1">
      <c r="A157" s="146"/>
      <c r="B157" s="23"/>
      <c r="C157" s="193" t="s">
        <v>466</v>
      </c>
      <c r="D157" s="193"/>
      <c r="E157" s="193"/>
      <c r="F157" s="193"/>
      <c r="G157" s="193"/>
      <c r="H157" s="193"/>
      <c r="I157" s="193"/>
      <c r="J157" s="23"/>
      <c r="K157" s="625" t="s">
        <v>467</v>
      </c>
      <c r="L157" s="193"/>
      <c r="M157" s="193"/>
      <c r="N157" s="193"/>
      <c r="O157" s="193"/>
      <c r="P157" s="193"/>
      <c r="Q157" s="193"/>
      <c r="R157" s="23"/>
      <c r="S157" s="23"/>
      <c r="T157" s="23"/>
      <c r="U157" s="23"/>
      <c r="V157" s="23"/>
      <c r="W157" s="23"/>
      <c r="X157" s="23"/>
      <c r="Y157" s="23"/>
      <c r="Z157" s="23"/>
      <c r="AA157" s="23"/>
      <c r="AB157" s="23"/>
      <c r="AC157" s="23"/>
      <c r="AD157" s="23"/>
    </row>
    <row r="158" spans="1:30" hidden="1" outlineLevel="1">
      <c r="A158" s="146"/>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idden="1" outlineLevel="1">
      <c r="A159" s="146"/>
      <c r="B159" s="23"/>
      <c r="C159" s="251"/>
      <c r="D159" s="626">
        <v>42735</v>
      </c>
      <c r="E159" s="627">
        <f>EDATE(D159,12)</f>
        <v>43100</v>
      </c>
      <c r="F159" s="627">
        <f>EDATE(E159,12)</f>
        <v>43465</v>
      </c>
      <c r="G159" s="627">
        <f>EDATE(F159,12)</f>
        <v>43830</v>
      </c>
      <c r="H159" s="627">
        <f>EDATE(G159,12)</f>
        <v>44196</v>
      </c>
      <c r="I159" s="628">
        <f>EDATE(H159,12)</f>
        <v>44561</v>
      </c>
      <c r="J159" s="23"/>
      <c r="K159" s="251" t="s">
        <v>468</v>
      </c>
      <c r="L159" s="626">
        <v>41639</v>
      </c>
      <c r="M159" s="627">
        <f>EDATE(L159,12)</f>
        <v>42004</v>
      </c>
      <c r="N159" s="627">
        <f>EDATE(M159,12)</f>
        <v>42369</v>
      </c>
      <c r="O159" s="627">
        <f>EDATE(N159,12)</f>
        <v>42735</v>
      </c>
      <c r="P159" s="627">
        <f>EDATE(O159,12)</f>
        <v>43100</v>
      </c>
      <c r="Q159" s="628">
        <f>EDATE(P159,12)</f>
        <v>43465</v>
      </c>
      <c r="R159" s="23"/>
      <c r="S159" s="23"/>
      <c r="T159" s="23"/>
      <c r="U159" s="23"/>
      <c r="V159" s="23"/>
      <c r="W159" s="23"/>
      <c r="X159" s="23"/>
      <c r="Y159" s="23"/>
      <c r="Z159" s="23"/>
      <c r="AA159" s="23"/>
      <c r="AB159" s="23"/>
      <c r="AC159" s="23"/>
      <c r="AD159" s="23"/>
    </row>
    <row r="160" spans="1:30" hidden="1" outlineLevel="1">
      <c r="A160" s="146"/>
      <c r="B160" s="23"/>
      <c r="C160" s="617" t="s">
        <v>469</v>
      </c>
      <c r="D160" s="451">
        <v>380</v>
      </c>
      <c r="E160" s="451">
        <v>400</v>
      </c>
      <c r="F160" s="451">
        <v>420</v>
      </c>
      <c r="G160" s="451">
        <v>460</v>
      </c>
      <c r="H160" s="451">
        <v>480</v>
      </c>
      <c r="I160" s="451">
        <v>490</v>
      </c>
      <c r="J160" s="23"/>
      <c r="K160" s="617" t="s">
        <v>470</v>
      </c>
      <c r="L160" s="447">
        <v>0.1</v>
      </c>
      <c r="M160" s="447">
        <v>0.11</v>
      </c>
      <c r="N160" s="447">
        <v>0.12</v>
      </c>
      <c r="O160" s="447">
        <v>0.13</v>
      </c>
      <c r="P160" s="447">
        <v>0.14000000000000001</v>
      </c>
      <c r="Q160" s="447">
        <v>0.15</v>
      </c>
      <c r="R160" s="23"/>
      <c r="S160" s="23"/>
      <c r="T160" s="23"/>
      <c r="U160" s="23"/>
      <c r="V160" s="23"/>
      <c r="W160" s="23"/>
      <c r="X160" s="23"/>
      <c r="Y160" s="23"/>
      <c r="Z160" s="23"/>
      <c r="AA160" s="23"/>
      <c r="AB160" s="23"/>
      <c r="AC160" s="23"/>
      <c r="AD160" s="23"/>
    </row>
    <row r="161" spans="1:30" hidden="1" outlineLevel="1">
      <c r="A161" s="146"/>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spans="1:30" hidden="1" outlineLevel="1">
      <c r="A162" s="146"/>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spans="1:30" hidden="1" outlineLevel="1">
      <c r="A163" s="146"/>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spans="1:30" hidden="1" outlineLevel="1">
      <c r="A164" s="146"/>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spans="1:30" hidden="1" outlineLevel="1">
      <c r="A165" s="146"/>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spans="1:30" hidden="1" outlineLevel="1">
      <c r="A166" s="146"/>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spans="1:30" hidden="1" outlineLevel="1">
      <c r="A167" s="146"/>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spans="1:30" hidden="1" outlineLevel="1">
      <c r="A168" s="146"/>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spans="1:30" hidden="1" outlineLevel="1">
      <c r="A169" s="146"/>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spans="1:30" hidden="1" outlineLevel="1">
      <c r="A170" s="146"/>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spans="1:30" hidden="1" outlineLevel="1">
      <c r="A171" s="146"/>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spans="1:30" hidden="1" outlineLevel="1">
      <c r="A172" s="146"/>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spans="1:30" hidden="1" outlineLevel="1">
      <c r="A173" s="146"/>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spans="1:30" hidden="1" outlineLevel="1">
      <c r="A174" s="146"/>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spans="1:30" hidden="1" outlineLevel="1">
      <c r="A175" s="146"/>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spans="1:30" collapsed="1">
      <c r="A176" s="146"/>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spans="1:30">
      <c r="A177" s="146" t="s">
        <v>1</v>
      </c>
      <c r="B177" s="23"/>
      <c r="C177" s="193" t="str">
        <f>Ticker&amp;" - One Year Stock Price Performance"</f>
        <v>EVR - One Year Stock Price Performance</v>
      </c>
      <c r="D177" s="557"/>
      <c r="E177" s="557"/>
      <c r="F177" s="557"/>
      <c r="G177" s="557"/>
      <c r="H177" s="557"/>
      <c r="I177" s="557"/>
      <c r="J177" s="557"/>
      <c r="K177" s="557"/>
      <c r="L177" s="557"/>
      <c r="M177" s="557"/>
      <c r="N177" s="557"/>
      <c r="O177" s="557"/>
      <c r="P177" s="557"/>
      <c r="Q177" s="557"/>
      <c r="R177" s="23"/>
      <c r="S177" s="23"/>
      <c r="T177" s="23"/>
      <c r="U177" s="23"/>
      <c r="V177" s="23"/>
      <c r="W177" s="23"/>
      <c r="X177" s="23"/>
      <c r="Y177" s="23"/>
      <c r="Z177" s="23"/>
      <c r="AA177" s="23"/>
      <c r="AB177" s="23"/>
      <c r="AC177" s="23"/>
      <c r="AD177" s="23"/>
    </row>
    <row r="178" spans="1:30" ht="15" thickBot="1">
      <c r="A178" s="146"/>
      <c r="B178" s="23"/>
      <c r="C178" s="23"/>
      <c r="D178" s="23"/>
      <c r="E178" s="23"/>
      <c r="F178" s="186" t="s">
        <v>609</v>
      </c>
      <c r="G178" s="186"/>
      <c r="H178" s="186"/>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spans="1:30" ht="15" thickBot="1">
      <c r="A179" s="146"/>
      <c r="B179" s="23"/>
      <c r="C179" s="435" t="s">
        <v>471</v>
      </c>
      <c r="D179" s="435" t="s">
        <v>472</v>
      </c>
      <c r="E179" s="435" t="s">
        <v>225</v>
      </c>
      <c r="F179" s="435" t="s">
        <v>219</v>
      </c>
      <c r="G179" s="435" t="s">
        <v>218</v>
      </c>
      <c r="H179" s="435" t="s">
        <v>217</v>
      </c>
      <c r="I179" s="23"/>
      <c r="J179" s="23"/>
      <c r="K179" s="23"/>
      <c r="L179" s="23"/>
      <c r="M179" s="23"/>
      <c r="N179" s="629" t="s">
        <v>473</v>
      </c>
      <c r="O179" s="241"/>
      <c r="P179" s="242"/>
      <c r="Q179" s="23"/>
      <c r="R179" s="23"/>
      <c r="S179" s="23"/>
      <c r="T179" s="23"/>
      <c r="U179" s="23"/>
      <c r="V179" s="23"/>
      <c r="W179" s="23"/>
      <c r="X179" s="23"/>
      <c r="Y179" s="23"/>
      <c r="Z179" s="23"/>
      <c r="AA179" s="23"/>
      <c r="AB179" s="23"/>
      <c r="AC179" s="23"/>
      <c r="AD179" s="23"/>
    </row>
    <row r="180" spans="1:30">
      <c r="A180" s="146"/>
      <c r="B180" s="23"/>
      <c r="C180" s="841">
        <f>EDATE(C181,18)</f>
        <v>46248</v>
      </c>
      <c r="D180" s="189"/>
      <c r="E180" s="189"/>
      <c r="F180" s="123">
        <v>220</v>
      </c>
      <c r="G180" s="123">
        <v>339</v>
      </c>
      <c r="H180" s="123">
        <v>373</v>
      </c>
      <c r="I180" s="23"/>
      <c r="J180" s="23"/>
      <c r="K180" s="23"/>
      <c r="L180" s="23"/>
      <c r="M180" s="23"/>
      <c r="N180" s="186"/>
      <c r="O180" s="186"/>
      <c r="P180" s="186"/>
      <c r="Q180" s="23"/>
      <c r="R180" s="23"/>
      <c r="S180" s="23"/>
      <c r="T180" s="23"/>
      <c r="U180" s="23"/>
      <c r="V180" s="23"/>
      <c r="W180" s="23"/>
      <c r="X180" s="23"/>
      <c r="Y180" s="23"/>
      <c r="Z180" s="23"/>
      <c r="AA180" s="23"/>
      <c r="AB180" s="23"/>
      <c r="AC180" s="23"/>
      <c r="AD180" s="23"/>
    </row>
    <row r="181" spans="1:30">
      <c r="A181" s="146"/>
      <c r="B181" s="23"/>
      <c r="C181" s="457">
        <v>45702</v>
      </c>
      <c r="D181" s="123">
        <v>269.31</v>
      </c>
      <c r="E181" s="456">
        <v>2769871</v>
      </c>
      <c r="F181" s="51">
        <f>$D$181</f>
        <v>269.31</v>
      </c>
      <c r="G181" s="51">
        <f>$D$181</f>
        <v>269.31</v>
      </c>
      <c r="H181" s="51">
        <f>$D$181</f>
        <v>269.31</v>
      </c>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spans="1:30">
      <c r="A182" s="146"/>
      <c r="B182" s="23"/>
      <c r="C182" s="457">
        <v>45701</v>
      </c>
      <c r="D182" s="458">
        <v>267.33999999999997</v>
      </c>
      <c r="E182" s="456">
        <v>3250400</v>
      </c>
      <c r="F182" s="23"/>
      <c r="G182" s="23"/>
      <c r="H182" s="23"/>
      <c r="I182" s="23"/>
      <c r="J182" s="23"/>
      <c r="K182" s="23"/>
      <c r="L182" s="23"/>
      <c r="M182" s="23"/>
      <c r="N182" s="189"/>
      <c r="O182" s="435" t="s">
        <v>226</v>
      </c>
      <c r="P182" s="435" t="s">
        <v>225</v>
      </c>
      <c r="Q182" s="23"/>
      <c r="R182" s="23"/>
      <c r="S182" s="23"/>
      <c r="T182" s="23"/>
      <c r="U182" s="23"/>
      <c r="V182" s="23"/>
      <c r="W182" s="23"/>
      <c r="X182" s="23"/>
      <c r="Y182" s="23"/>
      <c r="Z182" s="23"/>
      <c r="AA182" s="23"/>
      <c r="AB182" s="23"/>
      <c r="AC182" s="23"/>
      <c r="AD182" s="23"/>
    </row>
    <row r="183" spans="1:30">
      <c r="A183" s="146"/>
      <c r="B183" s="23"/>
      <c r="C183" s="457">
        <v>45700</v>
      </c>
      <c r="D183" s="458">
        <v>265.52999999999997</v>
      </c>
      <c r="E183" s="456">
        <v>2628800</v>
      </c>
      <c r="F183" s="23"/>
      <c r="G183" s="23"/>
      <c r="H183" s="23"/>
      <c r="I183" s="23"/>
      <c r="J183" s="23"/>
      <c r="K183" s="23"/>
      <c r="L183" s="23"/>
      <c r="M183" s="23"/>
      <c r="N183" s="357" t="s">
        <v>364</v>
      </c>
      <c r="O183" s="234">
        <f>MAX(D181:D447)*1.1</f>
        <v>347.6</v>
      </c>
      <c r="P183" s="213">
        <f>MAX(E181:E447)</f>
        <v>18087800</v>
      </c>
      <c r="Q183" s="23"/>
      <c r="R183" s="23"/>
      <c r="S183" s="23"/>
      <c r="T183" s="23"/>
      <c r="U183" s="23"/>
      <c r="V183" s="23"/>
      <c r="W183" s="23"/>
      <c r="X183" s="23"/>
      <c r="Y183" s="23"/>
      <c r="Z183" s="23"/>
      <c r="AA183" s="23"/>
      <c r="AB183" s="23"/>
      <c r="AC183" s="23"/>
      <c r="AD183" s="23"/>
    </row>
    <row r="184" spans="1:30">
      <c r="A184" s="146"/>
      <c r="B184" s="23"/>
      <c r="C184" s="457">
        <v>45699</v>
      </c>
      <c r="D184" s="458">
        <v>265.57</v>
      </c>
      <c r="E184" s="456">
        <v>4110400</v>
      </c>
      <c r="F184" s="23"/>
      <c r="G184" s="23"/>
      <c r="H184" s="23"/>
      <c r="I184" s="23"/>
      <c r="J184" s="23"/>
      <c r="K184" s="23"/>
      <c r="L184" s="23"/>
      <c r="M184" s="23"/>
      <c r="N184" s="357" t="s">
        <v>367</v>
      </c>
      <c r="O184" s="234">
        <f>MIN(D181:D447)*0.9</f>
        <v>163.143</v>
      </c>
      <c r="P184" s="213">
        <f>MIN(E181:E447)*0.9</f>
        <v>940140</v>
      </c>
      <c r="Q184" s="23"/>
      <c r="R184" s="23"/>
      <c r="S184" s="23"/>
      <c r="T184" s="23"/>
      <c r="U184" s="23"/>
      <c r="V184" s="23"/>
      <c r="W184" s="23"/>
      <c r="X184" s="23"/>
      <c r="Y184" s="23"/>
      <c r="Z184" s="23"/>
      <c r="AA184" s="23"/>
      <c r="AB184" s="23"/>
      <c r="AC184" s="23"/>
      <c r="AD184" s="23"/>
    </row>
    <row r="185" spans="1:30">
      <c r="A185" s="146"/>
      <c r="B185" s="23"/>
      <c r="C185" s="457">
        <v>45698</v>
      </c>
      <c r="D185" s="458">
        <v>272.19</v>
      </c>
      <c r="E185" s="456">
        <v>4195200</v>
      </c>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spans="1:30">
      <c r="A186" s="146"/>
      <c r="B186" s="23"/>
      <c r="C186" s="457">
        <v>45695</v>
      </c>
      <c r="D186" s="458">
        <v>275.51</v>
      </c>
      <c r="E186" s="456">
        <v>4914400</v>
      </c>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spans="1:30">
      <c r="A187" s="146"/>
      <c r="B187" s="23"/>
      <c r="C187" s="457">
        <v>45694</v>
      </c>
      <c r="D187" s="458">
        <v>285.37</v>
      </c>
      <c r="E187" s="456">
        <v>5378300</v>
      </c>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spans="1:30">
      <c r="A188" s="146"/>
      <c r="B188" s="23"/>
      <c r="C188" s="457">
        <v>45693</v>
      </c>
      <c r="D188" s="458">
        <v>285.06</v>
      </c>
      <c r="E188" s="456">
        <v>16992700</v>
      </c>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spans="1:30">
      <c r="A189" s="146"/>
      <c r="B189" s="23"/>
      <c r="C189" s="457">
        <v>45692</v>
      </c>
      <c r="D189" s="458">
        <v>282.85000000000002</v>
      </c>
      <c r="E189" s="456">
        <v>8256400</v>
      </c>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spans="1:30">
      <c r="A190" s="146"/>
      <c r="B190" s="23"/>
      <c r="C190" s="457">
        <v>45691</v>
      </c>
      <c r="D190" s="458">
        <v>283.14999999999998</v>
      </c>
      <c r="E190" s="456">
        <v>3485800</v>
      </c>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spans="1:30">
      <c r="A191" s="146"/>
      <c r="B191" s="23"/>
      <c r="C191" s="457">
        <v>45688</v>
      </c>
      <c r="D191" s="458">
        <v>291.27</v>
      </c>
      <c r="E191" s="456">
        <v>2399300</v>
      </c>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spans="1:30">
      <c r="A192" s="146"/>
      <c r="B192" s="23"/>
      <c r="C192" s="457">
        <v>45687</v>
      </c>
      <c r="D192" s="458">
        <v>289.52</v>
      </c>
      <c r="E192" s="456">
        <v>2753600</v>
      </c>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spans="1:30">
      <c r="A193" s="146"/>
      <c r="B193" s="23"/>
      <c r="C193" s="457">
        <v>45686</v>
      </c>
      <c r="D193" s="458">
        <v>284.70999999999998</v>
      </c>
      <c r="E193" s="456">
        <v>3367300</v>
      </c>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spans="1:30">
      <c r="A194" s="146"/>
      <c r="B194" s="23"/>
      <c r="C194" s="457">
        <v>45685</v>
      </c>
      <c r="D194" s="458">
        <v>286.67</v>
      </c>
      <c r="E194" s="456">
        <v>2548300</v>
      </c>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spans="1:30">
      <c r="A195" s="146"/>
      <c r="B195" s="23"/>
      <c r="C195" s="457">
        <v>45684</v>
      </c>
      <c r="D195" s="458">
        <v>281.38</v>
      </c>
      <c r="E195" s="456">
        <v>2296200</v>
      </c>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spans="1:30">
      <c r="A196" s="146"/>
      <c r="B196" s="23"/>
      <c r="C196" s="457">
        <v>45681</v>
      </c>
      <c r="D196" s="458">
        <v>285.95999999999998</v>
      </c>
      <c r="E196" s="456">
        <v>2853800</v>
      </c>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spans="1:30">
      <c r="A197" s="146"/>
      <c r="B197" s="23"/>
      <c r="C197" s="457">
        <v>45680</v>
      </c>
      <c r="D197" s="458">
        <v>284.64</v>
      </c>
      <c r="E197" s="456">
        <v>2335500</v>
      </c>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spans="1:30">
      <c r="A198" s="146"/>
      <c r="B198" s="23"/>
      <c r="C198" s="457">
        <v>45679</v>
      </c>
      <c r="D198" s="458">
        <v>286.29000000000002</v>
      </c>
      <c r="E198" s="456">
        <v>3162200</v>
      </c>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spans="1:30">
      <c r="A199" s="146"/>
      <c r="B199" s="23"/>
      <c r="C199" s="457">
        <v>45678</v>
      </c>
      <c r="D199" s="458">
        <v>287.58999999999997</v>
      </c>
      <c r="E199" s="456">
        <v>2335100</v>
      </c>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spans="1:30">
      <c r="A200" s="146"/>
      <c r="B200" s="23"/>
      <c r="C200" s="457">
        <v>45674</v>
      </c>
      <c r="D200" s="458">
        <v>282.60000000000002</v>
      </c>
      <c r="E200" s="456">
        <v>3051700</v>
      </c>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spans="1:30">
      <c r="A201" s="146"/>
      <c r="B201" s="23"/>
      <c r="C201" s="457">
        <v>45673</v>
      </c>
      <c r="D201" s="458">
        <v>279.33999999999997</v>
      </c>
      <c r="E201" s="456">
        <v>2841600</v>
      </c>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spans="1:30">
      <c r="A202" s="146"/>
      <c r="B202" s="23"/>
      <c r="C202" s="457">
        <v>45672</v>
      </c>
      <c r="D202" s="458">
        <v>276.29000000000002</v>
      </c>
      <c r="E202" s="456">
        <v>2532800</v>
      </c>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spans="1:30">
      <c r="A203" s="146"/>
      <c r="B203" s="23"/>
      <c r="C203" s="457">
        <v>45671</v>
      </c>
      <c r="D203" s="458">
        <v>266.2</v>
      </c>
      <c r="E203" s="456">
        <v>2152500</v>
      </c>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spans="1:30">
      <c r="A204" s="146"/>
      <c r="B204" s="23"/>
      <c r="C204" s="457">
        <v>45670</v>
      </c>
      <c r="D204" s="458">
        <v>260.86</v>
      </c>
      <c r="E204" s="456">
        <v>4106100</v>
      </c>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spans="1:30">
      <c r="A205" s="146"/>
      <c r="B205" s="23"/>
      <c r="C205" s="457">
        <v>45667</v>
      </c>
      <c r="D205" s="458">
        <v>262.95</v>
      </c>
      <c r="E205" s="456">
        <v>3422200</v>
      </c>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spans="1:30">
      <c r="A206" s="146"/>
      <c r="B206" s="23"/>
      <c r="C206" s="457">
        <v>45665</v>
      </c>
      <c r="D206" s="458">
        <v>274.32</v>
      </c>
      <c r="E206" s="456">
        <v>3358100</v>
      </c>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spans="1:30">
      <c r="A207" s="146"/>
      <c r="B207" s="23"/>
      <c r="C207" s="457">
        <v>45664</v>
      </c>
      <c r="D207" s="458">
        <v>274.77</v>
      </c>
      <c r="E207" s="456">
        <v>3244100</v>
      </c>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spans="1:30">
      <c r="A208" s="146"/>
      <c r="B208" s="23"/>
      <c r="C208" s="457">
        <v>45663</v>
      </c>
      <c r="D208" s="458">
        <v>278.86</v>
      </c>
      <c r="E208" s="456">
        <v>2112900</v>
      </c>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spans="1:30">
      <c r="A209" s="146"/>
      <c r="B209" s="23"/>
      <c r="C209" s="457">
        <v>45660</v>
      </c>
      <c r="D209" s="458">
        <v>277.69</v>
      </c>
      <c r="E209" s="456">
        <v>2882400</v>
      </c>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spans="1:30">
      <c r="A210" s="146"/>
      <c r="B210" s="23"/>
      <c r="C210" s="457">
        <v>45659</v>
      </c>
      <c r="D210" s="458">
        <v>276.14999999999998</v>
      </c>
      <c r="E210" s="456">
        <v>5214000</v>
      </c>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spans="1:30">
      <c r="A211" s="146"/>
      <c r="B211" s="23"/>
      <c r="C211" s="457">
        <v>45657</v>
      </c>
      <c r="D211" s="458">
        <v>277.19</v>
      </c>
      <c r="E211" s="456">
        <v>4920700</v>
      </c>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spans="1:30">
      <c r="A212" s="146"/>
      <c r="B212" s="23"/>
      <c r="C212" s="457">
        <v>45656</v>
      </c>
      <c r="D212" s="458">
        <v>277.89999999999998</v>
      </c>
      <c r="E212" s="456">
        <v>3188000</v>
      </c>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spans="1:30">
      <c r="A213" s="146"/>
      <c r="B213" s="23"/>
      <c r="C213" s="457">
        <v>45653</v>
      </c>
      <c r="D213" s="458">
        <v>278.04000000000002</v>
      </c>
      <c r="E213" s="456">
        <v>2943300</v>
      </c>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spans="1:30">
      <c r="A214" s="146"/>
      <c r="B214" s="23"/>
      <c r="C214" s="457">
        <v>45652</v>
      </c>
      <c r="D214" s="458">
        <v>282.42</v>
      </c>
      <c r="E214" s="456">
        <v>3191900</v>
      </c>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spans="1:30">
      <c r="A215" s="146"/>
      <c r="B215" s="23"/>
      <c r="C215" s="457">
        <v>45650</v>
      </c>
      <c r="D215" s="458">
        <v>279.26</v>
      </c>
      <c r="E215" s="456">
        <v>2405600</v>
      </c>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spans="1:30">
      <c r="A216" s="146"/>
      <c r="B216" s="23"/>
      <c r="C216" s="457">
        <v>45649</v>
      </c>
      <c r="D216" s="458">
        <v>275.17</v>
      </c>
      <c r="E216" s="456">
        <v>2436300</v>
      </c>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spans="1:30">
      <c r="A217" s="146"/>
      <c r="B217" s="23"/>
      <c r="C217" s="457">
        <v>45646</v>
      </c>
      <c r="D217" s="458">
        <v>275.83999999999997</v>
      </c>
      <c r="E217" s="456">
        <v>3993600</v>
      </c>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spans="1:30">
      <c r="A218" s="146"/>
      <c r="B218" s="23"/>
      <c r="C218" s="457">
        <v>45645</v>
      </c>
      <c r="D218" s="458">
        <v>270.57</v>
      </c>
      <c r="E218" s="456">
        <v>3647100</v>
      </c>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spans="1:30">
      <c r="A219" s="146"/>
      <c r="B219" s="23"/>
      <c r="C219" s="457">
        <v>45644</v>
      </c>
      <c r="D219" s="458">
        <v>272.5</v>
      </c>
      <c r="E219" s="456">
        <v>2588300</v>
      </c>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spans="1:30">
      <c r="A220" s="146"/>
      <c r="B220" s="23"/>
      <c r="C220" s="457">
        <v>45643</v>
      </c>
      <c r="D220" s="458">
        <v>290.2</v>
      </c>
      <c r="E220" s="456">
        <v>2553000</v>
      </c>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spans="1:30">
      <c r="A221" s="146"/>
      <c r="B221" s="23"/>
      <c r="C221" s="457">
        <v>45642</v>
      </c>
      <c r="D221" s="458">
        <v>298.37</v>
      </c>
      <c r="E221" s="456">
        <v>2456300</v>
      </c>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spans="1:30">
      <c r="A222" s="146"/>
      <c r="B222" s="23"/>
      <c r="C222" s="457">
        <v>45639</v>
      </c>
      <c r="D222" s="458">
        <v>295.52</v>
      </c>
      <c r="E222" s="456">
        <v>2715900</v>
      </c>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spans="1:30">
      <c r="A223" s="146"/>
      <c r="B223" s="23"/>
      <c r="C223" s="457">
        <v>45638</v>
      </c>
      <c r="D223" s="458">
        <v>299.39999999999998</v>
      </c>
      <c r="E223" s="456">
        <v>2628800</v>
      </c>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spans="1:30">
      <c r="A224" s="146"/>
      <c r="B224" s="23"/>
      <c r="C224" s="457">
        <v>45637</v>
      </c>
      <c r="D224" s="458">
        <v>297.44</v>
      </c>
      <c r="E224" s="456">
        <v>2510600</v>
      </c>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spans="1:30">
      <c r="A225" s="146"/>
      <c r="B225" s="23"/>
      <c r="C225" s="457">
        <v>45636</v>
      </c>
      <c r="D225" s="458">
        <v>291.11</v>
      </c>
      <c r="E225" s="456">
        <v>4149500</v>
      </c>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spans="1:30">
      <c r="A226" s="146"/>
      <c r="B226" s="23"/>
      <c r="C226" s="457">
        <v>45635</v>
      </c>
      <c r="D226" s="458">
        <v>295.17</v>
      </c>
      <c r="E226" s="456">
        <v>2767800</v>
      </c>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spans="1:30">
      <c r="A227" s="146"/>
      <c r="B227" s="23"/>
      <c r="C227" s="457">
        <v>45632</v>
      </c>
      <c r="D227" s="458">
        <v>297.76</v>
      </c>
      <c r="E227" s="456">
        <v>2835900</v>
      </c>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spans="1:30">
      <c r="A228" s="146"/>
      <c r="B228" s="23"/>
      <c r="C228" s="457">
        <v>45631</v>
      </c>
      <c r="D228" s="458">
        <v>296.68</v>
      </c>
      <c r="E228" s="456">
        <v>3995700</v>
      </c>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spans="1:30">
      <c r="A229" s="146"/>
      <c r="B229" s="23"/>
      <c r="C229" s="457">
        <v>45630</v>
      </c>
      <c r="D229" s="458">
        <v>300.95999999999998</v>
      </c>
      <c r="E229" s="456">
        <v>4539400</v>
      </c>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spans="1:30">
      <c r="A230" s="146"/>
      <c r="B230" s="23"/>
      <c r="C230" s="457">
        <v>45629</v>
      </c>
      <c r="D230" s="458">
        <v>303</v>
      </c>
      <c r="E230" s="456">
        <v>9316900</v>
      </c>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spans="1:30">
      <c r="A231" s="146"/>
      <c r="B231" s="23"/>
      <c r="C231" s="457">
        <v>45628</v>
      </c>
      <c r="D231" s="458">
        <v>305.57</v>
      </c>
      <c r="E231" s="456">
        <v>4260900</v>
      </c>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spans="1:30">
      <c r="A232" s="146"/>
      <c r="B232" s="23"/>
      <c r="C232" s="457">
        <v>45625</v>
      </c>
      <c r="D232" s="458">
        <v>307.89999999999998</v>
      </c>
      <c r="E232" s="456">
        <v>4175800</v>
      </c>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spans="1:30">
      <c r="A233" s="146"/>
      <c r="B233" s="23"/>
      <c r="C233" s="457">
        <v>45623</v>
      </c>
      <c r="D233" s="458">
        <v>308.10000000000002</v>
      </c>
      <c r="E233" s="456">
        <v>4472600</v>
      </c>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spans="1:30">
      <c r="A234" s="146"/>
      <c r="B234" s="23"/>
      <c r="C234" s="457">
        <v>45622</v>
      </c>
      <c r="D234" s="458">
        <v>311</v>
      </c>
      <c r="E234" s="456">
        <v>3257700</v>
      </c>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spans="1:30">
      <c r="A235" s="146"/>
      <c r="B235" s="23"/>
      <c r="C235" s="457">
        <v>45621</v>
      </c>
      <c r="D235" s="458">
        <v>313.75</v>
      </c>
      <c r="E235" s="456">
        <v>3127800</v>
      </c>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spans="1:30">
      <c r="A236" s="146"/>
      <c r="B236" s="23"/>
      <c r="C236" s="457">
        <v>45618</v>
      </c>
      <c r="D236" s="458">
        <v>311.35000000000002</v>
      </c>
      <c r="E236" s="456">
        <v>3905800</v>
      </c>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spans="1:30">
      <c r="A237" s="146"/>
      <c r="B237" s="23"/>
      <c r="C237" s="457">
        <v>45617</v>
      </c>
      <c r="D237" s="458">
        <v>309.52999999999997</v>
      </c>
      <c r="E237" s="456">
        <v>3638900</v>
      </c>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spans="1:30">
      <c r="A238" s="146"/>
      <c r="B238" s="23"/>
      <c r="C238" s="457">
        <v>45616</v>
      </c>
      <c r="D238" s="458">
        <v>301.3</v>
      </c>
      <c r="E238" s="456">
        <v>3604600</v>
      </c>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spans="1:30">
      <c r="A239" s="146"/>
      <c r="B239" s="23"/>
      <c r="C239" s="457">
        <v>45615</v>
      </c>
      <c r="D239" s="458">
        <v>300.89</v>
      </c>
      <c r="E239" s="456">
        <v>2913500</v>
      </c>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spans="1:30">
      <c r="A240" s="146"/>
      <c r="B240" s="23"/>
      <c r="C240" s="457">
        <v>45614</v>
      </c>
      <c r="D240" s="458">
        <v>297.37</v>
      </c>
      <c r="E240" s="456">
        <v>4210500</v>
      </c>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spans="1:30">
      <c r="A241" s="146"/>
      <c r="B241" s="23"/>
      <c r="C241" s="457">
        <v>45611</v>
      </c>
      <c r="D241" s="458">
        <v>299.38</v>
      </c>
      <c r="E241" s="456">
        <v>3469200</v>
      </c>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spans="1:30">
      <c r="A242" s="146"/>
      <c r="B242" s="23"/>
      <c r="C242" s="457">
        <v>45610</v>
      </c>
      <c r="D242" s="458">
        <v>299.66000000000003</v>
      </c>
      <c r="E242" s="456">
        <v>3997700</v>
      </c>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spans="1:30">
      <c r="A243" s="146"/>
      <c r="B243" s="23"/>
      <c r="C243" s="457">
        <v>45609</v>
      </c>
      <c r="D243" s="458">
        <v>301.8</v>
      </c>
      <c r="E243" s="456">
        <v>4105600</v>
      </c>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spans="1:30">
      <c r="A244" s="146"/>
      <c r="B244" s="23"/>
      <c r="C244" s="457">
        <v>45608</v>
      </c>
      <c r="D244" s="458">
        <v>307.05</v>
      </c>
      <c r="E244" s="456">
        <v>3619400</v>
      </c>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spans="1:30">
      <c r="A245" s="146"/>
      <c r="B245" s="23"/>
      <c r="C245" s="457">
        <v>45607</v>
      </c>
      <c r="D245" s="458">
        <v>315.64999999999998</v>
      </c>
      <c r="E245" s="456">
        <v>5126500</v>
      </c>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spans="1:30">
      <c r="A246" s="146"/>
      <c r="B246" s="23"/>
      <c r="C246" s="457">
        <v>45604</v>
      </c>
      <c r="D246" s="458">
        <v>308.82</v>
      </c>
      <c r="E246" s="456">
        <v>3565600</v>
      </c>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spans="1:30">
      <c r="A247" s="146"/>
      <c r="B247" s="23"/>
      <c r="C247" s="457">
        <v>45603</v>
      </c>
      <c r="D247" s="458">
        <v>306.43</v>
      </c>
      <c r="E247" s="456">
        <v>4089300</v>
      </c>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spans="1:30">
      <c r="A248" s="146"/>
      <c r="B248" s="23"/>
      <c r="C248" s="457">
        <v>45602</v>
      </c>
      <c r="D248" s="458">
        <v>316</v>
      </c>
      <c r="E248" s="456">
        <v>3396200</v>
      </c>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spans="1:30">
      <c r="A249" s="146"/>
      <c r="B249" s="23"/>
      <c r="C249" s="457">
        <v>45601</v>
      </c>
      <c r="D249" s="458">
        <v>271.83999999999997</v>
      </c>
      <c r="E249" s="456">
        <v>4032700</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c r="A250" s="146"/>
      <c r="B250" s="23"/>
      <c r="C250" s="457">
        <v>45600</v>
      </c>
      <c r="D250" s="458">
        <v>263.76</v>
      </c>
      <c r="E250" s="456">
        <v>4397700</v>
      </c>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spans="1:30">
      <c r="A251" s="146"/>
      <c r="B251" s="23"/>
      <c r="C251" s="457">
        <v>45597</v>
      </c>
      <c r="D251" s="458">
        <v>268.83999999999997</v>
      </c>
      <c r="E251" s="456">
        <v>6797900</v>
      </c>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spans="1:30">
      <c r="A252" s="146"/>
      <c r="B252" s="23"/>
      <c r="C252" s="457">
        <v>45596</v>
      </c>
      <c r="D252" s="458">
        <v>264.17</v>
      </c>
      <c r="E252" s="456">
        <v>5691500</v>
      </c>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spans="1:30">
      <c r="A253" s="146"/>
      <c r="B253" s="23"/>
      <c r="C253" s="457">
        <v>45595</v>
      </c>
      <c r="D253" s="458">
        <v>265.07</v>
      </c>
      <c r="E253" s="456">
        <v>5798800</v>
      </c>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c r="A254" s="146"/>
      <c r="B254" s="23"/>
      <c r="C254" s="457">
        <v>45594</v>
      </c>
      <c r="D254" s="458">
        <v>265.20999999999998</v>
      </c>
      <c r="E254" s="456">
        <v>3743000</v>
      </c>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spans="1:30">
      <c r="A255" s="146"/>
      <c r="B255" s="23"/>
      <c r="C255" s="457">
        <v>45593</v>
      </c>
      <c r="D255" s="458">
        <v>261.35000000000002</v>
      </c>
      <c r="E255" s="456">
        <v>4494000</v>
      </c>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spans="1:30">
      <c r="A256" s="146"/>
      <c r="B256" s="23"/>
      <c r="C256" s="457">
        <v>45590</v>
      </c>
      <c r="D256" s="458">
        <v>260.57</v>
      </c>
      <c r="E256" s="456">
        <v>5406600</v>
      </c>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spans="1:30">
      <c r="A257" s="146"/>
      <c r="B257" s="23"/>
      <c r="C257" s="457">
        <v>45589</v>
      </c>
      <c r="D257" s="458">
        <v>262.77</v>
      </c>
      <c r="E257" s="456">
        <v>4449200</v>
      </c>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spans="1:30">
      <c r="A258" s="146"/>
      <c r="B258" s="23"/>
      <c r="C258" s="457">
        <v>45588</v>
      </c>
      <c r="D258" s="458">
        <v>257.74</v>
      </c>
      <c r="E258" s="456">
        <v>4476900</v>
      </c>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spans="1:30">
      <c r="A259" s="146"/>
      <c r="B259" s="23"/>
      <c r="C259" s="457">
        <v>45587</v>
      </c>
      <c r="D259" s="458">
        <v>275.61</v>
      </c>
      <c r="E259" s="456">
        <v>3694800</v>
      </c>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spans="1:30">
      <c r="A260" s="146"/>
      <c r="B260" s="23"/>
      <c r="C260" s="457">
        <v>45586</v>
      </c>
      <c r="D260" s="458">
        <v>278.39</v>
      </c>
      <c r="E260" s="456">
        <v>4525200</v>
      </c>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spans="1:30">
      <c r="A261" s="146"/>
      <c r="B261" s="23"/>
      <c r="C261" s="457">
        <v>45583</v>
      </c>
      <c r="D261" s="458">
        <v>286.04000000000002</v>
      </c>
      <c r="E261" s="456">
        <v>3715300</v>
      </c>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spans="1:30">
      <c r="A262" s="146"/>
      <c r="B262" s="23"/>
      <c r="C262" s="457">
        <v>45582</v>
      </c>
      <c r="D262" s="458">
        <v>282.27999999999997</v>
      </c>
      <c r="E262" s="456">
        <v>4150100</v>
      </c>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spans="1:30">
      <c r="A263" s="146"/>
      <c r="B263" s="23"/>
      <c r="C263" s="457">
        <v>45581</v>
      </c>
      <c r="D263" s="458">
        <v>276.64999999999998</v>
      </c>
      <c r="E263" s="456">
        <v>4629500</v>
      </c>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spans="1:30">
      <c r="A264" s="146"/>
      <c r="B264" s="23"/>
      <c r="C264" s="457">
        <v>45580</v>
      </c>
      <c r="D264" s="458">
        <v>272.68</v>
      </c>
      <c r="E264" s="456">
        <v>4255500</v>
      </c>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spans="1:30">
      <c r="A265" s="146"/>
      <c r="B265" s="23"/>
      <c r="C265" s="457">
        <v>45579</v>
      </c>
      <c r="D265" s="458">
        <v>271.02</v>
      </c>
      <c r="E265" s="456">
        <v>3860200</v>
      </c>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spans="1:30">
      <c r="A266" s="146"/>
      <c r="B266" s="23"/>
      <c r="C266" s="457">
        <v>45576</v>
      </c>
      <c r="D266" s="458">
        <v>265.61</v>
      </c>
      <c r="E266" s="456">
        <v>4939200</v>
      </c>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spans="1:30">
      <c r="A267" s="146"/>
      <c r="B267" s="23"/>
      <c r="C267" s="457">
        <v>45575</v>
      </c>
      <c r="D267" s="458">
        <v>252.89</v>
      </c>
      <c r="E267" s="456">
        <v>3453900</v>
      </c>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spans="1:30">
      <c r="A268" s="146"/>
      <c r="B268" s="23"/>
      <c r="C268" s="457">
        <v>45574</v>
      </c>
      <c r="D268" s="458">
        <v>255.07</v>
      </c>
      <c r="E268" s="456">
        <v>3017000</v>
      </c>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spans="1:30">
      <c r="A269" s="146"/>
      <c r="B269" s="23"/>
      <c r="C269" s="457">
        <v>45573</v>
      </c>
      <c r="D269" s="458">
        <v>248.61</v>
      </c>
      <c r="E269" s="456">
        <v>3634000</v>
      </c>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spans="1:30">
      <c r="A270" s="146"/>
      <c r="B270" s="23"/>
      <c r="C270" s="457">
        <v>45572</v>
      </c>
      <c r="D270" s="458">
        <v>247.57</v>
      </c>
      <c r="E270" s="456">
        <v>3713000</v>
      </c>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spans="1:30">
      <c r="A271" s="146"/>
      <c r="B271" s="23"/>
      <c r="C271" s="457">
        <v>45569</v>
      </c>
      <c r="D271" s="458">
        <v>251.74</v>
      </c>
      <c r="E271" s="456">
        <v>2716600</v>
      </c>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spans="1:30">
      <c r="A272" s="146"/>
      <c r="B272" s="23"/>
      <c r="C272" s="457">
        <v>45568</v>
      </c>
      <c r="D272" s="458">
        <v>247.87</v>
      </c>
      <c r="E272" s="456">
        <v>3006200</v>
      </c>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spans="1:30">
      <c r="A273" s="146"/>
      <c r="B273" s="23"/>
      <c r="C273" s="457">
        <v>45567</v>
      </c>
      <c r="D273" s="458">
        <v>248.78</v>
      </c>
      <c r="E273" s="456">
        <v>3828800</v>
      </c>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spans="1:30">
      <c r="A274" s="146"/>
      <c r="B274" s="23"/>
      <c r="C274" s="457">
        <v>45566</v>
      </c>
      <c r="D274" s="458">
        <v>251</v>
      </c>
      <c r="E274" s="456">
        <v>6359800</v>
      </c>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spans="1:30">
      <c r="A275" s="146"/>
      <c r="B275" s="23"/>
      <c r="C275" s="457">
        <v>45565</v>
      </c>
      <c r="D275" s="458">
        <v>253.34</v>
      </c>
      <c r="E275" s="456">
        <v>3656300</v>
      </c>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spans="1:30">
      <c r="A276" s="146"/>
      <c r="B276" s="23"/>
      <c r="C276" s="457">
        <v>45562</v>
      </c>
      <c r="D276" s="458">
        <v>254.13</v>
      </c>
      <c r="E276" s="456">
        <v>3371900</v>
      </c>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spans="1:30">
      <c r="A277" s="146"/>
      <c r="B277" s="23"/>
      <c r="C277" s="457">
        <v>45561</v>
      </c>
      <c r="D277" s="458">
        <v>256.83</v>
      </c>
      <c r="E277" s="456">
        <v>2964500</v>
      </c>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spans="1:30">
      <c r="A278" s="146"/>
      <c r="B278" s="23"/>
      <c r="C278" s="457">
        <v>45560</v>
      </c>
      <c r="D278" s="458">
        <v>256.26</v>
      </c>
      <c r="E278" s="456">
        <v>3647900</v>
      </c>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spans="1:30">
      <c r="A279" s="146"/>
      <c r="B279" s="23"/>
      <c r="C279" s="457">
        <v>45559</v>
      </c>
      <c r="D279" s="458">
        <v>258.35000000000002</v>
      </c>
      <c r="E279" s="456">
        <v>3168500</v>
      </c>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spans="1:30">
      <c r="A280" s="146"/>
      <c r="B280" s="23"/>
      <c r="C280" s="457">
        <v>45558</v>
      </c>
      <c r="D280" s="458">
        <v>258.68</v>
      </c>
      <c r="E280" s="456">
        <v>2684300</v>
      </c>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spans="1:30">
      <c r="A281" s="146"/>
      <c r="B281" s="23"/>
      <c r="C281" s="457">
        <v>45555</v>
      </c>
      <c r="D281" s="458">
        <v>256.75</v>
      </c>
      <c r="E281" s="456">
        <v>3276300</v>
      </c>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spans="1:30">
      <c r="A282" s="146"/>
      <c r="B282" s="23"/>
      <c r="C282" s="457">
        <v>45554</v>
      </c>
      <c r="D282" s="458">
        <v>255.58</v>
      </c>
      <c r="E282" s="456">
        <v>2917700</v>
      </c>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spans="1:30">
      <c r="A283" s="146"/>
      <c r="B283" s="23"/>
      <c r="C283" s="457">
        <v>45553</v>
      </c>
      <c r="D283" s="458">
        <v>246.6</v>
      </c>
      <c r="E283" s="456">
        <v>3507200</v>
      </c>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spans="1:30">
      <c r="A284" s="146"/>
      <c r="B284" s="23"/>
      <c r="C284" s="457">
        <v>45552</v>
      </c>
      <c r="D284" s="458">
        <v>246.23</v>
      </c>
      <c r="E284" s="456">
        <v>3192200</v>
      </c>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spans="1:30">
      <c r="A285" s="146"/>
      <c r="B285" s="23"/>
      <c r="C285" s="457">
        <v>45551</v>
      </c>
      <c r="D285" s="458">
        <v>242.13</v>
      </c>
      <c r="E285" s="456">
        <v>3564200</v>
      </c>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spans="1:30">
      <c r="A286" s="146"/>
      <c r="B286" s="23"/>
      <c r="C286" s="457">
        <v>45548</v>
      </c>
      <c r="D286" s="458">
        <v>238.93</v>
      </c>
      <c r="E286" s="456">
        <v>3547600</v>
      </c>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spans="1:30">
      <c r="A287" s="146"/>
      <c r="B287" s="23"/>
      <c r="C287" s="457">
        <v>45547</v>
      </c>
      <c r="D287" s="458">
        <v>234.65</v>
      </c>
      <c r="E287" s="456">
        <v>3970900</v>
      </c>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spans="1:30">
      <c r="A288" s="146"/>
      <c r="B288" s="23"/>
      <c r="C288" s="457">
        <v>45546</v>
      </c>
      <c r="D288" s="458">
        <v>231.62</v>
      </c>
      <c r="E288" s="456">
        <v>4795200</v>
      </c>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spans="1:30">
      <c r="A289" s="146"/>
      <c r="B289" s="23"/>
      <c r="C289" s="457">
        <v>45545</v>
      </c>
      <c r="D289" s="458">
        <v>233.88</v>
      </c>
      <c r="E289" s="456">
        <v>4543300</v>
      </c>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spans="1:30">
      <c r="A290" s="146"/>
      <c r="B290" s="23"/>
      <c r="C290" s="457">
        <v>45544</v>
      </c>
      <c r="D290" s="458">
        <v>238.56</v>
      </c>
      <c r="E290" s="456">
        <v>3555400</v>
      </c>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spans="1:30">
      <c r="A291" s="146"/>
      <c r="B291" s="23"/>
      <c r="C291" s="457">
        <v>45541</v>
      </c>
      <c r="D291" s="458">
        <v>234.09</v>
      </c>
      <c r="E291" s="456">
        <v>3324400</v>
      </c>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spans="1:30">
      <c r="A292" s="146"/>
      <c r="B292" s="23"/>
      <c r="C292" s="457">
        <v>45540</v>
      </c>
      <c r="D292" s="458">
        <v>239.16</v>
      </c>
      <c r="E292" s="456">
        <v>4700200</v>
      </c>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spans="1:30">
      <c r="A293" s="146"/>
      <c r="B293" s="23"/>
      <c r="C293" s="457">
        <v>45539</v>
      </c>
      <c r="D293" s="458">
        <v>237.07</v>
      </c>
      <c r="E293" s="456">
        <v>8525100</v>
      </c>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spans="1:30">
      <c r="A294" s="146"/>
      <c r="B294" s="23"/>
      <c r="C294" s="457">
        <v>45538</v>
      </c>
      <c r="D294" s="458">
        <v>237.53</v>
      </c>
      <c r="E294" s="456">
        <v>3888100</v>
      </c>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spans="1:30">
      <c r="A295" s="146"/>
      <c r="B295" s="23"/>
      <c r="C295" s="457">
        <v>45534</v>
      </c>
      <c r="D295" s="458">
        <v>245.74</v>
      </c>
      <c r="E295" s="456">
        <v>3119900</v>
      </c>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spans="1:30">
      <c r="A296" s="146"/>
      <c r="B296" s="23"/>
      <c r="C296" s="457">
        <v>45533</v>
      </c>
      <c r="D296" s="458">
        <v>243.79</v>
      </c>
      <c r="E296" s="456">
        <v>3737200</v>
      </c>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spans="1:30">
      <c r="A297" s="146"/>
      <c r="B297" s="23"/>
      <c r="C297" s="457">
        <v>45532</v>
      </c>
      <c r="D297" s="458">
        <v>243.67</v>
      </c>
      <c r="E297" s="456">
        <v>3745200</v>
      </c>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spans="1:30">
      <c r="A298" s="146"/>
      <c r="B298" s="23"/>
      <c r="C298" s="457">
        <v>45531</v>
      </c>
      <c r="D298" s="458">
        <v>242.48</v>
      </c>
      <c r="E298" s="456">
        <v>3638700</v>
      </c>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spans="1:30">
      <c r="A299" s="146"/>
      <c r="B299" s="23"/>
      <c r="C299" s="457">
        <v>45530</v>
      </c>
      <c r="D299" s="458">
        <v>245.33</v>
      </c>
      <c r="E299" s="456">
        <v>4989600</v>
      </c>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spans="1:30">
      <c r="A300" s="146"/>
      <c r="B300" s="23"/>
      <c r="C300" s="457">
        <v>45527</v>
      </c>
      <c r="D300" s="458">
        <v>245.09</v>
      </c>
      <c r="E300" s="456">
        <v>3394900</v>
      </c>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spans="1:30">
      <c r="A301" s="146"/>
      <c r="B301" s="23"/>
      <c r="C301" s="457">
        <v>45526</v>
      </c>
      <c r="D301" s="458">
        <v>239.48</v>
      </c>
      <c r="E301" s="456">
        <v>4585200</v>
      </c>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spans="1:30">
      <c r="A302" s="146"/>
      <c r="B302" s="23"/>
      <c r="C302" s="457">
        <v>45525</v>
      </c>
      <c r="D302" s="458">
        <v>239.63</v>
      </c>
      <c r="E302" s="456">
        <v>4613400</v>
      </c>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spans="1:30">
      <c r="A303" s="146"/>
      <c r="B303" s="23"/>
      <c r="C303" s="457">
        <v>45524</v>
      </c>
      <c r="D303" s="458">
        <v>236.86</v>
      </c>
      <c r="E303" s="456">
        <v>5143100</v>
      </c>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spans="1:30">
      <c r="A304" s="146"/>
      <c r="B304" s="23"/>
      <c r="C304" s="457">
        <v>45523</v>
      </c>
      <c r="D304" s="458">
        <v>240.92</v>
      </c>
      <c r="E304" s="456">
        <v>7792700</v>
      </c>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spans="1:30">
      <c r="A305" s="146"/>
      <c r="B305" s="23"/>
      <c r="C305" s="457">
        <v>45520</v>
      </c>
      <c r="D305" s="458">
        <v>240.65</v>
      </c>
      <c r="E305" s="456">
        <v>5238500</v>
      </c>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spans="1:30">
      <c r="A306" s="146"/>
      <c r="B306" s="23"/>
      <c r="C306" s="457">
        <v>45519</v>
      </c>
      <c r="D306" s="458">
        <v>241.79</v>
      </c>
      <c r="E306" s="456">
        <v>4330900</v>
      </c>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spans="1:30">
      <c r="A307" s="146"/>
      <c r="B307" s="23"/>
      <c r="C307" s="457">
        <v>45518</v>
      </c>
      <c r="D307" s="458">
        <v>236.97</v>
      </c>
      <c r="E307" s="456">
        <v>3361100</v>
      </c>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spans="1:30">
      <c r="A308" s="146"/>
      <c r="B308" s="23"/>
      <c r="C308" s="457">
        <v>45517</v>
      </c>
      <c r="D308" s="458">
        <v>234.1</v>
      </c>
      <c r="E308" s="456">
        <v>6030400</v>
      </c>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spans="1:30">
      <c r="A309" s="146"/>
      <c r="B309" s="23"/>
      <c r="C309" s="457">
        <v>45516</v>
      </c>
      <c r="D309" s="458">
        <v>228.88</v>
      </c>
      <c r="E309" s="456">
        <v>6639300</v>
      </c>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spans="1:30">
      <c r="A310" s="146"/>
      <c r="B310" s="23"/>
      <c r="C310" s="457">
        <v>45513</v>
      </c>
      <c r="D310" s="458">
        <v>233.09</v>
      </c>
      <c r="E310" s="456">
        <v>9972300</v>
      </c>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spans="1:30">
      <c r="A311" s="146"/>
      <c r="B311" s="23"/>
      <c r="C311" s="457">
        <v>45512</v>
      </c>
      <c r="D311" s="458">
        <v>233.17</v>
      </c>
      <c r="E311" s="456">
        <v>5149500</v>
      </c>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spans="1:30">
      <c r="A312" s="146"/>
      <c r="B312" s="23"/>
      <c r="C312" s="457">
        <v>45511</v>
      </c>
      <c r="D312" s="458">
        <v>223.8</v>
      </c>
      <c r="E312" s="456">
        <v>3767700</v>
      </c>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spans="1:30">
      <c r="A313" s="146"/>
      <c r="B313" s="23"/>
      <c r="C313" s="457">
        <v>45510</v>
      </c>
      <c r="D313" s="458">
        <v>227.28</v>
      </c>
      <c r="E313" s="456">
        <v>2842000</v>
      </c>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spans="1:30">
      <c r="A314" s="146"/>
      <c r="B314" s="23"/>
      <c r="C314" s="457">
        <v>45509</v>
      </c>
      <c r="D314" s="458">
        <v>222.09</v>
      </c>
      <c r="E314" s="456">
        <v>2758700</v>
      </c>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spans="1:30">
      <c r="A315" s="146"/>
      <c r="B315" s="23"/>
      <c r="C315" s="457">
        <v>45506</v>
      </c>
      <c r="D315" s="458">
        <v>227.98</v>
      </c>
      <c r="E315" s="456">
        <v>2244100</v>
      </c>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spans="1:30">
      <c r="A316" s="146"/>
      <c r="B316" s="23"/>
      <c r="C316" s="457">
        <v>45505</v>
      </c>
      <c r="D316" s="458">
        <v>238.13</v>
      </c>
      <c r="E316" s="456">
        <v>2947700</v>
      </c>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spans="1:30">
      <c r="A317" s="146"/>
      <c r="B317" s="23"/>
      <c r="C317" s="457">
        <v>45504</v>
      </c>
      <c r="D317" s="458">
        <v>250.39</v>
      </c>
      <c r="E317" s="456">
        <v>2035500</v>
      </c>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spans="1:30">
      <c r="A318" s="146"/>
      <c r="B318" s="23"/>
      <c r="C318" s="457">
        <v>45503</v>
      </c>
      <c r="D318" s="458">
        <v>247.16</v>
      </c>
      <c r="E318" s="456">
        <v>2783900</v>
      </c>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spans="1:30">
      <c r="A319" s="146"/>
      <c r="B319" s="23"/>
      <c r="C319" s="457">
        <v>45502</v>
      </c>
      <c r="D319" s="458">
        <v>245.2</v>
      </c>
      <c r="E319" s="456">
        <v>2837900</v>
      </c>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spans="1:30">
      <c r="A320" s="146"/>
      <c r="B320" s="23"/>
      <c r="C320" s="457">
        <v>45499</v>
      </c>
      <c r="D320" s="458">
        <v>249.23</v>
      </c>
      <c r="E320" s="456">
        <v>2723800</v>
      </c>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spans="1:30">
      <c r="A321" s="146"/>
      <c r="B321" s="23"/>
      <c r="C321" s="457">
        <v>45498</v>
      </c>
      <c r="D321" s="458">
        <v>245.72</v>
      </c>
      <c r="E321" s="456">
        <v>3421800</v>
      </c>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spans="1:30">
      <c r="A322" s="146"/>
      <c r="B322" s="23"/>
      <c r="C322" s="457">
        <v>45497</v>
      </c>
      <c r="D322" s="458">
        <v>236.39</v>
      </c>
      <c r="E322" s="456">
        <v>2562700</v>
      </c>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spans="1:30">
      <c r="A323" s="146"/>
      <c r="B323" s="23"/>
      <c r="C323" s="457">
        <v>45496</v>
      </c>
      <c r="D323" s="458">
        <v>244.18</v>
      </c>
      <c r="E323" s="456">
        <v>2679800</v>
      </c>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spans="1:30">
      <c r="A324" s="146"/>
      <c r="B324" s="23"/>
      <c r="C324" s="457">
        <v>45495</v>
      </c>
      <c r="D324" s="458">
        <v>240.45</v>
      </c>
      <c r="E324" s="456">
        <v>2996500</v>
      </c>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spans="1:30">
      <c r="A325" s="146"/>
      <c r="B325" s="23"/>
      <c r="C325" s="457">
        <v>45492</v>
      </c>
      <c r="D325" s="458">
        <v>240.51</v>
      </c>
      <c r="E325" s="456">
        <v>3181900</v>
      </c>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spans="1:30">
      <c r="A326" s="146"/>
      <c r="B326" s="23"/>
      <c r="C326" s="457">
        <v>45491</v>
      </c>
      <c r="D326" s="458">
        <v>241.8</v>
      </c>
      <c r="E326" s="456">
        <v>3898500</v>
      </c>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spans="1:30">
      <c r="A327" s="146"/>
      <c r="B327" s="23"/>
      <c r="C327" s="457">
        <v>45490</v>
      </c>
      <c r="D327" s="458">
        <v>243.36</v>
      </c>
      <c r="E327" s="456">
        <v>4400500</v>
      </c>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spans="1:30">
      <c r="A328" s="146"/>
      <c r="B328" s="23"/>
      <c r="C328" s="457">
        <v>45489</v>
      </c>
      <c r="D328" s="458">
        <v>244.34</v>
      </c>
      <c r="E328" s="456">
        <v>3816600</v>
      </c>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spans="1:30">
      <c r="A329" s="146"/>
      <c r="B329" s="23"/>
      <c r="C329" s="457">
        <v>45488</v>
      </c>
      <c r="D329" s="458">
        <v>236.39</v>
      </c>
      <c r="E329" s="456">
        <v>4762700</v>
      </c>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spans="1:30">
      <c r="A330" s="146"/>
      <c r="B330" s="23"/>
      <c r="C330" s="457">
        <v>45485</v>
      </c>
      <c r="D330" s="458">
        <v>226.94</v>
      </c>
      <c r="E330" s="456">
        <v>2496200</v>
      </c>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spans="1:30">
      <c r="A331" s="146"/>
      <c r="B331" s="23"/>
      <c r="C331" s="457">
        <v>45484</v>
      </c>
      <c r="D331" s="458">
        <v>225.47</v>
      </c>
      <c r="E331" s="456">
        <v>4764100</v>
      </c>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spans="1:30">
      <c r="A332" s="146"/>
      <c r="B332" s="23"/>
      <c r="C332" s="457">
        <v>45483</v>
      </c>
      <c r="D332" s="458">
        <v>221.04</v>
      </c>
      <c r="E332" s="456">
        <v>3612300</v>
      </c>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spans="1:30">
      <c r="A333" s="146"/>
      <c r="B333" s="23"/>
      <c r="C333" s="457">
        <v>45482</v>
      </c>
      <c r="D333" s="458">
        <v>214.61</v>
      </c>
      <c r="E333" s="456">
        <v>5322600</v>
      </c>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spans="1:30">
      <c r="A334" s="146"/>
      <c r="B334" s="23"/>
      <c r="C334" s="457">
        <v>45481</v>
      </c>
      <c r="D334" s="458">
        <v>212.64</v>
      </c>
      <c r="E334" s="456">
        <v>3899800</v>
      </c>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spans="1:30">
      <c r="A335" s="146"/>
      <c r="B335" s="23"/>
      <c r="C335" s="457">
        <v>45478</v>
      </c>
      <c r="D335" s="458">
        <v>212.77</v>
      </c>
      <c r="E335" s="456">
        <v>4683100</v>
      </c>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spans="1:30">
      <c r="A336" s="146"/>
      <c r="B336" s="23"/>
      <c r="C336" s="457">
        <v>45476</v>
      </c>
      <c r="D336" s="458">
        <v>211</v>
      </c>
      <c r="E336" s="456">
        <v>3727200</v>
      </c>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spans="1:30">
      <c r="A337" s="146"/>
      <c r="B337" s="23"/>
      <c r="C337" s="457">
        <v>45475</v>
      </c>
      <c r="D337" s="458">
        <v>211.41</v>
      </c>
      <c r="E337" s="456">
        <v>4090900</v>
      </c>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spans="1:30">
      <c r="A338" s="146"/>
      <c r="B338" s="23"/>
      <c r="C338" s="457">
        <v>45474</v>
      </c>
      <c r="D338" s="458">
        <v>211.08</v>
      </c>
      <c r="E338" s="456">
        <v>3291800</v>
      </c>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spans="1:30">
      <c r="A339" s="146"/>
      <c r="B339" s="23"/>
      <c r="C339" s="457">
        <v>45471</v>
      </c>
      <c r="D339" s="458">
        <v>208.43</v>
      </c>
      <c r="E339" s="456">
        <v>4036900</v>
      </c>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spans="1:30">
      <c r="A340" s="146"/>
      <c r="B340" s="23"/>
      <c r="C340" s="457">
        <v>45470</v>
      </c>
      <c r="D340" s="458">
        <v>197.51</v>
      </c>
      <c r="E340" s="456">
        <v>3005200</v>
      </c>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spans="1:30">
      <c r="A341" s="146"/>
      <c r="B341" s="23"/>
      <c r="C341" s="457">
        <v>45469</v>
      </c>
      <c r="D341" s="458">
        <v>194.64</v>
      </c>
      <c r="E341" s="456">
        <v>4971200</v>
      </c>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spans="1:30">
      <c r="A342" s="146"/>
      <c r="B342" s="23"/>
      <c r="C342" s="457">
        <v>45468</v>
      </c>
      <c r="D342" s="458">
        <v>194.47</v>
      </c>
      <c r="E342" s="456">
        <v>4144100</v>
      </c>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spans="1:30">
      <c r="A343" s="146"/>
      <c r="B343" s="23"/>
      <c r="C343" s="457">
        <v>45467</v>
      </c>
      <c r="D343" s="458">
        <v>196.79</v>
      </c>
      <c r="E343" s="456">
        <v>4937000</v>
      </c>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spans="1:30">
      <c r="A344" s="146"/>
      <c r="B344" s="23"/>
      <c r="C344" s="457">
        <v>45464</v>
      </c>
      <c r="D344" s="458">
        <v>194.77</v>
      </c>
      <c r="E344" s="456">
        <v>3911900</v>
      </c>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spans="1:30">
      <c r="A345" s="146"/>
      <c r="B345" s="23"/>
      <c r="C345" s="457">
        <v>45463</v>
      </c>
      <c r="D345" s="458">
        <v>201.26</v>
      </c>
      <c r="E345" s="456">
        <v>7243400</v>
      </c>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spans="1:30">
      <c r="A346" s="146"/>
      <c r="B346" s="23"/>
      <c r="C346" s="457">
        <v>45461</v>
      </c>
      <c r="D346" s="458">
        <v>204.58</v>
      </c>
      <c r="E346" s="456">
        <v>2335300</v>
      </c>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spans="1:30">
      <c r="A347" s="146"/>
      <c r="B347" s="23"/>
      <c r="C347" s="457">
        <v>45460</v>
      </c>
      <c r="D347" s="458">
        <v>200.26</v>
      </c>
      <c r="E347" s="456">
        <v>3227000</v>
      </c>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spans="1:30">
      <c r="A348" s="146"/>
      <c r="B348" s="23"/>
      <c r="C348" s="457">
        <v>45457</v>
      </c>
      <c r="D348" s="458">
        <v>197.26</v>
      </c>
      <c r="E348" s="456">
        <v>3326100</v>
      </c>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spans="1:30">
      <c r="A349" s="146"/>
      <c r="B349" s="23"/>
      <c r="C349" s="457">
        <v>45456</v>
      </c>
      <c r="D349" s="458">
        <v>197.4</v>
      </c>
      <c r="E349" s="456">
        <v>2635000</v>
      </c>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spans="1:30">
      <c r="A350" s="146"/>
      <c r="B350" s="23"/>
      <c r="C350" s="457">
        <v>45455</v>
      </c>
      <c r="D350" s="458">
        <v>197.61</v>
      </c>
      <c r="E350" s="456">
        <v>1044600</v>
      </c>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spans="1:30">
      <c r="A351" s="146"/>
      <c r="B351" s="23"/>
      <c r="C351" s="457">
        <v>45454</v>
      </c>
      <c r="D351" s="458">
        <v>193.02</v>
      </c>
      <c r="E351" s="456">
        <v>3613700</v>
      </c>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spans="1:30">
      <c r="A352" s="146"/>
      <c r="B352" s="23"/>
      <c r="C352" s="457">
        <v>45453</v>
      </c>
      <c r="D352" s="458">
        <v>194.12</v>
      </c>
      <c r="E352" s="456">
        <v>3274200</v>
      </c>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spans="1:30">
      <c r="A353" s="146"/>
      <c r="B353" s="23"/>
      <c r="C353" s="457">
        <v>45450</v>
      </c>
      <c r="D353" s="458">
        <v>192.6</v>
      </c>
      <c r="E353" s="456">
        <v>5153100</v>
      </c>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spans="1:30">
      <c r="A354" s="146"/>
      <c r="B354" s="23"/>
      <c r="C354" s="457">
        <v>45449</v>
      </c>
      <c r="D354" s="458">
        <v>195.76</v>
      </c>
      <c r="E354" s="456">
        <v>11916900</v>
      </c>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spans="1:30">
      <c r="A355" s="146"/>
      <c r="B355" s="23"/>
      <c r="C355" s="457">
        <v>45448</v>
      </c>
      <c r="D355" s="458">
        <v>197.54</v>
      </c>
      <c r="E355" s="456">
        <v>4471500</v>
      </c>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spans="1:30">
      <c r="A356" s="146"/>
      <c r="B356" s="23"/>
      <c r="C356" s="457">
        <v>45447</v>
      </c>
      <c r="D356" s="458">
        <v>195.18</v>
      </c>
      <c r="E356" s="456">
        <v>4443500</v>
      </c>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spans="1:30">
      <c r="A357" s="146"/>
      <c r="B357" s="23"/>
      <c r="C357" s="457">
        <v>45446</v>
      </c>
      <c r="D357" s="458">
        <v>201.38</v>
      </c>
      <c r="E357" s="456">
        <v>4764700</v>
      </c>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spans="1:30">
      <c r="A358" s="146"/>
      <c r="B358" s="23"/>
      <c r="C358" s="457">
        <v>45443</v>
      </c>
      <c r="D358" s="458">
        <v>202.94</v>
      </c>
      <c r="E358" s="456">
        <v>4654000</v>
      </c>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spans="1:30">
      <c r="A359" s="146"/>
      <c r="B359" s="23"/>
      <c r="C359" s="457">
        <v>45442</v>
      </c>
      <c r="D359" s="458">
        <v>202</v>
      </c>
      <c r="E359" s="456">
        <v>5292600</v>
      </c>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spans="1:30">
      <c r="A360" s="146"/>
      <c r="B360" s="23"/>
      <c r="C360" s="457">
        <v>45441</v>
      </c>
      <c r="D360" s="458">
        <v>199.01</v>
      </c>
      <c r="E360" s="456">
        <v>6647400</v>
      </c>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spans="1:30">
      <c r="A361" s="146"/>
      <c r="B361" s="23"/>
      <c r="C361" s="457">
        <v>45440</v>
      </c>
      <c r="D361" s="458">
        <v>201.98</v>
      </c>
      <c r="E361" s="456">
        <v>11093300</v>
      </c>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spans="1:30">
      <c r="A362" s="146"/>
      <c r="B362" s="23"/>
      <c r="C362" s="457">
        <v>45436</v>
      </c>
      <c r="D362" s="458">
        <v>204.42</v>
      </c>
      <c r="E362" s="456">
        <v>6737300</v>
      </c>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spans="1:30">
      <c r="A363" s="146"/>
      <c r="B363" s="23"/>
      <c r="C363" s="457">
        <v>45435</v>
      </c>
      <c r="D363" s="458">
        <v>200.09</v>
      </c>
      <c r="E363" s="456">
        <v>7306800</v>
      </c>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spans="1:30">
      <c r="A364" s="146"/>
      <c r="B364" s="23"/>
      <c r="C364" s="457">
        <v>45434</v>
      </c>
      <c r="D364" s="458">
        <v>201.85</v>
      </c>
      <c r="E364" s="456">
        <v>4709100</v>
      </c>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spans="1:30">
      <c r="A365" s="146"/>
      <c r="B365" s="23"/>
      <c r="C365" s="457">
        <v>45433</v>
      </c>
      <c r="D365" s="458">
        <v>205.77</v>
      </c>
      <c r="E365" s="456">
        <v>4870100</v>
      </c>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spans="1:30">
      <c r="A366" s="146"/>
      <c r="B366" s="23"/>
      <c r="C366" s="457">
        <v>45432</v>
      </c>
      <c r="D366" s="458">
        <v>203.02</v>
      </c>
      <c r="E366" s="456">
        <v>5133100</v>
      </c>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spans="1:30">
      <c r="A367" s="146"/>
      <c r="B367" s="23"/>
      <c r="C367" s="457">
        <v>45429</v>
      </c>
      <c r="D367" s="458">
        <v>203.48</v>
      </c>
      <c r="E367" s="456">
        <v>6103700</v>
      </c>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spans="1:30">
      <c r="A368" s="146"/>
      <c r="B368" s="23"/>
      <c r="C368" s="457">
        <v>45428</v>
      </c>
      <c r="D368" s="458">
        <v>199.27</v>
      </c>
      <c r="E368" s="456">
        <v>7292400</v>
      </c>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spans="1:30">
      <c r="A369" s="146"/>
      <c r="B369" s="23"/>
      <c r="C369" s="457">
        <v>45427</v>
      </c>
      <c r="D369" s="458">
        <v>200.29</v>
      </c>
      <c r="E369" s="456">
        <v>2081300</v>
      </c>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spans="1:30">
      <c r="A370" s="146"/>
      <c r="B370" s="23"/>
      <c r="C370" s="457">
        <v>45426</v>
      </c>
      <c r="D370" s="458">
        <v>195.86</v>
      </c>
      <c r="E370" s="456">
        <v>5228300</v>
      </c>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spans="1:30">
      <c r="A371" s="146"/>
      <c r="B371" s="23"/>
      <c r="C371" s="457">
        <v>45425</v>
      </c>
      <c r="D371" s="458">
        <v>195.88</v>
      </c>
      <c r="E371" s="456">
        <v>7190200</v>
      </c>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spans="1:30">
      <c r="A372" s="146"/>
      <c r="B372" s="23"/>
      <c r="C372" s="457">
        <v>45422</v>
      </c>
      <c r="D372" s="458">
        <v>196.25</v>
      </c>
      <c r="E372" s="456">
        <v>6978500</v>
      </c>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spans="1:30">
      <c r="A373" s="146"/>
      <c r="B373" s="23"/>
      <c r="C373" s="457">
        <v>45421</v>
      </c>
      <c r="D373" s="458">
        <v>194.48</v>
      </c>
      <c r="E373" s="456">
        <v>6005800</v>
      </c>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spans="1:30">
      <c r="A374" s="146"/>
      <c r="B374" s="23"/>
      <c r="C374" s="457">
        <v>45420</v>
      </c>
      <c r="D374" s="458">
        <v>193.56</v>
      </c>
      <c r="E374" s="456">
        <v>9393700</v>
      </c>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spans="1:30">
      <c r="A375" s="146"/>
      <c r="B375" s="23"/>
      <c r="C375" s="457">
        <v>45419</v>
      </c>
      <c r="D375" s="458">
        <v>193.1</v>
      </c>
      <c r="E375" s="456">
        <v>18087800</v>
      </c>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spans="1:30">
      <c r="A376" s="146"/>
      <c r="B376" s="23"/>
      <c r="C376" s="457">
        <v>45418</v>
      </c>
      <c r="D376" s="458">
        <v>193.23</v>
      </c>
      <c r="E376" s="456">
        <v>5642100</v>
      </c>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spans="1:30">
      <c r="A377" s="146"/>
      <c r="B377" s="23"/>
      <c r="C377" s="457">
        <v>45415</v>
      </c>
      <c r="D377" s="458">
        <v>189.83</v>
      </c>
      <c r="E377" s="456">
        <v>5005400</v>
      </c>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spans="1:30">
      <c r="A378" s="146"/>
      <c r="B378" s="23"/>
      <c r="C378" s="457">
        <v>45414</v>
      </c>
      <c r="D378" s="458">
        <v>186.53</v>
      </c>
      <c r="E378" s="456">
        <v>4036000</v>
      </c>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spans="1:30">
      <c r="A379" s="146"/>
      <c r="B379" s="23"/>
      <c r="C379" s="457">
        <v>45413</v>
      </c>
      <c r="D379" s="458">
        <v>184.08</v>
      </c>
      <c r="E379" s="456">
        <v>3893900</v>
      </c>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spans="1:30">
      <c r="A380" s="146"/>
      <c r="B380" s="23"/>
      <c r="C380" s="457">
        <v>45412</v>
      </c>
      <c r="D380" s="458">
        <v>181.5</v>
      </c>
      <c r="E380" s="456">
        <v>4551700</v>
      </c>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spans="1:30">
      <c r="A381" s="146"/>
      <c r="B381" s="23"/>
      <c r="C381" s="457">
        <v>45411</v>
      </c>
      <c r="D381" s="458">
        <v>184.85</v>
      </c>
      <c r="E381" s="456">
        <v>5925100</v>
      </c>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spans="1:30">
      <c r="A382" s="146"/>
      <c r="B382" s="23"/>
      <c r="C382" s="457">
        <v>45408</v>
      </c>
      <c r="D382" s="458">
        <v>184.29</v>
      </c>
      <c r="E382" s="456">
        <v>10765200</v>
      </c>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spans="1:30">
      <c r="A383" s="146"/>
      <c r="B383" s="23"/>
      <c r="C383" s="457">
        <v>45407</v>
      </c>
      <c r="D383" s="458">
        <v>183.65</v>
      </c>
      <c r="E383" s="456">
        <v>2672900</v>
      </c>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spans="1:30">
      <c r="A384" s="146"/>
      <c r="B384" s="23"/>
      <c r="C384" s="457">
        <v>45406</v>
      </c>
      <c r="D384" s="458">
        <v>186.59</v>
      </c>
      <c r="E384" s="456">
        <v>4088100</v>
      </c>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spans="1:30">
      <c r="A385" s="146"/>
      <c r="B385" s="23"/>
      <c r="C385" s="457">
        <v>45405</v>
      </c>
      <c r="D385" s="458">
        <v>196.1</v>
      </c>
      <c r="E385" s="456">
        <v>5006500</v>
      </c>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spans="1:30">
      <c r="A386" s="146"/>
      <c r="B386" s="23"/>
      <c r="C386" s="457">
        <v>45404</v>
      </c>
      <c r="D386" s="458">
        <v>192.08</v>
      </c>
      <c r="E386" s="456">
        <v>2908200</v>
      </c>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spans="1:30">
      <c r="A387" s="146"/>
      <c r="B387" s="23"/>
      <c r="C387" s="457">
        <v>45401</v>
      </c>
      <c r="D387" s="458">
        <v>186.36</v>
      </c>
      <c r="E387" s="456">
        <v>2978900</v>
      </c>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spans="1:30">
      <c r="A388" s="146"/>
      <c r="B388" s="23"/>
      <c r="C388" s="457">
        <v>45400</v>
      </c>
      <c r="D388" s="458">
        <v>185.29</v>
      </c>
      <c r="E388" s="456">
        <v>3948900</v>
      </c>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spans="1:30">
      <c r="A389" s="146"/>
      <c r="B389" s="23"/>
      <c r="C389" s="457">
        <v>45399</v>
      </c>
      <c r="D389" s="458">
        <v>185.5</v>
      </c>
      <c r="E389" s="456">
        <v>3697800</v>
      </c>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spans="1:30">
      <c r="A390" s="146"/>
      <c r="B390" s="23"/>
      <c r="C390" s="457">
        <v>45398</v>
      </c>
      <c r="D390" s="458">
        <v>184.67</v>
      </c>
      <c r="E390" s="456">
        <v>4947700</v>
      </c>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spans="1:30">
      <c r="A391" s="146"/>
      <c r="B391" s="23"/>
      <c r="C391" s="457">
        <v>45397</v>
      </c>
      <c r="D391" s="458">
        <v>185.86</v>
      </c>
      <c r="E391" s="456">
        <v>4425700</v>
      </c>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spans="1:30">
      <c r="A392" s="146"/>
      <c r="B392" s="23"/>
      <c r="C392" s="457">
        <v>45394</v>
      </c>
      <c r="D392" s="458">
        <v>190.9</v>
      </c>
      <c r="E392" s="456">
        <v>4380800</v>
      </c>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spans="1:30">
      <c r="A393" s="146"/>
      <c r="B393" s="23"/>
      <c r="C393" s="457">
        <v>45393</v>
      </c>
      <c r="D393" s="458">
        <v>194.09</v>
      </c>
      <c r="E393" s="456">
        <v>2963100</v>
      </c>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spans="1:30">
      <c r="A394" s="146"/>
      <c r="B394" s="23"/>
      <c r="C394" s="457">
        <v>45392</v>
      </c>
      <c r="D394" s="458">
        <v>191.4</v>
      </c>
      <c r="E394" s="456">
        <v>3266800</v>
      </c>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spans="1:30">
      <c r="A395" s="146"/>
      <c r="B395" s="23"/>
      <c r="C395" s="457">
        <v>45391</v>
      </c>
      <c r="D395" s="458">
        <v>193.85</v>
      </c>
      <c r="E395" s="456">
        <v>3431800</v>
      </c>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spans="1:30">
      <c r="A396" s="146"/>
      <c r="B396" s="23"/>
      <c r="C396" s="457">
        <v>45390</v>
      </c>
      <c r="D396" s="458">
        <v>195.61</v>
      </c>
      <c r="E396" s="456">
        <v>3603800</v>
      </c>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spans="1:30">
      <c r="A397" s="146"/>
      <c r="B397" s="23"/>
      <c r="C397" s="457">
        <v>45387</v>
      </c>
      <c r="D397" s="458">
        <v>193.4</v>
      </c>
      <c r="E397" s="456">
        <v>4073200</v>
      </c>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spans="1:30">
      <c r="A398" s="146"/>
      <c r="B398" s="23"/>
      <c r="C398" s="457">
        <v>45386</v>
      </c>
      <c r="D398" s="458">
        <v>190.95</v>
      </c>
      <c r="E398" s="456">
        <v>3879100</v>
      </c>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spans="1:30">
      <c r="A399" s="146"/>
      <c r="B399" s="23"/>
      <c r="C399" s="457">
        <v>45385</v>
      </c>
      <c r="D399" s="458">
        <v>192.67</v>
      </c>
      <c r="E399" s="456">
        <v>3631600</v>
      </c>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spans="1:30">
      <c r="A400" s="146"/>
      <c r="B400" s="23"/>
      <c r="C400" s="457">
        <v>45384</v>
      </c>
      <c r="D400" s="458">
        <v>188.76</v>
      </c>
      <c r="E400" s="456">
        <v>3474800</v>
      </c>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spans="1:30">
      <c r="A401" s="146"/>
      <c r="B401" s="23"/>
      <c r="C401" s="457">
        <v>45383</v>
      </c>
      <c r="D401" s="458">
        <v>189.25</v>
      </c>
      <c r="E401" s="456">
        <v>2987800</v>
      </c>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spans="1:30">
      <c r="A402" s="146"/>
      <c r="B402" s="23"/>
      <c r="C402" s="457">
        <v>45379</v>
      </c>
      <c r="D402" s="458">
        <v>192.59</v>
      </c>
      <c r="E402" s="456">
        <v>3377900</v>
      </c>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spans="1:30">
      <c r="A403" s="146"/>
      <c r="B403" s="23"/>
      <c r="C403" s="457">
        <v>45378</v>
      </c>
      <c r="D403" s="458">
        <v>192.21</v>
      </c>
      <c r="E403" s="456">
        <v>4593700</v>
      </c>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spans="1:30">
      <c r="A404" s="146"/>
      <c r="B404" s="23"/>
      <c r="C404" s="457">
        <v>45377</v>
      </c>
      <c r="D404" s="458">
        <v>190.25</v>
      </c>
      <c r="E404" s="456">
        <v>3105700</v>
      </c>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spans="1:30">
      <c r="A405" s="146"/>
      <c r="B405" s="23"/>
      <c r="C405" s="457">
        <v>45376</v>
      </c>
      <c r="D405" s="458">
        <v>192.36</v>
      </c>
      <c r="E405" s="456">
        <v>2587400</v>
      </c>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spans="1:30">
      <c r="A406" s="146"/>
      <c r="B406" s="23"/>
      <c r="C406" s="457">
        <v>45373</v>
      </c>
      <c r="D406" s="458">
        <v>192.08</v>
      </c>
      <c r="E406" s="456">
        <v>2765600</v>
      </c>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spans="1:30">
      <c r="A407" s="146"/>
      <c r="B407" s="23"/>
      <c r="C407" s="457">
        <v>45372</v>
      </c>
      <c r="D407" s="458">
        <v>195.12</v>
      </c>
      <c r="E407" s="456">
        <v>2437400</v>
      </c>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spans="1:30">
      <c r="A408" s="146"/>
      <c r="B408" s="23"/>
      <c r="C408" s="457">
        <v>45371</v>
      </c>
      <c r="D408" s="458">
        <v>192.15</v>
      </c>
      <c r="E408" s="456">
        <v>2026600</v>
      </c>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spans="1:30">
      <c r="A409" s="146"/>
      <c r="B409" s="23"/>
      <c r="C409" s="457">
        <v>45370</v>
      </c>
      <c r="D409" s="458">
        <v>190.6</v>
      </c>
      <c r="E409" s="456">
        <v>2677200</v>
      </c>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spans="1:30">
      <c r="A410" s="146"/>
      <c r="B410" s="23"/>
      <c r="C410" s="457">
        <v>45369</v>
      </c>
      <c r="D410" s="458">
        <v>187.94</v>
      </c>
      <c r="E410" s="456">
        <v>4198600</v>
      </c>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spans="1:30">
      <c r="A411" s="146"/>
      <c r="B411" s="23"/>
      <c r="C411" s="457">
        <v>45366</v>
      </c>
      <c r="D411" s="458">
        <v>189.27</v>
      </c>
      <c r="E411" s="456">
        <v>2212000</v>
      </c>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spans="1:30">
      <c r="A412" s="146"/>
      <c r="B412" s="23"/>
      <c r="C412" s="457">
        <v>45365</v>
      </c>
      <c r="D412" s="458">
        <v>189.97</v>
      </c>
      <c r="E412" s="456">
        <v>2815700</v>
      </c>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spans="1:30">
      <c r="A413" s="146"/>
      <c r="B413" s="23"/>
      <c r="C413" s="457">
        <v>45364</v>
      </c>
      <c r="D413" s="458">
        <v>194.69</v>
      </c>
      <c r="E413" s="456">
        <v>2828600</v>
      </c>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spans="1:30">
      <c r="A414" s="146"/>
      <c r="B414" s="23"/>
      <c r="C414" s="457">
        <v>45363</v>
      </c>
      <c r="D414" s="458">
        <v>190.73</v>
      </c>
      <c r="E414" s="456">
        <v>3888600</v>
      </c>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spans="1:30">
      <c r="A415" s="146"/>
      <c r="B415" s="23"/>
      <c r="C415" s="457">
        <v>45362</v>
      </c>
      <c r="D415" s="458">
        <v>193.55</v>
      </c>
      <c r="E415" s="456">
        <v>3245500</v>
      </c>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spans="1:30">
      <c r="A416" s="146"/>
      <c r="B416" s="23"/>
      <c r="C416" s="457">
        <v>45359</v>
      </c>
      <c r="D416" s="458">
        <v>196.33</v>
      </c>
      <c r="E416" s="456">
        <v>3526300</v>
      </c>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spans="1:30">
      <c r="A417" s="146"/>
      <c r="B417" s="23"/>
      <c r="C417" s="457">
        <v>45358</v>
      </c>
      <c r="D417" s="458">
        <v>194.23</v>
      </c>
      <c r="E417" s="456">
        <v>3929500</v>
      </c>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spans="1:30">
      <c r="A418" s="146"/>
      <c r="B418" s="23"/>
      <c r="C418" s="457">
        <v>45357</v>
      </c>
      <c r="D418" s="458">
        <v>194.02</v>
      </c>
      <c r="E418" s="456">
        <v>5484700</v>
      </c>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spans="1:30">
      <c r="A419" s="146"/>
      <c r="B419" s="23"/>
      <c r="C419" s="457">
        <v>45356</v>
      </c>
      <c r="D419" s="458">
        <v>194.17</v>
      </c>
      <c r="E419" s="456">
        <v>3717800</v>
      </c>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spans="1:30">
      <c r="A420" s="146"/>
      <c r="B420" s="23"/>
      <c r="C420" s="457">
        <v>45355</v>
      </c>
      <c r="D420" s="458">
        <v>190.84</v>
      </c>
      <c r="E420" s="456">
        <v>3814700</v>
      </c>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spans="1:30">
      <c r="A421" s="146"/>
      <c r="B421" s="23"/>
      <c r="C421" s="457">
        <v>45352</v>
      </c>
      <c r="D421" s="458">
        <v>186.29</v>
      </c>
      <c r="E421" s="456">
        <v>3998100</v>
      </c>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spans="1:30">
      <c r="A422" s="146"/>
      <c r="B422" s="23"/>
      <c r="C422" s="457">
        <v>45351</v>
      </c>
      <c r="D422" s="458">
        <v>187.08</v>
      </c>
      <c r="E422" s="456">
        <v>3583300</v>
      </c>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spans="1:30">
      <c r="A423" s="146"/>
      <c r="B423" s="23"/>
      <c r="C423" s="457">
        <v>45350</v>
      </c>
      <c r="D423" s="458">
        <v>183.75</v>
      </c>
      <c r="E423" s="456">
        <v>4870800</v>
      </c>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spans="1:30">
      <c r="A424" s="146"/>
      <c r="B424" s="23"/>
      <c r="C424" s="457">
        <v>45349</v>
      </c>
      <c r="D424" s="458">
        <v>183.09</v>
      </c>
      <c r="E424" s="456">
        <v>4129200</v>
      </c>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spans="1:30">
      <c r="A425" s="146"/>
      <c r="B425" s="23"/>
      <c r="C425" s="457">
        <v>45348</v>
      </c>
      <c r="D425" s="458">
        <v>182.16</v>
      </c>
      <c r="E425" s="456">
        <v>4382600</v>
      </c>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spans="1:30">
      <c r="A426" s="146"/>
      <c r="B426" s="23"/>
      <c r="C426" s="457">
        <v>45345</v>
      </c>
      <c r="D426" s="458">
        <v>183.01</v>
      </c>
      <c r="E426" s="456">
        <v>4892800</v>
      </c>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spans="1:30">
      <c r="A427" s="146"/>
      <c r="B427" s="23"/>
      <c r="C427" s="457">
        <v>45344</v>
      </c>
      <c r="D427" s="458">
        <v>184.53</v>
      </c>
      <c r="E427" s="456">
        <v>6303800</v>
      </c>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spans="1:30">
      <c r="A428" s="146"/>
      <c r="B428" s="23"/>
      <c r="C428" s="457">
        <v>45343</v>
      </c>
      <c r="D428" s="458">
        <v>181.27</v>
      </c>
      <c r="E428" s="456">
        <v>5734400</v>
      </c>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spans="1:30">
      <c r="A429" s="146"/>
      <c r="B429" s="23"/>
      <c r="C429" s="457">
        <v>45342</v>
      </c>
      <c r="D429" s="458">
        <v>181.89</v>
      </c>
      <c r="E429" s="456">
        <v>4262700</v>
      </c>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spans="1:30" customFormat="1" ht="15"/>
    <row r="431" spans="1:30" customFormat="1" ht="15"/>
    <row r="432" spans="1:30" customFormat="1" ht="15"/>
    <row r="433" spans="1:30" customFormat="1" ht="15"/>
    <row r="434" spans="1:30">
      <c r="A434" s="146"/>
      <c r="B434" s="23"/>
      <c r="C434" s="457"/>
      <c r="D434" s="458"/>
      <c r="E434" s="456"/>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spans="1:30">
      <c r="A435" s="146"/>
      <c r="B435" s="23"/>
      <c r="C435" s="457"/>
      <c r="D435" s="458"/>
      <c r="E435" s="456"/>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spans="1:30">
      <c r="A436" s="146"/>
      <c r="B436" s="23"/>
      <c r="C436" s="457"/>
      <c r="D436" s="458"/>
      <c r="E436" s="456"/>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spans="1:30">
      <c r="A437" s="146"/>
      <c r="B437" s="23"/>
      <c r="C437" s="457"/>
      <c r="D437" s="458"/>
      <c r="E437" s="456"/>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spans="1:30">
      <c r="A438" s="146"/>
      <c r="B438" s="23"/>
      <c r="C438" s="457"/>
      <c r="D438" s="458"/>
      <c r="E438" s="456"/>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spans="1:30">
      <c r="A439" s="146"/>
      <c r="B439" s="23"/>
      <c r="C439" s="457"/>
      <c r="D439" s="458"/>
      <c r="E439" s="456"/>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spans="1:30">
      <c r="A440" s="146"/>
      <c r="B440" s="23"/>
      <c r="C440" s="457"/>
      <c r="D440" s="458"/>
      <c r="E440" s="456"/>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spans="1:30">
      <c r="A441" s="146"/>
      <c r="B441" s="23"/>
      <c r="C441" s="457"/>
      <c r="D441" s="458"/>
      <c r="E441" s="456"/>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spans="1:30">
      <c r="A442" s="146"/>
      <c r="B442" s="23"/>
      <c r="C442" s="457"/>
      <c r="D442" s="458"/>
      <c r="E442" s="456"/>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spans="1:30">
      <c r="A443" s="146"/>
      <c r="B443" s="23"/>
      <c r="C443" s="457"/>
      <c r="D443" s="458"/>
      <c r="E443" s="456"/>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spans="1:30">
      <c r="A444" s="146"/>
      <c r="B444" s="23"/>
      <c r="C444" s="457"/>
      <c r="D444" s="458"/>
      <c r="E444" s="456"/>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spans="1:30">
      <c r="A445" s="146"/>
      <c r="B445" s="23"/>
      <c r="C445" s="457"/>
      <c r="D445" s="458"/>
      <c r="E445" s="456"/>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spans="1:30">
      <c r="A446" s="146"/>
      <c r="B446" s="23"/>
      <c r="C446" s="457"/>
      <c r="D446" s="458"/>
      <c r="E446" s="456"/>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spans="1:30">
      <c r="A447" s="146"/>
      <c r="B447" s="23"/>
      <c r="C447" s="457"/>
      <c r="D447" s="458"/>
      <c r="E447" s="456"/>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spans="1:30">
      <c r="A448" s="146" t="s">
        <v>1</v>
      </c>
      <c r="B448" s="23"/>
      <c r="C448" s="23"/>
      <c r="D448" s="23"/>
      <c r="E448" s="23"/>
      <c r="F448" s="23"/>
      <c r="G448" s="23"/>
      <c r="H448" s="23"/>
      <c r="I448" s="23"/>
      <c r="J448" s="23"/>
      <c r="K448" s="23"/>
      <c r="L448" s="23"/>
      <c r="M448" s="23"/>
      <c r="N448" s="23"/>
      <c r="O448" s="23"/>
      <c r="P448" s="23"/>
      <c r="Q448" s="23"/>
      <c r="R448" s="23"/>
      <c r="S448" s="23" t="s">
        <v>1</v>
      </c>
      <c r="T448" s="23"/>
      <c r="U448" s="23"/>
      <c r="V448" s="23"/>
      <c r="W448" s="23"/>
      <c r="X448" s="23"/>
      <c r="Y448" s="23"/>
      <c r="Z448" s="23"/>
      <c r="AA448" s="23"/>
      <c r="AB448" s="23"/>
      <c r="AC448" s="23"/>
      <c r="AD448" s="23"/>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autoPageBreaks="0"/>
  </sheetPr>
  <dimension ref="A1:R161"/>
  <sheetViews>
    <sheetView showGridLines="0" zoomScale="80" zoomScaleNormal="80" zoomScaleSheetLayoutView="80" workbookViewId="0">
      <pane ySplit="2" topLeftCell="A3" activePane="bottomLeft" state="frozen"/>
      <selection pane="bottomLeft"/>
    </sheetView>
  </sheetViews>
  <sheetFormatPr defaultColWidth="8.7109375" defaultRowHeight="14.25"/>
  <cols>
    <col min="1" max="2" width="1.7109375" style="3" customWidth="1"/>
    <col min="3" max="17" width="10.42578125" style="3" customWidth="1"/>
    <col min="18" max="18" width="2.42578125" style="3" customWidth="1"/>
    <col min="19" max="26" width="10.42578125" style="3" customWidth="1"/>
    <col min="27" max="16384" width="8.7109375" style="3"/>
  </cols>
  <sheetData>
    <row r="1" spans="1:18" s="2" customFormat="1" ht="18">
      <c r="C1" s="508" t="str">
        <f ca="1">Company_Name&amp;" - "&amp;MID(CELL("filename",A1),FIND("]",CELL("filename",A1))+1,255)&amp;": "&amp;Case_Scenario&amp;" Case"</f>
        <v>Evercore Inc. - Benchmark: Base Case</v>
      </c>
    </row>
    <row r="2" spans="1:18">
      <c r="C2" s="4" t="str">
        <f>Cover!C2</f>
        <v>$ in Thousands Except Per Share Data</v>
      </c>
    </row>
    <row r="3" spans="1:18" s="23" customFormat="1" ht="12.75">
      <c r="A3" s="588" t="s">
        <v>1</v>
      </c>
      <c r="C3" s="24"/>
    </row>
    <row r="4" spans="1:18" s="23" customFormat="1" ht="12.75">
      <c r="A4" s="146"/>
      <c r="C4" s="251" t="s">
        <v>483</v>
      </c>
      <c r="D4" s="204"/>
      <c r="E4" s="600">
        <f>EDATE(E5,-12)</f>
        <v>45785</v>
      </c>
      <c r="G4" s="186"/>
      <c r="H4" s="186"/>
      <c r="I4" s="186"/>
      <c r="J4" s="186"/>
      <c r="K4" s="186"/>
      <c r="L4" s="186"/>
    </row>
    <row r="5" spans="1:18" s="23" customFormat="1" ht="12.75">
      <c r="A5" s="146"/>
      <c r="C5" s="150" t="s">
        <v>484</v>
      </c>
      <c r="E5" s="601">
        <f>Current_Date</f>
        <v>46150</v>
      </c>
      <c r="G5" s="450" t="str">
        <f>Comparables!F10</f>
        <v>EVR</v>
      </c>
      <c r="H5" s="450" t="str">
        <f>Comparables!F12</f>
        <v>LAZ</v>
      </c>
      <c r="I5" s="450" t="str">
        <f>Comparables!F13</f>
        <v>HLI</v>
      </c>
      <c r="J5" s="450" t="str">
        <f>Comparables!F14</f>
        <v>PJT</v>
      </c>
      <c r="K5" s="450" t="str">
        <f>Comparables!F15</f>
        <v>MC</v>
      </c>
      <c r="L5" s="450">
        <f>Comparables!F16</f>
        <v>0</v>
      </c>
    </row>
    <row r="6" spans="1:18" s="23" customFormat="1" ht="12.75">
      <c r="A6" s="146"/>
      <c r="C6" s="159" t="s">
        <v>485</v>
      </c>
      <c r="D6" s="155"/>
      <c r="E6" s="602">
        <f>EDATE(E5,24)</f>
        <v>46881</v>
      </c>
    </row>
    <row r="7" spans="1:18" s="23" customFormat="1" ht="12.75">
      <c r="A7" s="146"/>
    </row>
    <row r="8" spans="1:18" s="23" customFormat="1" ht="12.75">
      <c r="A8" s="146" t="s">
        <v>1</v>
      </c>
      <c r="C8" s="540" t="str">
        <f>"Revenue Growth "&amp;TEXT(E5,"yyyy")&amp;"e"</f>
        <v>Revenue Growth 2026e</v>
      </c>
      <c r="D8" s="170"/>
      <c r="E8" s="170"/>
      <c r="F8" s="170"/>
      <c r="G8" s="170"/>
      <c r="H8" s="170"/>
      <c r="I8" s="170"/>
      <c r="J8" s="170"/>
      <c r="K8" s="170"/>
      <c r="L8" s="170"/>
      <c r="M8" s="170"/>
      <c r="N8" s="170"/>
      <c r="O8" s="170"/>
      <c r="P8" s="170"/>
      <c r="Q8" s="26"/>
      <c r="R8" s="186"/>
    </row>
    <row r="9" spans="1:18" s="23" customFormat="1" ht="12.75">
      <c r="A9" s="146"/>
    </row>
    <row r="10" spans="1:18" s="23" customFormat="1" ht="12.75">
      <c r="A10" s="146"/>
      <c r="C10" s="603" t="s">
        <v>486</v>
      </c>
      <c r="D10" s="603"/>
      <c r="E10" s="603"/>
      <c r="F10" s="163"/>
      <c r="O10" s="603" t="s">
        <v>487</v>
      </c>
      <c r="P10" s="603"/>
      <c r="Q10" s="603"/>
    </row>
    <row r="11" spans="1:18" s="23" customFormat="1" ht="12.75">
      <c r="A11" s="146"/>
    </row>
    <row r="12" spans="1:18" s="23" customFormat="1" ht="12.75">
      <c r="A12" s="146"/>
      <c r="C12" s="604" t="str">
        <f t="array" ref="C12:C17">TRANSPOSE(G5:L5)</f>
        <v>EVR</v>
      </c>
      <c r="D12" s="605">
        <f>Comparables!J10</f>
        <v>0.425431</v>
      </c>
      <c r="E12" s="606"/>
      <c r="O12" s="604" t="str">
        <f>C12</f>
        <v>EVR</v>
      </c>
      <c r="P12" s="606">
        <f>D12</f>
        <v>0.425431</v>
      </c>
      <c r="Q12" s="606"/>
    </row>
    <row r="13" spans="1:18" s="23" customFormat="1" ht="12.75">
      <c r="A13" s="146"/>
      <c r="B13" s="441">
        <v>1</v>
      </c>
      <c r="C13" s="352" t="str">
        <v>LAZ</v>
      </c>
      <c r="D13" s="607">
        <f ca="1">Comparables!J12+RAND()/1000000</f>
        <v>3.6511652824848008E-2</v>
      </c>
      <c r="E13" s="608">
        <f ca="1">MEDIAN(D13:D17)</f>
        <v>0.10620472327411244</v>
      </c>
      <c r="O13" s="352" t="str">
        <f ca="1">INDEX($C$13:$C$17,MATCH(P13,$D$13:$D$17,0),1)</f>
        <v>MC</v>
      </c>
      <c r="P13" s="608">
        <f ca="1">LARGE($D$13:$D$17,B13)</f>
        <v>0.24366868356378796</v>
      </c>
      <c r="Q13" s="608">
        <f ca="1">E13</f>
        <v>0.10620472327411244</v>
      </c>
      <c r="R13" s="608"/>
    </row>
    <row r="14" spans="1:18" s="23" customFormat="1" ht="12.75">
      <c r="A14" s="146"/>
      <c r="B14" s="23">
        <f>B13+1</f>
        <v>2</v>
      </c>
      <c r="C14" s="352" t="str">
        <v>HLI</v>
      </c>
      <c r="D14" s="607">
        <f ca="1">Comparables!J13+RAND()/1000000</f>
        <v>0.22849417260901475</v>
      </c>
      <c r="E14" s="608">
        <f ca="1">E13</f>
        <v>0.10620472327411244</v>
      </c>
      <c r="O14" s="352" t="str">
        <f ca="1">INDEX($C$13:$C$17,MATCH(P14,$D$13:$D$17,0),1)</f>
        <v>HLI</v>
      </c>
      <c r="P14" s="608">
        <f ca="1">LARGE($D$13:$D$17,B14)</f>
        <v>0.22849417260901475</v>
      </c>
      <c r="Q14" s="608">
        <f ca="1">E14</f>
        <v>0.10620472327411244</v>
      </c>
      <c r="R14" s="608"/>
    </row>
    <row r="15" spans="1:18" s="23" customFormat="1" ht="12.75">
      <c r="A15" s="146"/>
      <c r="B15" s="23">
        <f>B14+1</f>
        <v>3</v>
      </c>
      <c r="C15" s="352" t="str">
        <v>PJT</v>
      </c>
      <c r="D15" s="607">
        <f ca="1">Comparables!J14+RAND()/1000000</f>
        <v>0.10620472327411244</v>
      </c>
      <c r="E15" s="608">
        <f ca="1">E14</f>
        <v>0.10620472327411244</v>
      </c>
      <c r="O15" s="352" t="str">
        <f ca="1">INDEX($C$13:$C$17,MATCH(P15,$D$13:$D$17,0),1)</f>
        <v>PJT</v>
      </c>
      <c r="P15" s="608">
        <f ca="1">LARGE($D$13:$D$17,B15)</f>
        <v>0.10620472327411244</v>
      </c>
      <c r="Q15" s="608">
        <f ca="1">E15</f>
        <v>0.10620472327411244</v>
      </c>
      <c r="R15" s="608"/>
    </row>
    <row r="16" spans="1:18" s="23" customFormat="1" ht="12.75">
      <c r="A16" s="146"/>
      <c r="B16" s="23">
        <f>B15+1</f>
        <v>4</v>
      </c>
      <c r="C16" s="352" t="str">
        <v>MC</v>
      </c>
      <c r="D16" s="607">
        <f ca="1">Comparables!J15+RAND()/1000000</f>
        <v>0.24366868356378796</v>
      </c>
      <c r="E16" s="608">
        <f ca="1">E15</f>
        <v>0.10620472327411244</v>
      </c>
      <c r="O16" s="352" t="str">
        <f ca="1">INDEX($C$13:$C$17,MATCH(P16,$D$13:$D$17,0),1)</f>
        <v>LAZ</v>
      </c>
      <c r="P16" s="608">
        <f ca="1">LARGE($D$13:$D$17,B16)</f>
        <v>3.6511652824848008E-2</v>
      </c>
      <c r="Q16" s="608">
        <f ca="1">E16</f>
        <v>0.10620472327411244</v>
      </c>
      <c r="R16" s="608"/>
    </row>
    <row r="17" spans="1:18" s="23" customFormat="1" ht="12.75">
      <c r="A17" s="146"/>
      <c r="B17" s="23">
        <f>B16+1</f>
        <v>5</v>
      </c>
      <c r="C17" s="352">
        <v>0</v>
      </c>
      <c r="D17" s="607">
        <f ca="1">Comparables!J16+RAND()/1000000</f>
        <v>9.4004357022564849E-7</v>
      </c>
      <c r="E17" s="608">
        <f ca="1">E16</f>
        <v>0.10620472327411244</v>
      </c>
      <c r="O17" s="352">
        <f ca="1">INDEX($C$13:$C$17,MATCH(P17,$D$13:$D$17,0),1)</f>
        <v>0</v>
      </c>
      <c r="P17" s="608">
        <f ca="1">LARGE($D$13:$D$17,B17)</f>
        <v>9.4004357022564849E-7</v>
      </c>
      <c r="Q17" s="608">
        <f ca="1">E17</f>
        <v>0.10620472327411244</v>
      </c>
      <c r="R17" s="608"/>
    </row>
    <row r="18" spans="1:18" s="23" customFormat="1" ht="12.75">
      <c r="A18" s="146"/>
    </row>
    <row r="19" spans="1:18" s="23" customFormat="1" ht="12.75">
      <c r="A19" s="146"/>
      <c r="E19" s="809" t="str">
        <f ca="1">"Median "&amp;TEXT(E13,"0.0%")</f>
        <v>Median 10.6%</v>
      </c>
      <c r="Q19" s="809" t="str">
        <f ca="1">E19</f>
        <v>Median 10.6%</v>
      </c>
    </row>
    <row r="20" spans="1:18" s="23" customFormat="1" ht="12.75">
      <c r="A20" s="146"/>
      <c r="P20" s="608"/>
    </row>
    <row r="21" spans="1:18" s="23" customFormat="1" ht="12.75">
      <c r="A21" s="146"/>
      <c r="P21" s="608"/>
    </row>
    <row r="22" spans="1:18" s="23" customFormat="1" ht="12.75">
      <c r="A22" s="146"/>
      <c r="P22" s="608"/>
    </row>
    <row r="23" spans="1:18" s="23" customFormat="1" ht="12.75">
      <c r="A23" s="146"/>
      <c r="P23" s="608"/>
    </row>
    <row r="24" spans="1:18" s="23" customFormat="1" ht="12.75">
      <c r="A24" s="146" t="s">
        <v>1</v>
      </c>
      <c r="C24" s="540" t="str">
        <f>"EPS Growth "&amp;TEXT(E5,"yyyy")&amp;"e"</f>
        <v>EPS Growth 2026e</v>
      </c>
      <c r="D24" s="170"/>
      <c r="E24" s="170"/>
      <c r="F24" s="170"/>
      <c r="G24" s="170"/>
      <c r="H24" s="170"/>
      <c r="I24" s="170"/>
      <c r="J24" s="170"/>
      <c r="K24" s="170"/>
      <c r="L24" s="170"/>
      <c r="M24" s="170"/>
      <c r="N24" s="170"/>
      <c r="O24" s="170"/>
      <c r="P24" s="170"/>
      <c r="Q24" s="26"/>
    </row>
    <row r="25" spans="1:18" s="23" customFormat="1" ht="12.75">
      <c r="A25" s="146"/>
    </row>
    <row r="26" spans="1:18" s="23" customFormat="1" ht="12.75">
      <c r="A26" s="146"/>
      <c r="C26" s="603" t="str">
        <f>C10</f>
        <v>Raw Data</v>
      </c>
      <c r="D26" s="603"/>
      <c r="E26" s="603"/>
      <c r="F26" s="163"/>
      <c r="O26" s="603" t="str">
        <f>O10</f>
        <v>Chart Data</v>
      </c>
      <c r="P26" s="603"/>
      <c r="Q26" s="603"/>
    </row>
    <row r="27" spans="1:18" s="23" customFormat="1" ht="12.75">
      <c r="A27" s="146"/>
    </row>
    <row r="28" spans="1:18" s="23" customFormat="1" ht="12.75">
      <c r="A28" s="146"/>
      <c r="B28" s="441"/>
      <c r="C28" s="604" t="str">
        <f t="shared" ref="C28:C33" si="0">C12</f>
        <v>EVR</v>
      </c>
      <c r="D28" s="605">
        <f>Comparables!L10</f>
        <v>0.48799999999999999</v>
      </c>
      <c r="E28" s="606"/>
      <c r="O28" s="604" t="str">
        <f>C28</f>
        <v>EVR</v>
      </c>
      <c r="P28" s="606">
        <f>D28</f>
        <v>0.48799999999999999</v>
      </c>
      <c r="Q28" s="606"/>
    </row>
    <row r="29" spans="1:18" s="23" customFormat="1" ht="12.75">
      <c r="A29" s="146"/>
      <c r="B29" s="441">
        <v>1</v>
      </c>
      <c r="C29" s="352" t="str">
        <f t="shared" si="0"/>
        <v>LAZ</v>
      </c>
      <c r="D29" s="607">
        <f ca="1">Comparables!L12+RAND()/1000000</f>
        <v>0.36378436867777625</v>
      </c>
      <c r="E29" s="608">
        <f ca="1">MEDIAN(D29:D33)</f>
        <v>0.36378436867777625</v>
      </c>
      <c r="O29" s="352" t="str">
        <f ca="1">INDEX($C$29:$C$33,MATCH(P29,$D$29:$D$33,0),1)</f>
        <v>MC</v>
      </c>
      <c r="P29" s="608">
        <f ca="1">LARGE($D$29:$D$33,B29)</f>
        <v>0.50156718820665502</v>
      </c>
      <c r="Q29" s="608">
        <f ca="1">E29</f>
        <v>0.36378436867777625</v>
      </c>
    </row>
    <row r="30" spans="1:18" s="23" customFormat="1" ht="12.75">
      <c r="A30" s="146"/>
      <c r="B30" s="23">
        <f>B29+1</f>
        <v>2</v>
      </c>
      <c r="C30" s="352" t="str">
        <f t="shared" si="0"/>
        <v>HLI</v>
      </c>
      <c r="D30" s="607">
        <f ca="1">Comparables!L13+RAND()/1000000</f>
        <v>0.44577906062994138</v>
      </c>
      <c r="E30" s="608">
        <f ca="1">E29</f>
        <v>0.36378436867777625</v>
      </c>
      <c r="O30" s="352" t="str">
        <f ca="1">INDEX($C$29:$C$33,MATCH(P30,$D$29:$D$33,0),1)</f>
        <v>HLI</v>
      </c>
      <c r="P30" s="608">
        <f ca="1">LARGE($D$29:$D$33,B30)</f>
        <v>0.44577906062994138</v>
      </c>
      <c r="Q30" s="608">
        <f ca="1">E30</f>
        <v>0.36378436867777625</v>
      </c>
    </row>
    <row r="31" spans="1:18" s="23" customFormat="1" ht="12.75">
      <c r="A31" s="146"/>
      <c r="B31" s="23">
        <f>B30+1</f>
        <v>3</v>
      </c>
      <c r="C31" s="352" t="str">
        <f t="shared" si="0"/>
        <v>PJT</v>
      </c>
      <c r="D31" s="607">
        <f ca="1">Comparables!L14+RAND()/1000000</f>
        <v>0.24327445028429781</v>
      </c>
      <c r="E31" s="608">
        <f ca="1">E30</f>
        <v>0.36378436867777625</v>
      </c>
      <c r="O31" s="352" t="str">
        <f ca="1">INDEX($C$29:$C$33,MATCH(P31,$D$29:$D$33,0),1)</f>
        <v>LAZ</v>
      </c>
      <c r="P31" s="608">
        <f ca="1">LARGE($D$29:$D$33,B31)</f>
        <v>0.36378436867777625</v>
      </c>
      <c r="Q31" s="608">
        <f ca="1">E31</f>
        <v>0.36378436867777625</v>
      </c>
    </row>
    <row r="32" spans="1:18" s="23" customFormat="1" ht="12.75">
      <c r="A32" s="146"/>
      <c r="B32" s="23">
        <f>B31+1</f>
        <v>4</v>
      </c>
      <c r="C32" s="352" t="str">
        <f t="shared" si="0"/>
        <v>MC</v>
      </c>
      <c r="D32" s="607">
        <f ca="1">Comparables!L15+RAND()/1000000</f>
        <v>0.50156718820665502</v>
      </c>
      <c r="E32" s="608">
        <f ca="1">E31</f>
        <v>0.36378436867777625</v>
      </c>
      <c r="O32" s="352" t="str">
        <f ca="1">INDEX($C$29:$C$33,MATCH(P32,$D$29:$D$33,0),1)</f>
        <v>PJT</v>
      </c>
      <c r="P32" s="608">
        <f ca="1">LARGE($D$29:$D$33,B32)</f>
        <v>0.24327445028429781</v>
      </c>
      <c r="Q32" s="608">
        <f ca="1">E32</f>
        <v>0.36378436867777625</v>
      </c>
    </row>
    <row r="33" spans="1:17" s="23" customFormat="1" ht="12.75">
      <c r="A33" s="146"/>
      <c r="B33" s="23">
        <f>B32+1</f>
        <v>5</v>
      </c>
      <c r="C33" s="352">
        <f t="shared" si="0"/>
        <v>0</v>
      </c>
      <c r="D33" s="607">
        <f ca="1">Comparables!L16+RAND()/1000000</f>
        <v>5.0136669961084171E-7</v>
      </c>
      <c r="E33" s="608">
        <f ca="1">E32</f>
        <v>0.36378436867777625</v>
      </c>
      <c r="O33" s="352">
        <f ca="1">INDEX($C$29:$C$33,MATCH(P33,$D$29:$D$33,0),1)</f>
        <v>0</v>
      </c>
      <c r="P33" s="608">
        <f ca="1">LARGE($D$29:$D$33,B33)</f>
        <v>5.0136669961084171E-7</v>
      </c>
      <c r="Q33" s="608">
        <f ca="1">E33</f>
        <v>0.36378436867777625</v>
      </c>
    </row>
    <row r="34" spans="1:17" s="23" customFormat="1" ht="12.75">
      <c r="A34" s="146"/>
    </row>
    <row r="35" spans="1:17" s="23" customFormat="1" ht="12.75">
      <c r="A35" s="146"/>
      <c r="E35" s="809" t="str">
        <f ca="1">"Median "&amp;TEXT(E29,"0.0%")</f>
        <v>Median 36.4%</v>
      </c>
      <c r="Q35" s="809" t="str">
        <f ca="1">E35</f>
        <v>Median 36.4%</v>
      </c>
    </row>
    <row r="36" spans="1:17" s="23" customFormat="1" ht="12.75">
      <c r="A36" s="146"/>
    </row>
    <row r="37" spans="1:17" s="23" customFormat="1" ht="12.75">
      <c r="A37" s="146"/>
    </row>
    <row r="38" spans="1:17" s="23" customFormat="1" ht="12.75">
      <c r="A38" s="146"/>
    </row>
    <row r="39" spans="1:17" s="23" customFormat="1" ht="12.75">
      <c r="A39" s="146"/>
    </row>
    <row r="40" spans="1:17" s="23" customFormat="1" ht="12.75">
      <c r="A40" s="146" t="s">
        <v>1</v>
      </c>
      <c r="C40" s="540" t="s">
        <v>488</v>
      </c>
      <c r="D40" s="170"/>
      <c r="E40" s="170"/>
      <c r="F40" s="170"/>
      <c r="G40" s="170"/>
      <c r="H40" s="170"/>
      <c r="I40" s="170"/>
      <c r="J40" s="170"/>
      <c r="K40" s="170"/>
      <c r="L40" s="170"/>
      <c r="M40" s="170"/>
      <c r="N40" s="170"/>
      <c r="O40" s="170"/>
      <c r="P40" s="170"/>
      <c r="Q40" s="26"/>
    </row>
    <row r="41" spans="1:17" s="23" customFormat="1" ht="12.75">
      <c r="A41" s="146"/>
    </row>
    <row r="42" spans="1:17" s="23" customFormat="1" ht="12.75">
      <c r="A42" s="146"/>
      <c r="C42" s="603" t="str">
        <f>C26</f>
        <v>Raw Data</v>
      </c>
      <c r="D42" s="603"/>
      <c r="E42" s="603"/>
      <c r="F42" s="163"/>
      <c r="O42" s="603" t="str">
        <f>O26</f>
        <v>Chart Data</v>
      </c>
      <c r="P42" s="603"/>
      <c r="Q42" s="603"/>
    </row>
    <row r="43" spans="1:17" s="23" customFormat="1" ht="12.75">
      <c r="A43" s="146"/>
    </row>
    <row r="44" spans="1:17" s="23" customFormat="1" ht="12.75">
      <c r="A44" s="146"/>
      <c r="C44" s="604" t="str">
        <f t="shared" ref="C44:C49" si="1">C28</f>
        <v>EVR</v>
      </c>
      <c r="D44" s="609">
        <f>Comparables!R10</f>
        <v>0</v>
      </c>
      <c r="E44" s="606"/>
      <c r="O44" s="604" t="str">
        <f>C44</f>
        <v>EVR</v>
      </c>
      <c r="P44" s="610">
        <f>D44</f>
        <v>0</v>
      </c>
      <c r="Q44" s="606"/>
    </row>
    <row r="45" spans="1:17" s="23" customFormat="1" ht="12.75">
      <c r="A45" s="146"/>
      <c r="B45" s="441">
        <v>1</v>
      </c>
      <c r="C45" s="352" t="str">
        <f t="shared" si="1"/>
        <v>LAZ</v>
      </c>
      <c r="D45" s="611">
        <f ca="1">Comparables!R12+RAND()/1000000</f>
        <v>7.8003397788933616E-7</v>
      </c>
      <c r="E45" s="612">
        <f ca="1">MEDIAN(D45:D49)</f>
        <v>7.7302900749948869E-7</v>
      </c>
      <c r="O45" s="352" t="str">
        <f ca="1">INDEX($C$45:$C$49,MATCH(P45,$D$45:$D$49,0),1)</f>
        <v>HLI</v>
      </c>
      <c r="P45" s="612">
        <f ca="1">LARGE($D$45:$D$49,B45)</f>
        <v>8.7549224791459702E-7</v>
      </c>
      <c r="Q45" s="612">
        <f ca="1">E45</f>
        <v>7.7302900749948869E-7</v>
      </c>
    </row>
    <row r="46" spans="1:17" s="23" customFormat="1" ht="12.75">
      <c r="A46" s="146"/>
      <c r="B46" s="23">
        <f>B45+1</f>
        <v>2</v>
      </c>
      <c r="C46" s="352" t="str">
        <f t="shared" si="1"/>
        <v>HLI</v>
      </c>
      <c r="D46" s="611">
        <f ca="1">Comparables!R13+RAND()/1000000</f>
        <v>8.7549224791459702E-7</v>
      </c>
      <c r="E46" s="612">
        <f ca="1">E45</f>
        <v>7.7302900749948869E-7</v>
      </c>
      <c r="O46" s="352" t="str">
        <f ca="1">INDEX($C$45:$C$49,MATCH(P46,$D$45:$D$49,0),1)</f>
        <v>LAZ</v>
      </c>
      <c r="P46" s="612">
        <f ca="1">LARGE($D$45:$D$49,B46)</f>
        <v>7.8003397788933616E-7</v>
      </c>
      <c r="Q46" s="612">
        <f ca="1">E46</f>
        <v>7.7302900749948869E-7</v>
      </c>
    </row>
    <row r="47" spans="1:17" s="23" customFormat="1" ht="12.75">
      <c r="A47" s="146"/>
      <c r="B47" s="23">
        <f>B46+1</f>
        <v>3</v>
      </c>
      <c r="C47" s="352" t="str">
        <f t="shared" si="1"/>
        <v>PJT</v>
      </c>
      <c r="D47" s="611">
        <f ca="1">Comparables!R14+RAND()/1000000</f>
        <v>5.3332610946061132E-7</v>
      </c>
      <c r="E47" s="612">
        <f ca="1">E46</f>
        <v>7.7302900749948869E-7</v>
      </c>
      <c r="O47" s="352">
        <f ca="1">INDEX($C$45:$C$49,MATCH(P47,$D$45:$D$49,0),1)</f>
        <v>0</v>
      </c>
      <c r="P47" s="612">
        <f ca="1">LARGE($D$45:$D$49,B47)</f>
        <v>7.7302900749948869E-7</v>
      </c>
      <c r="Q47" s="612">
        <f ca="1">E47</f>
        <v>7.7302900749948869E-7</v>
      </c>
    </row>
    <row r="48" spans="1:17" s="23" customFormat="1" ht="12.75">
      <c r="A48" s="146"/>
      <c r="B48" s="23">
        <f>B47+1</f>
        <v>4</v>
      </c>
      <c r="C48" s="352" t="str">
        <f t="shared" si="1"/>
        <v>MC</v>
      </c>
      <c r="D48" s="611">
        <f ca="1">Comparables!R15+RAND()/1000000</f>
        <v>5.7497411561290236E-7</v>
      </c>
      <c r="E48" s="612">
        <f ca="1">E47</f>
        <v>7.7302900749948869E-7</v>
      </c>
      <c r="O48" s="352" t="str">
        <f ca="1">INDEX($C$45:$C$49,MATCH(P48,$D$45:$D$49,0),1)</f>
        <v>MC</v>
      </c>
      <c r="P48" s="612">
        <f ca="1">LARGE($D$45:$D$49,B48)</f>
        <v>5.7497411561290236E-7</v>
      </c>
      <c r="Q48" s="612">
        <f ca="1">E48</f>
        <v>7.7302900749948869E-7</v>
      </c>
    </row>
    <row r="49" spans="1:17" s="23" customFormat="1" ht="12.75">
      <c r="A49" s="146"/>
      <c r="B49" s="23">
        <f>B48+1</f>
        <v>5</v>
      </c>
      <c r="C49" s="352">
        <f t="shared" si="1"/>
        <v>0</v>
      </c>
      <c r="D49" s="611">
        <f ca="1">Comparables!R16+RAND()/1000000</f>
        <v>7.7302900749948869E-7</v>
      </c>
      <c r="E49" s="612">
        <f ca="1">E48</f>
        <v>7.7302900749948869E-7</v>
      </c>
      <c r="O49" s="352" t="str">
        <f ca="1">INDEX($C$45:$C$49,MATCH(P49,$D$45:$D$49,0),1)</f>
        <v>PJT</v>
      </c>
      <c r="P49" s="612">
        <f ca="1">LARGE($D$45:$D$49,B49)</f>
        <v>5.3332610946061132E-7</v>
      </c>
      <c r="Q49" s="612">
        <f ca="1">E49</f>
        <v>7.7302900749948869E-7</v>
      </c>
    </row>
    <row r="50" spans="1:17" s="23" customFormat="1" ht="12.75">
      <c r="A50" s="146"/>
    </row>
    <row r="51" spans="1:17" s="23" customFormat="1" ht="12.75">
      <c r="A51" s="146"/>
      <c r="E51" s="809" t="str">
        <f ca="1">"Median "&amp;TEXT(E45,"0.0x")</f>
        <v>Median 0.0x</v>
      </c>
      <c r="Q51" s="809" t="str">
        <f ca="1">E51</f>
        <v>Median 0.0x</v>
      </c>
    </row>
    <row r="52" spans="1:17" s="23" customFormat="1" ht="12.75">
      <c r="A52" s="146"/>
    </row>
    <row r="53" spans="1:17" s="23" customFormat="1" ht="12.75">
      <c r="A53" s="146"/>
    </row>
    <row r="54" spans="1:17" s="23" customFormat="1" ht="12.75">
      <c r="A54" s="146"/>
    </row>
    <row r="55" spans="1:17" s="23" customFormat="1" ht="12.75">
      <c r="A55" s="146"/>
    </row>
    <row r="56" spans="1:17" s="23" customFormat="1" ht="12.75">
      <c r="A56" s="146" t="s">
        <v>1</v>
      </c>
      <c r="C56" s="540" t="s">
        <v>489</v>
      </c>
      <c r="D56" s="170"/>
      <c r="E56" s="170"/>
      <c r="F56" s="170"/>
      <c r="G56" s="170"/>
      <c r="H56" s="170"/>
      <c r="I56" s="170"/>
      <c r="J56" s="170"/>
      <c r="K56" s="170"/>
      <c r="L56" s="170"/>
      <c r="M56" s="170"/>
      <c r="N56" s="170"/>
      <c r="O56" s="170"/>
      <c r="P56" s="170"/>
      <c r="Q56" s="26"/>
    </row>
    <row r="57" spans="1:17" s="23" customFormat="1" ht="12.75">
      <c r="A57" s="146"/>
    </row>
    <row r="58" spans="1:17" s="23" customFormat="1" ht="12.75">
      <c r="A58" s="146"/>
      <c r="C58" s="603" t="str">
        <f>C42</f>
        <v>Raw Data</v>
      </c>
      <c r="D58" s="603"/>
      <c r="E58" s="603"/>
      <c r="F58" s="163"/>
      <c r="O58" s="603" t="str">
        <f>O42</f>
        <v>Chart Data</v>
      </c>
      <c r="P58" s="603"/>
      <c r="Q58" s="603"/>
    </row>
    <row r="59" spans="1:17" s="23" customFormat="1" ht="12.75">
      <c r="A59" s="146"/>
    </row>
    <row r="60" spans="1:17" s="23" customFormat="1" ht="12.75">
      <c r="A60" s="146"/>
      <c r="C60" s="604" t="str">
        <f t="shared" ref="C60:C65" si="2">C44</f>
        <v>EVR</v>
      </c>
      <c r="D60" s="609">
        <f>Comparables!V10</f>
        <v>17.846255042276262</v>
      </c>
      <c r="E60" s="606"/>
      <c r="O60" s="604" t="str">
        <f>C60</f>
        <v>EVR</v>
      </c>
      <c r="P60" s="610">
        <f>D60</f>
        <v>17.846255042276262</v>
      </c>
      <c r="Q60" s="606"/>
    </row>
    <row r="61" spans="1:17" s="23" customFormat="1" ht="12.75">
      <c r="A61" s="146"/>
      <c r="B61" s="441">
        <v>1</v>
      </c>
      <c r="C61" s="352" t="str">
        <f t="shared" si="2"/>
        <v>LAZ</v>
      </c>
      <c r="D61" s="611">
        <f ca="1">Comparables!V12+RAND()/1000000</f>
        <v>12.270390665556555</v>
      </c>
      <c r="E61" s="612">
        <f ca="1">MEDIAN(D61:D65)</f>
        <v>15.224025137770973</v>
      </c>
      <c r="O61" s="352" t="str">
        <f ca="1">INDEX($C$61:$C$65,MATCH(P61,$D$61:$D$65,0),1)</f>
        <v>HLI</v>
      </c>
      <c r="P61" s="612">
        <f ca="1">LARGE($D$61:$D$65,B61)</f>
        <v>30.458080576033474</v>
      </c>
      <c r="Q61" s="612">
        <f ca="1">E61</f>
        <v>15.224025137770973</v>
      </c>
    </row>
    <row r="62" spans="1:17" s="23" customFormat="1" ht="12.75">
      <c r="A62" s="146"/>
      <c r="B62" s="23">
        <f>B61+1</f>
        <v>2</v>
      </c>
      <c r="C62" s="352" t="str">
        <f t="shared" si="2"/>
        <v>HLI</v>
      </c>
      <c r="D62" s="611">
        <f ca="1">Comparables!V13+RAND()/1000000</f>
        <v>30.458080576033474</v>
      </c>
      <c r="E62" s="612">
        <f ca="1">E61</f>
        <v>15.224025137770973</v>
      </c>
      <c r="O62" s="352" t="str">
        <f ca="1">INDEX($C$61:$C$65,MATCH(P62,$D$61:$D$65,0),1)</f>
        <v>MC</v>
      </c>
      <c r="P62" s="612">
        <f ca="1">LARGE($D$61:$D$65,B62)</f>
        <v>21.49559804804413</v>
      </c>
      <c r="Q62" s="612">
        <f ca="1">E62</f>
        <v>15.224025137770973</v>
      </c>
    </row>
    <row r="63" spans="1:17" s="23" customFormat="1" ht="12.75">
      <c r="A63" s="146"/>
      <c r="B63" s="23">
        <f>B62+1</f>
        <v>3</v>
      </c>
      <c r="C63" s="352" t="str">
        <f t="shared" si="2"/>
        <v>PJT</v>
      </c>
      <c r="D63" s="611">
        <f ca="1">Comparables!V14+RAND()/1000000</f>
        <v>15.224025137770973</v>
      </c>
      <c r="E63" s="612">
        <f ca="1">E62</f>
        <v>15.224025137770973</v>
      </c>
      <c r="O63" s="352" t="str">
        <f ca="1">INDEX($C$61:$C$65,MATCH(P63,$D$61:$D$65,0),1)</f>
        <v>PJT</v>
      </c>
      <c r="P63" s="612">
        <f ca="1">LARGE($D$61:$D$65,B63)</f>
        <v>15.224025137770973</v>
      </c>
      <c r="Q63" s="612">
        <f ca="1">E63</f>
        <v>15.224025137770973</v>
      </c>
    </row>
    <row r="64" spans="1:17" s="23" customFormat="1" ht="12.75">
      <c r="A64" s="146"/>
      <c r="B64" s="23">
        <f>B63+1</f>
        <v>4</v>
      </c>
      <c r="C64" s="352" t="str">
        <f t="shared" si="2"/>
        <v>MC</v>
      </c>
      <c r="D64" s="611">
        <f ca="1">Comparables!V15+RAND()/1000000</f>
        <v>21.49559804804413</v>
      </c>
      <c r="E64" s="612">
        <f ca="1">E63</f>
        <v>15.224025137770973</v>
      </c>
      <c r="O64" s="352" t="str">
        <f ca="1">INDEX($C$61:$C$65,MATCH(P64,$D$61:$D$65,0),1)</f>
        <v>LAZ</v>
      </c>
      <c r="P64" s="612">
        <f ca="1">LARGE($D$61:$D$65,B64)</f>
        <v>12.270390665556555</v>
      </c>
      <c r="Q64" s="612">
        <f ca="1">E64</f>
        <v>15.224025137770973</v>
      </c>
    </row>
    <row r="65" spans="1:17" s="23" customFormat="1" ht="12.75">
      <c r="A65" s="146"/>
      <c r="B65" s="23">
        <f>B64+1</f>
        <v>5</v>
      </c>
      <c r="C65" s="352">
        <f t="shared" si="2"/>
        <v>0</v>
      </c>
      <c r="D65" s="611">
        <f ca="1">Comparables!V16+RAND()/1000000</f>
        <v>8.9373684132834474E-7</v>
      </c>
      <c r="E65" s="612">
        <f ca="1">E64</f>
        <v>15.224025137770973</v>
      </c>
      <c r="O65" s="352">
        <f ca="1">INDEX($C$61:$C$65,MATCH(P65,$D$61:$D$65,0),1)</f>
        <v>0</v>
      </c>
      <c r="P65" s="612">
        <f ca="1">LARGE($D$61:$D$65,B65)</f>
        <v>8.9373684132834474E-7</v>
      </c>
      <c r="Q65" s="612">
        <f ca="1">E65</f>
        <v>15.224025137770973</v>
      </c>
    </row>
    <row r="66" spans="1:17" s="23" customFormat="1" ht="12.75">
      <c r="A66" s="146"/>
    </row>
    <row r="67" spans="1:17" s="23" customFormat="1" ht="12.75">
      <c r="A67" s="146"/>
      <c r="E67" s="809" t="str">
        <f ca="1">"Median "&amp;TEXT(E61,"0.0x")</f>
        <v>Median 15.2x</v>
      </c>
      <c r="Q67" s="809" t="str">
        <f ca="1">E67</f>
        <v>Median 15.2x</v>
      </c>
    </row>
    <row r="68" spans="1:17" s="23" customFormat="1" ht="12.75">
      <c r="A68" s="146"/>
    </row>
    <row r="69" spans="1:17" s="23" customFormat="1" ht="12.75">
      <c r="A69" s="146"/>
    </row>
    <row r="70" spans="1:17" s="23" customFormat="1" ht="12.75">
      <c r="A70" s="146"/>
    </row>
    <row r="71" spans="1:17" s="23" customFormat="1" ht="12.75">
      <c r="A71" s="146"/>
    </row>
    <row r="72" spans="1:17" s="23" customFormat="1" ht="12.75">
      <c r="A72" s="146" t="s">
        <v>1</v>
      </c>
      <c r="C72" s="540" t="s">
        <v>490</v>
      </c>
      <c r="D72" s="170"/>
      <c r="E72" s="170"/>
      <c r="F72" s="170"/>
      <c r="G72" s="170"/>
      <c r="H72" s="170"/>
      <c r="I72" s="170"/>
      <c r="J72" s="170"/>
      <c r="K72" s="170"/>
      <c r="L72" s="170"/>
      <c r="M72" s="170"/>
      <c r="N72" s="170"/>
      <c r="O72" s="170"/>
      <c r="P72" s="170"/>
      <c r="Q72" s="26"/>
    </row>
    <row r="73" spans="1:17" s="23" customFormat="1" ht="12.75">
      <c r="A73" s="146"/>
    </row>
    <row r="74" spans="1:17" s="23" customFormat="1" ht="12.75">
      <c r="A74" s="146"/>
      <c r="C74" s="603" t="str">
        <f>C58</f>
        <v>Raw Data</v>
      </c>
      <c r="D74" s="603"/>
      <c r="E74" s="603"/>
      <c r="F74" s="163"/>
      <c r="O74" s="603" t="str">
        <f>O58</f>
        <v>Chart Data</v>
      </c>
      <c r="P74" s="603"/>
      <c r="Q74" s="603"/>
    </row>
    <row r="75" spans="1:17" s="23" customFormat="1" ht="12.75">
      <c r="A75" s="146"/>
    </row>
    <row r="76" spans="1:17" s="23" customFormat="1" ht="12.75">
      <c r="A76" s="146"/>
      <c r="C76" s="604" t="str">
        <f t="shared" ref="C76:C81" si="3">C60</f>
        <v>EVR</v>
      </c>
      <c r="D76" s="609">
        <f>Comparables!N28</f>
        <v>1.9578</v>
      </c>
      <c r="E76" s="606"/>
      <c r="O76" s="604" t="str">
        <f>C76</f>
        <v>EVR</v>
      </c>
      <c r="P76" s="610">
        <f>D76</f>
        <v>1.9578</v>
      </c>
      <c r="Q76" s="606"/>
    </row>
    <row r="77" spans="1:17" s="23" customFormat="1" ht="12.75">
      <c r="A77" s="146"/>
      <c r="B77" s="441">
        <v>1</v>
      </c>
      <c r="C77" s="352" t="str">
        <f t="shared" si="3"/>
        <v>LAZ</v>
      </c>
      <c r="D77" s="611">
        <f ca="1">Comparables!N30+RAND()/1000000</f>
        <v>1.3872509811092675</v>
      </c>
      <c r="E77" s="612">
        <f ca="1">MEDIAN(D77:D81)</f>
        <v>0.57947183963397275</v>
      </c>
      <c r="O77" s="352" t="str">
        <f ca="1">INDEX($C$77:$C$81,MATCH(P77,$D$77:$D$81,0),1)</f>
        <v>LAZ</v>
      </c>
      <c r="P77" s="612">
        <f ca="1">LARGE($D$77:$D$81,B77)</f>
        <v>1.3872509811092675</v>
      </c>
      <c r="Q77" s="612">
        <f ca="1">E77</f>
        <v>0.57947183963397275</v>
      </c>
    </row>
    <row r="78" spans="1:17" s="23" customFormat="1" ht="12.75">
      <c r="A78" s="146"/>
      <c r="B78" s="23">
        <f>B77+1</f>
        <v>2</v>
      </c>
      <c r="C78" s="352" t="str">
        <f t="shared" si="3"/>
        <v>HLI</v>
      </c>
      <c r="D78" s="611">
        <f ca="1">Comparables!O31+RAND()/1000000</f>
        <v>8.7122122092222781E-2</v>
      </c>
      <c r="E78" s="612">
        <f ca="1">E77</f>
        <v>0.57947183963397275</v>
      </c>
      <c r="O78" s="352" t="str">
        <f ca="1">INDEX($C$77:$C$81,MATCH(P78,$D$77:$D$81,0),1)</f>
        <v>MC</v>
      </c>
      <c r="P78" s="612">
        <f ca="1">LARGE($D$77:$D$81,B78)</f>
        <v>0.85989648384269435</v>
      </c>
      <c r="Q78" s="612">
        <f ca="1">E78</f>
        <v>0.57947183963397275</v>
      </c>
    </row>
    <row r="79" spans="1:17" s="23" customFormat="1" ht="12.75">
      <c r="A79" s="146"/>
      <c r="B79" s="23">
        <f>B78+1</f>
        <v>3</v>
      </c>
      <c r="C79" s="352" t="str">
        <f t="shared" si="3"/>
        <v>PJT</v>
      </c>
      <c r="D79" s="611">
        <f ca="1">Comparables!O32+RAND()/1000000</f>
        <v>0.57947183963397275</v>
      </c>
      <c r="E79" s="612">
        <f ca="1">E78</f>
        <v>0.57947183963397275</v>
      </c>
      <c r="O79" s="352" t="str">
        <f ca="1">INDEX($C$77:$C$81,MATCH(P79,$D$77:$D$81,0),1)</f>
        <v>PJT</v>
      </c>
      <c r="P79" s="612">
        <f ca="1">LARGE($D$77:$D$81,B79)</f>
        <v>0.57947183963397275</v>
      </c>
      <c r="Q79" s="612">
        <f ca="1">E79</f>
        <v>0.57947183963397275</v>
      </c>
    </row>
    <row r="80" spans="1:17" s="23" customFormat="1" ht="12.75">
      <c r="A80" s="146"/>
      <c r="B80" s="23">
        <f>B79+1</f>
        <v>4</v>
      </c>
      <c r="C80" s="352" t="str">
        <f t="shared" si="3"/>
        <v>MC</v>
      </c>
      <c r="D80" s="611">
        <f ca="1">Comparables!O33+RAND()/1000000</f>
        <v>0.85989648384269435</v>
      </c>
      <c r="E80" s="612">
        <f ca="1">E79</f>
        <v>0.57947183963397275</v>
      </c>
      <c r="O80" s="352" t="str">
        <f ca="1">INDEX($C$77:$C$81,MATCH(P80,$D$77:$D$81,0),1)</f>
        <v>HLI</v>
      </c>
      <c r="P80" s="612">
        <f ca="1">LARGE($D$77:$D$81,B80)</f>
        <v>8.7122122092222781E-2</v>
      </c>
      <c r="Q80" s="612">
        <f ca="1">E80</f>
        <v>0.57947183963397275</v>
      </c>
    </row>
    <row r="81" spans="1:17" s="23" customFormat="1" ht="12.75">
      <c r="A81" s="146"/>
      <c r="B81" s="23">
        <f>B80+1</f>
        <v>5</v>
      </c>
      <c r="C81" s="352">
        <f t="shared" si="3"/>
        <v>0</v>
      </c>
      <c r="D81" s="611">
        <f ca="1">Comparables!O34+RAND()/1000000</f>
        <v>1.3933888658627823E-7</v>
      </c>
      <c r="E81" s="612">
        <f ca="1">E80</f>
        <v>0.57947183963397275</v>
      </c>
      <c r="O81" s="352">
        <f ca="1">INDEX($C$77:$C$81,MATCH(P81,$D$77:$D$81,0),1)</f>
        <v>0</v>
      </c>
      <c r="P81" s="612">
        <f ca="1">LARGE($D$77:$D$81,B81)</f>
        <v>1.3933888658627823E-7</v>
      </c>
      <c r="Q81" s="612">
        <f ca="1">E81</f>
        <v>0.57947183963397275</v>
      </c>
    </row>
    <row r="82" spans="1:17" s="23" customFormat="1" ht="12.75">
      <c r="A82" s="146"/>
    </row>
    <row r="83" spans="1:17" s="23" customFormat="1" ht="12.75">
      <c r="A83" s="146"/>
      <c r="E83" s="809" t="str">
        <f ca="1">"Median "&amp;TEXT(E77,"0.0x")</f>
        <v>Median 0.6x</v>
      </c>
      <c r="Q83" s="809" t="str">
        <f ca="1">E83</f>
        <v>Median 0.6x</v>
      </c>
    </row>
    <row r="84" spans="1:17" s="23" customFormat="1" ht="12.75">
      <c r="A84" s="146"/>
    </row>
    <row r="85" spans="1:17" s="23" customFormat="1" ht="12.75">
      <c r="A85" s="146"/>
    </row>
    <row r="86" spans="1:17" s="23" customFormat="1" ht="12.75">
      <c r="A86" s="146"/>
    </row>
    <row r="87" spans="1:17" s="23" customFormat="1" ht="12.75">
      <c r="A87" s="146"/>
    </row>
    <row r="88" spans="1:17" s="23" customFormat="1" ht="12.75">
      <c r="A88" s="146" t="s">
        <v>1</v>
      </c>
      <c r="C88" s="540" t="str">
        <f>TEXT(E4,"yyyy")&amp;" EBITDA / Interest Expense"</f>
        <v>2025 EBITDA / Interest Expense</v>
      </c>
      <c r="D88" s="170"/>
      <c r="E88" s="170"/>
      <c r="F88" s="170"/>
      <c r="G88" s="170"/>
      <c r="H88" s="170"/>
      <c r="I88" s="170"/>
      <c r="J88" s="170"/>
      <c r="K88" s="170"/>
      <c r="L88" s="170"/>
      <c r="M88" s="170"/>
      <c r="N88" s="170"/>
      <c r="O88" s="170"/>
      <c r="P88" s="170"/>
      <c r="Q88" s="26"/>
    </row>
    <row r="89" spans="1:17" s="23" customFormat="1" ht="12.75">
      <c r="A89" s="146"/>
    </row>
    <row r="90" spans="1:17" s="23" customFormat="1" ht="12.75">
      <c r="A90" s="146"/>
      <c r="C90" s="603" t="str">
        <f>C74</f>
        <v>Raw Data</v>
      </c>
      <c r="D90" s="603"/>
      <c r="E90" s="603"/>
      <c r="F90" s="163"/>
      <c r="O90" s="603" t="str">
        <f>O74</f>
        <v>Chart Data</v>
      </c>
      <c r="P90" s="603"/>
      <c r="Q90" s="603"/>
    </row>
    <row r="91" spans="1:17" s="23" customFormat="1" ht="12.75">
      <c r="A91" s="146"/>
    </row>
    <row r="92" spans="1:17" s="23" customFormat="1" ht="12.75">
      <c r="A92" s="146"/>
      <c r="C92" s="604" t="str">
        <f t="shared" ref="C92:C97" si="4">C76</f>
        <v>EVR</v>
      </c>
      <c r="D92" s="609">
        <f>Comparables!P28</f>
        <v>15.353210000000001</v>
      </c>
      <c r="E92" s="606"/>
      <c r="O92" s="604" t="str">
        <f>C92</f>
        <v>EVR</v>
      </c>
      <c r="P92" s="610">
        <f>D92</f>
        <v>15.353210000000001</v>
      </c>
      <c r="Q92" s="606"/>
    </row>
    <row r="93" spans="1:17" s="23" customFormat="1" ht="12.75">
      <c r="A93" s="146"/>
      <c r="B93" s="441">
        <v>1</v>
      </c>
      <c r="C93" s="352" t="str">
        <f t="shared" si="4"/>
        <v>LAZ</v>
      </c>
      <c r="D93" s="611">
        <f ca="1">Comparables!P30+RAND()/1000000</f>
        <v>30.680130473532703</v>
      </c>
      <c r="E93" s="612" t="e">
        <f ca="1">MEDIAN(D93:D97)</f>
        <v>#VALUE!</v>
      </c>
      <c r="O93" s="352" t="e">
        <f ca="1">INDEX($C$93:$C$97,MATCH(P93,$D$93:$D$97,0),1)</f>
        <v>#VALUE!</v>
      </c>
      <c r="P93" s="612" t="e">
        <f ca="1">LARGE($D$93:$D$97,B93)</f>
        <v>#VALUE!</v>
      </c>
      <c r="Q93" s="612" t="e">
        <f ca="1">E93</f>
        <v>#VALUE!</v>
      </c>
    </row>
    <row r="94" spans="1:17" s="23" customFormat="1" ht="12.75">
      <c r="A94" s="146"/>
      <c r="B94" s="23">
        <f>B93+1</f>
        <v>2</v>
      </c>
      <c r="C94" s="352" t="str">
        <f t="shared" si="4"/>
        <v>HLI</v>
      </c>
      <c r="D94" s="611">
        <f ca="1">Comparables!P31+RAND()/1000000</f>
        <v>2.6935008368665768E-7</v>
      </c>
      <c r="E94" s="612" t="e">
        <f ca="1">E93</f>
        <v>#VALUE!</v>
      </c>
      <c r="O94" s="352" t="e">
        <f ca="1">INDEX($C$93:$C$97,MATCH(P94,$D$93:$D$97,0),1)</f>
        <v>#VALUE!</v>
      </c>
      <c r="P94" s="612" t="e">
        <f ca="1">LARGE($D$93:$D$97,B94)</f>
        <v>#VALUE!</v>
      </c>
      <c r="Q94" s="612" t="e">
        <f ca="1">E94</f>
        <v>#VALUE!</v>
      </c>
    </row>
    <row r="95" spans="1:17" s="23" customFormat="1" ht="12.75">
      <c r="A95" s="146"/>
      <c r="B95" s="23">
        <f>B94+1</f>
        <v>3</v>
      </c>
      <c r="C95" s="352" t="str">
        <f t="shared" si="4"/>
        <v>PJT</v>
      </c>
      <c r="D95" s="611">
        <f ca="1">Comparables!P32+RAND()/1000000</f>
        <v>35.597850799994411</v>
      </c>
      <c r="E95" s="612" t="e">
        <f ca="1">E94</f>
        <v>#VALUE!</v>
      </c>
      <c r="O95" s="352" t="e">
        <f ca="1">INDEX($C$93:$C$97,MATCH(P95,$D$93:$D$97,0),1)</f>
        <v>#VALUE!</v>
      </c>
      <c r="P95" s="612" t="e">
        <f ca="1">LARGE($D$93:$D$97,B95)</f>
        <v>#VALUE!</v>
      </c>
      <c r="Q95" s="612" t="e">
        <f ca="1">E95</f>
        <v>#VALUE!</v>
      </c>
    </row>
    <row r="96" spans="1:17" s="23" customFormat="1" ht="12.75">
      <c r="A96" s="146"/>
      <c r="B96" s="23">
        <f>B95+1</f>
        <v>4</v>
      </c>
      <c r="C96" s="352" t="str">
        <f t="shared" si="4"/>
        <v>MC</v>
      </c>
      <c r="D96" s="611" t="e">
        <f ca="1">Comparables!P33+RAND()/1000000</f>
        <v>#VALUE!</v>
      </c>
      <c r="E96" s="612" t="e">
        <f ca="1">E95</f>
        <v>#VALUE!</v>
      </c>
      <c r="O96" s="352" t="e">
        <f ca="1">INDEX($C$93:$C$97,MATCH(P96,$D$93:$D$97,0),1)</f>
        <v>#VALUE!</v>
      </c>
      <c r="P96" s="612" t="e">
        <f ca="1">LARGE($D$93:$D$97,B96)</f>
        <v>#VALUE!</v>
      </c>
      <c r="Q96" s="612" t="e">
        <f ca="1">E96</f>
        <v>#VALUE!</v>
      </c>
    </row>
    <row r="97" spans="1:17" s="23" customFormat="1" ht="12.75">
      <c r="A97" s="146"/>
      <c r="B97" s="23">
        <f>B96+1</f>
        <v>5</v>
      </c>
      <c r="C97" s="352">
        <f t="shared" si="4"/>
        <v>0</v>
      </c>
      <c r="D97" s="611">
        <f ca="1">Comparables!P34+RAND()/1000000</f>
        <v>7.4658870451418656E-7</v>
      </c>
      <c r="E97" s="612" t="e">
        <f ca="1">E96</f>
        <v>#VALUE!</v>
      </c>
      <c r="O97" s="352" t="e">
        <f ca="1">INDEX($C$93:$C$97,MATCH(P97,$D$93:$D$97,0),1)</f>
        <v>#VALUE!</v>
      </c>
      <c r="P97" s="612" t="e">
        <f ca="1">LARGE($D$93:$D$97,B97)</f>
        <v>#VALUE!</v>
      </c>
      <c r="Q97" s="612" t="e">
        <f ca="1">E97</f>
        <v>#VALUE!</v>
      </c>
    </row>
    <row r="98" spans="1:17" s="23" customFormat="1" ht="12.75">
      <c r="A98" s="146"/>
    </row>
    <row r="99" spans="1:17" s="23" customFormat="1" ht="12.75">
      <c r="A99" s="146"/>
      <c r="E99" s="809" t="e">
        <f ca="1">"Median "&amp;TEXT(E93,"0.0x")</f>
        <v>#VALUE!</v>
      </c>
      <c r="Q99" s="809" t="e">
        <f ca="1">E99</f>
        <v>#VALUE!</v>
      </c>
    </row>
    <row r="100" spans="1:17" s="23" customFormat="1" ht="12.75">
      <c r="A100" s="146"/>
    </row>
    <row r="101" spans="1:17" s="23" customFormat="1" ht="12.75">
      <c r="A101" s="146"/>
    </row>
    <row r="102" spans="1:17" s="23" customFormat="1" ht="12.75">
      <c r="A102" s="146"/>
    </row>
    <row r="103" spans="1:17" s="23" customFormat="1" ht="12.75">
      <c r="A103" s="146"/>
    </row>
    <row r="104" spans="1:17" s="23" customFormat="1" ht="12.75">
      <c r="A104" s="146" t="s">
        <v>1</v>
      </c>
      <c r="C104" s="540" t="s">
        <v>491</v>
      </c>
      <c r="D104" s="170"/>
      <c r="E104" s="170"/>
      <c r="F104" s="170"/>
      <c r="G104" s="170"/>
      <c r="H104" s="170"/>
      <c r="I104" s="170"/>
      <c r="J104" s="170"/>
      <c r="K104" s="170"/>
      <c r="L104" s="170"/>
      <c r="M104" s="170"/>
      <c r="N104" s="170"/>
      <c r="O104" s="170"/>
      <c r="P104" s="170"/>
      <c r="Q104" s="26"/>
    </row>
    <row r="105" spans="1:17" s="23" customFormat="1" ht="12.75">
      <c r="A105" s="146"/>
    </row>
    <row r="106" spans="1:17" s="23" customFormat="1" ht="12.75">
      <c r="A106" s="146"/>
      <c r="C106" s="603" t="str">
        <f>C90</f>
        <v>Raw Data</v>
      </c>
      <c r="D106" s="603"/>
      <c r="E106" s="603"/>
      <c r="F106" s="163"/>
      <c r="O106" s="603" t="str">
        <f>O90</f>
        <v>Chart Data</v>
      </c>
      <c r="P106" s="603"/>
      <c r="Q106" s="603"/>
    </row>
    <row r="107" spans="1:17" s="23" customFormat="1" ht="12.75">
      <c r="A107" s="146"/>
    </row>
    <row r="108" spans="1:17" s="23" customFormat="1" ht="12.75">
      <c r="A108" s="146"/>
      <c r="C108" s="604" t="str">
        <f t="shared" ref="C108:C113" si="5">C92</f>
        <v>EVR</v>
      </c>
      <c r="D108" s="605">
        <f>Comparables!M10</f>
        <v>0.244477489576856</v>
      </c>
      <c r="E108" s="606"/>
      <c r="O108" s="604" t="str">
        <f>C108</f>
        <v>EVR</v>
      </c>
      <c r="P108" s="606">
        <f>D108</f>
        <v>0.244477489576856</v>
      </c>
      <c r="Q108" s="606"/>
    </row>
    <row r="109" spans="1:17" s="23" customFormat="1" ht="12.75">
      <c r="A109" s="146"/>
      <c r="B109" s="441">
        <v>1</v>
      </c>
      <c r="C109" s="352" t="str">
        <f t="shared" si="5"/>
        <v>LAZ</v>
      </c>
      <c r="D109" s="607">
        <f ca="1">Comparables!M12+RAND()/1000000</f>
        <v>0.23500088131112523</v>
      </c>
      <c r="E109" s="608">
        <f ca="1">MEDIAN(D109:D113)</f>
        <v>0.18900047411280488</v>
      </c>
      <c r="O109" s="352" t="str">
        <f ca="1">INDEX($C$109:$C$113,MATCH(P109,$D$109:$D$113,0),1)</f>
        <v>LAZ</v>
      </c>
      <c r="P109" s="608">
        <f ca="1">LARGE($D$109:$D$113,B109)</f>
        <v>0.23500088131112523</v>
      </c>
      <c r="Q109" s="608">
        <f ca="1">E109</f>
        <v>0.18900047411280488</v>
      </c>
    </row>
    <row r="110" spans="1:17" s="23" customFormat="1" ht="12.75">
      <c r="A110" s="146"/>
      <c r="B110" s="23">
        <f>B109+1</f>
        <v>2</v>
      </c>
      <c r="C110" s="352" t="str">
        <f t="shared" si="5"/>
        <v>HLI</v>
      </c>
      <c r="D110" s="607">
        <f ca="1">Comparables!M13+RAND()/1000000</f>
        <v>0.22700000660491296</v>
      </c>
      <c r="E110" s="608">
        <f ca="1">E109</f>
        <v>0.18900047411280488</v>
      </c>
      <c r="O110" s="352" t="str">
        <f ca="1">INDEX($C$109:$C$113,MATCH(P110,$D$109:$D$113,0),1)</f>
        <v>HLI</v>
      </c>
      <c r="P110" s="608">
        <f ca="1">LARGE($D$109:$D$113,B110)</f>
        <v>0.22700000660491296</v>
      </c>
      <c r="Q110" s="608">
        <f ca="1">E110</f>
        <v>0.18900047411280488</v>
      </c>
    </row>
    <row r="111" spans="1:17" s="23" customFormat="1" ht="12.75">
      <c r="A111" s="146"/>
      <c r="B111" s="23">
        <f>B110+1</f>
        <v>3</v>
      </c>
      <c r="C111" s="352" t="str">
        <f t="shared" si="5"/>
        <v>PJT</v>
      </c>
      <c r="D111" s="607">
        <f ca="1">Comparables!M14+RAND()/1000000</f>
        <v>0.18900047411280488</v>
      </c>
      <c r="E111" s="608">
        <f ca="1">E110</f>
        <v>0.18900047411280488</v>
      </c>
      <c r="O111" s="352" t="str">
        <f ca="1">INDEX($C$109:$C$113,MATCH(P111,$D$109:$D$113,0),1)</f>
        <v>PJT</v>
      </c>
      <c r="P111" s="608">
        <f ca="1">LARGE($D$109:$D$113,B111)</f>
        <v>0.18900047411280488</v>
      </c>
      <c r="Q111" s="608">
        <f ca="1">E111</f>
        <v>0.18900047411280488</v>
      </c>
    </row>
    <row r="112" spans="1:17" s="23" customFormat="1" ht="12.75">
      <c r="A112" s="146"/>
      <c r="B112" s="23">
        <f>B111+1</f>
        <v>4</v>
      </c>
      <c r="C112" s="352" t="str">
        <f t="shared" si="5"/>
        <v>MC</v>
      </c>
      <c r="D112" s="607">
        <f ca="1">Comparables!M15+RAND()/1000000</f>
        <v>0.15400079756084892</v>
      </c>
      <c r="E112" s="608">
        <f ca="1">E111</f>
        <v>0.18900047411280488</v>
      </c>
      <c r="O112" s="352" t="str">
        <f ca="1">INDEX($C$109:$C$113,MATCH(P112,$D$109:$D$113,0),1)</f>
        <v>MC</v>
      </c>
      <c r="P112" s="608">
        <f ca="1">LARGE($D$109:$D$113,B112)</f>
        <v>0.15400079756084892</v>
      </c>
      <c r="Q112" s="608">
        <f ca="1">E112</f>
        <v>0.18900047411280488</v>
      </c>
    </row>
    <row r="113" spans="1:17" s="23" customFormat="1" ht="12.75">
      <c r="A113" s="146"/>
      <c r="B113" s="23">
        <f>B112+1</f>
        <v>5</v>
      </c>
      <c r="C113" s="352">
        <f t="shared" si="5"/>
        <v>0</v>
      </c>
      <c r="D113" s="607">
        <f ca="1">Comparables!M16+RAND()/1000000</f>
        <v>6.7101022798288451E-8</v>
      </c>
      <c r="E113" s="608">
        <f ca="1">E112</f>
        <v>0.18900047411280488</v>
      </c>
      <c r="O113" s="352">
        <f ca="1">INDEX($C$109:$C$113,MATCH(P113,$D$109:$D$113,0),1)</f>
        <v>0</v>
      </c>
      <c r="P113" s="608">
        <f ca="1">LARGE($D$109:$D$113,B113)</f>
        <v>6.7101022798288451E-8</v>
      </c>
      <c r="Q113" s="608">
        <f ca="1">E113</f>
        <v>0.18900047411280488</v>
      </c>
    </row>
    <row r="114" spans="1:17" s="23" customFormat="1" ht="12.75">
      <c r="A114" s="146"/>
      <c r="E114" s="269"/>
    </row>
    <row r="115" spans="1:17" s="23" customFormat="1" ht="12.75">
      <c r="A115" s="146"/>
      <c r="E115" s="809" t="str">
        <f ca="1">"Median "&amp;TEXT(E109,"0.0%")</f>
        <v>Median 18.9%</v>
      </c>
      <c r="Q115" s="809" t="str">
        <f ca="1">E115</f>
        <v>Median 18.9%</v>
      </c>
    </row>
    <row r="116" spans="1:17" s="23" customFormat="1" ht="12.75">
      <c r="A116" s="146"/>
    </row>
    <row r="117" spans="1:17" s="23" customFormat="1" ht="12.75">
      <c r="A117" s="146"/>
    </row>
    <row r="118" spans="1:17" s="23" customFormat="1" ht="12.75">
      <c r="A118" s="146"/>
    </row>
    <row r="119" spans="1:17" s="23" customFormat="1" ht="12.75">
      <c r="A119" s="146"/>
    </row>
    <row r="120" spans="1:17" s="23" customFormat="1" ht="12.75">
      <c r="A120" s="146" t="s">
        <v>1</v>
      </c>
      <c r="C120" s="540" t="s">
        <v>208</v>
      </c>
      <c r="D120" s="170"/>
      <c r="E120" s="170"/>
      <c r="F120" s="170"/>
      <c r="G120" s="170"/>
      <c r="H120" s="170"/>
      <c r="I120" s="170"/>
      <c r="J120" s="170"/>
      <c r="K120" s="170"/>
      <c r="L120" s="170"/>
      <c r="M120" s="170"/>
      <c r="N120" s="170"/>
      <c r="O120" s="170"/>
      <c r="P120" s="170"/>
      <c r="Q120" s="26"/>
    </row>
    <row r="121" spans="1:17" s="23" customFormat="1" ht="12.75">
      <c r="A121" s="146"/>
    </row>
    <row r="122" spans="1:17" s="23" customFormat="1" ht="12.75">
      <c r="A122" s="146"/>
      <c r="C122" s="603" t="str">
        <f>C106</f>
        <v>Raw Data</v>
      </c>
      <c r="D122" s="603"/>
      <c r="E122" s="603"/>
      <c r="F122" s="163"/>
      <c r="O122" s="603" t="str">
        <f>O106</f>
        <v>Chart Data</v>
      </c>
      <c r="P122" s="603"/>
      <c r="Q122" s="603"/>
    </row>
    <row r="123" spans="1:17" s="23" customFormat="1" ht="12.75">
      <c r="A123" s="146"/>
    </row>
    <row r="124" spans="1:17" s="23" customFormat="1" ht="12.75">
      <c r="A124" s="146"/>
      <c r="C124" s="604" t="str">
        <f t="shared" ref="C124:C129" si="6">C108</f>
        <v>EVR</v>
      </c>
      <c r="D124" s="605">
        <f>Comparables!I28</f>
        <v>1.5541000000000001E-2</v>
      </c>
      <c r="E124" s="606"/>
      <c r="O124" s="604" t="str">
        <f>C124</f>
        <v>EVR</v>
      </c>
      <c r="P124" s="606">
        <f>D124</f>
        <v>1.5541000000000001E-2</v>
      </c>
      <c r="Q124" s="606"/>
    </row>
    <row r="125" spans="1:17" s="23" customFormat="1" ht="12.75">
      <c r="A125" s="146"/>
      <c r="B125" s="441">
        <v>1</v>
      </c>
      <c r="C125" s="352" t="str">
        <f t="shared" si="6"/>
        <v>LAZ</v>
      </c>
      <c r="D125" s="607">
        <f>Comparables!I30</f>
        <v>5.9209999999999992E-3</v>
      </c>
      <c r="E125" s="608">
        <f>MEDIAN(D125:D129)</f>
        <v>0</v>
      </c>
      <c r="O125" s="352" t="str">
        <f>INDEX($C$125:$C$129,MATCH(P125,$D$125:$D$129,0),1)</f>
        <v>PJT</v>
      </c>
      <c r="P125" s="608">
        <f>LARGE($D$125:$D$129,B125)</f>
        <v>7.4729999999999996E-3</v>
      </c>
      <c r="Q125" s="608">
        <f>E125</f>
        <v>0</v>
      </c>
    </row>
    <row r="126" spans="1:17" s="23" customFormat="1" ht="12.75">
      <c r="A126" s="146"/>
      <c r="B126" s="23">
        <f>B125+1</f>
        <v>2</v>
      </c>
      <c r="C126" s="352" t="str">
        <f t="shared" si="6"/>
        <v>HLI</v>
      </c>
      <c r="D126" s="607">
        <f>IF(ISNUMBER(Comparables!I31),Comparables!I31,0)</f>
        <v>0</v>
      </c>
      <c r="E126" s="608">
        <f>E125</f>
        <v>0</v>
      </c>
      <c r="O126" s="352" t="str">
        <f>INDEX($C$125:$C$129,MATCH(P126,$D$125:$D$129,0),1)</f>
        <v>LAZ</v>
      </c>
      <c r="P126" s="608">
        <f>LARGE($D$125:$D$129,B126)</f>
        <v>5.9209999999999992E-3</v>
      </c>
      <c r="Q126" s="608">
        <f>E126</f>
        <v>0</v>
      </c>
    </row>
    <row r="127" spans="1:17" s="23" customFormat="1" ht="12.75">
      <c r="A127" s="146"/>
      <c r="B127" s="23">
        <f>B126+1</f>
        <v>3</v>
      </c>
      <c r="C127" s="352" t="str">
        <f t="shared" si="6"/>
        <v>PJT</v>
      </c>
      <c r="D127" s="607">
        <f>Comparables!I32</f>
        <v>7.4729999999999996E-3</v>
      </c>
      <c r="E127" s="608">
        <f>E126</f>
        <v>0</v>
      </c>
      <c r="O127" s="352" t="str">
        <f>INDEX($C$125:$C$129,MATCH(P127,$D$125:$D$129,0),1)</f>
        <v>HLI</v>
      </c>
      <c r="P127" s="608">
        <f>LARGE($D$125:$D$129,B127)</f>
        <v>0</v>
      </c>
      <c r="Q127" s="608">
        <f>E127</f>
        <v>0</v>
      </c>
    </row>
    <row r="128" spans="1:17" s="23" customFormat="1" ht="12.75">
      <c r="A128" s="146"/>
      <c r="B128" s="23">
        <f>B127+1</f>
        <v>4</v>
      </c>
      <c r="C128" s="352" t="str">
        <f t="shared" si="6"/>
        <v>MC</v>
      </c>
      <c r="D128" s="607">
        <f>Comparables!I33</f>
        <v>0</v>
      </c>
      <c r="E128" s="608">
        <f>E127</f>
        <v>0</v>
      </c>
      <c r="O128" s="352" t="str">
        <f>INDEX($C$125:$C$129,MATCH(P128,$D$125:$D$129,0),1)</f>
        <v>HLI</v>
      </c>
      <c r="P128" s="608">
        <f>LARGE($D$125:$D$129,B128)</f>
        <v>0</v>
      </c>
      <c r="Q128" s="608">
        <f>E128</f>
        <v>0</v>
      </c>
    </row>
    <row r="129" spans="1:17" s="23" customFormat="1" ht="12.75">
      <c r="A129" s="146"/>
      <c r="B129" s="23">
        <f>B128+1</f>
        <v>5</v>
      </c>
      <c r="C129" s="352">
        <f t="shared" si="6"/>
        <v>0</v>
      </c>
      <c r="D129" s="607">
        <f>Comparables!I34</f>
        <v>0</v>
      </c>
      <c r="E129" s="608">
        <f>E128</f>
        <v>0</v>
      </c>
      <c r="O129" s="352" t="str">
        <f>INDEX($C$125:$C$129,MATCH(P129,$D$125:$D$129,0),1)</f>
        <v>HLI</v>
      </c>
      <c r="P129" s="608">
        <f>LARGE($D$125:$D$129,B129)</f>
        <v>0</v>
      </c>
      <c r="Q129" s="608">
        <f>E129</f>
        <v>0</v>
      </c>
    </row>
    <row r="130" spans="1:17" s="23" customFormat="1" ht="12.75">
      <c r="A130" s="146"/>
    </row>
    <row r="131" spans="1:17" s="23" customFormat="1" ht="12.75">
      <c r="A131" s="146"/>
      <c r="E131" s="809" t="str">
        <f>"Median "&amp;TEXT(E125,"0.0%")</f>
        <v>Median 0.0%</v>
      </c>
      <c r="Q131" s="809" t="str">
        <f>E131</f>
        <v>Median 0.0%</v>
      </c>
    </row>
    <row r="132" spans="1:17" s="23" customFormat="1" ht="12.75">
      <c r="A132" s="146"/>
    </row>
    <row r="133" spans="1:17" s="23" customFormat="1" ht="12.75">
      <c r="A133" s="146"/>
    </row>
    <row r="134" spans="1:17" s="23" customFormat="1" ht="12.75">
      <c r="A134" s="146"/>
    </row>
    <row r="135" spans="1:17" s="23" customFormat="1" ht="12.75">
      <c r="A135" s="146"/>
    </row>
    <row r="136" spans="1:17" s="23" customFormat="1" ht="12.75">
      <c r="A136" s="146" t="s">
        <v>1</v>
      </c>
      <c r="C136" s="540" t="s">
        <v>611</v>
      </c>
      <c r="D136" s="170"/>
      <c r="E136" s="170"/>
      <c r="F136" s="170"/>
      <c r="G136" s="170"/>
      <c r="H136" s="170"/>
      <c r="I136" s="170"/>
      <c r="J136" s="170"/>
      <c r="K136" s="170"/>
      <c r="L136" s="170"/>
      <c r="M136" s="170"/>
      <c r="N136" s="170"/>
      <c r="O136" s="170"/>
      <c r="P136" s="170"/>
      <c r="Q136" s="26"/>
    </row>
    <row r="138" spans="1:17">
      <c r="C138" s="603" t="str">
        <f>C122</f>
        <v>Raw Data</v>
      </c>
      <c r="D138" s="603"/>
      <c r="E138" s="603"/>
      <c r="O138" s="603" t="str">
        <f>O122</f>
        <v>Chart Data</v>
      </c>
      <c r="P138" s="603"/>
    </row>
    <row r="139" spans="1:17" ht="15">
      <c r="C139"/>
      <c r="O139" s="23"/>
      <c r="P139" s="23"/>
    </row>
    <row r="140" spans="1:17">
      <c r="B140" s="3">
        <v>1</v>
      </c>
      <c r="C140" s="604" t="str">
        <f t="shared" ref="C140:C145" si="7">C124</f>
        <v>EVR</v>
      </c>
      <c r="D140" s="849">
        <v>0.2828</v>
      </c>
      <c r="O140" s="352" t="str">
        <f t="shared" ref="O140:O145" si="8">INDEX($C$140:$C$145,MATCH(P140,$D$140:$D$145,0),1)</f>
        <v>EVR</v>
      </c>
      <c r="P140" s="608">
        <f t="shared" ref="P140:P145" si="9">LARGE($D$140:$D$145,B140)</f>
        <v>0.2828</v>
      </c>
    </row>
    <row r="141" spans="1:17">
      <c r="B141" s="441">
        <f>B140+1</f>
        <v>2</v>
      </c>
      <c r="C141" s="352" t="str">
        <f t="shared" si="7"/>
        <v>LAZ</v>
      </c>
      <c r="D141" s="849">
        <v>0.2175</v>
      </c>
      <c r="E141" s="608"/>
      <c r="O141" s="352" t="str">
        <f t="shared" si="8"/>
        <v>LAZ</v>
      </c>
      <c r="P141" s="608">
        <f t="shared" si="9"/>
        <v>0.2175</v>
      </c>
    </row>
    <row r="142" spans="1:17">
      <c r="B142" s="441">
        <f>B141+1</f>
        <v>3</v>
      </c>
      <c r="C142" s="352" t="str">
        <f t="shared" si="7"/>
        <v>HLI</v>
      </c>
      <c r="D142" s="849">
        <v>0</v>
      </c>
      <c r="E142" s="608"/>
      <c r="O142" s="352" t="str">
        <f t="shared" si="8"/>
        <v>HLI</v>
      </c>
      <c r="P142" s="608">
        <f t="shared" si="9"/>
        <v>0</v>
      </c>
    </row>
    <row r="143" spans="1:17">
      <c r="B143" s="441">
        <f>B142+1</f>
        <v>4</v>
      </c>
      <c r="C143" s="352" t="str">
        <f t="shared" si="7"/>
        <v>PJT</v>
      </c>
      <c r="D143" s="849">
        <v>0</v>
      </c>
      <c r="E143" s="608"/>
      <c r="O143" s="352" t="str">
        <f t="shared" si="8"/>
        <v>HLI</v>
      </c>
      <c r="P143" s="608">
        <f t="shared" si="9"/>
        <v>0</v>
      </c>
    </row>
    <row r="144" spans="1:17">
      <c r="B144" s="441">
        <f>B143+1</f>
        <v>5</v>
      </c>
      <c r="C144" s="352" t="str">
        <f t="shared" si="7"/>
        <v>MC</v>
      </c>
      <c r="D144" s="849">
        <v>0</v>
      </c>
      <c r="E144" s="608"/>
      <c r="O144" s="352" t="str">
        <f t="shared" si="8"/>
        <v>HLI</v>
      </c>
      <c r="P144" s="608">
        <f t="shared" si="9"/>
        <v>0</v>
      </c>
    </row>
    <row r="145" spans="2:17">
      <c r="B145" s="441">
        <f>B144+1</f>
        <v>6</v>
      </c>
      <c r="C145" s="352">
        <f t="shared" si="7"/>
        <v>0</v>
      </c>
      <c r="D145" s="849">
        <v>0</v>
      </c>
      <c r="E145" s="608"/>
      <c r="O145" s="352" t="str">
        <f t="shared" si="8"/>
        <v>HLI</v>
      </c>
      <c r="P145" s="608">
        <f t="shared" si="9"/>
        <v>0</v>
      </c>
    </row>
    <row r="146" spans="2:17">
      <c r="O146" s="23"/>
      <c r="P146" s="23"/>
    </row>
    <row r="152" spans="2:17">
      <c r="C152" s="540" t="s">
        <v>612</v>
      </c>
      <c r="D152" s="170"/>
      <c r="E152" s="170"/>
      <c r="F152" s="170"/>
      <c r="G152" s="170"/>
      <c r="H152" s="170"/>
      <c r="I152" s="170"/>
      <c r="J152" s="170"/>
      <c r="K152" s="170"/>
      <c r="L152" s="170"/>
      <c r="M152" s="170"/>
      <c r="N152" s="170"/>
      <c r="O152" s="170"/>
      <c r="P152" s="170"/>
      <c r="Q152" s="26"/>
    </row>
    <row r="154" spans="2:17">
      <c r="C154" s="603" t="str">
        <f>C138</f>
        <v>Raw Data</v>
      </c>
      <c r="D154" s="603"/>
      <c r="E154" s="603"/>
      <c r="O154" s="603" t="str">
        <f>O138</f>
        <v>Chart Data</v>
      </c>
      <c r="P154" s="603"/>
    </row>
    <row r="155" spans="2:17">
      <c r="O155" s="23"/>
      <c r="P155" s="23"/>
    </row>
    <row r="156" spans="2:17">
      <c r="B156" s="3">
        <v>1</v>
      </c>
      <c r="C156" s="604" t="str">
        <f t="shared" ref="C156:C161" si="10">C140</f>
        <v>EVR</v>
      </c>
      <c r="D156" s="849">
        <v>0.24399999999999999</v>
      </c>
      <c r="O156" s="352" t="str">
        <f t="shared" ref="O156:O161" si="11">INDEX($C$156:$C$161,MATCH(P156,$D$156:$D$161,0),1)</f>
        <v>EVR</v>
      </c>
      <c r="P156" s="608">
        <f t="shared" ref="P156:P161" si="12">LARGE($D$156:$D$161,B156)</f>
        <v>0.24399999999999999</v>
      </c>
    </row>
    <row r="157" spans="2:17">
      <c r="B157" s="441">
        <f>B156+1</f>
        <v>2</v>
      </c>
      <c r="C157" s="352" t="str">
        <f t="shared" si="10"/>
        <v>LAZ</v>
      </c>
      <c r="D157" s="849">
        <v>0.12959999999999999</v>
      </c>
      <c r="O157" s="352" t="str">
        <f t="shared" si="11"/>
        <v>LAZ</v>
      </c>
      <c r="P157" s="608">
        <f t="shared" si="12"/>
        <v>0.12959999999999999</v>
      </c>
    </row>
    <row r="158" spans="2:17">
      <c r="B158" s="441">
        <f>B157+1</f>
        <v>3</v>
      </c>
      <c r="C158" s="352" t="str">
        <f t="shared" si="10"/>
        <v>HLI</v>
      </c>
      <c r="D158" s="849">
        <v>0</v>
      </c>
      <c r="O158" s="352" t="str">
        <f t="shared" si="11"/>
        <v>HLI</v>
      </c>
      <c r="P158" s="608">
        <f t="shared" si="12"/>
        <v>0</v>
      </c>
    </row>
    <row r="159" spans="2:17">
      <c r="B159" s="441">
        <f>B158+1</f>
        <v>4</v>
      </c>
      <c r="C159" s="352" t="str">
        <f t="shared" si="10"/>
        <v>PJT</v>
      </c>
      <c r="D159" s="849">
        <v>0</v>
      </c>
      <c r="O159" s="352" t="str">
        <f t="shared" si="11"/>
        <v>HLI</v>
      </c>
      <c r="P159" s="608">
        <f t="shared" si="12"/>
        <v>0</v>
      </c>
    </row>
    <row r="160" spans="2:17">
      <c r="B160" s="441">
        <f>B159+1</f>
        <v>5</v>
      </c>
      <c r="C160" s="352" t="str">
        <f t="shared" si="10"/>
        <v>MC</v>
      </c>
      <c r="D160" s="849">
        <v>0</v>
      </c>
      <c r="O160" s="352" t="str">
        <f t="shared" si="11"/>
        <v>HLI</v>
      </c>
      <c r="P160" s="608">
        <f t="shared" si="12"/>
        <v>0</v>
      </c>
    </row>
    <row r="161" spans="2:16">
      <c r="B161" s="441">
        <f>B160+1</f>
        <v>6</v>
      </c>
      <c r="C161" s="352">
        <f t="shared" si="10"/>
        <v>0</v>
      </c>
      <c r="D161" s="849">
        <v>0</v>
      </c>
      <c r="O161" s="352" t="str">
        <f t="shared" si="11"/>
        <v>HLI</v>
      </c>
      <c r="P161" s="608">
        <f t="shared" si="12"/>
        <v>0</v>
      </c>
    </row>
  </sheetData>
  <pageMargins left="0.7" right="0.7" top="0.75" bottom="0.75" header="0.3" footer="0.3"/>
  <pageSetup scale="43" orientation="portrait" horizontalDpi="1200" verticalDpi="1200"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4"/>
  <sheetViews>
    <sheetView showGridLines="0" zoomScale="80" zoomScaleNormal="80" workbookViewId="0">
      <pane ySplit="2" topLeftCell="A3" activePane="bottomLeft" state="frozen"/>
      <selection pane="bottomLeft"/>
    </sheetView>
  </sheetViews>
  <sheetFormatPr defaultColWidth="10.7109375" defaultRowHeight="14.45" customHeight="1" outlineLevelRow="1"/>
  <cols>
    <col min="1" max="1" width="1.7109375" style="3" customWidth="1"/>
    <col min="2" max="2" width="1.42578125" style="3" customWidth="1"/>
    <col min="3" max="7" width="12.7109375" style="3" customWidth="1"/>
    <col min="8" max="8" width="14.42578125" style="3" bestFit="1" customWidth="1"/>
    <col min="9" max="14" width="12.7109375" style="3" customWidth="1"/>
    <col min="15" max="19" width="11.7109375" style="3" customWidth="1"/>
    <col min="20" max="16384" width="10.7109375" style="3"/>
  </cols>
  <sheetData>
    <row r="1" spans="1:16" s="2" customFormat="1" ht="19.5" customHeight="1">
      <c r="C1" s="592" t="str">
        <f ca="1">Company_Name&amp;" - "&amp;MID(CELL("filename",A1),FIND("]",CELL("filename",A1))+1,255)&amp;": "&amp;Case_Scenario&amp;" Case"</f>
        <v>Evercore Inc. - Pre-Earnings: Base Case</v>
      </c>
    </row>
    <row r="2" spans="1:16" ht="15" customHeight="1">
      <c r="C2" s="4" t="str">
        <f>Cover!C2</f>
        <v>$ in Thousands Except Per Share Data</v>
      </c>
    </row>
    <row r="3" spans="1:16" ht="14.45" customHeight="1">
      <c r="A3" s="588"/>
      <c r="B3" s="23"/>
      <c r="C3" s="23"/>
      <c r="D3" s="23"/>
      <c r="E3" s="23"/>
      <c r="F3" s="23"/>
      <c r="G3" s="23"/>
      <c r="H3" s="23"/>
      <c r="I3" s="23"/>
      <c r="J3" s="23"/>
      <c r="K3" s="23"/>
      <c r="L3" s="23"/>
      <c r="M3" s="23"/>
      <c r="N3" s="23"/>
      <c r="O3" s="23"/>
      <c r="P3" s="23"/>
    </row>
    <row r="4" spans="1:16" ht="14.45" customHeight="1">
      <c r="A4" s="23"/>
      <c r="B4" s="23"/>
      <c r="C4" s="23" t="s">
        <v>502</v>
      </c>
      <c r="D4" s="23"/>
      <c r="E4" s="23"/>
      <c r="F4" s="23"/>
      <c r="G4" s="23"/>
      <c r="H4" s="164" t="s">
        <v>1079</v>
      </c>
      <c r="I4" s="23"/>
      <c r="J4" s="23"/>
      <c r="K4" s="23"/>
      <c r="L4" s="23"/>
      <c r="M4" s="23"/>
      <c r="N4" s="23"/>
      <c r="O4" s="23"/>
      <c r="P4" s="23"/>
    </row>
    <row r="5" spans="1:16" ht="14.45" customHeight="1">
      <c r="A5" s="23"/>
      <c r="B5" s="23"/>
      <c r="C5" s="23" t="s">
        <v>498</v>
      </c>
      <c r="D5" s="23"/>
      <c r="E5" s="23"/>
      <c r="F5" s="23"/>
      <c r="G5" s="23"/>
      <c r="H5" s="463">
        <f>YEAR(Next_FYE)</f>
        <v>2027</v>
      </c>
      <c r="I5" s="23"/>
      <c r="J5" s="23"/>
      <c r="K5" s="23"/>
      <c r="L5" s="23"/>
      <c r="M5" s="23"/>
      <c r="N5" s="23"/>
      <c r="O5" s="23"/>
      <c r="P5" s="23"/>
    </row>
    <row r="6" spans="1:16" ht="14.45" customHeight="1">
      <c r="A6" s="23"/>
      <c r="B6" s="23"/>
      <c r="C6" s="23" t="s">
        <v>497</v>
      </c>
      <c r="D6" s="23"/>
      <c r="E6" s="23"/>
      <c r="F6" s="23"/>
      <c r="G6" s="23"/>
      <c r="H6" s="464" t="str">
        <f>H4&amp;RIGHT(H5,2)&amp;"e"</f>
        <v>2Q27e</v>
      </c>
      <c r="I6" s="23"/>
      <c r="J6" s="23"/>
      <c r="K6" s="23"/>
      <c r="L6" s="23"/>
      <c r="M6" s="23"/>
      <c r="N6" s="23"/>
      <c r="O6" s="23"/>
      <c r="P6" s="23"/>
    </row>
    <row r="7" spans="1:16" ht="14.45" customHeight="1">
      <c r="A7" s="23"/>
      <c r="B7" s="23"/>
      <c r="C7" s="23" t="s">
        <v>501</v>
      </c>
      <c r="D7" s="23"/>
      <c r="E7" s="23"/>
      <c r="F7" s="23"/>
      <c r="G7" s="23"/>
      <c r="H7" s="463">
        <f>YEAR(Last_FYE)</f>
        <v>2026</v>
      </c>
      <c r="I7" s="23"/>
      <c r="J7" s="23"/>
      <c r="K7" s="23"/>
      <c r="L7" s="23"/>
      <c r="M7" s="23"/>
      <c r="N7" s="23"/>
      <c r="O7" s="23"/>
      <c r="P7" s="23"/>
    </row>
    <row r="8" spans="1:16" ht="14.45" customHeight="1">
      <c r="A8" s="23"/>
      <c r="B8" s="23"/>
      <c r="C8" s="23" t="s">
        <v>503</v>
      </c>
      <c r="D8" s="23"/>
      <c r="E8" s="23"/>
      <c r="F8" s="23"/>
      <c r="G8" s="23"/>
      <c r="H8" s="161" t="s">
        <v>1080</v>
      </c>
      <c r="I8" s="23"/>
      <c r="J8" s="23"/>
      <c r="K8" s="23"/>
      <c r="L8" s="23"/>
      <c r="M8" s="23"/>
      <c r="N8" s="23"/>
      <c r="O8" s="23"/>
      <c r="P8" s="23"/>
    </row>
    <row r="9" spans="1:16" ht="14.45" customHeight="1">
      <c r="A9" s="23"/>
      <c r="B9" s="23"/>
      <c r="C9" s="23"/>
      <c r="D9" s="23"/>
      <c r="E9" s="23"/>
      <c r="F9" s="23"/>
      <c r="G9" s="23"/>
      <c r="H9" s="23"/>
      <c r="I9" s="23"/>
      <c r="J9" s="23"/>
      <c r="K9" s="23"/>
      <c r="L9" s="23"/>
      <c r="M9" s="23"/>
      <c r="N9" s="23"/>
      <c r="O9" s="23"/>
      <c r="P9" s="23"/>
    </row>
    <row r="10" spans="1:16" ht="14.45" customHeight="1">
      <c r="A10" s="23"/>
      <c r="B10" s="22" t="s">
        <v>1</v>
      </c>
      <c r="C10" s="193" t="str">
        <f>Ticker&amp;" "&amp;H4&amp;RIGHT(H5,2)&amp;" Operating Expectations"</f>
        <v>EVR 2Q27 Operating Expectations</v>
      </c>
      <c r="D10" s="193"/>
      <c r="E10" s="193"/>
      <c r="F10" s="193"/>
      <c r="G10" s="193"/>
      <c r="H10" s="510" t="s">
        <v>500</v>
      </c>
      <c r="I10" s="510" t="s">
        <v>504</v>
      </c>
      <c r="J10" s="510" t="str">
        <f>H4&amp;RIGHT(H7,2)&amp;"a"</f>
        <v>2Q26a</v>
      </c>
      <c r="K10" s="510" t="str">
        <f>IF(H4="1Q",Last_FQR&amp;RIGHT(H7,2)&amp;"a",Last_FQR&amp;RIGHT(H5,2)&amp;"a")</f>
        <v>4Q27a</v>
      </c>
      <c r="L10" s="591" t="str">
        <f>"v. "&amp;I10</f>
        <v>v. Consensus</v>
      </c>
      <c r="M10" s="510" t="str">
        <f>"v. "&amp;J10</f>
        <v>v. 2Q26a</v>
      </c>
      <c r="N10" s="510" t="str">
        <f>"v. "&amp;K10</f>
        <v>v. 4Q27a</v>
      </c>
      <c r="O10" s="548"/>
      <c r="P10" s="548"/>
    </row>
    <row r="11" spans="1:16" ht="5.0999999999999996" customHeight="1">
      <c r="A11" s="23"/>
      <c r="B11" s="22"/>
      <c r="C11" s="163"/>
      <c r="D11" s="163"/>
      <c r="E11" s="163"/>
      <c r="F11" s="163"/>
      <c r="G11" s="163"/>
      <c r="H11" s="548"/>
      <c r="I11" s="548"/>
      <c r="J11" s="548"/>
      <c r="K11" s="548"/>
      <c r="L11" s="548"/>
      <c r="M11" s="548"/>
      <c r="N11" s="548"/>
      <c r="O11" s="548"/>
      <c r="P11" s="548"/>
    </row>
    <row r="12" spans="1:16" ht="14.45" customHeight="1">
      <c r="A12" s="23"/>
      <c r="B12" s="23"/>
      <c r="C12" s="23" t="str">
        <f>Model!C28</f>
        <v>Revenue</v>
      </c>
      <c r="D12" s="23"/>
      <c r="E12" s="23"/>
      <c r="F12" s="23"/>
      <c r="G12" s="23"/>
      <c r="H12" s="465">
        <f>INDEX(Data,MATCH($C12,Line_Items,0),MATCH($H$6,Fiscal_Periods,0))</f>
        <v>1730869.86064311</v>
      </c>
      <c r="I12" s="466">
        <v>625250</v>
      </c>
      <c r="J12" s="465" t="e">
        <f t="shared" ref="J12:K19" si="0">INDEX(Data,MATCH($C12,Line_Items,0),MATCH(LEFT(J$10,4),Fiscal_Periods,0))</f>
        <v>#N/A</v>
      </c>
      <c r="K12" s="465" t="e">
        <f t="shared" si="0"/>
        <v>#N/A</v>
      </c>
      <c r="L12" s="467">
        <f t="shared" ref="L12:N13" si="1">IFERROR($H12/I12-1,"N/A")</f>
        <v>1.7682844632436785</v>
      </c>
      <c r="M12" s="438" t="str">
        <f t="shared" si="1"/>
        <v>N/A</v>
      </c>
      <c r="N12" s="438" t="str">
        <f t="shared" si="1"/>
        <v>N/A</v>
      </c>
      <c r="O12" s="23"/>
      <c r="P12" s="23"/>
    </row>
    <row r="13" spans="1:16" ht="14.45" customHeight="1">
      <c r="A13" s="23"/>
      <c r="B13" s="23"/>
      <c r="C13" s="23" t="str">
        <f>Model!C30</f>
        <v>Gross Profit</v>
      </c>
      <c r="D13" s="23"/>
      <c r="E13" s="23"/>
      <c r="F13" s="23"/>
      <c r="G13" s="23"/>
      <c r="H13" s="482">
        <f t="shared" ref="H13:H19" si="2">INDEX(Data,MATCH($C13,Line_Items,0),MATCH($H$6,Fiscal_Periods,0))</f>
        <v>1730869.86064311</v>
      </c>
      <c r="I13" s="480">
        <v>625250</v>
      </c>
      <c r="J13" s="482" t="e">
        <f t="shared" si="0"/>
        <v>#N/A</v>
      </c>
      <c r="K13" s="482" t="e">
        <f t="shared" si="0"/>
        <v>#N/A</v>
      </c>
      <c r="L13" s="467">
        <f t="shared" si="1"/>
        <v>1.7682844632436785</v>
      </c>
      <c r="M13" s="438" t="str">
        <f t="shared" si="1"/>
        <v>N/A</v>
      </c>
      <c r="N13" s="438" t="str">
        <f t="shared" si="1"/>
        <v>N/A</v>
      </c>
      <c r="O13" s="23"/>
      <c r="P13" s="23"/>
    </row>
    <row r="14" spans="1:16" ht="14.45" customHeight="1">
      <c r="A14" s="23"/>
      <c r="B14" s="23"/>
      <c r="C14" s="114" t="str">
        <f>Model!C67</f>
        <v>Gross Margin</v>
      </c>
      <c r="D14" s="23"/>
      <c r="E14" s="23"/>
      <c r="F14" s="23"/>
      <c r="G14" s="23"/>
      <c r="H14" s="468">
        <f t="shared" si="2"/>
        <v>1</v>
      </c>
      <c r="I14" s="469">
        <v>1</v>
      </c>
      <c r="J14" s="468" t="e">
        <f t="shared" si="0"/>
        <v>#N/A</v>
      </c>
      <c r="K14" s="468" t="e">
        <f t="shared" si="0"/>
        <v>#N/A</v>
      </c>
      <c r="L14" s="470">
        <f>$H14-I14</f>
        <v>0</v>
      </c>
      <c r="M14" s="471" t="e">
        <f>$H14-J14</f>
        <v>#N/A</v>
      </c>
      <c r="N14" s="471" t="e">
        <f>$H14-K14</f>
        <v>#N/A</v>
      </c>
      <c r="O14" s="23"/>
      <c r="P14" s="23"/>
    </row>
    <row r="15" spans="1:16" ht="14.45" customHeight="1">
      <c r="A15" s="23"/>
      <c r="B15" s="23"/>
      <c r="C15" s="23" t="str">
        <f>Model!C62</f>
        <v>EBITDA</v>
      </c>
      <c r="D15" s="23"/>
      <c r="E15" s="23"/>
      <c r="F15" s="23"/>
      <c r="G15" s="23"/>
      <c r="H15" s="482">
        <f ca="1">INDEX(Data,MATCH($C15,Line_Items,0),MATCH($H$6,Fiscal_Periods,0))</f>
        <v>373022.23920212738</v>
      </c>
      <c r="I15" s="480">
        <v>97530</v>
      </c>
      <c r="J15" s="482" t="e">
        <f t="shared" si="0"/>
        <v>#N/A</v>
      </c>
      <c r="K15" s="482" t="e">
        <f t="shared" si="0"/>
        <v>#N/A</v>
      </c>
      <c r="L15" s="467">
        <f ca="1">IFERROR($H15/I15-1,"N/A")</f>
        <v>2.8246922916243964</v>
      </c>
      <c r="M15" s="438" t="str">
        <f ca="1">IFERROR($H15/J15-1,"N/A")</f>
        <v>N/A</v>
      </c>
      <c r="N15" s="438" t="str">
        <f ca="1">IFERROR($H15/K15-1,"N/A")</f>
        <v>N/A</v>
      </c>
      <c r="O15" s="23"/>
      <c r="P15" s="23"/>
    </row>
    <row r="16" spans="1:16" ht="14.45" customHeight="1">
      <c r="A16" s="23"/>
      <c r="B16" s="23"/>
      <c r="C16" s="114" t="str">
        <f>'Segment Analysis'!C146</f>
        <v>EBITDA Margin</v>
      </c>
      <c r="D16" s="23"/>
      <c r="E16" s="23"/>
      <c r="F16" s="23"/>
      <c r="G16" s="23"/>
      <c r="H16" s="955">
        <f ca="1">H15/$H$12</f>
        <v>0.21551143022591532</v>
      </c>
      <c r="I16" s="469">
        <f>I15/I12</f>
        <v>0.15598560575769693</v>
      </c>
      <c r="J16" s="955" t="e">
        <f t="shared" ref="J16:K16" si="3">J15/$H$12</f>
        <v>#N/A</v>
      </c>
      <c r="K16" s="955" t="e">
        <f t="shared" si="3"/>
        <v>#N/A</v>
      </c>
      <c r="L16" s="470">
        <f ca="1">$H16-I16</f>
        <v>5.9525824468218386E-2</v>
      </c>
      <c r="M16" s="471" t="e">
        <f ca="1">$H16-J16</f>
        <v>#N/A</v>
      </c>
      <c r="N16" s="471" t="e">
        <f ca="1">$H16-K16</f>
        <v>#N/A</v>
      </c>
      <c r="O16" s="23"/>
      <c r="P16" s="23"/>
    </row>
    <row r="17" spans="1:16" ht="14.45" customHeight="1">
      <c r="A17" s="23"/>
      <c r="B17" s="23"/>
      <c r="C17" s="23" t="str">
        <f>Model!C37</f>
        <v>EBIT</v>
      </c>
      <c r="D17" s="23"/>
      <c r="E17" s="23"/>
      <c r="F17" s="23"/>
      <c r="G17" s="23"/>
      <c r="H17" s="482">
        <f>INDEX(Data,MATCH($C17,Line_Items,0),MATCH($H$6,Fiscal_Periods,0))</f>
        <v>372328.77310166764</v>
      </c>
      <c r="I17" s="480">
        <v>85620</v>
      </c>
      <c r="J17" s="482" t="e">
        <f t="shared" si="0"/>
        <v>#N/A</v>
      </c>
      <c r="K17" s="482" t="e">
        <f t="shared" si="0"/>
        <v>#N/A</v>
      </c>
      <c r="L17" s="467">
        <f>IFERROR($H17/I17-1,"N/A")</f>
        <v>3.3486191672701198</v>
      </c>
      <c r="M17" s="438" t="str">
        <f>IFERROR($H17/J17-1,"N/A")</f>
        <v>N/A</v>
      </c>
      <c r="N17" s="438" t="str">
        <f>IFERROR($H17/K17-1,"N/A")</f>
        <v>N/A</v>
      </c>
      <c r="O17" s="23"/>
      <c r="P17" s="23"/>
    </row>
    <row r="18" spans="1:16" ht="14.45" customHeight="1">
      <c r="A18" s="23"/>
      <c r="B18" s="23"/>
      <c r="C18" s="114" t="str">
        <f>'Segment Analysis'!C154</f>
        <v>EBIT Margin</v>
      </c>
      <c r="D18" s="23"/>
      <c r="E18" s="23"/>
      <c r="F18" s="23"/>
      <c r="G18" s="23"/>
      <c r="H18" s="955">
        <f>H17/$H$12</f>
        <v>0.21511078421766947</v>
      </c>
      <c r="I18" s="469">
        <f>I17/I12</f>
        <v>0.13693722510995601</v>
      </c>
      <c r="J18" s="955" t="e">
        <f t="shared" ref="J18:K18" si="4">J17/$H$12</f>
        <v>#N/A</v>
      </c>
      <c r="K18" s="955" t="e">
        <f t="shared" si="4"/>
        <v>#N/A</v>
      </c>
      <c r="L18" s="470">
        <f>$H18-I18</f>
        <v>7.8173559107713453E-2</v>
      </c>
      <c r="M18" s="471" t="e">
        <f>$H18-J18</f>
        <v>#N/A</v>
      </c>
      <c r="N18" s="471" t="e">
        <f>$H18-K18</f>
        <v>#N/A</v>
      </c>
      <c r="O18" s="23"/>
      <c r="P18" s="23"/>
    </row>
    <row r="19" spans="1:16" ht="14.45" customHeight="1">
      <c r="A19" s="23"/>
      <c r="B19" s="23"/>
      <c r="C19" s="23" t="str">
        <f>Model!C46</f>
        <v>Net Income (Loss)</v>
      </c>
      <c r="D19" s="23"/>
      <c r="E19" s="23"/>
      <c r="F19" s="23"/>
      <c r="G19" s="23"/>
      <c r="H19" s="482">
        <f t="shared" ca="1" si="2"/>
        <v>275255.04585080844</v>
      </c>
      <c r="I19" s="480">
        <v>73670</v>
      </c>
      <c r="J19" s="482" t="e">
        <f t="shared" si="0"/>
        <v>#N/A</v>
      </c>
      <c r="K19" s="482" t="e">
        <f t="shared" si="0"/>
        <v>#N/A</v>
      </c>
      <c r="L19" s="467">
        <f ca="1">IFERROR($H19/I19-1,"N/A")</f>
        <v>2.7363247706095892</v>
      </c>
      <c r="M19" s="438" t="str">
        <f ca="1">IFERROR($H19/J19-1,"N/A")</f>
        <v>N/A</v>
      </c>
      <c r="N19" s="438" t="str">
        <f ca="1">IFERROR($H19/K19-1,"N/A")</f>
        <v>N/A</v>
      </c>
      <c r="O19" s="23"/>
      <c r="P19" s="23"/>
    </row>
    <row r="20" spans="1:16" ht="14.45" customHeight="1">
      <c r="A20" s="23"/>
      <c r="B20" s="23"/>
      <c r="C20" s="114" t="s">
        <v>358</v>
      </c>
      <c r="D20" s="23"/>
      <c r="E20" s="23"/>
      <c r="F20" s="23"/>
      <c r="G20" s="23"/>
      <c r="H20" s="468">
        <f ca="1">H19/H12</f>
        <v>0.15902700261274211</v>
      </c>
      <c r="I20" s="469">
        <f>I19/I12</f>
        <v>0.11782487005197921</v>
      </c>
      <c r="J20" s="468" t="e">
        <f>J19/J12</f>
        <v>#N/A</v>
      </c>
      <c r="K20" s="468" t="e">
        <f>K19/K12</f>
        <v>#N/A</v>
      </c>
      <c r="L20" s="470">
        <f ca="1">$H20-I20</f>
        <v>4.1202132560762897E-2</v>
      </c>
      <c r="M20" s="471" t="e">
        <f ca="1">$H20-J20</f>
        <v>#N/A</v>
      </c>
      <c r="N20" s="471" t="e">
        <f ca="1">$H20-K20</f>
        <v>#N/A</v>
      </c>
      <c r="O20" s="23"/>
      <c r="P20" s="23"/>
    </row>
    <row r="21" spans="1:16" ht="14.45" customHeight="1">
      <c r="A21" s="23"/>
      <c r="B21" s="23"/>
      <c r="C21" s="23" t="str">
        <f>Model!C58</f>
        <v>Adj. EPS (Diluted)</v>
      </c>
      <c r="D21" s="23"/>
      <c r="E21" s="23"/>
      <c r="F21" s="23"/>
      <c r="G21" s="23"/>
      <c r="H21" s="472">
        <f ca="1">INDEX(Data,MATCH($C21,Line_Items,0),MATCH($H$6,Fiscal_Periods,0))</f>
        <v>5.6505181556420272</v>
      </c>
      <c r="I21" s="473">
        <v>1.63</v>
      </c>
      <c r="J21" s="472" t="e">
        <f>INDEX(Data,MATCH($C21,Line_Items,0),MATCH(LEFT(J$10,4),Fiscal_Periods,0))</f>
        <v>#N/A</v>
      </c>
      <c r="K21" s="472" t="e">
        <f>INDEX(Data,MATCH($C21,Line_Items,0),MATCH(LEFT(K$10,4),Fiscal_Periods,0))</f>
        <v>#N/A</v>
      </c>
      <c r="L21" s="467">
        <f ca="1">IFERROR($H21/I21-1,"N/A")</f>
        <v>2.466575555608606</v>
      </c>
      <c r="M21" s="438" t="str">
        <f ca="1">IFERROR($H21/J21-1,"N/A")</f>
        <v>N/A</v>
      </c>
      <c r="N21" s="438" t="str">
        <f ca="1">IFERROR($H21/K21-1,"N/A")</f>
        <v>N/A</v>
      </c>
      <c r="O21" s="23"/>
      <c r="P21" s="23"/>
    </row>
    <row r="22" spans="1:16" ht="14.45" customHeight="1">
      <c r="A22" s="23"/>
      <c r="B22" s="23"/>
      <c r="C22" s="23"/>
      <c r="D22" s="23"/>
      <c r="E22" s="23"/>
      <c r="F22" s="23"/>
      <c r="G22" s="23"/>
      <c r="H22" s="189"/>
      <c r="I22" s="189"/>
      <c r="J22" s="189"/>
      <c r="K22" s="189"/>
      <c r="L22" s="189"/>
      <c r="M22" s="189"/>
      <c r="N22" s="189"/>
      <c r="O22" s="23"/>
      <c r="P22" s="23"/>
    </row>
    <row r="23" spans="1:16" ht="14.45" customHeight="1">
      <c r="A23" s="23"/>
      <c r="B23" s="23"/>
      <c r="C23" s="23"/>
      <c r="D23" s="23"/>
      <c r="E23" s="23"/>
      <c r="F23" s="23"/>
      <c r="G23" s="23"/>
      <c r="H23" s="189"/>
      <c r="I23" s="189"/>
      <c r="J23" s="189"/>
      <c r="K23" s="189"/>
      <c r="L23" s="189"/>
      <c r="M23" s="189"/>
      <c r="N23" s="189"/>
      <c r="O23" s="23"/>
      <c r="P23" s="23"/>
    </row>
    <row r="24" spans="1:16" ht="14.45" customHeight="1">
      <c r="A24" s="23"/>
      <c r="B24" s="22" t="s">
        <v>1</v>
      </c>
      <c r="C24" s="193" t="str">
        <f>Ticker&amp;" "&amp;H4&amp;RIGHT(H5,2)&amp;" Segment Expectations"</f>
        <v>EVR 2Q27 Segment Expectations</v>
      </c>
      <c r="D24" s="193"/>
      <c r="E24" s="193"/>
      <c r="F24" s="193"/>
      <c r="G24" s="193"/>
      <c r="H24" s="510" t="str">
        <f t="shared" ref="H24:N24" si="5">H10</f>
        <v>OFe</v>
      </c>
      <c r="I24" s="510" t="str">
        <f t="shared" si="5"/>
        <v>Consensus</v>
      </c>
      <c r="J24" s="510" t="str">
        <f t="shared" si="5"/>
        <v>2Q26a</v>
      </c>
      <c r="K24" s="510" t="str">
        <f t="shared" si="5"/>
        <v>4Q27a</v>
      </c>
      <c r="L24" s="591" t="str">
        <f t="shared" si="5"/>
        <v>v. Consensus</v>
      </c>
      <c r="M24" s="510" t="str">
        <f t="shared" si="5"/>
        <v>v. 2Q26a</v>
      </c>
      <c r="N24" s="510" t="str">
        <f t="shared" si="5"/>
        <v>v. 4Q27a</v>
      </c>
      <c r="O24" s="23"/>
      <c r="P24" s="23"/>
    </row>
    <row r="25" spans="1:16" ht="5.0999999999999996" customHeight="1">
      <c r="A25" s="23"/>
      <c r="B25" s="22"/>
      <c r="C25" s="23"/>
      <c r="D25" s="23"/>
      <c r="E25" s="23"/>
      <c r="F25" s="23"/>
      <c r="G25" s="23"/>
      <c r="H25" s="189"/>
      <c r="I25" s="189"/>
      <c r="J25" s="189"/>
      <c r="K25" s="189"/>
      <c r="L25" s="189"/>
      <c r="M25" s="189"/>
      <c r="N25" s="189"/>
      <c r="O25" s="23"/>
      <c r="P25" s="23"/>
    </row>
    <row r="26" spans="1:16" ht="14.45" customHeight="1">
      <c r="A26" s="23"/>
      <c r="B26" s="23"/>
      <c r="C26" s="23" t="str">
        <f>'Segment Analysis'!C8</f>
        <v>Investment Banking &amp; Equities Revenue</v>
      </c>
      <c r="D26" s="23"/>
      <c r="E26" s="23"/>
      <c r="F26" s="23"/>
      <c r="G26" s="23"/>
      <c r="H26" s="465" t="e">
        <f t="shared" ref="H26:H37" si="6">INDEX(Data,MATCH($C26,Line_Items,0),MATCH($H$6,Fiscal_Periods,0))</f>
        <v>#N/A</v>
      </c>
      <c r="I26" s="466">
        <v>6520.1</v>
      </c>
      <c r="J26" s="465" t="e">
        <f t="shared" ref="J26:K37" si="7">INDEX(Data,MATCH($C26,Line_Items,0),MATCH(LEFT(J$24,4),Fiscal_Periods,0))</f>
        <v>#N/A</v>
      </c>
      <c r="K26" s="465" t="e">
        <f t="shared" si="7"/>
        <v>#N/A</v>
      </c>
      <c r="L26" s="467" t="str">
        <f t="shared" ref="L26:L37" si="8">IFERROR($H26/I26-1,"N/A")</f>
        <v>N/A</v>
      </c>
      <c r="M26" s="438" t="str">
        <f t="shared" ref="M26:M37" si="9">IFERROR($H26/J26-1,"N/A")</f>
        <v>N/A</v>
      </c>
      <c r="N26" s="438" t="str">
        <f t="shared" ref="N26:N37" si="10">IFERROR($H26/K26-1,"N/A")</f>
        <v>N/A</v>
      </c>
      <c r="O26" s="23"/>
      <c r="P26" s="23"/>
    </row>
    <row r="27" spans="1:16" ht="14.45" customHeight="1">
      <c r="A27" s="23"/>
      <c r="B27" s="23"/>
      <c r="C27" s="23" t="str">
        <f>'Segment Analysis'!C9</f>
        <v>Investment Management Revenue</v>
      </c>
      <c r="D27" s="23"/>
      <c r="E27" s="23"/>
      <c r="F27" s="23"/>
      <c r="G27" s="23"/>
      <c r="H27" s="482" t="e">
        <f t="shared" si="6"/>
        <v>#N/A</v>
      </c>
      <c r="I27" s="480">
        <v>11000.3</v>
      </c>
      <c r="J27" s="482" t="e">
        <f t="shared" si="7"/>
        <v>#N/A</v>
      </c>
      <c r="K27" s="482" t="e">
        <f t="shared" si="7"/>
        <v>#N/A</v>
      </c>
      <c r="L27" s="467" t="str">
        <f t="shared" si="8"/>
        <v>N/A</v>
      </c>
      <c r="M27" s="438" t="str">
        <f t="shared" si="9"/>
        <v>N/A</v>
      </c>
      <c r="N27" s="438" t="str">
        <f t="shared" si="10"/>
        <v>N/A</v>
      </c>
      <c r="O27" s="23"/>
      <c r="P27" s="23"/>
    </row>
    <row r="28" spans="1:16" ht="14.45" customHeight="1">
      <c r="A28" s="23"/>
      <c r="B28" s="23"/>
      <c r="C28" s="23" t="str">
        <f>'Segment Analysis'!C10</f>
        <v>Segment 3 Revenue</v>
      </c>
      <c r="D28" s="23"/>
      <c r="E28" s="23"/>
      <c r="F28" s="23"/>
      <c r="G28" s="23"/>
      <c r="H28" s="482" t="e">
        <f t="shared" si="6"/>
        <v>#N/A</v>
      </c>
      <c r="I28" s="480">
        <v>75</v>
      </c>
      <c r="J28" s="482" t="e">
        <f t="shared" si="7"/>
        <v>#N/A</v>
      </c>
      <c r="K28" s="482" t="e">
        <f t="shared" si="7"/>
        <v>#N/A</v>
      </c>
      <c r="L28" s="467" t="str">
        <f t="shared" si="8"/>
        <v>N/A</v>
      </c>
      <c r="M28" s="438" t="str">
        <f t="shared" si="9"/>
        <v>N/A</v>
      </c>
      <c r="N28" s="438" t="str">
        <f t="shared" si="10"/>
        <v>N/A</v>
      </c>
      <c r="O28" s="23"/>
      <c r="P28" s="23"/>
    </row>
    <row r="29" spans="1:16" ht="14.45" customHeight="1">
      <c r="A29" s="23"/>
      <c r="B29" s="23"/>
      <c r="C29" s="23" t="str">
        <f>'Segment Analysis'!C11</f>
        <v>Segment 4 Revenue</v>
      </c>
      <c r="D29" s="23"/>
      <c r="E29" s="23"/>
      <c r="F29" s="23"/>
      <c r="G29" s="23"/>
      <c r="H29" s="482" t="e">
        <f t="shared" si="6"/>
        <v>#N/A</v>
      </c>
      <c r="I29" s="480">
        <v>-200</v>
      </c>
      <c r="J29" s="482" t="e">
        <f t="shared" si="7"/>
        <v>#N/A</v>
      </c>
      <c r="K29" s="482" t="e">
        <f t="shared" si="7"/>
        <v>#N/A</v>
      </c>
      <c r="L29" s="467" t="str">
        <f t="shared" si="8"/>
        <v>N/A</v>
      </c>
      <c r="M29" s="438" t="str">
        <f t="shared" si="9"/>
        <v>N/A</v>
      </c>
      <c r="N29" s="438" t="str">
        <f t="shared" si="10"/>
        <v>N/A</v>
      </c>
      <c r="O29" s="23"/>
      <c r="P29" s="23"/>
    </row>
    <row r="30" spans="1:16" ht="14.45" customHeight="1" thickBot="1">
      <c r="A30" s="23"/>
      <c r="B30" s="23"/>
      <c r="C30" s="428" t="str">
        <f>'Segment Analysis'!C12</f>
        <v>Segment 5 Revenue</v>
      </c>
      <c r="D30" s="428"/>
      <c r="E30" s="428"/>
      <c r="F30" s="428"/>
      <c r="G30" s="428"/>
      <c r="H30" s="483" t="e">
        <f t="shared" si="6"/>
        <v>#N/A</v>
      </c>
      <c r="I30" s="481">
        <v>5000</v>
      </c>
      <c r="J30" s="483" t="e">
        <f t="shared" si="7"/>
        <v>#N/A</v>
      </c>
      <c r="K30" s="483" t="e">
        <f t="shared" si="7"/>
        <v>#N/A</v>
      </c>
      <c r="L30" s="476" t="str">
        <f t="shared" si="8"/>
        <v>N/A</v>
      </c>
      <c r="M30" s="477" t="str">
        <f t="shared" si="9"/>
        <v>N/A</v>
      </c>
      <c r="N30" s="477" t="str">
        <f t="shared" si="10"/>
        <v>N/A</v>
      </c>
      <c r="O30" s="23"/>
      <c r="P30" s="23"/>
    </row>
    <row r="31" spans="1:16" ht="14.45" hidden="1" customHeight="1" outlineLevel="1" thickBot="1">
      <c r="A31" s="23"/>
      <c r="B31" s="23"/>
      <c r="C31" s="428" t="str">
        <f>'Segment Analysis'!C13</f>
        <v>Segment 6 Revenue</v>
      </c>
      <c r="D31" s="428"/>
      <c r="E31" s="428"/>
      <c r="F31" s="428"/>
      <c r="G31" s="428"/>
      <c r="H31" s="474" t="e">
        <f t="shared" si="6"/>
        <v>#N/A</v>
      </c>
      <c r="I31" s="475" t="e">
        <f>INDEX(Data,MATCH($C31,Line_Items,0),MATCH($H$6,Fiscal_Periods,0))</f>
        <v>#N/A</v>
      </c>
      <c r="J31" s="474" t="e">
        <f t="shared" si="7"/>
        <v>#N/A</v>
      </c>
      <c r="K31" s="474" t="e">
        <f t="shared" si="7"/>
        <v>#N/A</v>
      </c>
      <c r="L31" s="476" t="str">
        <f t="shared" si="8"/>
        <v>N/A</v>
      </c>
      <c r="M31" s="477" t="str">
        <f t="shared" si="9"/>
        <v>N/A</v>
      </c>
      <c r="N31" s="477" t="str">
        <f t="shared" si="10"/>
        <v>N/A</v>
      </c>
      <c r="O31" s="23"/>
      <c r="P31" s="23"/>
    </row>
    <row r="32" spans="1:16" ht="14.45" customHeight="1" collapsed="1">
      <c r="A32" s="23"/>
      <c r="B32" s="23"/>
      <c r="C32" s="23" t="e">
        <f>'Segment Analysis'!#REF!</f>
        <v>#REF!</v>
      </c>
      <c r="D32" s="23"/>
      <c r="E32" s="23"/>
      <c r="F32" s="23"/>
      <c r="G32" s="23"/>
      <c r="H32" s="465" t="e">
        <f t="shared" si="6"/>
        <v>#REF!</v>
      </c>
      <c r="I32" s="466">
        <v>820</v>
      </c>
      <c r="J32" s="465" t="e">
        <f t="shared" si="7"/>
        <v>#REF!</v>
      </c>
      <c r="K32" s="465" t="e">
        <f t="shared" si="7"/>
        <v>#REF!</v>
      </c>
      <c r="L32" s="467" t="str">
        <f t="shared" si="8"/>
        <v>N/A</v>
      </c>
      <c r="M32" s="438" t="str">
        <f t="shared" si="9"/>
        <v>N/A</v>
      </c>
      <c r="N32" s="438" t="str">
        <f t="shared" si="10"/>
        <v>N/A</v>
      </c>
      <c r="O32" s="23"/>
      <c r="P32" s="23"/>
    </row>
    <row r="33" spans="1:16" ht="14.45" customHeight="1">
      <c r="A33" s="23"/>
      <c r="B33" s="23"/>
      <c r="C33" s="23" t="e">
        <f>'Segment Analysis'!#REF!</f>
        <v>#REF!</v>
      </c>
      <c r="D33" s="23"/>
      <c r="E33" s="23"/>
      <c r="F33" s="23"/>
      <c r="G33" s="23"/>
      <c r="H33" s="482" t="e">
        <f t="shared" si="6"/>
        <v>#REF!</v>
      </c>
      <c r="I33" s="480">
        <v>1400</v>
      </c>
      <c r="J33" s="482" t="e">
        <f t="shared" si="7"/>
        <v>#REF!</v>
      </c>
      <c r="K33" s="482" t="e">
        <f t="shared" si="7"/>
        <v>#REF!</v>
      </c>
      <c r="L33" s="467" t="str">
        <f t="shared" si="8"/>
        <v>N/A</v>
      </c>
      <c r="M33" s="438" t="str">
        <f t="shared" si="9"/>
        <v>N/A</v>
      </c>
      <c r="N33" s="438" t="str">
        <f t="shared" si="10"/>
        <v>N/A</v>
      </c>
      <c r="O33" s="23"/>
      <c r="P33" s="23"/>
    </row>
    <row r="34" spans="1:16" ht="14.45" customHeight="1">
      <c r="A34" s="23"/>
      <c r="B34" s="23"/>
      <c r="C34" s="23" t="e">
        <f>'Segment Analysis'!#REF!</f>
        <v>#REF!</v>
      </c>
      <c r="D34" s="23"/>
      <c r="E34" s="23"/>
      <c r="F34" s="23"/>
      <c r="G34" s="23"/>
      <c r="H34" s="482" t="e">
        <f t="shared" si="6"/>
        <v>#REF!</v>
      </c>
      <c r="I34" s="480">
        <v>10</v>
      </c>
      <c r="J34" s="482" t="e">
        <f t="shared" si="7"/>
        <v>#REF!</v>
      </c>
      <c r="K34" s="482" t="e">
        <f t="shared" si="7"/>
        <v>#REF!</v>
      </c>
      <c r="L34" s="467" t="str">
        <f t="shared" si="8"/>
        <v>N/A</v>
      </c>
      <c r="M34" s="438" t="str">
        <f t="shared" si="9"/>
        <v>N/A</v>
      </c>
      <c r="N34" s="438" t="str">
        <f t="shared" si="10"/>
        <v>N/A</v>
      </c>
      <c r="O34" s="23"/>
      <c r="P34" s="23"/>
    </row>
    <row r="35" spans="1:16" ht="14.45" customHeight="1">
      <c r="A35" s="23"/>
      <c r="B35" s="23"/>
      <c r="C35" s="23" t="e">
        <f>'Segment Analysis'!#REF!</f>
        <v>#REF!</v>
      </c>
      <c r="D35" s="23"/>
      <c r="E35" s="23"/>
      <c r="F35" s="23"/>
      <c r="G35" s="23"/>
      <c r="H35" s="482" t="e">
        <f t="shared" si="6"/>
        <v>#REF!</v>
      </c>
      <c r="I35" s="480">
        <v>-23</v>
      </c>
      <c r="J35" s="482" t="e">
        <f t="shared" si="7"/>
        <v>#REF!</v>
      </c>
      <c r="K35" s="482" t="e">
        <f t="shared" si="7"/>
        <v>#REF!</v>
      </c>
      <c r="L35" s="467" t="str">
        <f t="shared" si="8"/>
        <v>N/A</v>
      </c>
      <c r="M35" s="438" t="str">
        <f t="shared" si="9"/>
        <v>N/A</v>
      </c>
      <c r="N35" s="438" t="str">
        <f t="shared" si="10"/>
        <v>N/A</v>
      </c>
      <c r="O35" s="23"/>
      <c r="P35" s="23"/>
    </row>
    <row r="36" spans="1:16" ht="14.45" customHeight="1">
      <c r="A36" s="23"/>
      <c r="B36" s="23"/>
      <c r="C36" s="23" t="e">
        <f>'Segment Analysis'!#REF!</f>
        <v>#REF!</v>
      </c>
      <c r="D36" s="23"/>
      <c r="E36" s="23"/>
      <c r="F36" s="23"/>
      <c r="G36" s="23"/>
      <c r="H36" s="482" t="e">
        <f t="shared" si="6"/>
        <v>#REF!</v>
      </c>
      <c r="I36" s="480">
        <v>650</v>
      </c>
      <c r="J36" s="482" t="e">
        <f t="shared" si="7"/>
        <v>#REF!</v>
      </c>
      <c r="K36" s="482" t="e">
        <f t="shared" si="7"/>
        <v>#REF!</v>
      </c>
      <c r="L36" s="467" t="str">
        <f t="shared" si="8"/>
        <v>N/A</v>
      </c>
      <c r="M36" s="438" t="str">
        <f t="shared" si="9"/>
        <v>N/A</v>
      </c>
      <c r="N36" s="438" t="str">
        <f t="shared" si="10"/>
        <v>N/A</v>
      </c>
      <c r="O36" s="23"/>
      <c r="P36" s="23"/>
    </row>
    <row r="37" spans="1:16" ht="14.45" customHeight="1">
      <c r="A37" s="23"/>
      <c r="B37" s="23"/>
      <c r="C37" s="23" t="e">
        <f>'Segment Analysis'!#REF!</f>
        <v>#REF!</v>
      </c>
      <c r="D37" s="23"/>
      <c r="E37" s="23"/>
      <c r="F37" s="23"/>
      <c r="G37" s="23"/>
      <c r="H37" s="482" t="e">
        <f t="shared" si="6"/>
        <v>#REF!</v>
      </c>
      <c r="I37" s="480">
        <v>300</v>
      </c>
      <c r="J37" s="482" t="e">
        <f t="shared" si="7"/>
        <v>#REF!</v>
      </c>
      <c r="K37" s="482" t="e">
        <f t="shared" si="7"/>
        <v>#REF!</v>
      </c>
      <c r="L37" s="467" t="str">
        <f t="shared" si="8"/>
        <v>N/A</v>
      </c>
      <c r="M37" s="438" t="str">
        <f t="shared" si="9"/>
        <v>N/A</v>
      </c>
      <c r="N37" s="438" t="str">
        <f t="shared" si="10"/>
        <v>N/A</v>
      </c>
      <c r="O37" s="23"/>
      <c r="P37" s="23"/>
    </row>
    <row r="38" spans="1:16" ht="14.45" customHeight="1">
      <c r="A38" s="23"/>
      <c r="B38" s="23"/>
      <c r="C38" s="23"/>
      <c r="D38" s="23"/>
      <c r="E38" s="23"/>
      <c r="F38" s="23"/>
      <c r="G38" s="23"/>
      <c r="H38" s="189"/>
      <c r="I38" s="189"/>
      <c r="J38" s="189"/>
      <c r="K38" s="189"/>
      <c r="L38" s="189"/>
      <c r="M38" s="189"/>
      <c r="N38" s="189"/>
      <c r="O38" s="23"/>
      <c r="P38" s="23"/>
    </row>
    <row r="39" spans="1:16" ht="14.45" customHeight="1">
      <c r="A39" s="23"/>
      <c r="B39" s="23"/>
      <c r="C39" s="23"/>
      <c r="D39" s="23"/>
      <c r="E39" s="23"/>
      <c r="F39" s="23"/>
      <c r="G39" s="23"/>
      <c r="H39" s="189"/>
      <c r="I39" s="189"/>
      <c r="J39" s="189"/>
      <c r="K39" s="189"/>
      <c r="L39" s="189"/>
      <c r="M39" s="189"/>
      <c r="N39" s="189"/>
      <c r="O39" s="23"/>
      <c r="P39" s="23"/>
    </row>
    <row r="40" spans="1:16" ht="14.45" customHeight="1">
      <c r="A40" s="23"/>
      <c r="B40" s="22" t="s">
        <v>1</v>
      </c>
      <c r="C40" s="193" t="str">
        <f>Ticker&amp;" "&amp;H4&amp;RIGHT(H5,2)&amp;" Cash Flow Expectations"</f>
        <v>EVR 2Q27 Cash Flow Expectations</v>
      </c>
      <c r="D40" s="193"/>
      <c r="E40" s="193"/>
      <c r="F40" s="193"/>
      <c r="G40" s="193"/>
      <c r="H40" s="510" t="str">
        <f>H10</f>
        <v>OFe</v>
      </c>
      <c r="I40" s="510" t="str">
        <f t="shared" ref="I40:N40" si="11">I10</f>
        <v>Consensus</v>
      </c>
      <c r="J40" s="510" t="str">
        <f t="shared" si="11"/>
        <v>2Q26a</v>
      </c>
      <c r="K40" s="510" t="str">
        <f t="shared" si="11"/>
        <v>4Q27a</v>
      </c>
      <c r="L40" s="591" t="str">
        <f t="shared" si="11"/>
        <v>v. Consensus</v>
      </c>
      <c r="M40" s="510" t="str">
        <f t="shared" si="11"/>
        <v>v. 2Q26a</v>
      </c>
      <c r="N40" s="510" t="str">
        <f t="shared" si="11"/>
        <v>v. 4Q27a</v>
      </c>
      <c r="O40" s="23"/>
      <c r="P40" s="23"/>
    </row>
    <row r="41" spans="1:16" ht="5.0999999999999996" customHeight="1">
      <c r="A41" s="23"/>
      <c r="B41" s="23"/>
      <c r="C41" s="23"/>
      <c r="D41" s="23"/>
      <c r="E41" s="23"/>
      <c r="F41" s="23"/>
      <c r="G41" s="23"/>
      <c r="H41" s="189"/>
      <c r="I41" s="189"/>
      <c r="J41" s="189"/>
      <c r="K41" s="189"/>
      <c r="L41" s="189"/>
      <c r="M41" s="189"/>
      <c r="N41" s="189"/>
      <c r="O41" s="23"/>
      <c r="P41" s="23"/>
    </row>
    <row r="42" spans="1:16" ht="14.45" customHeight="1">
      <c r="A42" s="23"/>
      <c r="B42" s="23"/>
      <c r="C42" s="23" t="str">
        <f>Model!C82</f>
        <v>Net Cash From Operating Activities</v>
      </c>
      <c r="D42" s="23"/>
      <c r="E42" s="23"/>
      <c r="F42" s="23"/>
      <c r="G42" s="23"/>
      <c r="H42" s="465">
        <f ca="1">INDEX(Data,MATCH($C42,Line_Items,0),MATCH($H$6,Fiscal_Periods,0))</f>
        <v>280815.00080668216</v>
      </c>
      <c r="I42" s="466">
        <v>50</v>
      </c>
      <c r="J42" s="465" t="e">
        <f t="shared" ref="J42:K44" si="12">INDEX(Data,MATCH($C42,Line_Items,0),MATCH(LEFT(J$40,4),Fiscal_Periods,0))</f>
        <v>#N/A</v>
      </c>
      <c r="K42" s="465" t="e">
        <f t="shared" si="12"/>
        <v>#N/A</v>
      </c>
      <c r="L42" s="467">
        <f t="shared" ref="L42:N44" ca="1" si="13">IFERROR($H42/I42-1,"N/A")</f>
        <v>5615.3000161336431</v>
      </c>
      <c r="M42" s="438" t="str">
        <f t="shared" ca="1" si="13"/>
        <v>N/A</v>
      </c>
      <c r="N42" s="438" t="str">
        <f t="shared" ca="1" si="13"/>
        <v>N/A</v>
      </c>
      <c r="O42" s="23"/>
      <c r="P42" s="23"/>
    </row>
    <row r="43" spans="1:16" ht="14.45" customHeight="1">
      <c r="A43" s="23"/>
      <c r="B43" s="23"/>
      <c r="C43" s="23" t="str">
        <f>Model!C84</f>
        <v>Capital Expenditures</v>
      </c>
      <c r="D43" s="23"/>
      <c r="E43" s="23"/>
      <c r="F43" s="23"/>
      <c r="G43" s="23"/>
      <c r="H43" s="482">
        <f>INDEX(Data,MATCH($C43,Line_Items,0),MATCH($H$6,Fiscal_Periods,0))</f>
        <v>-25963.047909646648</v>
      </c>
      <c r="I43" s="480">
        <v>-668</v>
      </c>
      <c r="J43" s="482" t="e">
        <f t="shared" si="12"/>
        <v>#N/A</v>
      </c>
      <c r="K43" s="482" t="e">
        <f t="shared" si="12"/>
        <v>#N/A</v>
      </c>
      <c r="L43" s="467">
        <f t="shared" si="13"/>
        <v>37.866838188093787</v>
      </c>
      <c r="M43" s="438" t="str">
        <f t="shared" si="13"/>
        <v>N/A</v>
      </c>
      <c r="N43" s="438" t="str">
        <f t="shared" si="13"/>
        <v>N/A</v>
      </c>
      <c r="O43" s="23"/>
      <c r="P43" s="23"/>
    </row>
    <row r="44" spans="1:16" ht="14.45" customHeight="1">
      <c r="A44" s="23"/>
      <c r="B44" s="23"/>
      <c r="C44" s="23" t="str">
        <f>Model!C114</f>
        <v>Free Cash Flow (FCF)</v>
      </c>
      <c r="D44" s="23"/>
      <c r="E44" s="23"/>
      <c r="F44" s="23"/>
      <c r="G44" s="23"/>
      <c r="H44" s="482">
        <f ca="1">INDEX(Data,MATCH($C44,Line_Items,0),MATCH($H$6,Fiscal_Periods,0))</f>
        <v>197438.96782571019</v>
      </c>
      <c r="I44" s="480">
        <v>1412.6</v>
      </c>
      <c r="J44" s="482" t="e">
        <f t="shared" si="12"/>
        <v>#N/A</v>
      </c>
      <c r="K44" s="482" t="e">
        <f t="shared" si="12"/>
        <v>#N/A</v>
      </c>
      <c r="L44" s="467">
        <f t="shared" ca="1" si="13"/>
        <v>138.76990501607688</v>
      </c>
      <c r="M44" s="438" t="str">
        <f t="shared" ca="1" si="13"/>
        <v>N/A</v>
      </c>
      <c r="N44" s="438" t="str">
        <f t="shared" ca="1" si="13"/>
        <v>N/A</v>
      </c>
      <c r="O44" s="23"/>
      <c r="P44" s="23"/>
    </row>
  </sheetData>
  <conditionalFormatting sqref="H13 J13:K13 H15 J15:K15 H17 J17:K17 H19 J19:K19">
    <cfRule type="expression" dxfId="26" priority="29">
      <formula>$H$8="Report"</formula>
    </cfRule>
  </conditionalFormatting>
  <conditionalFormatting sqref="H12:K21">
    <cfRule type="expression" dxfId="25" priority="5">
      <formula>$H$8="Report"</formula>
    </cfRule>
  </conditionalFormatting>
  <conditionalFormatting sqref="H26:K37">
    <cfRule type="expression" dxfId="24" priority="13">
      <formula>$H$8="Report"</formula>
    </cfRule>
  </conditionalFormatting>
  <conditionalFormatting sqref="H42:K44">
    <cfRule type="expression" dxfId="23" priority="1">
      <formula>$H$8="Report"</formula>
    </cfRule>
  </conditionalFormatting>
  <conditionalFormatting sqref="J43:K44">
    <cfRule type="expression" dxfId="22" priority="16">
      <formula>$H$8="Report"</formula>
    </cfRule>
  </conditionalFormatting>
  <conditionalFormatting sqref="L12:N21">
    <cfRule type="cellIs" dxfId="21" priority="30" operator="lessThan">
      <formula>0</formula>
    </cfRule>
    <cfRule type="cellIs" dxfId="20" priority="31" operator="greaterThan">
      <formula>0</formula>
    </cfRule>
  </conditionalFormatting>
  <conditionalFormatting sqref="L26:N37">
    <cfRule type="cellIs" dxfId="19" priority="21" operator="lessThan">
      <formula>0</formula>
    </cfRule>
    <cfRule type="cellIs" dxfId="18" priority="22" operator="greaterThan">
      <formula>0</formula>
    </cfRule>
  </conditionalFormatting>
  <conditionalFormatting sqref="L42:N44">
    <cfRule type="cellIs" dxfId="17" priority="14" operator="lessThan">
      <formula>0</formula>
    </cfRule>
    <cfRule type="cellIs" dxfId="16" priority="15" operator="greaterThan">
      <formula>0</formula>
    </cfRule>
  </conditionalFormatting>
  <dataValidations count="2">
    <dataValidation type="list" allowBlank="1" showInputMessage="1" showErrorMessage="1" sqref="H4" xr:uid="{00000000-0002-0000-1300-000000000000}">
      <formula1>"1Q, 2Q, 3Q, 4Q"</formula1>
    </dataValidation>
    <dataValidation type="list" allowBlank="1" showInputMessage="1" showErrorMessage="1" sqref="H8" xr:uid="{00000000-0002-0000-1300-000001000000}">
      <formula1>"Working,Report"</formula1>
    </dataValidation>
  </dataValidations>
  <pageMargins left="0.7" right="0.7" top="0.75" bottom="0.75" header="0.3" footer="0.3"/>
  <pageSetup orientation="portrait" r:id="rId1"/>
  <ignoredErrors>
    <ignoredError sqref="H20 J20:K20" formula="1"/>
  </ignoredError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44"/>
  <sheetViews>
    <sheetView showGridLines="0" zoomScale="80" zoomScaleNormal="80" workbookViewId="0">
      <pane ySplit="2" topLeftCell="A3" activePane="bottomLeft" state="frozen"/>
      <selection pane="bottomLeft"/>
    </sheetView>
  </sheetViews>
  <sheetFormatPr defaultColWidth="10.7109375" defaultRowHeight="14.45" customHeight="1" outlineLevelRow="1"/>
  <cols>
    <col min="1" max="1" width="1.7109375" style="3" customWidth="1"/>
    <col min="2" max="2" width="1.42578125" style="3" customWidth="1"/>
    <col min="3" max="7" width="12.7109375" style="3" customWidth="1"/>
    <col min="8" max="9" width="14.42578125" style="3" bestFit="1" customWidth="1"/>
    <col min="10" max="17" width="12.7109375" style="3" customWidth="1"/>
    <col min="18" max="21" width="11.7109375" style="3" customWidth="1"/>
    <col min="22" max="16384" width="10.7109375" style="3"/>
  </cols>
  <sheetData>
    <row r="1" spans="1:18" s="2" customFormat="1" ht="19.5" customHeight="1">
      <c r="C1" s="508" t="str">
        <f ca="1">Company_Name&amp;" - "&amp;MID(CELL("filename",A1),FIND("]",CELL("filename",A1))+1,255)&amp;": "&amp;Case_Scenario&amp;" Case"</f>
        <v>Evercore Inc. - Post-Earnings: Base Case</v>
      </c>
    </row>
    <row r="2" spans="1:18" ht="15" customHeight="1">
      <c r="C2" s="4" t="str">
        <f>Cover!C2</f>
        <v>$ in Thousands Except Per Share Data</v>
      </c>
    </row>
    <row r="3" spans="1:18" ht="14.45" customHeight="1">
      <c r="A3" s="23"/>
      <c r="B3" s="23"/>
      <c r="C3" s="23"/>
      <c r="D3" s="23"/>
      <c r="E3" s="23"/>
      <c r="F3" s="23"/>
      <c r="G3" s="23"/>
      <c r="H3" s="23"/>
      <c r="I3" s="23"/>
      <c r="J3" s="23"/>
      <c r="K3" s="23"/>
      <c r="L3" s="23"/>
      <c r="M3" s="23"/>
      <c r="N3" s="23"/>
      <c r="O3" s="23"/>
      <c r="P3" s="23"/>
      <c r="Q3" s="23"/>
      <c r="R3" s="23"/>
    </row>
    <row r="4" spans="1:18" ht="14.45" customHeight="1">
      <c r="A4" s="23"/>
      <c r="B4" s="23"/>
      <c r="C4" s="23" t="s">
        <v>502</v>
      </c>
      <c r="D4" s="23"/>
      <c r="E4" s="23"/>
      <c r="F4" s="23"/>
      <c r="G4" s="23"/>
      <c r="H4" s="164" t="s">
        <v>1079</v>
      </c>
      <c r="I4" s="23"/>
      <c r="J4" s="590" t="s">
        <v>496</v>
      </c>
      <c r="K4" s="23"/>
      <c r="L4" s="23"/>
      <c r="M4" s="23"/>
      <c r="N4" s="23"/>
      <c r="O4" s="23"/>
      <c r="P4" s="23"/>
      <c r="Q4" s="23"/>
      <c r="R4" s="23"/>
    </row>
    <row r="5" spans="1:18" ht="14.45" customHeight="1">
      <c r="A5" s="23"/>
      <c r="B5" s="23"/>
      <c r="C5" s="23" t="s">
        <v>498</v>
      </c>
      <c r="D5" s="23"/>
      <c r="E5" s="23"/>
      <c r="F5" s="23"/>
      <c r="G5" s="23"/>
      <c r="H5" s="463">
        <f>YEAR(Next_FYE)</f>
        <v>2027</v>
      </c>
      <c r="I5" s="23"/>
      <c r="J5" s="23"/>
      <c r="K5" s="23"/>
      <c r="L5" s="23"/>
      <c r="M5" s="23"/>
      <c r="N5" s="23"/>
      <c r="O5" s="23"/>
      <c r="P5" s="23"/>
      <c r="Q5" s="23"/>
      <c r="R5" s="23"/>
    </row>
    <row r="6" spans="1:18" ht="14.45" customHeight="1">
      <c r="A6" s="23"/>
      <c r="B6" s="23"/>
      <c r="C6" s="23" t="s">
        <v>497</v>
      </c>
      <c r="D6" s="23"/>
      <c r="E6" s="23"/>
      <c r="F6" s="23"/>
      <c r="G6" s="23"/>
      <c r="H6" s="464" t="str">
        <f>H4&amp;RIGHT(H5,2)&amp;"e"</f>
        <v>2Q27e</v>
      </c>
      <c r="I6" s="23"/>
      <c r="J6" s="23"/>
      <c r="K6" s="23"/>
      <c r="L6" s="23"/>
      <c r="M6" s="23"/>
      <c r="N6" s="23"/>
      <c r="O6" s="23"/>
      <c r="P6" s="23"/>
      <c r="Q6" s="23"/>
      <c r="R6" s="23"/>
    </row>
    <row r="7" spans="1:18" ht="14.45" customHeight="1">
      <c r="A7" s="23"/>
      <c r="B7" s="23"/>
      <c r="C7" s="23" t="s">
        <v>501</v>
      </c>
      <c r="D7" s="23"/>
      <c r="E7" s="23"/>
      <c r="F7" s="23"/>
      <c r="G7" s="23"/>
      <c r="H7" s="463">
        <f>YEAR(Last_FYE)</f>
        <v>2026</v>
      </c>
      <c r="I7" s="23"/>
      <c r="J7" s="23"/>
      <c r="K7" s="23"/>
      <c r="L7" s="23"/>
      <c r="M7" s="23"/>
      <c r="N7" s="23"/>
      <c r="O7" s="23"/>
      <c r="P7" s="23"/>
      <c r="Q7" s="23"/>
      <c r="R7" s="23"/>
    </row>
    <row r="8" spans="1:18" ht="14.45" customHeight="1">
      <c r="A8" s="23"/>
      <c r="B8" s="23"/>
      <c r="C8" s="23" t="s">
        <v>503</v>
      </c>
      <c r="D8" s="23"/>
      <c r="E8" s="23"/>
      <c r="F8" s="23"/>
      <c r="G8" s="23"/>
      <c r="H8" s="161" t="s">
        <v>1080</v>
      </c>
      <c r="I8" s="23"/>
      <c r="J8" s="23"/>
      <c r="K8" s="23"/>
      <c r="L8" s="23"/>
      <c r="M8" s="23"/>
      <c r="N8" s="23"/>
      <c r="O8" s="23"/>
      <c r="P8" s="23"/>
      <c r="Q8" s="23"/>
      <c r="R8" s="23"/>
    </row>
    <row r="9" spans="1:18" ht="14.45" customHeight="1">
      <c r="A9" s="23"/>
      <c r="B9" s="23"/>
      <c r="C9" s="23"/>
      <c r="D9" s="23"/>
      <c r="E9" s="23"/>
      <c r="F9" s="23"/>
      <c r="G9" s="23"/>
      <c r="H9" s="23"/>
      <c r="I9" s="23"/>
      <c r="J9" s="23"/>
      <c r="K9" s="23"/>
      <c r="L9" s="23"/>
      <c r="M9" s="23"/>
      <c r="N9" s="23"/>
      <c r="O9" s="23"/>
      <c r="P9" s="23"/>
      <c r="Q9" s="23"/>
      <c r="R9" s="23"/>
    </row>
    <row r="10" spans="1:18" ht="14.45" customHeight="1">
      <c r="A10" s="23"/>
      <c r="B10" s="22" t="s">
        <v>1</v>
      </c>
      <c r="C10" s="193" t="str">
        <f>Ticker&amp;" "&amp;H4&amp;RIGHT(H5,2)&amp;" Operating Results"</f>
        <v>EVR 2Q27 Operating Results</v>
      </c>
      <c r="D10" s="193"/>
      <c r="E10" s="193"/>
      <c r="F10" s="193"/>
      <c r="G10" s="193"/>
      <c r="H10" s="510" t="str">
        <f>H4&amp;RIGHT(H5,2)&amp;"a"</f>
        <v>2Q27a</v>
      </c>
      <c r="I10" s="510" t="s">
        <v>500</v>
      </c>
      <c r="J10" s="510" t="s">
        <v>504</v>
      </c>
      <c r="K10" s="510" t="str">
        <f>H4&amp;RIGHT(H7,2)&amp;"a"</f>
        <v>2Q26a</v>
      </c>
      <c r="L10" s="510" t="str">
        <f>Last_FQR&amp;RIGHT(H5,2)&amp;"a"</f>
        <v>4Q27a</v>
      </c>
      <c r="M10" s="591" t="str">
        <f>"v. "&amp;I10</f>
        <v>v. OFe</v>
      </c>
      <c r="N10" s="510" t="str">
        <f>"v. "&amp;J10</f>
        <v>v. Consensus</v>
      </c>
      <c r="O10" s="510" t="str">
        <f>"v. "&amp;K10</f>
        <v>v. 2Q26a</v>
      </c>
      <c r="P10" s="510" t="str">
        <f>"v. "&amp;L10</f>
        <v>v. 4Q27a</v>
      </c>
      <c r="Q10" s="548"/>
      <c r="R10" s="548"/>
    </row>
    <row r="11" spans="1:18" ht="5.0999999999999996" customHeight="1">
      <c r="A11" s="23"/>
      <c r="B11" s="22"/>
      <c r="C11" s="163"/>
      <c r="D11" s="163"/>
      <c r="E11" s="163"/>
      <c r="F11" s="163"/>
      <c r="G11" s="163"/>
      <c r="H11" s="163"/>
      <c r="I11" s="548"/>
      <c r="J11" s="548"/>
      <c r="K11" s="548"/>
      <c r="L11" s="548"/>
      <c r="M11" s="548"/>
      <c r="N11" s="548"/>
      <c r="O11" s="548"/>
      <c r="P11" s="548"/>
      <c r="Q11" s="548"/>
      <c r="R11" s="548"/>
    </row>
    <row r="12" spans="1:18" ht="14.45" customHeight="1">
      <c r="A12" s="23"/>
      <c r="B12" s="23"/>
      <c r="C12" s="23" t="str">
        <f>Model!C28</f>
        <v>Revenue</v>
      </c>
      <c r="D12" s="23"/>
      <c r="E12" s="23"/>
      <c r="F12" s="23"/>
      <c r="G12" s="23"/>
      <c r="H12" s="465">
        <f t="shared" ref="H12:I19" si="0">INDEX(Data,MATCH($C12,Line_Items,0),MATCH($H$6,Fiscal_Periods,0))</f>
        <v>1730869.86064311</v>
      </c>
      <c r="I12" s="465">
        <f t="shared" si="0"/>
        <v>1730869.86064311</v>
      </c>
      <c r="J12" s="466">
        <v>19670.3</v>
      </c>
      <c r="K12" s="465" t="e">
        <f t="shared" ref="K12:L19" si="1">INDEX(Data,MATCH($C12,Line_Items,0),MATCH(LEFT(K$10,4),Fiscal_Periods,0))</f>
        <v>#N/A</v>
      </c>
      <c r="L12" s="465" t="e">
        <f t="shared" si="1"/>
        <v>#N/A</v>
      </c>
      <c r="M12" s="467">
        <f>IFERROR($H12/I12-1,"N/A")</f>
        <v>0</v>
      </c>
      <c r="N12" s="438">
        <f t="shared" ref="N12:P13" si="2">IFERROR($H12/J12-1,"N/A")</f>
        <v>86.994075364539938</v>
      </c>
      <c r="O12" s="438" t="str">
        <f>IFERROR($I12/K12-1,"N/A")</f>
        <v>N/A</v>
      </c>
      <c r="P12" s="438" t="str">
        <f>IFERROR($I12/L12-1,"N/A")</f>
        <v>N/A</v>
      </c>
      <c r="Q12" s="23"/>
      <c r="R12" s="23"/>
    </row>
    <row r="13" spans="1:18" ht="14.45" customHeight="1">
      <c r="A13" s="23"/>
      <c r="B13" s="23"/>
      <c r="C13" s="23" t="str">
        <f>Model!C30</f>
        <v>Gross Profit</v>
      </c>
      <c r="D13" s="23"/>
      <c r="E13" s="23"/>
      <c r="F13" s="23"/>
      <c r="G13" s="23"/>
      <c r="H13" s="482">
        <f t="shared" si="0"/>
        <v>1730869.86064311</v>
      </c>
      <c r="I13" s="482">
        <f t="shared" si="0"/>
        <v>1730869.86064311</v>
      </c>
      <c r="J13" s="480">
        <v>3968.1</v>
      </c>
      <c r="K13" s="482" t="e">
        <f t="shared" si="1"/>
        <v>#N/A</v>
      </c>
      <c r="L13" s="482" t="e">
        <f t="shared" si="1"/>
        <v>#N/A</v>
      </c>
      <c r="M13" s="467">
        <f>IFERROR($H13/I13-1,"N/A")</f>
        <v>0</v>
      </c>
      <c r="N13" s="438">
        <f t="shared" si="2"/>
        <v>435.19612929188025</v>
      </c>
      <c r="O13" s="438" t="str">
        <f t="shared" si="2"/>
        <v>N/A</v>
      </c>
      <c r="P13" s="438" t="str">
        <f t="shared" si="2"/>
        <v>N/A</v>
      </c>
      <c r="Q13" s="23"/>
      <c r="R13" s="23"/>
    </row>
    <row r="14" spans="1:18" ht="14.45" customHeight="1">
      <c r="A14" s="23"/>
      <c r="B14" s="23"/>
      <c r="C14" s="114" t="str">
        <f>Model!C67</f>
        <v>Gross Margin</v>
      </c>
      <c r="D14" s="23"/>
      <c r="E14" s="23"/>
      <c r="F14" s="23"/>
      <c r="G14" s="23"/>
      <c r="H14" s="468">
        <f t="shared" si="0"/>
        <v>1</v>
      </c>
      <c r="I14" s="468">
        <f t="shared" si="0"/>
        <v>1</v>
      </c>
      <c r="J14" s="469">
        <v>0.20200000000000001</v>
      </c>
      <c r="K14" s="468" t="e">
        <f t="shared" si="1"/>
        <v>#N/A</v>
      </c>
      <c r="L14" s="468" t="e">
        <f t="shared" si="1"/>
        <v>#N/A</v>
      </c>
      <c r="M14" s="470">
        <f>$H14-I14</f>
        <v>0</v>
      </c>
      <c r="N14" s="471">
        <f>$H14-J14</f>
        <v>0.79800000000000004</v>
      </c>
      <c r="O14" s="471" t="e">
        <f>$H14-K14</f>
        <v>#N/A</v>
      </c>
      <c r="P14" s="471" t="e">
        <f>$H14-L14</f>
        <v>#N/A</v>
      </c>
      <c r="Q14" s="23"/>
      <c r="R14" s="23"/>
    </row>
    <row r="15" spans="1:18" ht="14.45" customHeight="1">
      <c r="A15" s="23"/>
      <c r="B15" s="23"/>
      <c r="C15" s="23" t="str">
        <f>Model!C62</f>
        <v>EBITDA</v>
      </c>
      <c r="D15" s="23"/>
      <c r="E15" s="23"/>
      <c r="F15" s="23"/>
      <c r="G15" s="23"/>
      <c r="H15" s="482">
        <f t="shared" ca="1" si="0"/>
        <v>373022.23920212738</v>
      </c>
      <c r="I15" s="482">
        <f t="shared" ca="1" si="0"/>
        <v>373022.23920212738</v>
      </c>
      <c r="J15" s="480">
        <v>2224.4</v>
      </c>
      <c r="K15" s="482" t="e">
        <f t="shared" si="1"/>
        <v>#N/A</v>
      </c>
      <c r="L15" s="482" t="e">
        <f t="shared" si="1"/>
        <v>#N/A</v>
      </c>
      <c r="M15" s="467">
        <f ca="1">IFERROR($H15/I15-1,"N/A")</f>
        <v>0</v>
      </c>
      <c r="N15" s="438">
        <f ca="1">IFERROR($H15/J15-1,"N/A")</f>
        <v>166.69566588838669</v>
      </c>
      <c r="O15" s="438" t="str">
        <f ca="1">IFERROR($H15/K15-1,"N/A")</f>
        <v>N/A</v>
      </c>
      <c r="P15" s="438" t="str">
        <f ca="1">IFERROR($H15/L15-1,"N/A")</f>
        <v>N/A</v>
      </c>
      <c r="Q15" s="23"/>
      <c r="R15" s="23"/>
    </row>
    <row r="16" spans="1:18" ht="14.45" customHeight="1">
      <c r="A16" s="23"/>
      <c r="B16" s="23"/>
      <c r="C16" s="114" t="str">
        <f>'Segment Analysis'!C146</f>
        <v>EBITDA Margin</v>
      </c>
      <c r="D16" s="23"/>
      <c r="E16" s="23"/>
      <c r="F16" s="23"/>
      <c r="G16" s="23"/>
      <c r="H16" s="955">
        <f ca="1">H15/$H$12</f>
        <v>0.21551143022591532</v>
      </c>
      <c r="I16" s="955">
        <f ca="1">I15/$H$12</f>
        <v>0.21551143022591532</v>
      </c>
      <c r="J16" s="469">
        <v>0.113</v>
      </c>
      <c r="K16" s="955" t="e">
        <f t="shared" ref="K16:L16" si="3">K15/$H$12</f>
        <v>#N/A</v>
      </c>
      <c r="L16" s="955" t="e">
        <f t="shared" si="3"/>
        <v>#N/A</v>
      </c>
      <c r="M16" s="470">
        <f ca="1">$H16-I16</f>
        <v>0</v>
      </c>
      <c r="N16" s="471">
        <f ca="1">$H16-J16</f>
        <v>0.10251143022591531</v>
      </c>
      <c r="O16" s="471" t="e">
        <f ca="1">$H16-K16</f>
        <v>#N/A</v>
      </c>
      <c r="P16" s="471" t="e">
        <f ca="1">$H16-L16</f>
        <v>#N/A</v>
      </c>
      <c r="Q16" s="23"/>
      <c r="R16" s="23"/>
    </row>
    <row r="17" spans="1:18" ht="14.45" customHeight="1">
      <c r="A17" s="23"/>
      <c r="B17" s="23"/>
      <c r="C17" s="23" t="str">
        <f>Model!C37</f>
        <v>EBIT</v>
      </c>
      <c r="D17" s="23"/>
      <c r="E17" s="23"/>
      <c r="F17" s="23"/>
      <c r="G17" s="23"/>
      <c r="H17" s="482">
        <f t="shared" si="0"/>
        <v>372328.77310166764</v>
      </c>
      <c r="I17" s="482">
        <f t="shared" si="0"/>
        <v>372328.77310166764</v>
      </c>
      <c r="J17" s="480">
        <v>1952.8</v>
      </c>
      <c r="K17" s="482" t="e">
        <f t="shared" si="1"/>
        <v>#N/A</v>
      </c>
      <c r="L17" s="482" t="e">
        <f t="shared" si="1"/>
        <v>#N/A</v>
      </c>
      <c r="M17" s="467">
        <f>IFERROR($H17/I17-1,"N/A")</f>
        <v>0</v>
      </c>
      <c r="N17" s="438">
        <f>IFERROR($H17/J17-1,"N/A")</f>
        <v>189.6640583273595</v>
      </c>
      <c r="O17" s="438" t="str">
        <f>IFERROR($H17/K17-1,"N/A")</f>
        <v>N/A</v>
      </c>
      <c r="P17" s="438" t="str">
        <f>IFERROR($H17/L17-1,"N/A")</f>
        <v>N/A</v>
      </c>
      <c r="Q17" s="23"/>
      <c r="R17" s="23"/>
    </row>
    <row r="18" spans="1:18" ht="14.45" customHeight="1">
      <c r="A18" s="23"/>
      <c r="B18" s="23"/>
      <c r="C18" s="114" t="str">
        <f>'Segment Analysis'!C154</f>
        <v>EBIT Margin</v>
      </c>
      <c r="D18" s="23"/>
      <c r="E18" s="23"/>
      <c r="F18" s="23"/>
      <c r="G18" s="23"/>
      <c r="H18" s="955">
        <f>H17/$H$12</f>
        <v>0.21511078421766947</v>
      </c>
      <c r="I18" s="955">
        <f>I17/$H$12</f>
        <v>0.21511078421766947</v>
      </c>
      <c r="J18" s="469">
        <v>9.9000000000000005E-2</v>
      </c>
      <c r="K18" s="955" t="e">
        <f t="shared" ref="K18:L18" si="4">K17/$H$12</f>
        <v>#N/A</v>
      </c>
      <c r="L18" s="955" t="e">
        <f t="shared" si="4"/>
        <v>#N/A</v>
      </c>
      <c r="M18" s="470">
        <f>$H18-I18</f>
        <v>0</v>
      </c>
      <c r="N18" s="471">
        <f>$H18-J18</f>
        <v>0.11611078421766946</v>
      </c>
      <c r="O18" s="471" t="e">
        <f>$H18-K18</f>
        <v>#N/A</v>
      </c>
      <c r="P18" s="471" t="e">
        <f>$H18-L18</f>
        <v>#N/A</v>
      </c>
      <c r="Q18" s="23"/>
      <c r="R18" s="23"/>
    </row>
    <row r="19" spans="1:18" ht="14.45" customHeight="1">
      <c r="A19" s="23"/>
      <c r="B19" s="23"/>
      <c r="C19" s="23" t="str">
        <f>Model!C46</f>
        <v>Net Income (Loss)</v>
      </c>
      <c r="D19" s="23"/>
      <c r="E19" s="23"/>
      <c r="F19" s="23"/>
      <c r="G19" s="23"/>
      <c r="H19" s="482">
        <f t="shared" ca="1" si="0"/>
        <v>275255.04585080844</v>
      </c>
      <c r="I19" s="482">
        <f t="shared" ca="1" si="0"/>
        <v>275255.04585080844</v>
      </c>
      <c r="J19" s="480">
        <v>1379.1</v>
      </c>
      <c r="K19" s="482" t="e">
        <f t="shared" si="1"/>
        <v>#N/A</v>
      </c>
      <c r="L19" s="482" t="e">
        <f t="shared" si="1"/>
        <v>#N/A</v>
      </c>
      <c r="M19" s="467">
        <f ca="1">IFERROR($H19/I19-1,"N/A")</f>
        <v>0</v>
      </c>
      <c r="N19" s="438">
        <f ca="1">IFERROR($H19/J19-1,"N/A")</f>
        <v>198.590345769566</v>
      </c>
      <c r="O19" s="438" t="str">
        <f ca="1">IFERROR($H19/K19-1,"N/A")</f>
        <v>N/A</v>
      </c>
      <c r="P19" s="438" t="str">
        <f ca="1">IFERROR($H19/L19-1,"N/A")</f>
        <v>N/A</v>
      </c>
      <c r="Q19" s="23"/>
      <c r="R19" s="23"/>
    </row>
    <row r="20" spans="1:18" ht="14.45" customHeight="1">
      <c r="A20" s="23"/>
      <c r="B20" s="23"/>
      <c r="C20" s="114" t="s">
        <v>358</v>
      </c>
      <c r="D20" s="23"/>
      <c r="E20" s="23"/>
      <c r="F20" s="23"/>
      <c r="G20" s="23"/>
      <c r="H20" s="468">
        <f ca="1">H19/H12</f>
        <v>0.15902700261274211</v>
      </c>
      <c r="I20" s="468">
        <f ca="1">I19/I12</f>
        <v>0.15902700261274211</v>
      </c>
      <c r="J20" s="469">
        <v>7.0000000000000007E-2</v>
      </c>
      <c r="K20" s="468" t="e">
        <f>K19/K12</f>
        <v>#N/A</v>
      </c>
      <c r="L20" s="468" t="e">
        <f>L19/L12</f>
        <v>#N/A</v>
      </c>
      <c r="M20" s="470">
        <f ca="1">$H20-I20</f>
        <v>0</v>
      </c>
      <c r="N20" s="471">
        <f ca="1">$H20-J20</f>
        <v>8.9027002612742101E-2</v>
      </c>
      <c r="O20" s="471" t="e">
        <f ca="1">$H20-K20</f>
        <v>#N/A</v>
      </c>
      <c r="P20" s="471" t="e">
        <f ca="1">$H20-L20</f>
        <v>#N/A</v>
      </c>
      <c r="Q20" s="23"/>
      <c r="R20" s="23"/>
    </row>
    <row r="21" spans="1:18" ht="14.45" customHeight="1">
      <c r="A21" s="23"/>
      <c r="B21" s="23"/>
      <c r="C21" s="23" t="str">
        <f>Model!C58</f>
        <v>Adj. EPS (Diluted)</v>
      </c>
      <c r="D21" s="23"/>
      <c r="E21" s="23"/>
      <c r="F21" s="23"/>
      <c r="G21" s="23"/>
      <c r="H21" s="472">
        <f ca="1">INDEX(Data,MATCH($C21,Line_Items,0),MATCH($H$6,Fiscal_Periods,0))</f>
        <v>5.6505181556420272</v>
      </c>
      <c r="I21" s="472">
        <f ca="1">INDEX(Data,MATCH($C21,Line_Items,0),MATCH($H$6,Fiscal_Periods,0))</f>
        <v>5.6505181556420272</v>
      </c>
      <c r="J21" s="473">
        <v>2.15</v>
      </c>
      <c r="K21" s="472" t="e">
        <f>INDEX(Data,MATCH($C21,Line_Items,0),MATCH(LEFT(K$10,4),Fiscal_Periods,0))</f>
        <v>#N/A</v>
      </c>
      <c r="L21" s="472" t="e">
        <f>INDEX(Data,MATCH($C21,Line_Items,0),MATCH(LEFT(L$10,4),Fiscal_Periods,0))</f>
        <v>#N/A</v>
      </c>
      <c r="M21" s="467">
        <f ca="1">IFERROR($H21/I21-1,"N/A")</f>
        <v>0</v>
      </c>
      <c r="N21" s="438">
        <f ca="1">IFERROR($H21/J21-1,"N/A")</f>
        <v>1.6281479793683848</v>
      </c>
      <c r="O21" s="438" t="str">
        <f ca="1">IFERROR($H21/K21-1,"N/A")</f>
        <v>N/A</v>
      </c>
      <c r="P21" s="438" t="str">
        <f ca="1">IFERROR($H21/L21-1,"N/A")</f>
        <v>N/A</v>
      </c>
      <c r="Q21" s="23"/>
      <c r="R21" s="23"/>
    </row>
    <row r="22" spans="1:18" ht="14.45" customHeight="1">
      <c r="A22" s="23"/>
      <c r="B22" s="23"/>
      <c r="C22" s="23"/>
      <c r="D22" s="23"/>
      <c r="E22" s="23"/>
      <c r="F22" s="23"/>
      <c r="G22" s="23"/>
      <c r="H22" s="189"/>
      <c r="I22" s="189"/>
      <c r="J22" s="189"/>
      <c r="K22" s="189"/>
      <c r="L22" s="189"/>
      <c r="M22" s="189"/>
      <c r="N22" s="189"/>
      <c r="O22" s="189"/>
      <c r="P22" s="189"/>
      <c r="Q22" s="23"/>
      <c r="R22" s="23"/>
    </row>
    <row r="23" spans="1:18" ht="14.45" customHeight="1">
      <c r="A23" s="23"/>
      <c r="B23" s="23"/>
      <c r="C23" s="23"/>
      <c r="D23" s="23"/>
      <c r="E23" s="23"/>
      <c r="F23" s="23"/>
      <c r="G23" s="23"/>
      <c r="H23" s="189"/>
      <c r="I23" s="189"/>
      <c r="J23" s="189"/>
      <c r="K23" s="189"/>
      <c r="L23" s="189"/>
      <c r="M23" s="189"/>
      <c r="N23" s="189"/>
      <c r="O23" s="189"/>
      <c r="P23" s="189"/>
      <c r="Q23" s="23"/>
      <c r="R23" s="23"/>
    </row>
    <row r="24" spans="1:18" ht="14.45" customHeight="1">
      <c r="A24" s="23"/>
      <c r="B24" s="22" t="s">
        <v>1</v>
      </c>
      <c r="C24" s="193" t="str">
        <f>Ticker&amp;" "&amp;H4&amp;RIGHT(H5,2)&amp;" Segment Results"</f>
        <v>EVR 2Q27 Segment Results</v>
      </c>
      <c r="D24" s="193"/>
      <c r="E24" s="193"/>
      <c r="F24" s="193"/>
      <c r="G24" s="193"/>
      <c r="H24" s="510" t="str">
        <f t="shared" ref="H24:P24" si="5">H10</f>
        <v>2Q27a</v>
      </c>
      <c r="I24" s="510" t="str">
        <f t="shared" si="5"/>
        <v>OFe</v>
      </c>
      <c r="J24" s="510" t="str">
        <f t="shared" si="5"/>
        <v>Consensus</v>
      </c>
      <c r="K24" s="510" t="str">
        <f t="shared" si="5"/>
        <v>2Q26a</v>
      </c>
      <c r="L24" s="510" t="str">
        <f t="shared" si="5"/>
        <v>4Q27a</v>
      </c>
      <c r="M24" s="591" t="str">
        <f t="shared" si="5"/>
        <v>v. OFe</v>
      </c>
      <c r="N24" s="510" t="str">
        <f t="shared" si="5"/>
        <v>v. Consensus</v>
      </c>
      <c r="O24" s="510" t="str">
        <f t="shared" si="5"/>
        <v>v. 2Q26a</v>
      </c>
      <c r="P24" s="510" t="str">
        <f t="shared" si="5"/>
        <v>v. 4Q27a</v>
      </c>
      <c r="Q24" s="23"/>
      <c r="R24" s="23"/>
    </row>
    <row r="25" spans="1:18" ht="5.0999999999999996" customHeight="1">
      <c r="A25" s="23"/>
      <c r="B25" s="22"/>
      <c r="C25" s="23"/>
      <c r="D25" s="23"/>
      <c r="E25" s="23"/>
      <c r="F25" s="23"/>
      <c r="G25" s="23"/>
      <c r="H25" s="189"/>
      <c r="I25" s="189"/>
      <c r="J25" s="189"/>
      <c r="K25" s="189"/>
      <c r="L25" s="189"/>
      <c r="M25" s="189"/>
      <c r="N25" s="189"/>
      <c r="O25" s="189"/>
      <c r="P25" s="189"/>
      <c r="Q25" s="23"/>
      <c r="R25" s="23"/>
    </row>
    <row r="26" spans="1:18" ht="14.45" customHeight="1">
      <c r="A26" s="23"/>
      <c r="B26" s="23"/>
      <c r="C26" s="23" t="str">
        <f>'Segment Analysis'!C8</f>
        <v>Investment Banking &amp; Equities Revenue</v>
      </c>
      <c r="D26" s="23"/>
      <c r="E26" s="23"/>
      <c r="F26" s="23"/>
      <c r="G26" s="23"/>
      <c r="H26" s="465" t="e">
        <f t="shared" ref="H26:I37" si="6">INDEX(Data,MATCH($C26,Line_Items,0),MATCH($H$6,Fiscal_Periods,0))</f>
        <v>#N/A</v>
      </c>
      <c r="I26" s="465" t="e">
        <f t="shared" si="6"/>
        <v>#N/A</v>
      </c>
      <c r="J26" s="466">
        <v>6520.1</v>
      </c>
      <c r="K26" s="465" t="e">
        <f t="shared" ref="K26:L37" si="7">INDEX(Data,MATCH($C26,Line_Items,0),MATCH(LEFT(K$24,4),Fiscal_Periods,0))</f>
        <v>#N/A</v>
      </c>
      <c r="L26" s="465" t="e">
        <f t="shared" si="7"/>
        <v>#N/A</v>
      </c>
      <c r="M26" s="467" t="str">
        <f>IFERROR($H26/I26-1,"N/A")</f>
        <v>N/A</v>
      </c>
      <c r="N26" s="438" t="str">
        <f>IFERROR($H26/J26-1,"N/A")</f>
        <v>N/A</v>
      </c>
      <c r="O26" s="438" t="str">
        <f>IFERROR($I26/K26-1,"N/A")</f>
        <v>N/A</v>
      </c>
      <c r="P26" s="438" t="str">
        <f>IFERROR($I26/L26-1,"N/A")</f>
        <v>N/A</v>
      </c>
      <c r="Q26" s="23"/>
      <c r="R26" s="23"/>
    </row>
    <row r="27" spans="1:18" ht="14.45" customHeight="1">
      <c r="A27" s="23"/>
      <c r="B27" s="23"/>
      <c r="C27" s="23" t="str">
        <f>'Segment Analysis'!C9</f>
        <v>Investment Management Revenue</v>
      </c>
      <c r="D27" s="23"/>
      <c r="E27" s="23"/>
      <c r="F27" s="23"/>
      <c r="G27" s="23"/>
      <c r="H27" s="482" t="e">
        <f t="shared" si="6"/>
        <v>#N/A</v>
      </c>
      <c r="I27" s="482" t="e">
        <f t="shared" si="6"/>
        <v>#N/A</v>
      </c>
      <c r="J27" s="480">
        <v>11000.3</v>
      </c>
      <c r="K27" s="482" t="e">
        <f t="shared" si="7"/>
        <v>#N/A</v>
      </c>
      <c r="L27" s="482" t="e">
        <f t="shared" si="7"/>
        <v>#N/A</v>
      </c>
      <c r="M27" s="467" t="str">
        <f t="shared" ref="M27:M37" si="8">IFERROR($H27/I27-1,"N/A")</f>
        <v>N/A</v>
      </c>
      <c r="N27" s="438" t="str">
        <f t="shared" ref="N27:N37" si="9">IFERROR($H27/J27-1,"N/A")</f>
        <v>N/A</v>
      </c>
      <c r="O27" s="438" t="str">
        <f t="shared" ref="O27:O37" si="10">IFERROR($I27/K27-1,"N/A")</f>
        <v>N/A</v>
      </c>
      <c r="P27" s="438" t="str">
        <f t="shared" ref="P27:P37" si="11">IFERROR($I27/L27-1,"N/A")</f>
        <v>N/A</v>
      </c>
      <c r="Q27" s="23"/>
      <c r="R27" s="23"/>
    </row>
    <row r="28" spans="1:18" ht="14.45" customHeight="1">
      <c r="A28" s="23"/>
      <c r="B28" s="23"/>
      <c r="C28" s="23" t="str">
        <f>'Segment Analysis'!C10</f>
        <v>Segment 3 Revenue</v>
      </c>
      <c r="D28" s="23"/>
      <c r="E28" s="23"/>
      <c r="F28" s="23"/>
      <c r="G28" s="23"/>
      <c r="H28" s="482" t="e">
        <f t="shared" si="6"/>
        <v>#N/A</v>
      </c>
      <c r="I28" s="482" t="e">
        <f t="shared" si="6"/>
        <v>#N/A</v>
      </c>
      <c r="J28" s="480">
        <v>75</v>
      </c>
      <c r="K28" s="482" t="e">
        <f t="shared" si="7"/>
        <v>#N/A</v>
      </c>
      <c r="L28" s="482" t="e">
        <f t="shared" si="7"/>
        <v>#N/A</v>
      </c>
      <c r="M28" s="467" t="str">
        <f t="shared" si="8"/>
        <v>N/A</v>
      </c>
      <c r="N28" s="438" t="str">
        <f t="shared" si="9"/>
        <v>N/A</v>
      </c>
      <c r="O28" s="438" t="str">
        <f t="shared" si="10"/>
        <v>N/A</v>
      </c>
      <c r="P28" s="438" t="str">
        <f t="shared" si="11"/>
        <v>N/A</v>
      </c>
      <c r="Q28" s="23"/>
      <c r="R28" s="23"/>
    </row>
    <row r="29" spans="1:18" ht="14.45" customHeight="1">
      <c r="A29" s="23"/>
      <c r="B29" s="23"/>
      <c r="C29" s="23" t="str">
        <f>'Segment Analysis'!C11</f>
        <v>Segment 4 Revenue</v>
      </c>
      <c r="D29" s="23"/>
      <c r="E29" s="23"/>
      <c r="F29" s="23"/>
      <c r="G29" s="23"/>
      <c r="H29" s="482" t="e">
        <f t="shared" si="6"/>
        <v>#N/A</v>
      </c>
      <c r="I29" s="482" t="e">
        <f t="shared" si="6"/>
        <v>#N/A</v>
      </c>
      <c r="J29" s="480">
        <v>-200</v>
      </c>
      <c r="K29" s="482" t="e">
        <f t="shared" si="7"/>
        <v>#N/A</v>
      </c>
      <c r="L29" s="482" t="e">
        <f t="shared" si="7"/>
        <v>#N/A</v>
      </c>
      <c r="M29" s="467" t="str">
        <f t="shared" si="8"/>
        <v>N/A</v>
      </c>
      <c r="N29" s="438" t="str">
        <f t="shared" si="9"/>
        <v>N/A</v>
      </c>
      <c r="O29" s="438" t="str">
        <f t="shared" si="10"/>
        <v>N/A</v>
      </c>
      <c r="P29" s="438" t="str">
        <f t="shared" si="11"/>
        <v>N/A</v>
      </c>
      <c r="Q29" s="23"/>
      <c r="R29" s="23"/>
    </row>
    <row r="30" spans="1:18" ht="14.45" customHeight="1" thickBot="1">
      <c r="A30" s="23"/>
      <c r="B30" s="23"/>
      <c r="C30" s="428" t="str">
        <f>'Segment Analysis'!C12</f>
        <v>Segment 5 Revenue</v>
      </c>
      <c r="D30" s="428"/>
      <c r="E30" s="428"/>
      <c r="F30" s="428"/>
      <c r="G30" s="428"/>
      <c r="H30" s="483" t="e">
        <f t="shared" si="6"/>
        <v>#N/A</v>
      </c>
      <c r="I30" s="483" t="e">
        <f t="shared" si="6"/>
        <v>#N/A</v>
      </c>
      <c r="J30" s="481">
        <v>5000</v>
      </c>
      <c r="K30" s="483" t="e">
        <f t="shared" si="7"/>
        <v>#N/A</v>
      </c>
      <c r="L30" s="483" t="e">
        <f t="shared" si="7"/>
        <v>#N/A</v>
      </c>
      <c r="M30" s="476" t="str">
        <f t="shared" si="8"/>
        <v>N/A</v>
      </c>
      <c r="N30" s="477" t="str">
        <f t="shared" si="9"/>
        <v>N/A</v>
      </c>
      <c r="O30" s="477" t="str">
        <f t="shared" si="10"/>
        <v>N/A</v>
      </c>
      <c r="P30" s="477" t="str">
        <f t="shared" si="11"/>
        <v>N/A</v>
      </c>
      <c r="Q30" s="23"/>
      <c r="R30" s="23"/>
    </row>
    <row r="31" spans="1:18" ht="14.45" hidden="1" customHeight="1" outlineLevel="1" thickBot="1">
      <c r="A31" s="23"/>
      <c r="B31" s="23"/>
      <c r="C31" s="428" t="str">
        <f>'Segment Analysis'!C13</f>
        <v>Segment 6 Revenue</v>
      </c>
      <c r="D31" s="428"/>
      <c r="E31" s="428"/>
      <c r="F31" s="428"/>
      <c r="G31" s="428"/>
      <c r="H31" s="474" t="e">
        <f t="shared" si="6"/>
        <v>#N/A</v>
      </c>
      <c r="I31" s="474" t="e">
        <f t="shared" si="6"/>
        <v>#N/A</v>
      </c>
      <c r="J31" s="475" t="e">
        <f>INDEX(Data,MATCH($C31,Line_Items,0),MATCH($H$6,Fiscal_Periods,0))</f>
        <v>#N/A</v>
      </c>
      <c r="K31" s="474" t="e">
        <f t="shared" si="7"/>
        <v>#N/A</v>
      </c>
      <c r="L31" s="474" t="e">
        <f t="shared" si="7"/>
        <v>#N/A</v>
      </c>
      <c r="M31" s="478" t="str">
        <f>IFERROR($H31/I31-1,"N/A")</f>
        <v>N/A</v>
      </c>
      <c r="N31" s="479" t="str">
        <f>IFERROR($H31/J31-1,"N/A")</f>
        <v>N/A</v>
      </c>
      <c r="O31" s="479" t="str">
        <f>IFERROR($I31/K31-1,"N/A")</f>
        <v>N/A</v>
      </c>
      <c r="P31" s="479" t="str">
        <f>IFERROR($I31/L31-1,"N/A")</f>
        <v>N/A</v>
      </c>
      <c r="Q31" s="23"/>
      <c r="R31" s="23"/>
    </row>
    <row r="32" spans="1:18" ht="14.45" customHeight="1" collapsed="1">
      <c r="A32" s="23"/>
      <c r="B32" s="23"/>
      <c r="C32" s="23" t="e">
        <f>'Segment Analysis'!#REF!</f>
        <v>#REF!</v>
      </c>
      <c r="D32" s="23"/>
      <c r="E32" s="23"/>
      <c r="F32" s="23"/>
      <c r="G32" s="23"/>
      <c r="H32" s="465" t="e">
        <f t="shared" si="6"/>
        <v>#REF!</v>
      </c>
      <c r="I32" s="465" t="e">
        <f t="shared" si="6"/>
        <v>#REF!</v>
      </c>
      <c r="J32" s="466">
        <v>820</v>
      </c>
      <c r="K32" s="465" t="e">
        <f t="shared" si="7"/>
        <v>#REF!</v>
      </c>
      <c r="L32" s="465" t="e">
        <f t="shared" si="7"/>
        <v>#REF!</v>
      </c>
      <c r="M32" s="467" t="str">
        <f t="shared" si="8"/>
        <v>N/A</v>
      </c>
      <c r="N32" s="438" t="str">
        <f t="shared" si="9"/>
        <v>N/A</v>
      </c>
      <c r="O32" s="438" t="str">
        <f t="shared" si="10"/>
        <v>N/A</v>
      </c>
      <c r="P32" s="438" t="str">
        <f t="shared" si="11"/>
        <v>N/A</v>
      </c>
      <c r="Q32" s="23"/>
      <c r="R32" s="23"/>
    </row>
    <row r="33" spans="1:18" ht="14.45" customHeight="1">
      <c r="A33" s="23"/>
      <c r="B33" s="23"/>
      <c r="C33" s="23" t="e">
        <f>'Segment Analysis'!#REF!</f>
        <v>#REF!</v>
      </c>
      <c r="D33" s="23"/>
      <c r="E33" s="23"/>
      <c r="F33" s="23"/>
      <c r="G33" s="23"/>
      <c r="H33" s="482" t="e">
        <f t="shared" si="6"/>
        <v>#REF!</v>
      </c>
      <c r="I33" s="482" t="e">
        <f t="shared" si="6"/>
        <v>#REF!</v>
      </c>
      <c r="J33" s="480">
        <v>1400</v>
      </c>
      <c r="K33" s="482" t="e">
        <f t="shared" si="7"/>
        <v>#REF!</v>
      </c>
      <c r="L33" s="482" t="e">
        <f t="shared" si="7"/>
        <v>#REF!</v>
      </c>
      <c r="M33" s="467" t="str">
        <f t="shared" si="8"/>
        <v>N/A</v>
      </c>
      <c r="N33" s="438" t="str">
        <f t="shared" si="9"/>
        <v>N/A</v>
      </c>
      <c r="O33" s="438" t="str">
        <f t="shared" si="10"/>
        <v>N/A</v>
      </c>
      <c r="P33" s="438" t="str">
        <f t="shared" si="11"/>
        <v>N/A</v>
      </c>
      <c r="Q33" s="23"/>
      <c r="R33" s="23"/>
    </row>
    <row r="34" spans="1:18" ht="14.45" customHeight="1">
      <c r="A34" s="23"/>
      <c r="B34" s="23"/>
      <c r="C34" s="23" t="e">
        <f>'Segment Analysis'!#REF!</f>
        <v>#REF!</v>
      </c>
      <c r="D34" s="23"/>
      <c r="E34" s="23"/>
      <c r="F34" s="23"/>
      <c r="G34" s="23"/>
      <c r="H34" s="482" t="e">
        <f t="shared" si="6"/>
        <v>#REF!</v>
      </c>
      <c r="I34" s="482" t="e">
        <f t="shared" si="6"/>
        <v>#REF!</v>
      </c>
      <c r="J34" s="480">
        <v>10</v>
      </c>
      <c r="K34" s="482" t="e">
        <f t="shared" si="7"/>
        <v>#REF!</v>
      </c>
      <c r="L34" s="482" t="e">
        <f t="shared" si="7"/>
        <v>#REF!</v>
      </c>
      <c r="M34" s="467" t="str">
        <f t="shared" si="8"/>
        <v>N/A</v>
      </c>
      <c r="N34" s="438" t="str">
        <f t="shared" si="9"/>
        <v>N/A</v>
      </c>
      <c r="O34" s="438" t="str">
        <f t="shared" si="10"/>
        <v>N/A</v>
      </c>
      <c r="P34" s="438" t="str">
        <f t="shared" si="11"/>
        <v>N/A</v>
      </c>
      <c r="Q34" s="23"/>
      <c r="R34" s="23"/>
    </row>
    <row r="35" spans="1:18" ht="14.45" customHeight="1">
      <c r="A35" s="23"/>
      <c r="B35" s="23"/>
      <c r="C35" s="23" t="e">
        <f>'Segment Analysis'!#REF!</f>
        <v>#REF!</v>
      </c>
      <c r="D35" s="23"/>
      <c r="E35" s="23"/>
      <c r="F35" s="23"/>
      <c r="G35" s="23"/>
      <c r="H35" s="482" t="e">
        <f t="shared" si="6"/>
        <v>#REF!</v>
      </c>
      <c r="I35" s="482" t="e">
        <f t="shared" si="6"/>
        <v>#REF!</v>
      </c>
      <c r="J35" s="480">
        <v>-23</v>
      </c>
      <c r="K35" s="482" t="e">
        <f t="shared" si="7"/>
        <v>#REF!</v>
      </c>
      <c r="L35" s="482" t="e">
        <f t="shared" si="7"/>
        <v>#REF!</v>
      </c>
      <c r="M35" s="467" t="str">
        <f t="shared" si="8"/>
        <v>N/A</v>
      </c>
      <c r="N35" s="438" t="str">
        <f t="shared" si="9"/>
        <v>N/A</v>
      </c>
      <c r="O35" s="438" t="str">
        <f t="shared" si="10"/>
        <v>N/A</v>
      </c>
      <c r="P35" s="438" t="str">
        <f t="shared" si="11"/>
        <v>N/A</v>
      </c>
      <c r="Q35" s="23"/>
      <c r="R35" s="23"/>
    </row>
    <row r="36" spans="1:18" ht="14.45" customHeight="1">
      <c r="A36" s="23"/>
      <c r="B36" s="23"/>
      <c r="C36" s="23" t="e">
        <f>'Segment Analysis'!#REF!</f>
        <v>#REF!</v>
      </c>
      <c r="D36" s="23"/>
      <c r="E36" s="23"/>
      <c r="F36" s="23"/>
      <c r="G36" s="23"/>
      <c r="H36" s="482" t="e">
        <f t="shared" si="6"/>
        <v>#REF!</v>
      </c>
      <c r="I36" s="482" t="e">
        <f t="shared" si="6"/>
        <v>#REF!</v>
      </c>
      <c r="J36" s="480">
        <v>650</v>
      </c>
      <c r="K36" s="482" t="e">
        <f t="shared" si="7"/>
        <v>#REF!</v>
      </c>
      <c r="L36" s="482" t="e">
        <f t="shared" si="7"/>
        <v>#REF!</v>
      </c>
      <c r="M36" s="467" t="str">
        <f t="shared" si="8"/>
        <v>N/A</v>
      </c>
      <c r="N36" s="438" t="str">
        <f t="shared" si="9"/>
        <v>N/A</v>
      </c>
      <c r="O36" s="438" t="str">
        <f t="shared" si="10"/>
        <v>N/A</v>
      </c>
      <c r="P36" s="438" t="str">
        <f t="shared" si="11"/>
        <v>N/A</v>
      </c>
      <c r="Q36" s="23"/>
      <c r="R36" s="23"/>
    </row>
    <row r="37" spans="1:18" ht="14.45" customHeight="1">
      <c r="A37" s="23"/>
      <c r="B37" s="23"/>
      <c r="C37" s="23" t="e">
        <f>'Segment Analysis'!#REF!</f>
        <v>#REF!</v>
      </c>
      <c r="D37" s="23"/>
      <c r="E37" s="23"/>
      <c r="F37" s="23"/>
      <c r="G37" s="23"/>
      <c r="H37" s="482" t="e">
        <f t="shared" si="6"/>
        <v>#REF!</v>
      </c>
      <c r="I37" s="482" t="e">
        <f t="shared" si="6"/>
        <v>#REF!</v>
      </c>
      <c r="J37" s="480">
        <v>300</v>
      </c>
      <c r="K37" s="482" t="e">
        <f t="shared" si="7"/>
        <v>#REF!</v>
      </c>
      <c r="L37" s="482" t="e">
        <f t="shared" si="7"/>
        <v>#REF!</v>
      </c>
      <c r="M37" s="467" t="str">
        <f t="shared" si="8"/>
        <v>N/A</v>
      </c>
      <c r="N37" s="438" t="str">
        <f t="shared" si="9"/>
        <v>N/A</v>
      </c>
      <c r="O37" s="438" t="str">
        <f t="shared" si="10"/>
        <v>N/A</v>
      </c>
      <c r="P37" s="438" t="str">
        <f t="shared" si="11"/>
        <v>N/A</v>
      </c>
      <c r="Q37" s="23"/>
      <c r="R37" s="23"/>
    </row>
    <row r="38" spans="1:18" ht="14.45" customHeight="1">
      <c r="A38" s="23"/>
      <c r="B38" s="23"/>
      <c r="C38" s="23"/>
      <c r="D38" s="23"/>
      <c r="E38" s="23"/>
      <c r="F38" s="23"/>
      <c r="G38" s="23"/>
      <c r="H38" s="189"/>
      <c r="I38" s="189"/>
      <c r="J38" s="189"/>
      <c r="K38" s="189"/>
      <c r="L38" s="189"/>
      <c r="M38" s="189"/>
      <c r="N38" s="189"/>
      <c r="O38" s="189"/>
      <c r="P38" s="189"/>
      <c r="Q38" s="23"/>
      <c r="R38" s="23"/>
    </row>
    <row r="39" spans="1:18" ht="14.45" customHeight="1">
      <c r="A39" s="23"/>
      <c r="B39" s="23"/>
      <c r="C39" s="23"/>
      <c r="D39" s="23"/>
      <c r="E39" s="23"/>
      <c r="F39" s="23"/>
      <c r="G39" s="23"/>
      <c r="H39" s="189"/>
      <c r="I39" s="189"/>
      <c r="J39" s="189"/>
      <c r="K39" s="189"/>
      <c r="L39" s="189"/>
      <c r="M39" s="189"/>
      <c r="N39" s="189"/>
      <c r="O39" s="189"/>
      <c r="P39" s="189"/>
      <c r="Q39" s="23"/>
      <c r="R39" s="23"/>
    </row>
    <row r="40" spans="1:18" ht="14.45" customHeight="1">
      <c r="A40" s="23"/>
      <c r="B40" s="22" t="s">
        <v>1</v>
      </c>
      <c r="C40" s="193" t="str">
        <f>Ticker&amp;" "&amp;H4&amp;RIGHT(H5,2)&amp;" Cash Flow Results"</f>
        <v>EVR 2Q27 Cash Flow Results</v>
      </c>
      <c r="D40" s="193"/>
      <c r="E40" s="193"/>
      <c r="F40" s="193"/>
      <c r="G40" s="193"/>
      <c r="H40" s="510" t="str">
        <f>H10</f>
        <v>2Q27a</v>
      </c>
      <c r="I40" s="510" t="str">
        <f t="shared" ref="I40:P40" si="12">I10</f>
        <v>OFe</v>
      </c>
      <c r="J40" s="510" t="str">
        <f t="shared" si="12"/>
        <v>Consensus</v>
      </c>
      <c r="K40" s="510" t="str">
        <f t="shared" si="12"/>
        <v>2Q26a</v>
      </c>
      <c r="L40" s="510" t="str">
        <f t="shared" si="12"/>
        <v>4Q27a</v>
      </c>
      <c r="M40" s="591" t="str">
        <f t="shared" si="12"/>
        <v>v. OFe</v>
      </c>
      <c r="N40" s="510" t="str">
        <f t="shared" si="12"/>
        <v>v. Consensus</v>
      </c>
      <c r="O40" s="510" t="str">
        <f t="shared" si="12"/>
        <v>v. 2Q26a</v>
      </c>
      <c r="P40" s="510" t="str">
        <f t="shared" si="12"/>
        <v>v. 4Q27a</v>
      </c>
      <c r="Q40" s="23"/>
      <c r="R40" s="23"/>
    </row>
    <row r="41" spans="1:18" ht="5.0999999999999996" customHeight="1">
      <c r="A41" s="23"/>
      <c r="B41" s="23"/>
      <c r="C41" s="23"/>
      <c r="D41" s="23"/>
      <c r="E41" s="23"/>
      <c r="F41" s="23"/>
      <c r="G41" s="23"/>
      <c r="H41" s="189"/>
      <c r="I41" s="189"/>
      <c r="J41" s="189"/>
      <c r="K41" s="189"/>
      <c r="L41" s="189"/>
      <c r="M41" s="189"/>
      <c r="N41" s="189"/>
      <c r="O41" s="189"/>
      <c r="P41" s="189"/>
      <c r="Q41" s="23"/>
      <c r="R41" s="23"/>
    </row>
    <row r="42" spans="1:18" ht="14.45" customHeight="1">
      <c r="A42" s="23"/>
      <c r="B42" s="23"/>
      <c r="C42" s="23" t="str">
        <f>Model!C82</f>
        <v>Net Cash From Operating Activities</v>
      </c>
      <c r="D42" s="23"/>
      <c r="E42" s="23"/>
      <c r="F42" s="23"/>
      <c r="G42" s="23"/>
      <c r="H42" s="465">
        <f t="shared" ref="H42:I44" ca="1" si="13">INDEX(Data,MATCH($C42,Line_Items,0),MATCH($H$6,Fiscal_Periods,0))</f>
        <v>280815.00080668216</v>
      </c>
      <c r="I42" s="465">
        <f t="shared" ca="1" si="13"/>
        <v>280815.00080668216</v>
      </c>
      <c r="J42" s="466">
        <v>50</v>
      </c>
      <c r="K42" s="465" t="e">
        <f t="shared" ref="K42:L44" si="14">INDEX(Data,MATCH($C42,Line_Items,0),MATCH(LEFT(K$40,4),Fiscal_Periods,0))</f>
        <v>#N/A</v>
      </c>
      <c r="L42" s="465" t="e">
        <f t="shared" si="14"/>
        <v>#N/A</v>
      </c>
      <c r="M42" s="467">
        <f t="shared" ref="M42:N44" ca="1" si="15">IFERROR($H42/I42-1,"N/A")</f>
        <v>0</v>
      </c>
      <c r="N42" s="438">
        <f t="shared" ca="1" si="15"/>
        <v>5615.3000161336431</v>
      </c>
      <c r="O42" s="438" t="str">
        <f t="shared" ref="O42:P44" ca="1" si="16">IFERROR($I42/K42-1,"N/A")</f>
        <v>N/A</v>
      </c>
      <c r="P42" s="438" t="str">
        <f t="shared" ca="1" si="16"/>
        <v>N/A</v>
      </c>
      <c r="Q42" s="23"/>
      <c r="R42" s="23"/>
    </row>
    <row r="43" spans="1:18" ht="14.45" customHeight="1">
      <c r="A43" s="23"/>
      <c r="B43" s="23"/>
      <c r="C43" s="23" t="str">
        <f>Model!C84</f>
        <v>Capital Expenditures</v>
      </c>
      <c r="D43" s="23"/>
      <c r="E43" s="23"/>
      <c r="F43" s="23"/>
      <c r="G43" s="23"/>
      <c r="H43" s="482">
        <f t="shared" si="13"/>
        <v>-25963.047909646648</v>
      </c>
      <c r="I43" s="482">
        <f t="shared" si="13"/>
        <v>-25963.047909646648</v>
      </c>
      <c r="J43" s="480">
        <v>-668</v>
      </c>
      <c r="K43" s="482" t="e">
        <f t="shared" si="14"/>
        <v>#N/A</v>
      </c>
      <c r="L43" s="482" t="e">
        <f t="shared" si="14"/>
        <v>#N/A</v>
      </c>
      <c r="M43" s="467">
        <f t="shared" si="15"/>
        <v>0</v>
      </c>
      <c r="N43" s="438">
        <f t="shared" si="15"/>
        <v>37.866838188093787</v>
      </c>
      <c r="O43" s="438" t="str">
        <f t="shared" si="16"/>
        <v>N/A</v>
      </c>
      <c r="P43" s="438" t="str">
        <f t="shared" si="16"/>
        <v>N/A</v>
      </c>
      <c r="Q43" s="23"/>
      <c r="R43" s="23"/>
    </row>
    <row r="44" spans="1:18" ht="14.45" customHeight="1">
      <c r="A44" s="23"/>
      <c r="B44" s="23"/>
      <c r="C44" s="23" t="str">
        <f>Model!C114</f>
        <v>Free Cash Flow (FCF)</v>
      </c>
      <c r="D44" s="23"/>
      <c r="E44" s="23"/>
      <c r="F44" s="23"/>
      <c r="G44" s="23"/>
      <c r="H44" s="482">
        <f t="shared" ca="1" si="13"/>
        <v>197438.96782571019</v>
      </c>
      <c r="I44" s="482">
        <f t="shared" ca="1" si="13"/>
        <v>197438.96782571019</v>
      </c>
      <c r="J44" s="480">
        <v>1412.6</v>
      </c>
      <c r="K44" s="482" t="e">
        <f t="shared" si="14"/>
        <v>#N/A</v>
      </c>
      <c r="L44" s="482" t="e">
        <f t="shared" si="14"/>
        <v>#N/A</v>
      </c>
      <c r="M44" s="467">
        <f t="shared" ca="1" si="15"/>
        <v>0</v>
      </c>
      <c r="N44" s="438">
        <f t="shared" ca="1" si="15"/>
        <v>138.76990501607688</v>
      </c>
      <c r="O44" s="438" t="str">
        <f t="shared" ca="1" si="16"/>
        <v>N/A</v>
      </c>
      <c r="P44" s="438" t="str">
        <f t="shared" ca="1" si="16"/>
        <v>N/A</v>
      </c>
      <c r="Q44" s="23"/>
      <c r="R44" s="23"/>
    </row>
  </sheetData>
  <conditionalFormatting sqref="H12:H21">
    <cfRule type="expression" dxfId="15" priority="9">
      <formula>$H$8="Report"</formula>
    </cfRule>
  </conditionalFormatting>
  <conditionalFormatting sqref="H26:L37">
    <cfRule type="expression" dxfId="14" priority="17">
      <formula>$H$8="Report"</formula>
    </cfRule>
  </conditionalFormatting>
  <conditionalFormatting sqref="H42:L44">
    <cfRule type="expression" dxfId="13" priority="5">
      <formula>$H$8="Report"</formula>
    </cfRule>
  </conditionalFormatting>
  <conditionalFormatting sqref="I13 K13:L13 J16 J18">
    <cfRule type="expression" dxfId="12" priority="46">
      <formula>$H$8="Report"</formula>
    </cfRule>
  </conditionalFormatting>
  <conditionalFormatting sqref="I15:I19">
    <cfRule type="expression" dxfId="11" priority="3">
      <formula>$H$8="Report"</formula>
    </cfRule>
  </conditionalFormatting>
  <conditionalFormatting sqref="I12:L15">
    <cfRule type="expression" dxfId="10" priority="34">
      <formula>$H$8="Report"</formula>
    </cfRule>
  </conditionalFormatting>
  <conditionalFormatting sqref="I17:L17">
    <cfRule type="expression" dxfId="9" priority="32">
      <formula>$H$8="Report"</formula>
    </cfRule>
  </conditionalFormatting>
  <conditionalFormatting sqref="I19:L21">
    <cfRule type="expression" dxfId="8" priority="30">
      <formula>$H$8="Report"</formula>
    </cfRule>
  </conditionalFormatting>
  <conditionalFormatting sqref="K15:L19">
    <cfRule type="expression" dxfId="7" priority="1">
      <formula>$H$8="Report"</formula>
    </cfRule>
  </conditionalFormatting>
  <conditionalFormatting sqref="K43:L44">
    <cfRule type="expression" dxfId="6" priority="39">
      <formula>$H$8="Report"</formula>
    </cfRule>
  </conditionalFormatting>
  <conditionalFormatting sqref="M12:P21">
    <cfRule type="cellIs" dxfId="5" priority="65" operator="lessThan">
      <formula>0</formula>
    </cfRule>
    <cfRule type="cellIs" dxfId="4" priority="66" operator="greaterThan">
      <formula>0</formula>
    </cfRule>
  </conditionalFormatting>
  <conditionalFormatting sqref="M26:P37">
    <cfRule type="cellIs" dxfId="3" priority="55" operator="lessThan">
      <formula>0</formula>
    </cfRule>
    <cfRule type="cellIs" dxfId="2" priority="56" operator="greaterThan">
      <formula>0</formula>
    </cfRule>
  </conditionalFormatting>
  <conditionalFormatting sqref="M42:P44">
    <cfRule type="cellIs" dxfId="1" priority="49" operator="lessThan">
      <formula>0</formula>
    </cfRule>
    <cfRule type="cellIs" dxfId="0" priority="50" operator="greaterThan">
      <formula>0</formula>
    </cfRule>
  </conditionalFormatting>
  <dataValidations count="2">
    <dataValidation type="list" allowBlank="1" showInputMessage="1" showErrorMessage="1" sqref="H8" xr:uid="{00000000-0002-0000-1400-000000000000}">
      <formula1>"Working,Report"</formula1>
    </dataValidation>
    <dataValidation type="list" allowBlank="1" showInputMessage="1" showErrorMessage="1" sqref="H4" xr:uid="{00000000-0002-0000-1400-000001000000}">
      <formula1>"1Q, 2Q, 3Q, 4Q"</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cc2af36-c35f-490c-ad6c-4e65b0aa9e4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0FDF10D793694883A59B71DE28B2D0" ma:contentTypeVersion="11" ma:contentTypeDescription="Create a new document." ma:contentTypeScope="" ma:versionID="9cf3fa9b7142060ab733b5e33ff630e8">
  <xsd:schema xmlns:xsd="http://www.w3.org/2001/XMLSchema" xmlns:xs="http://www.w3.org/2001/XMLSchema" xmlns:p="http://schemas.microsoft.com/office/2006/metadata/properties" xmlns:ns3="0cc2af36-c35f-490c-ad6c-4e65b0aa9e47" targetNamespace="http://schemas.microsoft.com/office/2006/metadata/properties" ma:root="true" ma:fieldsID="1142fcfea427c61acbc358e0c3433e82" ns3:_="">
    <xsd:import namespace="0cc2af36-c35f-490c-ad6c-4e65b0aa9e4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2af36-c35f-490c-ad6c-4e65b0aa9e4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961E63-4E3C-4DB9-9F58-FFF307A89C36}">
  <ds:schemaRefs>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0cc2af36-c35f-490c-ad6c-4e65b0aa9e47"/>
    <ds:schemaRef ds:uri="http://purl.org/dc/dcmitype/"/>
  </ds:schemaRefs>
</ds:datastoreItem>
</file>

<file path=customXml/itemProps2.xml><?xml version="1.0" encoding="utf-8"?>
<ds:datastoreItem xmlns:ds="http://schemas.openxmlformats.org/officeDocument/2006/customXml" ds:itemID="{F2444D87-0405-458C-94AF-F2053F250C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c2af36-c35f-490c-ad6c-4e65b0aa9e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A8C63D-D997-4261-AEBF-620393133A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Cover</vt:lpstr>
      <vt:lpstr>Summary</vt:lpstr>
      <vt:lpstr>Model Output</vt:lpstr>
      <vt:lpstr>Football Field</vt:lpstr>
      <vt:lpstr>Integrity</vt:lpstr>
      <vt:lpstr>Revenue Build</vt:lpstr>
      <vt:lpstr>Model</vt:lpstr>
      <vt:lpstr>Segment Analysis</vt:lpstr>
      <vt:lpstr>Drivers</vt:lpstr>
      <vt:lpstr>CIQ ID Locater</vt:lpstr>
      <vt:lpstr>Comparables</vt:lpstr>
      <vt:lpstr>Multiples Data</vt:lpstr>
      <vt:lpstr>WACC</vt:lpstr>
      <vt:lpstr>Valuation</vt:lpstr>
      <vt:lpstr>Charts</vt:lpstr>
      <vt:lpstr>Benchmark</vt:lpstr>
      <vt:lpstr>Pre-Earnings</vt:lpstr>
      <vt:lpstr>Post-Earnings</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Benchmark!Print_Area</vt:lpstr>
      <vt:lpstr>'Football Field'!Print_Area</vt:lpstr>
      <vt:lpstr>'Model Output'!Print_Area</vt:lpstr>
      <vt:lpstr>Summary!Print_Area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Evercore, Inc. (EVR)_Valuation Workbook (10-Mar-2026)</dc:title>
  <dc:subject>Evercore, Inc. (EVR)_Valuation Workbook (26-June-2025)</dc:subject>
  <dc:creator>Spring 2025 Financials &amp; Real Estate Team</dc:creator>
  <cp:keywords/>
  <dc:description/>
  <cp:lastModifiedBy>Gallardo, Ethan</cp:lastModifiedBy>
  <cp:lastPrinted>2025-04-27T18:58:54Z</cp:lastPrinted>
  <dcterms:created xsi:type="dcterms:W3CDTF">2019-08-15T14:34:41Z</dcterms:created>
  <dcterms:modified xsi:type="dcterms:W3CDTF">2026-05-09T02:40:37Z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0x010100840FDF10D793694883A59B71DE28B2D0</vt:lpwstr>
  </property>
  <property fmtid="{D5CDD505-2E9C-101B-9397-08002B2CF9AE}" pid="3" name="{A44787D4-0540-4523-9961-78E4036D8C6D}">
    <vt:lpwstr>{66E0ABD5-ED30-427C-B968-ACA35A3AD3F7}</vt:lpwstr>
  </property>
</Properties>
</file>