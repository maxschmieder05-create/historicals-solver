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ealb\Downloads\"/>
    </mc:Choice>
  </mc:AlternateContent>
  <xr:revisionPtr revIDLastSave="0" documentId="13_ncr:1_{9FCFF9FA-7719-45E0-94CE-725245D7BA7F}" xr6:coauthVersionLast="47" xr6:coauthVersionMax="47" xr10:uidLastSave="{00000000-0000-0000-0000-000000000000}"/>
  <bookViews>
    <workbookView xWindow="-120" yWindow="-120" windowWidth="29040" windowHeight="15720" xr2:uid="{BA9F88CA-56C1-4BF3-ADAF-F00A2A5A1490}"/>
  </bookViews>
  <sheets>
    <sheet name="Cover" sheetId="8" r:id="rId1"/>
    <sheet name="Revenue Build" sheetId="6" r:id="rId2"/>
    <sheet name="Model" sheetId="17" r:id="rId3"/>
    <sheet name="Segment Analysis" sheetId="15" r:id="rId4"/>
    <sheet name="Drivers" sheetId="16" r:id="rId5"/>
    <sheet name="Funds" sheetId="7" r:id="rId6"/>
    <sheet name="Valuation" sheetId="10" r:id="rId7"/>
    <sheet name="Comparables" sheetId="13" r:id="rId8"/>
    <sheet name="CIQ ID Locater" sheetId="14" r:id="rId9"/>
    <sheet name="Multiples Data" sheetId="11" r:id="rId10"/>
    <sheet name="Charts" sheetId="12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_1_0_Table2_" hidden="1">[1]MERGER!#REF!</definedName>
    <definedName name="__FDS_HYPERLINK_TOGGLE_STATE__" hidden="1">"ON"</definedName>
    <definedName name="_1_0_Table2_" hidden="1">[1]MERGER!#REF!</definedName>
    <definedName name="_2_0_Table2_" hidden="1">[1]MERGER!#REF!</definedName>
    <definedName name="_3_0_Table2_" hidden="1">[1]MERGER!#REF!</definedName>
    <definedName name="_4_0_Table2_" hidden="1">[1]MERGER!#REF!</definedName>
    <definedName name="_5_0_Table2_" hidden="1">[1]MERGER!#REF!</definedName>
    <definedName name="_9_0_Table2_" hidden="1">[1]MERGER!#REF!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dm.001de5d049b6489bbc2025ad50c87030.edm" hidden="1">#REF!</definedName>
    <definedName name="_Fill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_Table1_In1" hidden="1">[2]merger!#REF!</definedName>
    <definedName name="_Table1_Out" hidden="1">[2]merger!#REF!</definedName>
    <definedName name="_Table2_In1" hidden="1">[2]merger!#REF!</definedName>
    <definedName name="_Table2_Out" hidden="1">[2]merger!#REF!</definedName>
    <definedName name="a" localSheetId="8" hidden="1">{"summary1",#N/A,TRUE,"Comps";"summary2",#N/A,TRUE,"Comps";"summary3",#N/A,TRUE,"Comps"}</definedName>
    <definedName name="a" hidden="1">{"summary1",#N/A,TRUE,"Comps";"summary2",#N/A,TRUE,"Comps";"summary3",#N/A,TRUE,"Comps"}</definedName>
    <definedName name="aaaaaaaa" localSheetId="8" hidden="1">{"summary1",#N/A,TRUE,"Comps";"summary2",#N/A,TRUE,"Comps";"summary3",#N/A,TRUE,"Comps"}</definedName>
    <definedName name="aaaaaaaa" hidden="1">{"summary1",#N/A,TRUE,"Comps";"summary2",#N/A,TRUE,"Comps";"summary3",#N/A,TRUE,"Comps"}</definedName>
    <definedName name="aaaaaaaaaaa" localSheetId="8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aaaaaaaaaa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adsfsadfas" localSheetId="8" hidden="1">{"multiple",#N/A,FALSE,"client (2)";"margins",#N/A,FALSE,"client (2)";"data",#N/A,FALSE,"client (2)";"multiple",#N/A,FALSE,"client";"margins",#N/A,FALSE,"client";"data",#N/A,FALSE,"client"}</definedName>
    <definedName name="adsfsadfas" hidden="1">{"multiple",#N/A,FALSE,"client (2)";"margins",#N/A,FALSE,"client (2)";"data",#N/A,FALSE,"client (2)";"multiple",#N/A,FALSE,"client";"margins",#N/A,FALSE,"client";"data",#N/A,FALSE,"client"}</definedName>
    <definedName name="adsfsdfe" localSheetId="8" hidden="1">{"Page1",#N/A,FALSE,"CompCo";"Page2",#N/A,FALSE,"CompCo"}</definedName>
    <definedName name="adsfsdfe" hidden="1">{"Page1",#N/A,FALSE,"CompCo";"Page2",#N/A,FALSE,"CompCo"}</definedName>
    <definedName name="aefae" localSheetId="8" hidden="1">{"inputs raw data",#N/A,TRUE,"INPUT"}</definedName>
    <definedName name="aefae" hidden="1">{"inputs raw data",#N/A,TRUE,"INPUT"}</definedName>
    <definedName name="aefe" localSheetId="8" hidden="1">{"cap_structure",#N/A,FALSE,"Graph-Mkt Cap";"price",#N/A,FALSE,"Graph-Price";"ebit",#N/A,FALSE,"Graph-EBITDA";"ebitda",#N/A,FALSE,"Graph-EBITDA"}</definedName>
    <definedName name="aefe" hidden="1">{"cap_structure",#N/A,FALSE,"Graph-Mkt Cap";"price",#N/A,FALSE,"Graph-Price";"ebit",#N/A,FALSE,"Graph-EBITDA";"ebitda",#N/A,FALSE,"Graph-EBITDA"}</definedName>
    <definedName name="aefes" localSheetId="8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efes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l">'[3]2010 Labor Rates 091130'!$A$161</definedName>
    <definedName name="al09salary">[3]Salaries!$G$13</definedName>
    <definedName name="al10salary">[3]Salaries!$K$13</definedName>
    <definedName name="alid">'[3]2010 Labor Rates 091130'!$E$168</definedName>
    <definedName name="alname">[3]Salaries!$A$13</definedName>
    <definedName name="aprpto">[3]Vacation!$I$56</definedName>
    <definedName name="asdfasdfas" localSheetId="8" hidden="1">{"cap_structure",#N/A,FALSE,"Graph-Mkt Cap";"price",#N/A,FALSE,"Graph-Price";"ebit",#N/A,FALSE,"Graph-EBITDA";"ebitda",#N/A,FALSE,"Graph-EBITDA"}</definedName>
    <definedName name="asdfasdfas" hidden="1">{"cap_structure",#N/A,FALSE,"Graph-Mkt Cap";"price",#N/A,FALSE,"Graph-Price";"ebit",#N/A,FALSE,"Graph-EBITDA";"ebitda",#N/A,FALSE,"Graph-EBITDA"}</definedName>
    <definedName name="asdfsdfasdf" localSheetId="8" hidden="1">{"Page1",#N/A,FALSE,"CompCo";"Page2",#N/A,FALSE,"CompCo"}</definedName>
    <definedName name="asdfsdfasdf" hidden="1">{"Page1",#N/A,FALSE,"CompCo";"Page2",#N/A,FALSE,"CompCo"}</definedName>
    <definedName name="augpto">[3]Vacation!$M$56</definedName>
    <definedName name="avg_Health_and_Welfare">[4]PBCFringe!$Q$22</definedName>
    <definedName name="awefawe" localSheetId="8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wefaw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wefweawe" localSheetId="8" hidden="1">{"Page1",#N/A,FALSE,"CompCo";"Page2",#N/A,FALSE,"CompCo"}</definedName>
    <definedName name="awefweawe" hidden="1">{"Page1",#N/A,FALSE,"CompCo";"Page2",#N/A,FALSE,"CompCo"}</definedName>
    <definedName name="b" localSheetId="8" hidden="1">{"Page1",#N/A,FALSE,"CompCo";"Page2",#N/A,FALSE,"CompCo"}</definedName>
    <definedName name="b" hidden="1">{"Page1",#N/A,FALSE,"CompCo";"Page2",#N/A,FALSE,"CompCo"}</definedName>
    <definedName name="bf">'[3]2010 Labor Rates 091130'!$A$239</definedName>
    <definedName name="bf09salary">[3]Salaries!$G$18</definedName>
    <definedName name="bf10salary">[3]Salaries!$K$18</definedName>
    <definedName name="bfid">'[3]2010 Labor Rates 091130'!$E$246</definedName>
    <definedName name="bfname">[3]Salaries!$A$18</definedName>
    <definedName name="Bonus_estimate_2011">[4]PBCFringe!$B$100</definedName>
    <definedName name="Case_Scenario" localSheetId="8">[5]Cover!$F$22</definedName>
    <definedName name="Case_Scenario" localSheetId="7">#REF!</definedName>
    <definedName name="Case_Scenario">Cover!$F$17</definedName>
    <definedName name="cc">'[3]2010 Labor Rates 091130'!$A$135</definedName>
    <definedName name="cc09salary">[3]Salaries!$G$11</definedName>
    <definedName name="cc10salary">[3]Salaries!$K$11</definedName>
    <definedName name="ccid">'[3]2010 Labor Rates 091130'!$E$142</definedName>
    <definedName name="ccname">[3]Salaries!$A$11</definedName>
    <definedName name="Ccy">[6]data!$A$5</definedName>
    <definedName name="cf">'[3]2010 Labor Rates 091130'!$A$148</definedName>
    <definedName name="cf09salary">[3]Salaries!$G$12</definedName>
    <definedName name="cf10salary">[3]Salaries!$K$12</definedName>
    <definedName name="cfid">'[3]2010 Labor Rates 091130'!$E$155</definedName>
    <definedName name="cfname">[3]Salaries!$A$12</definedName>
    <definedName name="ChangeRange" hidden="1">[7]!ChangeRange</definedName>
    <definedName name="CIQWBGuid" localSheetId="8" hidden="1">"d7d956a9-85b8-4e89-a737-f5bc9d3e451f"</definedName>
    <definedName name="CIQWBGuid" hidden="1">"da9992a7-674c-4935-9397-62fbbf050ffe"</definedName>
    <definedName name="CIQWBInfo" hidden="1">"{ ""CIQVersion"":""9.49.2423.4439"" }"</definedName>
    <definedName name="ck">'[3]2010 Labor Rates 091130'!$A$213</definedName>
    <definedName name="ck09salary">[3]Salaries!$G$17</definedName>
    <definedName name="ck10salary">[3]Salaries!$K$17</definedName>
    <definedName name="ckid">'[3]2010 Labor Rates 091130'!$E$220</definedName>
    <definedName name="ckname">[3]Salaries!$A$17</definedName>
    <definedName name="Company_Cyclical_Multiples_Data" localSheetId="8">'[5]Multiples Data'!$C$14:$H$26</definedName>
    <definedName name="Company_Cyclical_Multiples_Data">#REF!</definedName>
    <definedName name="Company_Name" localSheetId="8">[5]Cover!$F$19</definedName>
    <definedName name="Company_Name" localSheetId="7">#REF!</definedName>
    <definedName name="Company_Name">[8]Cover!$F$19</definedName>
    <definedName name="Company_Rev_Methodology" localSheetId="8">'[5]Revenue Build'!$C$7</definedName>
    <definedName name="Company_Rev_Methodology">#REF!</definedName>
    <definedName name="ContentsHelp" hidden="1">[7]!ContentsHelp</definedName>
    <definedName name="copy" localSheetId="8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opy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ost_of_Debt" localSheetId="8">[5]WACC!$G$17</definedName>
    <definedName name="Cost_of_Debt">#REF!</definedName>
    <definedName name="Cost_of_Equity" localSheetId="8">[5]WACC!$G$25</definedName>
    <definedName name="Cost_of_Equity">#REF!</definedName>
    <definedName name="Cost_of_Preferred" localSheetId="8">[5]WACC!$G$10</definedName>
    <definedName name="Cost_of_Preferred">#REF!</definedName>
    <definedName name="CreateTable" hidden="1">[7]!CreateTable</definedName>
    <definedName name="cs">'[3]2010 Labor Rates 091130'!$A$252</definedName>
    <definedName name="cs09salary">[3]Salaries!$G$19</definedName>
    <definedName name="cs10salary">[3]Salaries!$K$19</definedName>
    <definedName name="csid">'[3]2010 Labor Rates 091130'!$E$259</definedName>
    <definedName name="csname">[3]Salaries!$A$19</definedName>
    <definedName name="Current_Date" localSheetId="8">[5]Cover!$F$27</definedName>
    <definedName name="Current_Date">#REF!</definedName>
    <definedName name="Current_Salary">'[9]Planning Worksheet'!$C:$C</definedName>
    <definedName name="CV">'[3]2010 Labor Rates 091130'!$A$5</definedName>
    <definedName name="cv09salary">[3]Salaries!$G$2</definedName>
    <definedName name="cv10salary">[3]Salaries!$K$2</definedName>
    <definedName name="cvid">'[3]2010 Labor Rates 091130'!$E$12</definedName>
    <definedName name="cvname">[3]Salaries!$A$2</definedName>
    <definedName name="Cycle_Period_Toggle" localSheetId="8">[5]Valuation!$G$221</definedName>
    <definedName name="Cycle_Period_Toggle">#REF!</definedName>
    <definedName name="Cycle_Toggle" localSheetId="8">[5]Valuation!$G$220</definedName>
    <definedName name="Cycle_Toggle">#REF!</definedName>
    <definedName name="Cyclical_LTM_NTM_Toggle" localSheetId="8">[5]Valuation!$G$222</definedName>
    <definedName name="Cyclical_LTM_NTM_Toggle">#REF!</definedName>
    <definedName name="Cyclical_Peer_Group_Toggle">#REF!</definedName>
    <definedName name="d" localSheetId="8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d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Data" localSheetId="8">[5]Model!$C$25:$AK$159</definedName>
    <definedName name="Data">#REF!</definedName>
    <definedName name="dd" localSheetId="8" hidden="1">{"Opsys",#N/A,FALSE,"NPV_OPsys";"NT",#N/A,FALSE,"NPV_NT";"DevP",#N/A,FALSE,"NPV_DevPdt";"Office",#N/A,FALSE,"NPV_Office"}</definedName>
    <definedName name="dd" hidden="1">{"Opsys",#N/A,FALSE,"NPV_OPsys";"NT",#N/A,FALSE,"NPV_NT";"DevP",#N/A,FALSE,"NPV_DevPdt";"Office",#N/A,FALSE,"NPV_Office"}</definedName>
    <definedName name="dddddddddddd" localSheetId="8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ddddddddddd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decpto">[3]Vacation!$Q$56</definedName>
    <definedName name="del" localSheetId="8" hidden="1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del" hidden="1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dele" localSheetId="8" hidden="1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dele" hidden="1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delete" localSheetId="8" hidden="1">{#N/A,#N/A,FALSE,"DCF Cov";#N/A,#N/A,FALSE,"dcf"}</definedName>
    <definedName name="delete" hidden="1">{#N/A,#N/A,FALSE,"DCF Cov";#N/A,#N/A,FALSE,"dcf"}</definedName>
    <definedName name="DeleteRange" hidden="1">[7]!DeleteRange</definedName>
    <definedName name="DeleteTable" hidden="1">[7]!DeleteTable</definedName>
    <definedName name="Denominator">[6]data!$A$6</definedName>
    <definedName name="df09salary">[3]Salaries!$G$26</definedName>
    <definedName name="df10salary">[3]Salaries!$K$26</definedName>
    <definedName name="dff">[10]Salaries!$A$26</definedName>
    <definedName name="dfffffffff" localSheetId="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fffffff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name">[3]Salaries!$A$26</definedName>
    <definedName name="dg">'[3]2010 Labor Rates 091130'!$A$421</definedName>
    <definedName name="dg09salary">[3]Salaries!$G$30</definedName>
    <definedName name="dg10salary">[3]Salaries!$K$30</definedName>
    <definedName name="dgid">'[3]2010 Labor Rates 091130'!$E$428</definedName>
    <definedName name="dgname">[3]Salaries!$A$30</definedName>
    <definedName name="Diluted_Shares" localSheetId="8">[5]Cover!$F$35</definedName>
    <definedName name="Diluted_Shares">#REF!</definedName>
    <definedName name="Direct_Salary">'[11]Pay Roll &amp; Taxes'!$R$66</definedName>
    <definedName name="Discount_Rate" localSheetId="8">[5]WACC!$O$13</definedName>
    <definedName name="Discount_Rate">#REF!</definedName>
    <definedName name="Div_Yield">#REF!</definedName>
    <definedName name="dl">'[3]2010 Labor Rates 091130'!$A$187</definedName>
    <definedName name="dl09salary">[3]Salaries!$G$15</definedName>
    <definedName name="dl10salary">[3]Salaries!$K$15</definedName>
    <definedName name="dlid">'[3]2010 Labor Rates 091130'!$E$194</definedName>
    <definedName name="dlm">'[3]2010 Labor Rates 091130'!$A$96</definedName>
    <definedName name="dlm09salary">[3]Salaries!$G$10</definedName>
    <definedName name="dlm10salary">[3]Salaries!$K$10</definedName>
    <definedName name="dlmid">'[3]2010 Labor Rates 091130'!$E$103</definedName>
    <definedName name="dlmname">[3]Salaries!$A$10</definedName>
    <definedName name="dlname">[3]Salaries!$A$15</definedName>
    <definedName name="dm">'[3]2010 Labor Rates 091130'!$A$330</definedName>
    <definedName name="dm09salary">[3]Salaries!$G$25</definedName>
    <definedName name="dm10salary">[3]Salaries!$K$25</definedName>
    <definedName name="dmid">'[3]2010 Labor Rates 091130'!$E$337</definedName>
    <definedName name="dmname">[3]Salaries!$A$25</definedName>
    <definedName name="dv">'[3]2010 Labor Rates 091130'!$A$343</definedName>
    <definedName name="dvid">'[3]2010 Labor Rates 091130'!$E$350</definedName>
    <definedName name="eafeee" localSheetId="8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eafeee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eeafeas" localSheetId="8" hidden="1">{"Page1",#N/A,FALSE,"CompCo";"Page2",#N/A,FALSE,"CompCo"}</definedName>
    <definedName name="eeafeas" hidden="1">{"Page1",#N/A,FALSE,"CompCo";"Page2",#N/A,FALSE,"CompCo"}</definedName>
    <definedName name="eeeeeqq" localSheetId="8" hidden="1">{"data",#N/A,FALSE,"client (3)";"margins",#N/A,FALSE,"client (3)";"multiple",#N/A,FALSE,"client (3)"}</definedName>
    <definedName name="eeeeeqq" hidden="1">{"data",#N/A,FALSE,"client (3)";"margins",#N/A,FALSE,"client (3)";"multiple",#N/A,FALSE,"client (3)"}</definedName>
    <definedName name="efasef" localSheetId="8" hidden="1">{"multiple",#N/A,FALSE,"client (2)";"margins",#N/A,FALSE,"client (2)";"data",#N/A,FALSE,"client (2)";"multiple",#N/A,FALSE,"client";"margins",#N/A,FALSE,"client";"data",#N/A,FALSE,"client"}</definedName>
    <definedName name="efasef" hidden="1">{"multiple",#N/A,FALSE,"client (2)";"margins",#N/A,FALSE,"client (2)";"data",#N/A,FALSE,"client (2)";"multiple",#N/A,FALSE,"client";"margins",#N/A,FALSE,"client";"data",#N/A,FALSE,"client"}</definedName>
    <definedName name="efefawwa" localSheetId="8" hidden="1">{"multiple",#N/A,FALSE,"client";"margins",#N/A,FALSE,"client";"data",#N/A,FALSE,"client"}</definedName>
    <definedName name="efefawwa" hidden="1">{"multiple",#N/A,FALSE,"client";"margins",#N/A,FALSE,"client";"data",#N/A,FALSE,"client"}</definedName>
    <definedName name="End_Bal">'[12]Loan Amortization Schedule'!$I$18:$I$377</definedName>
    <definedName name="eqewq" localSheetId="8" hidden="1">{"multiple",#N/A,FALSE,"client (2)";"margins",#N/A,FALSE,"client (2)";"data",#N/A,FALSE,"client (2)";"multiple",#N/A,FALSE,"client";"margins",#N/A,FALSE,"client";"data",#N/A,FALSE,"client"}</definedName>
    <definedName name="eqewq" hidden="1">{"multiple",#N/A,FALSE,"client (2)";"margins",#N/A,FALSE,"client (2)";"data",#N/A,FALSE,"client (2)";"multiple",#N/A,FALSE,"client";"margins",#N/A,FALSE,"client";"data",#N/A,FALSE,"client"}</definedName>
    <definedName name="ERP" localSheetId="8">[5]WACC!$G$7</definedName>
    <definedName name="ERP">#REF!</definedName>
    <definedName name="erqer" localSheetId="8" hidden="1">{"cap_structure",#N/A,FALSE,"Graph-Mkt Cap";"price",#N/A,FALSE,"Graph-Price";"ebit",#N/A,FALSE,"Graph-EBITDA";"ebitda",#N/A,FALSE,"Graph-EBITDA"}</definedName>
    <definedName name="erqer" hidden="1">{"cap_structure",#N/A,FALSE,"Graph-Mkt Cap";"price",#N/A,FALSE,"Graph-Price";"ebit",#N/A,FALSE,"Graph-EBITDA";"ebitda",#N/A,FALSE,"Graph-EBITDA"}</definedName>
    <definedName name="ev">'[3]2010 Labor Rates 091130'!$A$673</definedName>
    <definedName name="ev09salary">[3]Salaries!$G$3</definedName>
    <definedName name="ev10salary">[3]Salaries!$K$3</definedName>
    <definedName name="evid">'[3]2010 Labor Rates 091130'!$E$680</definedName>
    <definedName name="evname">[3]Salaries!$A$3</definedName>
    <definedName name="ewaeeeee" localSheetId="8" hidden="1">{"Page1",#N/A,FALSE,"CompCo";"Page2",#N/A,FALSE,"CompCo"}</definedName>
    <definedName name="ewaeeeee" hidden="1">{"Page1",#N/A,FALSE,"CompCo";"Page2",#N/A,FALSE,"CompCo"}</definedName>
    <definedName name="ewrwqer" localSheetId="8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ewrwqer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dsfe" localSheetId="8" hidden="1">{"data",#N/A,FALSE,"client (3)";"margins",#N/A,FALSE,"client (3)";"multiple",#N/A,FALSE,"client (3)"}</definedName>
    <definedName name="fdsfe" hidden="1">{"data",#N/A,FALSE,"client (3)";"margins",#N/A,FALSE,"client (3)";"multiple",#N/A,FALSE,"client (3)"}</definedName>
    <definedName name="febpto">[3]Vacation!$G$56</definedName>
    <definedName name="Fiscal_Periods" localSheetId="8">[5]Model!$C$25:$AG$25</definedName>
    <definedName name="Fiscal_Periods">#REF!</definedName>
    <definedName name="fringerate">'[3]P&amp;L Assumptions'!$O$40</definedName>
    <definedName name="Full_Print">'[12]Loan Amortization Schedule'!$A$1:$J$377</definedName>
    <definedName name="FYE">#REF!</definedName>
    <definedName name="GandA_Salary">'[11]Pay Roll &amp; Taxes'!$R$69</definedName>
    <definedName name="garate">'[3]P&amp;L Assumptions'!$N$40</definedName>
    <definedName name="gatotalbonus">[3]Salaries!$Q$68</definedName>
    <definedName name="Gender">'[9]Planning Worksheet'!$P:$P</definedName>
    <definedName name="gfg">[10]Salaries!$G$17</definedName>
    <definedName name="Header_Row">ROW('[12]Loan Amortization Schedule'!$A$17:$IV$17)</definedName>
    <definedName name="Hun">#REF!</definedName>
    <definedName name="ID">[6]Key_Company!$C$2</definedName>
    <definedName name="Interest_Rate">'[12]Loan Amortization Schedule'!$D$6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ROK_COMISSION" hidden="1">"c98"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TDDEV_EST_REUT" hidden="1">"c5408"</definedName>
    <definedName name="IQ_BV_STDDEV_EST_THOM" hidden="1">"c5152"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RATE" hidden="1">"c2192"</definedName>
    <definedName name="IQ_CONVERT_DEBT" hidden="1">"c224"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"c157"</definedName>
    <definedName name="IQ_EBIT_GROWTH_2" hidden="1">"c161"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GROWTH_1" hidden="1">"c156"</definedName>
    <definedName name="IQ_EBITDA_GROWTH_2" hidden="1">"c160"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O_EST" hidden="1">"c267"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"c189"</definedName>
    <definedName name="IQ_EPS_HIGH_EST" hidden="1">"c400"</definedName>
    <definedName name="IQ_EPS_LOW_EST" hidden="1">"c401"</definedName>
    <definedName name="IQ_EPS_MEDIAN_EST" hidden="1">"c1661"</definedName>
    <definedName name="IQ_EPS_NO_EST" hidden="1">"c271"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THOM" hidden="1">"c5153"</definedName>
    <definedName name="IQ_EST_ACT_EPS" hidden="1">"c1648"</definedName>
    <definedName name="IQ_EST_ACT_FFO_REUT" hidden="1">"c3843"</definedName>
    <definedName name="IQ_EST_ACT_FFO_THOM" hidden="1">"c4005"</definedName>
    <definedName name="IQ_EST_BV_DIFF_REUT" hidden="1">"c5433"</definedName>
    <definedName name="IQ_EST_BV_DIFF_THOM" hidden="1">"c5204"</definedName>
    <definedName name="IQ_EST_BV_SURPRISE_PERCENT_REUT" hidden="1">"c5434"</definedName>
    <definedName name="IQ_EST_BV_SURPRISE_PERCENT_THOM" hidden="1">"c5205"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SURPRISE" hidden="1">"c1635"</definedName>
    <definedName name="IQ_EST_FFO_DIFF_REUT" hidden="1">"c3890"</definedName>
    <definedName name="IQ_EST_FFO_DIFF_THOM" hidden="1">"c5186"</definedName>
    <definedName name="IQ_EST_FFO_SURPRISE_PERCENT_REUT" hidden="1">"c3891"</definedName>
    <definedName name="IQ_EST_FFO_SURPRISE_PERCENT_THOM" hidden="1">"c5187"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localSheetId="8" hidden="1">"test"</definedName>
    <definedName name="IQ_EXPENSE_CODE_" hidden="1">"01"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EST_REUT" hidden="1">"c3837"</definedName>
    <definedName name="IQ_FFO_EST_THOM" hidden="1">"c3999"</definedName>
    <definedName name="IQ_FFO_HIGH_EST" hidden="1">"c419"</definedName>
    <definedName name="IQ_FFO_HIGH_EST_REUT" hidden="1">"c3839"</definedName>
    <definedName name="IQ_FFO_HIGH_EST_THOM" hidden="1">"c4001"</definedName>
    <definedName name="IQ_FFO_LOW_EST" hidden="1">"c420"</definedName>
    <definedName name="IQ_FFO_LOW_EST_REUT" hidden="1">"c3840"</definedName>
    <definedName name="IQ_FFO_LOW_EST_THOM" hidden="1">"c4002"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 hidden="1">"c421"</definedName>
    <definedName name="IQ_FFO_NUM_EST_REUT" hidden="1">"c3841"</definedName>
    <definedName name="IQ_FFO_NUM_EST_THOM" hidden="1">"c4003"</definedName>
    <definedName name="IQ_FFO_STDDEV_EST" hidden="1">"c422"</definedName>
    <definedName name="IQ_FFO_STDDEV_EST_REUT" hidden="1">"c3842"</definedName>
    <definedName name="IQ_FFO_STDDEV_EST_THOM" hidden="1">"c4004"</definedName>
    <definedName name="IQ_FH">100000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" hidden="1">"c225"</definedName>
    <definedName name="IQ_FLOAT_PERCENT" hidden="1">"c1575"</definedName>
    <definedName name="IQ_FOREIGN_BRANCHES_U.S._BANKS_LOANS_FDIC" hidden="1">"c6438"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GW" hidden="1">"c519"</definedName>
    <definedName name="IQ_GROSS_INTAN" hidden="1">"c520"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G_REV_OTHER_CASINO" hidden="1">"c8721"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LAND" hidden="1">"c645"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ISTING_CURRENCY" hidden="1">"c2127"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_ACT_OR_EST" hidden="1">"c4458"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"01/01/0001 00:00:00"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AILY_PRDUCTION_GROWTH_GAS" hidden="1">"c10073"</definedName>
    <definedName name="IQ_OG_DAILY_PRDUCTION_GROWTH_GAS_EQUIVALENT" hidden="1">"c10076"</definedName>
    <definedName name="IQ_OG_DAILY_PRDUCTION_GROWTH_NGL" hidden="1">"c10074"</definedName>
    <definedName name="IQ_OG_DAILY_PRDUCTION_GROWTH_OIL" hidden="1">"c10072"</definedName>
    <definedName name="IQ_OG_DAILY_PR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"c10067"</definedName>
    <definedName name="IQ_OG_PRDUCTION_GROWTH_GAS_EQUIVALENT" hidden="1">"c10070"</definedName>
    <definedName name="IQ_OG_PRDUCTION_GROWTH_NGL" hidden="1">"c10068"</definedName>
    <definedName name="IQ_OG_PRDUCTION_GROWTH_OIL" hidden="1">"c10066"</definedName>
    <definedName name="IQ_OG_PRDUCTION_GROWTH_OIL_EQUIVALENT" hidden="1">"c10069"</definedName>
    <definedName name="IQ_OG_PRDUCTION_GROWTH_TOAL" hidden="1">"c10071"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PTIONS_OS" hidden="1">"c858"</definedName>
    <definedName name="IQ_ORDER_BACKLOG" hidden="1">"c2090"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FLOAT" hidden="1">"c227"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HARMBIO_NUMBER_PROD__APPROVED_DURING_PERIOD" hidden="1">"c10027"</definedName>
    <definedName name="IQ_PHARMBIO_NUMBER_PROD__CLINICAL_DEV" hidden="1">"c10022"</definedName>
    <definedName name="IQ_PHARMBIO_NUMBER_PROD__LAUNCHED_DURING_PERIOD" hidden="1">"c10028"</definedName>
    <definedName name="IQ_PHARMBIO_NUMBER_PROD__PHASE_I" hidden="1">"c10023"</definedName>
    <definedName name="IQ_PHARMBIO_NUMBER_PROD__PHASE_II" hidden="1">"c10024"</definedName>
    <definedName name="IQ_PHARMBIO_NUMBER_PROD__PHASE_III" hidden="1">"c10025"</definedName>
    <definedName name="IQ_PHARMBIO_NUMBER_PROD__PRE_CLINICAL_TRIALS" hidden="1">"c10021"</definedName>
    <definedName name="IQ_PHARMBIO_NUMBER_PROD__PRE_REGISTRATION" hidden="1">"c10026"</definedName>
    <definedName name="IQ_PHARMBIO_NUMBER_PROD__RESEARCH_DEV" hidden="1">"c10020"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" hidden="1">"c1126"</definedName>
    <definedName name="IQ_REVENUE_EST_1" hidden="1">"c190"</definedName>
    <definedName name="IQ_REVENUE_GROWTH_1" hidden="1">"c155"</definedName>
    <definedName name="IQ_REVENUE_GROWTH_2" hidden="1">"c159"</definedName>
    <definedName name="IQ_REVENUE_HIGH_EST" hidden="1">"c1127"</definedName>
    <definedName name="IQ_REVENUE_LOW_EST" hidden="1">"c1128"</definedName>
    <definedName name="IQ_REVENUE_NO_EST" hidden="1">"c263"</definedName>
    <definedName name="IQ_REVENUE_NUM_EST" hidden="1">"c1129"</definedName>
    <definedName name="IQ_REVOLVING_SECURED_1_–4_NON_ACCRUAL_FFIEC" hidden="1">"c15565"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LASTCLOSE" hidden="1">"c1855"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Z_SCORE" hidden="1">"c1339"</definedName>
    <definedName name="IQRAF17" hidden="1">"$AF$18:$AF$269"</definedName>
    <definedName name="IQRC117" hidden="1">"$C$118"</definedName>
    <definedName name="IQRC12" hidden="1">"$C$13"</definedName>
    <definedName name="IQRC121" hidden="1">"$C$122"</definedName>
    <definedName name="IQRC123" hidden="1">"$C$124"</definedName>
    <definedName name="IQRC124" hidden="1">"$C$125"</definedName>
    <definedName name="IQRC125" hidden="1">"$C$126"</definedName>
    <definedName name="IQRC126" hidden="1">"$C$127"</definedName>
    <definedName name="IQRC5" hidden="1">"$C$6:$C$13"</definedName>
    <definedName name="IQRC94" hidden="1">"$C$95"</definedName>
    <definedName name="IQRCIQIDLocaterI13" hidden="1">'CIQ ID Locater'!$J$13:$N$13</definedName>
    <definedName name="IQRCIQIDLocaterI14" hidden="1">'CIQ ID Locater'!$J$14:$N$14</definedName>
    <definedName name="IQRCIQIDLocaterI15" hidden="1">'CIQ ID Locater'!$J$15:$N$15</definedName>
    <definedName name="IQRCIQIDLocaterI16" hidden="1">'CIQ ID Locater'!$J$16:$N$16</definedName>
    <definedName name="IQRCIQIDLocaterI17" hidden="1">'CIQ ID Locater'!$J$17:$N$17</definedName>
    <definedName name="IQRCIQIDLocaterI18" hidden="1">'CIQ ID Locater'!$J$18:$N$18</definedName>
    <definedName name="IQRCIQIDLocaterO13" hidden="1">'CIQ ID Locater'!$P$13:$T$13</definedName>
    <definedName name="IQRCIQIDLocaterO14" hidden="1">'CIQ ID Locater'!$P$14:$T$14</definedName>
    <definedName name="IQRCIQIDLocaterO15" hidden="1">'CIQ ID Locater'!$P$15:$T$15</definedName>
    <definedName name="IQRCIQIDLocaterO16" hidden="1">'CIQ ID Locater'!$P$16:$T$16</definedName>
    <definedName name="IQRCIQIDLocaterO17" hidden="1">'CIQ ID Locater'!$P$17:$T$17</definedName>
    <definedName name="IQRCIQIDLocaterO18" hidden="1">'CIQ ID Locater'!$P$18:$T$18</definedName>
    <definedName name="IQRCompaniesH12" hidden="1">'CIQ ID Locater'!#REF!</definedName>
    <definedName name="IQRCompaniesH13" hidden="1">'CIQ ID Locater'!$J$12:$N$12</definedName>
    <definedName name="IQRCompaniesH14" hidden="1">'CIQ ID Locater'!$J$13:$N$13</definedName>
    <definedName name="IQRCompaniesH15" hidden="1">'CIQ ID Locater'!$J$14:$N$14</definedName>
    <definedName name="IQRCompaniesH16" hidden="1">'CIQ ID Locater'!#REF!</definedName>
    <definedName name="IQRCompaniesH17" hidden="1">'CIQ ID Locater'!$J$15:$N$15</definedName>
    <definedName name="IQRCompaniesH18" hidden="1">'CIQ ID Locater'!$J$16:$N$16</definedName>
    <definedName name="IQRCompaniesH19" hidden="1">'CIQ ID Locater'!$J$17:$N$17</definedName>
    <definedName name="IQRCompaniesH20" hidden="1">'CIQ ID Locater'!$J$18:$N$18</definedName>
    <definedName name="IQRCompaniesI12" hidden="1">'CIQ ID Locater'!#REF!</definedName>
    <definedName name="IQRCompaniesI13" hidden="1">'CIQ ID Locater'!$J$12:$K$12</definedName>
    <definedName name="IQRCompaniesI14" hidden="1">'CIQ ID Locater'!$J$13:$L$13</definedName>
    <definedName name="IQRCompaniesI15" hidden="1">'CIQ ID Locater'!$J$14</definedName>
    <definedName name="IQRCompaniesI16" hidden="1">'CIQ ID Locater'!$J$15:$N$15</definedName>
    <definedName name="IQRCompaniesI17" hidden="1">'CIQ ID Locater'!$J$16:$N$16</definedName>
    <definedName name="IQRCompaniesI18" hidden="1">'CIQ ID Locater'!$J$17</definedName>
    <definedName name="IQRCompaniesI19" hidden="1">'CIQ ID Locater'!$J$18</definedName>
    <definedName name="IQRCompaniesI20" hidden="1">'CIQ ID Locater'!$J$19:$K$19</definedName>
    <definedName name="IQRCompaniesI21" hidden="1">'CIQ ID Locater'!$J$20:$N$20</definedName>
    <definedName name="IQRCompaniesI22" hidden="1">'CIQ ID Locater'!$J$21:$N$21</definedName>
    <definedName name="IQRCompaniesI23" hidden="1">'CIQ ID Locater'!$J$22:$N$22</definedName>
    <definedName name="IQRCompaniesI24" hidden="1">'CIQ ID Locater'!$J$23:$N$23</definedName>
    <definedName name="IQRCompaniesI25" hidden="1">'CIQ ID Locater'!$J$24:$N$24</definedName>
    <definedName name="IQRCompaniesI26" hidden="1">'CIQ ID Locater'!$J$25:$N$25</definedName>
    <definedName name="IQRCompaniesI27" hidden="1">'CIQ ID Locater'!$J$26:$N$26</definedName>
    <definedName name="IQRCompaniesI28" hidden="1">'CIQ ID Locater'!$J$27:$K$27</definedName>
    <definedName name="IQRCompaniesI29" hidden="1">'CIQ ID Locater'!$J$28:$K$28</definedName>
    <definedName name="IQRCompaniesI30" hidden="1">'CIQ ID Locater'!$J$29</definedName>
    <definedName name="IQRCompaniesI31" hidden="1">'CIQ ID Locater'!$J$29</definedName>
    <definedName name="IQRCompaniesN12" hidden="1">'CIQ ID Locater'!#REF!</definedName>
    <definedName name="IQRCompaniesN13" hidden="1">'CIQ ID Locater'!$P$12:$T$12</definedName>
    <definedName name="IQRCompaniesN14" hidden="1">'CIQ ID Locater'!$P$13:$T$13</definedName>
    <definedName name="IQRCompaniesN15" hidden="1">'CIQ ID Locater'!$P$14:$T$14</definedName>
    <definedName name="IQRCompaniesN16" hidden="1">'CIQ ID Locater'!#REF!</definedName>
    <definedName name="IQRCompaniesN17" hidden="1">'CIQ ID Locater'!$P$15:$T$15</definedName>
    <definedName name="IQRCompaniesN18" hidden="1">'CIQ ID Locater'!$P$16:$T$16</definedName>
    <definedName name="IQRCompaniesN19" hidden="1">'CIQ ID Locater'!$P$17:$T$17</definedName>
    <definedName name="IQRCompaniesN20" hidden="1">'CIQ ID Locater'!$P$18:$T$18</definedName>
    <definedName name="IQRCompaniesO12" hidden="1">'CIQ ID Locater'!#REF!</definedName>
    <definedName name="IQRCompaniesO13" hidden="1">'CIQ ID Locater'!$P$12:$Q$12</definedName>
    <definedName name="IQRCompaniesO14" hidden="1">'CIQ ID Locater'!$P$13:$R$13</definedName>
    <definedName name="IQRCompaniesO15" hidden="1">'CIQ ID Locater'!$P$14</definedName>
    <definedName name="IQRCompaniesO16" hidden="1">'CIQ ID Locater'!$P$15:$T$15</definedName>
    <definedName name="IQRCompaniesO17" hidden="1">'CIQ ID Locater'!$P$16:$T$16</definedName>
    <definedName name="IQRCompaniesO18" hidden="1">'CIQ ID Locater'!$P$17</definedName>
    <definedName name="IQRCompaniesO19" hidden="1">'CIQ ID Locater'!$P$18</definedName>
    <definedName name="IQRCompaniesO20" hidden="1">'CIQ ID Locater'!$P$19:$Q$19</definedName>
    <definedName name="IQRCompaniesO21" hidden="1">'CIQ ID Locater'!$P$20:$T$20</definedName>
    <definedName name="IQRCompaniesO22" hidden="1">'CIQ ID Locater'!$P$21:$T$21</definedName>
    <definedName name="IQRCompaniesO23" hidden="1">'CIQ ID Locater'!$P$22:$T$22</definedName>
    <definedName name="IQRCompaniesO24" hidden="1">'CIQ ID Locater'!$P$23:$T$23</definedName>
    <definedName name="IQRCompaniesO25" hidden="1">'CIQ ID Locater'!$P$24:$T$24</definedName>
    <definedName name="IQRCompaniesO26" hidden="1">'CIQ ID Locater'!$P$25:$T$25</definedName>
    <definedName name="IQRCompaniesO27" hidden="1">'CIQ ID Locater'!$P$26:$T$26</definedName>
    <definedName name="IQRCompaniesO28" hidden="1">'CIQ ID Locater'!$P$27:$Q$27</definedName>
    <definedName name="IQRCompaniesO29" hidden="1">'CIQ ID Locater'!$P$28:$Q$28</definedName>
    <definedName name="IQRCompaniesO30" hidden="1">'CIQ ID Locater'!$P$29</definedName>
    <definedName name="IQRCompaniesO31" hidden="1">'CIQ ID Locater'!$P$29</definedName>
    <definedName name="IQRCompayIDLocaterI12" hidden="1">'CIQ ID Locater'!#REF!</definedName>
    <definedName name="IQRCompayIDLocaterI13" hidden="1">'CIQ ID Locater'!$J$12:$K$12</definedName>
    <definedName name="IQRCompayIDLocaterI14" hidden="1">'CIQ ID Locater'!$J$13:$L$13</definedName>
    <definedName name="IQRCompayIDLocaterI15" hidden="1">'CIQ ID Locater'!$J$14</definedName>
    <definedName name="IQRCompayIDLocaterI16" hidden="1">'CIQ ID Locater'!$J$15:$N$15</definedName>
    <definedName name="IQRCompayIDLocaterI17" hidden="1">'CIQ ID Locater'!$J$16:$N$16</definedName>
    <definedName name="IQRCompayIDLocaterI18" hidden="1">'CIQ ID Locater'!$J$17</definedName>
    <definedName name="IQRCompayIDLocaterI19" hidden="1">'CIQ ID Locater'!$J$18</definedName>
    <definedName name="IQRCompayIDLocaterI20" hidden="1">'CIQ ID Locater'!$J$19:$K$19</definedName>
    <definedName name="IQRCompayIDLocaterI21" hidden="1">'CIQ ID Locater'!$J$20:$N$20</definedName>
    <definedName name="IQRCompayIDLocaterI22" hidden="1">'CIQ ID Locater'!$J$21:$N$21</definedName>
    <definedName name="IQRCompayIDLocaterI23" hidden="1">'CIQ ID Locater'!$J$22:$N$22</definedName>
    <definedName name="IQRCompayIDLocaterI24" hidden="1">'CIQ ID Locater'!$J$23:$N$23</definedName>
    <definedName name="IQRCompayIDLocaterI25" hidden="1">'CIQ ID Locater'!$J$24:$N$24</definedName>
    <definedName name="IQRCompayIDLocaterI26" hidden="1">'CIQ ID Locater'!$J$25:$N$25</definedName>
    <definedName name="IQRCompayIDLocaterI27" hidden="1">'CIQ ID Locater'!$J$26:$N$26</definedName>
    <definedName name="IQRCompayIDLocaterI28" hidden="1">'CIQ ID Locater'!$J$27:$K$27</definedName>
    <definedName name="IQRCompayIDLocaterI29" hidden="1">'CIQ ID Locater'!$J$28:$K$28</definedName>
    <definedName name="IQRCompayIDLocaterI30" hidden="1">'CIQ ID Locater'!$J$29</definedName>
    <definedName name="IQRCompayIDLocaterO12" hidden="1">'CIQ ID Locater'!#REF!</definedName>
    <definedName name="IQRCompayIDLocaterO13" hidden="1">'CIQ ID Locater'!$P$12:$Q$12</definedName>
    <definedName name="IQRCompayIDLocaterO14" hidden="1">'CIQ ID Locater'!$P$13:$R$13</definedName>
    <definedName name="IQRCompayIDLocaterO15" hidden="1">'CIQ ID Locater'!$P$14</definedName>
    <definedName name="IQRCompayIDLocaterO16" hidden="1">'CIQ ID Locater'!$P$15:$T$15</definedName>
    <definedName name="IQRCompayIDLocaterO17" hidden="1">'CIQ ID Locater'!$P$16:$T$16</definedName>
    <definedName name="IQRCompayIDLocaterO18" hidden="1">'CIQ ID Locater'!$P$17</definedName>
    <definedName name="IQRCompayIDLocaterO19" hidden="1">'CIQ ID Locater'!$P$18</definedName>
    <definedName name="IQRCompayIDLocaterO20" hidden="1">'CIQ ID Locater'!$P$19:$Q$19</definedName>
    <definedName name="IQRCompayIDLocaterO21" hidden="1">'CIQ ID Locater'!$P$20:$T$20</definedName>
    <definedName name="IQRCompayIDLocaterO22" hidden="1">'CIQ ID Locater'!$P$21:$T$21</definedName>
    <definedName name="IQRCompayIDLocaterO23" hidden="1">'CIQ ID Locater'!$P$22:$T$22</definedName>
    <definedName name="IQRCompayIDLocaterO24" hidden="1">'CIQ ID Locater'!$P$23:$T$23</definedName>
    <definedName name="IQRCompayIDLocaterO25" hidden="1">'CIQ ID Locater'!$P$24:$T$24</definedName>
    <definedName name="IQRCompayIDLocaterO26" hidden="1">'CIQ ID Locater'!$P$25:$T$25</definedName>
    <definedName name="IQRCompayIDLocaterO27" hidden="1">'CIQ ID Locater'!$P$26:$T$26</definedName>
    <definedName name="IQRCompayIDLocaterO28" hidden="1">'CIQ ID Locater'!$P$27:$Q$27</definedName>
    <definedName name="IQRCompayIDLocaterO29" hidden="1">'CIQ ID Locater'!$P$28:$Q$28</definedName>
    <definedName name="IQRCompayIDLocaterO30" hidden="1">'CIQ ID Locater'!$P$29</definedName>
    <definedName name="IQRComps1F7" hidden="1">[13]Comps!#REF!</definedName>
    <definedName name="IQRF54" hidden="1">"$F$55:$F$62"</definedName>
    <definedName name="IQRG12" hidden="1">"$H$12:$L$12"</definedName>
    <definedName name="IQRG54" hidden="1">"$G$55:$G$62"</definedName>
    <definedName name="IQRH12" hidden="1">"$I$12:$M$12"</definedName>
    <definedName name="IQRH13" hidden="1">"$I$13:$M$13"</definedName>
    <definedName name="IQRH14" hidden="1">"$I$14"</definedName>
    <definedName name="IQRH15" hidden="1">"$I$15:$M$15"</definedName>
    <definedName name="IQRH16" hidden="1">"$I$16:$M$16"</definedName>
    <definedName name="IQRH17" hidden="1">"$I$17:$M$17"</definedName>
    <definedName name="IQRH18" hidden="1">"$I$18:$M$18"</definedName>
    <definedName name="IQRH19" hidden="1">"$I$19:$M$19"</definedName>
    <definedName name="IQRH20" hidden="1">"$I$20:$M$20"</definedName>
    <definedName name="IQRH21" hidden="1">"$I$21"</definedName>
    <definedName name="IQRH22" hidden="1">"$I$22"</definedName>
    <definedName name="IQRH23" hidden="1">"$I$23"</definedName>
    <definedName name="IQRH24" hidden="1">"$I$24"</definedName>
    <definedName name="IQRH25" hidden="1">"$I$25"</definedName>
    <definedName name="IQRH26" hidden="1">"$I$26"</definedName>
    <definedName name="IQRH27" hidden="1">"$I$27"</definedName>
    <definedName name="IQRH28" hidden="1">"$I$28"</definedName>
    <definedName name="IQRJ22" hidden="1">"$J$23"</definedName>
    <definedName name="IQRK10" hidden="1">"$K$11"</definedName>
    <definedName name="IQRK15" hidden="1">"$K$16:$K$23"</definedName>
    <definedName name="IQRL10" hidden="1">"$L$11"</definedName>
    <definedName name="IQRL15" hidden="1">"$L$16:$L$23"</definedName>
    <definedName name="IQRL16" hidden="1">"$L$17:$L$24"</definedName>
    <definedName name="IQRL17" hidden="1">"$L$18:$L$25"</definedName>
    <definedName name="IQRL3" hidden="1">"$L$4:$L$11"</definedName>
    <definedName name="IQRM10" hidden="1">"$M$11:$M$26"</definedName>
    <definedName name="IQRM12" hidden="1">"$N$12:$R$12"</definedName>
    <definedName name="IQRM15" hidden="1">"$M$16:$M$31"</definedName>
    <definedName name="IQRM16" hidden="1">"$M$17:$M$24"</definedName>
    <definedName name="IQRM17" hidden="1">"$M$18:$M$25"</definedName>
    <definedName name="IQRM3" hidden="1">"$M$4:$M$11"</definedName>
    <definedName name="IQRN12" hidden="1">"$O$12:$S$12"</definedName>
    <definedName name="IQRN13" hidden="1">"$O$13:$S$13"</definedName>
    <definedName name="IQRN14" localSheetId="8" hidden="1">"$O$14"</definedName>
    <definedName name="IQRN14" hidden="1">"$N$15:$N$22"</definedName>
    <definedName name="IQRN15" hidden="1">"$O$15:$S$15"</definedName>
    <definedName name="IQRN16" localSheetId="8" hidden="1">"$O$16:$S$16"</definedName>
    <definedName name="IQRN16" hidden="1">"$N$17:$N$24"</definedName>
    <definedName name="IQRN17" localSheetId="8" hidden="1">"$O$17:$S$17"</definedName>
    <definedName name="IQRN17" hidden="1">"$N$18:$N$25"</definedName>
    <definedName name="IQRN18" hidden="1">"$O$18:$S$18"</definedName>
    <definedName name="IQRN19" hidden="1">"$O$19:$S$19"</definedName>
    <definedName name="IQRN20" hidden="1">"$O$20:$S$20"</definedName>
    <definedName name="IQRN21" hidden="1">"$O$21"</definedName>
    <definedName name="IQRN22" hidden="1">"$O$22"</definedName>
    <definedName name="IQRN23" hidden="1">"$O$23"</definedName>
    <definedName name="IQRN24" hidden="1">"$O$24"</definedName>
    <definedName name="IQRN25" hidden="1">"$O$25"</definedName>
    <definedName name="IQRN26" hidden="1">"$O$26"</definedName>
    <definedName name="IQRN27" hidden="1">"$O$27"</definedName>
    <definedName name="IQRN28" hidden="1">"$O$28"</definedName>
    <definedName name="IQRN3" hidden="1">"$N$4:$N$11"</definedName>
    <definedName name="IQRN4" hidden="1">"$N$5:$N$12"</definedName>
    <definedName name="IQRN69" hidden="1">"$N$70:$N$77"</definedName>
    <definedName name="IQRO14" hidden="1">"$O$15:$O$22"</definedName>
    <definedName name="IQRO16" hidden="1">"$O$17:$O$24"</definedName>
    <definedName name="IQRO17" hidden="1">"$O$18:$O$25"</definedName>
    <definedName name="IQRO3" hidden="1">"$O$4:$O$11"</definedName>
    <definedName name="IQRO4" hidden="1">"$O$5:$O$12"</definedName>
    <definedName name="IQRO69" hidden="1">"$O$70:$O$77"</definedName>
    <definedName name="IQRP14" hidden="1">"$P$15:$P$22"</definedName>
    <definedName name="IQRP3" hidden="1">"$P$4:$P$11"</definedName>
    <definedName name="IQRP4" hidden="1">"$P$5:$P$12"</definedName>
    <definedName name="IQRP69" hidden="1">"$P$70:$P$77"</definedName>
    <definedName name="IQRQ14" hidden="1">"$Q$15:$Q$22"</definedName>
    <definedName name="IQRQ3" hidden="1">"$Q$4:$Q$11"</definedName>
    <definedName name="IQRQ4" hidden="1">"$Q$5:$Q$12"</definedName>
    <definedName name="IQRQ69" hidden="1">"$Q$70:$Q$77"</definedName>
    <definedName name="IQRR14" hidden="1">"$R$15:$R$22"</definedName>
    <definedName name="IQRR3" hidden="1">"$R$4:$R$11"</definedName>
    <definedName name="IQRR69" hidden="1">"$R$70:$R$77"</definedName>
    <definedName name="IQRS14" hidden="1">"$S$15:$S$22"</definedName>
    <definedName name="IQRS3" hidden="1">"$S$4:$S$11"</definedName>
    <definedName name="IQRS69" hidden="1">"$S$70:$S$77"</definedName>
    <definedName name="IQRSheet1H12" hidden="1">'CIQ ID Locater'!#REF!</definedName>
    <definedName name="IQRSheet1H13" hidden="1">'CIQ ID Locater'!$J$12:$N$12</definedName>
    <definedName name="IQRSheet1H14" hidden="1">'CIQ ID Locater'!$J$13</definedName>
    <definedName name="IQRSheet1H15" hidden="1">'CIQ ID Locater'!$J$14:$N$14</definedName>
    <definedName name="IQRSheet1H16" hidden="1">'CIQ ID Locater'!#REF!</definedName>
    <definedName name="IQRSheet1H17" hidden="1">'CIQ ID Locater'!$J$15:$N$15</definedName>
    <definedName name="IQRSheet1H18" hidden="1">'CIQ ID Locater'!$J$16:$N$16</definedName>
    <definedName name="IQRSheet1H19" hidden="1">'CIQ ID Locater'!$J$17:$N$17</definedName>
    <definedName name="IQRSheet1H20" hidden="1">'CIQ ID Locater'!$J$18:$N$18</definedName>
    <definedName name="IQRSheet1I12" hidden="1">'CIQ ID Locater'!#REF!</definedName>
    <definedName name="IQRSheet1I13" hidden="1">'CIQ ID Locater'!$J$13:$N$13</definedName>
    <definedName name="IQRSheet1I14" hidden="1">'CIQ ID Locater'!$J$14:$N$14</definedName>
    <definedName name="IQRSheet1I15" hidden="1">'CIQ ID Locater'!$J$15:$N$15</definedName>
    <definedName name="IQRSheet1I16" hidden="1">'CIQ ID Locater'!$J$16:$N$16</definedName>
    <definedName name="IQRSheet1I17" hidden="1">'CIQ ID Locater'!$J$17:$K$17</definedName>
    <definedName name="IQRSheet1I18" hidden="1">'CIQ ID Locater'!$J$18:$N$18</definedName>
    <definedName name="IQRSheet1I19" hidden="1">'CIQ ID Locater'!$J$19:$K$19</definedName>
    <definedName name="IQRSheet1I20" hidden="1">'CIQ ID Locater'!$J$20:$N$20</definedName>
    <definedName name="IQRSheet1I21" hidden="1">'CIQ ID Locater'!$J$21:$N$21</definedName>
    <definedName name="IQRSheet1I22" hidden="1">'CIQ ID Locater'!$J$22:$N$22</definedName>
    <definedName name="IQRSheet1I23" hidden="1">'CIQ ID Locater'!$J$23:$N$23</definedName>
    <definedName name="IQRSheet1I24" hidden="1">'CIQ ID Locater'!$J$24:$N$24</definedName>
    <definedName name="IQRSheet1I25" hidden="1">'CIQ ID Locater'!$J$25:$N$25</definedName>
    <definedName name="IQRSheet1I26" hidden="1">'CIQ ID Locater'!$J$26:$N$26</definedName>
    <definedName name="IQRSheet1I27" hidden="1">'CIQ ID Locater'!$J$27:$K$27</definedName>
    <definedName name="IQRSheet1I28" hidden="1">'CIQ ID Locater'!$J$28:$K$28</definedName>
    <definedName name="IQRSheet1I29" hidden="1">'CIQ ID Locater'!$J$29</definedName>
    <definedName name="IQRSheet1I30" hidden="1">'CIQ ID Locater'!$J$29</definedName>
    <definedName name="IQRSheet1J12" hidden="1">'CIQ ID Locater'!#REF!</definedName>
    <definedName name="IQRSheet1N12" hidden="1">'CIQ ID Locater'!#REF!</definedName>
    <definedName name="IQRSheet1N13" hidden="1">'CIQ ID Locater'!$P$12:$T$12</definedName>
    <definedName name="IQRSheet1N14" hidden="1">'CIQ ID Locater'!$P$13</definedName>
    <definedName name="IQRSheet1N15" hidden="1">'CIQ ID Locater'!$P$14:$T$14</definedName>
    <definedName name="IQRSheet1N16" hidden="1">'CIQ ID Locater'!#REF!</definedName>
    <definedName name="IQRSheet1N17" hidden="1">'CIQ ID Locater'!$P$15:$T$15</definedName>
    <definedName name="IQRSheet1N18" hidden="1">'CIQ ID Locater'!$P$16:$T$16</definedName>
    <definedName name="IQRSheet1N19" hidden="1">'CIQ ID Locater'!$P$17:$T$17</definedName>
    <definedName name="IQRSheet1N20" hidden="1">'CIQ ID Locater'!$P$18:$T$18</definedName>
    <definedName name="IQRSheet1O12" hidden="1">'CIQ ID Locater'!#REF!</definedName>
    <definedName name="IQRSheet1O13" hidden="1">'CIQ ID Locater'!$P$13:$T$13</definedName>
    <definedName name="IQRSheet1O14" hidden="1">'CIQ ID Locater'!$P$14:$T$14</definedName>
    <definedName name="IQRSheet1O15" hidden="1">'CIQ ID Locater'!$P$15:$T$15</definedName>
    <definedName name="IQRSheet1O16" hidden="1">'CIQ ID Locater'!$P$16:$T$16</definedName>
    <definedName name="IQRSheet1O17" hidden="1">'CIQ ID Locater'!$P$17:$Q$17</definedName>
    <definedName name="IQRSheet1O18" hidden="1">'CIQ ID Locater'!$P$18:$T$18</definedName>
    <definedName name="IQRSheet1O19" hidden="1">'CIQ ID Locater'!$P$19:$Q$19</definedName>
    <definedName name="IQRSheet1O20" hidden="1">'CIQ ID Locater'!$P$20:$T$20</definedName>
    <definedName name="IQRSheet1O21" hidden="1">'CIQ ID Locater'!$P$21:$T$21</definedName>
    <definedName name="IQRSheet1O22" hidden="1">'CIQ ID Locater'!$P$22:$T$22</definedName>
    <definedName name="IQRSheet1O23" hidden="1">'CIQ ID Locater'!$P$23:$T$23</definedName>
    <definedName name="IQRSheet1O24" hidden="1">'CIQ ID Locater'!$P$24:$T$24</definedName>
    <definedName name="IQRSheet1O25" hidden="1">'CIQ ID Locater'!$P$25:$T$25</definedName>
    <definedName name="IQRSheet1O26" hidden="1">'CIQ ID Locater'!$P$26:$T$26</definedName>
    <definedName name="IQRSheet1O27" hidden="1">'CIQ ID Locater'!$P$27:$Q$27</definedName>
    <definedName name="IQRSheet1O28" hidden="1">'CIQ ID Locater'!$P$28:$Q$28</definedName>
    <definedName name="IQRSheet1O29" hidden="1">'CIQ ID Locater'!$P$29</definedName>
    <definedName name="IQRSheet1O30" hidden="1">'CIQ ID Locater'!$P$29</definedName>
    <definedName name="janpto">[3]Vacation!$F$56</definedName>
    <definedName name="je">'[3]2010 Labor Rates 091130'!$A$31</definedName>
    <definedName name="je09salary">[3]Salaries!$G$6</definedName>
    <definedName name="je10salary">[3]Salaries!$K$6</definedName>
    <definedName name="jeid">'[3]2010 Labor Rates 091130'!$E$38</definedName>
    <definedName name="jename">[3]Salaries!$A$6</definedName>
    <definedName name="jf">'[3]2010 Labor Rates 091130'!$A$18</definedName>
    <definedName name="jf09salary">[3]Salaries!$G$4</definedName>
    <definedName name="jf10salary">[3]Salaries!$K$4</definedName>
    <definedName name="jfid">'[3]2010 Labor Rates 091130'!$E$25</definedName>
    <definedName name="jfname">[3]Salaries!$A$4</definedName>
    <definedName name="jlm">'[3]2010 Labor Rates 091130'!$A$317</definedName>
    <definedName name="jlm09salary">[3]Salaries!$G$24</definedName>
    <definedName name="jlm10salary">[3]Salaries!$K$24</definedName>
    <definedName name="jlmid">'[3]2010 Labor Rates 091130'!$E$324</definedName>
    <definedName name="jlmname">[3]Salaries!$A$24</definedName>
    <definedName name="jm">'[3]2010 Labor Rates 091130'!$A$57</definedName>
    <definedName name="jm09salary">[3]Salaries!$G$8</definedName>
    <definedName name="jm10salary">[3]Salaries!$K$8</definedName>
    <definedName name="jmid">'[3]2010 Labor Rates 091130'!$E$64</definedName>
    <definedName name="jmname">[3]Salaries!$A$8</definedName>
    <definedName name="julpto">[3]Vacation!$L$56</definedName>
    <definedName name="junpto">[3]Vacation!$K$56</definedName>
    <definedName name="kb">'[3]2010 Labor Rates 091130'!$A$304</definedName>
    <definedName name="kb09salary">[3]Salaries!$G$23</definedName>
    <definedName name="kb10salary">[3]Salaries!$K$23</definedName>
    <definedName name="kbid">'[3]2010 Labor Rates 091130'!$E$311</definedName>
    <definedName name="kbname">[3]Salaries!$A$23</definedName>
    <definedName name="kl">'[3]2010 Labor Rates 091130'!$A$278</definedName>
    <definedName name="kl09salary">[3]Salaries!$G$21</definedName>
    <definedName name="kl10salary">[3]Salaries!$K$21</definedName>
    <definedName name="klid">'[3]2010 Labor Rates 091130'!$E$285</definedName>
    <definedName name="klname">[3]Salaries!$A$21</definedName>
    <definedName name="ks">'[3]2010 Labor Rates 091130'!$A$395</definedName>
    <definedName name="ks09salary">[3]Salaries!$G$29</definedName>
    <definedName name="ks10salary">[3]Salaries!$K$29</definedName>
    <definedName name="ksid">'[3]2010 Labor Rates 091130'!$E$402</definedName>
    <definedName name="ksname">[3]Salaries!$A$29</definedName>
    <definedName name="LaborUt">'[4]Labor budget'!$DO$139:$DV$172</definedName>
    <definedName name="Last_FQR" localSheetId="8">[5]Cover!$F$26</definedName>
    <definedName name="Last_FQR">#REF!</definedName>
    <definedName name="Last_FYE" localSheetId="8">[5]Cover!$F$24</definedName>
    <definedName name="Last_FYE" localSheetId="7">#REF!</definedName>
    <definedName name="Last_FYE">Cover!$F$20</definedName>
    <definedName name="lc">'[3]2010 Labor Rates 091130'!$A$356</definedName>
    <definedName name="lcid">'[3]2010 Labor Rates 091130'!$E$363</definedName>
    <definedName name="Line_Items" localSheetId="8">[5]Model!$C$25:$C$159</definedName>
    <definedName name="Line_Items">#REF!</definedName>
    <definedName name="ListOffset" hidden="1">1</definedName>
    <definedName name="Loan_Amount">'[12]Loan Amortization Schedule'!$D$5</definedName>
    <definedName name="Loan_Start">'[12]Loan Amortization Schedule'!$D$9</definedName>
    <definedName name="Loan_Years">'[12]Loan Amortization Schedule'!$D$7</definedName>
    <definedName name="ma">'[3]2010 Labor Rates 091130'!$A$174</definedName>
    <definedName name="ma09salary">[3]Salaries!$G$14</definedName>
    <definedName name="ma10salary">[3]Salaries!$K$14</definedName>
    <definedName name="maid">'[3]2010 Labor Rates 091130'!$E$181</definedName>
    <definedName name="maname">[3]Salaries!$A$14</definedName>
    <definedName name="marpto">[3]Vacation!$H$56</definedName>
    <definedName name="maypto">[3]Vacation!$J$56</definedName>
    <definedName name="mb_inputLocation" hidden="1">#REF!</definedName>
    <definedName name="mc09salary">[3]Salaries!$G$27</definedName>
    <definedName name="MerrillPrintIt" hidden="1">[7]!MerrillPrintIt</definedName>
    <definedName name="mf">'[3]2010 Labor Rates 091130'!$A$70</definedName>
    <definedName name="mf09salary">[3]Salaries!$G$9</definedName>
    <definedName name="mf10salary">[3]Salaries!$K$9</definedName>
    <definedName name="mfid">'[3]2010 Labor Rates 091130'!$E$77</definedName>
    <definedName name="mfname">[3]Salaries!$A$9</definedName>
    <definedName name="mg">'[3]2010 Labor Rates 091130'!$A$200</definedName>
    <definedName name="mg09salary">[3]Salaries!$G$16</definedName>
    <definedName name="mg10salary">[3]Salaries!$K$16</definedName>
    <definedName name="mgid">'[3]2010 Labor Rates 091130'!$E$207</definedName>
    <definedName name="mgname">[3]Salaries!$A$16</definedName>
    <definedName name="Mil">#REF!</definedName>
    <definedName name="mp">'[3]2010 Labor Rates 091130'!$A$382</definedName>
    <definedName name="mp09salary">[3]Salaries!$G$28</definedName>
    <definedName name="mp10salary">[3]Salaries!$K$28</definedName>
    <definedName name="mpid">'[3]2010 Labor Rates 091130'!$E$389</definedName>
    <definedName name="mpname">[3]Salaries!$A$28</definedName>
    <definedName name="multiplier">'[3]P&amp;L Assumptions'!$P$40</definedName>
    <definedName name="Name">#REF!</definedName>
    <definedName name="nc">'[10]2010 Labor Rates 091130'!$A$226</definedName>
    <definedName name="ncid">'[10]2010 Labor Rates 091130'!$E$233</definedName>
    <definedName name="New" hidden="1">[7]!ChangeRange</definedName>
    <definedName name="new510salary">[3]Salaries!$K$37</definedName>
    <definedName name="newcsalary">'[3]2010 Labor Rates 091130'!$N$772</definedName>
    <definedName name="newe1">'[10]2010 Labor Rates 091130'!$A$513</definedName>
    <definedName name="newe10">'[10]2010 Labor Rates 091130'!$A$630</definedName>
    <definedName name="newe1010salary">[3]Salaries!$K$42</definedName>
    <definedName name="newe10name">[3]Salaries!$A$42</definedName>
    <definedName name="newe11">'[10]2010 Labor Rates 091130'!$A$643</definedName>
    <definedName name="newe110salary">[3]Salaries!$K$33</definedName>
    <definedName name="newe1110salary">[3]Salaries!$K$43</definedName>
    <definedName name="newe11name">[3]Salaries!$A$43</definedName>
    <definedName name="newe12">'[10]2010 Labor Rates 091130'!$A$656</definedName>
    <definedName name="newe1210salary">[3]Salaries!$K$44</definedName>
    <definedName name="newe12name">[3]Salaries!$A$44</definedName>
    <definedName name="newe1id">'[10]2010 Labor Rates 091130'!$E$520</definedName>
    <definedName name="newe1name">[3]Salaries!$A$33</definedName>
    <definedName name="newe2">'[10]2010 Labor Rates 091130'!$A$526</definedName>
    <definedName name="newe210salary">[3]Salaries!$K$34</definedName>
    <definedName name="newe2id">'[10]2010 Labor Rates 091130'!$E$533</definedName>
    <definedName name="newe2name">[3]Salaries!$A$34</definedName>
    <definedName name="newe3">'[10]2010 Labor Rates 091130'!$A$539</definedName>
    <definedName name="newe310salary">[3]Salaries!$K$35</definedName>
    <definedName name="newe3id">'[10]2010 Labor Rates 091130'!$E$546</definedName>
    <definedName name="newe3name">[3]Salaries!$A$35</definedName>
    <definedName name="newe4">'[10]2010 Labor Rates 091130'!$A$552</definedName>
    <definedName name="newe410salary">[3]Salaries!$K$36</definedName>
    <definedName name="newe4name">[3]Salaries!$A$36</definedName>
    <definedName name="newe5">'[10]2010 Labor Rates 091130'!$A$565</definedName>
    <definedName name="newe510salary">[3]Salaries!$K$37</definedName>
    <definedName name="newe5name">[3]Salaries!$A$37</definedName>
    <definedName name="newe610salary">[3]Salaries!$K$38</definedName>
    <definedName name="newe7">'[10]2010 Labor Rates 091130'!$A$591</definedName>
    <definedName name="newe710salary">[3]Salaries!$K$39</definedName>
    <definedName name="newe7name">[3]Salaries!$A$39</definedName>
    <definedName name="newe8">'[10]2010 Labor Rates 091130'!$A$604</definedName>
    <definedName name="newe810salary">[3]Salaries!$K$40</definedName>
    <definedName name="newe8name">[3]Salaries!$A$40</definedName>
    <definedName name="newe9">'[10]2010 Labor Rates 091130'!$A$617</definedName>
    <definedName name="newe910salary">[3]Salaries!$K$41</definedName>
    <definedName name="newe9name">[3]Salaries!$A$41</definedName>
    <definedName name="newJSECcustomer" localSheetId="8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newJSECcustomer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NewRange" hidden="1">[7]!NewRange</definedName>
    <definedName name="Next_FYE" localSheetId="8">[5]Cover!$F$25</definedName>
    <definedName name="Next_FYE">#REF!</definedName>
    <definedName name="novpto">[3]Vacation!$P$56</definedName>
    <definedName name="NTM_Earnings">#REF!</definedName>
    <definedName name="NTM_EBITDA" localSheetId="8">[5]Model!$U$61:$X$61</definedName>
    <definedName name="NTM_EBITDA">#REF!</definedName>
    <definedName name="NTM_EPS" localSheetId="8">[5]Model!$U$54:$X$54</definedName>
    <definedName name="NTM_EPS">#REF!</definedName>
    <definedName name="Number_of_Payments" localSheetId="8">MATCH(0.01,End_Bal,-1)+1</definedName>
    <definedName name="Number_of_Payments">MATCH(0.01,End_Bal,-1)+1</definedName>
    <definedName name="octpto">[3]Vacation!$O$56</definedName>
    <definedName name="ohtotalbonus">[3]Salaries!$P$68</definedName>
    <definedName name="ok" localSheetId="8" hidden="1">{"Opsys",#N/A,FALSE,"NPV_OPsys";"NT",#N/A,FALSE,"NPV_NT";"DevP",#N/A,FALSE,"NPV_DevPdt";"Office",#N/A,FALSE,"NPV_Office"}</definedName>
    <definedName name="ok" hidden="1">{"Opsys",#N/A,FALSE,"NPV_OPsys";"NT",#N/A,FALSE,"NPV_NT";"DevP",#N/A,FALSE,"NPV_DevPdt";"Office",#N/A,FALSE,"NPV_Office"}</definedName>
    <definedName name="Overhead_Salary">'[11]Pay Roll &amp; Taxes'!$R$68</definedName>
    <definedName name="ovhdrate">'[3]P&amp;L Assumptions'!$M$40</definedName>
    <definedName name="pa">'[3]2010 Labor Rates 091130'!$A$710</definedName>
    <definedName name="pa09salary">[3]Salaries!$G$5</definedName>
    <definedName name="pa10salary">[3]Salaries!$K$5</definedName>
    <definedName name="paid">'[3]2010 Labor Rates 091130'!$E$717</definedName>
    <definedName name="paname">[3]Salaries!$A$5</definedName>
    <definedName name="pasalary">'[3]2010 Labor Rates 091130'!$N$716</definedName>
    <definedName name="Pay_Roll_2011">'[11]Pay Roll &amp; Taxes'!$R$70</definedName>
    <definedName name="Pay_Roll_Taxes">'[11]Pay Roll &amp; Taxes'!$R$123</definedName>
    <definedName name="Payment_Date" localSheetId="8">DATE(YEAR(Loan_Start),MONTH(Loan_Start)+Payment_Number,DAY(Loan_Start))</definedName>
    <definedName name="Payment_Date">DATE(YEAR(Loan_Start),MONTH(Loan_Start)+Payment_Number,DAY(Loan_Start))</definedName>
    <definedName name="PCCnewcustomer" localSheetId="8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PCCnewcustomer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PeerGroup2_Cyclical_Valuation_Data" localSheetId="8">'[5]Multiples Data'!$C$58:$H$70</definedName>
    <definedName name="PeerGroup2_Cyclical_Valuation_Data">#REF!</definedName>
    <definedName name="PeerGroup3_Cyclical_Valuation_Data" localSheetId="8">'[5]Multiples Data'!$C$80:$H$93</definedName>
    <definedName name="PeerGroup3_Cyclical_Valuation_Data">#REF!</definedName>
    <definedName name="Primary_Peer_Cyclical_Valuation_Data" localSheetId="8">'[5]Multiples Data'!$C$36:$H$48</definedName>
    <definedName name="Primary_Peer_Cyclical_Valuation_Data">#REF!</definedName>
    <definedName name="Print_Area_Reset" localSheetId="8">OFFSET(Full_Print,0,0,Last_Row)</definedName>
    <definedName name="Print_Area_Reset">OFFSET(Full_Print,0,0,Last_Row)</definedName>
    <definedName name="qeeee" localSheetId="8" hidden="1">{"Page1",#N/A,FALSE,"CompCo";"Page2",#N/A,FALSE,"CompCo"}</definedName>
    <definedName name="qeeee" hidden="1">{"Page1",#N/A,FALSE,"CompCo";"Page2",#N/A,FALSE,"CompCo"}</definedName>
    <definedName name="qeqe" localSheetId="8" hidden="1">{"Page1",#N/A,FALSE,"CompCo";"Page2",#N/A,FALSE,"CompCo"}</definedName>
    <definedName name="qeqe" hidden="1">{"Page1",#N/A,FALSE,"CompCo";"Page2",#N/A,FALSE,"CompCo"}</definedName>
    <definedName name="qerqwer" localSheetId="8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erqwe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ewqe" localSheetId="8" hidden="1">{"Page1",#N/A,FALSE,"CompCo";"Page2",#N/A,FALSE,"CompCo"}</definedName>
    <definedName name="qewqe" hidden="1">{"Page1",#N/A,FALSE,"CompCo";"Page2",#N/A,FALSE,"CompCo"}</definedName>
    <definedName name="qewrqw" localSheetId="8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qewrqw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qewrqwer" localSheetId="8" hidden="1">{"inputs raw data",#N/A,TRUE,"INPUT"}</definedName>
    <definedName name="qewrqwer" hidden="1">{"inputs raw data",#N/A,TRUE,"INPUT"}</definedName>
    <definedName name="qewrwe" localSheetId="8" hidden="1">{"summary1",#N/A,TRUE,"Comps";"summary2",#N/A,TRUE,"Comps";"summary3",#N/A,TRUE,"Comps"}</definedName>
    <definedName name="qewrwe" hidden="1">{"summary1",#N/A,TRUE,"Comps";"summary2",#N/A,TRUE,"Comps";"summary3",#N/A,TRUE,"Comps"}</definedName>
    <definedName name="qewrwer" localSheetId="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qewrw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qqqq" localSheetId="8" hidden="1">{"multiple",#N/A,FALSE,"client";"margins",#N/A,FALSE,"client";"data",#N/A,FALSE,"client"}</definedName>
    <definedName name="qqqq" hidden="1">{"multiple",#N/A,FALSE,"client";"margins",#N/A,FALSE,"client";"data",#N/A,FALSE,"client"}</definedName>
    <definedName name="question">[9]Sheet2!$D$6:$D$7</definedName>
    <definedName name="qweqe" localSheetId="8" hidden="1">{"multiple",#N/A,FALSE,"client (4)";"margins",#N/A,FALSE,"client (4)";"data",#N/A,FALSE,"client (4)"}</definedName>
    <definedName name="qweqe" hidden="1">{"multiple",#N/A,FALSE,"client (4)";"margins",#N/A,FALSE,"client (4)";"data",#N/A,FALSE,"client (4)"}</definedName>
    <definedName name="rd">'[3]2010 Labor Rates 091130'!$A$434</definedName>
    <definedName name="rd09salary">[3]Salaries!$G$31</definedName>
    <definedName name="rd10salary">[3]Salaries!$K$31</definedName>
    <definedName name="rdid">'[3]2010 Labor Rates 091130'!$E$441</definedName>
    <definedName name="rdname">[3]Salaries!$A$31</definedName>
    <definedName name="reality" localSheetId="8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reality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RedefinePrintTableRange" hidden="1">[7]!RedefinePrintTableRange</definedName>
    <definedName name="ReportGroup" hidden="1">0</definedName>
    <definedName name="Revenue_Data_Summary" localSheetId="8">'[5]Revenue Build'!$C$26:$AG$47</definedName>
    <definedName name="Revenue_Data_Summary">#REF!</definedName>
    <definedName name="Risk_Free_Rate" localSheetId="8">[5]WACC!$G$6</definedName>
    <definedName name="Risk_Free_Ra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Scenarios">#REF!</definedName>
    <definedName name="sddddd" localSheetId="8" hidden="1">{"inputs raw data",#N/A,TRUE,"INPUT"}</definedName>
    <definedName name="sddddd" hidden="1">{"inputs raw data",#N/A,TRUE,"INPUT"}</definedName>
    <definedName name="Segment1_Rev_Methodology" localSheetId="8">'[5]Revenue Build'!$C$9</definedName>
    <definedName name="Segment1_Rev_Methodology">#REF!</definedName>
    <definedName name="Segment2_Rev_Methodology" localSheetId="8">'[5]Revenue Build'!$C$11</definedName>
    <definedName name="Segment2_Rev_Methodology">#REF!</definedName>
    <definedName name="Segment3_Rev_Methodology" localSheetId="8">'[5]Revenue Build'!$C$13</definedName>
    <definedName name="Segment3_Rev_Methodology">#REF!</definedName>
    <definedName name="Segment4_Rev_Methodology" localSheetId="8">'[5]Revenue Build'!$C$15</definedName>
    <definedName name="Segment4_Rev_Methodology">#REF!</definedName>
    <definedName name="Segment5_Rev_Methodology" localSheetId="8">'[5]Revenue Build'!$C$17</definedName>
    <definedName name="Segment5_Rev_Methodology">#REF!</definedName>
    <definedName name="Segment6_Rev_Methodology" localSheetId="8">'[5]Revenue Build'!$C$19</definedName>
    <definedName name="Segment6_Rev_Methodology">#REF!</definedName>
    <definedName name="seppto">[3]Vacation!$N$56</definedName>
    <definedName name="Share_Price" localSheetId="8">[5]Cover!$F$29</definedName>
    <definedName name="Share_Price">Cover!$F$24</definedName>
    <definedName name="Share_Price_High" localSheetId="8">[5]Cover!$F$30</definedName>
    <definedName name="Share_Price_High">#REF!</definedName>
    <definedName name="Share_Price_Low" localSheetId="8">[5]Cover!$F$31</definedName>
    <definedName name="Share_Price_Low">#REF!</definedName>
    <definedName name="sm">'[3]2010 Labor Rates 091130'!$A$44</definedName>
    <definedName name="sm09salary">[3]Salaries!$G$7</definedName>
    <definedName name="sm10salary">[3]Salaries!$K$7</definedName>
    <definedName name="smid">'[3]2010 Labor Rates 091130'!$E$51</definedName>
    <definedName name="smname">[3]Salaries!$A$7</definedName>
    <definedName name="SS_tax_max">'[11]Pay Roll &amp; Taxes'!$B$76</definedName>
    <definedName name="ssssssssssss" localSheetId="8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ssssssssssss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Start_date">#REF!</definedName>
    <definedName name="suckit" hidden="1">#REF!</definedName>
    <definedName name="Tax_Rate" localSheetId="8">[5]Cover!$F$33</definedName>
    <definedName name="Tax_Rate">#REF!</definedName>
    <definedName name="Taylor">'[14]P&amp;L Assumptions'!$A$42:$A$81</definedName>
    <definedName name="temp" localSheetId="8" hidden="1">{"contributory1",#N/A,FALSE,"Contributory Assets Detail";"contributory2",#N/A,FALSE,"Contributory Assets Detail"}</definedName>
    <definedName name="temp" hidden="1">{"contributory1",#N/A,FALSE,"Contributory Assets Detail";"contributory2",#N/A,FALSE,"Contributory Assets Detail"}</definedName>
    <definedName name="th">'[3]2010 Labor Rates 091130'!$A$291</definedName>
    <definedName name="th09salary">[3]Salaries!$G$22</definedName>
    <definedName name="th10salary">[3]Salaries!$K$22</definedName>
    <definedName name="thid">'[3]2010 Labor Rates 091130'!$E$298</definedName>
    <definedName name="thname">[3]Salaries!$A$22</definedName>
    <definedName name="Thou">#REF!</definedName>
    <definedName name="Tick">#REF!</definedName>
    <definedName name="Ticker" localSheetId="8">[5]Cover!$F$20</definedName>
    <definedName name="Ticker" localSheetId="7">#REF!</definedName>
    <definedName name="Ticker">[8]Cover!$F$20</definedName>
    <definedName name="Total_PTO">'[11]Pay Roll &amp; Taxes'!$R$67</definedName>
    <definedName name="utilization_correction_factor">'[11]FY11 CFF - the PLAN'!$X$14</definedName>
    <definedName name="Values_Entered" localSheetId="8">IF(Loan_Amount*Interest_Rate*Loan_Years*Loan_Start&gt;0,1,0)</definedName>
    <definedName name="Values_Entered">IF(Loan_Amount*Interest_Rate*Loan_Years*Loan_Start&gt;0,1,0)</definedName>
    <definedName name="we">'[3]2010 Labor Rates 091130'!$A$265</definedName>
    <definedName name="we09salary">[3]Salaries!$G$20</definedName>
    <definedName name="we10salary">[3]Salaries!$K$20</definedName>
    <definedName name="weeee" localSheetId="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eee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eeee" localSheetId="8" hidden="1">{"multiple",#N/A,FALSE,"client";"margins",#N/A,FALSE,"client";"data",#N/A,FALSE,"client"}</definedName>
    <definedName name="weeeee" hidden="1">{"multiple",#N/A,FALSE,"client";"margins",#N/A,FALSE,"client";"data",#N/A,FALSE,"client"}</definedName>
    <definedName name="wefwaefeaew" localSheetId="8" hidden="1">{"Page1",#N/A,FALSE,"CompCo";"Page2",#N/A,FALSE,"CompCo"}</definedName>
    <definedName name="wefwaefeaew" hidden="1">{"Page1",#N/A,FALSE,"CompCo";"Page2",#N/A,FALSE,"CompCo"}</definedName>
    <definedName name="wefweca" localSheetId="8" hidden="1">{"data",#N/A,FALSE,"client (3)";"margins",#N/A,FALSE,"client (3)";"multiple",#N/A,FALSE,"client (3)"}</definedName>
    <definedName name="wefweca" hidden="1">{"data",#N/A,FALSE,"client (3)";"margins",#N/A,FALSE,"client (3)";"multiple",#N/A,FALSE,"client (3)"}</definedName>
    <definedName name="wefwefe" localSheetId="8" hidden="1">{"multiple",#N/A,FALSE,"client (4)";"margins",#N/A,FALSE,"client (4)";"data",#N/A,FALSE,"client (4)"}</definedName>
    <definedName name="wefwefe" hidden="1">{"multiple",#N/A,FALSE,"client (4)";"margins",#N/A,FALSE,"client (4)";"data",#N/A,FALSE,"client (4)"}</definedName>
    <definedName name="weid">'[3]2010 Labor Rates 091130'!$E$272</definedName>
    <definedName name="Weight_of_Debt" localSheetId="8">[5]WACC!$N$6</definedName>
    <definedName name="Weight_of_Debt">#REF!</definedName>
    <definedName name="Weight_of_Equity">#REF!</definedName>
    <definedName name="Weight_of_Preferred" localSheetId="8">[5]WACC!$N$8</definedName>
    <definedName name="Weight_of_Preferred">#REF!</definedName>
    <definedName name="wename">[3]Salaries!$A$20</definedName>
    <definedName name="wfeawa" localSheetId="8" hidden="1">{"multiple",#N/A,FALSE,"client (4)";"margins",#N/A,FALSE,"client (4)";"data",#N/A,FALSE,"client (4)"}</definedName>
    <definedName name="wfeawa" hidden="1">{"multiple",#N/A,FALSE,"client (4)";"margins",#N/A,FALSE,"client (4)";"data",#N/A,FALSE,"client (4)"}</definedName>
    <definedName name="wrn.client." localSheetId="8" hidden="1">{"multiple",#N/A,FALSE,"client";"margins",#N/A,FALSE,"client";"data",#N/A,FALSE,"client"}</definedName>
    <definedName name="wrn.client." hidden="1">{"multiple",#N/A,FALSE,"client";"margins",#N/A,FALSE,"client";"data",#N/A,FALSE,"client"}</definedName>
    <definedName name="wrn.Client3." localSheetId="8" hidden="1">{"data",#N/A,FALSE,"client (3)";"margins",#N/A,FALSE,"client (3)";"multiple",#N/A,FALSE,"client (3)"}</definedName>
    <definedName name="wrn.Client3." hidden="1">{"data",#N/A,FALSE,"client (3)";"margins",#N/A,FALSE,"client (3)";"multiple",#N/A,FALSE,"client (3)"}</definedName>
    <definedName name="wrn.client4." localSheetId="8" hidden="1">{"multiple",#N/A,FALSE,"client (4)";"margins",#N/A,FALSE,"client (4)";"data",#N/A,FALSE,"client (4)"}</definedName>
    <definedName name="wrn.client4." hidden="1">{"multiple",#N/A,FALSE,"client (4)";"margins",#N/A,FALSE,"client (4)";"data",#N/A,FALSE,"client (4)"}</definedName>
    <definedName name="wrn.COMPCO." localSheetId="8" hidden="1">{"Page1",#N/A,FALSE,"CompCo";"Page2",#N/A,FALSE,"CompCo"}</definedName>
    <definedName name="wrn.COMPCO." hidden="1">{"Page1",#N/A,FALSE,"CompCo";"Page2",#N/A,FALSE,"CompCo"}</definedName>
    <definedName name="wrn.COMPCo1." localSheetId="8" hidden="1">{"Page1",#N/A,FALSE,"CompCo";"Page2",#N/A,FALSE,"CompCo"}</definedName>
    <definedName name="wrn.COMPCo1." hidden="1">{"Page1",#N/A,FALSE,"CompCo";"Page2",#N/A,FALSE,"CompCo"}</definedName>
    <definedName name="wrn.COMPCO3." localSheetId="8" hidden="1">{"Page1",#N/A,FALSE,"CompCo";"Page2",#N/A,FALSE,"CompCo"}</definedName>
    <definedName name="wrn.COMPCO3." hidden="1">{"Page1",#N/A,FALSE,"CompCo";"Page2",#N/A,FALSE,"CompCo"}</definedName>
    <definedName name="wrn.contributory._.asset._.charges." localSheetId="8" hidden="1">{"contributory1",#N/A,FALSE,"Contributory Assets Detail";"contributory2",#N/A,FALSE,"Contributory Assets Detail"}</definedName>
    <definedName name="wrn.contributory._.asset._.charges." hidden="1">{"contributory1",#N/A,FALSE,"Contributory Assets Detail";"contributory2",#N/A,FALSE,"Contributory Assets Detail"}</definedName>
    <definedName name="wrn.Customer_base." localSheetId="8" hidden="1">{"customer base",#N/A,FALSE,"customer_base";"customer base perf estimates",#N/A,FALSE,"customer_base"}</definedName>
    <definedName name="wrn.Customer_base." hidden="1">{"customer base",#N/A,FALSE,"customer_base";"customer base perf estimates",#N/A,FALSE,"customer_base"}</definedName>
    <definedName name="wrn.DCF." localSheetId="8" hidden="1">{#N/A,#N/A,FALSE,"DCF Cov";#N/A,#N/A,FALSE,"dcf"}</definedName>
    <definedName name="wrn.DCF." hidden="1">{#N/A,#N/A,FALSE,"DCF Cov";#N/A,#N/A,FALSE,"dcf"}</definedName>
    <definedName name="wrn.documentation." localSheetId="8" hidden="1">{"documentation1",#N/A,FALSE,"Documentation";"documentation2",#N/A,FALSE,"Documentation"}</definedName>
    <definedName name="wrn.documentation." hidden="1">{"documentation1",#N/A,FALSE,"Documentation";"documentation2",#N/A,FALSE,"Documentation"}</definedName>
    <definedName name="wrn.Fcst._.by._.Mon." localSheetId="8" hidden="1">{"Fcst by Mon Full",#N/A,FALSE,"Tot PalmPalm";"Fcst by Mon Full",#N/A,FALSE,"Tot Device";"Fcst by Mon Full",#N/A,FALSE,"Platform";"Fcst by Mon Full",#N/A,FALSE,"Palm.Net";"Fcst by Mon Full",#N/A,FALSE,"Elim"}</definedName>
    <definedName name="wrn.Fcst._.by._.Mon." hidden="1">{"Fcst by Mon Full",#N/A,FALSE,"Tot PalmPalm";"Fcst by Mon Full",#N/A,FALSE,"Tot Device";"Fcst by Mon Full",#N/A,FALSE,"Platform";"Fcst by Mon Full",#N/A,FALSE,"Palm.Net";"Fcst by Mon Full",#N/A,FALSE,"Elim"}</definedName>
    <definedName name="wrn.Fcst._.by._.Qtr." localSheetId="8" hidden="1">{"Fcst by Qtr Full",#N/A,FALSE,"Tot PalmPalm";"Fcst by Qtr Full",#N/A,FALSE,"Tot Device";"Fcst by Qtr Full",#N/A,FALSE,"Platform";"Fcst by Qtr Full",#N/A,FALSE,"Palm.Net";"Fcst by Qtr Full",#N/A,FALSE,"Elim"}</definedName>
    <definedName name="wrn.Fcst._.by._.Qtr." hidden="1">{"Fcst by Qtr Full",#N/A,FALSE,"Tot PalmPalm";"Fcst by Qtr Full",#N/A,FALSE,"Tot Device";"Fcst by Qtr Full",#N/A,FALSE,"Platform";"Fcst by Qtr Full",#N/A,FALSE,"Palm.Net";"Fcst by Qtr Full",#N/A,FALSE,"Elim"}</definedName>
    <definedName name="wrn.Full._.Model." localSheetId="8" hidden="1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wrn.Full._.Model." hidden="1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wrn.Full._.report." localSheetId="8" hidden="1">{"multiple",#N/A,FALSE,"client (2)";"margins",#N/A,FALSE,"client (2)";"data",#N/A,FALSE,"client (2)";"multiple",#N/A,FALSE,"client";"margins",#N/A,FALSE,"client";"data",#N/A,FALSE,"client"}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LBO." localSheetId="8" hidden="1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wrn.LBO." hidden="1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wrn.Olk._.by._.Qtr." localSheetId="8" hidden="1">{"Olk by Qtr Full",#N/A,FALSE,"Tot PalmPalm";"Olk by Qtr Full",#N/A,FALSE,"Tot Device";"Olk by Qtr Full",#N/A,FALSE,"Platform";"Olk by Qtr Full",#N/A,FALSE,"Palm.Net";"Olk by Qtr Full",#N/A,FALSE,"Elim"}</definedName>
    <definedName name="wrn.Olk._.by._.Qtr." hidden="1">{"Olk by Qtr Full",#N/A,FALSE,"Tot PalmPalm";"Olk by Qtr Full",#N/A,FALSE,"Tot Device";"Olk by Qtr Full",#N/A,FALSE,"Platform";"Olk by Qtr Full",#N/A,FALSE,"Palm.Net";"Olk by Qtr Full",#N/A,FALSE,"Elim"}</definedName>
    <definedName name="wrn.Print." localSheetId="8" hidden="1">{"vi1",#N/A,FALSE,"Financial Statements";"vi2",#N/A,FALSE,"Financial Statements";#N/A,#N/A,FALSE,"DCF"}</definedName>
    <definedName name="wrn.Print." hidden="1">{"vi1",#N/A,FALSE,"Financial Statements";"vi2",#N/A,FALSE,"Financial Statements";#N/A,#N/A,FALSE,"DCF"}</definedName>
    <definedName name="wrn.print._.all._.sheets." localSheetId="8" hidden="1">{"summary1",#N/A,FALSE,"Summary of Values";"developed valuation",#N/A,FALSE,"Valuation Analysis";"inprocess valuation",#N/A,FALSE,"Valuation Analysis";"trademark1",#N/A,FALSE,"Trademark(s) and Trade Name(s)";"developed income statement",#N/A,FALSE,"Abbreviated Income Statement";"inprocess income statement",#N/A,FALSE,"Abbreviated Income Statement";"revenue detail 1",#N/A,FALSE,"Revenue Detail";"revenue detail 2",#N/A,FALSE,"Revenue Detail";"revenue detail 3",#N/A,FALSE,"Revenue Detail";"revenue detail 4",#N/A,FALSE,"Revenue Detail";"contributory1",#N/A,FALSE,"Contributory Assets Detail";"contributory2",#N/A,FALSE,"Contributory Assets Detail";"weighted average returns",#N/A,FALSE,"WACC and WARA";"fixed asset detail",#N/A,FALSE,"Fixed Asset Detail";"customer base",#N/A,FALSE,"customer_base";"customer base perf estimates",#N/A,FALSE,"customer_base"}</definedName>
    <definedName name="wrn.print._.all._.sheets." hidden="1">{"summary1",#N/A,FALSE,"Summary of Values";"developed valuation",#N/A,FALSE,"Valuation Analysis";"inprocess valuation",#N/A,FALSE,"Valuation Analysis";"trademark1",#N/A,FALSE,"Trademark(s) and Trade Name(s)";"developed income statement",#N/A,FALSE,"Abbreviated Income Statement";"inprocess income statement",#N/A,FALSE,"Abbreviated Income Statement";"revenue detail 1",#N/A,FALSE,"Revenue Detail";"revenue detail 2",#N/A,FALSE,"Revenue Detail";"revenue detail 3",#N/A,FALSE,"Revenue Detail";"revenue detail 4",#N/A,FALSE,"Revenue Detail";"contributory1",#N/A,FALSE,"Contributory Assets Detail";"contributory2",#N/A,FALSE,"Contributory Assets Detail";"weighted average returns",#N/A,FALSE,"WACC and WARA";"fixed asset detail",#N/A,FALSE,"Fixed Asset Detail";"customer base",#N/A,FALSE,"customer_base";"customer base perf estimates",#N/A,FALSE,"customer_base"}</definedName>
    <definedName name="wrn.Print._.Disk." localSheetId="8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Disk.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graphs." localSheetId="8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8" hidden="1">{"inputs raw data",#N/A,TRUE,"INPUT"}</definedName>
    <definedName name="wrn.print._.raw._.data._.entry." hidden="1">{"inputs raw data",#N/A,TRUE,"INPUT"}</definedName>
    <definedName name="wrn.print._.summary._.sheets." localSheetId="8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Relevant." localSheetId="8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8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venue._.detail." localSheetId="8" hidden="1">{"revenue detail 1",#N/A,FALSE,"Revenue Detail";"revenue detail 2",#N/A,FALSE,"Revenue Detail";"revenue detail 3",#N/A,FALSE,"Revenue Detail";"revenue detail 4",#N/A,FALSE,"Revenue Detail"}</definedName>
    <definedName name="wrn.revenue._.detail." hidden="1">{"revenue detail 1",#N/A,FALSE,"Revenue Detail";"revenue detail 2",#N/A,FALSE,"Revenue Detail";"revenue detail 3",#N/A,FALSE,"Revenue Detail";"revenue detail 4",#N/A,FALSE,"Revenue Detail"}</definedName>
    <definedName name="wrn.Revs." localSheetId="8" hidden="1">{"Base_rev",#N/A,FALSE,"Proj_IS_Base";"Projrev",#N/A,FALSE,"Proj_IS_wOTLC";"Delta",#N/A,FALSE,"Delta Rev_PV"}</definedName>
    <definedName name="wrn.Revs." hidden="1">{"Base_rev",#N/A,FALSE,"Proj_IS_Base";"Projrev",#N/A,FALSE,"Proj_IS_wOTLC";"Delta",#N/A,FALSE,"Delta Rev_PV"}</definedName>
    <definedName name="wrn.Riverwood_comp_model." localSheetId="8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sum." localSheetId="8" hidden="1">{"Opsys",#N/A,FALSE,"NPV_OPsys";"NT",#N/A,FALSE,"NPV_NT";"DevP",#N/A,FALSE,"NPV_DevPdt";"Office",#N/A,FALSE,"NPV_Office"}</definedName>
    <definedName name="wrn.sum." hidden="1">{"Opsys",#N/A,FALSE,"NPV_OPsys";"NT",#N/A,FALSE,"NPV_NT";"DevP",#N/A,FALSE,"NPV_DevPdt";"Office",#N/A,FALSE,"NPV_Office"}</definedName>
    <definedName name="wrn.summary._.schedules." localSheetId="8" hidden="1">{"summary1",#N/A,FALSE,"Summary of Values";"summary2",#N/A,FALSE,"Summary of Values"}</definedName>
    <definedName name="wrn.summary._.schedules." hidden="1">{"summary1",#N/A,FALSE,"Summary of Values";"summary2",#N/A,FALSE,"Summary of Values"}</definedName>
    <definedName name="wrn.technology." localSheetId="8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rademark._.and._.trade._.name." localSheetId="8" hidden="1">{"trademark1",#N/A,FALSE,"Trademark(s) and Trade Name(s)"}</definedName>
    <definedName name="wrn.trademark._.and._.trade._.name." hidden="1">{"trademark1",#N/A,FALSE,"Trademark(s) and Trade Name(s)"}</definedName>
    <definedName name="wrn.wara." localSheetId="8" hidden="1">{"weighted average returns",#N/A,FALSE,"WACC and WARA"}</definedName>
    <definedName name="wrn.wara." hidden="1">{"weighted average returns",#N/A,FALSE,"WACC and WARA"}</definedName>
    <definedName name="wrn.work._.paper._.shcedules." localSheetId="8" hidden="1">{"summary1",#N/A,FALSE,"Summary of Values";"summary2",#N/A,FALSE,"Summary of Values";"weighted average returns",#N/A,FALSE,"WACC and WARA";"fixed asset detail",#N/A,FALSE,"Fixed Asset Detail"}</definedName>
    <definedName name="wrn.work._.paper._.shcedules." hidden="1">{"summary1",#N/A,FALSE,"Summary of Values";"summary2",#N/A,FALSE,"Summary of Values";"weighted average returns",#N/A,FALSE,"WACC and WARA";"fixed asset detail",#N/A,FALSE,"Fixed Asset Detail"}</definedName>
    <definedName name="wt09salary">[3]Salaries!$G$32</definedName>
    <definedName name="wt10salary">[3]Salaries!$K$32</definedName>
    <definedName name="wtid">'[3]2010 Labor Rates 091130'!$E$735</definedName>
    <definedName name="wvu.inputs._.raw._.data." localSheetId="8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8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8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.Rele" localSheetId="8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x" localSheetId="8" hidden="1">{"contributory1",#N/A,FALSE,"Contributory Assets Detail";"contributory2",#N/A,FALSE,"Contributory Assets Detail"}</definedName>
    <definedName name="x" hidden="1">{"contributory1",#N/A,FALSE,"Contributory Assets Detail";"contributory2",#N/A,FALSE,"Contributory Assets Detail"}</definedName>
    <definedName name="xxx" localSheetId="8" hidden="1">{"summary1",#N/A,FALSE,"Summary of Values";"developed valuation",#N/A,FALSE,"Valuation Analysis";"inprocess valuation",#N/A,FALSE,"Valuation Analysis";"trademark1",#N/A,FALSE,"Trademark(s) and Trade Name(s)";"developed income statement",#N/A,FALSE,"Abbreviated Income Statement";"inprocess income statement",#N/A,FALSE,"Abbreviated Income Statement";"revenue detail 1",#N/A,FALSE,"Revenue Detail";"revenue detail 2",#N/A,FALSE,"Revenue Detail";"revenue detail 3",#N/A,FALSE,"Revenue Detail";"revenue detail 4",#N/A,FALSE,"Revenue Detail";"contributory1",#N/A,FALSE,"Contributory Assets Detail";"contributory2",#N/A,FALSE,"Contributory Assets Detail";"weighted average returns",#N/A,FALSE,"WACC and WARA";"fixed asset detail",#N/A,FALSE,"Fixed Asset Detail";"customer base",#N/A,FALSE,"customer_base";"customer base perf estimates",#N/A,FALSE,"customer_base"}</definedName>
    <definedName name="xxx" hidden="1">{"summary1",#N/A,FALSE,"Summary of Values";"developed valuation",#N/A,FALSE,"Valuation Analysis";"inprocess valuation",#N/A,FALSE,"Valuation Analysis";"trademark1",#N/A,FALSE,"Trademark(s) and Trade Name(s)";"developed income statement",#N/A,FALSE,"Abbreviated Income Statement";"inprocess income statement",#N/A,FALSE,"Abbreviated Income Statement";"revenue detail 1",#N/A,FALSE,"Revenue Detail";"revenue detail 2",#N/A,FALSE,"Revenue Detail";"revenue detail 3",#N/A,FALSE,"Revenue Detail";"revenue detail 4",#N/A,FALSE,"Revenue Detail";"contributory1",#N/A,FALSE,"Contributory Assets Detail";"contributory2",#N/A,FALSE,"Contributory Assets Detail";"weighted average returns",#N/A,FALSE,"WACC and WARA";"fixed asset detail",#N/A,FALSE,"Fixed Asset Detail";"customer base",#N/A,FALSE,"customer_base";"customer base perf estimates",#N/A,FALSE,"customer_base"}</definedName>
    <definedName name="yale" localSheetId="8" hidden="1">{"Opsys",#N/A,FALSE,"NPV_OPsys";"NT",#N/A,FALSE,"NPV_NT";"DevP",#N/A,FALSE,"NPV_DevPdt";"Office",#N/A,FALSE,"NPV_Office"}</definedName>
    <definedName name="yale" hidden="1">{"Opsys",#N/A,FALSE,"NPV_OPsys";"NT",#N/A,FALSE,"NPV_NT";"DevP",#N/A,FALSE,"NPV_DevPdt";"Office",#N/A,FALSE,"NPV_Office"}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6" i="17" l="1"/>
  <c r="AF91" i="16"/>
  <c r="AE91" i="16"/>
  <c r="AD91" i="16"/>
  <c r="AF89" i="16"/>
  <c r="AE89" i="16"/>
  <c r="AD89" i="16"/>
  <c r="AE69" i="16"/>
  <c r="AF69" i="16"/>
  <c r="AE71" i="16"/>
  <c r="AF71" i="16"/>
  <c r="AD71" i="16"/>
  <c r="AD69" i="16"/>
  <c r="AE62" i="16"/>
  <c r="AF62" i="16"/>
  <c r="AE64" i="16"/>
  <c r="AF64" i="16"/>
  <c r="AD64" i="16"/>
  <c r="AD62" i="16"/>
  <c r="AE49" i="16"/>
  <c r="AF49" i="16"/>
  <c r="AE51" i="16"/>
  <c r="AF51" i="16"/>
  <c r="AD51" i="16"/>
  <c r="AD49" i="16"/>
  <c r="AF45" i="16"/>
  <c r="AF43" i="16"/>
  <c r="AE43" i="16"/>
  <c r="AE45" i="16"/>
  <c r="AD45" i="16"/>
  <c r="AD43" i="16"/>
  <c r="AE37" i="16"/>
  <c r="AF37" i="16"/>
  <c r="AE39" i="16"/>
  <c r="AF39" i="16"/>
  <c r="AD39" i="16"/>
  <c r="AD37" i="16"/>
  <c r="AF32" i="16"/>
  <c r="AE32" i="16"/>
  <c r="AF24" i="16"/>
  <c r="AF26" i="16"/>
  <c r="AE24" i="16"/>
  <c r="AE26" i="16"/>
  <c r="AD26" i="16"/>
  <c r="AD24" i="16"/>
  <c r="AE18" i="16"/>
  <c r="AF18" i="16"/>
  <c r="AE20" i="16"/>
  <c r="AF20" i="16"/>
  <c r="AD20" i="16"/>
  <c r="AD18" i="16"/>
  <c r="AE12" i="16"/>
  <c r="AF12" i="16"/>
  <c r="AE14" i="16"/>
  <c r="AF14" i="16"/>
  <c r="AD14" i="16"/>
  <c r="AD12" i="16"/>
  <c r="AC77" i="17"/>
  <c r="X77" i="17"/>
  <c r="AB73" i="17"/>
  <c r="AA73" i="17"/>
  <c r="Z73" i="17"/>
  <c r="Y73" i="17"/>
  <c r="AF88" i="16"/>
  <c r="AF73" i="17" s="1"/>
  <c r="AE88" i="16"/>
  <c r="AE73" i="17" s="1"/>
  <c r="AD88" i="16"/>
  <c r="AD73" i="17" s="1"/>
  <c r="AB88" i="16"/>
  <c r="AA88" i="16"/>
  <c r="Z88" i="16"/>
  <c r="Y88" i="16"/>
  <c r="V88" i="16"/>
  <c r="V73" i="17" s="1"/>
  <c r="U88" i="16"/>
  <c r="U73" i="17" s="1"/>
  <c r="W88" i="16"/>
  <c r="W73" i="17"/>
  <c r="AB91" i="16"/>
  <c r="AA91" i="16"/>
  <c r="Z91" i="16"/>
  <c r="Y91" i="16"/>
  <c r="AB89" i="16"/>
  <c r="AA89" i="16"/>
  <c r="Z89" i="16"/>
  <c r="Y89" i="16"/>
  <c r="U89" i="16"/>
  <c r="V89" i="16"/>
  <c r="W89" i="16"/>
  <c r="U91" i="16"/>
  <c r="V91" i="16"/>
  <c r="W91" i="16"/>
  <c r="Q87" i="16"/>
  <c r="K87" i="16"/>
  <c r="J87" i="16"/>
  <c r="F87" i="16"/>
  <c r="G87" i="16"/>
  <c r="H87" i="16"/>
  <c r="E87" i="16"/>
  <c r="AB71" i="16"/>
  <c r="AA71" i="16"/>
  <c r="Z71" i="16"/>
  <c r="Y71" i="16"/>
  <c r="AB69" i="16"/>
  <c r="AA69" i="16"/>
  <c r="Z69" i="16"/>
  <c r="Y69" i="16"/>
  <c r="U69" i="16"/>
  <c r="V69" i="16"/>
  <c r="W69" i="16"/>
  <c r="U71" i="16"/>
  <c r="V71" i="16"/>
  <c r="W71" i="16"/>
  <c r="T69" i="16"/>
  <c r="T71" i="16"/>
  <c r="Q60" i="16"/>
  <c r="P60" i="16"/>
  <c r="O60" i="16"/>
  <c r="L60" i="16"/>
  <c r="K60" i="16"/>
  <c r="J60" i="16"/>
  <c r="F60" i="16"/>
  <c r="G60" i="16"/>
  <c r="H60" i="16"/>
  <c r="E60" i="16"/>
  <c r="B60" i="16"/>
  <c r="R34" i="17"/>
  <c r="R60" i="16" s="1"/>
  <c r="M34" i="17"/>
  <c r="M60" i="16" s="1"/>
  <c r="AB64" i="16"/>
  <c r="AA64" i="16"/>
  <c r="Z64" i="16"/>
  <c r="Y64" i="16"/>
  <c r="AB62" i="16"/>
  <c r="AA62" i="16"/>
  <c r="Z62" i="16"/>
  <c r="Y62" i="16"/>
  <c r="U62" i="16"/>
  <c r="V62" i="16"/>
  <c r="W62" i="16"/>
  <c r="U64" i="16"/>
  <c r="V64" i="16"/>
  <c r="W64" i="16"/>
  <c r="T64" i="16"/>
  <c r="T62" i="16"/>
  <c r="AB51" i="16"/>
  <c r="AA51" i="16"/>
  <c r="Z51" i="16"/>
  <c r="Y51" i="16"/>
  <c r="AB49" i="16"/>
  <c r="AA49" i="16"/>
  <c r="Z49" i="16"/>
  <c r="Y49" i="16"/>
  <c r="U51" i="16"/>
  <c r="V51" i="16"/>
  <c r="W51" i="16"/>
  <c r="U49" i="16"/>
  <c r="V49" i="16"/>
  <c r="W49" i="16"/>
  <c r="T51" i="16"/>
  <c r="T49" i="16"/>
  <c r="AB45" i="16"/>
  <c r="AA45" i="16"/>
  <c r="Z45" i="16"/>
  <c r="Y45" i="16"/>
  <c r="AB43" i="16"/>
  <c r="AA43" i="16"/>
  <c r="Z43" i="16"/>
  <c r="Y43" i="16"/>
  <c r="U45" i="16"/>
  <c r="V45" i="16"/>
  <c r="W45" i="16"/>
  <c r="U43" i="16"/>
  <c r="V43" i="16"/>
  <c r="W43" i="16"/>
  <c r="T45" i="16"/>
  <c r="T43" i="16"/>
  <c r="AB39" i="16"/>
  <c r="AA39" i="16"/>
  <c r="Z39" i="16"/>
  <c r="Y39" i="16"/>
  <c r="AB37" i="16"/>
  <c r="AA37" i="16"/>
  <c r="Z37" i="16"/>
  <c r="Y37" i="16"/>
  <c r="U39" i="16"/>
  <c r="U37" i="16"/>
  <c r="V39" i="16"/>
  <c r="W39" i="16"/>
  <c r="V37" i="16"/>
  <c r="W37" i="16"/>
  <c r="T39" i="16"/>
  <c r="T37" i="16"/>
  <c r="AB26" i="16"/>
  <c r="AA26" i="16"/>
  <c r="Z26" i="16"/>
  <c r="AB24" i="16"/>
  <c r="AA24" i="16"/>
  <c r="Z24" i="16"/>
  <c r="T18" i="16"/>
  <c r="T20" i="16"/>
  <c r="Z20" i="16"/>
  <c r="AA20" i="16"/>
  <c r="AB20" i="16"/>
  <c r="Z18" i="16"/>
  <c r="AA18" i="16"/>
  <c r="AB18" i="16"/>
  <c r="Y20" i="16"/>
  <c r="Y18" i="16"/>
  <c r="Y26" i="16"/>
  <c r="Y24" i="16"/>
  <c r="V26" i="16"/>
  <c r="W26" i="16"/>
  <c r="V24" i="16"/>
  <c r="W24" i="16"/>
  <c r="U26" i="16"/>
  <c r="U24" i="16"/>
  <c r="T26" i="16"/>
  <c r="T24" i="16"/>
  <c r="U18" i="16"/>
  <c r="V18" i="16"/>
  <c r="W18" i="16"/>
  <c r="U20" i="16"/>
  <c r="V20" i="16"/>
  <c r="W20" i="16"/>
  <c r="Z12" i="16"/>
  <c r="AA12" i="16"/>
  <c r="AB12" i="16"/>
  <c r="Z14" i="16"/>
  <c r="AA14" i="16"/>
  <c r="AB14" i="16"/>
  <c r="Y14" i="16"/>
  <c r="Y12" i="16"/>
  <c r="T12" i="16"/>
  <c r="V14" i="16"/>
  <c r="W14" i="16"/>
  <c r="V12" i="16"/>
  <c r="W12" i="16"/>
  <c r="U14" i="16"/>
  <c r="U12" i="16"/>
  <c r="T14" i="16"/>
  <c r="AD49" i="6"/>
  <c r="AD43" i="6"/>
  <c r="AD37" i="6"/>
  <c r="AD36" i="6" s="1"/>
  <c r="AD31" i="6"/>
  <c r="AD30" i="6" s="1"/>
  <c r="AD25" i="6"/>
  <c r="AD47" i="6"/>
  <c r="AD44" i="6"/>
  <c r="AD23" i="6"/>
  <c r="AD24" i="6"/>
  <c r="AD26" i="6"/>
  <c r="U42" i="6"/>
  <c r="I77" i="17"/>
  <c r="Q39" i="17"/>
  <c r="Q38" i="17"/>
  <c r="P39" i="17"/>
  <c r="P87" i="16" s="1"/>
  <c r="P38" i="17"/>
  <c r="O39" i="17"/>
  <c r="O87" i="16" s="1"/>
  <c r="O38" i="17"/>
  <c r="L39" i="17"/>
  <c r="M39" i="17" s="1"/>
  <c r="M87" i="16" s="1"/>
  <c r="L38" i="17"/>
  <c r="J38" i="17"/>
  <c r="M38" i="17" s="1"/>
  <c r="H39" i="17"/>
  <c r="H38" i="17"/>
  <c r="E40" i="17"/>
  <c r="H40" i="17" s="1"/>
  <c r="S77" i="17"/>
  <c r="N77" i="17"/>
  <c r="I87" i="16" l="1"/>
  <c r="L87" i="16"/>
  <c r="N87" i="16" s="1"/>
  <c r="AD50" i="6"/>
  <c r="AD48" i="6"/>
  <c r="AD41" i="6"/>
  <c r="AD42" i="6"/>
  <c r="AD35" i="6"/>
  <c r="AD38" i="6"/>
  <c r="AD29" i="6"/>
  <c r="AD32" i="6"/>
  <c r="R39" i="17"/>
  <c r="R87" i="16" s="1"/>
  <c r="S87" i="16" s="1"/>
  <c r="R38" i="17"/>
  <c r="R67" i="16" s="1"/>
  <c r="AF74" i="16"/>
  <c r="AE74" i="16"/>
  <c r="AD74" i="16"/>
  <c r="AF80" i="16"/>
  <c r="AE80" i="16"/>
  <c r="AE71" i="17" s="1"/>
  <c r="AD80" i="16"/>
  <c r="AF68" i="16"/>
  <c r="AE68" i="16"/>
  <c r="AE69" i="17" s="1"/>
  <c r="AD68" i="16"/>
  <c r="AD69" i="17" s="1"/>
  <c r="AF61" i="16"/>
  <c r="AF66" i="17" s="1"/>
  <c r="AE61" i="16"/>
  <c r="AE66" i="17" s="1"/>
  <c r="AD61" i="16"/>
  <c r="AF54" i="16"/>
  <c r="AF64" i="17" s="1"/>
  <c r="AE54" i="16"/>
  <c r="AE64" i="17" s="1"/>
  <c r="AD54" i="16"/>
  <c r="AD64" i="17" s="1"/>
  <c r="AF48" i="16"/>
  <c r="AF63" i="17" s="1"/>
  <c r="AE48" i="16"/>
  <c r="AE63" i="17" s="1"/>
  <c r="AD48" i="16"/>
  <c r="AD63" i="17" s="1"/>
  <c r="AF42" i="16"/>
  <c r="AF62" i="17" s="1"/>
  <c r="AE42" i="16"/>
  <c r="AE62" i="17" s="1"/>
  <c r="AD42" i="16"/>
  <c r="AD62" i="17" s="1"/>
  <c r="AF36" i="16"/>
  <c r="AF61" i="17" s="1"/>
  <c r="AE36" i="16"/>
  <c r="AE61" i="17" s="1"/>
  <c r="AD36" i="16"/>
  <c r="AD61" i="17" s="1"/>
  <c r="AF29" i="16"/>
  <c r="AE29" i="16"/>
  <c r="AD29" i="16"/>
  <c r="AD58" i="17" s="1"/>
  <c r="AF23" i="16"/>
  <c r="AF57" i="17" s="1"/>
  <c r="AE23" i="16"/>
  <c r="AE57" i="17" s="1"/>
  <c r="AD23" i="16"/>
  <c r="AD57" i="17" s="1"/>
  <c r="AF17" i="16"/>
  <c r="AF54" i="17" s="1"/>
  <c r="AE17" i="16"/>
  <c r="AE54" i="17" s="1"/>
  <c r="AD17" i="16"/>
  <c r="AD54" i="17" s="1"/>
  <c r="AF11" i="16"/>
  <c r="AF53" i="17" s="1"/>
  <c r="AE11" i="16"/>
  <c r="AE53" i="17" s="1"/>
  <c r="AD11" i="16"/>
  <c r="AB80" i="16"/>
  <c r="AA80" i="16"/>
  <c r="Z80" i="16"/>
  <c r="Y80" i="16"/>
  <c r="Y71" i="17" s="1"/>
  <c r="AB74" i="16"/>
  <c r="AB70" i="17" s="1"/>
  <c r="AA74" i="16"/>
  <c r="AA70" i="17" s="1"/>
  <c r="Z74" i="16"/>
  <c r="Z70" i="17" s="1"/>
  <c r="Y74" i="16"/>
  <c r="Y70" i="17" s="1"/>
  <c r="AB68" i="16"/>
  <c r="AB69" i="17" s="1"/>
  <c r="AA68" i="16"/>
  <c r="AA69" i="17" s="1"/>
  <c r="Z68" i="16"/>
  <c r="Z69" i="17" s="1"/>
  <c r="Y68" i="16"/>
  <c r="Y69" i="17" s="1"/>
  <c r="AB61" i="16"/>
  <c r="AB66" i="17" s="1"/>
  <c r="AA61" i="16"/>
  <c r="AA66" i="17" s="1"/>
  <c r="Z61" i="16"/>
  <c r="Z66" i="17" s="1"/>
  <c r="Y61" i="16"/>
  <c r="AB54" i="16"/>
  <c r="AA54" i="16"/>
  <c r="AA64" i="17" s="1"/>
  <c r="Z54" i="16"/>
  <c r="Y54" i="16"/>
  <c r="Y64" i="17" s="1"/>
  <c r="AB48" i="16"/>
  <c r="AB63" i="17" s="1"/>
  <c r="AA48" i="16"/>
  <c r="AA63" i="17" s="1"/>
  <c r="Z48" i="16"/>
  <c r="Z63" i="17" s="1"/>
  <c r="Y48" i="16"/>
  <c r="Y63" i="17" s="1"/>
  <c r="AB42" i="16"/>
  <c r="AB62" i="17" s="1"/>
  <c r="AA42" i="16"/>
  <c r="AA62" i="17" s="1"/>
  <c r="Z42" i="16"/>
  <c r="Z62" i="17" s="1"/>
  <c r="Y42" i="16"/>
  <c r="Y62" i="17" s="1"/>
  <c r="AB36" i="16"/>
  <c r="AB61" i="17" s="1"/>
  <c r="AA36" i="16"/>
  <c r="AA61" i="17" s="1"/>
  <c r="Z36" i="16"/>
  <c r="Z61" i="17" s="1"/>
  <c r="Y36" i="16"/>
  <c r="Y61" i="17" s="1"/>
  <c r="AB29" i="16"/>
  <c r="AB58" i="17" s="1"/>
  <c r="AC58" i="17" s="1"/>
  <c r="AA29" i="16"/>
  <c r="AA58" i="17" s="1"/>
  <c r="Z29" i="16"/>
  <c r="Z58" i="17" s="1"/>
  <c r="Y29" i="16"/>
  <c r="Y58" i="17" s="1"/>
  <c r="AB23" i="16"/>
  <c r="AB57" i="17" s="1"/>
  <c r="AA23" i="16"/>
  <c r="AA57" i="17" s="1"/>
  <c r="Z23" i="16"/>
  <c r="Z57" i="17" s="1"/>
  <c r="Y23" i="16"/>
  <c r="AB17" i="16"/>
  <c r="AB54" i="17" s="1"/>
  <c r="AA17" i="16"/>
  <c r="AA54" i="17" s="1"/>
  <c r="Z17" i="16"/>
  <c r="Z54" i="17" s="1"/>
  <c r="Y17" i="16"/>
  <c r="Y54" i="17" s="1"/>
  <c r="AB11" i="16"/>
  <c r="AB53" i="17" s="1"/>
  <c r="AA11" i="16"/>
  <c r="AA53" i="17" s="1"/>
  <c r="Z11" i="16"/>
  <c r="Z53" i="17" s="1"/>
  <c r="Y11" i="16"/>
  <c r="U11" i="16"/>
  <c r="V11" i="16"/>
  <c r="V53" i="17" s="1"/>
  <c r="W11" i="16"/>
  <c r="W53" i="17" s="1"/>
  <c r="U17" i="16"/>
  <c r="U54" i="17" s="1"/>
  <c r="V17" i="16"/>
  <c r="W17" i="16"/>
  <c r="U23" i="16"/>
  <c r="U57" i="17" s="1"/>
  <c r="V23" i="16"/>
  <c r="V57" i="17" s="1"/>
  <c r="W23" i="16"/>
  <c r="W57" i="17" s="1"/>
  <c r="U29" i="16"/>
  <c r="U58" i="17" s="1"/>
  <c r="V29" i="16"/>
  <c r="W29" i="16"/>
  <c r="U36" i="16"/>
  <c r="V36" i="16"/>
  <c r="W36" i="16"/>
  <c r="W61" i="17" s="1"/>
  <c r="U42" i="16"/>
  <c r="U62" i="17" s="1"/>
  <c r="V42" i="16"/>
  <c r="W42" i="16"/>
  <c r="W62" i="17" s="1"/>
  <c r="U48" i="16"/>
  <c r="V48" i="16"/>
  <c r="W48" i="16"/>
  <c r="W63" i="17" s="1"/>
  <c r="U54" i="16"/>
  <c r="U64" i="17" s="1"/>
  <c r="V54" i="16"/>
  <c r="W54" i="16"/>
  <c r="U61" i="16"/>
  <c r="V61" i="16"/>
  <c r="W61" i="16"/>
  <c r="U68" i="16"/>
  <c r="U69" i="17" s="1"/>
  <c r="V68" i="16"/>
  <c r="V69" i="17" s="1"/>
  <c r="W68" i="16"/>
  <c r="W69" i="17" s="1"/>
  <c r="U74" i="16"/>
  <c r="V74" i="16"/>
  <c r="V70" i="17" s="1"/>
  <c r="W74" i="16"/>
  <c r="U80" i="16"/>
  <c r="V80" i="16"/>
  <c r="W80" i="16"/>
  <c r="W71" i="17" s="1"/>
  <c r="L73" i="16"/>
  <c r="K67" i="16"/>
  <c r="J67" i="16"/>
  <c r="I40" i="17"/>
  <c r="I38" i="17"/>
  <c r="Q20" i="15"/>
  <c r="P20" i="15"/>
  <c r="O20" i="15"/>
  <c r="Q19" i="15"/>
  <c r="P19" i="15"/>
  <c r="O19" i="15"/>
  <c r="L20" i="15"/>
  <c r="K20" i="15"/>
  <c r="J20" i="15"/>
  <c r="L19" i="15"/>
  <c r="K19" i="15"/>
  <c r="J19" i="15"/>
  <c r="F19" i="15"/>
  <c r="G19" i="15"/>
  <c r="F20" i="15"/>
  <c r="G20" i="15"/>
  <c r="E20" i="15"/>
  <c r="E19" i="15"/>
  <c r="Q18" i="15"/>
  <c r="P18" i="15"/>
  <c r="O18" i="15"/>
  <c r="Q17" i="15"/>
  <c r="P17" i="15"/>
  <c r="O17" i="15"/>
  <c r="Q16" i="15"/>
  <c r="P16" i="15"/>
  <c r="O16" i="15"/>
  <c r="L18" i="15"/>
  <c r="K18" i="15"/>
  <c r="J18" i="15"/>
  <c r="L17" i="15"/>
  <c r="K17" i="15"/>
  <c r="J17" i="15"/>
  <c r="L16" i="15"/>
  <c r="K16" i="15"/>
  <c r="J16" i="15"/>
  <c r="F16" i="15"/>
  <c r="G16" i="15"/>
  <c r="F17" i="15"/>
  <c r="G17" i="15"/>
  <c r="F18" i="15"/>
  <c r="G18" i="15"/>
  <c r="E17" i="15"/>
  <c r="E18" i="15"/>
  <c r="E16" i="15"/>
  <c r="E66" i="17"/>
  <c r="E58" i="17"/>
  <c r="E61" i="17"/>
  <c r="E57" i="17"/>
  <c r="E54" i="17"/>
  <c r="E53" i="17"/>
  <c r="R79" i="16"/>
  <c r="Q79" i="16"/>
  <c r="P79" i="16"/>
  <c r="O79" i="16"/>
  <c r="R73" i="16"/>
  <c r="Q73" i="16"/>
  <c r="P73" i="16"/>
  <c r="O73" i="16"/>
  <c r="Q67" i="16"/>
  <c r="P67" i="16"/>
  <c r="O67" i="16"/>
  <c r="R53" i="16"/>
  <c r="Q53" i="16"/>
  <c r="P53" i="16"/>
  <c r="O53" i="16"/>
  <c r="Q47" i="16"/>
  <c r="P47" i="16"/>
  <c r="O47" i="16"/>
  <c r="Q41" i="16"/>
  <c r="P41" i="16"/>
  <c r="O41" i="16"/>
  <c r="R35" i="16"/>
  <c r="Q35" i="16"/>
  <c r="P35" i="16"/>
  <c r="O35" i="16"/>
  <c r="Q28" i="16"/>
  <c r="P28" i="16"/>
  <c r="O28" i="16"/>
  <c r="Q22" i="16"/>
  <c r="P22" i="16"/>
  <c r="O22" i="16"/>
  <c r="Q16" i="16"/>
  <c r="P16" i="16"/>
  <c r="O16" i="16"/>
  <c r="Q10" i="16"/>
  <c r="P10" i="16"/>
  <c r="O10" i="16"/>
  <c r="K10" i="16"/>
  <c r="L10" i="16"/>
  <c r="K16" i="16"/>
  <c r="L16" i="16"/>
  <c r="K22" i="16"/>
  <c r="L22" i="16"/>
  <c r="K28" i="16"/>
  <c r="L28" i="16"/>
  <c r="K35" i="16"/>
  <c r="L35" i="16"/>
  <c r="M35" i="16"/>
  <c r="K41" i="16"/>
  <c r="L41" i="16"/>
  <c r="K47" i="16"/>
  <c r="L47" i="16"/>
  <c r="K53" i="16"/>
  <c r="L53" i="16"/>
  <c r="M53" i="16"/>
  <c r="L67" i="16"/>
  <c r="M67" i="16"/>
  <c r="K73" i="16"/>
  <c r="M73" i="16"/>
  <c r="K79" i="16"/>
  <c r="L79" i="16"/>
  <c r="M79" i="16"/>
  <c r="J79" i="16"/>
  <c r="J53" i="16"/>
  <c r="J47" i="16"/>
  <c r="J41" i="16"/>
  <c r="J35" i="16"/>
  <c r="J28" i="16"/>
  <c r="J22" i="16"/>
  <c r="J16" i="16"/>
  <c r="J10" i="16"/>
  <c r="G10" i="16"/>
  <c r="G16" i="16"/>
  <c r="G22" i="16"/>
  <c r="G28" i="16"/>
  <c r="G35" i="16"/>
  <c r="H35" i="16"/>
  <c r="G41" i="16"/>
  <c r="G47" i="16"/>
  <c r="G53" i="16"/>
  <c r="G67" i="16"/>
  <c r="G73" i="16"/>
  <c r="G79" i="16"/>
  <c r="H79" i="16"/>
  <c r="F79" i="16"/>
  <c r="F73" i="16"/>
  <c r="F67" i="16"/>
  <c r="F53" i="16"/>
  <c r="F47" i="16"/>
  <c r="F41" i="16"/>
  <c r="F35" i="16"/>
  <c r="F28" i="16"/>
  <c r="F22" i="16"/>
  <c r="F10" i="16"/>
  <c r="F16" i="16"/>
  <c r="B5" i="16"/>
  <c r="E79" i="16"/>
  <c r="E73" i="16"/>
  <c r="E67" i="16"/>
  <c r="E53" i="16"/>
  <c r="E35" i="16"/>
  <c r="E16" i="16"/>
  <c r="E10" i="16"/>
  <c r="E28" i="16"/>
  <c r="E22" i="16"/>
  <c r="B71" i="17"/>
  <c r="B70" i="17"/>
  <c r="B69" i="17"/>
  <c r="B68" i="17"/>
  <c r="B79" i="16"/>
  <c r="B73" i="16"/>
  <c r="B67" i="16"/>
  <c r="B66" i="16"/>
  <c r="B59" i="16"/>
  <c r="B53" i="16"/>
  <c r="B47" i="16"/>
  <c r="B41" i="16"/>
  <c r="B35" i="16"/>
  <c r="B28" i="16"/>
  <c r="B22" i="16"/>
  <c r="B16" i="16"/>
  <c r="B10" i="16"/>
  <c r="B9" i="16"/>
  <c r="B61" i="17" a="1"/>
  <c r="B61" i="17" s="1"/>
  <c r="B56" i="17" a="1"/>
  <c r="B56" i="17" s="1"/>
  <c r="B52" i="17" a="1"/>
  <c r="B52" i="17" s="1"/>
  <c r="O17" i="6"/>
  <c r="N17" i="6"/>
  <c r="M17" i="6"/>
  <c r="O15" i="6"/>
  <c r="N15" i="6"/>
  <c r="M15" i="6"/>
  <c r="O13" i="6"/>
  <c r="N13" i="6"/>
  <c r="M13" i="6"/>
  <c r="O11" i="6"/>
  <c r="N11" i="6"/>
  <c r="M11" i="6"/>
  <c r="O9" i="6"/>
  <c r="N9" i="6"/>
  <c r="M9" i="6"/>
  <c r="J17" i="6"/>
  <c r="I17" i="6"/>
  <c r="H17" i="6"/>
  <c r="J15" i="6"/>
  <c r="I15" i="6"/>
  <c r="H15" i="6"/>
  <c r="J13" i="6"/>
  <c r="I13" i="6"/>
  <c r="H13" i="6"/>
  <c r="J11" i="6"/>
  <c r="I11" i="6"/>
  <c r="H11" i="6"/>
  <c r="J9" i="6"/>
  <c r="I9" i="6"/>
  <c r="H9" i="6"/>
  <c r="E9" i="6"/>
  <c r="E11" i="6"/>
  <c r="E13" i="6"/>
  <c r="E15" i="6"/>
  <c r="E17" i="6"/>
  <c r="D9" i="6"/>
  <c r="D11" i="6"/>
  <c r="D13" i="6"/>
  <c r="D15" i="6"/>
  <c r="D17" i="6"/>
  <c r="C17" i="6"/>
  <c r="C15" i="6"/>
  <c r="C13" i="6"/>
  <c r="R29" i="17"/>
  <c r="R47" i="16" s="1"/>
  <c r="R28" i="17"/>
  <c r="S28" i="17" s="1"/>
  <c r="R21" i="17"/>
  <c r="S21" i="17" s="1"/>
  <c r="R20" i="17"/>
  <c r="R16" i="17"/>
  <c r="S16" i="17" s="1"/>
  <c r="R15" i="17"/>
  <c r="S15" i="17" s="1"/>
  <c r="R11" i="15"/>
  <c r="P17" i="6" s="1"/>
  <c r="R10" i="15"/>
  <c r="R9" i="17" s="1"/>
  <c r="R9" i="15"/>
  <c r="R8" i="17" s="1"/>
  <c r="R8" i="15"/>
  <c r="R7" i="17" s="1"/>
  <c r="R7" i="15"/>
  <c r="P9" i="6" s="1"/>
  <c r="M29" i="17"/>
  <c r="M47" i="16" s="1"/>
  <c r="M28" i="17"/>
  <c r="N28" i="17" s="1"/>
  <c r="M21" i="17"/>
  <c r="N21" i="17" s="1"/>
  <c r="M20" i="17"/>
  <c r="N20" i="17" s="1"/>
  <c r="M16" i="17"/>
  <c r="N16" i="17" s="1"/>
  <c r="M15" i="17"/>
  <c r="N15" i="17" s="1"/>
  <c r="M11" i="15"/>
  <c r="K17" i="6" s="1"/>
  <c r="M10" i="15"/>
  <c r="M9" i="17" s="1"/>
  <c r="M9" i="15"/>
  <c r="N9" i="15" s="1"/>
  <c r="M8" i="15"/>
  <c r="N8" i="15" s="1"/>
  <c r="M7" i="15"/>
  <c r="M6" i="17" s="1"/>
  <c r="H30" i="17"/>
  <c r="I30" i="17" s="1"/>
  <c r="H21" i="17"/>
  <c r="I21" i="17" s="1"/>
  <c r="H20" i="17"/>
  <c r="I20" i="17" s="1"/>
  <c r="H16" i="17"/>
  <c r="I16" i="17" s="1"/>
  <c r="H15" i="17"/>
  <c r="I15" i="17" s="1"/>
  <c r="H11" i="15"/>
  <c r="H10" i="17" s="1"/>
  <c r="H10" i="15"/>
  <c r="F15" i="6" s="1"/>
  <c r="H9" i="15"/>
  <c r="H8" i="17" s="1"/>
  <c r="H8" i="15"/>
  <c r="F11" i="6" s="1"/>
  <c r="H7" i="15"/>
  <c r="F9" i="6" s="1"/>
  <c r="S41" i="17"/>
  <c r="S40" i="17"/>
  <c r="S30" i="17"/>
  <c r="Q31" i="17"/>
  <c r="P31" i="17"/>
  <c r="O31" i="17"/>
  <c r="Q22" i="17"/>
  <c r="P22" i="17"/>
  <c r="O22" i="17"/>
  <c r="Q17" i="17"/>
  <c r="P17" i="17"/>
  <c r="O17" i="17"/>
  <c r="Q10" i="17"/>
  <c r="P10" i="17"/>
  <c r="O10" i="17"/>
  <c r="Q9" i="17"/>
  <c r="P9" i="17"/>
  <c r="O9" i="17"/>
  <c r="Q8" i="17"/>
  <c r="P8" i="17"/>
  <c r="O8" i="17"/>
  <c r="Q7" i="17"/>
  <c r="P7" i="17"/>
  <c r="O7" i="17"/>
  <c r="Q6" i="17"/>
  <c r="P6" i="17"/>
  <c r="O6" i="17"/>
  <c r="N41" i="17"/>
  <c r="N30" i="17"/>
  <c r="L31" i="17"/>
  <c r="K31" i="17"/>
  <c r="J31" i="17"/>
  <c r="L22" i="17"/>
  <c r="K22" i="17"/>
  <c r="J22" i="17"/>
  <c r="L17" i="17"/>
  <c r="L46" i="17" s="1"/>
  <c r="K17" i="17"/>
  <c r="J17" i="17"/>
  <c r="L10" i="17"/>
  <c r="K10" i="17"/>
  <c r="J10" i="17"/>
  <c r="L9" i="17"/>
  <c r="K9" i="17"/>
  <c r="J9" i="17"/>
  <c r="L8" i="17"/>
  <c r="K8" i="17"/>
  <c r="J8" i="17"/>
  <c r="L7" i="17"/>
  <c r="K7" i="17"/>
  <c r="J7" i="17"/>
  <c r="L6" i="17"/>
  <c r="K6" i="17"/>
  <c r="J6" i="17"/>
  <c r="E17" i="17"/>
  <c r="I41" i="17"/>
  <c r="F6" i="17"/>
  <c r="G6" i="17"/>
  <c r="F7" i="17"/>
  <c r="G7" i="17"/>
  <c r="F8" i="17"/>
  <c r="G8" i="17"/>
  <c r="F9" i="17"/>
  <c r="G9" i="17"/>
  <c r="F10" i="17"/>
  <c r="G10" i="17"/>
  <c r="F17" i="17"/>
  <c r="G17" i="17"/>
  <c r="F22" i="17"/>
  <c r="G22" i="17"/>
  <c r="F31" i="17"/>
  <c r="G31" i="17"/>
  <c r="E22" i="17"/>
  <c r="E29" i="17"/>
  <c r="H29" i="17" s="1"/>
  <c r="H47" i="16" s="1"/>
  <c r="E28" i="17"/>
  <c r="H28" i="17" s="1"/>
  <c r="H41" i="16" s="1"/>
  <c r="E7" i="17"/>
  <c r="E8" i="17"/>
  <c r="E9" i="17"/>
  <c r="E10" i="17"/>
  <c r="E6" i="17"/>
  <c r="B7" i="6"/>
  <c r="H7" i="17" l="1"/>
  <c r="N54" i="17"/>
  <c r="S54" i="17"/>
  <c r="G46" i="17"/>
  <c r="N53" i="17"/>
  <c r="N57" i="17"/>
  <c r="S53" i="17"/>
  <c r="AF58" i="17"/>
  <c r="AF30" i="16"/>
  <c r="AE58" i="17"/>
  <c r="AE30" i="16"/>
  <c r="AD53" i="17"/>
  <c r="F46" i="17"/>
  <c r="Q46" i="17"/>
  <c r="O46" i="17"/>
  <c r="P46" i="17"/>
  <c r="S38" i="17"/>
  <c r="E46" i="17"/>
  <c r="J46" i="17"/>
  <c r="K46" i="17"/>
  <c r="Y66" i="17"/>
  <c r="Y53" i="17"/>
  <c r="U53" i="17"/>
  <c r="AF69" i="17"/>
  <c r="AD70" i="17"/>
  <c r="AE70" i="17"/>
  <c r="AD71" i="17"/>
  <c r="AF70" i="17"/>
  <c r="AF71" i="17"/>
  <c r="H61" i="16"/>
  <c r="O29" i="16"/>
  <c r="O58" i="17" s="1"/>
  <c r="K54" i="16"/>
  <c r="K64" i="17" s="1"/>
  <c r="G29" i="16"/>
  <c r="G58" i="17" s="1"/>
  <c r="Q54" i="16"/>
  <c r="Q64" i="17" s="1"/>
  <c r="L36" i="16"/>
  <c r="L61" i="17" s="1"/>
  <c r="Q11" i="16"/>
  <c r="Q53" i="17" s="1"/>
  <c r="L29" i="16"/>
  <c r="L58" i="17" s="1"/>
  <c r="L11" i="16"/>
  <c r="L53" i="17" s="1"/>
  <c r="Q42" i="16"/>
  <c r="Q62" i="17" s="1"/>
  <c r="O48" i="16"/>
  <c r="O63" i="17" s="1"/>
  <c r="F17" i="16"/>
  <c r="F54" i="17" s="1"/>
  <c r="P11" i="16"/>
  <c r="P53" i="17" s="1"/>
  <c r="P48" i="16"/>
  <c r="P63" i="17" s="1"/>
  <c r="F23" i="16"/>
  <c r="F57" i="17" s="1"/>
  <c r="G48" i="16"/>
  <c r="G63" i="17" s="1"/>
  <c r="M54" i="16"/>
  <c r="M64" i="17" s="1"/>
  <c r="S53" i="16"/>
  <c r="Q48" i="16"/>
  <c r="Q63" i="17" s="1"/>
  <c r="S79" i="16"/>
  <c r="L54" i="16"/>
  <c r="L64" i="17" s="1"/>
  <c r="P54" i="16"/>
  <c r="P64" i="17" s="1"/>
  <c r="P29" i="16"/>
  <c r="P58" i="17" s="1"/>
  <c r="J17" i="16"/>
  <c r="J54" i="17" s="1"/>
  <c r="Q29" i="16"/>
  <c r="Q58" i="17" s="1"/>
  <c r="H48" i="16"/>
  <c r="H63" i="17" s="1"/>
  <c r="F11" i="16"/>
  <c r="F53" i="17" s="1"/>
  <c r="K29" i="16"/>
  <c r="K58" i="17" s="1"/>
  <c r="G61" i="16"/>
  <c r="S34" i="17"/>
  <c r="N35" i="16"/>
  <c r="O36" i="16" s="1"/>
  <c r="O61" i="17" s="1"/>
  <c r="L23" i="16"/>
  <c r="L57" i="17" s="1"/>
  <c r="R22" i="17"/>
  <c r="P42" i="16"/>
  <c r="P62" i="17" s="1"/>
  <c r="P17" i="16"/>
  <c r="P54" i="17" s="1"/>
  <c r="R54" i="16"/>
  <c r="R64" i="17" s="1"/>
  <c r="N34" i="17"/>
  <c r="M61" i="16"/>
  <c r="M66" i="17" s="1"/>
  <c r="G17" i="16"/>
  <c r="G54" i="17" s="1"/>
  <c r="K11" i="16"/>
  <c r="K53" i="17" s="1"/>
  <c r="K17" i="16"/>
  <c r="K54" i="17" s="1"/>
  <c r="R36" i="16"/>
  <c r="R61" i="17" s="1"/>
  <c r="K61" i="16"/>
  <c r="K66" i="17" s="1"/>
  <c r="O17" i="16"/>
  <c r="O54" i="17" s="1"/>
  <c r="J29" i="16"/>
  <c r="J58" i="17" s="1"/>
  <c r="R48" i="16"/>
  <c r="R63" i="17" s="1"/>
  <c r="Q17" i="16"/>
  <c r="Q54" i="17" s="1"/>
  <c r="G11" i="16"/>
  <c r="G53" i="17" s="1"/>
  <c r="P61" i="16"/>
  <c r="P66" i="17" s="1"/>
  <c r="O54" i="16"/>
  <c r="O64" i="17" s="1"/>
  <c r="P36" i="16"/>
  <c r="P61" i="17" s="1"/>
  <c r="S60" i="16"/>
  <c r="R16" i="16"/>
  <c r="S16" i="16" s="1"/>
  <c r="F29" i="16"/>
  <c r="F58" i="17" s="1"/>
  <c r="L17" i="16"/>
  <c r="L54" i="17" s="1"/>
  <c r="Q61" i="16"/>
  <c r="Q66" i="17" s="1"/>
  <c r="L61" i="16"/>
  <c r="L66" i="17" s="1"/>
  <c r="Q36" i="16"/>
  <c r="Q61" i="17" s="1"/>
  <c r="U71" i="17"/>
  <c r="V71" i="17"/>
  <c r="Y57" i="17"/>
  <c r="Z71" i="17"/>
  <c r="AA71" i="17"/>
  <c r="AB64" i="17"/>
  <c r="AB71" i="17"/>
  <c r="Z64" i="17"/>
  <c r="V62" i="17"/>
  <c r="U63" i="17"/>
  <c r="V63" i="17"/>
  <c r="W66" i="17"/>
  <c r="U70" i="17"/>
  <c r="W70" i="17"/>
  <c r="W64" i="17"/>
  <c r="V54" i="17"/>
  <c r="W54" i="17"/>
  <c r="V64" i="17"/>
  <c r="U66" i="17"/>
  <c r="V58" i="17"/>
  <c r="V66" i="17"/>
  <c r="W58" i="17"/>
  <c r="X58" i="17" s="1"/>
  <c r="U61" i="17"/>
  <c r="V61" i="17"/>
  <c r="N40" i="17"/>
  <c r="J73" i="16"/>
  <c r="N73" i="16" s="1"/>
  <c r="N38" i="17"/>
  <c r="H73" i="16"/>
  <c r="H67" i="16"/>
  <c r="E47" i="16"/>
  <c r="E48" i="16" s="1"/>
  <c r="E63" i="17" s="1"/>
  <c r="H53" i="16"/>
  <c r="H54" i="16" s="1"/>
  <c r="H64" i="17" s="1"/>
  <c r="R16" i="15"/>
  <c r="R20" i="15"/>
  <c r="H20" i="15"/>
  <c r="M10" i="16"/>
  <c r="M19" i="15"/>
  <c r="M17" i="15"/>
  <c r="H6" i="17"/>
  <c r="I6" i="17" s="1"/>
  <c r="M22" i="16"/>
  <c r="M23" i="16" s="1"/>
  <c r="M57" i="17" s="1"/>
  <c r="H19" i="15"/>
  <c r="H18" i="15"/>
  <c r="M18" i="15"/>
  <c r="H16" i="15"/>
  <c r="F17" i="6"/>
  <c r="H18" i="6" s="1"/>
  <c r="R17" i="15"/>
  <c r="M20" i="15"/>
  <c r="M41" i="16"/>
  <c r="N41" i="16" s="1"/>
  <c r="M16" i="16"/>
  <c r="H17" i="15"/>
  <c r="E41" i="16"/>
  <c r="E42" i="16" s="1"/>
  <c r="E62" i="17" s="1"/>
  <c r="S11" i="15"/>
  <c r="M17" i="17"/>
  <c r="N17" i="17" s="1"/>
  <c r="M48" i="16"/>
  <c r="M63" i="17" s="1"/>
  <c r="M16" i="15"/>
  <c r="R18" i="15"/>
  <c r="R19" i="15"/>
  <c r="S10" i="15"/>
  <c r="Q17" i="6"/>
  <c r="S9" i="15"/>
  <c r="M28" i="16"/>
  <c r="R41" i="16"/>
  <c r="R42" i="16" s="1"/>
  <c r="R62" i="17" s="1"/>
  <c r="E54" i="16"/>
  <c r="E64" i="17" s="1"/>
  <c r="N79" i="16"/>
  <c r="J54" i="16"/>
  <c r="J64" i="17" s="1"/>
  <c r="F36" i="16"/>
  <c r="F61" i="17" s="1"/>
  <c r="F42" i="16"/>
  <c r="F62" i="17" s="1"/>
  <c r="H28" i="16"/>
  <c r="H10" i="16"/>
  <c r="H11" i="16" s="1"/>
  <c r="H53" i="17" s="1"/>
  <c r="H16" i="16"/>
  <c r="F48" i="16"/>
  <c r="F63" i="17" s="1"/>
  <c r="R10" i="16"/>
  <c r="R11" i="16" s="1"/>
  <c r="R53" i="17" s="1"/>
  <c r="P23" i="16"/>
  <c r="P57" i="17" s="1"/>
  <c r="R22" i="16"/>
  <c r="F61" i="16"/>
  <c r="H22" i="16"/>
  <c r="H23" i="16" s="1"/>
  <c r="H57" i="17" s="1"/>
  <c r="F54" i="16"/>
  <c r="F64" i="17" s="1"/>
  <c r="K36" i="16"/>
  <c r="K61" i="17" s="1"/>
  <c r="J42" i="16"/>
  <c r="J62" i="17" s="1"/>
  <c r="J48" i="16"/>
  <c r="J63" i="17" s="1"/>
  <c r="G42" i="16"/>
  <c r="G62" i="17" s="1"/>
  <c r="N47" i="16"/>
  <c r="N67" i="16"/>
  <c r="R28" i="16"/>
  <c r="S47" i="16"/>
  <c r="S35" i="16"/>
  <c r="Q23" i="16"/>
  <c r="Q57" i="17" s="1"/>
  <c r="S73" i="16"/>
  <c r="S67" i="16"/>
  <c r="O42" i="16"/>
  <c r="O62" i="17" s="1"/>
  <c r="L48" i="16"/>
  <c r="L63" i="17" s="1"/>
  <c r="K48" i="16"/>
  <c r="K63" i="17" s="1"/>
  <c r="L42" i="16"/>
  <c r="L62" i="17" s="1"/>
  <c r="K42" i="16"/>
  <c r="K62" i="17" s="1"/>
  <c r="K23" i="16"/>
  <c r="K57" i="17" s="1"/>
  <c r="N53" i="16"/>
  <c r="M36" i="16"/>
  <c r="M61" i="17" s="1"/>
  <c r="G23" i="16"/>
  <c r="G57" i="17" s="1"/>
  <c r="H36" i="16"/>
  <c r="H61" i="17" s="1"/>
  <c r="G36" i="16"/>
  <c r="G61" i="17" s="1"/>
  <c r="H42" i="16"/>
  <c r="H62" i="17" s="1"/>
  <c r="G54" i="16"/>
  <c r="G64" i="17" s="1"/>
  <c r="M22" i="17"/>
  <c r="I39" i="17"/>
  <c r="S39" i="17"/>
  <c r="N39" i="17"/>
  <c r="H17" i="17"/>
  <c r="I17" i="17" s="1"/>
  <c r="R17" i="17"/>
  <c r="S17" i="17" s="1"/>
  <c r="S20" i="17"/>
  <c r="S57" i="17" s="1"/>
  <c r="I34" i="17"/>
  <c r="G15" i="6"/>
  <c r="K11" i="6"/>
  <c r="L11" i="6" s="1"/>
  <c r="E7" i="6"/>
  <c r="M8" i="17"/>
  <c r="N8" i="17" s="1"/>
  <c r="H12" i="6"/>
  <c r="M7" i="17"/>
  <c r="H16" i="6"/>
  <c r="P15" i="6"/>
  <c r="Q15" i="6" s="1"/>
  <c r="N7" i="15"/>
  <c r="N18" i="15" s="1"/>
  <c r="K13" i="6"/>
  <c r="L13" i="6" s="1"/>
  <c r="K9" i="6"/>
  <c r="L9" i="6" s="1"/>
  <c r="H22" i="17"/>
  <c r="Q9" i="6"/>
  <c r="D7" i="6"/>
  <c r="M18" i="6"/>
  <c r="I7" i="6"/>
  <c r="I11" i="15"/>
  <c r="R10" i="17"/>
  <c r="S10" i="17" s="1"/>
  <c r="F13" i="6"/>
  <c r="H14" i="6" s="1"/>
  <c r="I28" i="17"/>
  <c r="P11" i="17"/>
  <c r="P45" i="17" s="1"/>
  <c r="I29" i="17"/>
  <c r="Q11" i="17"/>
  <c r="Q45" i="17" s="1"/>
  <c r="N7" i="6"/>
  <c r="H9" i="17"/>
  <c r="R6" i="17"/>
  <c r="O7" i="6"/>
  <c r="S7" i="17"/>
  <c r="P11" i="6"/>
  <c r="I9" i="15"/>
  <c r="N27" i="17"/>
  <c r="N64" i="17" s="1"/>
  <c r="M10" i="17"/>
  <c r="N10" i="17" s="1"/>
  <c r="N10" i="15"/>
  <c r="N11" i="15"/>
  <c r="L17" i="6"/>
  <c r="J11" i="17"/>
  <c r="J45" i="17" s="1"/>
  <c r="J7" i="6"/>
  <c r="I10" i="15"/>
  <c r="K15" i="6"/>
  <c r="M16" i="6" s="1"/>
  <c r="H10" i="6"/>
  <c r="P13" i="6"/>
  <c r="Q13" i="6" s="1"/>
  <c r="M7" i="6"/>
  <c r="H7" i="6"/>
  <c r="R31" i="17"/>
  <c r="S31" i="17" s="1"/>
  <c r="D28" i="12" s="1"/>
  <c r="S29" i="17"/>
  <c r="S27" i="17"/>
  <c r="S61" i="17" s="1"/>
  <c r="S9" i="17"/>
  <c r="S8" i="17"/>
  <c r="N9" i="17"/>
  <c r="L11" i="17"/>
  <c r="L45" i="17" s="1"/>
  <c r="K11" i="17"/>
  <c r="K45" i="17" s="1"/>
  <c r="H31" i="17"/>
  <c r="I27" i="17"/>
  <c r="I64" i="17" s="1"/>
  <c r="I10" i="17"/>
  <c r="I8" i="17"/>
  <c r="I7" i="17"/>
  <c r="G11" i="17"/>
  <c r="G45" i="17" s="1"/>
  <c r="O11" i="17"/>
  <c r="O45" i="17" s="1"/>
  <c r="N29" i="17"/>
  <c r="N6" i="17"/>
  <c r="F11" i="17"/>
  <c r="F45" i="17" s="1"/>
  <c r="E11" i="17"/>
  <c r="E45" i="17" s="1"/>
  <c r="E31" i="17"/>
  <c r="I62" i="17" l="1"/>
  <c r="N61" i="17"/>
  <c r="I63" i="17"/>
  <c r="N63" i="17"/>
  <c r="AF15" i="6"/>
  <c r="S66" i="17"/>
  <c r="S64" i="17"/>
  <c r="N62" i="17"/>
  <c r="S63" i="17"/>
  <c r="S62" i="17"/>
  <c r="M12" i="6"/>
  <c r="I19" i="15"/>
  <c r="O8" i="6"/>
  <c r="J8" i="6"/>
  <c r="S22" i="17"/>
  <c r="R46" i="17"/>
  <c r="I22" i="17"/>
  <c r="H46" i="17"/>
  <c r="N22" i="17"/>
  <c r="M46" i="17"/>
  <c r="N42" i="16"/>
  <c r="S36" i="16"/>
  <c r="N54" i="16"/>
  <c r="N48" i="16"/>
  <c r="M29" i="16"/>
  <c r="M58" i="17" s="1"/>
  <c r="N58" i="17" s="1"/>
  <c r="J24" i="17"/>
  <c r="J36" i="17" s="1"/>
  <c r="R23" i="16"/>
  <c r="R57" i="17" s="1"/>
  <c r="L24" i="17"/>
  <c r="L36" i="17" s="1"/>
  <c r="L12" i="17"/>
  <c r="R17" i="16"/>
  <c r="R54" i="17" s="1"/>
  <c r="F24" i="17"/>
  <c r="F36" i="17" s="1"/>
  <c r="F73" i="17" s="1"/>
  <c r="F12" i="17"/>
  <c r="Q24" i="17"/>
  <c r="Q36" i="17" s="1"/>
  <c r="Q73" i="17" s="1"/>
  <c r="Q12" i="17"/>
  <c r="K12" i="17"/>
  <c r="R61" i="16"/>
  <c r="R66" i="17" s="1"/>
  <c r="P24" i="17"/>
  <c r="P36" i="17" s="1"/>
  <c r="P12" i="17"/>
  <c r="N22" i="16"/>
  <c r="G24" i="17"/>
  <c r="G36" i="17" s="1"/>
  <c r="G12" i="17"/>
  <c r="S41" i="16"/>
  <c r="S42" i="16" s="1"/>
  <c r="N60" i="16"/>
  <c r="S61" i="16" s="1"/>
  <c r="P7" i="6"/>
  <c r="P8" i="6" s="1"/>
  <c r="N19" i="15"/>
  <c r="H11" i="17"/>
  <c r="H45" i="17" s="1"/>
  <c r="N10" i="16"/>
  <c r="M11" i="16"/>
  <c r="M53" i="17" s="1"/>
  <c r="E8" i="6"/>
  <c r="S19" i="15"/>
  <c r="S20" i="15"/>
  <c r="I20" i="15"/>
  <c r="M42" i="16"/>
  <c r="M62" i="17" s="1"/>
  <c r="N20" i="15"/>
  <c r="H29" i="16"/>
  <c r="H58" i="17" s="1"/>
  <c r="I58" i="17" s="1"/>
  <c r="M17" i="16"/>
  <c r="M54" i="17" s="1"/>
  <c r="N16" i="16"/>
  <c r="N28" i="16"/>
  <c r="L15" i="6"/>
  <c r="N17" i="15"/>
  <c r="N16" i="15"/>
  <c r="G17" i="6"/>
  <c r="AF17" i="6" s="1"/>
  <c r="S22" i="16"/>
  <c r="R29" i="16"/>
  <c r="R58" i="17" s="1"/>
  <c r="S58" i="17" s="1"/>
  <c r="H17" i="16"/>
  <c r="H54" i="17" s="1"/>
  <c r="S28" i="16"/>
  <c r="S10" i="16"/>
  <c r="R11" i="17"/>
  <c r="R45" i="17" s="1"/>
  <c r="S54" i="16"/>
  <c r="S48" i="16"/>
  <c r="M11" i="17"/>
  <c r="M45" i="17" s="1"/>
  <c r="M14" i="6"/>
  <c r="M10" i="6"/>
  <c r="N7" i="17"/>
  <c r="K7" i="6"/>
  <c r="K8" i="6" s="1"/>
  <c r="M31" i="17"/>
  <c r="N31" i="17" s="1"/>
  <c r="D27" i="12" s="1"/>
  <c r="N6" i="15"/>
  <c r="Q11" i="6"/>
  <c r="F7" i="6"/>
  <c r="F8" i="6" s="1"/>
  <c r="S6" i="17"/>
  <c r="I9" i="17"/>
  <c r="G13" i="6"/>
  <c r="AF13" i="6" s="1"/>
  <c r="I31" i="17"/>
  <c r="D26" i="12" s="1"/>
  <c r="N8" i="6"/>
  <c r="I8" i="6"/>
  <c r="K24" i="17"/>
  <c r="K36" i="17" s="1"/>
  <c r="K73" i="17" s="1"/>
  <c r="O24" i="17"/>
  <c r="E24" i="17"/>
  <c r="E36" i="17" s="1"/>
  <c r="Q5" i="16" l="1"/>
  <c r="Q7" i="6"/>
  <c r="E5" i="16"/>
  <c r="E88" i="16" s="1"/>
  <c r="E73" i="17"/>
  <c r="Q43" i="17"/>
  <c r="Q47" i="17" s="1"/>
  <c r="P43" i="17"/>
  <c r="P47" i="17" s="1"/>
  <c r="P73" i="17"/>
  <c r="G43" i="17"/>
  <c r="G47" i="17" s="1"/>
  <c r="G73" i="17"/>
  <c r="H12" i="17"/>
  <c r="J5" i="16"/>
  <c r="J73" i="17"/>
  <c r="L43" i="17"/>
  <c r="L47" i="17" s="1"/>
  <c r="L73" i="17"/>
  <c r="S29" i="16"/>
  <c r="N29" i="16"/>
  <c r="H24" i="17"/>
  <c r="H36" i="17" s="1"/>
  <c r="N17" i="16"/>
  <c r="S11" i="16"/>
  <c r="O23" i="16"/>
  <c r="O57" i="17" s="1"/>
  <c r="G5" i="16"/>
  <c r="L5" i="16"/>
  <c r="S17" i="16"/>
  <c r="P5" i="16"/>
  <c r="O11" i="16"/>
  <c r="O53" i="17" s="1"/>
  <c r="S23" i="16"/>
  <c r="R24" i="17"/>
  <c r="R36" i="17" s="1"/>
  <c r="R12" i="17"/>
  <c r="J43" i="17"/>
  <c r="J47" i="17" s="1"/>
  <c r="I11" i="17"/>
  <c r="J12" i="17" s="1"/>
  <c r="M24" i="17"/>
  <c r="M36" i="17" s="1"/>
  <c r="M73" i="17" s="1"/>
  <c r="M12" i="17"/>
  <c r="O61" i="16"/>
  <c r="O66" i="17" s="1"/>
  <c r="M8" i="6"/>
  <c r="L7" i="6"/>
  <c r="E74" i="16"/>
  <c r="E70" i="17" s="1"/>
  <c r="E68" i="16"/>
  <c r="E69" i="17" s="1"/>
  <c r="E80" i="16"/>
  <c r="E71" i="17" s="1"/>
  <c r="S11" i="17"/>
  <c r="F43" i="17"/>
  <c r="F47" i="17" s="1"/>
  <c r="F5" i="16"/>
  <c r="F88" i="16" s="1"/>
  <c r="K43" i="17"/>
  <c r="K47" i="17" s="1"/>
  <c r="K5" i="16"/>
  <c r="K88" i="16" s="1"/>
  <c r="Q74" i="16"/>
  <c r="Q70" i="17" s="1"/>
  <c r="Q68" i="16"/>
  <c r="Q69" i="17" s="1"/>
  <c r="N11" i="17"/>
  <c r="H8" i="6"/>
  <c r="O36" i="17"/>
  <c r="E43" i="17"/>
  <c r="E47" i="17" s="1"/>
  <c r="P80" i="16" l="1"/>
  <c r="P71" i="17" s="1"/>
  <c r="P88" i="16"/>
  <c r="L74" i="16"/>
  <c r="L70" i="17" s="1"/>
  <c r="L88" i="16"/>
  <c r="G80" i="16"/>
  <c r="G71" i="17" s="1"/>
  <c r="G88" i="16"/>
  <c r="J74" i="16"/>
  <c r="J70" i="17" s="1"/>
  <c r="J88" i="16"/>
  <c r="Q80" i="16"/>
  <c r="Q71" i="17" s="1"/>
  <c r="Q88" i="16"/>
  <c r="L68" i="16"/>
  <c r="L69" i="17" s="1"/>
  <c r="J68" i="16"/>
  <c r="J69" i="17" s="1"/>
  <c r="J80" i="16"/>
  <c r="J71" i="17" s="1"/>
  <c r="R43" i="17"/>
  <c r="R47" i="17" s="1"/>
  <c r="R73" i="17"/>
  <c r="H5" i="16"/>
  <c r="H73" i="17"/>
  <c r="O5" i="16"/>
  <c r="O73" i="17"/>
  <c r="L80" i="16"/>
  <c r="L71" i="17" s="1"/>
  <c r="I36" i="17"/>
  <c r="H43" i="17"/>
  <c r="H47" i="17" s="1"/>
  <c r="I24" i="17"/>
  <c r="C26" i="12" s="1"/>
  <c r="R5" i="16"/>
  <c r="P68" i="16"/>
  <c r="P69" i="17" s="1"/>
  <c r="N24" i="17"/>
  <c r="C27" i="12" s="1"/>
  <c r="P74" i="16"/>
  <c r="P70" i="17" s="1"/>
  <c r="G74" i="16"/>
  <c r="G70" i="17" s="1"/>
  <c r="S12" i="17"/>
  <c r="S24" i="17"/>
  <c r="C28" i="12" s="1"/>
  <c r="N12" i="17"/>
  <c r="O12" i="17"/>
  <c r="G68" i="16"/>
  <c r="G69" i="17" s="1"/>
  <c r="F80" i="16"/>
  <c r="F71" i="17" s="1"/>
  <c r="F74" i="16"/>
  <c r="F70" i="17" s="1"/>
  <c r="F68" i="16"/>
  <c r="F69" i="17" s="1"/>
  <c r="M43" i="17"/>
  <c r="M47" i="17" s="1"/>
  <c r="M5" i="16"/>
  <c r="M88" i="16" s="1"/>
  <c r="K74" i="16"/>
  <c r="K70" i="17" s="1"/>
  <c r="K80" i="16"/>
  <c r="K71" i="17" s="1"/>
  <c r="K68" i="16"/>
  <c r="K69" i="17" s="1"/>
  <c r="N36" i="17"/>
  <c r="O43" i="17"/>
  <c r="O47" i="17" s="1"/>
  <c r="S36" i="17"/>
  <c r="I73" i="17" l="1"/>
  <c r="I88" i="16" s="1"/>
  <c r="I70" i="17"/>
  <c r="I71" i="17"/>
  <c r="I69" i="17"/>
  <c r="S73" i="17"/>
  <c r="S88" i="16" s="1"/>
  <c r="S70" i="17"/>
  <c r="S71" i="17"/>
  <c r="S69" i="17"/>
  <c r="N73" i="17"/>
  <c r="N88" i="16" s="1"/>
  <c r="N71" i="17"/>
  <c r="N69" i="17"/>
  <c r="N70" i="17"/>
  <c r="O74" i="16"/>
  <c r="O70" i="17" s="1"/>
  <c r="O88" i="16"/>
  <c r="R68" i="16"/>
  <c r="R69" i="17" s="1"/>
  <c r="R88" i="16"/>
  <c r="I5" i="16"/>
  <c r="H88" i="16"/>
  <c r="H80" i="16"/>
  <c r="H71" i="17" s="1"/>
  <c r="H74" i="16"/>
  <c r="H70" i="17" s="1"/>
  <c r="H68" i="16"/>
  <c r="H69" i="17" s="1"/>
  <c r="O68" i="16"/>
  <c r="O69" i="17" s="1"/>
  <c r="O80" i="16"/>
  <c r="O71" i="17" s="1"/>
  <c r="S5" i="16"/>
  <c r="S80" i="16" s="1"/>
  <c r="R80" i="16"/>
  <c r="R71" i="17" s="1"/>
  <c r="R74" i="16"/>
  <c r="R70" i="17" s="1"/>
  <c r="I43" i="17"/>
  <c r="N43" i="17"/>
  <c r="S43" i="17"/>
  <c r="M74" i="16"/>
  <c r="M70" i="17" s="1"/>
  <c r="M68" i="16"/>
  <c r="M69" i="17" s="1"/>
  <c r="M80" i="16"/>
  <c r="M71" i="17" s="1"/>
  <c r="N5" i="16"/>
  <c r="S74" i="16" l="1"/>
  <c r="S68" i="16"/>
  <c r="N74" i="16"/>
  <c r="N80" i="16"/>
  <c r="N68" i="16"/>
  <c r="B60" i="17" l="1"/>
  <c r="B6" i="17" a="1"/>
  <c r="B6" i="17" s="1"/>
  <c r="B9" i="6" s="1"/>
  <c r="B16" i="15" a="1"/>
  <c r="B16" i="15" s="1"/>
  <c r="F6" i="15"/>
  <c r="G6" i="15"/>
  <c r="Q6" i="15"/>
  <c r="P6" i="15"/>
  <c r="O6" i="15"/>
  <c r="L6" i="15"/>
  <c r="K6" i="15"/>
  <c r="J6" i="15"/>
  <c r="E6" i="15"/>
  <c r="AC50" i="6"/>
  <c r="AB50" i="6"/>
  <c r="Z50" i="6"/>
  <c r="Y50" i="6"/>
  <c r="X50" i="6"/>
  <c r="W50" i="6"/>
  <c r="U50" i="6"/>
  <c r="T50" i="6"/>
  <c r="S50" i="6"/>
  <c r="R50" i="6"/>
  <c r="AC48" i="6"/>
  <c r="AB48" i="6"/>
  <c r="Z48" i="6"/>
  <c r="Y48" i="6"/>
  <c r="X48" i="6"/>
  <c r="W48" i="6"/>
  <c r="U48" i="6"/>
  <c r="T48" i="6"/>
  <c r="S48" i="6"/>
  <c r="R48" i="6"/>
  <c r="AC44" i="6"/>
  <c r="AB44" i="6"/>
  <c r="Z44" i="6"/>
  <c r="Y44" i="6"/>
  <c r="X44" i="6"/>
  <c r="W44" i="6"/>
  <c r="U44" i="6"/>
  <c r="T44" i="6"/>
  <c r="S44" i="6"/>
  <c r="R44" i="6"/>
  <c r="AC42" i="6"/>
  <c r="AB42" i="6"/>
  <c r="Z42" i="6"/>
  <c r="Y42" i="6"/>
  <c r="X42" i="6"/>
  <c r="W42" i="6"/>
  <c r="T42" i="6"/>
  <c r="S42" i="6"/>
  <c r="R42" i="6"/>
  <c r="AC38" i="6"/>
  <c r="AB38" i="6"/>
  <c r="Z38" i="6"/>
  <c r="Y38" i="6"/>
  <c r="X38" i="6"/>
  <c r="W38" i="6"/>
  <c r="U38" i="6"/>
  <c r="T38" i="6"/>
  <c r="S38" i="6"/>
  <c r="R38" i="6"/>
  <c r="AC36" i="6"/>
  <c r="AB36" i="6"/>
  <c r="Z36" i="6"/>
  <c r="Y36" i="6"/>
  <c r="X36" i="6"/>
  <c r="W36" i="6"/>
  <c r="U36" i="6"/>
  <c r="T36" i="6"/>
  <c r="S36" i="6"/>
  <c r="R36" i="6"/>
  <c r="AC32" i="6"/>
  <c r="AB32" i="6"/>
  <c r="Z32" i="6"/>
  <c r="Y32" i="6"/>
  <c r="X32" i="6"/>
  <c r="W32" i="6"/>
  <c r="U32" i="6"/>
  <c r="T32" i="6"/>
  <c r="S32" i="6"/>
  <c r="R32" i="6"/>
  <c r="AC30" i="6"/>
  <c r="AB30" i="6"/>
  <c r="Z30" i="6"/>
  <c r="Y30" i="6"/>
  <c r="X30" i="6"/>
  <c r="W30" i="6"/>
  <c r="U30" i="6"/>
  <c r="T30" i="6"/>
  <c r="S30" i="6"/>
  <c r="R30" i="6"/>
  <c r="AC26" i="6"/>
  <c r="AB26" i="6"/>
  <c r="AC24" i="6"/>
  <c r="AB24" i="6"/>
  <c r="Z26" i="6"/>
  <c r="Y26" i="6"/>
  <c r="X26" i="6"/>
  <c r="W26" i="6"/>
  <c r="Z24" i="6"/>
  <c r="Y24" i="6"/>
  <c r="X24" i="6"/>
  <c r="W24" i="6"/>
  <c r="S24" i="6"/>
  <c r="T24" i="6"/>
  <c r="U24" i="6"/>
  <c r="S26" i="6"/>
  <c r="T26" i="6"/>
  <c r="U26" i="6"/>
  <c r="AD16" i="6"/>
  <c r="S18" i="6"/>
  <c r="AD18" i="6"/>
  <c r="AC47" i="6"/>
  <c r="AC18" i="6" s="1"/>
  <c r="AB47" i="6"/>
  <c r="AB18" i="6" s="1"/>
  <c r="Z47" i="6"/>
  <c r="Z18" i="6" s="1"/>
  <c r="Y47" i="6"/>
  <c r="Y18" i="6" s="1"/>
  <c r="X47" i="6"/>
  <c r="X18" i="6" s="1"/>
  <c r="W47" i="6"/>
  <c r="W18" i="6" s="1"/>
  <c r="U47" i="6"/>
  <c r="U18" i="6" s="1"/>
  <c r="T47" i="6"/>
  <c r="T18" i="6" s="1"/>
  <c r="S47" i="6"/>
  <c r="R47" i="6"/>
  <c r="AD14" i="6"/>
  <c r="AC41" i="6"/>
  <c r="AC14" i="6" s="1"/>
  <c r="AB41" i="6"/>
  <c r="AB16" i="6" s="1"/>
  <c r="Z41" i="6"/>
  <c r="Z16" i="6" s="1"/>
  <c r="Y41" i="6"/>
  <c r="Y14" i="6" s="1"/>
  <c r="X41" i="6"/>
  <c r="X14" i="6" s="1"/>
  <c r="W41" i="6"/>
  <c r="W14" i="6" s="1"/>
  <c r="U41" i="6"/>
  <c r="U14" i="6" s="1"/>
  <c r="T41" i="6"/>
  <c r="T14" i="6" s="1"/>
  <c r="S41" i="6"/>
  <c r="S16" i="6" s="1"/>
  <c r="R41" i="6"/>
  <c r="AC35" i="6"/>
  <c r="AB35" i="6"/>
  <c r="Z35" i="6"/>
  <c r="Y35" i="6"/>
  <c r="X35" i="6"/>
  <c r="W35" i="6"/>
  <c r="U35" i="6"/>
  <c r="T35" i="6"/>
  <c r="S35" i="6"/>
  <c r="R35" i="6"/>
  <c r="AD12" i="6"/>
  <c r="AC29" i="6"/>
  <c r="AC12" i="6" s="1"/>
  <c r="AB29" i="6"/>
  <c r="AB12" i="6" s="1"/>
  <c r="Z29" i="6"/>
  <c r="Z12" i="6" s="1"/>
  <c r="Y29" i="6"/>
  <c r="Y12" i="6" s="1"/>
  <c r="X29" i="6"/>
  <c r="X12" i="6" s="1"/>
  <c r="W29" i="6"/>
  <c r="W12" i="6" s="1"/>
  <c r="U29" i="6"/>
  <c r="U12" i="6" s="1"/>
  <c r="T29" i="6"/>
  <c r="T12" i="6" s="1"/>
  <c r="S29" i="6"/>
  <c r="S12" i="6" s="1"/>
  <c r="R29" i="6"/>
  <c r="Z23" i="6"/>
  <c r="Z10" i="6" s="1"/>
  <c r="Y23" i="6"/>
  <c r="Y10" i="6" s="1"/>
  <c r="X23" i="6"/>
  <c r="X10" i="6" s="1"/>
  <c r="W23" i="6"/>
  <c r="W10" i="6" s="1"/>
  <c r="S23" i="6"/>
  <c r="S10" i="6" s="1"/>
  <c r="T23" i="6"/>
  <c r="T10" i="6" s="1"/>
  <c r="U23" i="6"/>
  <c r="U10" i="6" s="1"/>
  <c r="R26" i="6"/>
  <c r="R24" i="6"/>
  <c r="R23" i="6"/>
  <c r="T80" i="16"/>
  <c r="T74" i="16"/>
  <c r="T70" i="17" s="1"/>
  <c r="T68" i="16"/>
  <c r="T69" i="17" s="1"/>
  <c r="T61" i="16"/>
  <c r="T54" i="16"/>
  <c r="T64" i="17" s="1"/>
  <c r="T48" i="16"/>
  <c r="T63" i="17" s="1"/>
  <c r="T42" i="16"/>
  <c r="T36" i="16"/>
  <c r="T29" i="16"/>
  <c r="T23" i="16"/>
  <c r="T17" i="16"/>
  <c r="T11" i="16"/>
  <c r="T10" i="16" s="1"/>
  <c r="U10" i="16" s="1"/>
  <c r="V10" i="16" s="1"/>
  <c r="W10" i="16" s="1"/>
  <c r="Y10" i="16" s="1"/>
  <c r="Z10" i="16" s="1"/>
  <c r="AA10" i="16" s="1"/>
  <c r="AB10" i="16" s="1"/>
  <c r="G10" i="6"/>
  <c r="G12" i="6"/>
  <c r="J46" i="6"/>
  <c r="I46" i="6"/>
  <c r="H46" i="6"/>
  <c r="J40" i="6"/>
  <c r="I40" i="6"/>
  <c r="H40" i="6"/>
  <c r="J34" i="6"/>
  <c r="I34" i="6"/>
  <c r="H34" i="6"/>
  <c r="G14" i="6"/>
  <c r="G16" i="6"/>
  <c r="G18" i="6"/>
  <c r="J28" i="6"/>
  <c r="I28" i="6"/>
  <c r="H28" i="6"/>
  <c r="C11" i="6"/>
  <c r="G11" i="6" s="1"/>
  <c r="AF11" i="6" s="1"/>
  <c r="J22" i="6"/>
  <c r="I22" i="6"/>
  <c r="H22" i="6"/>
  <c r="C9" i="6"/>
  <c r="AD10" i="6"/>
  <c r="AC23" i="6"/>
  <c r="AB23" i="6"/>
  <c r="AB10" i="6" s="1"/>
  <c r="B29" i="6"/>
  <c r="B47" i="6" s="1"/>
  <c r="E2" i="15"/>
  <c r="E2" i="17" s="1"/>
  <c r="C5" i="6" s="1"/>
  <c r="C20" i="6" s="1"/>
  <c r="F1" i="15"/>
  <c r="G1" i="15" s="1"/>
  <c r="H1" i="15" s="1"/>
  <c r="I1" i="15" s="1"/>
  <c r="J1" i="15" s="1"/>
  <c r="K1" i="15" s="1"/>
  <c r="L1" i="15" s="1"/>
  <c r="M1" i="15" s="1"/>
  <c r="K34" i="6"/>
  <c r="K28" i="6"/>
  <c r="K22" i="6"/>
  <c r="B15" i="15"/>
  <c r="AC10" i="6" l="1"/>
  <c r="T58" i="17"/>
  <c r="T62" i="17"/>
  <c r="T57" i="17"/>
  <c r="T20" i="17" s="1"/>
  <c r="T22" i="16"/>
  <c r="U22" i="16" s="1"/>
  <c r="T66" i="17"/>
  <c r="T60" i="16"/>
  <c r="U60" i="16" s="1"/>
  <c r="V60" i="16" s="1"/>
  <c r="W60" i="16" s="1"/>
  <c r="Y60" i="16" s="1"/>
  <c r="T61" i="17"/>
  <c r="T27" i="17" s="1"/>
  <c r="T35" i="16"/>
  <c r="U35" i="16" s="1"/>
  <c r="B13" i="6"/>
  <c r="B15" i="6"/>
  <c r="B17" i="6"/>
  <c r="T71" i="17"/>
  <c r="T54" i="17"/>
  <c r="T53" i="17"/>
  <c r="T15" i="17" s="1"/>
  <c r="N1" i="15"/>
  <c r="N2" i="15" s="1"/>
  <c r="N2" i="17" s="1"/>
  <c r="G9" i="6"/>
  <c r="AF9" i="6" s="1"/>
  <c r="C7" i="6"/>
  <c r="G7" i="6" s="1"/>
  <c r="AF7" i="6" s="1"/>
  <c r="AC16" i="6"/>
  <c r="Z14" i="6"/>
  <c r="U16" i="6"/>
  <c r="T16" i="6"/>
  <c r="B11" i="6"/>
  <c r="R6" i="15"/>
  <c r="H6" i="15"/>
  <c r="M6" i="15"/>
  <c r="K46" i="6"/>
  <c r="K47" i="6" s="1"/>
  <c r="K18" i="6" s="1"/>
  <c r="S7" i="15"/>
  <c r="I8" i="15"/>
  <c r="I2" i="15"/>
  <c r="I2" i="17" s="1"/>
  <c r="G5" i="6" s="1"/>
  <c r="G20" i="6" s="1"/>
  <c r="I7" i="15"/>
  <c r="F2" i="15"/>
  <c r="F2" i="17" s="1"/>
  <c r="D5" i="6" s="1"/>
  <c r="D20" i="6" s="1"/>
  <c r="G2" i="15"/>
  <c r="G2" i="17" s="1"/>
  <c r="E5" i="6" s="1"/>
  <c r="E20" i="6" s="1"/>
  <c r="H2" i="15"/>
  <c r="H2" i="17" s="1"/>
  <c r="F5" i="6" s="1"/>
  <c r="F20" i="6" s="1"/>
  <c r="K2" i="15"/>
  <c r="K2" i="17" s="1"/>
  <c r="K40" i="6"/>
  <c r="K41" i="6" s="1"/>
  <c r="J2" i="15"/>
  <c r="J2" i="17" s="1"/>
  <c r="L2" i="15"/>
  <c r="L2" i="17" s="1"/>
  <c r="M2" i="15"/>
  <c r="M2" i="17" s="1"/>
  <c r="E2" i="16"/>
  <c r="W16" i="6"/>
  <c r="X16" i="6"/>
  <c r="Y16" i="6"/>
  <c r="S14" i="6"/>
  <c r="AB14" i="6"/>
  <c r="N45" i="17"/>
  <c r="C16" i="12" s="1"/>
  <c r="I73" i="16"/>
  <c r="I74" i="16" s="1"/>
  <c r="I79" i="16"/>
  <c r="I80" i="16" s="1"/>
  <c r="I67" i="16"/>
  <c r="I68" i="16" s="1"/>
  <c r="E49" i="17"/>
  <c r="E75" i="17" s="1"/>
  <c r="I41" i="6"/>
  <c r="J41" i="6"/>
  <c r="I29" i="6"/>
  <c r="I12" i="6" s="1"/>
  <c r="K29" i="6"/>
  <c r="K12" i="6" s="1"/>
  <c r="K35" i="6"/>
  <c r="I47" i="6"/>
  <c r="I18" i="6" s="1"/>
  <c r="J29" i="6"/>
  <c r="J12" i="6" s="1"/>
  <c r="J35" i="6"/>
  <c r="I35" i="6"/>
  <c r="J47" i="6"/>
  <c r="J18" i="6" s="1"/>
  <c r="I23" i="6"/>
  <c r="I10" i="6" s="1"/>
  <c r="K23" i="6"/>
  <c r="K10" i="6" s="1"/>
  <c r="J23" i="6"/>
  <c r="J10" i="6" s="1"/>
  <c r="I10" i="16"/>
  <c r="N46" i="17"/>
  <c r="S46" i="17"/>
  <c r="I41" i="16"/>
  <c r="I53" i="16"/>
  <c r="I22" i="16"/>
  <c r="I28" i="16"/>
  <c r="I35" i="16"/>
  <c r="S8" i="15"/>
  <c r="I45" i="17"/>
  <c r="C15" i="12" s="1"/>
  <c r="I54" i="16" l="1"/>
  <c r="T34" i="17"/>
  <c r="U34" i="17" s="1"/>
  <c r="V34" i="17" s="1"/>
  <c r="W34" i="17" s="1"/>
  <c r="Y34" i="17" s="1"/>
  <c r="Z34" i="17" s="1"/>
  <c r="AA34" i="17" s="1"/>
  <c r="AB34" i="17" s="1"/>
  <c r="V35" i="16"/>
  <c r="U41" i="16"/>
  <c r="U47" i="16" s="1"/>
  <c r="U53" i="16" s="1"/>
  <c r="V22" i="16"/>
  <c r="U28" i="16"/>
  <c r="T21" i="17"/>
  <c r="T22" i="17" s="1"/>
  <c r="U20" i="17"/>
  <c r="U27" i="17"/>
  <c r="T29" i="17"/>
  <c r="T41" i="16"/>
  <c r="T47" i="16" s="1"/>
  <c r="T53" i="16" s="1"/>
  <c r="T28" i="16"/>
  <c r="T30" i="17"/>
  <c r="T28" i="17"/>
  <c r="I42" i="16"/>
  <c r="J36" i="16"/>
  <c r="J61" i="17" s="1"/>
  <c r="N36" i="16"/>
  <c r="U16" i="16"/>
  <c r="J11" i="16"/>
  <c r="J53" i="17" s="1"/>
  <c r="N11" i="16"/>
  <c r="J23" i="16"/>
  <c r="J57" i="17" s="1"/>
  <c r="N23" i="16"/>
  <c r="U15" i="17"/>
  <c r="T16" i="17"/>
  <c r="T17" i="17" s="1"/>
  <c r="T16" i="16"/>
  <c r="S17" i="15"/>
  <c r="D8" i="6"/>
  <c r="I16" i="15"/>
  <c r="I18" i="15"/>
  <c r="S16" i="15"/>
  <c r="S18" i="15"/>
  <c r="I17" i="15"/>
  <c r="I5" i="6"/>
  <c r="I20" i="6" s="1"/>
  <c r="K2" i="16"/>
  <c r="J5" i="6"/>
  <c r="J20" i="6" s="1"/>
  <c r="L2" i="16"/>
  <c r="H5" i="6"/>
  <c r="H20" i="6" s="1"/>
  <c r="J2" i="16"/>
  <c r="N49" i="17"/>
  <c r="N75" i="17" s="1"/>
  <c r="N2" i="16"/>
  <c r="K5" i="6"/>
  <c r="K20" i="6" s="1"/>
  <c r="M2" i="16"/>
  <c r="O1" i="15"/>
  <c r="K16" i="6"/>
  <c r="K14" i="6"/>
  <c r="J14" i="6"/>
  <c r="J16" i="6"/>
  <c r="I14" i="6"/>
  <c r="I16" i="6"/>
  <c r="I6" i="15"/>
  <c r="S6" i="15"/>
  <c r="I2" i="16"/>
  <c r="I49" i="17"/>
  <c r="I75" i="17" s="1"/>
  <c r="M49" i="17"/>
  <c r="M75" i="17" s="1"/>
  <c r="L5" i="6"/>
  <c r="L20" i="6" s="1"/>
  <c r="H2" i="16"/>
  <c r="K49" i="17"/>
  <c r="K75" i="17" s="1"/>
  <c r="G2" i="16"/>
  <c r="F2" i="16"/>
  <c r="L49" i="17"/>
  <c r="L75" i="17" s="1"/>
  <c r="G49" i="17"/>
  <c r="G75" i="17" s="1"/>
  <c r="F49" i="17"/>
  <c r="F75" i="17" s="1"/>
  <c r="J49" i="17"/>
  <c r="J75" i="17" s="1"/>
  <c r="H49" i="17"/>
  <c r="H75" i="17" s="1"/>
  <c r="S45" i="17"/>
  <c r="C17" i="12" s="1"/>
  <c r="I46" i="17"/>
  <c r="I60" i="16"/>
  <c r="I47" i="16"/>
  <c r="I48" i="16" s="1"/>
  <c r="I16" i="16"/>
  <c r="T46" i="17" l="1"/>
  <c r="T31" i="17"/>
  <c r="U28" i="17"/>
  <c r="V27" i="17"/>
  <c r="U30" i="17"/>
  <c r="U29" i="17"/>
  <c r="V20" i="17"/>
  <c r="U21" i="17"/>
  <c r="U22" i="17" s="1"/>
  <c r="W22" i="16"/>
  <c r="V28" i="16"/>
  <c r="V41" i="16"/>
  <c r="V47" i="16" s="1"/>
  <c r="V53" i="16" s="1"/>
  <c r="W35" i="16"/>
  <c r="V15" i="17"/>
  <c r="U16" i="17"/>
  <c r="U17" i="17" s="1"/>
  <c r="J61" i="16"/>
  <c r="V16" i="16"/>
  <c r="P1" i="15"/>
  <c r="O2" i="15"/>
  <c r="O2" i="17" s="1"/>
  <c r="O2" i="16" s="1"/>
  <c r="U46" i="17" l="1"/>
  <c r="U31" i="17"/>
  <c r="Y35" i="16"/>
  <c r="W41" i="16"/>
  <c r="W47" i="16" s="1"/>
  <c r="W53" i="16" s="1"/>
  <c r="Y22" i="16"/>
  <c r="W28" i="16"/>
  <c r="W27" i="17"/>
  <c r="X27" i="17" s="1"/>
  <c r="X61" i="17" s="1"/>
  <c r="V28" i="17"/>
  <c r="V30" i="17"/>
  <c r="V29" i="17"/>
  <c r="W20" i="17"/>
  <c r="V21" i="17"/>
  <c r="V22" i="17" s="1"/>
  <c r="W16" i="16"/>
  <c r="W15" i="17"/>
  <c r="Y15" i="17" s="1"/>
  <c r="V16" i="17"/>
  <c r="V17" i="17" s="1"/>
  <c r="Q1" i="15"/>
  <c r="P2" i="15"/>
  <c r="P2" i="17" s="1"/>
  <c r="P2" i="16" s="1"/>
  <c r="M5" i="6"/>
  <c r="M20" i="6" s="1"/>
  <c r="O49" i="17"/>
  <c r="O75" i="17" s="1"/>
  <c r="V46" i="17" l="1"/>
  <c r="V31" i="17"/>
  <c r="W30" i="17"/>
  <c r="X30" i="17" s="1"/>
  <c r="X64" i="17" s="1"/>
  <c r="Y27" i="17"/>
  <c r="W28" i="17"/>
  <c r="X28" i="17" s="1"/>
  <c r="X62" i="17" s="1"/>
  <c r="W29" i="17"/>
  <c r="X29" i="17" s="1"/>
  <c r="X63" i="17" s="1"/>
  <c r="X34" i="17"/>
  <c r="X66" i="17" s="1"/>
  <c r="Z35" i="16"/>
  <c r="Y41" i="16"/>
  <c r="Y28" i="16"/>
  <c r="Z22" i="16"/>
  <c r="W21" i="17"/>
  <c r="X21" i="17" s="1"/>
  <c r="Y20" i="17"/>
  <c r="X20" i="17"/>
  <c r="X57" i="17" s="1"/>
  <c r="Z15" i="17"/>
  <c r="Y16" i="17"/>
  <c r="Y16" i="16"/>
  <c r="N5" i="6"/>
  <c r="N20" i="6" s="1"/>
  <c r="P49" i="17"/>
  <c r="P75" i="17" s="1"/>
  <c r="R1" i="15"/>
  <c r="Q2" i="15"/>
  <c r="Q2" i="17" s="1"/>
  <c r="Q2" i="16" s="1"/>
  <c r="W22" i="17" l="1"/>
  <c r="Z28" i="16"/>
  <c r="AA22" i="16"/>
  <c r="Y47" i="16"/>
  <c r="W31" i="17"/>
  <c r="X31" i="17" s="1"/>
  <c r="D29" i="12" s="1"/>
  <c r="Y28" i="17"/>
  <c r="Y30" i="17"/>
  <c r="Y29" i="17"/>
  <c r="Z27" i="17"/>
  <c r="AA35" i="16"/>
  <c r="Z41" i="16"/>
  <c r="Z47" i="16" s="1"/>
  <c r="Z53" i="16" s="1"/>
  <c r="Y21" i="17"/>
  <c r="Y22" i="17" s="1"/>
  <c r="Z20" i="17"/>
  <c r="AA15" i="17"/>
  <c r="Z16" i="17"/>
  <c r="Z17" i="17" s="1"/>
  <c r="Z16" i="16"/>
  <c r="Y17" i="17"/>
  <c r="O5" i="6"/>
  <c r="O20" i="6" s="1"/>
  <c r="Q49" i="17"/>
  <c r="Q75" i="17" s="1"/>
  <c r="S1" i="15"/>
  <c r="R2" i="15"/>
  <c r="R2" i="17" s="1"/>
  <c r="R2" i="16" s="1"/>
  <c r="I47" i="17"/>
  <c r="C5" i="12" s="1"/>
  <c r="S47" i="17"/>
  <c r="C7" i="12" s="1"/>
  <c r="Y46" i="17" l="1"/>
  <c r="X22" i="17"/>
  <c r="Y31" i="17"/>
  <c r="Y53" i="16"/>
  <c r="AA28" i="16"/>
  <c r="AB22" i="16"/>
  <c r="AA20" i="17"/>
  <c r="Z21" i="17"/>
  <c r="Z22" i="17" s="1"/>
  <c r="Z46" i="17" s="1"/>
  <c r="AB35" i="16"/>
  <c r="AB41" i="16" s="1"/>
  <c r="AB47" i="16" s="1"/>
  <c r="AB53" i="16" s="1"/>
  <c r="AA41" i="16"/>
  <c r="AA47" i="16" s="1"/>
  <c r="AA53" i="16" s="1"/>
  <c r="Z29" i="17"/>
  <c r="Z28" i="17"/>
  <c r="Z30" i="17"/>
  <c r="AA27" i="17"/>
  <c r="AB16" i="16"/>
  <c r="AA16" i="16"/>
  <c r="AA16" i="17"/>
  <c r="AA17" i="17" s="1"/>
  <c r="AB15" i="17"/>
  <c r="AC15" i="17" s="1"/>
  <c r="P5" i="6"/>
  <c r="P20" i="6" s="1"/>
  <c r="R49" i="17"/>
  <c r="R75" i="17" s="1"/>
  <c r="T1" i="15"/>
  <c r="S2" i="15"/>
  <c r="S2" i="17" s="1"/>
  <c r="S2" i="16" s="1"/>
  <c r="N47" i="17"/>
  <c r="C6" i="12" s="1"/>
  <c r="AD15" i="17" l="1"/>
  <c r="AC35" i="16"/>
  <c r="AC53" i="16"/>
  <c r="Z31" i="17"/>
  <c r="AB27" i="17"/>
  <c r="AA29" i="17"/>
  <c r="AA30" i="17"/>
  <c r="AA28" i="17"/>
  <c r="AA21" i="17"/>
  <c r="AA22" i="17" s="1"/>
  <c r="AA46" i="17" s="1"/>
  <c r="AB20" i="17"/>
  <c r="AB28" i="16"/>
  <c r="AC28" i="16" s="1"/>
  <c r="AC22" i="16"/>
  <c r="AD22" i="16" s="1"/>
  <c r="AC47" i="16"/>
  <c r="AC41" i="16"/>
  <c r="AC16" i="16"/>
  <c r="AC10" i="16"/>
  <c r="AD10" i="16" s="1"/>
  <c r="AE10" i="16" s="1"/>
  <c r="AF10" i="16" s="1"/>
  <c r="AD16" i="17"/>
  <c r="AD17" i="17" s="1"/>
  <c r="AE15" i="17"/>
  <c r="AB16" i="17"/>
  <c r="AC16" i="17" s="1"/>
  <c r="AC54" i="17" s="1"/>
  <c r="S49" i="17"/>
  <c r="S75" i="17" s="1"/>
  <c r="Q5" i="6"/>
  <c r="Q20" i="6" s="1"/>
  <c r="U1" i="15"/>
  <c r="U2" i="15" s="1"/>
  <c r="T2" i="15"/>
  <c r="T2" i="17" s="1"/>
  <c r="T49" i="17" s="1"/>
  <c r="AC29" i="16" l="1"/>
  <c r="AC54" i="16"/>
  <c r="AB17" i="17"/>
  <c r="AC17" i="17" s="1"/>
  <c r="AC48" i="16"/>
  <c r="AC42" i="16"/>
  <c r="AD35" i="16"/>
  <c r="AE35" i="16" s="1"/>
  <c r="AA31" i="17"/>
  <c r="AC34" i="17"/>
  <c r="AC17" i="16"/>
  <c r="AC27" i="17"/>
  <c r="AC61" i="17" s="1"/>
  <c r="AB30" i="17"/>
  <c r="AC30" i="17" s="1"/>
  <c r="AC64" i="17" s="1"/>
  <c r="AB29" i="17"/>
  <c r="AC29" i="17" s="1"/>
  <c r="AC63" i="17" s="1"/>
  <c r="AB28" i="17"/>
  <c r="AC28" i="17" s="1"/>
  <c r="AC62" i="17" s="1"/>
  <c r="AE22" i="16"/>
  <c r="AD28" i="16"/>
  <c r="AC20" i="17"/>
  <c r="AB21" i="17"/>
  <c r="AC21" i="17" s="1"/>
  <c r="AF15" i="17"/>
  <c r="AF16" i="17" s="1"/>
  <c r="AF17" i="17" s="1"/>
  <c r="AE16" i="17"/>
  <c r="AE17" i="17" s="1"/>
  <c r="AD16" i="16"/>
  <c r="R5" i="6"/>
  <c r="R20" i="6" s="1"/>
  <c r="T2" i="16"/>
  <c r="T75" i="17"/>
  <c r="V1" i="15"/>
  <c r="V2" i="15" s="1"/>
  <c r="U2" i="17"/>
  <c r="U2" i="16" s="1"/>
  <c r="AD20" i="17" l="1"/>
  <c r="AD21" i="17" s="1"/>
  <c r="AD22" i="17" s="1"/>
  <c r="AD46" i="17" s="1"/>
  <c r="AC57" i="17"/>
  <c r="AC66" i="17"/>
  <c r="AD41" i="16"/>
  <c r="AD47" i="16" s="1"/>
  <c r="AD53" i="16" s="1"/>
  <c r="AB31" i="17"/>
  <c r="AC31" i="17" s="1"/>
  <c r="D30" i="12" s="1"/>
  <c r="AB22" i="17"/>
  <c r="AE28" i="16"/>
  <c r="AF22" i="16"/>
  <c r="AF28" i="16" s="1"/>
  <c r="AF35" i="16"/>
  <c r="AF41" i="16" s="1"/>
  <c r="AF47" i="16" s="1"/>
  <c r="AF53" i="16" s="1"/>
  <c r="AE41" i="16"/>
  <c r="AE47" i="16" s="1"/>
  <c r="AE53" i="16" s="1"/>
  <c r="AD27" i="17"/>
  <c r="AF16" i="16"/>
  <c r="AE16" i="16"/>
  <c r="W1" i="15"/>
  <c r="W2" i="15" s="1"/>
  <c r="V2" i="17"/>
  <c r="V2" i="16" s="1"/>
  <c r="S5" i="6"/>
  <c r="S20" i="6" s="1"/>
  <c r="U49" i="17"/>
  <c r="U75" i="17" s="1"/>
  <c r="AE20" i="17" l="1"/>
  <c r="AC22" i="17"/>
  <c r="AB46" i="17"/>
  <c r="AC46" i="17" s="1"/>
  <c r="AD29" i="17"/>
  <c r="AD30" i="17"/>
  <c r="AE27" i="17"/>
  <c r="AD28" i="17"/>
  <c r="AF20" i="17"/>
  <c r="AF21" i="17" s="1"/>
  <c r="AF22" i="17" s="1"/>
  <c r="AF46" i="17" s="1"/>
  <c r="AE21" i="17"/>
  <c r="AE22" i="17" s="1"/>
  <c r="AE46" i="17" s="1"/>
  <c r="V49" i="17"/>
  <c r="V75" i="17" s="1"/>
  <c r="T5" i="6"/>
  <c r="T20" i="6" s="1"/>
  <c r="X1" i="15"/>
  <c r="W2" i="17"/>
  <c r="W2" i="16" s="1"/>
  <c r="AD31" i="17" l="1"/>
  <c r="D31" i="12" s="1"/>
  <c r="AF27" i="17"/>
  <c r="AE28" i="17"/>
  <c r="AE30" i="17"/>
  <c r="AE29" i="17"/>
  <c r="W49" i="17"/>
  <c r="W75" i="17" s="1"/>
  <c r="U5" i="6"/>
  <c r="U20" i="6" s="1"/>
  <c r="Y1" i="15"/>
  <c r="Y2" i="15" s="1"/>
  <c r="X2" i="15"/>
  <c r="X2" i="17" s="1"/>
  <c r="X49" i="17" s="1"/>
  <c r="X75" i="17" s="1"/>
  <c r="AE31" i="17" l="1"/>
  <c r="D32" i="12" s="1"/>
  <c r="AF29" i="17"/>
  <c r="AF28" i="17"/>
  <c r="AF30" i="17"/>
  <c r="Z1" i="15"/>
  <c r="Z2" i="15" s="1"/>
  <c r="Y2" i="17"/>
  <c r="Y2" i="16" s="1"/>
  <c r="X2" i="16"/>
  <c r="V5" i="6"/>
  <c r="V20" i="6" s="1"/>
  <c r="AF31" i="17" l="1"/>
  <c r="W5" i="6"/>
  <c r="W20" i="6" s="1"/>
  <c r="Y49" i="17"/>
  <c r="Y75" i="17" s="1"/>
  <c r="AA1" i="15"/>
  <c r="AA2" i="15" s="1"/>
  <c r="Z2" i="17"/>
  <c r="Z2" i="16" s="1"/>
  <c r="AB1" i="15" l="1"/>
  <c r="AB2" i="15" s="1"/>
  <c r="AA2" i="17"/>
  <c r="AA2" i="16" s="1"/>
  <c r="X5" i="6"/>
  <c r="X20" i="6" s="1"/>
  <c r="Z49" i="17"/>
  <c r="Z75" i="17" s="1"/>
  <c r="AA49" i="17" l="1"/>
  <c r="AA75" i="17" s="1"/>
  <c r="Y5" i="6"/>
  <c r="Y20" i="6" s="1"/>
  <c r="AC1" i="15"/>
  <c r="AB2" i="17"/>
  <c r="AB2" i="16" s="1"/>
  <c r="Z5" i="6" l="1"/>
  <c r="Z20" i="6" s="1"/>
  <c r="AB49" i="17"/>
  <c r="AB75" i="17" s="1"/>
  <c r="AD1" i="15"/>
  <c r="AC2" i="15"/>
  <c r="AC2" i="17" s="1"/>
  <c r="F25" i="10"/>
  <c r="K2" i="14"/>
  <c r="K3" i="14" s="1"/>
  <c r="K4" i="14" s="1"/>
  <c r="K5" i="14" s="1"/>
  <c r="J11" i="14"/>
  <c r="D12" i="14" s="1"/>
  <c r="P11" i="14"/>
  <c r="Q11" i="14" s="1"/>
  <c r="R11" i="14" s="1"/>
  <c r="S11" i="14" s="1"/>
  <c r="T11" i="14" s="1"/>
  <c r="E12" i="14"/>
  <c r="E13" i="14"/>
  <c r="E14" i="14"/>
  <c r="D15" i="14"/>
  <c r="E20" i="14"/>
  <c r="E21" i="14"/>
  <c r="E29" i="14"/>
  <c r="AF8" i="13"/>
  <c r="AF49" i="13" s="1"/>
  <c r="AG8" i="13"/>
  <c r="AG49" i="13" s="1"/>
  <c r="AH8" i="13"/>
  <c r="AH49" i="13" s="1"/>
  <c r="AI8" i="13"/>
  <c r="AI49" i="13" s="1"/>
  <c r="AJ8" i="13"/>
  <c r="AJ49" i="13" s="1"/>
  <c r="AK8" i="13"/>
  <c r="AK49" i="13" s="1"/>
  <c r="AL8" i="13"/>
  <c r="AM8" i="13"/>
  <c r="AM49" i="13" s="1"/>
  <c r="AN8" i="13"/>
  <c r="AN49" i="13" s="1"/>
  <c r="AO8" i="13"/>
  <c r="AO49" i="13" s="1"/>
  <c r="AP8" i="13"/>
  <c r="AP49" i="13" s="1"/>
  <c r="AQ8" i="13"/>
  <c r="AQ49" i="13" s="1"/>
  <c r="AR8" i="13"/>
  <c r="AR49" i="13" s="1"/>
  <c r="BB8" i="13"/>
  <c r="BB49" i="13" s="1"/>
  <c r="BC8" i="13"/>
  <c r="BC49" i="13" s="1"/>
  <c r="BD8" i="13"/>
  <c r="BD49" i="13" s="1"/>
  <c r="BE8" i="13"/>
  <c r="BE49" i="13" s="1"/>
  <c r="BF8" i="13"/>
  <c r="BF49" i="13" s="1"/>
  <c r="BG8" i="13"/>
  <c r="BG49" i="13" s="1"/>
  <c r="BH8" i="13"/>
  <c r="BH49" i="13" s="1"/>
  <c r="BI8" i="13"/>
  <c r="BI49" i="13" s="1"/>
  <c r="BJ8" i="13"/>
  <c r="BJ49" i="13" s="1"/>
  <c r="BK8" i="13"/>
  <c r="BK49" i="13" s="1"/>
  <c r="BL8" i="13"/>
  <c r="BL49" i="13" s="1"/>
  <c r="BM8" i="13"/>
  <c r="BM49" i="13" s="1"/>
  <c r="BN8" i="13"/>
  <c r="BN49" i="13" s="1"/>
  <c r="AV10" i="13"/>
  <c r="AC18" i="13"/>
  <c r="AD18" i="13"/>
  <c r="AE18" i="13"/>
  <c r="AF18" i="13"/>
  <c r="AG18" i="13"/>
  <c r="AH18" i="13"/>
  <c r="AI18" i="13"/>
  <c r="AJ18" i="13"/>
  <c r="AK18" i="13"/>
  <c r="AL18" i="13"/>
  <c r="AM18" i="13"/>
  <c r="AN18" i="13"/>
  <c r="AO18" i="13"/>
  <c r="AP18" i="13"/>
  <c r="AQ18" i="13"/>
  <c r="AR18" i="13"/>
  <c r="AY18" i="13"/>
  <c r="AZ18" i="13"/>
  <c r="BA18" i="13"/>
  <c r="BB18" i="13"/>
  <c r="BC18" i="13"/>
  <c r="BD18" i="13"/>
  <c r="BE18" i="13"/>
  <c r="BF18" i="13"/>
  <c r="BG18" i="13"/>
  <c r="BH18" i="13"/>
  <c r="BI18" i="13"/>
  <c r="BJ18" i="13"/>
  <c r="BK18" i="13"/>
  <c r="BL18" i="13"/>
  <c r="BM18" i="13"/>
  <c r="BN18" i="13"/>
  <c r="AC19" i="13"/>
  <c r="AD19" i="13"/>
  <c r="AE19" i="13"/>
  <c r="AF19" i="13"/>
  <c r="AG19" i="13"/>
  <c r="AH19" i="13"/>
  <c r="AI19" i="13"/>
  <c r="AJ19" i="13"/>
  <c r="AK19" i="13"/>
  <c r="AL19" i="13"/>
  <c r="AM19" i="13"/>
  <c r="AN19" i="13"/>
  <c r="AO19" i="13"/>
  <c r="AP19" i="13"/>
  <c r="AQ19" i="13"/>
  <c r="AR19" i="13"/>
  <c r="AY19" i="13"/>
  <c r="AZ19" i="13"/>
  <c r="BA19" i="13"/>
  <c r="BB19" i="13"/>
  <c r="BC19" i="13"/>
  <c r="BD19" i="13"/>
  <c r="BE19" i="13"/>
  <c r="BF19" i="13"/>
  <c r="BG19" i="13"/>
  <c r="BH19" i="13"/>
  <c r="BI19" i="13"/>
  <c r="BJ19" i="13"/>
  <c r="BK19" i="13"/>
  <c r="BL19" i="13"/>
  <c r="BM19" i="13"/>
  <c r="BN19" i="13"/>
  <c r="AC20" i="13"/>
  <c r="AD20" i="13"/>
  <c r="AE20" i="13"/>
  <c r="AF20" i="13"/>
  <c r="AG20" i="13"/>
  <c r="AH20" i="13"/>
  <c r="AI20" i="13"/>
  <c r="AJ20" i="13"/>
  <c r="AK20" i="13"/>
  <c r="AL20" i="13"/>
  <c r="AM20" i="13"/>
  <c r="AN20" i="13"/>
  <c r="AO20" i="13"/>
  <c r="AP20" i="13"/>
  <c r="AQ20" i="13"/>
  <c r="AR20" i="13"/>
  <c r="AY20" i="13"/>
  <c r="AZ20" i="13"/>
  <c r="BA20" i="13"/>
  <c r="BB20" i="13"/>
  <c r="BC20" i="13"/>
  <c r="BD20" i="13"/>
  <c r="BE20" i="13"/>
  <c r="BF20" i="13"/>
  <c r="BG20" i="13"/>
  <c r="BH20" i="13"/>
  <c r="BI20" i="13"/>
  <c r="BJ20" i="13"/>
  <c r="BK20" i="13"/>
  <c r="BL20" i="13"/>
  <c r="BM20" i="13"/>
  <c r="BN20" i="13"/>
  <c r="AC21" i="13"/>
  <c r="AD21" i="13"/>
  <c r="AE21" i="13"/>
  <c r="AF21" i="13"/>
  <c r="AG21" i="13"/>
  <c r="AH21" i="13"/>
  <c r="AI21" i="13"/>
  <c r="AJ21" i="13"/>
  <c r="AK21" i="13"/>
  <c r="AL21" i="13"/>
  <c r="AM21" i="13"/>
  <c r="AN21" i="13"/>
  <c r="AO21" i="13"/>
  <c r="AP21" i="13"/>
  <c r="AQ21" i="13"/>
  <c r="AR21" i="13"/>
  <c r="AY21" i="13"/>
  <c r="AZ21" i="13"/>
  <c r="BA21" i="13"/>
  <c r="BB21" i="13"/>
  <c r="BC21" i="13"/>
  <c r="BD21" i="13"/>
  <c r="BE21" i="13"/>
  <c r="BF21" i="13"/>
  <c r="BG21" i="13"/>
  <c r="BH21" i="13"/>
  <c r="BI21" i="13"/>
  <c r="BJ21" i="13"/>
  <c r="BK21" i="13"/>
  <c r="BL21" i="13"/>
  <c r="BM21" i="13"/>
  <c r="BN21" i="13"/>
  <c r="AI23" i="13"/>
  <c r="AI65" i="13" s="1"/>
  <c r="AL23" i="13"/>
  <c r="AL65" i="13" s="1"/>
  <c r="BE23" i="13"/>
  <c r="BE65" i="13" s="1"/>
  <c r="BH23" i="13"/>
  <c r="BH65" i="13" s="1"/>
  <c r="Z28" i="13"/>
  <c r="AV28" i="13"/>
  <c r="Z36" i="13"/>
  <c r="Z78" i="13" s="1"/>
  <c r="AC36" i="13"/>
  <c r="AD36" i="13"/>
  <c r="AE36" i="13"/>
  <c r="AF36" i="13"/>
  <c r="AG36" i="13"/>
  <c r="AH36" i="13"/>
  <c r="AI36" i="13"/>
  <c r="AJ36" i="13"/>
  <c r="AK36" i="13"/>
  <c r="AL36" i="13"/>
  <c r="AM36" i="13"/>
  <c r="AN36" i="13"/>
  <c r="AO36" i="13"/>
  <c r="AP36" i="13"/>
  <c r="AV36" i="13"/>
  <c r="AV78" i="13" s="1"/>
  <c r="AY36" i="13"/>
  <c r="AZ36" i="13"/>
  <c r="BA36" i="13"/>
  <c r="BB36" i="13"/>
  <c r="BC36" i="13"/>
  <c r="BD36" i="13"/>
  <c r="BE36" i="13"/>
  <c r="BF36" i="13"/>
  <c r="BG36" i="13"/>
  <c r="BH36" i="13"/>
  <c r="BI36" i="13"/>
  <c r="BJ36" i="13"/>
  <c r="BK36" i="13"/>
  <c r="BL36" i="13"/>
  <c r="Z37" i="13"/>
  <c r="Z79" i="13" s="1"/>
  <c r="AC37" i="13"/>
  <c r="AD37" i="13"/>
  <c r="AE37" i="13"/>
  <c r="AF37" i="13"/>
  <c r="AG37" i="13"/>
  <c r="AH37" i="13"/>
  <c r="AI37" i="13"/>
  <c r="AJ37" i="13"/>
  <c r="AK37" i="13"/>
  <c r="AL37" i="13"/>
  <c r="AM37" i="13"/>
  <c r="AN37" i="13"/>
  <c r="AO37" i="13"/>
  <c r="AP37" i="13"/>
  <c r="AV37" i="13"/>
  <c r="AV79" i="13" s="1"/>
  <c r="AY37" i="13"/>
  <c r="AZ37" i="13"/>
  <c r="BA37" i="13"/>
  <c r="BB37" i="13"/>
  <c r="BC37" i="13"/>
  <c r="BD37" i="13"/>
  <c r="BE37" i="13"/>
  <c r="BF37" i="13"/>
  <c r="BG37" i="13"/>
  <c r="BH37" i="13"/>
  <c r="BI37" i="13"/>
  <c r="BJ37" i="13"/>
  <c r="BK37" i="13"/>
  <c r="BL37" i="13"/>
  <c r="Z38" i="13"/>
  <c r="Z80" i="13" s="1"/>
  <c r="AC38" i="13"/>
  <c r="AD38" i="13"/>
  <c r="AE38" i="13"/>
  <c r="AF38" i="13"/>
  <c r="AG38" i="13"/>
  <c r="AH38" i="13"/>
  <c r="AI38" i="13"/>
  <c r="AJ38" i="13"/>
  <c r="AK38" i="13"/>
  <c r="AL38" i="13"/>
  <c r="AM38" i="13"/>
  <c r="AN38" i="13"/>
  <c r="AO38" i="13"/>
  <c r="AP38" i="13"/>
  <c r="AV38" i="13"/>
  <c r="AV80" i="13" s="1"/>
  <c r="AY38" i="13"/>
  <c r="AZ38" i="13"/>
  <c r="BA38" i="13"/>
  <c r="BB38" i="13"/>
  <c r="BC38" i="13"/>
  <c r="BD38" i="13"/>
  <c r="BE38" i="13"/>
  <c r="BF38" i="13"/>
  <c r="BG38" i="13"/>
  <c r="BH38" i="13"/>
  <c r="BI38" i="13"/>
  <c r="BJ38" i="13"/>
  <c r="BK38" i="13"/>
  <c r="BL38" i="13"/>
  <c r="Z39" i="13"/>
  <c r="Z81" i="13" s="1"/>
  <c r="AC39" i="13"/>
  <c r="AD39" i="13"/>
  <c r="AE39" i="13"/>
  <c r="AF39" i="13"/>
  <c r="AG39" i="13"/>
  <c r="AH39" i="13"/>
  <c r="AI39" i="13"/>
  <c r="AJ39" i="13"/>
  <c r="AK39" i="13"/>
  <c r="AL39" i="13"/>
  <c r="AM39" i="13"/>
  <c r="AN39" i="13"/>
  <c r="AO39" i="13"/>
  <c r="AP39" i="13"/>
  <c r="AV39" i="13"/>
  <c r="AV81" i="13" s="1"/>
  <c r="AY39" i="13"/>
  <c r="AZ39" i="13"/>
  <c r="BA39" i="13"/>
  <c r="BB39" i="13"/>
  <c r="BC39" i="13"/>
  <c r="BD39" i="13"/>
  <c r="BE39" i="13"/>
  <c r="BF39" i="13"/>
  <c r="BG39" i="13"/>
  <c r="BH39" i="13"/>
  <c r="BI39" i="13"/>
  <c r="BJ39" i="13"/>
  <c r="BK39" i="13"/>
  <c r="BL39" i="13"/>
  <c r="Q47" i="13"/>
  <c r="T47" i="13"/>
  <c r="AM47" i="13"/>
  <c r="AP47" i="13"/>
  <c r="BI47" i="13"/>
  <c r="BL47" i="13"/>
  <c r="G48" i="13"/>
  <c r="H48" i="13"/>
  <c r="I48" i="13"/>
  <c r="K48" i="13"/>
  <c r="M48" i="13"/>
  <c r="O48" i="13"/>
  <c r="Q48" i="13"/>
  <c r="S48" i="13"/>
  <c r="U48" i="13"/>
  <c r="AC48" i="13"/>
  <c r="AD48" i="13"/>
  <c r="AE48" i="13"/>
  <c r="AG48" i="13"/>
  <c r="AI48" i="13"/>
  <c r="AK48" i="13"/>
  <c r="AM48" i="13"/>
  <c r="AO48" i="13"/>
  <c r="AQ48" i="13"/>
  <c r="AY48" i="13"/>
  <c r="AZ48" i="13"/>
  <c r="BA48" i="13"/>
  <c r="BC48" i="13"/>
  <c r="BE48" i="13"/>
  <c r="BG48" i="13"/>
  <c r="BI48" i="13"/>
  <c r="BK48" i="13"/>
  <c r="BM48" i="13"/>
  <c r="F49" i="13"/>
  <c r="G49" i="13"/>
  <c r="H49" i="13"/>
  <c r="I49" i="13"/>
  <c r="J49" i="13"/>
  <c r="K49" i="13"/>
  <c r="L49" i="13"/>
  <c r="M49" i="13"/>
  <c r="N49" i="13"/>
  <c r="O49" i="13"/>
  <c r="P49" i="13"/>
  <c r="Q49" i="13"/>
  <c r="R49" i="13"/>
  <c r="S49" i="13"/>
  <c r="T49" i="13"/>
  <c r="U49" i="13"/>
  <c r="V49" i="13"/>
  <c r="AB49" i="13"/>
  <c r="AC49" i="13"/>
  <c r="AD49" i="13"/>
  <c r="AE49" i="13"/>
  <c r="AL49" i="13"/>
  <c r="AX49" i="13"/>
  <c r="AY49" i="13"/>
  <c r="AZ49" i="13"/>
  <c r="BA49" i="13"/>
  <c r="F51" i="13"/>
  <c r="F70" i="13" s="1"/>
  <c r="Z51" i="13"/>
  <c r="Z10" i="13" s="1"/>
  <c r="AB51" i="13"/>
  <c r="AB70" i="13" s="1"/>
  <c r="AV51" i="13"/>
  <c r="AV70" i="13" s="1"/>
  <c r="AX51" i="13"/>
  <c r="AX70" i="13" s="1"/>
  <c r="AX53" i="13"/>
  <c r="AX72" i="13" s="1"/>
  <c r="AX54" i="13"/>
  <c r="AX73" i="13" s="1"/>
  <c r="AX55" i="13"/>
  <c r="AX74" i="13" s="1"/>
  <c r="AX56" i="13"/>
  <c r="AX75" i="13" s="1"/>
  <c r="AX57" i="13"/>
  <c r="AX76" i="13" s="1"/>
  <c r="D59" i="13"/>
  <c r="Z59" i="13"/>
  <c r="AV59" i="13"/>
  <c r="D60" i="13"/>
  <c r="Z60" i="13"/>
  <c r="AV60" i="13"/>
  <c r="D61" i="13"/>
  <c r="Z61" i="13"/>
  <c r="AV61" i="13"/>
  <c r="D62" i="13"/>
  <c r="Z62" i="13"/>
  <c r="AV62" i="13"/>
  <c r="D65" i="13"/>
  <c r="G65" i="13"/>
  <c r="J65" i="13"/>
  <c r="M65" i="13"/>
  <c r="P65" i="13"/>
  <c r="S65" i="13"/>
  <c r="U65" i="13"/>
  <c r="Z65" i="13"/>
  <c r="AC65" i="13"/>
  <c r="AF65" i="13"/>
  <c r="AO65" i="13"/>
  <c r="AQ65" i="13"/>
  <c r="AV65" i="13"/>
  <c r="AY65" i="13"/>
  <c r="BB65" i="13"/>
  <c r="BK65" i="13"/>
  <c r="BM65" i="13"/>
  <c r="M66" i="13"/>
  <c r="AI66" i="13"/>
  <c r="BE66" i="13"/>
  <c r="I67" i="13"/>
  <c r="P67" i="13"/>
  <c r="Q67" i="13"/>
  <c r="R67" i="13"/>
  <c r="S67" i="13"/>
  <c r="T67" i="13"/>
  <c r="AE67" i="13"/>
  <c r="AL67" i="13"/>
  <c r="AM67" i="13"/>
  <c r="AN67" i="13"/>
  <c r="AO67" i="13"/>
  <c r="AP67" i="13"/>
  <c r="BA67" i="13"/>
  <c r="BH67" i="13"/>
  <c r="BI67" i="13"/>
  <c r="BJ67" i="13"/>
  <c r="BK67" i="13"/>
  <c r="BL67" i="13"/>
  <c r="F68" i="13"/>
  <c r="G68" i="13"/>
  <c r="H68" i="13"/>
  <c r="I68" i="13"/>
  <c r="J68" i="13"/>
  <c r="K68" i="13"/>
  <c r="L68" i="13"/>
  <c r="M68" i="13"/>
  <c r="N68" i="13"/>
  <c r="O68" i="13"/>
  <c r="P68" i="13"/>
  <c r="Q68" i="13"/>
  <c r="R68" i="13"/>
  <c r="S68" i="13"/>
  <c r="T68" i="13"/>
  <c r="AB68" i="13"/>
  <c r="AC68" i="13"/>
  <c r="AD68" i="13"/>
  <c r="AE68" i="13"/>
  <c r="AF68" i="13"/>
  <c r="AG68" i="13"/>
  <c r="AH68" i="13"/>
  <c r="AI68" i="13"/>
  <c r="AJ68" i="13"/>
  <c r="AK68" i="13"/>
  <c r="AL68" i="13"/>
  <c r="AM68" i="13"/>
  <c r="AN68" i="13"/>
  <c r="AO68" i="13"/>
  <c r="AP68" i="13"/>
  <c r="AQ68" i="13"/>
  <c r="AR68" i="13"/>
  <c r="AX68" i="13"/>
  <c r="AY68" i="13"/>
  <c r="AZ68" i="13"/>
  <c r="BA68" i="13"/>
  <c r="BB68" i="13"/>
  <c r="BC68" i="13"/>
  <c r="BD68" i="13"/>
  <c r="BE68" i="13"/>
  <c r="BF68" i="13"/>
  <c r="BG68" i="13"/>
  <c r="BH68" i="13"/>
  <c r="BI68" i="13"/>
  <c r="BJ68" i="13"/>
  <c r="BK68" i="13"/>
  <c r="BL68" i="13"/>
  <c r="BM68" i="13"/>
  <c r="BN68" i="13"/>
  <c r="B70" i="13"/>
  <c r="B51" i="13" s="1"/>
  <c r="AU70" i="13"/>
  <c r="B72" i="13"/>
  <c r="B53" i="13" s="1"/>
  <c r="F72" i="13"/>
  <c r="F53" i="13" s="1"/>
  <c r="X72" i="13"/>
  <c r="X53" i="13" s="1"/>
  <c r="AB72" i="13"/>
  <c r="AB53" i="13" s="1"/>
  <c r="AT72" i="13"/>
  <c r="AT53" i="13" s="1"/>
  <c r="AU72" i="13"/>
  <c r="B73" i="13"/>
  <c r="B54" i="13" s="1"/>
  <c r="D73" i="13"/>
  <c r="F73" i="13"/>
  <c r="F54" i="13" s="1"/>
  <c r="X73" i="13"/>
  <c r="X54" i="13" s="1"/>
  <c r="AB73" i="13"/>
  <c r="AB54" i="13" s="1"/>
  <c r="AT73" i="13"/>
  <c r="AT54" i="13" s="1"/>
  <c r="AU73" i="13"/>
  <c r="B74" i="13"/>
  <c r="B55" i="13" s="1"/>
  <c r="F74" i="13"/>
  <c r="F55" i="13" s="1"/>
  <c r="X74" i="13"/>
  <c r="X55" i="13" s="1"/>
  <c r="AB74" i="13"/>
  <c r="AB55" i="13" s="1"/>
  <c r="AT74" i="13"/>
  <c r="AT55" i="13" s="1"/>
  <c r="AU74" i="13"/>
  <c r="B75" i="13"/>
  <c r="B56" i="13" s="1"/>
  <c r="F75" i="13"/>
  <c r="F56" i="13" s="1"/>
  <c r="X75" i="13"/>
  <c r="X56" i="13" s="1"/>
  <c r="AB75" i="13"/>
  <c r="AB56" i="13" s="1"/>
  <c r="AT75" i="13"/>
  <c r="AT56" i="13" s="1"/>
  <c r="AU75" i="13"/>
  <c r="B76" i="13"/>
  <c r="B57" i="13" s="1"/>
  <c r="F76" i="13"/>
  <c r="F57" i="13" s="1"/>
  <c r="X76" i="13"/>
  <c r="X57" i="13" s="1"/>
  <c r="AB76" i="13"/>
  <c r="AB57" i="13" s="1"/>
  <c r="AT76" i="13"/>
  <c r="AT57" i="13" s="1"/>
  <c r="AU76" i="13"/>
  <c r="D78" i="13"/>
  <c r="D79" i="13"/>
  <c r="D80" i="13"/>
  <c r="D81" i="13"/>
  <c r="D86" i="13"/>
  <c r="D4" i="13" s="1"/>
  <c r="D46" i="13" s="1"/>
  <c r="G86" i="13"/>
  <c r="Z4" i="13" s="1"/>
  <c r="Z46" i="13" s="1"/>
  <c r="L86" i="13"/>
  <c r="AV4" i="13" s="1"/>
  <c r="AV46" i="13" s="1"/>
  <c r="I88" i="13"/>
  <c r="N88" i="13"/>
  <c r="I89" i="13"/>
  <c r="N89" i="13"/>
  <c r="I90" i="13"/>
  <c r="X70" i="13" s="1"/>
  <c r="X51" i="13" s="1"/>
  <c r="N90" i="13"/>
  <c r="AT70" i="13" s="1"/>
  <c r="AT51" i="13" s="1"/>
  <c r="O23" i="14"/>
  <c r="BB51" i="13"/>
  <c r="M54" i="13"/>
  <c r="AJ55" i="13"/>
  <c r="AZ56" i="13"/>
  <c r="I29" i="14"/>
  <c r="AL53" i="13"/>
  <c r="BK54" i="13"/>
  <c r="T56" i="13"/>
  <c r="BC57" i="13"/>
  <c r="V72" i="13"/>
  <c r="AM73" i="13"/>
  <c r="G75" i="13"/>
  <c r="AP76" i="13"/>
  <c r="O27" i="14"/>
  <c r="AE53" i="13"/>
  <c r="AR54" i="13"/>
  <c r="M56" i="13"/>
  <c r="BD57" i="13"/>
  <c r="K72" i="13"/>
  <c r="AN73" i="13"/>
  <c r="O17" i="14"/>
  <c r="AL51" i="13"/>
  <c r="I54" i="13"/>
  <c r="AN55" i="13"/>
  <c r="BD56" i="13"/>
  <c r="AJ70" i="13"/>
  <c r="M73" i="13"/>
  <c r="AI74" i="13"/>
  <c r="AZ75" i="13"/>
  <c r="K74" i="13"/>
  <c r="AO75" i="13"/>
  <c r="I14" i="14"/>
  <c r="AF54" i="13"/>
  <c r="BN56" i="13"/>
  <c r="BI72" i="13"/>
  <c r="O51" i="13"/>
  <c r="AP53" i="13"/>
  <c r="BG54" i="13"/>
  <c r="P56" i="13"/>
  <c r="AY57" i="13"/>
  <c r="AY72" i="13"/>
  <c r="O21" i="14"/>
  <c r="G53" i="13"/>
  <c r="Q56" i="13"/>
  <c r="AZ72" i="13"/>
  <c r="H53" i="13"/>
  <c r="BI57" i="13"/>
  <c r="H74" i="13"/>
  <c r="V76" i="13"/>
  <c r="BC74" i="13"/>
  <c r="AH57" i="13"/>
  <c r="N53" i="13"/>
  <c r="M70" i="13"/>
  <c r="BJ74" i="13"/>
  <c r="I24" i="14"/>
  <c r="L72" i="13"/>
  <c r="BD75" i="13"/>
  <c r="V56" i="13"/>
  <c r="BJ73" i="13"/>
  <c r="L76" i="13"/>
  <c r="BB57" i="13"/>
  <c r="BL76" i="13"/>
  <c r="BK56" i="13"/>
  <c r="AH74" i="13"/>
  <c r="AQ76" i="13"/>
  <c r="U75" i="13"/>
  <c r="BM51" i="13"/>
  <c r="H54" i="13"/>
  <c r="AH72" i="13"/>
  <c r="R75" i="13"/>
  <c r="BJ72" i="13"/>
  <c r="AM55" i="13"/>
  <c r="D55" i="13"/>
  <c r="BG57" i="13"/>
  <c r="BH72" i="13"/>
  <c r="AI53" i="13"/>
  <c r="AL56" i="13"/>
  <c r="O12" i="14"/>
  <c r="H70" i="13"/>
  <c r="AC74" i="13"/>
  <c r="BM75" i="13"/>
  <c r="AI70" i="13"/>
  <c r="AN70" i="13"/>
  <c r="N75" i="13"/>
  <c r="O73" i="13"/>
  <c r="F26" i="14"/>
  <c r="M74" i="13"/>
  <c r="AO76" i="13"/>
  <c r="U51" i="13"/>
  <c r="AV57" i="13"/>
  <c r="BE76" i="13"/>
  <c r="AG76" i="13"/>
  <c r="J56" i="13"/>
  <c r="BF72" i="13"/>
  <c r="AY75" i="13"/>
  <c r="BI70" i="13"/>
  <c r="BJ54" i="13"/>
  <c r="U57" i="13"/>
  <c r="AN74" i="13"/>
  <c r="O54" i="13"/>
  <c r="AP70" i="13"/>
  <c r="K73" i="13"/>
  <c r="AO53" i="13"/>
  <c r="AC72" i="13"/>
  <c r="BK73" i="13"/>
  <c r="S75" i="13"/>
  <c r="AC76" i="13"/>
  <c r="BJ55" i="13"/>
  <c r="D53" i="13"/>
  <c r="BM56" i="13"/>
  <c r="I55" i="13"/>
  <c r="I23" i="14"/>
  <c r="AP75" i="13"/>
  <c r="BC56" i="13"/>
  <c r="BI76" i="13"/>
  <c r="AD75" i="13"/>
  <c r="O55" i="13"/>
  <c r="AJ73" i="13"/>
  <c r="T74" i="13"/>
  <c r="AM74" i="13"/>
  <c r="AF56" i="13"/>
  <c r="BK70" i="13"/>
  <c r="I22" i="14"/>
  <c r="AJ57" i="13"/>
  <c r="N51" i="13"/>
  <c r="O25" i="14"/>
  <c r="BJ51" i="13"/>
  <c r="U54" i="13"/>
  <c r="AR55" i="13"/>
  <c r="BH56" i="13"/>
  <c r="K51" i="13"/>
  <c r="BF53" i="13"/>
  <c r="L55" i="13"/>
  <c r="AG56" i="13"/>
  <c r="BK57" i="13"/>
  <c r="AI72" i="13"/>
  <c r="AY73" i="13"/>
  <c r="P75" i="13"/>
  <c r="BC76" i="13"/>
  <c r="O29" i="14"/>
  <c r="AM53" i="13"/>
  <c r="BD54" i="13"/>
  <c r="U56" i="13"/>
  <c r="BL57" i="13"/>
  <c r="AJ72" i="13"/>
  <c r="AZ73" i="13"/>
  <c r="F19" i="14"/>
  <c r="BF51" i="13"/>
  <c r="Q54" i="13"/>
  <c r="AZ55" i="13"/>
  <c r="BL56" i="13"/>
  <c r="AR70" i="13"/>
  <c r="U73" i="13"/>
  <c r="AQ74" i="13"/>
  <c r="BI75" i="13"/>
  <c r="AJ74" i="13"/>
  <c r="BA75" i="13"/>
  <c r="F16" i="14"/>
  <c r="AZ54" i="13"/>
  <c r="AN57" i="13"/>
  <c r="I12" i="14"/>
  <c r="AE51" i="13"/>
  <c r="BB53" i="13"/>
  <c r="AC56" i="13"/>
  <c r="F23" i="14"/>
  <c r="AZ53" i="13"/>
  <c r="AM76" i="13"/>
  <c r="BD53" i="13"/>
  <c r="L54" i="13"/>
  <c r="BG56" i="13"/>
  <c r="AO72" i="13"/>
  <c r="AY74" i="13"/>
  <c r="AV54" i="13"/>
  <c r="AI75" i="13"/>
  <c r="AV53" i="13"/>
  <c r="BD51" i="13"/>
  <c r="F28" i="14"/>
  <c r="L75" i="13"/>
  <c r="BA55" i="13"/>
  <c r="N56" i="13"/>
  <c r="K76" i="13"/>
  <c r="BE57" i="13"/>
  <c r="D57" i="13"/>
  <c r="BE53" i="13"/>
  <c r="J53" i="13"/>
  <c r="AZ74" i="13"/>
  <c r="BF55" i="13"/>
  <c r="F12" i="14"/>
  <c r="AJ56" i="13"/>
  <c r="F27" i="14"/>
  <c r="I53" i="13"/>
  <c r="AH54" i="13"/>
  <c r="BD55" i="13"/>
  <c r="S57" i="13"/>
  <c r="AI51" i="13"/>
  <c r="BN53" i="13"/>
  <c r="AC55" i="13"/>
  <c r="AO56" i="13"/>
  <c r="S70" i="13"/>
  <c r="AQ72" i="13"/>
  <c r="BH73" i="13"/>
  <c r="AK75" i="13"/>
  <c r="BK76" i="13"/>
  <c r="L51" i="13"/>
  <c r="AY53" i="13"/>
  <c r="BL54" i="13"/>
  <c r="AH56" i="13"/>
  <c r="G70" i="13"/>
  <c r="AR72" i="13"/>
  <c r="O13" i="14"/>
  <c r="F21" i="14"/>
  <c r="BN51" i="13"/>
  <c r="AD54" i="13"/>
  <c r="BH55" i="13"/>
  <c r="AD57" i="13"/>
  <c r="BF70" i="13"/>
  <c r="AH73" i="13"/>
  <c r="BD74" i="13"/>
  <c r="G76" i="13"/>
  <c r="AR74" i="13"/>
  <c r="BJ75" i="13"/>
  <c r="P51" i="13"/>
  <c r="BH54" i="13"/>
  <c r="AZ57" i="13"/>
  <c r="F14" i="14"/>
  <c r="AM51" i="13"/>
  <c r="BJ53" i="13"/>
  <c r="R55" i="13"/>
  <c r="AK56" i="13"/>
  <c r="K70" i="13"/>
  <c r="N73" i="13"/>
  <c r="F25" i="14"/>
  <c r="BC53" i="13"/>
  <c r="BF56" i="13"/>
  <c r="O14" i="14"/>
  <c r="AC54" i="13"/>
  <c r="AM70" i="13"/>
  <c r="AP74" i="13"/>
  <c r="AZ76" i="13"/>
  <c r="AC51" i="13"/>
  <c r="P73" i="13"/>
  <c r="AG54" i="13"/>
  <c r="BM70" i="13"/>
  <c r="AC75" i="13"/>
  <c r="AC57" i="13"/>
  <c r="H75" i="13"/>
  <c r="M51" i="13"/>
  <c r="AP57" i="13"/>
  <c r="AG74" i="13"/>
  <c r="BD76" i="13"/>
  <c r="BF74" i="13"/>
  <c r="AF53" i="13"/>
  <c r="U70" i="13"/>
  <c r="BN74" i="13"/>
  <c r="BH76" i="13"/>
  <c r="BI51" i="13"/>
  <c r="AP72" i="13"/>
  <c r="V55" i="13"/>
  <c r="H73" i="13"/>
  <c r="BL75" i="13"/>
  <c r="P54" i="13"/>
  <c r="AK73" i="13"/>
  <c r="AI54" i="13"/>
  <c r="O20" i="14"/>
  <c r="BN54" i="13"/>
  <c r="BH70" i="13"/>
  <c r="AF51" i="13"/>
  <c r="BE73" i="13"/>
  <c r="AG51" i="13"/>
  <c r="G73" i="13"/>
  <c r="K55" i="13"/>
  <c r="R73" i="13"/>
  <c r="BD70" i="13"/>
  <c r="F29" i="14"/>
  <c r="AC53" i="13"/>
  <c r="AP54" i="13"/>
  <c r="BL55" i="13"/>
  <c r="I13" i="14"/>
  <c r="AQ51" i="13"/>
  <c r="N54" i="13"/>
  <c r="AK55" i="13"/>
  <c r="BA56" i="13"/>
  <c r="AG70" i="13"/>
  <c r="BD72" i="13"/>
  <c r="S74" i="13"/>
  <c r="BF75" i="13"/>
  <c r="F15" i="14"/>
  <c r="AJ51" i="13"/>
  <c r="BG53" i="13"/>
  <c r="N55" i="13"/>
  <c r="AP56" i="13"/>
  <c r="T70" i="13"/>
  <c r="BE72" i="13"/>
  <c r="BJ56" i="13"/>
  <c r="O24" i="14"/>
  <c r="O53" i="13"/>
  <c r="AL54" i="13"/>
  <c r="G56" i="13"/>
  <c r="AL57" i="13"/>
  <c r="BN70" i="13"/>
  <c r="AP73" i="13"/>
  <c r="BL74" i="13"/>
  <c r="P76" i="13"/>
  <c r="BE74" i="13"/>
  <c r="H76" i="13"/>
  <c r="BH51" i="13"/>
  <c r="U55" i="13"/>
  <c r="AC70" i="13"/>
  <c r="I19" i="14"/>
  <c r="AY51" i="13"/>
  <c r="J54" i="13"/>
  <c r="AG55" i="13"/>
  <c r="AV56" i="13"/>
  <c r="AK70" i="13"/>
  <c r="V73" i="13"/>
  <c r="O28" i="14"/>
  <c r="K54" i="13"/>
  <c r="AF57" i="13"/>
  <c r="I16" i="14"/>
  <c r="BI54" i="13"/>
  <c r="BJ70" i="13"/>
  <c r="BH74" i="13"/>
  <c r="BM76" i="13"/>
  <c r="D56" i="13"/>
  <c r="AO74" i="13"/>
  <c r="BM54" i="13"/>
  <c r="T73" i="13"/>
  <c r="AQ75" i="13"/>
  <c r="AK72" i="13"/>
  <c r="AI76" i="13"/>
  <c r="Z53" i="13"/>
  <c r="BM57" i="13"/>
  <c r="BK74" i="13"/>
  <c r="AE55" i="13"/>
  <c r="S76" i="13"/>
  <c r="BL53" i="13"/>
  <c r="AG72" i="13"/>
  <c r="Q75" i="13"/>
  <c r="BK55" i="13"/>
  <c r="AI55" i="13"/>
  <c r="BF73" i="13"/>
  <c r="BG55" i="13"/>
  <c r="AC73" i="13"/>
  <c r="O76" i="13"/>
  <c r="AG57" i="13"/>
  <c r="BG74" i="13"/>
  <c r="AJ76" i="13"/>
  <c r="V51" i="13"/>
  <c r="S56" i="13"/>
  <c r="BK51" i="13"/>
  <c r="BE55" i="13"/>
  <c r="I73" i="13"/>
  <c r="M76" i="13"/>
  <c r="Z57" i="13"/>
  <c r="AB1" i="14"/>
  <c r="BN57" i="13"/>
  <c r="BF76" i="13"/>
  <c r="O26" i="14"/>
  <c r="AE54" i="13"/>
  <c r="AQ73" i="13"/>
  <c r="L70" i="13"/>
  <c r="Q73" i="13"/>
  <c r="O22" i="14"/>
  <c r="BI73" i="13"/>
  <c r="AK54" i="13"/>
  <c r="BA73" i="13"/>
  <c r="BK75" i="13"/>
  <c r="AY76" i="13"/>
  <c r="AR76" i="13"/>
  <c r="AH51" i="13"/>
  <c r="F22" i="14"/>
  <c r="BM55" i="13"/>
  <c r="AI57" i="13"/>
  <c r="U76" i="13"/>
  <c r="Z54" i="13"/>
  <c r="S73" i="13"/>
  <c r="BA53" i="13"/>
  <c r="AL72" i="13"/>
  <c r="F13" i="14"/>
  <c r="J51" i="13"/>
  <c r="AK53" i="13"/>
  <c r="BB54" i="13"/>
  <c r="K56" i="13"/>
  <c r="O18" i="14"/>
  <c r="BC51" i="13"/>
  <c r="V54" i="13"/>
  <c r="AV55" i="13"/>
  <c r="BI56" i="13"/>
  <c r="AO70" i="13"/>
  <c r="BL72" i="13"/>
  <c r="AE74" i="13"/>
  <c r="BN75" i="13"/>
  <c r="F17" i="14"/>
  <c r="AR51" i="13"/>
  <c r="G54" i="13"/>
  <c r="AD55" i="13"/>
  <c r="BB56" i="13"/>
  <c r="AH70" i="13"/>
  <c r="BM72" i="13"/>
  <c r="I15" i="14"/>
  <c r="I26" i="14"/>
  <c r="AG53" i="13"/>
  <c r="BF54" i="13"/>
  <c r="O56" i="13"/>
  <c r="BF57" i="13"/>
  <c r="M72" i="13"/>
  <c r="BC73" i="13"/>
  <c r="K75" i="13"/>
  <c r="AK76" i="13"/>
  <c r="BM74" i="13"/>
  <c r="Q76" i="13"/>
  <c r="V53" i="13"/>
  <c r="AP55" i="13"/>
  <c r="AL70" i="13"/>
  <c r="I21" i="14"/>
  <c r="BG51" i="13"/>
  <c r="R54" i="13"/>
  <c r="AO55" i="13"/>
  <c r="BE56" i="13"/>
  <c r="BG70" i="13"/>
  <c r="AI73" i="13"/>
  <c r="H51" i="13"/>
  <c r="AN54" i="13"/>
  <c r="BH57" i="13"/>
  <c r="F18" i="14"/>
  <c r="AQ55" i="13"/>
  <c r="U72" i="13"/>
  <c r="M75" i="13"/>
  <c r="BE51" i="13"/>
  <c r="BE70" i="13"/>
  <c r="T76" i="13"/>
  <c r="R56" i="13"/>
  <c r="AO73" i="13"/>
  <c r="BG75" i="13"/>
  <c r="AJ75" i="13"/>
  <c r="I25" i="14"/>
  <c r="BH53" i="13"/>
  <c r="O70" i="13"/>
  <c r="O75" i="13"/>
  <c r="H72" i="13"/>
  <c r="T54" i="13"/>
  <c r="AO54" i="13"/>
  <c r="BC72" i="13"/>
  <c r="AH75" i="13"/>
  <c r="BA57" i="13"/>
  <c r="BK72" i="13"/>
  <c r="I75" i="13"/>
  <c r="AI56" i="13"/>
  <c r="BN73" i="13"/>
  <c r="AE76" i="13"/>
  <c r="AE70" i="13"/>
  <c r="O16" i="14"/>
  <c r="I20" i="14"/>
  <c r="BC70" i="13"/>
  <c r="AL55" i="13"/>
  <c r="Z56" i="13"/>
  <c r="AQ53" i="13"/>
  <c r="O72" i="13"/>
  <c r="BA70" i="13"/>
  <c r="AQ70" i="13"/>
  <c r="AD70" i="13"/>
  <c r="I18" i="14"/>
  <c r="AQ54" i="13"/>
  <c r="BL51" i="13"/>
  <c r="P55" i="13"/>
  <c r="BC54" i="13"/>
  <c r="L53" i="13"/>
  <c r="BI53" i="13"/>
  <c r="AE75" i="13"/>
  <c r="BK53" i="13"/>
  <c r="P53" i="13"/>
  <c r="AD72" i="13"/>
  <c r="AY70" i="13"/>
  <c r="BE75" i="13"/>
  <c r="AO57" i="13"/>
  <c r="BN72" i="13"/>
  <c r="R76" i="13"/>
  <c r="N76" i="13"/>
  <c r="AZ70" i="13"/>
  <c r="AP51" i="13"/>
  <c r="AR56" i="13"/>
  <c r="I56" i="13"/>
  <c r="BD73" i="13"/>
  <c r="AG73" i="13"/>
  <c r="L74" i="13"/>
  <c r="T72" i="13"/>
  <c r="AD74" i="13"/>
  <c r="AL74" i="13"/>
  <c r="BC55" i="13"/>
  <c r="AN56" i="13"/>
  <c r="BG72" i="13"/>
  <c r="H56" i="13"/>
  <c r="BE54" i="13"/>
  <c r="AR73" i="13"/>
  <c r="BJ76" i="13"/>
  <c r="AH76" i="13"/>
  <c r="AL76" i="13"/>
  <c r="AH55" i="13"/>
  <c r="AR53" i="13"/>
  <c r="BC75" i="13"/>
  <c r="AD53" i="13"/>
  <c r="G51" i="13"/>
  <c r="AO51" i="13"/>
  <c r="D51" i="13"/>
  <c r="F20" i="14"/>
  <c r="L56" i="13"/>
  <c r="AJ54" i="13"/>
  <c r="AF55" i="13"/>
  <c r="AN75" i="13"/>
  <c r="S54" i="13"/>
  <c r="AH53" i="13"/>
  <c r="AM72" i="13"/>
  <c r="AE72" i="13"/>
  <c r="I76" i="13"/>
  <c r="BJ57" i="13"/>
  <c r="G74" i="13"/>
  <c r="BA54" i="13"/>
  <c r="AD76" i="13"/>
  <c r="G72" i="13"/>
  <c r="BN55" i="13"/>
  <c r="BN76" i="13"/>
  <c r="AM54" i="13"/>
  <c r="I17" i="14"/>
  <c r="J55" i="13"/>
  <c r="AK74" i="13"/>
  <c r="AM75" i="13"/>
  <c r="BA74" i="13"/>
  <c r="V75" i="13"/>
  <c r="AK57" i="13"/>
  <c r="AE56" i="13"/>
  <c r="I27" i="14"/>
  <c r="I28" i="14"/>
  <c r="AL73" i="13"/>
  <c r="AR75" i="13"/>
  <c r="V74" i="13"/>
  <c r="BB55" i="13"/>
  <c r="AQ56" i="13"/>
  <c r="AJ53" i="13"/>
  <c r="AQ57" i="13"/>
  <c r="L73" i="13"/>
  <c r="AE73" i="13"/>
  <c r="I74" i="13"/>
  <c r="BM73" i="13"/>
  <c r="BG76" i="13"/>
  <c r="BM53" i="13"/>
  <c r="I72" i="13"/>
  <c r="AR57" i="13"/>
  <c r="I70" i="13"/>
  <c r="BL73" i="13"/>
  <c r="AD56" i="13"/>
  <c r="AY54" i="13"/>
  <c r="O19" i="14"/>
  <c r="AK51" i="13"/>
  <c r="U74" i="13"/>
  <c r="AY55" i="13"/>
  <c r="AG75" i="13"/>
  <c r="F24" i="14"/>
  <c r="O74" i="13"/>
  <c r="Z55" i="13"/>
  <c r="AD73" i="13"/>
  <c r="BL70" i="13"/>
  <c r="V70" i="13"/>
  <c r="T75" i="13"/>
  <c r="S72" i="13"/>
  <c r="BI55" i="13"/>
  <c r="AN51" i="13"/>
  <c r="AY56" i="13"/>
  <c r="AL75" i="13"/>
  <c r="AN76" i="13"/>
  <c r="BA72" i="13"/>
  <c r="AN53" i="13"/>
  <c r="BI74" i="13"/>
  <c r="AN72" i="13"/>
  <c r="AZ51" i="13"/>
  <c r="BA76" i="13"/>
  <c r="AM56" i="13"/>
  <c r="O15" i="14"/>
  <c r="AE57" i="13"/>
  <c r="I51" i="13"/>
  <c r="BA51" i="13"/>
  <c r="AD51" i="13"/>
  <c r="AM57" i="13"/>
  <c r="BG73" i="13"/>
  <c r="BH75" i="13"/>
  <c r="AC49" i="17" l="1"/>
  <c r="AC75" i="17" s="1"/>
  <c r="AC2" i="16"/>
  <c r="AE1" i="15"/>
  <c r="AD2" i="15"/>
  <c r="AD2" i="17" s="1"/>
  <c r="AD2" i="16" s="1"/>
  <c r="AA5" i="6"/>
  <c r="AA20" i="6" s="1"/>
  <c r="K11" i="14"/>
  <c r="L11" i="14" s="1"/>
  <c r="M11" i="14" s="1"/>
  <c r="N11" i="14" s="1"/>
  <c r="E19" i="14"/>
  <c r="E18" i="14"/>
  <c r="E17" i="14"/>
  <c r="E16" i="14"/>
  <c r="E15" i="14"/>
  <c r="E28" i="14"/>
  <c r="E27" i="14"/>
  <c r="E25" i="14"/>
  <c r="E24" i="14"/>
  <c r="E26" i="14"/>
  <c r="E23" i="14"/>
  <c r="D26" i="14"/>
  <c r="E22" i="14"/>
  <c r="D14" i="14"/>
  <c r="D23" i="14"/>
  <c r="D18" i="14"/>
  <c r="D19" i="14"/>
  <c r="D27" i="14"/>
  <c r="D22" i="14"/>
  <c r="D70" i="13"/>
  <c r="BJ80" i="13"/>
  <c r="AN62" i="13"/>
  <c r="BF80" i="13"/>
  <c r="AH80" i="13"/>
  <c r="D76" i="13"/>
  <c r="AV13" i="13"/>
  <c r="AJ62" i="13"/>
  <c r="AP79" i="13"/>
  <c r="BK80" i="13"/>
  <c r="BC79" i="13"/>
  <c r="AG79" i="13"/>
  <c r="AV16" i="13"/>
  <c r="BL60" i="13"/>
  <c r="AF62" i="13"/>
  <c r="T80" i="13"/>
  <c r="T59" i="13"/>
  <c r="AO79" i="13"/>
  <c r="H80" i="13"/>
  <c r="BA81" i="13"/>
  <c r="BH59" i="13"/>
  <c r="Z72" i="13"/>
  <c r="Z12" i="13" s="1"/>
  <c r="B25" i="14"/>
  <c r="L80" i="13"/>
  <c r="AR62" i="13"/>
  <c r="AK78" i="13"/>
  <c r="B24" i="14"/>
  <c r="BD60" i="13"/>
  <c r="N62" i="13"/>
  <c r="P79" i="13"/>
  <c r="D75" i="13"/>
  <c r="Q78" i="13"/>
  <c r="AZ59" i="13"/>
  <c r="H59" i="13"/>
  <c r="B17" i="14"/>
  <c r="B23" i="14"/>
  <c r="B16" i="14"/>
  <c r="AZ78" i="13"/>
  <c r="AE80" i="13"/>
  <c r="K60" i="13"/>
  <c r="BC60" i="13"/>
  <c r="AI60" i="13"/>
  <c r="G59" i="13"/>
  <c r="N78" i="13"/>
  <c r="BH78" i="13"/>
  <c r="AM80" i="13"/>
  <c r="AD78" i="13"/>
  <c r="O80" i="13"/>
  <c r="AV15" i="13"/>
  <c r="D74" i="13"/>
  <c r="R60" i="13"/>
  <c r="BJ60" i="13"/>
  <c r="BB61" i="13"/>
  <c r="AP59" i="13"/>
  <c r="AH61" i="13"/>
  <c r="P59" i="13"/>
  <c r="D72" i="13"/>
  <c r="B28" i="14"/>
  <c r="B21" i="14"/>
  <c r="B19" i="14"/>
  <c r="B12" i="14"/>
  <c r="BI81" i="13"/>
  <c r="AN80" i="13"/>
  <c r="S81" i="13"/>
  <c r="S60" i="13"/>
  <c r="BK60" i="13"/>
  <c r="AQ59" i="13"/>
  <c r="V60" i="13"/>
  <c r="B14" i="14"/>
  <c r="BG78" i="13"/>
  <c r="AL78" i="13"/>
  <c r="M78" i="13"/>
  <c r="Z33" i="13"/>
  <c r="Q60" i="13"/>
  <c r="BI60" i="13"/>
  <c r="BA60" i="13"/>
  <c r="AO59" i="13"/>
  <c r="AG60" i="13"/>
  <c r="O62" i="13"/>
  <c r="B26" i="14"/>
  <c r="B15" i="14"/>
  <c r="BE81" i="13"/>
  <c r="AJ79" i="13"/>
  <c r="K78" i="13"/>
  <c r="Z34" i="13"/>
  <c r="Z31" i="13"/>
  <c r="BG60" i="13"/>
  <c r="AY60" i="13"/>
  <c r="AM61" i="13"/>
  <c r="AE60" i="13"/>
  <c r="L59" i="13"/>
  <c r="B22" i="14"/>
  <c r="R78" i="13"/>
  <c r="BL79" i="13"/>
  <c r="BD80" i="13"/>
  <c r="AI80" i="13"/>
  <c r="I80" i="13"/>
  <c r="AV14" i="13"/>
  <c r="BN59" i="13"/>
  <c r="BF61" i="13"/>
  <c r="AL59" i="13"/>
  <c r="AD60" i="13"/>
  <c r="J61" i="13"/>
  <c r="B29" i="14"/>
  <c r="B27" i="14"/>
  <c r="B20" i="14"/>
  <c r="B13" i="14"/>
  <c r="Z74" i="13"/>
  <c r="Z14" i="13" s="1"/>
  <c r="U60" i="13"/>
  <c r="M60" i="13"/>
  <c r="BM59" i="13"/>
  <c r="BE59" i="13"/>
  <c r="AV12" i="13"/>
  <c r="AK59" i="13"/>
  <c r="AC60" i="13"/>
  <c r="I61" i="13"/>
  <c r="B18" i="14"/>
  <c r="AD80" i="13"/>
  <c r="D29" i="14"/>
  <c r="D25" i="14"/>
  <c r="D21" i="14"/>
  <c r="D17" i="14"/>
  <c r="D13" i="14"/>
  <c r="D28" i="14"/>
  <c r="D24" i="14"/>
  <c r="D20" i="14"/>
  <c r="D16" i="14"/>
  <c r="AJ80" i="13"/>
  <c r="I59" i="13"/>
  <c r="AJ81" i="13"/>
  <c r="M81" i="13"/>
  <c r="AK61" i="13"/>
  <c r="BK78" i="13"/>
  <c r="S79" i="13"/>
  <c r="AN78" i="13"/>
  <c r="K80" i="13"/>
  <c r="AJ78" i="13"/>
  <c r="AY81" i="13"/>
  <c r="BL59" i="13"/>
  <c r="S80" i="13"/>
  <c r="AN79" i="13"/>
  <c r="S78" i="13"/>
  <c r="AY80" i="13"/>
  <c r="K62" i="13"/>
  <c r="BH61" i="13"/>
  <c r="O61" i="13"/>
  <c r="S59" i="13"/>
  <c r="BJ81" i="13"/>
  <c r="T60" i="13"/>
  <c r="AG59" i="13"/>
  <c r="T62" i="13"/>
  <c r="BF81" i="13"/>
  <c r="BJ79" i="13"/>
  <c r="G62" i="13"/>
  <c r="P80" i="13"/>
  <c r="BA80" i="13"/>
  <c r="BJ78" i="13"/>
  <c r="M80" i="13"/>
  <c r="AG61" i="13"/>
  <c r="P60" i="13"/>
  <c r="AC59" i="13"/>
  <c r="BC81" i="13"/>
  <c r="AK81" i="13"/>
  <c r="BF79" i="13"/>
  <c r="M79" i="13"/>
  <c r="BF78" i="13"/>
  <c r="AH78" i="13"/>
  <c r="AV74" i="13"/>
  <c r="BE62" i="13"/>
  <c r="AG62" i="13"/>
  <c r="AZ61" i="13"/>
  <c r="BH60" i="13"/>
  <c r="I60" i="13"/>
  <c r="BA59" i="13"/>
  <c r="AL81" i="13"/>
  <c r="BG79" i="13"/>
  <c r="AO62" i="13"/>
  <c r="BE61" i="13"/>
  <c r="AO60" i="13"/>
  <c r="BI59" i="13"/>
  <c r="AL80" i="13"/>
  <c r="AV76" i="13"/>
  <c r="BD62" i="13"/>
  <c r="T61" i="13"/>
  <c r="BE60" i="13"/>
  <c r="BH81" i="13"/>
  <c r="BH80" i="13"/>
  <c r="BL78" i="13"/>
  <c r="BD78" i="13"/>
  <c r="I78" i="13"/>
  <c r="V61" i="13"/>
  <c r="AH60" i="13"/>
  <c r="I81" i="13"/>
  <c r="Q79" i="13"/>
  <c r="Q80" i="13"/>
  <c r="AV75" i="13"/>
  <c r="AH62" i="13"/>
  <c r="G60" i="13"/>
  <c r="BN62" i="13"/>
  <c r="L62" i="13"/>
  <c r="AP61" i="13"/>
  <c r="AN81" i="13"/>
  <c r="BD79" i="13"/>
  <c r="AY78" i="13"/>
  <c r="AV72" i="13"/>
  <c r="BM62" i="13"/>
  <c r="BB62" i="13"/>
  <c r="AL62" i="13"/>
  <c r="AC62" i="13"/>
  <c r="BM61" i="13"/>
  <c r="BA61" i="13"/>
  <c r="AO61" i="13"/>
  <c r="AC61" i="13"/>
  <c r="BM60" i="13"/>
  <c r="BB60" i="13"/>
  <c r="AL60" i="13"/>
  <c r="L60" i="13"/>
  <c r="BN60" i="13"/>
  <c r="BF59" i="13"/>
  <c r="BD81" i="13"/>
  <c r="Q81" i="13"/>
  <c r="BL80" i="13"/>
  <c r="BH79" i="13"/>
  <c r="AY79" i="13"/>
  <c r="AE79" i="13"/>
  <c r="K79" i="13"/>
  <c r="BI62" i="13"/>
  <c r="BA62" i="13"/>
  <c r="AK62" i="13"/>
  <c r="J62" i="13"/>
  <c r="BI61" i="13"/>
  <c r="AL61" i="13"/>
  <c r="M61" i="13"/>
  <c r="AK60" i="13"/>
  <c r="BB59" i="13"/>
  <c r="V59" i="13"/>
  <c r="AM62" i="13"/>
  <c r="I79" i="13"/>
  <c r="P78" i="13"/>
  <c r="N60" i="13"/>
  <c r="BG81" i="13"/>
  <c r="BC80" i="13"/>
  <c r="BC78" i="13"/>
  <c r="BK81" i="13"/>
  <c r="P81" i="13"/>
  <c r="BG80" i="13"/>
  <c r="O78" i="13"/>
  <c r="R59" i="13"/>
  <c r="BK79" i="13"/>
  <c r="AI79" i="13"/>
  <c r="AD81" i="13"/>
  <c r="AM79" i="13"/>
  <c r="AD79" i="13"/>
  <c r="Z76" i="13"/>
  <c r="Z16" i="13" s="1"/>
  <c r="G81" i="13"/>
  <c r="AG80" i="13"/>
  <c r="G79" i="13"/>
  <c r="G78" i="13"/>
  <c r="Z75" i="13"/>
  <c r="Z15" i="13" s="1"/>
  <c r="Z70" i="13"/>
  <c r="AZ60" i="13"/>
  <c r="O60" i="13"/>
  <c r="BD59" i="13"/>
  <c r="AR59" i="13"/>
  <c r="AJ59" i="13"/>
  <c r="N81" i="13"/>
  <c r="G80" i="13"/>
  <c r="BH62" i="13"/>
  <c r="S62" i="13"/>
  <c r="I62" i="13"/>
  <c r="BL61" i="13"/>
  <c r="BD61" i="13"/>
  <c r="K61" i="13"/>
  <c r="O59" i="13"/>
  <c r="AZ62" i="13"/>
  <c r="S61" i="13"/>
  <c r="AN59" i="13"/>
  <c r="AF59" i="13"/>
  <c r="K59" i="13"/>
  <c r="H62" i="13"/>
  <c r="AQ61" i="13"/>
  <c r="N61" i="13"/>
  <c r="AM60" i="13"/>
  <c r="R81" i="13"/>
  <c r="AG81" i="13"/>
  <c r="AK80" i="13"/>
  <c r="T79" i="13"/>
  <c r="H79" i="13"/>
  <c r="AO78" i="13"/>
  <c r="AG78" i="13"/>
  <c r="L79" i="13"/>
  <c r="H60" i="13"/>
  <c r="Z32" i="13"/>
  <c r="AL79" i="13"/>
  <c r="AC79" i="13"/>
  <c r="AQ62" i="13"/>
  <c r="R62" i="13"/>
  <c r="AE61" i="13"/>
  <c r="R61" i="13"/>
  <c r="H61" i="13"/>
  <c r="AQ60" i="13"/>
  <c r="AM59" i="13"/>
  <c r="AI59" i="13"/>
  <c r="AE59" i="13"/>
  <c r="Z30" i="13"/>
  <c r="BL81" i="13"/>
  <c r="AZ81" i="13"/>
  <c r="AO81" i="13"/>
  <c r="AC81" i="13"/>
  <c r="K81" i="13"/>
  <c r="BI80" i="13"/>
  <c r="BE80" i="13"/>
  <c r="AZ80" i="13"/>
  <c r="AO80" i="13"/>
  <c r="AC80" i="13"/>
  <c r="AZ79" i="13"/>
  <c r="AK79" i="13"/>
  <c r="O79" i="13"/>
  <c r="AP78" i="13"/>
  <c r="Z73" i="13"/>
  <c r="Z13" i="13" s="1"/>
  <c r="BL62" i="13"/>
  <c r="BF62" i="13"/>
  <c r="AP62" i="13"/>
  <c r="AE62" i="13"/>
  <c r="V62" i="13"/>
  <c r="BK61" i="13"/>
  <c r="BG61" i="13"/>
  <c r="BC61" i="13"/>
  <c r="AY61" i="13"/>
  <c r="AI61" i="13"/>
  <c r="AD61" i="13"/>
  <c r="U61" i="13"/>
  <c r="Q61" i="13"/>
  <c r="L61" i="13"/>
  <c r="G61" i="13"/>
  <c r="BF60" i="13"/>
  <c r="AP60" i="13"/>
  <c r="BJ59" i="13"/>
  <c r="AH59" i="13"/>
  <c r="AD59" i="13"/>
  <c r="N59" i="13"/>
  <c r="AP81" i="13"/>
  <c r="AP80" i="13"/>
  <c r="AH79" i="13"/>
  <c r="AH81" i="13"/>
  <c r="O81" i="13"/>
  <c r="AC78" i="13"/>
  <c r="AV73" i="13"/>
  <c r="BJ62" i="13"/>
  <c r="AI62" i="13"/>
  <c r="AD62" i="13"/>
  <c r="BN61" i="13"/>
  <c r="BJ61" i="13"/>
  <c r="R80" i="13"/>
  <c r="N80" i="13"/>
  <c r="BI79" i="13"/>
  <c r="BE79" i="13"/>
  <c r="BA79" i="13"/>
  <c r="AM78" i="13"/>
  <c r="AI78" i="13"/>
  <c r="AE78" i="13"/>
  <c r="T78" i="13"/>
  <c r="L78" i="13"/>
  <c r="H78" i="13"/>
  <c r="BK62" i="13"/>
  <c r="BG62" i="13"/>
  <c r="BC62" i="13"/>
  <c r="AY62" i="13"/>
  <c r="U62" i="13"/>
  <c r="Q62" i="13"/>
  <c r="M62" i="13"/>
  <c r="P61" i="13"/>
  <c r="AR60" i="13"/>
  <c r="AN60" i="13"/>
  <c r="AJ60" i="13"/>
  <c r="AF60" i="13"/>
  <c r="J59" i="13"/>
  <c r="AV33" i="13"/>
  <c r="AV31" i="13"/>
  <c r="AM81" i="13"/>
  <c r="AI81" i="13"/>
  <c r="AE81" i="13"/>
  <c r="T81" i="13"/>
  <c r="L81" i="13"/>
  <c r="H81" i="13"/>
  <c r="R79" i="13"/>
  <c r="N79" i="13"/>
  <c r="BI78" i="13"/>
  <c r="BE78" i="13"/>
  <c r="BA78" i="13"/>
  <c r="P62" i="13"/>
  <c r="AR61" i="13"/>
  <c r="AN61" i="13"/>
  <c r="AJ61" i="13"/>
  <c r="AF61" i="13"/>
  <c r="J60" i="13"/>
  <c r="BK59" i="13"/>
  <c r="BG59" i="13"/>
  <c r="BC59" i="13"/>
  <c r="AY59" i="13"/>
  <c r="U59" i="13"/>
  <c r="Q59" i="13"/>
  <c r="M59" i="13"/>
  <c r="AV34" i="13"/>
  <c r="AV32" i="13"/>
  <c r="AV30" i="13"/>
  <c r="J70" i="13"/>
  <c r="BB74" i="13"/>
  <c r="AF70" i="13"/>
  <c r="BB76" i="13"/>
  <c r="J72" i="13"/>
  <c r="AF75" i="13"/>
  <c r="J73" i="13"/>
  <c r="AF76" i="13"/>
  <c r="J75" i="13"/>
  <c r="AF74" i="13"/>
  <c r="BB70" i="13"/>
  <c r="BB72" i="13"/>
  <c r="J74" i="13"/>
  <c r="AF73" i="13"/>
  <c r="AF72" i="13"/>
  <c r="BB73" i="13"/>
  <c r="BB75" i="13"/>
  <c r="AB5" i="6" l="1"/>
  <c r="AB20" i="6" s="1"/>
  <c r="AD49" i="17"/>
  <c r="AD75" i="17" s="1"/>
  <c r="AF1" i="15"/>
  <c r="AF2" i="15" s="1"/>
  <c r="AF2" i="17" s="1"/>
  <c r="AF2" i="16" s="1"/>
  <c r="AE2" i="15"/>
  <c r="AE2" i="17" s="1"/>
  <c r="AE2" i="16" s="1"/>
  <c r="BB78" i="13"/>
  <c r="BB79" i="13"/>
  <c r="BB80" i="13"/>
  <c r="BB81" i="13"/>
  <c r="J78" i="13"/>
  <c r="J79" i="13"/>
  <c r="J80" i="13"/>
  <c r="J81" i="13"/>
  <c r="AF79" i="13"/>
  <c r="AF80" i="13"/>
  <c r="AF78" i="13"/>
  <c r="AF81" i="13"/>
  <c r="D18" i="11"/>
  <c r="D15" i="11"/>
  <c r="D11" i="11"/>
  <c r="E9" i="11"/>
  <c r="D9" i="11"/>
  <c r="E8" i="11"/>
  <c r="D8" i="11"/>
  <c r="S81" i="11"/>
  <c r="T81" i="11"/>
  <c r="U81" i="11"/>
  <c r="V81" i="11"/>
  <c r="W81" i="11"/>
  <c r="R81" i="11"/>
  <c r="AC5" i="6" l="1"/>
  <c r="AC20" i="6" s="1"/>
  <c r="AE49" i="17"/>
  <c r="AE75" i="17" s="1"/>
  <c r="AD5" i="6"/>
  <c r="AD20" i="6" s="1"/>
  <c r="AF49" i="17"/>
  <c r="AF75" i="17" s="1"/>
  <c r="E18" i="11"/>
  <c r="E15" i="11"/>
  <c r="E11" i="11"/>
  <c r="B5" i="11"/>
  <c r="E17" i="11"/>
  <c r="D17" i="11"/>
  <c r="E16" i="11"/>
  <c r="D16" i="11"/>
  <c r="E10" i="11"/>
  <c r="D10" i="11"/>
  <c r="I8" i="11"/>
  <c r="J8" i="11" s="1"/>
  <c r="J7" i="11"/>
  <c r="I9" i="11" l="1"/>
  <c r="I10" i="11" s="1"/>
  <c r="J10" i="11" s="1"/>
  <c r="J9" i="11" l="1"/>
  <c r="I11" i="11"/>
  <c r="J11" i="11" s="1"/>
  <c r="L82" i="7"/>
  <c r="L81" i="7"/>
  <c r="L79" i="7"/>
  <c r="L70" i="7"/>
  <c r="K70" i="7"/>
  <c r="J70" i="7"/>
  <c r="I70" i="7"/>
  <c r="H70" i="7"/>
  <c r="F70" i="7"/>
  <c r="E70" i="7"/>
  <c r="L54" i="7"/>
  <c r="K54" i="7"/>
  <c r="J54" i="7"/>
  <c r="I54" i="7"/>
  <c r="H54" i="7"/>
  <c r="F54" i="7"/>
  <c r="E54" i="7"/>
  <c r="L30" i="7"/>
  <c r="K30" i="7"/>
  <c r="J30" i="7"/>
  <c r="I30" i="7"/>
  <c r="H30" i="7"/>
  <c r="F30" i="7"/>
  <c r="E30" i="7"/>
  <c r="F28" i="10"/>
  <c r="K72" i="7" l="1"/>
  <c r="F78" i="7"/>
  <c r="F80" i="7" s="1"/>
  <c r="F83" i="7" s="1"/>
  <c r="I72" i="7"/>
  <c r="L72" i="7"/>
  <c r="E72" i="7"/>
  <c r="J72" i="7"/>
  <c r="H72" i="7"/>
  <c r="F72" i="7"/>
  <c r="I12" i="11"/>
  <c r="I13" i="11" s="1"/>
  <c r="K78" i="7"/>
  <c r="K80" i="7" s="1"/>
  <c r="K83" i="7" s="1"/>
  <c r="J12" i="11" l="1"/>
  <c r="I14" i="11"/>
  <c r="J13" i="11"/>
  <c r="L78" i="7"/>
  <c r="L80" i="7" s="1"/>
  <c r="L83" i="7" s="1"/>
  <c r="J14" i="11" l="1"/>
  <c r="I15" i="11"/>
  <c r="I16" i="11" l="1"/>
  <c r="J15" i="11"/>
  <c r="J16" i="11" l="1"/>
  <c r="I17" i="11"/>
  <c r="I18" i="11" l="1"/>
  <c r="J17" i="11"/>
  <c r="J18" i="11" l="1"/>
  <c r="I19" i="11"/>
  <c r="I20" i="11" l="1"/>
  <c r="J19" i="11"/>
  <c r="J20" i="11" l="1"/>
  <c r="I21" i="11"/>
  <c r="I22" i="11" l="1"/>
  <c r="J21" i="11"/>
  <c r="J22" i="11" l="1"/>
  <c r="I23" i="11"/>
  <c r="I24" i="11" l="1"/>
  <c r="J23" i="11"/>
  <c r="J24" i="11" l="1"/>
  <c r="I25" i="11"/>
  <c r="I26" i="11" l="1"/>
  <c r="J25" i="11"/>
  <c r="J26" i="11" l="1"/>
  <c r="I27" i="11"/>
  <c r="I28" i="11" l="1"/>
  <c r="J27" i="11"/>
  <c r="J28" i="11" l="1"/>
  <c r="I29" i="11"/>
  <c r="I30" i="11" l="1"/>
  <c r="J29" i="11"/>
  <c r="J30" i="11" l="1"/>
  <c r="I31" i="11"/>
  <c r="I32" i="11" l="1"/>
  <c r="J31" i="11"/>
  <c r="J32" i="11" l="1"/>
  <c r="I33" i="11"/>
  <c r="I34" i="11" l="1"/>
  <c r="J33" i="11"/>
  <c r="J34" i="11" l="1"/>
  <c r="I35" i="11"/>
  <c r="I36" i="11" l="1"/>
  <c r="J35" i="11"/>
  <c r="J36" i="11" l="1"/>
  <c r="I37" i="11"/>
  <c r="I38" i="11" l="1"/>
  <c r="J37" i="11"/>
  <c r="J38" i="11" l="1"/>
  <c r="I39" i="11"/>
  <c r="I40" i="11" l="1"/>
  <c r="J39" i="11"/>
  <c r="J40" i="11" l="1"/>
  <c r="I41" i="11"/>
  <c r="I42" i="11" l="1"/>
  <c r="J41" i="11"/>
  <c r="J42" i="11" l="1"/>
  <c r="I43" i="11"/>
  <c r="I44" i="11" l="1"/>
  <c r="J43" i="11"/>
  <c r="I45" i="11" l="1"/>
  <c r="J44" i="11"/>
  <c r="I46" i="11" l="1"/>
  <c r="J45" i="11"/>
  <c r="I47" i="11" l="1"/>
  <c r="J46" i="11"/>
  <c r="I48" i="11" l="1"/>
  <c r="J47" i="11"/>
  <c r="I49" i="11" l="1"/>
  <c r="J48" i="11"/>
  <c r="J49" i="11" l="1"/>
  <c r="I50" i="11"/>
  <c r="I51" i="11" l="1"/>
  <c r="J50" i="11"/>
  <c r="J51" i="11" l="1"/>
  <c r="I52" i="11"/>
  <c r="I53" i="11" l="1"/>
  <c r="J52" i="11"/>
  <c r="J53" i="11" l="1"/>
  <c r="I54" i="11"/>
  <c r="I55" i="11" l="1"/>
  <c r="J54" i="11"/>
  <c r="J55" i="11" l="1"/>
  <c r="I56" i="11"/>
  <c r="I57" i="11" l="1"/>
  <c r="J56" i="11"/>
  <c r="J57" i="11" l="1"/>
  <c r="I58" i="11"/>
  <c r="I59" i="11" l="1"/>
  <c r="J58" i="11"/>
  <c r="J59" i="11" l="1"/>
  <c r="I60" i="11"/>
  <c r="I61" i="11" l="1"/>
  <c r="J60" i="11"/>
  <c r="J61" i="11" l="1"/>
  <c r="I62" i="11"/>
  <c r="I63" i="11" l="1"/>
  <c r="J62" i="11"/>
  <c r="J63" i="11" l="1"/>
  <c r="I64" i="11"/>
  <c r="I65" i="11" l="1"/>
  <c r="J64" i="11"/>
  <c r="J65" i="11" l="1"/>
  <c r="I66" i="11"/>
  <c r="I67" i="11" l="1"/>
  <c r="J66" i="11"/>
  <c r="J67" i="11" l="1"/>
  <c r="I68" i="11"/>
  <c r="I69" i="11" l="1"/>
  <c r="J68" i="11"/>
  <c r="J69" i="11" l="1"/>
  <c r="I70" i="11"/>
  <c r="I71" i="11" l="1"/>
  <c r="J70" i="11"/>
  <c r="I72" i="11" l="1"/>
  <c r="J71" i="11"/>
  <c r="I73" i="11" l="1"/>
  <c r="J72" i="11"/>
  <c r="I74" i="11" l="1"/>
  <c r="J73" i="11"/>
  <c r="I75" i="11" l="1"/>
  <c r="J74" i="11"/>
  <c r="I76" i="11" l="1"/>
  <c r="J75" i="11"/>
  <c r="I77" i="11" l="1"/>
  <c r="J76" i="11"/>
  <c r="I78" i="11" l="1"/>
  <c r="J77" i="11"/>
  <c r="I79" i="11" l="1"/>
  <c r="J78" i="11"/>
  <c r="I80" i="11" l="1"/>
  <c r="J79" i="11"/>
  <c r="J80" i="11" l="1"/>
  <c r="F16" i="10" l="1"/>
  <c r="F20" i="8" l="1"/>
  <c r="F26" i="10" l="1"/>
  <c r="D46" i="6" l="1"/>
  <c r="E46" i="6"/>
  <c r="F46" i="6"/>
  <c r="M46" i="6"/>
  <c r="M47" i="6" s="1"/>
  <c r="N46" i="6"/>
  <c r="O46" i="6"/>
  <c r="P46" i="6"/>
  <c r="R46" i="6" s="1"/>
  <c r="C46" i="6"/>
  <c r="D40" i="6"/>
  <c r="E40" i="6"/>
  <c r="F40" i="6"/>
  <c r="M40" i="6"/>
  <c r="M41" i="6" s="1"/>
  <c r="N40" i="6"/>
  <c r="O40" i="6"/>
  <c r="P40" i="6"/>
  <c r="R40" i="6" s="1"/>
  <c r="C40" i="6"/>
  <c r="D34" i="6"/>
  <c r="E34" i="6"/>
  <c r="F34" i="6"/>
  <c r="M34" i="6"/>
  <c r="M35" i="6" s="1"/>
  <c r="N34" i="6"/>
  <c r="O34" i="6"/>
  <c r="P34" i="6"/>
  <c r="R34" i="6" s="1"/>
  <c r="C34" i="6"/>
  <c r="D28" i="6"/>
  <c r="E28" i="6"/>
  <c r="F28" i="6"/>
  <c r="M28" i="6"/>
  <c r="M29" i="6" s="1"/>
  <c r="N28" i="6"/>
  <c r="O28" i="6"/>
  <c r="P28" i="6"/>
  <c r="C28" i="6"/>
  <c r="D22" i="6"/>
  <c r="E22" i="6"/>
  <c r="F22" i="6"/>
  <c r="M22" i="6"/>
  <c r="N22" i="6"/>
  <c r="O22" i="6"/>
  <c r="P22" i="6"/>
  <c r="R22" i="6" s="1"/>
  <c r="C22" i="6"/>
  <c r="B23" i="6"/>
  <c r="B41" i="6" s="1"/>
  <c r="E47" i="6" l="1"/>
  <c r="E18" i="6" s="1"/>
  <c r="N47" i="6"/>
  <c r="N18" i="6" s="1"/>
  <c r="O29" i="6"/>
  <c r="O12" i="6" s="1"/>
  <c r="N41" i="6"/>
  <c r="E41" i="6"/>
  <c r="R15" i="6"/>
  <c r="T10" i="15" s="1"/>
  <c r="S40" i="6"/>
  <c r="P29" i="6"/>
  <c r="P12" i="6" s="1"/>
  <c r="R28" i="6"/>
  <c r="R9" i="6"/>
  <c r="T6" i="17" s="1"/>
  <c r="S22" i="6"/>
  <c r="S46" i="6"/>
  <c r="R17" i="6"/>
  <c r="T11" i="15" s="1"/>
  <c r="R13" i="6"/>
  <c r="T9" i="15" s="1"/>
  <c r="S34" i="6"/>
  <c r="N35" i="6"/>
  <c r="N29" i="6"/>
  <c r="N12" i="6" s="1"/>
  <c r="P41" i="6"/>
  <c r="D47" i="6"/>
  <c r="D18" i="6" s="1"/>
  <c r="O41" i="6"/>
  <c r="O35" i="6"/>
  <c r="E35" i="6"/>
  <c r="R16" i="6"/>
  <c r="R14" i="6"/>
  <c r="O47" i="6"/>
  <c r="O18" i="6" s="1"/>
  <c r="R18" i="6"/>
  <c r="E29" i="6"/>
  <c r="E12" i="6" s="1"/>
  <c r="P47" i="6"/>
  <c r="P18" i="6" s="1"/>
  <c r="P35" i="6"/>
  <c r="P23" i="6"/>
  <c r="P10" i="6" s="1"/>
  <c r="O23" i="6"/>
  <c r="O10" i="6" s="1"/>
  <c r="M23" i="6"/>
  <c r="H23" i="6"/>
  <c r="F35" i="6"/>
  <c r="H35" i="6"/>
  <c r="D35" i="6"/>
  <c r="R10" i="6"/>
  <c r="N23" i="6"/>
  <c r="N10" i="6" s="1"/>
  <c r="F41" i="6"/>
  <c r="H41" i="6"/>
  <c r="D41" i="6"/>
  <c r="F29" i="6"/>
  <c r="F12" i="6" s="1"/>
  <c r="H29" i="6"/>
  <c r="D29" i="6"/>
  <c r="D12" i="6" s="1"/>
  <c r="F47" i="6"/>
  <c r="F18" i="6" s="1"/>
  <c r="H47" i="6"/>
  <c r="R12" i="6"/>
  <c r="D23" i="6"/>
  <c r="D10" i="6" s="1"/>
  <c r="F23" i="6"/>
  <c r="F10" i="6" s="1"/>
  <c r="E23" i="6"/>
  <c r="E10" i="6" s="1"/>
  <c r="T8" i="17" l="1"/>
  <c r="T10" i="17"/>
  <c r="T20" i="15"/>
  <c r="T9" i="17"/>
  <c r="T19" i="15"/>
  <c r="O14" i="6"/>
  <c r="O16" i="6"/>
  <c r="P14" i="6"/>
  <c r="P16" i="6"/>
  <c r="N14" i="6"/>
  <c r="N16" i="6"/>
  <c r="F16" i="6"/>
  <c r="F14" i="6"/>
  <c r="E16" i="6"/>
  <c r="E14" i="6"/>
  <c r="S9" i="6"/>
  <c r="T22" i="6"/>
  <c r="R11" i="6"/>
  <c r="R7" i="6" s="1"/>
  <c r="S28" i="6"/>
  <c r="T34" i="6"/>
  <c r="S13" i="6"/>
  <c r="U9" i="15" s="1"/>
  <c r="U8" i="17" s="1"/>
  <c r="T7" i="15"/>
  <c r="S15" i="6"/>
  <c r="U10" i="15" s="1"/>
  <c r="T40" i="6"/>
  <c r="T46" i="6"/>
  <c r="S17" i="6"/>
  <c r="U11" i="15" s="1"/>
  <c r="D16" i="6"/>
  <c r="D14" i="6"/>
  <c r="U20" i="15" l="1"/>
  <c r="U10" i="17"/>
  <c r="U9" i="17"/>
  <c r="U19" i="15"/>
  <c r="U6" i="17"/>
  <c r="U7" i="15"/>
  <c r="T13" i="6"/>
  <c r="V9" i="15" s="1"/>
  <c r="V8" i="17" s="1"/>
  <c r="U34" i="6"/>
  <c r="V34" i="6" s="1"/>
  <c r="U46" i="6"/>
  <c r="V46" i="6" s="1"/>
  <c r="T17" i="6"/>
  <c r="V11" i="15" s="1"/>
  <c r="T28" i="6"/>
  <c r="S11" i="6"/>
  <c r="U8" i="15" s="1"/>
  <c r="U7" i="17" s="1"/>
  <c r="T8" i="15"/>
  <c r="U40" i="6"/>
  <c r="T15" i="6"/>
  <c r="V10" i="15" s="1"/>
  <c r="U22" i="6"/>
  <c r="V22" i="6" s="1"/>
  <c r="T9" i="6"/>
  <c r="F33" i="10"/>
  <c r="T17" i="15" l="1"/>
  <c r="T7" i="17"/>
  <c r="V20" i="15"/>
  <c r="V10" i="17"/>
  <c r="U11" i="17"/>
  <c r="V6" i="17"/>
  <c r="V7" i="15"/>
  <c r="V19" i="15"/>
  <c r="V9" i="17"/>
  <c r="U17" i="15"/>
  <c r="U16" i="15"/>
  <c r="U6" i="15"/>
  <c r="U18" i="15"/>
  <c r="T18" i="15"/>
  <c r="T6" i="15"/>
  <c r="T16" i="15"/>
  <c r="S7" i="6"/>
  <c r="S8" i="6" s="1"/>
  <c r="U15" i="6"/>
  <c r="W10" i="15" s="1"/>
  <c r="W40" i="6"/>
  <c r="U28" i="6"/>
  <c r="V28" i="6" s="1"/>
  <c r="T11" i="6"/>
  <c r="U17" i="6"/>
  <c r="W11" i="15" s="1"/>
  <c r="X11" i="15" s="1"/>
  <c r="W46" i="6"/>
  <c r="V40" i="6"/>
  <c r="W22" i="6"/>
  <c r="U9" i="6"/>
  <c r="U13" i="6"/>
  <c r="W9" i="15" s="1"/>
  <c r="W8" i="17" s="1"/>
  <c r="X8" i="17" s="1"/>
  <c r="W34" i="6"/>
  <c r="W6" i="17" l="1"/>
  <c r="W7" i="15"/>
  <c r="X9" i="15"/>
  <c r="T11" i="17"/>
  <c r="U45" i="17"/>
  <c r="U24" i="17"/>
  <c r="U36" i="17" s="1"/>
  <c r="U39" i="17" s="1"/>
  <c r="W20" i="15"/>
  <c r="W10" i="17"/>
  <c r="X10" i="17" s="1"/>
  <c r="T7" i="6"/>
  <c r="V8" i="15"/>
  <c r="V7" i="17" s="1"/>
  <c r="V11" i="17" s="1"/>
  <c r="W9" i="17"/>
  <c r="X9" i="17" s="1"/>
  <c r="W19" i="15"/>
  <c r="X10" i="15"/>
  <c r="X19" i="15" s="1"/>
  <c r="V9" i="6"/>
  <c r="W13" i="6"/>
  <c r="Y9" i="15" s="1"/>
  <c r="X34" i="6"/>
  <c r="W28" i="6"/>
  <c r="U11" i="6"/>
  <c r="W8" i="15" s="1"/>
  <c r="W7" i="17" s="1"/>
  <c r="V15" i="6"/>
  <c r="W15" i="6"/>
  <c r="Y10" i="15" s="1"/>
  <c r="X40" i="6"/>
  <c r="V13" i="6"/>
  <c r="X22" i="6"/>
  <c r="W9" i="6"/>
  <c r="W17" i="6"/>
  <c r="Y11" i="15" s="1"/>
  <c r="X46" i="6"/>
  <c r="V17" i="6"/>
  <c r="V12" i="17" l="1"/>
  <c r="V45" i="17"/>
  <c r="V24" i="17"/>
  <c r="V36" i="17" s="1"/>
  <c r="V39" i="17" s="1"/>
  <c r="Y9" i="17"/>
  <c r="Y19" i="15"/>
  <c r="Y10" i="17"/>
  <c r="Y20" i="15"/>
  <c r="Y6" i="17"/>
  <c r="Y7" i="15"/>
  <c r="V17" i="15"/>
  <c r="W11" i="17"/>
  <c r="X11" i="17" s="1"/>
  <c r="F11" i="10" s="1"/>
  <c r="X6" i="17"/>
  <c r="U38" i="17"/>
  <c r="U41" i="17"/>
  <c r="U40" i="17"/>
  <c r="U5" i="16"/>
  <c r="U87" i="16" s="1"/>
  <c r="U12" i="17"/>
  <c r="T45" i="17"/>
  <c r="T12" i="17"/>
  <c r="T24" i="17"/>
  <c r="T36" i="17" s="1"/>
  <c r="X7" i="17"/>
  <c r="Y8" i="17"/>
  <c r="X20" i="15"/>
  <c r="W18" i="15"/>
  <c r="W6" i="15"/>
  <c r="W16" i="15"/>
  <c r="W17" i="15"/>
  <c r="V18" i="15"/>
  <c r="V16" i="15"/>
  <c r="V6" i="15"/>
  <c r="U7" i="6"/>
  <c r="U8" i="6" s="1"/>
  <c r="V11" i="6"/>
  <c r="W11" i="6"/>
  <c r="X28" i="6"/>
  <c r="Y40" i="6"/>
  <c r="Z40" i="6" s="1"/>
  <c r="X15" i="6"/>
  <c r="Z10" i="15" s="1"/>
  <c r="X9" i="6"/>
  <c r="Y22" i="6"/>
  <c r="X8" i="15"/>
  <c r="Y34" i="6"/>
  <c r="X13" i="6"/>
  <c r="Z9" i="15" s="1"/>
  <c r="Z8" i="17" s="1"/>
  <c r="X7" i="15"/>
  <c r="X17" i="6"/>
  <c r="Z11" i="15" s="1"/>
  <c r="Y46" i="6"/>
  <c r="T8" i="6"/>
  <c r="L46" i="6"/>
  <c r="Q28" i="6"/>
  <c r="V29" i="6" s="1"/>
  <c r="L22" i="6"/>
  <c r="Q40" i="6"/>
  <c r="V41" i="6" s="1"/>
  <c r="L40" i="6"/>
  <c r="L28" i="6"/>
  <c r="L34" i="6"/>
  <c r="B34" i="6"/>
  <c r="B40" i="6"/>
  <c r="B46" i="6"/>
  <c r="B28" i="6"/>
  <c r="B22" i="6"/>
  <c r="X6" i="15" l="1"/>
  <c r="U43" i="17"/>
  <c r="U47" i="17" s="1"/>
  <c r="X12" i="17"/>
  <c r="T5" i="16"/>
  <c r="T40" i="17"/>
  <c r="T41" i="17"/>
  <c r="T38" i="17"/>
  <c r="U67" i="16"/>
  <c r="U79" i="16"/>
  <c r="U73" i="16"/>
  <c r="V41" i="17"/>
  <c r="V5" i="16"/>
  <c r="V87" i="16" s="1"/>
  <c r="V38" i="17"/>
  <c r="V40" i="17"/>
  <c r="Z20" i="15"/>
  <c r="Z10" i="17"/>
  <c r="Z7" i="15"/>
  <c r="Z6" i="17"/>
  <c r="Z9" i="17"/>
  <c r="Z19" i="15"/>
  <c r="W45" i="17"/>
  <c r="X45" i="17" s="1"/>
  <c r="C18" i="12" s="1"/>
  <c r="W12" i="17"/>
  <c r="W7" i="6"/>
  <c r="W8" i="6" s="1"/>
  <c r="Y8" i="15"/>
  <c r="Y7" i="17" s="1"/>
  <c r="Y11" i="17" s="1"/>
  <c r="X17" i="15"/>
  <c r="V7" i="6"/>
  <c r="V8" i="6" s="1"/>
  <c r="X18" i="15"/>
  <c r="X16" i="15"/>
  <c r="Z15" i="6"/>
  <c r="AB10" i="15" s="1"/>
  <c r="Y15" i="6"/>
  <c r="AA10" i="15" s="1"/>
  <c r="Z46" i="6"/>
  <c r="Z17" i="6" s="1"/>
  <c r="AB11" i="15" s="1"/>
  <c r="Y17" i="6"/>
  <c r="AA11" i="15" s="1"/>
  <c r="Y28" i="6"/>
  <c r="X11" i="6"/>
  <c r="Y9" i="6"/>
  <c r="Z22" i="6"/>
  <c r="Z9" i="6" s="1"/>
  <c r="Z34" i="6"/>
  <c r="Z13" i="6" s="1"/>
  <c r="AB9" i="15" s="1"/>
  <c r="AB8" i="17" s="1"/>
  <c r="Y13" i="6"/>
  <c r="AA9" i="15" s="1"/>
  <c r="AA8" i="17" s="1"/>
  <c r="Q29" i="6"/>
  <c r="Q12" i="6" s="1"/>
  <c r="V12" i="6"/>
  <c r="Q41" i="6"/>
  <c r="Q22" i="6"/>
  <c r="Q34" i="6"/>
  <c r="V35" i="6" s="1"/>
  <c r="Q46" i="6"/>
  <c r="V47" i="6" s="1"/>
  <c r="R8" i="6"/>
  <c r="G34" i="6"/>
  <c r="L35" i="6" s="1"/>
  <c r="G46" i="6"/>
  <c r="G40" i="6"/>
  <c r="L41" i="6" s="1"/>
  <c r="G22" i="6"/>
  <c r="G28" i="6"/>
  <c r="AA46" i="6" l="1"/>
  <c r="AB46" i="6" s="1"/>
  <c r="AA40" i="6"/>
  <c r="AB40" i="6" s="1"/>
  <c r="Y17" i="15"/>
  <c r="AC8" i="17"/>
  <c r="V43" i="17"/>
  <c r="V47" i="17" s="1"/>
  <c r="Y45" i="17"/>
  <c r="Y24" i="17"/>
  <c r="Y12" i="17"/>
  <c r="V73" i="16"/>
  <c r="V67" i="16"/>
  <c r="V79" i="16"/>
  <c r="X7" i="6"/>
  <c r="Z8" i="15"/>
  <c r="Z7" i="17" s="1"/>
  <c r="AB7" i="15"/>
  <c r="AB6" i="17"/>
  <c r="AA7" i="15"/>
  <c r="AA6" i="17"/>
  <c r="AB20" i="15"/>
  <c r="AB10" i="17"/>
  <c r="T67" i="16"/>
  <c r="T79" i="16"/>
  <c r="T73" i="16"/>
  <c r="AA20" i="15"/>
  <c r="AA10" i="17"/>
  <c r="AC9" i="15"/>
  <c r="AC11" i="15"/>
  <c r="AA19" i="15"/>
  <c r="AA9" i="17"/>
  <c r="AC10" i="15"/>
  <c r="AB19" i="15"/>
  <c r="AB9" i="17"/>
  <c r="Y16" i="15"/>
  <c r="Y6" i="15"/>
  <c r="Y18" i="15"/>
  <c r="Q14" i="6"/>
  <c r="Q16" i="6"/>
  <c r="L14" i="6"/>
  <c r="L16" i="6"/>
  <c r="AA17" i="6"/>
  <c r="AA9" i="6"/>
  <c r="AA34" i="6"/>
  <c r="AA35" i="6" s="1"/>
  <c r="Y11" i="6"/>
  <c r="Z28" i="6"/>
  <c r="Z11" i="6" s="1"/>
  <c r="AB8" i="15" s="1"/>
  <c r="AB7" i="17" s="1"/>
  <c r="AA13" i="6"/>
  <c r="AA15" i="6"/>
  <c r="V16" i="6"/>
  <c r="V14" i="6"/>
  <c r="Q35" i="6"/>
  <c r="V23" i="6"/>
  <c r="V10" i="6" s="1"/>
  <c r="L23" i="6"/>
  <c r="L10" i="6" s="1"/>
  <c r="L29" i="6"/>
  <c r="L12" i="6" s="1"/>
  <c r="Q47" i="6"/>
  <c r="Q18" i="6" s="1"/>
  <c r="V18" i="6"/>
  <c r="L47" i="6"/>
  <c r="L18" i="6" s="1"/>
  <c r="Q23" i="6"/>
  <c r="Q10" i="6" s="1"/>
  <c r="AA41" i="6" l="1"/>
  <c r="AA47" i="6"/>
  <c r="AA18" i="6" s="1"/>
  <c r="AC19" i="15"/>
  <c r="AC10" i="17"/>
  <c r="AA8" i="15"/>
  <c r="AA7" i="17" s="1"/>
  <c r="AC7" i="17" s="1"/>
  <c r="Z11" i="17"/>
  <c r="Z17" i="15"/>
  <c r="AC9" i="17"/>
  <c r="AB11" i="17"/>
  <c r="Y36" i="17"/>
  <c r="Y39" i="17" s="1"/>
  <c r="AC20" i="15"/>
  <c r="AA11" i="17"/>
  <c r="AC6" i="17"/>
  <c r="AA6" i="15"/>
  <c r="AA18" i="15"/>
  <c r="AA16" i="15"/>
  <c r="AB17" i="15"/>
  <c r="Z18" i="15"/>
  <c r="AB18" i="15"/>
  <c r="AB16" i="15"/>
  <c r="AB6" i="15"/>
  <c r="Z16" i="15"/>
  <c r="Z6" i="15"/>
  <c r="Y7" i="6"/>
  <c r="Y8" i="6" s="1"/>
  <c r="Z7" i="6"/>
  <c r="Z8" i="6" s="1"/>
  <c r="AB34" i="6"/>
  <c r="AB13" i="6" s="1"/>
  <c r="AD9" i="15" s="1"/>
  <c r="AD8" i="17" s="1"/>
  <c r="AA28" i="6"/>
  <c r="AA29" i="6" s="1"/>
  <c r="AA12" i="6" s="1"/>
  <c r="AC7" i="15"/>
  <c r="X8" i="6"/>
  <c r="AB17" i="6"/>
  <c r="AD11" i="15" s="1"/>
  <c r="AC46" i="6"/>
  <c r="AD46" i="6" s="1"/>
  <c r="AC40" i="6"/>
  <c r="AD40" i="6" s="1"/>
  <c r="AB15" i="6"/>
  <c r="AD10" i="15" s="1"/>
  <c r="AD9" i="17" s="1"/>
  <c r="X60" i="16"/>
  <c r="Z60" i="16" s="1"/>
  <c r="AA60" i="16" s="1"/>
  <c r="AB60" i="16" s="1"/>
  <c r="X35" i="16"/>
  <c r="X47" i="16"/>
  <c r="X28" i="16"/>
  <c r="X41" i="16"/>
  <c r="X10" i="16"/>
  <c r="X22" i="16"/>
  <c r="X53" i="16"/>
  <c r="X16" i="16"/>
  <c r="AA16" i="6"/>
  <c r="AA14" i="6"/>
  <c r="AA11" i="6"/>
  <c r="AC8" i="15" l="1"/>
  <c r="X29" i="16"/>
  <c r="X36" i="16"/>
  <c r="AC36" i="16"/>
  <c r="X54" i="16"/>
  <c r="AD19" i="15"/>
  <c r="AD10" i="17"/>
  <c r="AD20" i="15"/>
  <c r="Y38" i="17"/>
  <c r="Y5" i="16"/>
  <c r="Y87" i="16" s="1"/>
  <c r="Y41" i="17"/>
  <c r="Y40" i="17"/>
  <c r="Z45" i="17"/>
  <c r="Z12" i="17"/>
  <c r="Z24" i="17"/>
  <c r="AC11" i="17"/>
  <c r="AC12" i="17" s="1"/>
  <c r="AA45" i="17"/>
  <c r="AA12" i="17"/>
  <c r="AA24" i="17"/>
  <c r="AA36" i="17" s="1"/>
  <c r="AA39" i="17" s="1"/>
  <c r="AB45" i="17"/>
  <c r="AB12" i="17"/>
  <c r="AB24" i="17"/>
  <c r="AB36" i="17" s="1"/>
  <c r="AB39" i="17" s="1"/>
  <c r="AC6" i="15"/>
  <c r="AA17" i="15"/>
  <c r="X42" i="16"/>
  <c r="X17" i="16"/>
  <c r="X48" i="16"/>
  <c r="X23" i="16"/>
  <c r="AC23" i="16"/>
  <c r="X11" i="16"/>
  <c r="AC11" i="16"/>
  <c r="X61" i="16"/>
  <c r="AC34" i="6"/>
  <c r="AC16" i="15"/>
  <c r="AC18" i="15"/>
  <c r="AB28" i="6"/>
  <c r="AC28" i="6" s="1"/>
  <c r="AD28" i="6" s="1"/>
  <c r="AC17" i="15"/>
  <c r="AD17" i="6"/>
  <c r="AC17" i="6"/>
  <c r="AE11" i="15" s="1"/>
  <c r="AD15" i="6"/>
  <c r="AC15" i="6"/>
  <c r="AE10" i="15" s="1"/>
  <c r="AA7" i="6"/>
  <c r="AA8" i="6" s="1"/>
  <c r="AF10" i="15" l="1"/>
  <c r="AG15" i="6"/>
  <c r="AF11" i="15"/>
  <c r="AF20" i="15" s="1"/>
  <c r="AG17" i="6"/>
  <c r="AC45" i="17"/>
  <c r="C19" i="12" s="1"/>
  <c r="AC13" i="6"/>
  <c r="AE9" i="15" s="1"/>
  <c r="AE8" i="17" s="1"/>
  <c r="AD34" i="6"/>
  <c r="AD13" i="6" s="1"/>
  <c r="Y43" i="17"/>
  <c r="Y47" i="17" s="1"/>
  <c r="AA5" i="16"/>
  <c r="AA87" i="16" s="1"/>
  <c r="AA40" i="17"/>
  <c r="AA38" i="17"/>
  <c r="AA41" i="17"/>
  <c r="AE19" i="15"/>
  <c r="AE9" i="17"/>
  <c r="AB41" i="17"/>
  <c r="AB5" i="16"/>
  <c r="AB87" i="16" s="1"/>
  <c r="AB38" i="17"/>
  <c r="AB40" i="17"/>
  <c r="Z36" i="17"/>
  <c r="Z39" i="17" s="1"/>
  <c r="AC24" i="17"/>
  <c r="C30" i="12" s="1"/>
  <c r="AB11" i="6"/>
  <c r="AD8" i="15" s="1"/>
  <c r="AD7" i="17" s="1"/>
  <c r="AF9" i="17"/>
  <c r="AF19" i="15"/>
  <c r="Y79" i="16"/>
  <c r="Y67" i="16"/>
  <c r="Y73" i="16"/>
  <c r="AE10" i="17"/>
  <c r="AE20" i="15"/>
  <c r="AC11" i="6"/>
  <c r="AE8" i="15" s="1"/>
  <c r="AE7" i="17" s="1"/>
  <c r="AD11" i="6"/>
  <c r="AF10" i="17" l="1"/>
  <c r="AF9" i="15"/>
  <c r="AF8" i="17" s="1"/>
  <c r="AG13" i="6"/>
  <c r="AF8" i="15"/>
  <c r="AF7" i="17" s="1"/>
  <c r="AG11" i="6"/>
  <c r="AA43" i="17"/>
  <c r="AA47" i="17" s="1"/>
  <c r="AB43" i="17"/>
  <c r="AB47" i="17" s="1"/>
  <c r="AC39" i="17"/>
  <c r="Z40" i="17"/>
  <c r="AC40" i="17" s="1"/>
  <c r="Z38" i="17"/>
  <c r="AC38" i="17" s="1"/>
  <c r="Z41" i="17"/>
  <c r="AC41" i="17" s="1"/>
  <c r="Z5" i="16"/>
  <c r="Z87" i="16" s="1"/>
  <c r="AC36" i="17"/>
  <c r="AA67" i="16"/>
  <c r="AA73" i="16"/>
  <c r="AA79" i="16"/>
  <c r="AB73" i="16"/>
  <c r="AB67" i="16"/>
  <c r="AB79" i="16"/>
  <c r="AC60" i="16"/>
  <c r="AD60" i="16" s="1"/>
  <c r="AE60" i="16" s="1"/>
  <c r="AF60" i="16" s="1"/>
  <c r="AC71" i="17" l="1"/>
  <c r="AC69" i="17"/>
  <c r="AC70" i="17"/>
  <c r="AC87" i="16"/>
  <c r="Z43" i="17"/>
  <c r="Z47" i="17" s="1"/>
  <c r="AC47" i="17" s="1"/>
  <c r="C9" i="12" s="1"/>
  <c r="AC73" i="17"/>
  <c r="AC88" i="16" s="1"/>
  <c r="Z73" i="16"/>
  <c r="AC73" i="16" s="1"/>
  <c r="Z79" i="16"/>
  <c r="AC79" i="16" s="1"/>
  <c r="Z67" i="16"/>
  <c r="AC67" i="16" s="1"/>
  <c r="AC5" i="16"/>
  <c r="AC61" i="16"/>
  <c r="AA22" i="6"/>
  <c r="AB22" i="6" s="1"/>
  <c r="AC22" i="6" s="1"/>
  <c r="AD22" i="6" s="1"/>
  <c r="AC43" i="17" l="1"/>
  <c r="AC68" i="16"/>
  <c r="AC74" i="16"/>
  <c r="AC80" i="16"/>
  <c r="AB9" i="6"/>
  <c r="AA23" i="6"/>
  <c r="AA10" i="6" s="1"/>
  <c r="AB7" i="6" l="1"/>
  <c r="AB8" i="6" s="1"/>
  <c r="AD6" i="17"/>
  <c r="AD11" i="17" s="1"/>
  <c r="AD7" i="15"/>
  <c r="AD9" i="6"/>
  <c r="AG9" i="6" s="1"/>
  <c r="AC9" i="6"/>
  <c r="AD7" i="6" l="1"/>
  <c r="AF6" i="17"/>
  <c r="AF11" i="17" s="1"/>
  <c r="AF7" i="15"/>
  <c r="AC7" i="6"/>
  <c r="AC8" i="6" s="1"/>
  <c r="AE6" i="17"/>
  <c r="AE11" i="17" s="1"/>
  <c r="AE7" i="15"/>
  <c r="AD45" i="17"/>
  <c r="C20" i="12" s="1"/>
  <c r="AD12" i="17"/>
  <c r="AD24" i="17"/>
  <c r="AD18" i="15"/>
  <c r="AD16" i="15"/>
  <c r="AD6" i="15"/>
  <c r="AD17" i="15"/>
  <c r="AD8" i="6" l="1"/>
  <c r="AG7" i="6"/>
  <c r="AF45" i="17"/>
  <c r="AF24" i="17"/>
  <c r="AF12" i="17"/>
  <c r="AE45" i="17"/>
  <c r="C21" i="12" s="1"/>
  <c r="AE12" i="17"/>
  <c r="AE24" i="17"/>
  <c r="AE18" i="15"/>
  <c r="AE6" i="15"/>
  <c r="AE16" i="15"/>
  <c r="AE17" i="15"/>
  <c r="AF18" i="15"/>
  <c r="AF16" i="15"/>
  <c r="AF6" i="15"/>
  <c r="AF17" i="15"/>
  <c r="X15" i="17" l="1"/>
  <c r="W16" i="17"/>
  <c r="X16" i="17" s="1"/>
  <c r="X54" i="17" s="1"/>
  <c r="X53" i="17" l="1"/>
  <c r="AC53" i="17"/>
  <c r="W17" i="17"/>
  <c r="W46" i="17" s="1"/>
  <c r="X46" i="17" s="1"/>
  <c r="X17" i="17"/>
  <c r="W24" i="17"/>
  <c r="W36" i="17" l="1"/>
  <c r="W39" i="17" s="1"/>
  <c r="X24" i="17"/>
  <c r="C29" i="12" s="1"/>
  <c r="W41" i="17" l="1"/>
  <c r="X41" i="17" s="1"/>
  <c r="W38" i="17"/>
  <c r="X38" i="17" s="1"/>
  <c r="W5" i="16"/>
  <c r="W87" i="16" s="1"/>
  <c r="W40" i="17"/>
  <c r="X40" i="17" s="1"/>
  <c r="X36" i="17"/>
  <c r="X70" i="17" l="1"/>
  <c r="X69" i="17"/>
  <c r="X71" i="17"/>
  <c r="W73" i="16"/>
  <c r="X73" i="16" s="1"/>
  <c r="W67" i="16"/>
  <c r="X67" i="16" s="1"/>
  <c r="W79" i="16"/>
  <c r="X79" i="16" s="1"/>
  <c r="X5" i="16"/>
  <c r="W43" i="17"/>
  <c r="W47" i="17" s="1"/>
  <c r="X80" i="16" l="1"/>
  <c r="X68" i="16"/>
  <c r="X74" i="16"/>
  <c r="T88" i="16"/>
  <c r="T87" i="16" s="1"/>
  <c r="X87" i="16" s="1"/>
  <c r="T89" i="16"/>
  <c r="T91" i="16"/>
  <c r="T73" i="17" l="1"/>
  <c r="T39" i="17" s="1"/>
  <c r="T43" i="17" s="1"/>
  <c r="X39" i="17" l="1"/>
  <c r="X73" i="17" s="1"/>
  <c r="X88" i="16" s="1"/>
  <c r="X43" i="17"/>
  <c r="T47" i="17"/>
  <c r="X47" i="17" s="1"/>
  <c r="C8" i="12" s="1"/>
  <c r="F12" i="10" l="1"/>
  <c r="F13" i="10" s="1"/>
  <c r="F14" i="10" l="1"/>
  <c r="F19" i="10" s="1"/>
  <c r="L11" i="10" s="1"/>
  <c r="L16" i="10" s="1"/>
  <c r="AD34" i="17"/>
  <c r="AE34" i="17" l="1"/>
  <c r="C32" i="12" s="1"/>
  <c r="C31" i="12"/>
  <c r="N7" i="8"/>
  <c r="L17" i="10"/>
  <c r="N8" i="8" s="1"/>
  <c r="AF34" i="17"/>
  <c r="AF36" i="17" s="1"/>
  <c r="AE36" i="17"/>
  <c r="AD36" i="17"/>
  <c r="AD40" i="17" l="1"/>
  <c r="AD41" i="17"/>
  <c r="AD5" i="16"/>
  <c r="AD38" i="17"/>
  <c r="AD39" i="17"/>
  <c r="AE40" i="17"/>
  <c r="AE5" i="16"/>
  <c r="AE38" i="17"/>
  <c r="AE39" i="17"/>
  <c r="AE41" i="17"/>
  <c r="AF41" i="17"/>
  <c r="AF38" i="17"/>
  <c r="AF39" i="17"/>
  <c r="AF40" i="17"/>
  <c r="AF5" i="16"/>
  <c r="AF43" i="17"/>
  <c r="AF47" i="17" s="1"/>
  <c r="AE43" i="17" l="1"/>
  <c r="AE47" i="17" s="1"/>
  <c r="C11" i="12" s="1"/>
  <c r="AD43" i="17"/>
  <c r="AD47" i="17" s="1"/>
  <c r="C10" i="12" s="1"/>
  <c r="AF79" i="16"/>
  <c r="AF73" i="16"/>
  <c r="AF87" i="16"/>
  <c r="AF67" i="16"/>
  <c r="AE73" i="16"/>
  <c r="AE79" i="16"/>
  <c r="AE67" i="16"/>
  <c r="AE87" i="16"/>
  <c r="AD67" i="16"/>
  <c r="AD87" i="16"/>
  <c r="AD79" i="16"/>
  <c r="AD73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support</author>
  </authors>
  <commentList>
    <comment ref="C45" authorId="0" shapeId="0" xr:uid="{3F5FCAED-CFFE-44F3-9F71-B8BE367C552A}">
      <text>
        <r>
          <rPr>
            <b/>
            <sz val="9"/>
            <color indexed="81"/>
            <rFont val="Tahoma"/>
            <family val="2"/>
          </rPr>
          <t xml:space="preserve">Steve M:
</t>
        </r>
        <r>
          <rPr>
            <sz val="9"/>
            <color indexed="81"/>
            <rFont val="Tahoma"/>
            <family val="2"/>
          </rPr>
          <t>Avg of Wells Fargo, Deutche Bank, JPM, and BNP FRE multiples</t>
        </r>
      </text>
    </comment>
    <comment ref="H45" authorId="0" shapeId="0" xr:uid="{19DA5AA3-251F-442F-A235-1389C91A4D34}">
      <text>
        <r>
          <rPr>
            <b/>
            <sz val="9"/>
            <color indexed="81"/>
            <rFont val="Tahoma"/>
            <family val="2"/>
          </rPr>
          <t xml:space="preserve">Erin:
</t>
        </r>
        <r>
          <rPr>
            <sz val="9"/>
            <color indexed="81"/>
            <rFont val="Tahoma"/>
            <family val="2"/>
          </rPr>
          <t xml:space="preserve">Street target multiple of Deutshe Bank and Wells Fargo. 
Steve:
changed to 1.1 from 1.0 to reflect a run up in KKR's P/bk multiple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Zach Pfeffer</author>
  </authors>
  <commentList>
    <comment ref="E44" authorId="0" shapeId="0" xr:uid="{C787D2E7-BDC3-4A82-B369-88ED0F902886}">
      <text>
        <r>
          <rPr>
            <b/>
            <sz val="9"/>
            <color indexed="81"/>
            <rFont val="Tahoma"/>
            <family val="2"/>
          </rPr>
          <t>Zach Pfeffer:</t>
        </r>
        <r>
          <rPr>
            <sz val="9"/>
            <color indexed="81"/>
            <rFont val="Tahoma"/>
            <family val="2"/>
          </rPr>
          <t xml:space="preserve">
Copy all numbers in these two tables and paste into the two tables above as values
Ctrl + C and then use the shortcut Ctrl + Alt + V + V to paste in as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Keal Brown</author>
  </authors>
  <commentList>
    <comment ref="C25" authorId="0" shapeId="0" xr:uid="{2D358CDA-D440-465F-8841-09A8EA1BC13F}">
      <text>
        <r>
          <rPr>
            <b/>
            <sz val="9"/>
            <color indexed="81"/>
            <rFont val="Tahoma"/>
            <family val="2"/>
          </rPr>
          <t>Keal Brown:</t>
        </r>
        <r>
          <rPr>
            <sz val="9"/>
            <color indexed="81"/>
            <rFont val="Tahoma"/>
            <family val="2"/>
          </rPr>
          <t xml:space="preserve">
Includes Strategic Holdings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<sst xmlns="http://schemas.openxmlformats.org/spreadsheetml/2006/main" count="1079" uniqueCount="528">
  <si>
    <t>Fee Related Earnings</t>
  </si>
  <si>
    <t>Revenue Mix</t>
  </si>
  <si>
    <t>Net Investment Income</t>
  </si>
  <si>
    <t>General, Administrative, and Other</t>
  </si>
  <si>
    <t>Asset Management</t>
  </si>
  <si>
    <t>Insurance</t>
  </si>
  <si>
    <t>x</t>
  </si>
  <si>
    <t>Interest Expense</t>
  </si>
  <si>
    <t>Preferred Stock Dividends</t>
  </si>
  <si>
    <t xml:space="preserve">Balance Sheet </t>
  </si>
  <si>
    <t>Book Value</t>
  </si>
  <si>
    <t>Performance Related Earnings Per Share</t>
  </si>
  <si>
    <t>Total Book Value</t>
  </si>
  <si>
    <t>-</t>
  </si>
  <si>
    <t>Summary</t>
  </si>
  <si>
    <t>% Growth</t>
  </si>
  <si>
    <t>Growth Rate</t>
  </si>
  <si>
    <t>Bull</t>
  </si>
  <si>
    <t>Bull Case</t>
  </si>
  <si>
    <t>Base Case</t>
  </si>
  <si>
    <t xml:space="preserve">Bear Case </t>
  </si>
  <si>
    <t>Model Assumptions:</t>
  </si>
  <si>
    <t>Company Name</t>
  </si>
  <si>
    <t>Ticker</t>
  </si>
  <si>
    <t>BX</t>
  </si>
  <si>
    <t>Case Scenario</t>
  </si>
  <si>
    <t>Base</t>
  </si>
  <si>
    <t>Last Fiscal Year</t>
  </si>
  <si>
    <t>Next Fiscal Year</t>
  </si>
  <si>
    <t>Last Fiscal Quarter Reported</t>
  </si>
  <si>
    <t>Current Valuation Date</t>
  </si>
  <si>
    <t>Current Share Price</t>
  </si>
  <si>
    <t>52-Week High</t>
  </si>
  <si>
    <t>52-Week Low</t>
  </si>
  <si>
    <t>Bear</t>
  </si>
  <si>
    <t>KKR</t>
  </si>
  <si>
    <t>KKR &amp; Co. Inc.</t>
  </si>
  <si>
    <t>CAGR</t>
  </si>
  <si>
    <t>Historical</t>
  </si>
  <si>
    <t>Projected</t>
  </si>
  <si>
    <t>Income Statement Assumptions</t>
  </si>
  <si>
    <t>Drivers</t>
  </si>
  <si>
    <t>Sum of The Parts Valuation</t>
  </si>
  <si>
    <t xml:space="preserve">Fee Related Earnings </t>
  </si>
  <si>
    <t>Exit Multiple (P/E)</t>
  </si>
  <si>
    <t xml:space="preserve">Base </t>
  </si>
  <si>
    <t>Fee Earnings</t>
  </si>
  <si>
    <t>Tax Rate</t>
  </si>
  <si>
    <t>Pro Forma Tax Rate</t>
  </si>
  <si>
    <t>Target P/E</t>
  </si>
  <si>
    <t>After Tax Fee Earnings</t>
  </si>
  <si>
    <t>After Tax Fee Earnings Per Share</t>
  </si>
  <si>
    <t>% Return</t>
  </si>
  <si>
    <t>Implied Value / Share</t>
  </si>
  <si>
    <t>Total</t>
  </si>
  <si>
    <t>Exit Multiple (P/Bk)</t>
  </si>
  <si>
    <t>Target P/Bk</t>
  </si>
  <si>
    <t>Book Value Per Share</t>
  </si>
  <si>
    <t>Implied Book Value / Share</t>
  </si>
  <si>
    <t>Investment Period</t>
  </si>
  <si>
    <t>Start Date</t>
  </si>
  <si>
    <t>End Date</t>
  </si>
  <si>
    <t>Uncalled Commitments</t>
  </si>
  <si>
    <t>Realized</t>
  </si>
  <si>
    <t>Remaining Fair Value</t>
  </si>
  <si>
    <t>(Millions)</t>
  </si>
  <si>
    <t>Amount ($ in millions)</t>
  </si>
  <si>
    <t>Commitment (2)</t>
  </si>
  <si>
    <t>Percentage Committed by General Partner</t>
  </si>
  <si>
    <t>Invested</t>
  </si>
  <si>
    <t>Remaining Cost (3)</t>
  </si>
  <si>
    <t>Gross Accrued Carried Interest</t>
  </si>
  <si>
    <t>Private Equity Business Line</t>
  </si>
  <si>
    <t>North America Fund XIII</t>
  </si>
  <si>
    <t>6/2021</t>
  </si>
  <si>
    <t>8/2027</t>
  </si>
  <si>
    <t>Americas Fund XII</t>
  </si>
  <si>
    <t>1/2017</t>
  </si>
  <si>
    <t>North America Fund XI</t>
  </si>
  <si>
    <t>9/2012</t>
  </si>
  <si>
    <t>2006 Fund (4)</t>
  </si>
  <si>
    <t>9/2006</t>
  </si>
  <si>
    <t>Millennium Fund (4)</t>
  </si>
  <si>
    <t>12/2002</t>
  </si>
  <si>
    <t>12/2008</t>
  </si>
  <si>
    <t>European Fund VI</t>
  </si>
  <si>
    <t>3/2022</t>
  </si>
  <si>
    <t>6/2028</t>
  </si>
  <si>
    <t>European Fund V</t>
  </si>
  <si>
    <t>3/2019</t>
  </si>
  <si>
    <t>2/2022</t>
  </si>
  <si>
    <t>European Fund IV</t>
  </si>
  <si>
    <t>12/2014</t>
  </si>
  <si>
    <t>European Fund III (4)</t>
  </si>
  <si>
    <t>3/2008</t>
  </si>
  <si>
    <t>3/2014</t>
  </si>
  <si>
    <t>European Fund II (4)</t>
  </si>
  <si>
    <t>11/2005</t>
  </si>
  <si>
    <t>10/2008</t>
  </si>
  <si>
    <t>Asian Fund IV</t>
  </si>
  <si>
    <t>7/2020</t>
  </si>
  <si>
    <t>7/2026</t>
  </si>
  <si>
    <t>Asian Fund III</t>
  </si>
  <si>
    <t>4/2017</t>
  </si>
  <si>
    <t>Asian Fund II</t>
  </si>
  <si>
    <t>4/2013</t>
  </si>
  <si>
    <t>Asian Fund (4)</t>
  </si>
  <si>
    <t>7/2007</t>
  </si>
  <si>
    <t>China Growth Fund (4)</t>
  </si>
  <si>
    <t>11/2010</t>
  </si>
  <si>
    <t>11/2016</t>
  </si>
  <si>
    <t>Next Generation Technology Growth Fund II</t>
  </si>
  <si>
    <t>12/2019</t>
  </si>
  <si>
    <t>5/2022</t>
  </si>
  <si>
    <t>Next Generation Technology Growth Fund</t>
  </si>
  <si>
    <t>3/2016</t>
  </si>
  <si>
    <t>Health Care Strategic Growth Fund II</t>
  </si>
  <si>
    <t>5/2021</t>
  </si>
  <si>
    <t>5/2027</t>
  </si>
  <si>
    <t>Health Care Strategic Growth Fund</t>
  </si>
  <si>
    <t>12/2016</t>
  </si>
  <si>
    <t>Global Impact Fund II</t>
  </si>
  <si>
    <t>6/2022</t>
  </si>
  <si>
    <t>Global Impact Fund</t>
  </si>
  <si>
    <t>2/2019</t>
  </si>
  <si>
    <t>Co-Investment Vehicles and Other</t>
  </si>
  <si>
    <t>Various</t>
  </si>
  <si>
    <t>Core Investment Vehicles</t>
  </si>
  <si>
    <t>Unallocated Commitments (5)</t>
  </si>
  <si>
    <t>Total Private Equity</t>
  </si>
  <si>
    <t>Real Assets Business Line</t>
  </si>
  <si>
    <t>Energy Income and Growth Fund II</t>
  </si>
  <si>
    <t>6/2018</t>
  </si>
  <si>
    <t>Energy Income and Growth Fund</t>
  </si>
  <si>
    <t>9/2013</t>
  </si>
  <si>
    <t>Natural Resources Fund (4)</t>
  </si>
  <si>
    <t>Global Energy Opportunities</t>
  </si>
  <si>
    <t>Global Infrastructure Investors IV</t>
  </si>
  <si>
    <t>8/2021</t>
  </si>
  <si>
    <t>Global Infrastructure Investors III</t>
  </si>
  <si>
    <t>Global Infrastructure Investors II</t>
  </si>
  <si>
    <t>10/2014</t>
  </si>
  <si>
    <t>Global Infrastructure Investors</t>
  </si>
  <si>
    <t>9/2011</t>
  </si>
  <si>
    <t>Asia Pacific Infrastructure Investors II</t>
  </si>
  <si>
    <t>Asia Pacific Infrastructure Investors</t>
  </si>
  <si>
    <t>1/2020</t>
  </si>
  <si>
    <t>1/2026</t>
  </si>
  <si>
    <t>Diversified Core Infrastructure Fund</t>
  </si>
  <si>
    <t>12/2020</t>
  </si>
  <si>
    <t>Real Estate Partners Americas III</t>
  </si>
  <si>
    <t>1/2025</t>
  </si>
  <si>
    <t>Real Estate Partners Americas II</t>
  </si>
  <si>
    <t>5/2017</t>
  </si>
  <si>
    <t>Real Estate Partners Americas</t>
  </si>
  <si>
    <t>5/2013</t>
  </si>
  <si>
    <t>Real Estate Partners Europe II</t>
  </si>
  <si>
    <t>3/2024</t>
  </si>
  <si>
    <t>Real Estate Partners Europe</t>
  </si>
  <si>
    <t>9/2015</t>
  </si>
  <si>
    <t>Asia Real Estate Partners</t>
  </si>
  <si>
    <t>6/2019</t>
  </si>
  <si>
    <t>7/2023</t>
  </si>
  <si>
    <t>Real Estate Credit Opportunity Partners II</t>
  </si>
  <si>
    <t>4/2019</t>
  </si>
  <si>
    <t>Real Estate Credit Opportunity Partners</t>
  </si>
  <si>
    <t>2/2017</t>
  </si>
  <si>
    <t>Property Partners Americas</t>
  </si>
  <si>
    <t>Total Real Assets</t>
  </si>
  <si>
    <t>Dislocation Opportunities Fund</t>
  </si>
  <si>
    <t>Special Situations Fund II</t>
  </si>
  <si>
    <t>Special Situations Fund</t>
  </si>
  <si>
    <t>Mezzanine Partners</t>
  </si>
  <si>
    <t>Asset-Based Finance Partners</t>
  </si>
  <si>
    <t>Private Credit Opportunities Partners II</t>
  </si>
  <si>
    <t>Lending Partners III</t>
  </si>
  <si>
    <t>Lending Partners II</t>
  </si>
  <si>
    <t>Lending Partners</t>
  </si>
  <si>
    <t>Lending Partners Europe II</t>
  </si>
  <si>
    <t>Lending Partners Europe</t>
  </si>
  <si>
    <t>Asia Credit</t>
  </si>
  <si>
    <t>Other Alternative Credit Vehicles</t>
  </si>
  <si>
    <t xml:space="preserve">Credit and Liquid Strategies </t>
  </si>
  <si>
    <t>Total Credit &amp; Liquid Strategies</t>
  </si>
  <si>
    <t>Carried Interest Eligible</t>
  </si>
  <si>
    <t xml:space="preserve">Incentive Fee Eligible </t>
  </si>
  <si>
    <t xml:space="preserve">Performance Fee Eligible </t>
  </si>
  <si>
    <t>Private Equity &amp; Real Assets</t>
  </si>
  <si>
    <t>Credit &amp; Liquid Strategies</t>
  </si>
  <si>
    <t xml:space="preserve">Total Assets Under Management </t>
  </si>
  <si>
    <t>LTM P/E</t>
  </si>
  <si>
    <t>NTM P/E</t>
  </si>
  <si>
    <t>Historical Averages</t>
  </si>
  <si>
    <t>1 Year</t>
  </si>
  <si>
    <t>2 Year</t>
  </si>
  <si>
    <t>3 Year</t>
  </si>
  <si>
    <t>5 Year</t>
  </si>
  <si>
    <t>Current</t>
  </si>
  <si>
    <t>CG</t>
  </si>
  <si>
    <t>APO</t>
  </si>
  <si>
    <t>TPG</t>
  </si>
  <si>
    <t>Ares</t>
  </si>
  <si>
    <t>IQ269231</t>
  </si>
  <si>
    <t>CIQ Code:</t>
  </si>
  <si>
    <t>IQ97199</t>
  </si>
  <si>
    <t>IQ23307</t>
  </si>
  <si>
    <t>EMR</t>
  </si>
  <si>
    <t>Ticker:</t>
  </si>
  <si>
    <t>NOC</t>
  </si>
  <si>
    <t>Emerson Electric</t>
  </si>
  <si>
    <t>Comparable Name:</t>
  </si>
  <si>
    <t>Northrop Grumman</t>
  </si>
  <si>
    <t>TPG Capital, L.P.</t>
  </si>
  <si>
    <t>IQ22751</t>
  </si>
  <si>
    <t>IQ285827</t>
  </si>
  <si>
    <t>IQ23333</t>
  </si>
  <si>
    <t>ROP</t>
  </si>
  <si>
    <t>LMT</t>
  </si>
  <si>
    <t>Roper Technologies</t>
  </si>
  <si>
    <t>Lockheed Martin</t>
  </si>
  <si>
    <t>Carlyle Group Inc</t>
  </si>
  <si>
    <t>IQ1340740</t>
  </si>
  <si>
    <t>IQ363263</t>
  </si>
  <si>
    <t>IQ671980</t>
  </si>
  <si>
    <t>HON</t>
  </si>
  <si>
    <t>HII</t>
  </si>
  <si>
    <t>Honeywell</t>
  </si>
  <si>
    <t>Huntington Ingalls</t>
  </si>
  <si>
    <t>Blackstone</t>
  </si>
  <si>
    <t>IQ177031</t>
  </si>
  <si>
    <t>IQ370857</t>
  </si>
  <si>
    <t>IQ44707236</t>
  </si>
  <si>
    <t>GE</t>
  </si>
  <si>
    <t>BA</t>
  </si>
  <si>
    <t>ARCC</t>
  </si>
  <si>
    <t>General Electric</t>
  </si>
  <si>
    <t>Boeing</t>
  </si>
  <si>
    <t xml:space="preserve">Ares Capital Corporation </t>
  </si>
  <si>
    <t>IQ289194</t>
  </si>
  <si>
    <t>IQ159230</t>
  </si>
  <si>
    <t>IQ18833</t>
  </si>
  <si>
    <t>MMM</t>
  </si>
  <si>
    <t>RTX</t>
  </si>
  <si>
    <t>3M Company</t>
  </si>
  <si>
    <t>Raytheon</t>
  </si>
  <si>
    <t>Apollo Global Management, Inc.</t>
  </si>
  <si>
    <t>Cap. Goods Peer Group</t>
  </si>
  <si>
    <t>Peer Group 3:</t>
  </si>
  <si>
    <t>IQ21401</t>
  </si>
  <si>
    <t>Defense Peer Group</t>
  </si>
  <si>
    <t>Peer Group 2:</t>
  </si>
  <si>
    <t>Primary Peer Group</t>
  </si>
  <si>
    <t>Peer Group 1:</t>
  </si>
  <si>
    <t>Target Company:</t>
  </si>
  <si>
    <t>KKR Inc. &amp; Co.</t>
  </si>
  <si>
    <t>Peer Group Names</t>
  </si>
  <si>
    <t>Comparable Companies List:</t>
  </si>
  <si>
    <t>Outlook</t>
  </si>
  <si>
    <t>S&amp;P</t>
  </si>
  <si>
    <t>Capital IQ Tables</t>
  </si>
  <si>
    <t>h</t>
  </si>
  <si>
    <t>Low</t>
  </si>
  <si>
    <t>Median</t>
  </si>
  <si>
    <t>Mean</t>
  </si>
  <si>
    <t>High</t>
  </si>
  <si>
    <t>Stable</t>
  </si>
  <si>
    <t>A</t>
  </si>
  <si>
    <t>BBB+</t>
  </si>
  <si>
    <t>A-</t>
  </si>
  <si>
    <t>The Carlyle Group Inc.</t>
  </si>
  <si>
    <t>Negative</t>
  </si>
  <si>
    <t>BBB-</t>
  </si>
  <si>
    <t>A+</t>
  </si>
  <si>
    <t>Blackstone Inc.</t>
  </si>
  <si>
    <t>Watch Neg</t>
  </si>
  <si>
    <t>NM</t>
  </si>
  <si>
    <t>LOW</t>
  </si>
  <si>
    <t>Ratio</t>
  </si>
  <si>
    <t>Int. Exp.</t>
  </si>
  <si>
    <t>Capex)/Int.</t>
  </si>
  <si>
    <t>Equity</t>
  </si>
  <si>
    <t>EBITDA</t>
  </si>
  <si>
    <t>Cap</t>
  </si>
  <si>
    <t>ROA</t>
  </si>
  <si>
    <t xml:space="preserve">ROE </t>
  </si>
  <si>
    <t>ROIC</t>
  </si>
  <si>
    <t>Yield</t>
  </si>
  <si>
    <t>Beta</t>
  </si>
  <si>
    <t>Quick</t>
  </si>
  <si>
    <t xml:space="preserve">EBIT / </t>
  </si>
  <si>
    <t>(EBITDA -</t>
  </si>
  <si>
    <t xml:space="preserve">EBITDA / </t>
  </si>
  <si>
    <t>Dividend</t>
  </si>
  <si>
    <t xml:space="preserve">Total Debt / </t>
  </si>
  <si>
    <t>Credit Profile</t>
  </si>
  <si>
    <t>Liquidity Profile</t>
  </si>
  <si>
    <t>Returns Analysis</t>
  </si>
  <si>
    <t>General Statistics</t>
  </si>
  <si>
    <t>Company</t>
  </si>
  <si>
    <t>2021A Coverage Analysis</t>
  </si>
  <si>
    <t>2021A Leverage Analysis</t>
  </si>
  <si>
    <t>LTM</t>
  </si>
  <si>
    <t>Value</t>
  </si>
  <si>
    <t>Price / Earnings</t>
  </si>
  <si>
    <t>Sales</t>
  </si>
  <si>
    <t>Profit Margin</t>
  </si>
  <si>
    <t>EBITDA Margin</t>
  </si>
  <si>
    <t>EPS</t>
  </si>
  <si>
    <t>Enterprise</t>
  </si>
  <si>
    <t xml:space="preserve">Market </t>
  </si>
  <si>
    <t xml:space="preserve">Enterprise Value / </t>
  </si>
  <si>
    <t>IQ282167789</t>
  </si>
  <si>
    <t>VPN Technologies Inc.</t>
  </si>
  <si>
    <t>VPN Technologies</t>
  </si>
  <si>
    <t>IQ140252251</t>
  </si>
  <si>
    <t>IQ3160034</t>
  </si>
  <si>
    <t>In-Touch Insight Systems Inc.</t>
  </si>
  <si>
    <t>Intouch Insight Ltd.</t>
  </si>
  <si>
    <t>Intouch Insight</t>
  </si>
  <si>
    <t>IQ631346236</t>
  </si>
  <si>
    <t>IQ32261</t>
  </si>
  <si>
    <t>Inseego (Uk) Limited</t>
  </si>
  <si>
    <t>Inseego Corp.</t>
  </si>
  <si>
    <t>Inseego</t>
  </si>
  <si>
    <t>IQ140988581</t>
  </si>
  <si>
    <t>IQ52173769</t>
  </si>
  <si>
    <t>IQ35346468</t>
  </si>
  <si>
    <t>IQ5540679</t>
  </si>
  <si>
    <t>IQ32052</t>
  </si>
  <si>
    <t>NetApp Argentina Srl</t>
  </si>
  <si>
    <t>NetApp, S.L.</t>
  </si>
  <si>
    <t>NetApp UK Ltd.</t>
  </si>
  <si>
    <t>NetApp B.V.</t>
  </si>
  <si>
    <t>NetApp, Inc.</t>
  </si>
  <si>
    <t>NetApp</t>
  </si>
  <si>
    <t>IQ29281</t>
  </si>
  <si>
    <t>IQ247850513</t>
  </si>
  <si>
    <t>IQ289128608</t>
  </si>
  <si>
    <t>IQ5433989</t>
  </si>
  <si>
    <t>IQ29282</t>
  </si>
  <si>
    <t>Harmonic Drive, LLC</t>
  </si>
  <si>
    <t>Harmonic Fund Services</t>
  </si>
  <si>
    <t>Harmonicare Medical Holdings Limited</t>
  </si>
  <si>
    <t>Harmonic Drive Systems Inc.</t>
  </si>
  <si>
    <t>Harmonic Inc.</t>
  </si>
  <si>
    <t>Harmonic</t>
  </si>
  <si>
    <t>IQ628970853</t>
  </si>
  <si>
    <t>IQ317548072</t>
  </si>
  <si>
    <t>IQ51199915</t>
  </si>
  <si>
    <t>IQ111651957</t>
  </si>
  <si>
    <t>IQ27928</t>
  </si>
  <si>
    <t>Egain Sweden AB</t>
  </si>
  <si>
    <t>eGain International AB</t>
  </si>
  <si>
    <t>eGain Communications Corp., Asset Management Arm</t>
  </si>
  <si>
    <t>eGain Communications Ltd</t>
  </si>
  <si>
    <t>eGain Corporation</t>
  </si>
  <si>
    <t>IQ240260106</t>
  </si>
  <si>
    <t>IQ119046841</t>
  </si>
  <si>
    <t>IQ111712935</t>
  </si>
  <si>
    <t>IQ119046943</t>
  </si>
  <si>
    <t>IQ26789</t>
  </si>
  <si>
    <t>CommVault Systems GmbH</t>
  </si>
  <si>
    <t>CommVault Systems Mexico S. de R.L. de C.V.</t>
  </si>
  <si>
    <t>Commvault Systems Ltd</t>
  </si>
  <si>
    <t>CommVault Systems (Australia) Pty. Ltd.</t>
  </si>
  <si>
    <t>Commvault Systems, Inc.</t>
  </si>
  <si>
    <t>Commvault Systems</t>
  </si>
  <si>
    <t>IQ698394945</t>
  </si>
  <si>
    <t>IQ182703434</t>
  </si>
  <si>
    <t>IQ29198565</t>
  </si>
  <si>
    <t>IQ602727452</t>
  </si>
  <si>
    <t>IQ26767</t>
  </si>
  <si>
    <t>Cyrene</t>
  </si>
  <si>
    <t>Changing Lives</t>
  </si>
  <si>
    <t>Cyren Call Communications Corp.</t>
  </si>
  <si>
    <t>Cyren Uk Ltd</t>
  </si>
  <si>
    <t>Cyren Ltd.</t>
  </si>
  <si>
    <t xml:space="preserve">CYREN </t>
  </si>
  <si>
    <t>IQ29511128</t>
  </si>
  <si>
    <t>IQ22583406</t>
  </si>
  <si>
    <t>IQ22498150</t>
  </si>
  <si>
    <t>IQ13574467</t>
  </si>
  <si>
    <t>IQ26524</t>
  </si>
  <si>
    <t>Citrix Systems Belgium S.A.R.L.</t>
  </si>
  <si>
    <t>Citrix Systems International GmbH</t>
  </si>
  <si>
    <t>Citrix Systems Capital &amp; Finance SARL</t>
  </si>
  <si>
    <t>Citrix Systems Japan Kabushiki Kaisha</t>
  </si>
  <si>
    <t>Citrix Systems, Inc.</t>
  </si>
  <si>
    <t xml:space="preserve">Citrix Systems, Inc. </t>
  </si>
  <si>
    <t>IQ643919097</t>
  </si>
  <si>
    <t>IQ678571</t>
  </si>
  <si>
    <t>IQ34903</t>
  </si>
  <si>
    <t>IQ26369966</t>
  </si>
  <si>
    <t>IQ22247</t>
  </si>
  <si>
    <t>ORACLE</t>
  </si>
  <si>
    <t>Oracle Financial Services Software Limited</t>
  </si>
  <si>
    <t>Oracle America, Inc.</t>
  </si>
  <si>
    <t>Oracle Elevator Company</t>
  </si>
  <si>
    <t>Oracle Corporation</t>
  </si>
  <si>
    <t xml:space="preserve">Oracle Corporation </t>
  </si>
  <si>
    <t>IQ426387475</t>
  </si>
  <si>
    <t>IQ266500775</t>
  </si>
  <si>
    <t>Realtors8 Pte Ltd</t>
  </si>
  <si>
    <t>8common Limited</t>
  </si>
  <si>
    <t xml:space="preserve">8common Limited </t>
  </si>
  <si>
    <t>IQ172033764</t>
  </si>
  <si>
    <t>IQ11355381</t>
  </si>
  <si>
    <t>IQ685598</t>
  </si>
  <si>
    <t>IQ538190258</t>
  </si>
  <si>
    <t>TPG Global, LLC</t>
  </si>
  <si>
    <t>TPG Telecom Limited</t>
  </si>
  <si>
    <t>TPG Growth, LLC</t>
  </si>
  <si>
    <t>TPG Inc.</t>
  </si>
  <si>
    <t>IQ687162457</t>
  </si>
  <si>
    <t>IQ233748663</t>
  </si>
  <si>
    <t>IQ991578</t>
  </si>
  <si>
    <t>IQ433672758</t>
  </si>
  <si>
    <t>The Carlyle Group (Luxembourg) S.à R.l.</t>
  </si>
  <si>
    <t>Carlyle Group Management L.L.C.</t>
  </si>
  <si>
    <t>Carlyle Group Limited</t>
  </si>
  <si>
    <t>The Carlyle Group, Inc.</t>
  </si>
  <si>
    <t>IQ34536531</t>
  </si>
  <si>
    <t>IQ258279</t>
  </si>
  <si>
    <t>IQ10004802</t>
  </si>
  <si>
    <t>IQ368278</t>
  </si>
  <si>
    <t>Brambles Limited</t>
  </si>
  <si>
    <t>Blackstone Mortgage Trust, Inc.</t>
  </si>
  <si>
    <t>BlueLinx Holdings Inc.</t>
  </si>
  <si>
    <t>Boston Properties, Inc.</t>
  </si>
  <si>
    <t>IQ302379505</t>
  </si>
  <si>
    <t>IQ78938777</t>
  </si>
  <si>
    <t>IQ698571497</t>
  </si>
  <si>
    <t>IQ141943745</t>
  </si>
  <si>
    <t>IQ9771238</t>
  </si>
  <si>
    <t>Ares Capital Europe III (D) Lp</t>
  </si>
  <si>
    <t>Ares Capital Europe</t>
  </si>
  <si>
    <t>Ares Capital</t>
  </si>
  <si>
    <t>Ares Capital Management LLC</t>
  </si>
  <si>
    <t>Ares Capital Corporation</t>
  </si>
  <si>
    <t>IQ6587231</t>
  </si>
  <si>
    <t>IQ9589328</t>
  </si>
  <si>
    <t>IQ4211892</t>
  </si>
  <si>
    <t>IQ251050</t>
  </si>
  <si>
    <t>Apollo Inc.</t>
  </si>
  <si>
    <t>MidCap Financial Investment Corporation</t>
  </si>
  <si>
    <t>Apotex Inc.</t>
  </si>
  <si>
    <t>Apogee Enterprises, Inc.</t>
  </si>
  <si>
    <t>IQ232478312</t>
  </si>
  <si>
    <t>IQ11314979</t>
  </si>
  <si>
    <t>IQ38781334</t>
  </si>
  <si>
    <t>IQ28403053</t>
  </si>
  <si>
    <t>KKR Asia Limited</t>
  </si>
  <si>
    <t>KKR Financial Holdings LLC</t>
  </si>
  <si>
    <t>KKR Capital Markets LLC</t>
  </si>
  <si>
    <t>KKR Credit Advisors (US) LLC</t>
  </si>
  <si>
    <t>KKR &amp; Co., Inc.</t>
  </si>
  <si>
    <t>NYSE: MMM</t>
  </si>
  <si>
    <t>CIQ ID</t>
  </si>
  <si>
    <t>Result Name</t>
  </si>
  <si>
    <t>Result #</t>
  </si>
  <si>
    <t>Match #?</t>
  </si>
  <si>
    <t>Search Item Input</t>
  </si>
  <si>
    <t>Search</t>
  </si>
  <si>
    <t>Exact</t>
  </si>
  <si>
    <t>CIQ IDENTIFIER CONVERTER</t>
  </si>
  <si>
    <t>Copyright © 2019 S&amp;P Global Market Intelligence LLC (and its affiliates as applicable) – All rights reserved.  This model and/or any data in it are provided subject to the written agreement of S&amp;P Global Market Intelligence LLC governing the subscription service to which this model is applied.</t>
  </si>
  <si>
    <t>Source: S&amp;P Capital IQ</t>
  </si>
  <si>
    <t>4. If all 5 results do not match your search criteria, refine your search or use the Capital IQ ID Lookup</t>
  </si>
  <si>
    <t>3. Use the Search Result dropdown in column C to select one of the top 5 results</t>
  </si>
  <si>
    <t>2. Hit Search button</t>
  </si>
  <si>
    <t>1. Input search criteria in column A</t>
  </si>
  <si>
    <t>Distributable Earnings per Share</t>
  </si>
  <si>
    <t>Fee Related Earnings per Share</t>
  </si>
  <si>
    <t xml:space="preserve">Asset Management &amp; Insurance Operating Earnings </t>
  </si>
  <si>
    <t>Implied PT</t>
  </si>
  <si>
    <t>Implied Return</t>
  </si>
  <si>
    <t>Sum of the Parts Valuation</t>
  </si>
  <si>
    <t>eepy</t>
  </si>
  <si>
    <t>Implied Share Price</t>
  </si>
  <si>
    <t xml:space="preserve">Implied Share Price </t>
  </si>
  <si>
    <t>Methodology (2023E)</t>
  </si>
  <si>
    <t>Return Summary:</t>
  </si>
  <si>
    <t>Sum of the Parts Analysis</t>
  </si>
  <si>
    <t>Report</t>
  </si>
  <si>
    <t>Model Note:</t>
  </si>
  <si>
    <t>To remain consistent with Street reporting, all numbers are pulled from investor presentations that are released each quarter.</t>
  </si>
  <si>
    <t>Assumptions (2025E)</t>
  </si>
  <si>
    <t>Segment Analysis</t>
  </si>
  <si>
    <t>End</t>
  </si>
  <si>
    <t>Income Statement</t>
  </si>
  <si>
    <t>Income Statement Analysis</t>
  </si>
  <si>
    <t>Weighted Average Shares Outstanding</t>
  </si>
  <si>
    <t>Fee-Related Earnings Per Share</t>
  </si>
  <si>
    <t>Management Fees</t>
  </si>
  <si>
    <t>Transaction and Monitoring Fees</t>
  </si>
  <si>
    <t>Fee-Related Performance Revenues</t>
  </si>
  <si>
    <t>Fee-Related Compensation</t>
  </si>
  <si>
    <t>Other Operating Expenses</t>
  </si>
  <si>
    <t>Fee-Related Earnings</t>
  </si>
  <si>
    <t>Strategic Holdings</t>
  </si>
  <si>
    <t>Realized Performance Income (Loss)</t>
  </si>
  <si>
    <t>Realized Performance Income Compensation</t>
  </si>
  <si>
    <t xml:space="preserve">Realized Performance Income </t>
  </si>
  <si>
    <t>Net Realized Performance Income (Loss)</t>
  </si>
  <si>
    <t>Total Segment Earnings</t>
  </si>
  <si>
    <t>Income Tax</t>
  </si>
  <si>
    <t>Adjusted Net Income (ANI) [Formerly Distributable Earnings]</t>
  </si>
  <si>
    <t>ANI per Share</t>
  </si>
  <si>
    <t>Net Cost of Insurance</t>
  </si>
  <si>
    <t>Pre-Tax Operating Earnings Attributable to Non-Controlling Interest</t>
  </si>
  <si>
    <t>Insurance Segment Operating Earnings</t>
  </si>
  <si>
    <t>Total Asset Management Operating Earnings</t>
  </si>
  <si>
    <t>Total Strategic Holdings Earnings</t>
  </si>
  <si>
    <t>Non-Controlling Interest</t>
  </si>
  <si>
    <t>% of Total Segment Earnings</t>
  </si>
  <si>
    <t>% of Realized Performance Income</t>
  </si>
  <si>
    <t>Assumptions per Segment</t>
  </si>
  <si>
    <t>% of Net Investment Income</t>
  </si>
  <si>
    <t xml:space="preserve">Asset Management </t>
  </si>
  <si>
    <t>Diluted Weighted Average Shares</t>
  </si>
  <si>
    <t>Tax Expense</t>
  </si>
  <si>
    <t>Assumptions (2026E)</t>
  </si>
  <si>
    <t>Fee-Related Earnings (2026E)</t>
  </si>
  <si>
    <t>4Q</t>
  </si>
  <si>
    <t>2026e</t>
  </si>
  <si>
    <t>2027e</t>
  </si>
  <si>
    <t>2028e</t>
  </si>
  <si>
    <t>2029e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</si>
</sst>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;\(0.0%\)"/>
    <numFmt numFmtId="165" formatCode="0.0"/>
    <numFmt numFmtId="166" formatCode="_(&quot;$&quot;* #,##0.0_);_(&quot;$&quot;* \(#,##0.0\);_(&quot;$&quot;* &quot;-&quot;?_);_(@_)"/>
    <numFmt numFmtId="167" formatCode="_(* #,##0.0_);_(* \(#,##0.0\);_(* &quot;-&quot;?_);_(@_)"/>
    <numFmt numFmtId="168" formatCode="&quot;$&quot;#,##0.00"/>
    <numFmt numFmtId="169" formatCode="_([$$-409]* #,##0.00_);_([$$-409]* \(#,##0.00\);_([$$-409]* &quot;-&quot;??_);_(@_)"/>
    <numFmt numFmtId="170" formatCode="0.0%"/>
    <numFmt numFmtId="171" formatCode="#,##0.0%_);\(#,##0.0%_)"/>
    <numFmt numFmtId="172" formatCode="0.0\x"/>
    <numFmt numFmtId="173" formatCode="_(0_);_(\(0\);_(&quot;-&quot;_);@_)"/>
    <numFmt numFmtId="174" formatCode="_(\$* #,##0_);_(\$* \(#,##0\);_(\$* &quot;-&quot;_);_(@_)"/>
    <numFmt numFmtId="175" formatCode="_(#,##0%_);_(\(#,##0\)%;_(&quot;-&quot;\%_);@"/>
    <numFmt numFmtId="176" formatCode="_(#,##0_);_(\(#,##0\);_(&quot;-&quot;_);_(@_)"/>
    <numFmt numFmtId="177" formatCode="0.0\x;\(0.0\x\)"/>
    <numFmt numFmtId="178" formatCode="_(0.0%_);\(0.0%\);_(&quot;-&quot;_)_%"/>
    <numFmt numFmtId="179" formatCode="0.0\x_);\(0.0\x\)"/>
    <numFmt numFmtId="180" formatCode="#,##0.0%_);\(#,##0.0\)%"/>
    <numFmt numFmtId="181" formatCode="0.0&quot;x&quot;"/>
    <numFmt numFmtId="182" formatCode="0.00_);\(0.00\)"/>
    <numFmt numFmtId="183" formatCode="[$-409]d\-mmm;@"/>
    <numFmt numFmtId="184" formatCode="yyyy&quot;E&quot;"/>
    <numFmt numFmtId="185" formatCode="#,##0.0\x_);\(#,##0.0\x_)"/>
    <numFmt numFmtId="186" formatCode="#,##0.0%_);\(#,##0.0%\)"/>
    <numFmt numFmtId="187" formatCode="&quot;&quot;"/>
    <numFmt numFmtId="188" formatCode="#,##0.0_);\(#,##0.0\)"/>
    <numFmt numFmtId="189" formatCode="#,##0.0"/>
    <numFmt numFmtId="190" formatCode="_(&quot;$&quot;* #,##0.0_);_(&quot;$&quot;* \(#,##0.0\);_(&quot;$&quot;* &quot;-&quot;??_);_(@_)"/>
    <numFmt numFmtId="191" formatCode="&quot;$&quot;#,##0.0_);\(&quot;$&quot;#,##0.0\)"/>
    <numFmt numFmtId="193" formatCode="&quot;$&quot;#,##0.0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badi"/>
      <family val="2"/>
    </font>
    <font>
      <sz val="10"/>
      <color theme="0"/>
      <name val="Abad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badi"/>
      <family val="2"/>
    </font>
    <font>
      <sz val="10"/>
      <color rgb="FF0000FF"/>
      <name val="Abadi"/>
      <family val="2"/>
    </font>
    <font>
      <sz val="10"/>
      <color theme="1"/>
      <name val="Calibri"/>
      <family val="2"/>
      <scheme val="minor"/>
    </font>
    <font>
      <sz val="10"/>
      <name val="Abadi"/>
      <family val="2"/>
    </font>
    <font>
      <b/>
      <sz val="10"/>
      <color theme="1"/>
      <name val="Abadi"/>
      <family val="2"/>
    </font>
    <font>
      <i/>
      <sz val="10"/>
      <color theme="1"/>
      <name val="Abadi"/>
      <family val="2"/>
    </font>
    <font>
      <i/>
      <sz val="11"/>
      <color theme="1"/>
      <name val="Abadi"/>
      <family val="2"/>
    </font>
    <font>
      <sz val="10"/>
      <color rgb="FF008000"/>
      <name val="Abadi"/>
      <family val="2"/>
    </font>
    <font>
      <sz val="11"/>
      <color theme="0"/>
      <name val="Abadi"/>
      <family val="2"/>
    </font>
    <font>
      <i/>
      <sz val="10"/>
      <name val="Abadi"/>
      <family val="2"/>
    </font>
    <font>
      <sz val="11"/>
      <name val="Abadi"/>
      <family val="2"/>
    </font>
    <font>
      <b/>
      <sz val="10"/>
      <name val="Abadi"/>
      <family val="2"/>
    </font>
    <font>
      <i/>
      <sz val="10"/>
      <color rgb="FF0000FF"/>
      <name val="Abadi"/>
      <family val="2"/>
    </font>
    <font>
      <sz val="10"/>
      <color theme="0" tint="-0.14999847407452621"/>
      <name val="Abadi"/>
      <family val="2"/>
    </font>
    <font>
      <u/>
      <sz val="10"/>
      <color theme="1"/>
      <name val="Abadi"/>
      <family val="2"/>
    </font>
    <font>
      <u/>
      <sz val="10"/>
      <name val="Abadi"/>
      <family val="2"/>
    </font>
    <font>
      <b/>
      <sz val="10"/>
      <color theme="0"/>
      <name val="Abadi"/>
      <family val="2"/>
    </font>
    <font>
      <sz val="10"/>
      <color indexed="8"/>
      <name val="Abadi"/>
      <family val="2"/>
    </font>
    <font>
      <sz val="10"/>
      <color rgb="FFFFFFFF"/>
      <name val="Abadi"/>
      <family val="2"/>
    </font>
    <font>
      <sz val="10"/>
      <color rgb="FF000000"/>
      <name val="Abadi"/>
      <family val="2"/>
    </font>
    <font>
      <sz val="10"/>
      <color rgb="FFC8C8C8"/>
      <name val="Abadi"/>
      <family val="2"/>
    </font>
    <font>
      <sz val="11"/>
      <color rgb="FF008000"/>
      <name val="Abadi"/>
      <family val="2"/>
    </font>
    <font>
      <u val="singleAccounting"/>
      <sz val="10"/>
      <color theme="1"/>
      <name val="Abadi"/>
      <family val="2"/>
    </font>
    <font>
      <u val="singleAccounting"/>
      <sz val="10"/>
      <name val="Abadi"/>
      <family val="2"/>
    </font>
    <font>
      <i/>
      <sz val="10"/>
      <color theme="0"/>
      <name val="Abadi"/>
      <family val="2"/>
    </font>
    <font>
      <u val="singleAccounting"/>
      <sz val="10"/>
      <color rgb="FF000000"/>
      <name val="Abadi"/>
      <family val="2"/>
    </font>
    <font>
      <u val="singleAccounting"/>
      <sz val="10"/>
      <color rgb="FFFFFFFF"/>
      <name val="Abadi"/>
      <family val="2"/>
    </font>
    <font>
      <u val="singleAccounting"/>
      <sz val="10"/>
      <color theme="0"/>
      <name val="Abadi"/>
      <family val="2"/>
    </font>
    <font>
      <u/>
      <sz val="11"/>
      <color theme="1"/>
      <name val="Abadi"/>
      <family val="2"/>
    </font>
    <font>
      <u/>
      <sz val="14"/>
      <color theme="1"/>
      <name val="Abadi"/>
      <family val="2"/>
    </font>
    <font>
      <sz val="10"/>
      <name val="Arial"/>
      <family val="2"/>
    </font>
    <font>
      <sz val="10"/>
      <color indexed="9"/>
      <name val="Abadi"/>
      <family val="2"/>
    </font>
    <font>
      <sz val="10"/>
      <color indexed="17"/>
      <name val="Abadi"/>
      <family val="2"/>
    </font>
    <font>
      <sz val="10"/>
      <color indexed="12"/>
      <name val="Abadi"/>
      <family val="2"/>
    </font>
    <font>
      <b/>
      <sz val="24"/>
      <color indexed="9"/>
      <name val="Abadi"/>
      <family val="2"/>
    </font>
    <font>
      <u/>
      <sz val="11"/>
      <color theme="1"/>
      <name val="Calibri"/>
      <family val="2"/>
      <scheme val="minor"/>
    </font>
    <font>
      <i/>
      <sz val="11"/>
      <color rgb="FF0000FF"/>
      <name val="Abadi"/>
      <family val="2"/>
    </font>
    <font>
      <sz val="10"/>
      <color rgb="FFEBEBEB"/>
      <name val="Abadi"/>
      <family val="2"/>
    </font>
    <font>
      <sz val="10"/>
      <color theme="1"/>
      <name val="Arial"/>
      <family val="2"/>
    </font>
    <font>
      <sz val="11"/>
      <color rgb="FFEBEBEB"/>
      <name val="Calibri"/>
      <family val="2"/>
      <scheme val="minor"/>
    </font>
    <font>
      <i/>
      <sz val="11"/>
      <name val="Abadi"/>
      <family val="2"/>
    </font>
  </fonts>
  <fills count="12">
    <fill>
      <patternFill patternType="none"/>
    </fill>
    <fill>
      <patternFill patternType="gray125"/>
    </fill>
    <fill>
      <patternFill patternType="solid">
        <fgColor rgb="FF00355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DEF6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auto="1"/>
      </right>
      <top style="medium">
        <color auto="1"/>
      </top>
      <bottom style="dashed">
        <color auto="1"/>
      </bottom>
      <diagonal/>
    </border>
    <border>
      <left/>
      <right/>
      <top style="medium">
        <color auto="1"/>
      </top>
      <bottom style="dashed">
        <color auto="1"/>
      </bottom>
      <diagonal/>
    </border>
    <border>
      <left style="medium">
        <color auto="1"/>
      </left>
      <right/>
      <top style="medium">
        <color auto="1"/>
      </top>
      <bottom style="dashed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6" fillId="0" borderId="0"/>
    <xf numFmtId="0" fontId="44" fillId="0" borderId="0"/>
  </cellStyleXfs>
  <cellXfs count="456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2" borderId="2" xfId="0" applyFont="1" applyFill="1" applyBorder="1" applyAlignment="1">
      <alignment horizontal="center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6" fillId="0" borderId="0" xfId="0" applyFont="1"/>
    <xf numFmtId="167" fontId="6" fillId="0" borderId="0" xfId="0" applyNumberFormat="1" applyFont="1"/>
    <xf numFmtId="167" fontId="2" fillId="0" borderId="0" xfId="0" applyNumberFormat="1" applyFont="1"/>
    <xf numFmtId="0" fontId="2" fillId="0" borderId="0" xfId="0" applyFont="1" applyAlignment="1">
      <alignment horizontal="left"/>
    </xf>
    <xf numFmtId="0" fontId="8" fillId="0" borderId="0" xfId="0" applyFont="1"/>
    <xf numFmtId="167" fontId="3" fillId="2" borderId="1" xfId="0" applyNumberFormat="1" applyFont="1" applyFill="1" applyBorder="1" applyAlignment="1">
      <alignment horizontal="left"/>
    </xf>
    <xf numFmtId="167" fontId="3" fillId="2" borderId="2" xfId="0" applyNumberFormat="1" applyFont="1" applyFill="1" applyBorder="1" applyAlignment="1">
      <alignment horizontal="center"/>
    </xf>
    <xf numFmtId="167" fontId="3" fillId="2" borderId="0" xfId="0" applyNumberFormat="1" applyFont="1" applyFill="1" applyAlignment="1">
      <alignment horizontal="center"/>
    </xf>
    <xf numFmtId="43" fontId="0" fillId="0" borderId="0" xfId="0" applyNumberFormat="1"/>
    <xf numFmtId="167" fontId="6" fillId="0" borderId="0" xfId="0" applyNumberFormat="1" applyFont="1" applyAlignment="1">
      <alignment horizontal="left" indent="1"/>
    </xf>
    <xf numFmtId="167" fontId="6" fillId="0" borderId="0" xfId="0" applyNumberFormat="1" applyFont="1" applyAlignment="1">
      <alignment horizontal="left"/>
    </xf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3" fillId="0" borderId="0" xfId="0" applyFont="1"/>
    <xf numFmtId="0" fontId="3" fillId="2" borderId="6" xfId="0" applyFont="1" applyFill="1" applyBorder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applyFont="1" applyAlignment="1">
      <alignment horizontal="center"/>
    </xf>
    <xf numFmtId="0" fontId="3" fillId="2" borderId="5" xfId="0" applyFont="1" applyFill="1" applyBorder="1" applyAlignment="1">
      <alignment horizontal="centerContinuous"/>
    </xf>
    <xf numFmtId="0" fontId="3" fillId="2" borderId="0" xfId="0" applyFont="1" applyFill="1"/>
    <xf numFmtId="0" fontId="9" fillId="2" borderId="6" xfId="0" applyFont="1" applyFill="1" applyBorder="1"/>
    <xf numFmtId="0" fontId="9" fillId="2" borderId="0" xfId="0" applyFont="1" applyFill="1"/>
    <xf numFmtId="0" fontId="9" fillId="0" borderId="0" xfId="0" applyFont="1"/>
    <xf numFmtId="0" fontId="16" fillId="0" borderId="0" xfId="0" applyFont="1"/>
    <xf numFmtId="0" fontId="9" fillId="4" borderId="5" xfId="0" applyFont="1" applyFill="1" applyBorder="1"/>
    <xf numFmtId="0" fontId="9" fillId="4" borderId="6" xfId="0" applyFont="1" applyFill="1" applyBorder="1"/>
    <xf numFmtId="0" fontId="9" fillId="0" borderId="10" xfId="0" applyFont="1" applyBorder="1"/>
    <xf numFmtId="14" fontId="9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 indent="1"/>
    </xf>
    <xf numFmtId="0" fontId="9" fillId="4" borderId="6" xfId="0" applyFont="1" applyFill="1" applyBorder="1" applyAlignment="1">
      <alignment horizontal="center"/>
    </xf>
    <xf numFmtId="0" fontId="0" fillId="6" borderId="0" xfId="0" applyFill="1"/>
    <xf numFmtId="167" fontId="6" fillId="0" borderId="0" xfId="0" applyNumberFormat="1" applyFont="1" applyAlignment="1">
      <alignment horizontal="right"/>
    </xf>
    <xf numFmtId="164" fontId="12" fillId="0" borderId="0" xfId="2" applyNumberFormat="1" applyFont="1" applyFill="1" applyAlignment="1">
      <alignment horizontal="right"/>
    </xf>
    <xf numFmtId="170" fontId="6" fillId="0" borderId="0" xfId="2" applyNumberFormat="1" applyFont="1" applyFill="1" applyAlignment="1">
      <alignment horizontal="right"/>
    </xf>
    <xf numFmtId="170" fontId="12" fillId="0" borderId="0" xfId="2" applyNumberFormat="1" applyFont="1" applyFill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/>
    <xf numFmtId="167" fontId="3" fillId="2" borderId="10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Continuous"/>
    </xf>
    <xf numFmtId="0" fontId="3" fillId="2" borderId="11" xfId="0" applyFont="1" applyFill="1" applyBorder="1" applyAlignment="1">
      <alignment horizontal="centerContinuous"/>
    </xf>
    <xf numFmtId="0" fontId="3" fillId="2" borderId="3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6" fillId="0" borderId="1" xfId="0" applyFont="1" applyBorder="1"/>
    <xf numFmtId="0" fontId="6" fillId="0" borderId="11" xfId="0" applyFont="1" applyBorder="1"/>
    <xf numFmtId="0" fontId="6" fillId="0" borderId="10" xfId="0" applyFont="1" applyBorder="1"/>
    <xf numFmtId="0" fontId="6" fillId="0" borderId="13" xfId="0" applyFont="1" applyBorder="1"/>
    <xf numFmtId="0" fontId="6" fillId="0" borderId="3" xfId="0" applyFont="1" applyBorder="1"/>
    <xf numFmtId="0" fontId="6" fillId="0" borderId="12" xfId="0" applyFont="1" applyBorder="1"/>
    <xf numFmtId="44" fontId="9" fillId="0" borderId="0" xfId="0" applyNumberFormat="1" applyFont="1"/>
    <xf numFmtId="0" fontId="17" fillId="0" borderId="0" xfId="0" applyFont="1"/>
    <xf numFmtId="9" fontId="2" fillId="0" borderId="0" xfId="2" applyFont="1"/>
    <xf numFmtId="164" fontId="2" fillId="0" borderId="0" xfId="0" applyNumberFormat="1" applyFont="1"/>
    <xf numFmtId="169" fontId="2" fillId="0" borderId="0" xfId="0" applyNumberFormat="1" applyFont="1"/>
    <xf numFmtId="0" fontId="2" fillId="2" borderId="0" xfId="0" applyFont="1" applyFill="1"/>
    <xf numFmtId="0" fontId="2" fillId="0" borderId="4" xfId="0" applyFont="1" applyBorder="1"/>
    <xf numFmtId="0" fontId="0" fillId="0" borderId="4" xfId="0" applyBorder="1"/>
    <xf numFmtId="9" fontId="2" fillId="0" borderId="0" xfId="0" applyNumberFormat="1" applyFont="1"/>
    <xf numFmtId="0" fontId="21" fillId="0" borderId="0" xfId="0" applyFont="1"/>
    <xf numFmtId="0" fontId="9" fillId="0" borderId="4" xfId="0" applyFont="1" applyBorder="1"/>
    <xf numFmtId="172" fontId="9" fillId="0" borderId="0" xfId="0" applyNumberFormat="1" applyFont="1"/>
    <xf numFmtId="172" fontId="9" fillId="0" borderId="4" xfId="0" applyNumberFormat="1" applyFont="1" applyBorder="1"/>
    <xf numFmtId="172" fontId="21" fillId="0" borderId="4" xfId="0" applyNumberFormat="1" applyFont="1" applyBorder="1"/>
    <xf numFmtId="0" fontId="2" fillId="0" borderId="5" xfId="0" applyFont="1" applyBorder="1"/>
    <xf numFmtId="0" fontId="2" fillId="0" borderId="6" xfId="0" applyFont="1" applyBorder="1"/>
    <xf numFmtId="0" fontId="2" fillId="2" borderId="1" xfId="0" applyFont="1" applyFill="1" applyBorder="1" applyAlignment="1">
      <alignment horizontal="centerContinuous"/>
    </xf>
    <xf numFmtId="0" fontId="2" fillId="2" borderId="2" xfId="0" applyFont="1" applyFill="1" applyBorder="1"/>
    <xf numFmtId="0" fontId="2" fillId="2" borderId="11" xfId="0" applyFont="1" applyFill="1" applyBorder="1"/>
    <xf numFmtId="0" fontId="2" fillId="0" borderId="10" xfId="0" applyFont="1" applyBorder="1"/>
    <xf numFmtId="0" fontId="2" fillId="0" borderId="13" xfId="0" applyFont="1" applyBorder="1"/>
    <xf numFmtId="0" fontId="2" fillId="0" borderId="3" xfId="0" applyFont="1" applyBorder="1"/>
    <xf numFmtId="0" fontId="2" fillId="0" borderId="12" xfId="0" applyFont="1" applyBorder="1"/>
    <xf numFmtId="169" fontId="2" fillId="0" borderId="13" xfId="0" applyNumberFormat="1" applyFont="1" applyBorder="1"/>
    <xf numFmtId="0" fontId="9" fillId="0" borderId="13" xfId="0" applyFont="1" applyBorder="1"/>
    <xf numFmtId="0" fontId="2" fillId="0" borderId="1" xfId="0" applyFont="1" applyBorder="1"/>
    <xf numFmtId="0" fontId="2" fillId="0" borderId="2" xfId="0" applyFont="1" applyBorder="1"/>
    <xf numFmtId="169" fontId="2" fillId="0" borderId="11" xfId="0" applyNumberFormat="1" applyFont="1" applyBorder="1"/>
    <xf numFmtId="9" fontId="2" fillId="0" borderId="2" xfId="2" applyFont="1" applyBorder="1"/>
    <xf numFmtId="0" fontId="10" fillId="0" borderId="0" xfId="0" applyFont="1"/>
    <xf numFmtId="172" fontId="9" fillId="0" borderId="8" xfId="0" applyNumberFormat="1" applyFont="1" applyBorder="1"/>
    <xf numFmtId="0" fontId="2" fillId="0" borderId="10" xfId="0" applyFont="1" applyBorder="1" applyAlignment="1">
      <alignment horizontal="left"/>
    </xf>
    <xf numFmtId="169" fontId="2" fillId="0" borderId="7" xfId="0" applyNumberFormat="1" applyFont="1" applyBorder="1"/>
    <xf numFmtId="173" fontId="22" fillId="2" borderId="0" xfId="0" applyNumberFormat="1" applyFont="1" applyFill="1" applyAlignment="1">
      <alignment horizontal="centerContinuous"/>
    </xf>
    <xf numFmtId="173" fontId="3" fillId="2" borderId="0" xfId="0" applyNumberFormat="1" applyFont="1" applyFill="1" applyAlignment="1">
      <alignment horizontal="right"/>
    </xf>
    <xf numFmtId="173" fontId="22" fillId="2" borderId="0" xfId="0" applyNumberFormat="1" applyFont="1" applyFill="1" applyAlignment="1">
      <alignment horizontal="right"/>
    </xf>
    <xf numFmtId="173" fontId="9" fillId="0" borderId="0" xfId="0" applyNumberFormat="1" applyFont="1" applyAlignment="1">
      <alignment horizontal="right"/>
    </xf>
    <xf numFmtId="0" fontId="17" fillId="0" borderId="0" xfId="0" applyFont="1" applyAlignment="1">
      <alignment horizontal="left"/>
    </xf>
    <xf numFmtId="174" fontId="9" fillId="0" borderId="0" xfId="0" applyNumberFormat="1" applyFont="1"/>
    <xf numFmtId="175" fontId="9" fillId="0" borderId="0" xfId="0" applyNumberFormat="1" applyFont="1"/>
    <xf numFmtId="176" fontId="9" fillId="0" borderId="0" xfId="0" applyNumberFormat="1" applyFont="1"/>
    <xf numFmtId="174" fontId="17" fillId="0" borderId="0" xfId="0" applyNumberFormat="1" applyFont="1"/>
    <xf numFmtId="0" fontId="2" fillId="5" borderId="0" xfId="0" applyFont="1" applyFill="1" applyAlignment="1">
      <alignment horizontal="left"/>
    </xf>
    <xf numFmtId="173" fontId="9" fillId="5" borderId="0" xfId="0" applyNumberFormat="1" applyFont="1" applyFill="1" applyAlignment="1">
      <alignment horizontal="right"/>
    </xf>
    <xf numFmtId="176" fontId="9" fillId="5" borderId="0" xfId="0" applyNumberFormat="1" applyFont="1" applyFill="1"/>
    <xf numFmtId="175" fontId="9" fillId="5" borderId="0" xfId="0" applyNumberFormat="1" applyFont="1" applyFill="1"/>
    <xf numFmtId="0" fontId="17" fillId="4" borderId="0" xfId="0" applyFont="1" applyFill="1" applyAlignment="1">
      <alignment horizontal="left"/>
    </xf>
    <xf numFmtId="173" fontId="9" fillId="4" borderId="0" xfId="0" applyNumberFormat="1" applyFont="1" applyFill="1" applyAlignment="1">
      <alignment horizontal="right"/>
    </xf>
    <xf numFmtId="14" fontId="9" fillId="0" borderId="0" xfId="0" applyNumberFormat="1" applyFont="1" applyAlignment="1">
      <alignment horizontal="right"/>
    </xf>
    <xf numFmtId="14" fontId="9" fillId="6" borderId="0" xfId="0" applyNumberFormat="1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6" borderId="0" xfId="0" applyFont="1" applyFill="1" applyAlignment="1">
      <alignment horizontal="left"/>
    </xf>
    <xf numFmtId="175" fontId="9" fillId="5" borderId="0" xfId="0" applyNumberFormat="1" applyFont="1" applyFill="1" applyAlignment="1">
      <alignment horizontal="right"/>
    </xf>
    <xf numFmtId="175" fontId="9" fillId="0" borderId="0" xfId="0" applyNumberFormat="1" applyFont="1" applyAlignment="1">
      <alignment horizontal="right"/>
    </xf>
    <xf numFmtId="9" fontId="9" fillId="0" borderId="0" xfId="2" applyFont="1"/>
    <xf numFmtId="9" fontId="9" fillId="5" borderId="0" xfId="2" applyFont="1" applyFill="1"/>
    <xf numFmtId="9" fontId="9" fillId="5" borderId="0" xfId="2" applyFont="1" applyFill="1" applyAlignment="1">
      <alignment horizontal="right"/>
    </xf>
    <xf numFmtId="176" fontId="9" fillId="0" borderId="0" xfId="0" applyNumberFormat="1" applyFont="1" applyAlignment="1">
      <alignment horizontal="right"/>
    </xf>
    <xf numFmtId="174" fontId="0" fillId="0" borderId="0" xfId="0" applyNumberFormat="1" applyAlignment="1">
      <alignment horizontal="right"/>
    </xf>
    <xf numFmtId="0" fontId="0" fillId="6" borderId="0" xfId="0" applyFill="1" applyAlignment="1">
      <alignment horizontal="left"/>
    </xf>
    <xf numFmtId="174" fontId="0" fillId="6" borderId="0" xfId="0" applyNumberFormat="1" applyFill="1" applyAlignment="1">
      <alignment horizontal="right"/>
    </xf>
    <xf numFmtId="0" fontId="0" fillId="6" borderId="0" xfId="0" applyFill="1" applyAlignment="1">
      <alignment horizontal="right"/>
    </xf>
    <xf numFmtId="0" fontId="3" fillId="0" borderId="0" xfId="0" applyFont="1" applyAlignment="1">
      <alignment horizontal="left"/>
    </xf>
    <xf numFmtId="173" fontId="22" fillId="0" borderId="0" xfId="0" applyNumberFormat="1" applyFont="1" applyAlignment="1">
      <alignment horizontal="centerContinuous"/>
    </xf>
    <xf numFmtId="173" fontId="3" fillId="0" borderId="0" xfId="0" applyNumberFormat="1" applyFont="1" applyAlignment="1">
      <alignment horizontal="right"/>
    </xf>
    <xf numFmtId="173" fontId="22" fillId="0" borderId="0" xfId="0" applyNumberFormat="1" applyFont="1" applyAlignment="1">
      <alignment horizontal="right"/>
    </xf>
    <xf numFmtId="0" fontId="22" fillId="2" borderId="0" xfId="0" applyFont="1" applyFill="1"/>
    <xf numFmtId="174" fontId="3" fillId="2" borderId="0" xfId="0" applyNumberFormat="1" applyFont="1" applyFill="1"/>
    <xf numFmtId="0" fontId="23" fillId="0" borderId="0" xfId="0" applyFont="1"/>
    <xf numFmtId="0" fontId="25" fillId="0" borderId="0" xfId="0" applyFont="1" applyAlignment="1">
      <alignment horizontal="center"/>
    </xf>
    <xf numFmtId="177" fontId="2" fillId="0" borderId="0" xfId="0" applyNumberFormat="1" applyFont="1" applyAlignment="1">
      <alignment horizontal="center"/>
    </xf>
    <xf numFmtId="14" fontId="2" fillId="0" borderId="0" xfId="0" applyNumberFormat="1" applyFont="1"/>
    <xf numFmtId="0" fontId="24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177" fontId="7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center"/>
    </xf>
    <xf numFmtId="0" fontId="11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0" fontId="19" fillId="0" borderId="0" xfId="0" applyFont="1" applyAlignment="1">
      <alignment horizontal="right"/>
    </xf>
    <xf numFmtId="0" fontId="25" fillId="4" borderId="10" xfId="0" applyFont="1" applyFill="1" applyBorder="1" applyAlignment="1">
      <alignment horizontal="right"/>
    </xf>
    <xf numFmtId="0" fontId="25" fillId="4" borderId="0" xfId="0" applyFont="1" applyFill="1" applyAlignment="1">
      <alignment horizontal="right"/>
    </xf>
    <xf numFmtId="0" fontId="25" fillId="0" borderId="0" xfId="0" applyFont="1" applyAlignment="1">
      <alignment horizontal="right"/>
    </xf>
    <xf numFmtId="0" fontId="2" fillId="4" borderId="0" xfId="0" applyFont="1" applyFill="1" applyAlignment="1">
      <alignment horizontal="right"/>
    </xf>
    <xf numFmtId="0" fontId="7" fillId="0" borderId="0" xfId="0" applyFont="1" applyAlignment="1">
      <alignment horizontal="right"/>
    </xf>
    <xf numFmtId="177" fontId="7" fillId="0" borderId="13" xfId="0" applyNumberFormat="1" applyFont="1" applyBorder="1" applyAlignment="1">
      <alignment horizontal="right"/>
    </xf>
    <xf numFmtId="177" fontId="7" fillId="0" borderId="10" xfId="0" applyNumberFormat="1" applyFont="1" applyBorder="1" applyAlignment="1">
      <alignment horizontal="right"/>
    </xf>
    <xf numFmtId="177" fontId="7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14" fillId="0" borderId="0" xfId="0" applyFont="1"/>
    <xf numFmtId="0" fontId="7" fillId="0" borderId="4" xfId="0" applyFont="1" applyBorder="1"/>
    <xf numFmtId="0" fontId="7" fillId="0" borderId="12" xfId="0" applyFont="1" applyBorder="1"/>
    <xf numFmtId="0" fontId="7" fillId="0" borderId="0" xfId="0" applyFont="1"/>
    <xf numFmtId="0" fontId="7" fillId="0" borderId="13" xfId="0" applyFont="1" applyBorder="1"/>
    <xf numFmtId="0" fontId="2" fillId="0" borderId="11" xfId="0" applyFont="1" applyBorder="1"/>
    <xf numFmtId="0" fontId="7" fillId="0" borderId="2" xfId="0" quotePrefix="1" applyFont="1" applyBorder="1"/>
    <xf numFmtId="0" fontId="7" fillId="0" borderId="11" xfId="0" quotePrefix="1" applyFont="1" applyBorder="1"/>
    <xf numFmtId="0" fontId="7" fillId="0" borderId="2" xfId="0" applyFont="1" applyBorder="1"/>
    <xf numFmtId="0" fontId="7" fillId="0" borderId="11" xfId="0" applyFont="1" applyBorder="1"/>
    <xf numFmtId="0" fontId="26" fillId="0" borderId="0" xfId="0" applyFont="1"/>
    <xf numFmtId="0" fontId="2" fillId="7" borderId="14" xfId="0" applyFont="1" applyFill="1" applyBorder="1"/>
    <xf numFmtId="0" fontId="2" fillId="0" borderId="0" xfId="0" quotePrefix="1" applyFont="1" applyAlignment="1">
      <alignment horizontal="center"/>
    </xf>
    <xf numFmtId="178" fontId="2" fillId="0" borderId="0" xfId="0" applyNumberFormat="1" applyFont="1" applyAlignment="1">
      <alignment horizontal="center"/>
    </xf>
    <xf numFmtId="179" fontId="2" fillId="0" borderId="0" xfId="0" applyNumberFormat="1" applyFont="1" applyAlignment="1">
      <alignment horizontal="center"/>
    </xf>
    <xf numFmtId="172" fontId="2" fillId="0" borderId="0" xfId="0" applyNumberFormat="1" applyFont="1" applyAlignment="1">
      <alignment horizontal="center"/>
    </xf>
    <xf numFmtId="179" fontId="3" fillId="2" borderId="15" xfId="0" applyNumberFormat="1" applyFont="1" applyFill="1" applyBorder="1" applyAlignment="1">
      <alignment horizontal="center"/>
    </xf>
    <xf numFmtId="179" fontId="3" fillId="2" borderId="16" xfId="0" applyNumberFormat="1" applyFont="1" applyFill="1" applyBorder="1" applyAlignment="1">
      <alignment horizontal="center"/>
    </xf>
    <xf numFmtId="165" fontId="3" fillId="2" borderId="16" xfId="0" applyNumberFormat="1" applyFont="1" applyFill="1" applyBorder="1" applyAlignment="1">
      <alignment horizontal="center"/>
    </xf>
    <xf numFmtId="180" fontId="3" fillId="2" borderId="16" xfId="0" applyNumberFormat="1" applyFont="1" applyFill="1" applyBorder="1" applyAlignment="1">
      <alignment horizontal="center"/>
    </xf>
    <xf numFmtId="37" fontId="3" fillId="2" borderId="16" xfId="0" applyNumberFormat="1" applyFont="1" applyFill="1" applyBorder="1" applyAlignment="1">
      <alignment horizontal="center"/>
    </xf>
    <xf numFmtId="0" fontId="3" fillId="2" borderId="16" xfId="0" applyFont="1" applyFill="1" applyBorder="1"/>
    <xf numFmtId="0" fontId="3" fillId="2" borderId="17" xfId="0" applyFont="1" applyFill="1" applyBorder="1"/>
    <xf numFmtId="2" fontId="3" fillId="2" borderId="16" xfId="0" applyNumberFormat="1" applyFont="1" applyFill="1" applyBorder="1" applyAlignment="1">
      <alignment horizontal="center"/>
    </xf>
    <xf numFmtId="181" fontId="3" fillId="2" borderId="16" xfId="0" applyNumberFormat="1" applyFont="1" applyFill="1" applyBorder="1" applyAlignment="1">
      <alignment horizontal="center"/>
    </xf>
    <xf numFmtId="170" fontId="3" fillId="2" borderId="16" xfId="2" applyNumberFormat="1" applyFont="1" applyFill="1" applyBorder="1" applyAlignment="1">
      <alignment horizontal="center"/>
    </xf>
    <xf numFmtId="179" fontId="3" fillId="2" borderId="18" xfId="0" applyNumberFormat="1" applyFont="1" applyFill="1" applyBorder="1" applyAlignment="1">
      <alignment horizontal="center"/>
    </xf>
    <xf numFmtId="179" fontId="3" fillId="2" borderId="9" xfId="0" applyNumberFormat="1" applyFont="1" applyFill="1" applyBorder="1" applyAlignment="1">
      <alignment horizontal="center"/>
    </xf>
    <xf numFmtId="165" fontId="3" fillId="2" borderId="9" xfId="0" applyNumberFormat="1" applyFont="1" applyFill="1" applyBorder="1" applyAlignment="1">
      <alignment horizontal="center"/>
    </xf>
    <xf numFmtId="180" fontId="3" fillId="2" borderId="9" xfId="0" applyNumberFormat="1" applyFont="1" applyFill="1" applyBorder="1" applyAlignment="1">
      <alignment horizontal="center"/>
    </xf>
    <xf numFmtId="37" fontId="3" fillId="2" borderId="9" xfId="0" applyNumberFormat="1" applyFont="1" applyFill="1" applyBorder="1" applyAlignment="1">
      <alignment horizontal="center"/>
    </xf>
    <xf numFmtId="0" fontId="3" fillId="2" borderId="9" xfId="0" applyFont="1" applyFill="1" applyBorder="1"/>
    <xf numFmtId="0" fontId="3" fillId="2" borderId="19" xfId="0" applyFont="1" applyFill="1" applyBorder="1"/>
    <xf numFmtId="2" fontId="3" fillId="2" borderId="9" xfId="0" applyNumberFormat="1" applyFont="1" applyFill="1" applyBorder="1" applyAlignment="1">
      <alignment horizontal="center"/>
    </xf>
    <xf numFmtId="181" fontId="3" fillId="2" borderId="9" xfId="0" applyNumberFormat="1" applyFont="1" applyFill="1" applyBorder="1" applyAlignment="1">
      <alignment horizontal="center"/>
    </xf>
    <xf numFmtId="170" fontId="3" fillId="2" borderId="9" xfId="2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79" fontId="3" fillId="2" borderId="20" xfId="0" applyNumberFormat="1" applyFont="1" applyFill="1" applyBorder="1" applyAlignment="1">
      <alignment horizontal="center"/>
    </xf>
    <xf numFmtId="179" fontId="3" fillId="2" borderId="21" xfId="0" applyNumberFormat="1" applyFont="1" applyFill="1" applyBorder="1" applyAlignment="1">
      <alignment horizontal="center"/>
    </xf>
    <xf numFmtId="172" fontId="3" fillId="2" borderId="21" xfId="0" applyNumberFormat="1" applyFont="1" applyFill="1" applyBorder="1" applyAlignment="1">
      <alignment horizontal="center"/>
    </xf>
    <xf numFmtId="180" fontId="3" fillId="2" borderId="21" xfId="0" applyNumberFormat="1" applyFont="1" applyFill="1" applyBorder="1" applyAlignment="1">
      <alignment horizontal="center"/>
    </xf>
    <xf numFmtId="5" fontId="3" fillId="2" borderId="21" xfId="0" applyNumberFormat="1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1" xfId="0" applyFont="1" applyFill="1" applyBorder="1"/>
    <xf numFmtId="0" fontId="3" fillId="2" borderId="22" xfId="0" applyFont="1" applyFill="1" applyBorder="1"/>
    <xf numFmtId="2" fontId="3" fillId="2" borderId="21" xfId="0" applyNumberFormat="1" applyFont="1" applyFill="1" applyBorder="1" applyAlignment="1">
      <alignment horizontal="center"/>
    </xf>
    <xf numFmtId="170" fontId="3" fillId="2" borderId="21" xfId="2" applyNumberFormat="1" applyFont="1" applyFill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0" fontId="2" fillId="0" borderId="4" xfId="0" applyFont="1" applyBorder="1" applyAlignment="1">
      <alignment horizontal="center"/>
    </xf>
    <xf numFmtId="9" fontId="2" fillId="0" borderId="0" xfId="2" applyFont="1" applyAlignment="1">
      <alignment horizontal="center"/>
    </xf>
    <xf numFmtId="170" fontId="2" fillId="0" borderId="0" xfId="0" applyNumberFormat="1" applyFont="1" applyAlignment="1">
      <alignment horizontal="center"/>
    </xf>
    <xf numFmtId="182" fontId="2" fillId="0" borderId="0" xfId="0" applyNumberFormat="1" applyFont="1" applyAlignment="1">
      <alignment horizontal="center"/>
    </xf>
    <xf numFmtId="180" fontId="2" fillId="0" borderId="0" xfId="0" applyNumberFormat="1" applyFont="1" applyAlignment="1">
      <alignment horizontal="center"/>
    </xf>
    <xf numFmtId="180" fontId="2" fillId="0" borderId="0" xfId="2" applyNumberFormat="1" applyFont="1" applyAlignment="1">
      <alignment horizontal="center"/>
    </xf>
    <xf numFmtId="0" fontId="27" fillId="0" borderId="0" xfId="0" applyFont="1"/>
    <xf numFmtId="179" fontId="2" fillId="0" borderId="0" xfId="0" quotePrefix="1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182" fontId="2" fillId="7" borderId="6" xfId="0" applyNumberFormat="1" applyFont="1" applyFill="1" applyBorder="1" applyAlignment="1">
      <alignment horizontal="center"/>
    </xf>
    <xf numFmtId="179" fontId="2" fillId="7" borderId="6" xfId="0" applyNumberFormat="1" applyFont="1" applyFill="1" applyBorder="1" applyAlignment="1">
      <alignment horizontal="center"/>
    </xf>
    <xf numFmtId="180" fontId="2" fillId="7" borderId="6" xfId="0" applyNumberFormat="1" applyFont="1" applyFill="1" applyBorder="1" applyAlignment="1">
      <alignment horizontal="center"/>
    </xf>
    <xf numFmtId="180" fontId="2" fillId="7" borderId="6" xfId="2" applyNumberFormat="1" applyFont="1" applyFill="1" applyBorder="1" applyAlignment="1">
      <alignment horizontal="center"/>
    </xf>
    <xf numFmtId="0" fontId="2" fillId="7" borderId="6" xfId="0" applyFont="1" applyFill="1" applyBorder="1"/>
    <xf numFmtId="0" fontId="2" fillId="7" borderId="5" xfId="0" applyFont="1" applyFill="1" applyBorder="1"/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Continuous"/>
    </xf>
    <xf numFmtId="0" fontId="30" fillId="0" borderId="0" xfId="0" applyFont="1"/>
    <xf numFmtId="37" fontId="2" fillId="0" borderId="0" xfId="0" applyNumberFormat="1" applyFont="1" applyAlignment="1">
      <alignment horizontal="center"/>
    </xf>
    <xf numFmtId="0" fontId="2" fillId="0" borderId="0" xfId="0" quotePrefix="1" applyFont="1"/>
    <xf numFmtId="178" fontId="2" fillId="0" borderId="0" xfId="2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183" fontId="2" fillId="0" borderId="0" xfId="0" applyNumberFormat="1" applyFont="1" applyAlignment="1">
      <alignment horizontal="center"/>
    </xf>
    <xf numFmtId="179" fontId="2" fillId="7" borderId="7" xfId="0" applyNumberFormat="1" applyFont="1" applyFill="1" applyBorder="1" applyAlignment="1">
      <alignment horizontal="center"/>
    </xf>
    <xf numFmtId="5" fontId="2" fillId="7" borderId="6" xfId="0" applyNumberFormat="1" applyFont="1" applyFill="1" applyBorder="1" applyAlignment="1">
      <alignment horizontal="center"/>
    </xf>
    <xf numFmtId="184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Continuous"/>
    </xf>
    <xf numFmtId="0" fontId="2" fillId="3" borderId="7" xfId="0" applyFont="1" applyFill="1" applyBorder="1"/>
    <xf numFmtId="0" fontId="2" fillId="3" borderId="5" xfId="0" applyFont="1" applyFill="1" applyBorder="1"/>
    <xf numFmtId="0" fontId="2" fillId="0" borderId="14" xfId="0" quotePrefix="1" applyFont="1" applyBorder="1" applyAlignment="1">
      <alignment horizontal="center"/>
    </xf>
    <xf numFmtId="178" fontId="2" fillId="0" borderId="14" xfId="0" applyNumberFormat="1" applyFont="1" applyBorder="1" applyAlignment="1">
      <alignment horizontal="center"/>
    </xf>
    <xf numFmtId="0" fontId="2" fillId="0" borderId="14" xfId="0" applyFont="1" applyBorder="1"/>
    <xf numFmtId="179" fontId="2" fillId="0" borderId="14" xfId="0" applyNumberFormat="1" applyFont="1" applyBorder="1" applyAlignment="1">
      <alignment horizontal="center"/>
    </xf>
    <xf numFmtId="172" fontId="2" fillId="0" borderId="14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9" fillId="8" borderId="23" xfId="0" quotePrefix="1" applyFont="1" applyFill="1" applyBorder="1" applyAlignment="1">
      <alignment horizontal="center"/>
    </xf>
    <xf numFmtId="0" fontId="9" fillId="8" borderId="14" xfId="0" quotePrefix="1" applyFont="1" applyFill="1" applyBorder="1" applyAlignment="1">
      <alignment horizontal="center"/>
    </xf>
    <xf numFmtId="39" fontId="9" fillId="8" borderId="14" xfId="0" applyNumberFormat="1" applyFont="1" applyFill="1" applyBorder="1" applyAlignment="1">
      <alignment horizontal="center"/>
    </xf>
    <xf numFmtId="179" fontId="9" fillId="8" borderId="14" xfId="0" applyNumberFormat="1" applyFont="1" applyFill="1" applyBorder="1" applyAlignment="1">
      <alignment horizontal="center"/>
    </xf>
    <xf numFmtId="180" fontId="9" fillId="8" borderId="14" xfId="0" applyNumberFormat="1" applyFont="1" applyFill="1" applyBorder="1" applyAlignment="1">
      <alignment horizontal="center"/>
    </xf>
    <xf numFmtId="0" fontId="9" fillId="8" borderId="14" xfId="0" applyFont="1" applyFill="1" applyBorder="1"/>
    <xf numFmtId="0" fontId="9" fillId="8" borderId="24" xfId="0" applyFont="1" applyFill="1" applyBorder="1"/>
    <xf numFmtId="0" fontId="9" fillId="8" borderId="25" xfId="0" quotePrefix="1" applyFont="1" applyFill="1" applyBorder="1" applyAlignment="1">
      <alignment horizontal="center"/>
    </xf>
    <xf numFmtId="0" fontId="9" fillId="8" borderId="0" xfId="0" quotePrefix="1" applyFont="1" applyFill="1" applyAlignment="1">
      <alignment horizontal="center"/>
    </xf>
    <xf numFmtId="39" fontId="9" fillId="8" borderId="0" xfId="0" applyNumberFormat="1" applyFont="1" applyFill="1" applyAlignment="1">
      <alignment horizontal="center"/>
    </xf>
    <xf numFmtId="179" fontId="9" fillId="8" borderId="0" xfId="0" applyNumberFormat="1" applyFont="1" applyFill="1" applyAlignment="1">
      <alignment horizontal="center"/>
    </xf>
    <xf numFmtId="180" fontId="9" fillId="8" borderId="0" xfId="0" applyNumberFormat="1" applyFont="1" applyFill="1" applyAlignment="1">
      <alignment horizontal="center"/>
    </xf>
    <xf numFmtId="0" fontId="9" fillId="8" borderId="0" xfId="0" applyFont="1" applyFill="1"/>
    <xf numFmtId="0" fontId="9" fillId="8" borderId="26" xfId="0" applyFont="1" applyFill="1" applyBorder="1"/>
    <xf numFmtId="0" fontId="9" fillId="8" borderId="0" xfId="0" applyFont="1" applyFill="1" applyAlignment="1">
      <alignment horizontal="center"/>
    </xf>
    <xf numFmtId="0" fontId="9" fillId="8" borderId="27" xfId="0" quotePrefix="1" applyFont="1" applyFill="1" applyBorder="1" applyAlignment="1">
      <alignment horizontal="center"/>
    </xf>
    <xf numFmtId="0" fontId="9" fillId="8" borderId="28" xfId="0" quotePrefix="1" applyFont="1" applyFill="1" applyBorder="1" applyAlignment="1">
      <alignment horizontal="center"/>
    </xf>
    <xf numFmtId="39" fontId="9" fillId="8" borderId="28" xfId="0" applyNumberFormat="1" applyFont="1" applyFill="1" applyBorder="1" applyAlignment="1">
      <alignment horizontal="center"/>
    </xf>
    <xf numFmtId="179" fontId="9" fillId="8" borderId="28" xfId="0" applyNumberFormat="1" applyFont="1" applyFill="1" applyBorder="1" applyAlignment="1">
      <alignment horizontal="center"/>
    </xf>
    <xf numFmtId="180" fontId="9" fillId="8" borderId="28" xfId="0" applyNumberFormat="1" applyFont="1" applyFill="1" applyBorder="1" applyAlignment="1">
      <alignment horizontal="center"/>
    </xf>
    <xf numFmtId="0" fontId="9" fillId="8" borderId="28" xfId="0" applyFont="1" applyFill="1" applyBorder="1" applyAlignment="1">
      <alignment horizontal="center"/>
    </xf>
    <xf numFmtId="0" fontId="9" fillId="8" borderId="28" xfId="0" applyFont="1" applyFill="1" applyBorder="1"/>
    <xf numFmtId="0" fontId="9" fillId="8" borderId="29" xfId="0" applyFont="1" applyFill="1" applyBorder="1"/>
    <xf numFmtId="171" fontId="2" fillId="0" borderId="0" xfId="2" applyNumberFormat="1" applyFont="1" applyAlignment="1">
      <alignment horizontal="center"/>
    </xf>
    <xf numFmtId="185" fontId="2" fillId="0" borderId="0" xfId="0" applyNumberFormat="1" applyFont="1" applyAlignment="1">
      <alignment horizontal="center"/>
    </xf>
    <xf numFmtId="186" fontId="2" fillId="0" borderId="0" xfId="0" applyNumberFormat="1" applyFont="1" applyAlignment="1">
      <alignment horizontal="center"/>
    </xf>
    <xf numFmtId="186" fontId="2" fillId="0" borderId="0" xfId="2" applyNumberFormat="1" applyFont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82" fontId="3" fillId="2" borderId="6" xfId="0" applyNumberFormat="1" applyFont="1" applyFill="1" applyBorder="1" applyAlignment="1">
      <alignment horizontal="center"/>
    </xf>
    <xf numFmtId="179" fontId="3" fillId="2" borderId="6" xfId="0" applyNumberFormat="1" applyFont="1" applyFill="1" applyBorder="1" applyAlignment="1">
      <alignment horizontal="center"/>
    </xf>
    <xf numFmtId="180" fontId="3" fillId="2" borderId="6" xfId="0" applyNumberFormat="1" applyFont="1" applyFill="1" applyBorder="1" applyAlignment="1">
      <alignment horizontal="center"/>
    </xf>
    <xf numFmtId="180" fontId="3" fillId="2" borderId="6" xfId="2" applyNumberFormat="1" applyFont="1" applyFill="1" applyBorder="1" applyAlignment="1">
      <alignment horizontal="center"/>
    </xf>
    <xf numFmtId="0" fontId="31" fillId="0" borderId="0" xfId="0" applyFont="1" applyAlignment="1">
      <alignment horizontal="center"/>
    </xf>
    <xf numFmtId="179" fontId="9" fillId="8" borderId="23" xfId="0" applyNumberFormat="1" applyFont="1" applyFill="1" applyBorder="1" applyAlignment="1">
      <alignment horizontal="center"/>
    </xf>
    <xf numFmtId="172" fontId="9" fillId="8" borderId="14" xfId="0" applyNumberFormat="1" applyFont="1" applyFill="1" applyBorder="1" applyAlignment="1">
      <alignment horizontal="center"/>
    </xf>
    <xf numFmtId="37" fontId="9" fillId="8" borderId="14" xfId="0" applyNumberFormat="1" applyFont="1" applyFill="1" applyBorder="1" applyAlignment="1">
      <alignment horizontal="center"/>
    </xf>
    <xf numFmtId="179" fontId="9" fillId="8" borderId="25" xfId="0" applyNumberFormat="1" applyFont="1" applyFill="1" applyBorder="1" applyAlignment="1">
      <alignment horizontal="center"/>
    </xf>
    <xf numFmtId="172" fontId="9" fillId="8" borderId="0" xfId="0" applyNumberFormat="1" applyFont="1" applyFill="1" applyAlignment="1">
      <alignment horizontal="center"/>
    </xf>
    <xf numFmtId="37" fontId="9" fillId="8" borderId="0" xfId="0" applyNumberFormat="1" applyFont="1" applyFill="1" applyAlignment="1">
      <alignment horizontal="center"/>
    </xf>
    <xf numFmtId="179" fontId="9" fillId="8" borderId="27" xfId="0" applyNumberFormat="1" applyFont="1" applyFill="1" applyBorder="1" applyAlignment="1">
      <alignment horizontal="center"/>
    </xf>
    <xf numFmtId="172" fontId="9" fillId="8" borderId="28" xfId="0" applyNumberFormat="1" applyFont="1" applyFill="1" applyBorder="1" applyAlignment="1">
      <alignment horizontal="center"/>
    </xf>
    <xf numFmtId="5" fontId="9" fillId="8" borderId="28" xfId="0" applyNumberFormat="1" applyFont="1" applyFill="1" applyBorder="1" applyAlignment="1">
      <alignment horizontal="center"/>
    </xf>
    <xf numFmtId="179" fontId="3" fillId="2" borderId="7" xfId="0" applyNumberFormat="1" applyFont="1" applyFill="1" applyBorder="1" applyAlignment="1">
      <alignment horizontal="center"/>
    </xf>
    <xf numFmtId="5" fontId="3" fillId="2" borderId="6" xfId="0" applyNumberFormat="1" applyFont="1" applyFill="1" applyBorder="1" applyAlignment="1">
      <alignment horizontal="center"/>
    </xf>
    <xf numFmtId="0" fontId="32" fillId="0" borderId="0" xfId="0" applyFont="1" applyAlignment="1">
      <alignment horizontal="centerContinuous"/>
    </xf>
    <xf numFmtId="0" fontId="33" fillId="0" borderId="0" xfId="0" applyFont="1" applyAlignment="1">
      <alignment horizontal="centerContinuous"/>
    </xf>
    <xf numFmtId="0" fontId="32" fillId="2" borderId="7" xfId="0" applyFont="1" applyFill="1" applyBorder="1" applyAlignment="1">
      <alignment horizontal="centerContinuous"/>
    </xf>
    <xf numFmtId="0" fontId="32" fillId="2" borderId="6" xfId="0" applyFont="1" applyFill="1" applyBorder="1" applyAlignment="1">
      <alignment horizontal="centerContinuous"/>
    </xf>
    <xf numFmtId="0" fontId="24" fillId="2" borderId="6" xfId="0" applyFont="1" applyFill="1" applyBorder="1" applyAlignment="1">
      <alignment horizontal="centerContinuous"/>
    </xf>
    <xf numFmtId="0" fontId="24" fillId="2" borderId="8" xfId="0" applyFont="1" applyFill="1" applyBorder="1" applyAlignment="1">
      <alignment horizontal="centerContinuous"/>
    </xf>
    <xf numFmtId="0" fontId="24" fillId="2" borderId="5" xfId="0" applyFont="1" applyFill="1" applyBorder="1" applyAlignment="1">
      <alignment horizontal="centerContinuous"/>
    </xf>
    <xf numFmtId="0" fontId="33" fillId="2" borderId="7" xfId="0" applyFont="1" applyFill="1" applyBorder="1" applyAlignment="1">
      <alignment horizontal="centerContinuous"/>
    </xf>
    <xf numFmtId="0" fontId="33" fillId="2" borderId="6" xfId="0" applyFont="1" applyFill="1" applyBorder="1" applyAlignment="1">
      <alignment horizontal="centerContinuous"/>
    </xf>
    <xf numFmtId="0" fontId="12" fillId="0" borderId="0" xfId="0" applyFont="1"/>
    <xf numFmtId="0" fontId="34" fillId="0" borderId="0" xfId="0" applyFont="1"/>
    <xf numFmtId="0" fontId="35" fillId="0" borderId="0" xfId="0" applyFont="1"/>
    <xf numFmtId="0" fontId="9" fillId="0" borderId="0" xfId="3" applyFont="1"/>
    <xf numFmtId="0" fontId="37" fillId="0" borderId="0" xfId="3" applyFont="1"/>
    <xf numFmtId="0" fontId="38" fillId="0" borderId="0" xfId="3" applyFont="1"/>
    <xf numFmtId="0" fontId="39" fillId="0" borderId="0" xfId="3" applyFont="1"/>
    <xf numFmtId="0" fontId="39" fillId="0" borderId="0" xfId="3" applyFont="1" applyAlignment="1">
      <alignment horizontal="right"/>
    </xf>
    <xf numFmtId="0" fontId="17" fillId="0" borderId="4" xfId="3" applyFont="1" applyBorder="1"/>
    <xf numFmtId="0" fontId="17" fillId="0" borderId="0" xfId="3" applyFont="1"/>
    <xf numFmtId="0" fontId="37" fillId="9" borderId="0" xfId="3" applyFont="1" applyFill="1"/>
    <xf numFmtId="0" fontId="40" fillId="9" borderId="0" xfId="3" applyFont="1" applyFill="1"/>
    <xf numFmtId="187" fontId="3" fillId="0" borderId="0" xfId="3" applyNumberFormat="1" applyFont="1" applyAlignment="1">
      <alignment horizontal="left"/>
    </xf>
    <xf numFmtId="168" fontId="0" fillId="0" borderId="0" xfId="0" applyNumberFormat="1"/>
    <xf numFmtId="0" fontId="2" fillId="4" borderId="6" xfId="0" applyFont="1" applyFill="1" applyBorder="1" applyAlignment="1">
      <alignment horizontal="center"/>
    </xf>
    <xf numFmtId="0" fontId="20" fillId="0" borderId="0" xfId="0" applyFont="1" applyAlignment="1">
      <alignment horizontal="left"/>
    </xf>
    <xf numFmtId="0" fontId="9" fillId="4" borderId="10" xfId="0" applyFont="1" applyFill="1" applyBorder="1"/>
    <xf numFmtId="0" fontId="20" fillId="0" borderId="10" xfId="0" applyFont="1" applyBorder="1" applyAlignment="1">
      <alignment horizontal="left"/>
    </xf>
    <xf numFmtId="0" fontId="21" fillId="0" borderId="10" xfId="0" applyFont="1" applyBorder="1"/>
    <xf numFmtId="0" fontId="9" fillId="0" borderId="3" xfId="0" applyFont="1" applyBorder="1"/>
    <xf numFmtId="0" fontId="9" fillId="0" borderId="1" xfId="0" applyFont="1" applyBorder="1"/>
    <xf numFmtId="169" fontId="2" fillId="0" borderId="2" xfId="0" applyNumberFormat="1" applyFont="1" applyBorder="1"/>
    <xf numFmtId="0" fontId="2" fillId="0" borderId="10" xfId="0" applyFont="1" applyBorder="1" applyAlignment="1">
      <alignment horizontal="centerContinuous"/>
    </xf>
    <xf numFmtId="0" fontId="2" fillId="0" borderId="10" xfId="0" applyFont="1" applyBorder="1" applyAlignment="1">
      <alignment horizontal="center"/>
    </xf>
    <xf numFmtId="170" fontId="2" fillId="0" borderId="10" xfId="2" applyNumberFormat="1" applyFont="1" applyFill="1" applyBorder="1"/>
    <xf numFmtId="0" fontId="19" fillId="0" borderId="0" xfId="0" applyFont="1" applyAlignment="1">
      <alignment horizontal="center"/>
    </xf>
    <xf numFmtId="0" fontId="0" fillId="0" borderId="13" xfId="0" applyBorder="1"/>
    <xf numFmtId="0" fontId="15" fillId="0" borderId="3" xfId="0" applyFont="1" applyBorder="1"/>
    <xf numFmtId="172" fontId="2" fillId="0" borderId="0" xfId="0" applyNumberFormat="1" applyFont="1"/>
    <xf numFmtId="0" fontId="9" fillId="0" borderId="0" xfId="0" applyFont="1" applyAlignment="1">
      <alignment horizontal="centerContinuous"/>
    </xf>
    <xf numFmtId="7" fontId="3" fillId="0" borderId="0" xfId="0" applyNumberFormat="1" applyFont="1"/>
    <xf numFmtId="8" fontId="3" fillId="0" borderId="0" xfId="0" applyNumberFormat="1" applyFont="1" applyAlignment="1">
      <alignment horizontal="center"/>
    </xf>
    <xf numFmtId="172" fontId="2" fillId="0" borderId="0" xfId="2" applyNumberFormat="1" applyFont="1" applyFill="1" applyBorder="1" applyAlignment="1">
      <alignment horizontal="center"/>
    </xf>
    <xf numFmtId="172" fontId="7" fillId="0" borderId="0" xfId="2" applyNumberFormat="1" applyFont="1" applyFill="1" applyBorder="1" applyAlignment="1">
      <alignment horizontal="center"/>
    </xf>
    <xf numFmtId="7" fontId="2" fillId="0" borderId="0" xfId="0" applyNumberFormat="1" applyFont="1"/>
    <xf numFmtId="7" fontId="7" fillId="0" borderId="0" xfId="0" applyNumberFormat="1" applyFont="1"/>
    <xf numFmtId="8" fontId="2" fillId="0" borderId="0" xfId="0" applyNumberFormat="1" applyFont="1" applyAlignment="1">
      <alignment horizontal="center"/>
    </xf>
    <xf numFmtId="44" fontId="6" fillId="0" borderId="0" xfId="0" applyNumberFormat="1" applyFont="1" applyAlignment="1">
      <alignment horizontal="right"/>
    </xf>
    <xf numFmtId="43" fontId="6" fillId="0" borderId="0" xfId="0" applyNumberFormat="1" applyFont="1" applyAlignment="1">
      <alignment horizontal="right"/>
    </xf>
    <xf numFmtId="0" fontId="2" fillId="0" borderId="0" xfId="0" applyFont="1" applyAlignment="1">
      <alignment horizontal="left" indent="1"/>
    </xf>
    <xf numFmtId="0" fontId="41" fillId="0" borderId="0" xfId="0" applyFont="1"/>
    <xf numFmtId="170" fontId="42" fillId="0" borderId="0" xfId="2" applyNumberFormat="1" applyFont="1" applyFill="1" applyAlignment="1">
      <alignment horizontal="right"/>
    </xf>
    <xf numFmtId="169" fontId="13" fillId="0" borderId="13" xfId="0" applyNumberFormat="1" applyFont="1" applyBorder="1"/>
    <xf numFmtId="172" fontId="7" fillId="0" borderId="0" xfId="0" applyNumberFormat="1" applyFont="1" applyAlignment="1">
      <alignment horizontal="right"/>
    </xf>
    <xf numFmtId="172" fontId="7" fillId="0" borderId="0" xfId="0" applyNumberFormat="1" applyFont="1"/>
    <xf numFmtId="164" fontId="2" fillId="0" borderId="0" xfId="2" applyNumberFormat="1" applyFont="1" applyBorder="1"/>
    <xf numFmtId="9" fontId="8" fillId="0" borderId="0" xfId="0" applyNumberFormat="1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/>
    <xf numFmtId="0" fontId="24" fillId="2" borderId="2" xfId="0" applyFont="1" applyFill="1" applyBorder="1" applyAlignment="1">
      <alignment horizontal="center"/>
    </xf>
    <xf numFmtId="0" fontId="2" fillId="4" borderId="7" xfId="0" applyFont="1" applyFill="1" applyBorder="1"/>
    <xf numFmtId="0" fontId="43" fillId="0" borderId="0" xfId="0" applyFont="1"/>
    <xf numFmtId="0" fontId="2" fillId="2" borderId="6" xfId="0" applyFont="1" applyFill="1" applyBorder="1"/>
    <xf numFmtId="0" fontId="2" fillId="2" borderId="7" xfId="0" applyFont="1" applyFill="1" applyBorder="1"/>
    <xf numFmtId="0" fontId="2" fillId="0" borderId="0" xfId="0" applyFont="1" applyAlignment="1">
      <alignment horizontal="left" indent="2"/>
    </xf>
    <xf numFmtId="0" fontId="2" fillId="5" borderId="0" xfId="0" applyFont="1" applyFill="1"/>
    <xf numFmtId="0" fontId="2" fillId="11" borderId="0" xfId="0" applyFont="1" applyFill="1"/>
    <xf numFmtId="44" fontId="2" fillId="11" borderId="0" xfId="0" applyNumberFormat="1" applyFont="1" applyFill="1"/>
    <xf numFmtId="188" fontId="7" fillId="11" borderId="0" xfId="0" applyNumberFormat="1" applyFont="1" applyFill="1"/>
    <xf numFmtId="188" fontId="2" fillId="0" borderId="0" xfId="0" applyNumberFormat="1" applyFont="1"/>
    <xf numFmtId="166" fontId="2" fillId="11" borderId="0" xfId="0" applyNumberFormat="1" applyFont="1" applyFill="1"/>
    <xf numFmtId="166" fontId="2" fillId="0" borderId="0" xfId="0" applyNumberFormat="1" applyFont="1"/>
    <xf numFmtId="166" fontId="2" fillId="5" borderId="0" xfId="0" applyNumberFormat="1" applyFont="1" applyFill="1"/>
    <xf numFmtId="188" fontId="2" fillId="5" borderId="0" xfId="0" applyNumberFormat="1" applyFont="1" applyFill="1"/>
    <xf numFmtId="9" fontId="24" fillId="2" borderId="2" xfId="2" applyFont="1" applyFill="1" applyBorder="1" applyAlignment="1">
      <alignment horizontal="center"/>
    </xf>
    <xf numFmtId="9" fontId="3" fillId="2" borderId="2" xfId="2" applyFont="1" applyFill="1" applyBorder="1" applyAlignment="1">
      <alignment horizontal="center"/>
    </xf>
    <xf numFmtId="0" fontId="3" fillId="2" borderId="0" xfId="0" applyFont="1" applyFill="1" applyAlignment="1">
      <alignment horizontal="left" indent="1"/>
    </xf>
    <xf numFmtId="189" fontId="13" fillId="11" borderId="0" xfId="0" applyNumberFormat="1" applyFont="1" applyFill="1"/>
    <xf numFmtId="164" fontId="2" fillId="11" borderId="0" xfId="0" applyNumberFormat="1" applyFont="1" applyFill="1"/>
    <xf numFmtId="188" fontId="13" fillId="11" borderId="0" xfId="0" applyNumberFormat="1" applyFont="1" applyFill="1"/>
    <xf numFmtId="188" fontId="9" fillId="0" borderId="0" xfId="0" applyNumberFormat="1" applyFont="1"/>
    <xf numFmtId="44" fontId="2" fillId="0" borderId="0" xfId="0" applyNumberFormat="1" applyFont="1"/>
    <xf numFmtId="190" fontId="2" fillId="0" borderId="0" xfId="0" applyNumberFormat="1" applyFont="1"/>
    <xf numFmtId="188" fontId="9" fillId="11" borderId="0" xfId="0" applyNumberFormat="1" applyFont="1" applyFill="1"/>
    <xf numFmtId="0" fontId="3" fillId="2" borderId="2" xfId="2" applyNumberFormat="1" applyFont="1" applyFill="1" applyBorder="1" applyAlignment="1">
      <alignment horizontal="center"/>
    </xf>
    <xf numFmtId="0" fontId="10" fillId="0" borderId="0" xfId="0" applyFont="1" applyAlignment="1">
      <alignment horizontal="left" indent="1"/>
    </xf>
    <xf numFmtId="164" fontId="13" fillId="11" borderId="0" xfId="0" applyNumberFormat="1" applyFont="1" applyFill="1"/>
    <xf numFmtId="164" fontId="13" fillId="0" borderId="0" xfId="0" applyNumberFormat="1" applyFont="1"/>
    <xf numFmtId="0" fontId="13" fillId="11" borderId="0" xfId="0" applyFont="1" applyFill="1"/>
    <xf numFmtId="164" fontId="2" fillId="5" borderId="0" xfId="0" applyNumberFormat="1" applyFont="1" applyFill="1"/>
    <xf numFmtId="44" fontId="6" fillId="0" borderId="13" xfId="0" applyNumberFormat="1" applyFont="1" applyBorder="1"/>
    <xf numFmtId="164" fontId="12" fillId="0" borderId="12" xfId="2" applyNumberFormat="1" applyFont="1" applyBorder="1"/>
    <xf numFmtId="167" fontId="6" fillId="5" borderId="0" xfId="0" applyNumberFormat="1" applyFont="1" applyFill="1" applyAlignment="1">
      <alignment horizontal="right"/>
    </xf>
    <xf numFmtId="167" fontId="6" fillId="5" borderId="0" xfId="0" applyNumberFormat="1" applyFont="1" applyFill="1"/>
    <xf numFmtId="167" fontId="6" fillId="11" borderId="0" xfId="0" applyNumberFormat="1" applyFont="1" applyFill="1"/>
    <xf numFmtId="167" fontId="6" fillId="11" borderId="0" xfId="0" applyNumberFormat="1" applyFont="1" applyFill="1" applyAlignment="1">
      <alignment horizontal="right"/>
    </xf>
    <xf numFmtId="170" fontId="6" fillId="11" borderId="0" xfId="2" applyNumberFormat="1" applyFont="1" applyFill="1" applyAlignment="1">
      <alignment horizontal="right"/>
    </xf>
    <xf numFmtId="164" fontId="12" fillId="11" borderId="0" xfId="2" applyNumberFormat="1" applyFont="1" applyFill="1" applyAlignment="1">
      <alignment horizontal="right"/>
    </xf>
    <xf numFmtId="164" fontId="12" fillId="5" borderId="0" xfId="2" applyNumberFormat="1" applyFont="1" applyFill="1" applyAlignment="1">
      <alignment horizontal="right"/>
    </xf>
    <xf numFmtId="170" fontId="6" fillId="5" borderId="0" xfId="2" applyNumberFormat="1" applyFont="1" applyFill="1" applyAlignment="1">
      <alignment horizontal="right"/>
    </xf>
    <xf numFmtId="167" fontId="27" fillId="11" borderId="0" xfId="0" applyNumberFormat="1" applyFont="1" applyFill="1" applyAlignment="1">
      <alignment horizontal="right"/>
    </xf>
    <xf numFmtId="167" fontId="0" fillId="0" borderId="0" xfId="0" applyNumberFormat="1"/>
    <xf numFmtId="44" fontId="2" fillId="5" borderId="0" xfId="0" applyNumberFormat="1" applyFont="1" applyFill="1"/>
    <xf numFmtId="9" fontId="24" fillId="2" borderId="2" xfId="0" applyNumberFormat="1" applyFont="1" applyFill="1" applyBorder="1" applyAlignment="1">
      <alignment horizontal="center"/>
    </xf>
    <xf numFmtId="164" fontId="15" fillId="11" borderId="0" xfId="0" applyNumberFormat="1" applyFont="1" applyFill="1"/>
    <xf numFmtId="0" fontId="11" fillId="0" borderId="0" xfId="0" applyFont="1"/>
    <xf numFmtId="188" fontId="13" fillId="0" borderId="0" xfId="0" applyNumberFormat="1" applyFont="1"/>
    <xf numFmtId="0" fontId="45" fillId="0" borderId="0" xfId="0" applyFont="1"/>
    <xf numFmtId="188" fontId="13" fillId="5" borderId="0" xfId="0" applyNumberFormat="1" applyFont="1" applyFill="1"/>
    <xf numFmtId="164" fontId="18" fillId="5" borderId="0" xfId="0" applyNumberFormat="1" applyFont="1" applyFill="1"/>
    <xf numFmtId="188" fontId="2" fillId="0" borderId="0" xfId="0" applyNumberFormat="1" applyFont="1" applyAlignment="1">
      <alignment horizontal="right"/>
    </xf>
    <xf numFmtId="164" fontId="18" fillId="0" borderId="0" xfId="0" applyNumberFormat="1" applyFont="1" applyAlignment="1">
      <alignment horizontal="right"/>
    </xf>
    <xf numFmtId="164" fontId="11" fillId="5" borderId="0" xfId="2" applyNumberFormat="1" applyFont="1" applyFill="1" applyAlignment="1">
      <alignment horizontal="right"/>
    </xf>
    <xf numFmtId="164" fontId="11" fillId="0" borderId="0" xfId="2" applyNumberFormat="1" applyFont="1" applyFill="1" applyAlignment="1">
      <alignment horizontal="right"/>
    </xf>
    <xf numFmtId="164" fontId="13" fillId="5" borderId="0" xfId="0" applyNumberFormat="1" applyFont="1" applyFill="1"/>
    <xf numFmtId="188" fontId="9" fillId="5" borderId="0" xfId="0" applyNumberFormat="1" applyFont="1" applyFill="1"/>
    <xf numFmtId="170" fontId="42" fillId="5" borderId="0" xfId="2" applyNumberFormat="1" applyFont="1" applyFill="1" applyAlignment="1">
      <alignment horizontal="right"/>
    </xf>
    <xf numFmtId="167" fontId="16" fillId="5" borderId="0" xfId="0" applyNumberFormat="1" applyFont="1" applyFill="1" applyAlignment="1">
      <alignment horizontal="right"/>
    </xf>
    <xf numFmtId="167" fontId="16" fillId="0" borderId="0" xfId="0" applyNumberFormat="1" applyFont="1" applyAlignment="1">
      <alignment horizontal="right"/>
    </xf>
    <xf numFmtId="164" fontId="46" fillId="5" borderId="0" xfId="2" applyNumberFormat="1" applyFont="1" applyFill="1" applyAlignment="1">
      <alignment horizontal="right"/>
    </xf>
    <xf numFmtId="164" fontId="46" fillId="0" borderId="0" xfId="2" applyNumberFormat="1" applyFont="1" applyAlignment="1">
      <alignment horizontal="right"/>
    </xf>
    <xf numFmtId="164" fontId="46" fillId="0" borderId="0" xfId="2" applyNumberFormat="1" applyFont="1" applyFill="1" applyAlignment="1">
      <alignment horizontal="right"/>
    </xf>
    <xf numFmtId="189" fontId="13" fillId="5" borderId="0" xfId="0" applyNumberFormat="1" applyFont="1" applyFill="1"/>
    <xf numFmtId="166" fontId="2" fillId="10" borderId="0" xfId="0" applyNumberFormat="1" applyFont="1" applyFill="1"/>
    <xf numFmtId="0" fontId="13" fillId="5" borderId="0" xfId="0" applyFont="1" applyFill="1"/>
    <xf numFmtId="0" fontId="24" fillId="2" borderId="2" xfId="2" applyNumberFormat="1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167" fontId="7" fillId="11" borderId="0" xfId="0" applyNumberFormat="1" applyFont="1" applyFill="1"/>
    <xf numFmtId="191" fontId="2" fillId="0" borderId="0" xfId="0" applyNumberFormat="1" applyFont="1"/>
    <xf numFmtId="191" fontId="9" fillId="11" borderId="0" xfId="0" applyNumberFormat="1" applyFont="1" applyFill="1"/>
    <xf numFmtId="191" fontId="16" fillId="11" borderId="0" xfId="0" applyNumberFormat="1" applyFont="1" applyFill="1" applyAlignment="1">
      <alignment horizontal="right"/>
    </xf>
    <xf numFmtId="191" fontId="16" fillId="0" borderId="0" xfId="0" applyNumberFormat="1" applyFont="1" applyAlignment="1">
      <alignment horizontal="right"/>
    </xf>
    <xf numFmtId="191" fontId="7" fillId="11" borderId="0" xfId="0" applyNumberFormat="1" applyFont="1" applyFill="1"/>
    <xf numFmtId="191" fontId="13" fillId="11" borderId="0" xfId="0" applyNumberFormat="1" applyFont="1" applyFill="1"/>
    <xf numFmtId="191" fontId="13" fillId="5" borderId="0" xfId="0" applyNumberFormat="1" applyFont="1" applyFill="1"/>
    <xf numFmtId="0" fontId="13" fillId="0" borderId="0" xfId="0" applyFont="1"/>
    <xf numFmtId="191" fontId="9" fillId="5" borderId="0" xfId="0" applyNumberFormat="1" applyFont="1" applyFill="1"/>
    <xf numFmtId="189" fontId="13" fillId="0" borderId="0" xfId="0" applyNumberFormat="1" applyFont="1"/>
    <xf numFmtId="191" fontId="9" fillId="0" borderId="0" xfId="0" applyNumberFormat="1" applyFont="1"/>
    <xf numFmtId="191" fontId="2" fillId="5" borderId="0" xfId="0" applyNumberFormat="1" applyFont="1" applyFill="1"/>
    <xf numFmtId="164" fontId="9" fillId="11" borderId="0" xfId="0" applyNumberFormat="1" applyFont="1" applyFill="1"/>
    <xf numFmtId="164" fontId="9" fillId="0" borderId="0" xfId="0" applyNumberFormat="1" applyFont="1"/>
    <xf numFmtId="164" fontId="9" fillId="5" borderId="0" xfId="0" applyNumberFormat="1" applyFont="1" applyFill="1"/>
    <xf numFmtId="0" fontId="11" fillId="0" borderId="0" xfId="0" applyFont="1" applyAlignment="1">
      <alignment horizontal="left" indent="1"/>
    </xf>
    <xf numFmtId="188" fontId="15" fillId="11" borderId="0" xfId="0" applyNumberFormat="1" applyFont="1" applyFill="1"/>
    <xf numFmtId="164" fontId="15" fillId="0" borderId="0" xfId="0" applyNumberFormat="1" applyFont="1"/>
    <xf numFmtId="164" fontId="15" fillId="5" borderId="0" xfId="0" applyNumberFormat="1" applyFont="1" applyFill="1"/>
    <xf numFmtId="188" fontId="11" fillId="0" borderId="0" xfId="0" applyNumberFormat="1" applyFont="1"/>
    <xf numFmtId="164" fontId="42" fillId="5" borderId="0" xfId="2" applyNumberFormat="1" applyFont="1" applyFill="1" applyAlignment="1">
      <alignment horizontal="right"/>
    </xf>
    <xf numFmtId="164" fontId="42" fillId="0" borderId="0" xfId="2" applyNumberFormat="1" applyFont="1" applyFill="1" applyAlignment="1">
      <alignment horizontal="right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29" fillId="0" borderId="0" xfId="0" applyFont="1" applyAlignment="1">
      <alignment horizontal="center"/>
    </xf>
    <xf numFmtId="0" fontId="9" fillId="0" borderId="0" xfId="3" applyFont="1" applyAlignment="1">
      <alignment horizontal="left" vertical="top" wrapText="1"/>
    </xf>
    <xf numFmtId="188" fontId="2" fillId="0" borderId="0" xfId="0" applyNumberFormat="1" applyFont="1" applyFill="1"/>
    <xf numFmtId="191" fontId="13" fillId="0" borderId="0" xfId="0" applyNumberFormat="1" applyFont="1" applyFill="1"/>
    <xf numFmtId="188" fontId="9" fillId="0" borderId="0" xfId="0" applyNumberFormat="1" applyFont="1" applyFill="1"/>
    <xf numFmtId="164" fontId="13" fillId="0" borderId="0" xfId="0" applyNumberFormat="1" applyFont="1" applyFill="1"/>
    <xf numFmtId="188" fontId="7" fillId="0" borderId="0" xfId="0" applyNumberFormat="1" applyFont="1" applyFill="1"/>
    <xf numFmtId="188" fontId="7" fillId="5" borderId="0" xfId="0" applyNumberFormat="1" applyFont="1" applyFill="1"/>
    <xf numFmtId="164" fontId="13" fillId="0" borderId="13" xfId="2" applyNumberFormat="1" applyFont="1" applyBorder="1"/>
    <xf numFmtId="164" fontId="18" fillId="0" borderId="0" xfId="0" applyNumberFormat="1" applyFont="1" applyFill="1"/>
    <xf numFmtId="164" fontId="18" fillId="0" borderId="0" xfId="0" applyNumberFormat="1" applyFont="1" applyFill="1" applyAlignment="1">
      <alignment horizontal="right"/>
    </xf>
    <xf numFmtId="0" fontId="3" fillId="0" borderId="0" xfId="0" applyFont="1" applyFill="1"/>
    <xf numFmtId="0" fontId="0" fillId="0" borderId="0" xfId="0" applyFill="1"/>
    <xf numFmtId="168" fontId="2" fillId="0" borderId="0" xfId="0" applyNumberFormat="1" applyFont="1"/>
    <xf numFmtId="168" fontId="2" fillId="0" borderId="0" xfId="1" applyNumberFormat="1" applyFont="1"/>
    <xf numFmtId="193" fontId="2" fillId="0" borderId="0" xfId="0" applyNumberFormat="1" applyFont="1" applyAlignment="1">
      <alignment horizontal="center"/>
    </xf>
    <xf numFmtId="164" fontId="11" fillId="0" borderId="10" xfId="0" applyNumberFormat="1" applyFont="1" applyBorder="1" applyAlignment="1">
      <alignment horizontal="center"/>
    </xf>
    <xf numFmtId="164" fontId="11" fillId="0" borderId="13" xfId="0" applyNumberFormat="1" applyFont="1" applyBorder="1" applyAlignment="1">
      <alignment horizontal="center"/>
    </xf>
  </cellXfs>
  <cellStyles count="5">
    <cellStyle name="Currency" xfId="1" builtinId="4"/>
    <cellStyle name="Normal" xfId="0" builtinId="0"/>
    <cellStyle name="Normal 2" xfId="3" xr:uid="{D834A052-A77D-4F58-BC33-7FC476DA3866}"/>
    <cellStyle name="Normal 3" xfId="4" xr:uid="{18ADAC16-4589-46A6-B610-C3A3AF0FA91D}"/>
    <cellStyle name="Percent" xfId="2" builtinId="5"/>
  </cellStyles>
  <dxfs count="24">
    <dxf>
      <font>
        <b/>
        <i val="0"/>
        <condense val="0"/>
        <extend val="0"/>
        <color indexed="1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008000"/>
      </font>
    </dxf>
    <dxf>
      <font>
        <color theme="1"/>
      </font>
    </dxf>
    <dxf>
      <font>
        <color rgb="FF008000"/>
      </font>
    </dxf>
    <dxf>
      <font>
        <color theme="1"/>
      </font>
    </dxf>
    <dxf>
      <font>
        <color rgb="FF008000"/>
      </font>
    </dxf>
    <dxf>
      <font>
        <color theme="1"/>
      </font>
    </dxf>
    <dxf>
      <font>
        <color rgb="FF008000"/>
      </font>
    </dxf>
    <dxf>
      <font>
        <color theme="1"/>
      </font>
    </dxf>
    <dxf>
      <font>
        <color rgb="FF008000"/>
      </font>
    </dxf>
    <dxf>
      <font>
        <color theme="1"/>
      </font>
    </dxf>
    <dxf>
      <font>
        <color rgb="FF008000"/>
      </font>
    </dxf>
    <dxf>
      <font>
        <color theme="1"/>
      </font>
    </dxf>
    <dxf>
      <font>
        <color theme="1"/>
      </font>
    </dxf>
  </dxfs>
  <tableStyles count="0" defaultTableStyle="TableStyleMedium2" defaultPivotStyle="PivotStyleLight16"/>
  <colors>
    <mruColors>
      <color rgb="FFEBEBEB"/>
      <color rgb="FF0000FF"/>
      <color rgb="FF008000"/>
      <color rgb="FF00355F"/>
      <color rgb="FFD7D7D7"/>
      <color rgb="FFC0DE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DEF6"/>
            </a:solidFill>
            <a:ln>
              <a:solidFill>
                <a:srgbClr val="00355F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dkUpDiag">
                <a:fgClr>
                  <a:srgbClr val="C0DEF6"/>
                </a:fgClr>
                <a:bgClr>
                  <a:schemeClr val="bg1"/>
                </a:bgClr>
              </a:pattFill>
              <a:ln>
                <a:solidFill>
                  <a:srgbClr val="00355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B27-44AB-ADC7-0ED9A8FDDCFF}"/>
              </c:ext>
            </c:extLst>
          </c:dPt>
          <c:dPt>
            <c:idx val="4"/>
            <c:invertIfNegative val="0"/>
            <c:bubble3D val="0"/>
            <c:spPr>
              <a:pattFill prst="dkUpDiag">
                <a:fgClr>
                  <a:srgbClr val="C0DEF6"/>
                </a:fgClr>
                <a:bgClr>
                  <a:schemeClr val="bg1"/>
                </a:bgClr>
              </a:pattFill>
              <a:ln>
                <a:solidFill>
                  <a:srgbClr val="00355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27-44AB-ADC7-0ED9A8FDDCFF}"/>
              </c:ext>
            </c:extLst>
          </c:dPt>
          <c:dPt>
            <c:idx val="5"/>
            <c:invertIfNegative val="0"/>
            <c:bubble3D val="0"/>
            <c:spPr>
              <a:pattFill prst="dkUpDiag">
                <a:fgClr>
                  <a:srgbClr val="C0DEF6"/>
                </a:fgClr>
                <a:bgClr>
                  <a:schemeClr val="bg1"/>
                </a:bgClr>
              </a:pattFill>
              <a:ln>
                <a:solidFill>
                  <a:srgbClr val="00355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B27-44AB-ADC7-0ED9A8FDDCFF}"/>
              </c:ext>
            </c:extLst>
          </c:dPt>
          <c:dPt>
            <c:idx val="6"/>
            <c:invertIfNegative val="0"/>
            <c:bubble3D val="0"/>
            <c:spPr>
              <a:pattFill prst="dkUpDiag">
                <a:fgClr>
                  <a:srgbClr val="C0DEF6"/>
                </a:fgClr>
                <a:bgClr>
                  <a:schemeClr val="bg1"/>
                </a:bgClr>
              </a:pattFill>
              <a:ln>
                <a:solidFill>
                  <a:srgbClr val="00355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27-44AB-ADC7-0ED9A8FDDCFF}"/>
              </c:ext>
            </c:extLst>
          </c:dPt>
          <c:cat>
            <c:strRef>
              <c:f>Charts!$B$5:$B$11</c:f>
              <c:strCache>
                <c:ptCount val="7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  <c:pt idx="6">
                  <c:v>2029e</c:v>
                </c:pt>
              </c:strCache>
            </c:strRef>
          </c:cat>
          <c:val>
            <c:numRef>
              <c:f>Charts!$C$5:$C$11</c:f>
              <c:numCache>
                <c:formatCode>"$"#,##0.00</c:formatCode>
                <c:ptCount val="7"/>
                <c:pt idx="0">
                  <c:v>3.4160831607942006</c:v>
                </c:pt>
                <c:pt idx="1">
                  <c:v>4.6022774298707736</c:v>
                </c:pt>
                <c:pt idx="2">
                  <c:v>4.7885928077322424</c:v>
                </c:pt>
                <c:pt idx="3">
                  <c:v>6.1996572366997444</c:v>
                </c:pt>
                <c:pt idx="4">
                  <c:v>7.5083552886606029</c:v>
                </c:pt>
                <c:pt idx="5">
                  <c:v>8.6551182613766393</c:v>
                </c:pt>
                <c:pt idx="6">
                  <c:v>9.7739773203795952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7-44AB-ADC7-0ED9A8FDD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1365376"/>
        <c:axId val="1918205088"/>
      </c:barChart>
      <c:catAx>
        <c:axId val="601365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endParaRPr lang="en-US"/>
          </a:p>
        </c:txPr>
        <c:crossAx val="1918205088"/>
        <c:crosses val="autoZero"/>
        <c:auto val="1"/>
        <c:lblAlgn val="ctr"/>
        <c:lblOffset val="100"/>
        <c:noMultiLvlLbl val="0"/>
      </c:catAx>
      <c:valAx>
        <c:axId val="1918205088"/>
        <c:scaling>
          <c:orientation val="minMax"/>
        </c:scaling>
        <c:delete val="0"/>
        <c:axPos val="l"/>
        <c:numFmt formatCode="&quot;$&quot;#,##0.0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endParaRPr lang="en-US"/>
          </a:p>
        </c:txPr>
        <c:crossAx val="60136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/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r>
              <a:rPr lang="en-US" sz="1000">
                <a:solidFill>
                  <a:schemeClr val="tx1"/>
                </a:solidFill>
                <a:latin typeface="Abadi" panose="020B0604020104020204" pitchFamily="34" charset="0"/>
              </a:rPr>
              <a:t>Fee Related Earnings per Share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DEF6"/>
            </a:solidFill>
            <a:ln>
              <a:solidFill>
                <a:srgbClr val="00355F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dkUpDiag">
                <a:fgClr>
                  <a:srgbClr val="C0DEF6"/>
                </a:fgClr>
                <a:bgClr>
                  <a:schemeClr val="bg1"/>
                </a:bgClr>
              </a:pattFill>
              <a:ln>
                <a:solidFill>
                  <a:srgbClr val="00355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AB4-4BBC-A9BF-FD945DBC0C26}"/>
              </c:ext>
            </c:extLst>
          </c:dPt>
          <c:dPt>
            <c:idx val="4"/>
            <c:invertIfNegative val="0"/>
            <c:bubble3D val="0"/>
            <c:spPr>
              <a:pattFill prst="dkUpDiag">
                <a:fgClr>
                  <a:srgbClr val="C0DEF6"/>
                </a:fgClr>
                <a:bgClr>
                  <a:schemeClr val="bg1"/>
                </a:bgClr>
              </a:pattFill>
              <a:ln>
                <a:solidFill>
                  <a:srgbClr val="00355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AB4-4BBC-A9BF-FD945DBC0C26}"/>
              </c:ext>
            </c:extLst>
          </c:dPt>
          <c:dPt>
            <c:idx val="5"/>
            <c:invertIfNegative val="0"/>
            <c:bubble3D val="0"/>
            <c:spPr>
              <a:pattFill prst="dkUpDiag">
                <a:fgClr>
                  <a:srgbClr val="C0DEF6"/>
                </a:fgClr>
                <a:bgClr>
                  <a:schemeClr val="bg1"/>
                </a:bgClr>
              </a:pattFill>
              <a:ln>
                <a:solidFill>
                  <a:srgbClr val="00355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AB4-4BBC-A9BF-FD945DBC0C26}"/>
              </c:ext>
            </c:extLst>
          </c:dPt>
          <c:dPt>
            <c:idx val="6"/>
            <c:invertIfNegative val="0"/>
            <c:bubble3D val="0"/>
            <c:spPr>
              <a:pattFill prst="dkUpDiag">
                <a:fgClr>
                  <a:srgbClr val="C0DEF6"/>
                </a:fgClr>
                <a:bgClr>
                  <a:schemeClr val="bg1"/>
                </a:bgClr>
              </a:pattFill>
              <a:ln>
                <a:solidFill>
                  <a:srgbClr val="00355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AB4-4BBC-A9BF-FD945DBC0C26}"/>
              </c:ext>
            </c:extLst>
          </c:dPt>
          <c:cat>
            <c:strRef>
              <c:f>Charts!$B$15:$B$21</c:f>
              <c:strCache>
                <c:ptCount val="7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  <c:pt idx="6">
                  <c:v>2029e</c:v>
                </c:pt>
              </c:strCache>
            </c:strRef>
          </c:cat>
          <c:val>
            <c:numRef>
              <c:f>Charts!$C$15:$C$21</c:f>
              <c:numCache>
                <c:formatCode>"$"#,##0.00</c:formatCode>
                <c:ptCount val="7"/>
                <c:pt idx="0">
                  <c:v>2.6779164569847271</c:v>
                </c:pt>
                <c:pt idx="1">
                  <c:v>3.6551777551004112</c:v>
                </c:pt>
                <c:pt idx="2">
                  <c:v>4.1286016875760518</c:v>
                </c:pt>
                <c:pt idx="3">
                  <c:v>4.9955237955658918</c:v>
                </c:pt>
                <c:pt idx="4">
                  <c:v>5.8959654999574305</c:v>
                </c:pt>
                <c:pt idx="5">
                  <c:v>6.499756305823519</c:v>
                </c:pt>
                <c:pt idx="6">
                  <c:v>7.3731441123545594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AB4-4BBC-A9BF-FD945DBC0C26}"/>
            </c:ext>
          </c:extLst>
        </c:ser>
        <c:ser>
          <c:idx val="1"/>
          <c:order val="1"/>
          <c:invertIfNegative val="0"/>
          <c:cat>
            <c:strRef>
              <c:f>Charts!$B$15:$B$21</c:f>
              <c:strCache>
                <c:ptCount val="7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  <c:pt idx="6">
                  <c:v>2029e</c:v>
                </c:pt>
              </c:strCache>
            </c:strRef>
          </c:cat>
          <c:val>
            <c:numRef>
              <c:f>Charts!$D$15:$D$21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D-7AB4-4BBC-A9BF-FD945DBC0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1365376"/>
        <c:axId val="1918205088"/>
      </c:barChart>
      <c:catAx>
        <c:axId val="601365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endParaRPr lang="en-US"/>
          </a:p>
        </c:txPr>
        <c:crossAx val="1918205088"/>
        <c:crosses val="autoZero"/>
        <c:auto val="1"/>
        <c:lblAlgn val="ctr"/>
        <c:lblOffset val="100"/>
        <c:noMultiLvlLbl val="0"/>
      </c:catAx>
      <c:valAx>
        <c:axId val="1918205088"/>
        <c:scaling>
          <c:orientation val="minMax"/>
        </c:scaling>
        <c:delete val="0"/>
        <c:axPos val="l"/>
        <c:numFmt formatCode="&quot;$&quot;#,##0.0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endParaRPr lang="en-US"/>
          </a:p>
        </c:txPr>
        <c:crossAx val="601365376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139326334208225E-2"/>
          <c:y val="5.0925925925925923E-2"/>
          <c:w val="0.88186067366579179"/>
          <c:h val="0.85370370370370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DEF6"/>
            </a:solidFill>
            <a:ln>
              <a:solidFill>
                <a:srgbClr val="00355F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dkUpDiag">
                <a:fgClr>
                  <a:srgbClr val="C0DEF6"/>
                </a:fgClr>
                <a:bgClr>
                  <a:schemeClr val="bg1"/>
                </a:bgClr>
              </a:pattFill>
              <a:ln>
                <a:solidFill>
                  <a:srgbClr val="00355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F7C-4B87-A3BB-AA269A84B28E}"/>
              </c:ext>
            </c:extLst>
          </c:dPt>
          <c:dPt>
            <c:idx val="4"/>
            <c:invertIfNegative val="0"/>
            <c:bubble3D val="0"/>
            <c:spPr>
              <a:pattFill prst="dkUpDiag">
                <a:fgClr>
                  <a:srgbClr val="C0DEF6"/>
                </a:fgClr>
                <a:bgClr>
                  <a:schemeClr val="bg1"/>
                </a:bgClr>
              </a:pattFill>
              <a:ln>
                <a:solidFill>
                  <a:srgbClr val="00355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F7C-4B87-A3BB-AA269A84B28E}"/>
              </c:ext>
            </c:extLst>
          </c:dPt>
          <c:dPt>
            <c:idx val="5"/>
            <c:invertIfNegative val="0"/>
            <c:bubble3D val="0"/>
            <c:spPr>
              <a:pattFill prst="dkUpDiag">
                <a:fgClr>
                  <a:srgbClr val="C0DEF6"/>
                </a:fgClr>
                <a:bgClr>
                  <a:schemeClr val="bg1"/>
                </a:bgClr>
              </a:pattFill>
              <a:ln>
                <a:solidFill>
                  <a:srgbClr val="00355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F7C-4B87-A3BB-AA269A84B28E}"/>
              </c:ext>
            </c:extLst>
          </c:dPt>
          <c:dPt>
            <c:idx val="6"/>
            <c:invertIfNegative val="0"/>
            <c:bubble3D val="0"/>
            <c:spPr>
              <a:pattFill prst="dkUpDiag">
                <a:fgClr>
                  <a:srgbClr val="C0DEF6"/>
                </a:fgClr>
                <a:bgClr>
                  <a:schemeClr val="bg1"/>
                </a:bgClr>
              </a:pattFill>
              <a:ln>
                <a:solidFill>
                  <a:srgbClr val="00355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4F7C-4B87-A3BB-AA269A84B28E}"/>
              </c:ext>
            </c:extLst>
          </c:dPt>
          <c:cat>
            <c:strRef>
              <c:f>Charts!$B$26:$B$32</c:f>
              <c:strCache>
                <c:ptCount val="7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  <c:pt idx="6">
                  <c:v>2029e</c:v>
                </c:pt>
              </c:strCache>
            </c:strRef>
          </c:cat>
          <c:val>
            <c:numRef>
              <c:f>Charts!$C$26:$C$32</c:f>
              <c:numCache>
                <c:formatCode>"$"#,##0.0</c:formatCode>
                <c:ptCount val="7"/>
                <c:pt idx="0">
                  <c:v>3369872</c:v>
                </c:pt>
                <c:pt idx="1">
                  <c:v>4407265</c:v>
                </c:pt>
                <c:pt idx="2">
                  <c:v>4711080</c:v>
                </c:pt>
                <c:pt idx="3">
                  <c:v>6669658.0300152423</c:v>
                </c:pt>
                <c:pt idx="4">
                  <c:v>8095105.168637746</c:v>
                </c:pt>
                <c:pt idx="5">
                  <c:v>9292857.6467999294</c:v>
                </c:pt>
                <c:pt idx="6">
                  <c:v>10167876.825229915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F7C-4B87-A3BB-AA269A84B28E}"/>
            </c:ext>
          </c:extLst>
        </c:ser>
        <c:ser>
          <c:idx val="1"/>
          <c:order val="1"/>
          <c:spPr>
            <a:solidFill>
              <a:srgbClr val="00355F"/>
            </a:solidFill>
          </c:spPr>
          <c:invertIfNegative val="0"/>
          <c:dPt>
            <c:idx val="3"/>
            <c:invertIfNegative val="0"/>
            <c:bubble3D val="0"/>
            <c:spPr>
              <a:pattFill prst="dkUpDiag">
                <a:fgClr>
                  <a:srgbClr val="00355F"/>
                </a:fgClr>
                <a:bgClr>
                  <a:schemeClr val="bg1"/>
                </a:bgClr>
              </a:pattFill>
              <a:ln>
                <a:solidFill>
                  <a:srgbClr val="00355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4F7C-4B87-A3BB-AA269A84B28E}"/>
              </c:ext>
            </c:extLst>
          </c:dPt>
          <c:dPt>
            <c:idx val="4"/>
            <c:invertIfNegative val="0"/>
            <c:bubble3D val="0"/>
            <c:spPr>
              <a:pattFill prst="dkUpDiag">
                <a:fgClr>
                  <a:srgbClr val="00355F"/>
                </a:fgClr>
                <a:bgClr>
                  <a:schemeClr val="bg1"/>
                </a:bgClr>
              </a:pattFill>
              <a:ln>
                <a:solidFill>
                  <a:srgbClr val="00355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4F7C-4B87-A3BB-AA269A84B28E}"/>
              </c:ext>
            </c:extLst>
          </c:dPt>
          <c:dPt>
            <c:idx val="5"/>
            <c:invertIfNegative val="0"/>
            <c:bubble3D val="0"/>
            <c:spPr>
              <a:pattFill prst="dkUpDiag">
                <a:fgClr>
                  <a:srgbClr val="00355F"/>
                </a:fgClr>
                <a:bgClr>
                  <a:schemeClr val="bg1"/>
                </a:bgClr>
              </a:pattFill>
              <a:ln>
                <a:solidFill>
                  <a:srgbClr val="00355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0-4F7C-4B87-A3BB-AA269A84B28E}"/>
              </c:ext>
            </c:extLst>
          </c:dPt>
          <c:dPt>
            <c:idx val="6"/>
            <c:invertIfNegative val="0"/>
            <c:bubble3D val="0"/>
            <c:spPr>
              <a:pattFill prst="dkUpDiag">
                <a:fgClr>
                  <a:srgbClr val="00355F"/>
                </a:fgClr>
                <a:bgClr>
                  <a:schemeClr val="bg1"/>
                </a:bgClr>
              </a:pattFill>
              <a:ln>
                <a:solidFill>
                  <a:srgbClr val="00355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4F7C-4B87-A3BB-AA269A84B28E}"/>
              </c:ext>
            </c:extLst>
          </c:dPt>
          <c:cat>
            <c:strRef>
              <c:f>Charts!$B$26:$B$32</c:f>
              <c:strCache>
                <c:ptCount val="7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  <c:pt idx="6">
                  <c:v>2029e</c:v>
                </c:pt>
              </c:strCache>
            </c:strRef>
          </c:cat>
          <c:val>
            <c:numRef>
              <c:f>Charts!$D$26:$D$32</c:f>
              <c:numCache>
                <c:formatCode>"$"#,##0.0</c:formatCode>
                <c:ptCount val="7"/>
                <c:pt idx="0">
                  <c:v>816637</c:v>
                </c:pt>
                <c:pt idx="1">
                  <c:v>1014546</c:v>
                </c:pt>
                <c:pt idx="2">
                  <c:v>1109395</c:v>
                </c:pt>
                <c:pt idx="3">
                  <c:v>846423.98222721205</c:v>
                </c:pt>
                <c:pt idx="4">
                  <c:v>985782.05880122678</c:v>
                </c:pt>
                <c:pt idx="5">
                  <c:v>1045852.7436366298</c:v>
                </c:pt>
                <c:pt idx="6">
                  <c:v>1183790.7484380018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F7C-4B87-A3BB-AA269A84B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1365376"/>
        <c:axId val="1918205088"/>
      </c:barChart>
      <c:catAx>
        <c:axId val="601365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endParaRPr lang="en-US"/>
          </a:p>
        </c:txPr>
        <c:crossAx val="1918205088"/>
        <c:crosses val="autoZero"/>
        <c:auto val="1"/>
        <c:lblAlgn val="ctr"/>
        <c:lblOffset val="100"/>
        <c:noMultiLvlLbl val="0"/>
      </c:catAx>
      <c:valAx>
        <c:axId val="1918205088"/>
        <c:scaling>
          <c:orientation val="minMax"/>
        </c:scaling>
        <c:delete val="0"/>
        <c:axPos val="l"/>
        <c:numFmt formatCode="&quot;$&quot;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endParaRPr lang="en-US"/>
          </a:p>
        </c:txPr>
        <c:crossAx val="601365376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139326334208225E-2"/>
          <c:y val="5.0925925925925923E-2"/>
          <c:w val="0.88186067366579179"/>
          <c:h val="0.798502098065767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Charts!$C$25</c:f>
              <c:strCache>
                <c:ptCount val="1"/>
                <c:pt idx="0">
                  <c:v>Asset Management</c:v>
                </c:pt>
              </c:strCache>
            </c:strRef>
          </c:tx>
          <c:spPr>
            <a:solidFill>
              <a:srgbClr val="C0DEF6"/>
            </a:solidFill>
            <a:ln>
              <a:solidFill>
                <a:srgbClr val="00355F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dkUpDiag">
                <a:fgClr>
                  <a:srgbClr val="C0DEF6"/>
                </a:fgClr>
                <a:bgClr>
                  <a:schemeClr val="bg1"/>
                </a:bgClr>
              </a:pattFill>
              <a:ln>
                <a:solidFill>
                  <a:srgbClr val="00355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4DD-4548-9E84-B4DC15464DA5}"/>
              </c:ext>
            </c:extLst>
          </c:dPt>
          <c:dPt>
            <c:idx val="4"/>
            <c:invertIfNegative val="0"/>
            <c:bubble3D val="0"/>
            <c:spPr>
              <a:pattFill prst="dkUpDiag">
                <a:fgClr>
                  <a:srgbClr val="C0DEF6"/>
                </a:fgClr>
                <a:bgClr>
                  <a:schemeClr val="bg1"/>
                </a:bgClr>
              </a:pattFill>
              <a:ln>
                <a:solidFill>
                  <a:srgbClr val="00355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4DD-4548-9E84-B4DC15464DA5}"/>
              </c:ext>
            </c:extLst>
          </c:dPt>
          <c:dPt>
            <c:idx val="5"/>
            <c:invertIfNegative val="0"/>
            <c:bubble3D val="0"/>
            <c:spPr>
              <a:pattFill prst="dkUpDiag">
                <a:fgClr>
                  <a:srgbClr val="C0DEF6"/>
                </a:fgClr>
                <a:bgClr>
                  <a:schemeClr val="bg1"/>
                </a:bgClr>
              </a:pattFill>
              <a:ln>
                <a:solidFill>
                  <a:srgbClr val="00355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4DD-4548-9E84-B4DC15464DA5}"/>
              </c:ext>
            </c:extLst>
          </c:dPt>
          <c:dPt>
            <c:idx val="6"/>
            <c:invertIfNegative val="0"/>
            <c:bubble3D val="0"/>
            <c:spPr>
              <a:pattFill prst="dkUpDiag">
                <a:fgClr>
                  <a:srgbClr val="C0DEF6"/>
                </a:fgClr>
                <a:bgClr>
                  <a:schemeClr val="bg1"/>
                </a:bgClr>
              </a:pattFill>
              <a:ln>
                <a:solidFill>
                  <a:srgbClr val="00355F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4DD-4548-9E84-B4DC15464DA5}"/>
              </c:ext>
            </c:extLst>
          </c:dPt>
          <c:cat>
            <c:strRef>
              <c:f>Charts!$B$26:$B$32</c:f>
              <c:strCache>
                <c:ptCount val="7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  <c:pt idx="6">
                  <c:v>2029e</c:v>
                </c:pt>
              </c:strCache>
            </c:strRef>
          </c:cat>
          <c:val>
            <c:numRef>
              <c:f>Charts!$C$26:$C$32</c:f>
              <c:numCache>
                <c:formatCode>"$"#,##0.0</c:formatCode>
                <c:ptCount val="7"/>
                <c:pt idx="0">
                  <c:v>3369872</c:v>
                </c:pt>
                <c:pt idx="1">
                  <c:v>4407265</c:v>
                </c:pt>
                <c:pt idx="2">
                  <c:v>4711080</c:v>
                </c:pt>
                <c:pt idx="3">
                  <c:v>6669658.0300152423</c:v>
                </c:pt>
                <c:pt idx="4">
                  <c:v>8095105.168637746</c:v>
                </c:pt>
                <c:pt idx="5">
                  <c:v>9292857.6467999294</c:v>
                </c:pt>
                <c:pt idx="6">
                  <c:v>10167876.825229915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4DD-4548-9E84-B4DC15464DA5}"/>
            </c:ext>
          </c:extLst>
        </c:ser>
        <c:ser>
          <c:idx val="1"/>
          <c:order val="1"/>
          <c:tx>
            <c:strRef>
              <c:f>Charts!$D$25</c:f>
              <c:strCache>
                <c:ptCount val="1"/>
                <c:pt idx="0">
                  <c:v>Insurance</c:v>
                </c:pt>
              </c:strCache>
            </c:strRef>
          </c:tx>
          <c:spPr>
            <a:solidFill>
              <a:srgbClr val="00355F"/>
            </a:solidFill>
          </c:spPr>
          <c:invertIfNegative val="0"/>
          <c:dPt>
            <c:idx val="3"/>
            <c:invertIfNegative val="0"/>
            <c:bubble3D val="0"/>
            <c:spPr>
              <a:pattFill prst="dkUpDiag">
                <a:fgClr>
                  <a:srgbClr val="00355F"/>
                </a:fgClr>
                <a:bgClr>
                  <a:schemeClr val="bg1"/>
                </a:bgClr>
              </a:pattFill>
              <a:ln>
                <a:solidFill>
                  <a:srgbClr val="00355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74DD-4548-9E84-B4DC15464DA5}"/>
              </c:ext>
            </c:extLst>
          </c:dPt>
          <c:dPt>
            <c:idx val="4"/>
            <c:invertIfNegative val="0"/>
            <c:bubble3D val="0"/>
            <c:spPr>
              <a:pattFill prst="dkUpDiag">
                <a:fgClr>
                  <a:srgbClr val="00355F"/>
                </a:fgClr>
                <a:bgClr>
                  <a:schemeClr val="bg1"/>
                </a:bgClr>
              </a:pattFill>
              <a:ln>
                <a:solidFill>
                  <a:srgbClr val="00355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0-74DD-4548-9E84-B4DC15464DA5}"/>
              </c:ext>
            </c:extLst>
          </c:dPt>
          <c:dPt>
            <c:idx val="5"/>
            <c:invertIfNegative val="0"/>
            <c:bubble3D val="0"/>
            <c:spPr>
              <a:pattFill prst="dkUpDiag">
                <a:fgClr>
                  <a:srgbClr val="00355F"/>
                </a:fgClr>
                <a:bgClr>
                  <a:schemeClr val="bg1"/>
                </a:bgClr>
              </a:pattFill>
              <a:ln>
                <a:solidFill>
                  <a:srgbClr val="00355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74DD-4548-9E84-B4DC15464DA5}"/>
              </c:ext>
            </c:extLst>
          </c:dPt>
          <c:dPt>
            <c:idx val="6"/>
            <c:invertIfNegative val="0"/>
            <c:bubble3D val="0"/>
            <c:spPr>
              <a:pattFill prst="dkUpDiag">
                <a:fgClr>
                  <a:srgbClr val="00355F"/>
                </a:fgClr>
                <a:bgClr>
                  <a:schemeClr val="bg1"/>
                </a:bgClr>
              </a:pattFill>
              <a:ln>
                <a:solidFill>
                  <a:srgbClr val="00355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74DD-4548-9E84-B4DC15464DA5}"/>
              </c:ext>
            </c:extLst>
          </c:dPt>
          <c:cat>
            <c:strRef>
              <c:f>Charts!$B$26:$B$32</c:f>
              <c:strCache>
                <c:ptCount val="7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  <c:pt idx="6">
                  <c:v>2029e</c:v>
                </c:pt>
              </c:strCache>
            </c:strRef>
          </c:cat>
          <c:val>
            <c:numRef>
              <c:f>Charts!$D$26:$D$32</c:f>
              <c:numCache>
                <c:formatCode>"$"#,##0.0</c:formatCode>
                <c:ptCount val="7"/>
                <c:pt idx="0">
                  <c:v>816637</c:v>
                </c:pt>
                <c:pt idx="1">
                  <c:v>1014546</c:v>
                </c:pt>
                <c:pt idx="2">
                  <c:v>1109395</c:v>
                </c:pt>
                <c:pt idx="3">
                  <c:v>846423.98222721205</c:v>
                </c:pt>
                <c:pt idx="4">
                  <c:v>985782.05880122678</c:v>
                </c:pt>
                <c:pt idx="5">
                  <c:v>1045852.7436366298</c:v>
                </c:pt>
                <c:pt idx="6">
                  <c:v>1183790.7484380018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4DD-4548-9E84-B4DC15464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1365376"/>
        <c:axId val="1918205088"/>
      </c:barChart>
      <c:catAx>
        <c:axId val="601365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endParaRPr lang="en-US"/>
          </a:p>
        </c:txPr>
        <c:crossAx val="1918205088"/>
        <c:crosses val="autoZero"/>
        <c:auto val="1"/>
        <c:lblAlgn val="ctr"/>
        <c:lblOffset val="100"/>
        <c:noMultiLvlLbl val="0"/>
      </c:catAx>
      <c:valAx>
        <c:axId val="1918205088"/>
        <c:scaling>
          <c:orientation val="minMax"/>
        </c:scaling>
        <c:delete val="0"/>
        <c:axPos val="l"/>
        <c:numFmt formatCode="&quot;$&quot;#,##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endParaRPr lang="en-US"/>
          </a:p>
        </c:txPr>
        <c:crossAx val="60136537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2143985126859143"/>
          <c:y val="0.92321480515572496"/>
          <c:w val="0.35489895013123357"/>
          <c:h val="7.2342355055080479E-2"/>
        </c:manualLayout>
      </c:layout>
      <c:overlay val="0"/>
      <c:txPr>
        <a:bodyPr/>
        <a:lstStyle/>
        <a:p>
          <a:pPr>
            <a:defRPr sz="800">
              <a:latin typeface="Abadi Extra Light" panose="020B0204020104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91937</xdr:colOff>
      <xdr:row>4</xdr:row>
      <xdr:rowOff>45482</xdr:rowOff>
    </xdr:from>
    <xdr:to>
      <xdr:col>5</xdr:col>
      <xdr:colOff>778565</xdr:colOff>
      <xdr:row>8</xdr:row>
      <xdr:rowOff>97759</xdr:rowOff>
    </xdr:to>
    <xdr:pic>
      <xdr:nvPicPr>
        <xdr:cNvPr id="2" name="Picture 1" descr="File:Kohlberg Kravis Roberts (logo).svg - Wikimedia Common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394" y="807482"/>
          <a:ext cx="3411606" cy="8142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1</xdr:row>
          <xdr:rowOff>28575</xdr:rowOff>
        </xdr:from>
        <xdr:to>
          <xdr:col>5</xdr:col>
          <xdr:colOff>971550</xdr:colOff>
          <xdr:row>3</xdr:row>
          <xdr:rowOff>152400</xdr:rowOff>
        </xdr:to>
        <xdr:sp macro="" textlink="">
          <xdr:nvSpPr>
            <xdr:cNvPr id="13313" name="CommandButton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8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5</xdr:col>
      <xdr:colOff>304800</xdr:colOff>
      <xdr:row>7</xdr:row>
      <xdr:rowOff>38100</xdr:rowOff>
    </xdr:from>
    <xdr:ext cx="937260" cy="361950"/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5" y="1371600"/>
          <a:ext cx="93726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333375</xdr:colOff>
      <xdr:row>2</xdr:row>
      <xdr:rowOff>85725</xdr:rowOff>
    </xdr:from>
    <xdr:to>
      <xdr:col>18</xdr:col>
      <xdr:colOff>28575</xdr:colOff>
      <xdr:row>18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371475</xdr:colOff>
      <xdr:row>19</xdr:row>
      <xdr:rowOff>66675</xdr:rowOff>
    </xdr:from>
    <xdr:to>
      <xdr:col>18</xdr:col>
      <xdr:colOff>66675</xdr:colOff>
      <xdr:row>31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295275</xdr:colOff>
      <xdr:row>34</xdr:row>
      <xdr:rowOff>171450</xdr:rowOff>
    </xdr:from>
    <xdr:to>
      <xdr:col>17</xdr:col>
      <xdr:colOff>600075</xdr:colOff>
      <xdr:row>49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461962</xdr:colOff>
      <xdr:row>56</xdr:row>
      <xdr:rowOff>28574</xdr:rowOff>
    </xdr:from>
    <xdr:to>
      <xdr:col>18</xdr:col>
      <xdr:colOff>157162</xdr:colOff>
      <xdr:row>70</xdr:row>
      <xdr:rowOff>19049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WORK\HARBOR\MERGER1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dghebre\Application%20Data\Microsoft\Excel\Sample\CRL%20Budget%202011%20with%20win%20Fina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_RA%20Clients\_Current\LinQuest%20Corporation\Project%20Jigsaw\Due%20Diligence\Jigsaw%20Due%20Diligence\3%20%20Financial%20&amp;%20Accounting%20Items\3.2%20YTD%202011%20IS,%20BS,%20CF\Mosaic_Inc%20__Forecast_May2011%20Actuals%20Rev%206%2020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latim/Downloads/Owl%20Fund%20Model_CAPIQ%20Comps%20Sheet.xlsx" TargetMode="External"/><Relationship Id="rId1" Type="http://schemas.openxmlformats.org/officeDocument/2006/relationships/externalLinkPath" Target="/Users/latim/Downloads/Owl%20Fund%20Model_CAPIQ%20Comps%20Shee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tailed%20Comps%20I2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Library" Target="POWER5.XLA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tun32199/Downloads/The%20Blackstone%20Group,%20Inc.%20(BX)_Valuation%20Workbook%20(15-Nov-2021)%20(2).xlsx" TargetMode="External"/><Relationship Id="rId1" Type="http://schemas.openxmlformats.org/officeDocument/2006/relationships/externalLinkPath" Target="/Users/tun32199/Downloads/The%20Blackstone%20Group,%20Inc.%20(BX)_Valuation%20Workbook%20(15-Nov-2021)%20(2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vidbrinkley\Documents\Castellum%20Capital\Clients\IA&amp;T\Financial%20Model%20May%202013\Financial%20Model%20(IAT)%205.10.13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utsourcing\Client%20Folders\CRL%20Technologies\Budget\2011\2011%20baseline%20v1\CRL%20Budget%202011%20v1-baseline%2012-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dghebre\Desktop\FY11_CFF_Feb_2011-MAK%20v4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Documents%20and%20Settings\Mark\My%20Documents\PP%20LLC\2006%20Projections%20-%20working%20file\2006%20projections%20-%20working%20file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latim/Downloads/CapIQ%20Comps%20and%20Transactions%20Builder.xlsx" TargetMode="External"/><Relationship Id="rId1" Type="http://schemas.openxmlformats.org/officeDocument/2006/relationships/externalLinkPath" Target="/Users/latim/Downloads/CapIQ%20Comps%20and%20Transactions%20Builder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utsourcing\Client%20Folders\Mosaic,%20Inc\Budget\Bgt%20Work%20Files\Mosaic_Inc%20__Budget_2011%20Working0-4%2025%2020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Ref"/>
      <sheetName val="Template Information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1 budget assumptions"/>
      <sheetName val="Summary Balance Sheet"/>
      <sheetName val="Summary Cash Flow Statement"/>
      <sheetName val="Profit &amp; Loss"/>
      <sheetName val="Capital budget"/>
      <sheetName val="Fringe Benefits Pool"/>
      <sheetName val="Overhead Pool"/>
      <sheetName val="G &amp; A Pool"/>
      <sheetName val="SMH"/>
      <sheetName val="Rate rec"/>
      <sheetName val="Wrap"/>
      <sheetName val="Labor budget"/>
      <sheetName val="P&amp;L Assumptions"/>
      <sheetName val="Vacation"/>
      <sheetName val="Salaries"/>
      <sheetName val="Facility SC"/>
      <sheetName val="Sub cost"/>
      <sheetName val="Price"/>
      <sheetName val="per head data"/>
      <sheetName val="2010 Labor Rates 091130"/>
    </sheetNames>
    <sheetDataSet>
      <sheetData sheetId="0" refreshError="1"/>
      <sheetData sheetId="1" refreshError="1"/>
      <sheetData sheetId="2" refreshError="1"/>
      <sheetData sheetId="3">
        <row r="17">
          <cell r="D17" t="str">
            <v>SFX 44 · Subcontracts</v>
          </cell>
        </row>
      </sheetData>
      <sheetData sheetId="4" refreshError="1"/>
      <sheetData sheetId="5">
        <row r="46">
          <cell r="C46">
            <v>0.3129109534939285</v>
          </cell>
        </row>
      </sheetData>
      <sheetData sheetId="6"/>
      <sheetData sheetId="7">
        <row r="59">
          <cell r="E59">
            <v>227480.56</v>
          </cell>
        </row>
      </sheetData>
      <sheetData sheetId="8"/>
      <sheetData sheetId="9" refreshError="1"/>
      <sheetData sheetId="10" refreshError="1"/>
      <sheetData sheetId="11"/>
      <sheetData sheetId="12">
        <row r="3">
          <cell r="A3" t="str">
            <v>Budget for the Period Ended December 31, 2011</v>
          </cell>
        </row>
        <row r="40">
          <cell r="M40">
            <v>0.21970000000000001</v>
          </cell>
          <cell r="N40">
            <v>9.2999999999999999E-2</v>
          </cell>
          <cell r="O40">
            <v>0.32100000000000001</v>
          </cell>
          <cell r="P40">
            <v>1.7611000000000001</v>
          </cell>
        </row>
      </sheetData>
      <sheetData sheetId="13">
        <row r="56">
          <cell r="F56">
            <v>152797.46461538458</v>
          </cell>
          <cell r="G56">
            <v>7303.4886153846155</v>
          </cell>
          <cell r="H56">
            <v>10091.950153846154</v>
          </cell>
          <cell r="I56">
            <v>11921.434846153847</v>
          </cell>
          <cell r="J56">
            <v>9582.2386153846146</v>
          </cell>
          <cell r="K56">
            <v>15536.757846153847</v>
          </cell>
          <cell r="L56">
            <v>16721.853999999999</v>
          </cell>
          <cell r="M56">
            <v>16345.988615384615</v>
          </cell>
          <cell r="N56">
            <v>18077.911692307694</v>
          </cell>
          <cell r="O56">
            <v>20683.886769230769</v>
          </cell>
          <cell r="P56">
            <v>13789.257846153845</v>
          </cell>
          <cell r="Q56">
            <v>13789.257846153845</v>
          </cell>
        </row>
      </sheetData>
      <sheetData sheetId="14">
        <row r="2">
          <cell r="A2" t="str">
            <v>001000 Velez Carlos</v>
          </cell>
          <cell r="G2">
            <v>176987.2</v>
          </cell>
          <cell r="K2">
            <v>178757.07200000001</v>
          </cell>
        </row>
        <row r="3">
          <cell r="A3" t="str">
            <v>001001 Velez Elsa</v>
          </cell>
          <cell r="G3">
            <v>129792</v>
          </cell>
          <cell r="K3">
            <v>134983.67999999999</v>
          </cell>
        </row>
        <row r="4">
          <cell r="A4" t="str">
            <v>001002 Fordham Joseph</v>
          </cell>
          <cell r="G4">
            <v>157497.60000000001</v>
          </cell>
          <cell r="K4">
            <v>162222.52800000002</v>
          </cell>
        </row>
        <row r="5">
          <cell r="A5" t="str">
            <v>001003 Test Employee</v>
          </cell>
          <cell r="G5">
            <v>42000</v>
          </cell>
          <cell r="K5">
            <v>43260</v>
          </cell>
        </row>
        <row r="6">
          <cell r="A6" t="str">
            <v>001004 Eckardt Jon</v>
          </cell>
          <cell r="G6">
            <v>139256</v>
          </cell>
          <cell r="K6">
            <v>143433.68</v>
          </cell>
        </row>
        <row r="7">
          <cell r="A7" t="str">
            <v>001005 Mooradian Stephen</v>
          </cell>
          <cell r="G7">
            <v>133910.39999999999</v>
          </cell>
          <cell r="K7">
            <v>137927.712</v>
          </cell>
        </row>
        <row r="8">
          <cell r="A8" t="str">
            <v>001006 Moore Jeffrey</v>
          </cell>
          <cell r="G8">
            <v>124384</v>
          </cell>
          <cell r="K8">
            <v>128115.52</v>
          </cell>
        </row>
        <row r="9">
          <cell r="A9" t="str">
            <v>001008 Foremaster Melvin</v>
          </cell>
          <cell r="G9">
            <v>165505.59999999998</v>
          </cell>
          <cell r="K9">
            <v>168815.71199999997</v>
          </cell>
        </row>
        <row r="10">
          <cell r="A10" t="str">
            <v>001010 Lee Daniel</v>
          </cell>
          <cell r="G10">
            <v>160700.80000000002</v>
          </cell>
          <cell r="K10">
            <v>167128.83200000002</v>
          </cell>
        </row>
        <row r="11">
          <cell r="A11" t="str">
            <v>001013 Chayka Christine</v>
          </cell>
          <cell r="G11">
            <v>101816</v>
          </cell>
          <cell r="K11">
            <v>104870.48</v>
          </cell>
        </row>
        <row r="12">
          <cell r="A12" t="str">
            <v>001014 Furlow CW</v>
          </cell>
          <cell r="G12">
            <v>175156.8</v>
          </cell>
          <cell r="K12">
            <v>176908.36799999999</v>
          </cell>
        </row>
        <row r="13">
          <cell r="A13" t="str">
            <v>001015 Ledman Albert</v>
          </cell>
          <cell r="G13">
            <v>127316.8</v>
          </cell>
          <cell r="K13">
            <v>131136.304</v>
          </cell>
        </row>
        <row r="14">
          <cell r="A14" t="str">
            <v>001016 Albertson Melissa</v>
          </cell>
          <cell r="G14">
            <v>120432</v>
          </cell>
          <cell r="K14">
            <v>124044.96</v>
          </cell>
        </row>
        <row r="15">
          <cell r="A15" t="str">
            <v>001017 Lambert Deryk</v>
          </cell>
          <cell r="G15">
            <v>126900.8</v>
          </cell>
          <cell r="K15">
            <v>130707.82400000001</v>
          </cell>
        </row>
        <row r="16">
          <cell r="A16" t="str">
            <v>001018 Graves Stephen</v>
          </cell>
          <cell r="G16">
            <v>100152</v>
          </cell>
          <cell r="K16">
            <v>103156.56</v>
          </cell>
        </row>
        <row r="17">
          <cell r="A17" t="str">
            <v>001019 Keyworth Crystal</v>
          </cell>
          <cell r="G17">
            <v>98820.800000000003</v>
          </cell>
          <cell r="K17">
            <v>101785.424</v>
          </cell>
        </row>
        <row r="18">
          <cell r="A18" t="str">
            <v>001021 Fecht Bruce</v>
          </cell>
          <cell r="G18">
            <v>154523.20000000001</v>
          </cell>
          <cell r="K18">
            <v>159158.89600000001</v>
          </cell>
        </row>
        <row r="19">
          <cell r="A19" t="str">
            <v>001022 Schied Charles</v>
          </cell>
          <cell r="G19">
            <v>185016</v>
          </cell>
          <cell r="K19">
            <v>185016</v>
          </cell>
        </row>
        <row r="20">
          <cell r="A20" t="str">
            <v>001023 Erhardt William</v>
          </cell>
          <cell r="G20">
            <v>156020.80000000002</v>
          </cell>
          <cell r="K20">
            <v>160701.42400000003</v>
          </cell>
        </row>
        <row r="21">
          <cell r="A21" t="str">
            <v>001024 Ledman Kendra</v>
          </cell>
          <cell r="G21">
            <v>69555.199999999997</v>
          </cell>
          <cell r="K21">
            <v>71641.856</v>
          </cell>
        </row>
        <row r="22">
          <cell r="A22" t="str">
            <v>001025 Horan Tracy</v>
          </cell>
          <cell r="G22">
            <v>88420.800000000003</v>
          </cell>
          <cell r="K22">
            <v>91073.423999999999</v>
          </cell>
        </row>
        <row r="23">
          <cell r="A23" t="str">
            <v>001026 Bischof Kathleen</v>
          </cell>
          <cell r="G23">
            <v>57033.600000000006</v>
          </cell>
          <cell r="K23">
            <v>58744.608000000007</v>
          </cell>
        </row>
        <row r="24">
          <cell r="A24" t="str">
            <v>001027 McQuay Jaime</v>
          </cell>
          <cell r="G24">
            <v>101524.8</v>
          </cell>
          <cell r="K24">
            <v>104570.54400000001</v>
          </cell>
        </row>
        <row r="25">
          <cell r="A25" t="str">
            <v>001028 Mooradian Deborah</v>
          </cell>
          <cell r="G25">
            <v>94785.600000000006</v>
          </cell>
          <cell r="K25">
            <v>97629.168000000005</v>
          </cell>
        </row>
        <row r="26">
          <cell r="A26" t="str">
            <v>001032 Floyd Dionne</v>
          </cell>
          <cell r="G26">
            <v>75774.399999999994</v>
          </cell>
          <cell r="K26">
            <v>78047.631999999998</v>
          </cell>
        </row>
        <row r="27">
          <cell r="G27">
            <v>123616.48000000001</v>
          </cell>
        </row>
        <row r="28">
          <cell r="A28" t="str">
            <v>001035 Padilla Marcell</v>
          </cell>
          <cell r="G28">
            <v>137009.60000000001</v>
          </cell>
          <cell r="K28">
            <v>141119.88800000001</v>
          </cell>
        </row>
        <row r="29">
          <cell r="A29" t="str">
            <v>001036 Slayton Kim</v>
          </cell>
          <cell r="G29">
            <v>140004.80000000002</v>
          </cell>
          <cell r="K29">
            <v>144204.94400000002</v>
          </cell>
        </row>
        <row r="30">
          <cell r="A30" t="str">
            <v>001038 Guy David</v>
          </cell>
          <cell r="G30">
            <v>60008</v>
          </cell>
          <cell r="K30">
            <v>61808.240000000005</v>
          </cell>
        </row>
        <row r="31">
          <cell r="A31" t="str">
            <v>001039 Dukes Robert</v>
          </cell>
          <cell r="G31">
            <v>147014.40000000002</v>
          </cell>
          <cell r="K31">
            <v>151424.83200000002</v>
          </cell>
        </row>
        <row r="32">
          <cell r="G32">
            <v>145017.60000000001</v>
          </cell>
          <cell r="K32">
            <v>149368.128</v>
          </cell>
        </row>
        <row r="33">
          <cell r="A33" t="str">
            <v>TBD Long, Philip</v>
          </cell>
          <cell r="K33">
            <v>86531.535999999993</v>
          </cell>
        </row>
        <row r="34">
          <cell r="A34" t="str">
            <v>TBD Hawitt, Michelle</v>
          </cell>
          <cell r="K34">
            <v>72113.183999999994</v>
          </cell>
        </row>
        <row r="35">
          <cell r="A35" t="str">
            <v>TBD Moore, Marbert</v>
          </cell>
          <cell r="K35">
            <v>144204.94400000002</v>
          </cell>
        </row>
        <row r="36">
          <cell r="A36" t="str">
            <v>TBD Negron, Juan</v>
          </cell>
          <cell r="K36">
            <v>113311.53599999999</v>
          </cell>
        </row>
        <row r="37">
          <cell r="A37" t="str">
            <v>TBD Short, Amie</v>
          </cell>
          <cell r="K37">
            <v>123616.48000000001</v>
          </cell>
        </row>
        <row r="38">
          <cell r="K38">
            <v>87559.887999999992</v>
          </cell>
        </row>
        <row r="39">
          <cell r="A39" t="str">
            <v>TBD Tygrett, Kelly</v>
          </cell>
          <cell r="K39">
            <v>123616.48000000001</v>
          </cell>
        </row>
        <row r="40">
          <cell r="A40" t="str">
            <v>TBD Bot, Penny</v>
          </cell>
          <cell r="K40">
            <v>160680</v>
          </cell>
        </row>
        <row r="41">
          <cell r="A41" t="str">
            <v>TBD New Hire 1</v>
          </cell>
          <cell r="K41">
            <v>170000</v>
          </cell>
        </row>
        <row r="42">
          <cell r="A42" t="str">
            <v>TBD New Hire 2</v>
          </cell>
          <cell r="K42">
            <v>250000</v>
          </cell>
        </row>
        <row r="43">
          <cell r="A43" t="str">
            <v>TBD New Hire 3</v>
          </cell>
          <cell r="K43">
            <v>145000</v>
          </cell>
        </row>
        <row r="44">
          <cell r="A44" t="str">
            <v>TBD New Hire 4</v>
          </cell>
          <cell r="K44">
            <v>85000</v>
          </cell>
        </row>
        <row r="68">
          <cell r="P68">
            <v>368407.17172799999</v>
          </cell>
          <cell r="Q68">
            <v>70584.564799999993</v>
          </cell>
        </row>
      </sheetData>
      <sheetData sheetId="15"/>
      <sheetData sheetId="16" refreshError="1"/>
      <sheetData sheetId="17" refreshError="1"/>
      <sheetData sheetId="18" refreshError="1"/>
      <sheetData sheetId="19">
        <row r="5">
          <cell r="A5" t="str">
            <v>Velez Carlos</v>
          </cell>
        </row>
        <row r="12">
          <cell r="E12" t="str">
            <v>001000</v>
          </cell>
        </row>
        <row r="18">
          <cell r="A18" t="str">
            <v>Fordham Joseph</v>
          </cell>
        </row>
        <row r="25">
          <cell r="E25" t="str">
            <v>001002</v>
          </cell>
        </row>
        <row r="31">
          <cell r="A31" t="str">
            <v>Eckardt Jon</v>
          </cell>
        </row>
        <row r="38">
          <cell r="E38" t="str">
            <v>001004</v>
          </cell>
        </row>
        <row r="44">
          <cell r="A44" t="str">
            <v>Mooradian Stephen</v>
          </cell>
        </row>
        <row r="51">
          <cell r="E51" t="str">
            <v>001005</v>
          </cell>
        </row>
        <row r="57">
          <cell r="A57" t="str">
            <v>Moore Jeffrey</v>
          </cell>
        </row>
        <row r="64">
          <cell r="E64" t="str">
            <v>001006</v>
          </cell>
        </row>
        <row r="70">
          <cell r="A70" t="str">
            <v>Foremaster Melvin</v>
          </cell>
        </row>
        <row r="77">
          <cell r="E77" t="str">
            <v>001008</v>
          </cell>
        </row>
        <row r="96">
          <cell r="A96" t="str">
            <v>Lee Daniel</v>
          </cell>
        </row>
        <row r="103">
          <cell r="E103" t="str">
            <v>001010</v>
          </cell>
        </row>
        <row r="135">
          <cell r="A135" t="str">
            <v>Chayka Christine</v>
          </cell>
        </row>
        <row r="142">
          <cell r="E142" t="str">
            <v>001013</v>
          </cell>
        </row>
        <row r="148">
          <cell r="A148" t="str">
            <v>Furlow CW</v>
          </cell>
        </row>
        <row r="155">
          <cell r="E155" t="str">
            <v>001014</v>
          </cell>
        </row>
        <row r="161">
          <cell r="A161" t="str">
            <v>Ledman Albert</v>
          </cell>
        </row>
        <row r="168">
          <cell r="E168" t="str">
            <v>001015</v>
          </cell>
        </row>
        <row r="174">
          <cell r="A174" t="str">
            <v>Albertson Melissa</v>
          </cell>
        </row>
        <row r="181">
          <cell r="E181" t="str">
            <v>001016</v>
          </cell>
        </row>
        <row r="187">
          <cell r="A187" t="str">
            <v>Lambert Deryk</v>
          </cell>
        </row>
        <row r="194">
          <cell r="E194" t="str">
            <v>001017</v>
          </cell>
        </row>
        <row r="200">
          <cell r="A200" t="str">
            <v>Graves Stephen</v>
          </cell>
        </row>
        <row r="207">
          <cell r="E207" t="str">
            <v>001018</v>
          </cell>
        </row>
        <row r="213">
          <cell r="A213" t="str">
            <v>Keyworth Crystal</v>
          </cell>
        </row>
        <row r="220">
          <cell r="E220" t="str">
            <v>001019</v>
          </cell>
        </row>
        <row r="239">
          <cell r="A239" t="str">
            <v>Fecht Bruce</v>
          </cell>
        </row>
        <row r="246">
          <cell r="E246" t="str">
            <v>001021</v>
          </cell>
        </row>
        <row r="252">
          <cell r="A252" t="str">
            <v>Schied Charles</v>
          </cell>
        </row>
        <row r="259">
          <cell r="E259" t="str">
            <v>001022</v>
          </cell>
        </row>
        <row r="265">
          <cell r="A265" t="str">
            <v>Erhardt William</v>
          </cell>
        </row>
        <row r="272">
          <cell r="E272" t="str">
            <v>001023</v>
          </cell>
        </row>
        <row r="278">
          <cell r="A278" t="str">
            <v>Ledman Kendra</v>
          </cell>
        </row>
        <row r="285">
          <cell r="E285" t="str">
            <v>001024</v>
          </cell>
        </row>
        <row r="291">
          <cell r="A291" t="str">
            <v>Horan Tracy</v>
          </cell>
        </row>
        <row r="298">
          <cell r="E298" t="str">
            <v>001025</v>
          </cell>
        </row>
        <row r="304">
          <cell r="A304" t="str">
            <v>Bischof Kathleen</v>
          </cell>
        </row>
        <row r="311">
          <cell r="E311" t="str">
            <v>001026</v>
          </cell>
        </row>
        <row r="317">
          <cell r="A317" t="str">
            <v>McQuay Jaime</v>
          </cell>
        </row>
        <row r="324">
          <cell r="E324" t="str">
            <v>001027</v>
          </cell>
        </row>
        <row r="330">
          <cell r="A330" t="str">
            <v>Mooradian Deborah</v>
          </cell>
        </row>
        <row r="337">
          <cell r="E337" t="str">
            <v>001028</v>
          </cell>
        </row>
        <row r="343">
          <cell r="A343" t="str">
            <v>Floyd Dionne</v>
          </cell>
        </row>
        <row r="350">
          <cell r="E350" t="str">
            <v>001032</v>
          </cell>
        </row>
        <row r="356">
          <cell r="A356" t="str">
            <v>Chan Libby</v>
          </cell>
        </row>
        <row r="363">
          <cell r="E363" t="str">
            <v>001033</v>
          </cell>
        </row>
        <row r="382">
          <cell r="A382" t="str">
            <v>Padilla Marcell</v>
          </cell>
        </row>
        <row r="389">
          <cell r="E389" t="str">
            <v>001035</v>
          </cell>
        </row>
        <row r="395">
          <cell r="A395" t="str">
            <v>Slayton Kim</v>
          </cell>
        </row>
        <row r="402">
          <cell r="E402" t="str">
            <v>001036</v>
          </cell>
        </row>
        <row r="421">
          <cell r="A421" t="str">
            <v>Guy David</v>
          </cell>
        </row>
        <row r="428">
          <cell r="E428" t="str">
            <v>001038</v>
          </cell>
        </row>
        <row r="434">
          <cell r="A434" t="str">
            <v>Dukes Robert</v>
          </cell>
        </row>
        <row r="441">
          <cell r="E441" t="str">
            <v>001039</v>
          </cell>
        </row>
        <row r="673">
          <cell r="A673" t="str">
            <v>Velez Elsa</v>
          </cell>
        </row>
        <row r="680">
          <cell r="E680" t="str">
            <v>001001</v>
          </cell>
        </row>
        <row r="710">
          <cell r="A710" t="str">
            <v>Test Employee</v>
          </cell>
        </row>
        <row r="716">
          <cell r="N716">
            <v>43260.41</v>
          </cell>
        </row>
        <row r="717">
          <cell r="E717" t="str">
            <v>001003</v>
          </cell>
        </row>
        <row r="735">
          <cell r="E735" t="str">
            <v>TBD</v>
          </cell>
        </row>
        <row r="772">
          <cell r="N772">
            <v>85000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P&amp;L Summary"/>
      <sheetName val="Summary Balance Sheet"/>
      <sheetName val="Summary Cash Flow Statement"/>
      <sheetName val="Profit &amp; Loss"/>
      <sheetName val="LABOR PVT"/>
      <sheetName val="Labor budget"/>
      <sheetName val="P&amp;L Assumptions"/>
      <sheetName val="Rate Summary &amp; WRAP"/>
      <sheetName val="BaselineBgt"/>
      <sheetName val="Fringe Benefits Pool"/>
      <sheetName val="Overhead Pool"/>
      <sheetName val="Mat_Hand."/>
      <sheetName val="G &amp; A Pool"/>
      <sheetName val="Rate recon"/>
      <sheetName val="Consultants"/>
      <sheetName val="Labor Utilization Analysis"/>
      <sheetName val="Price"/>
      <sheetName val="Facilities Breakout"/>
      <sheetName val="PBC - FY11 CFF &amp; ACTUALS"/>
      <sheetName val="PBC-Pay Roll &amp; Taxes"/>
      <sheetName val="PBC - The Utilization model"/>
      <sheetName val="PBCFringe"/>
      <sheetName val="PBC - Overhead"/>
      <sheetName val="PBC G&amp;A"/>
      <sheetName val="PBC - FY11 CFF - the PLAN"/>
      <sheetName val="COA"/>
      <sheetName val="VACA"/>
      <sheetName val="04 12 Items"/>
      <sheetName val="Sheet1"/>
    </sheetNames>
    <sheetDataSet>
      <sheetData sheetId="0" refreshError="1"/>
      <sheetData sheetId="1" refreshError="1"/>
      <sheetData sheetId="2">
        <row r="12">
          <cell r="C12">
            <v>682144.54</v>
          </cell>
        </row>
      </sheetData>
      <sheetData sheetId="3" refreshError="1"/>
      <sheetData sheetId="4"/>
      <sheetData sheetId="5" refreshError="1"/>
      <sheetData sheetId="6">
        <row r="3">
          <cell r="M3" t="str">
            <v>work days</v>
          </cell>
        </row>
        <row r="139">
          <cell r="DO139" t="str">
            <v>Brad  Beil</v>
          </cell>
          <cell r="DP139">
            <v>0.84617360376695649</v>
          </cell>
          <cell r="DQ139">
            <v>4.6054818010814465E-2</v>
          </cell>
          <cell r="DR139">
            <v>0</v>
          </cell>
          <cell r="DS139">
            <v>0</v>
          </cell>
          <cell r="DT139">
            <v>0</v>
          </cell>
          <cell r="DU139">
            <v>0.10777157822222908</v>
          </cell>
          <cell r="DV139">
            <v>1</v>
          </cell>
        </row>
        <row r="140">
          <cell r="DO140" t="str">
            <v>Pat   Duecy</v>
          </cell>
          <cell r="DP140">
            <v>0.85409099828200097</v>
          </cell>
          <cell r="DQ140">
            <v>4.5606596648539215E-2</v>
          </cell>
          <cell r="DR140">
            <v>0</v>
          </cell>
          <cell r="DS140">
            <v>0</v>
          </cell>
          <cell r="DT140">
            <v>0</v>
          </cell>
          <cell r="DU140">
            <v>0.10030240506945978</v>
          </cell>
          <cell r="DV140">
            <v>0.99999999999999989</v>
          </cell>
        </row>
        <row r="141">
          <cell r="DO141" t="str">
            <v>Cynthia  Femano</v>
          </cell>
          <cell r="DP141">
            <v>0.8589137417752053</v>
          </cell>
          <cell r="DQ141">
            <v>4.3375534872181057E-2</v>
          </cell>
          <cell r="DR141">
            <v>0</v>
          </cell>
          <cell r="DS141">
            <v>0</v>
          </cell>
          <cell r="DT141">
            <v>0</v>
          </cell>
          <cell r="DU141">
            <v>9.7710723352613646E-2</v>
          </cell>
          <cell r="DV141">
            <v>1</v>
          </cell>
        </row>
        <row r="142">
          <cell r="DO142" t="str">
            <v>Lillet  Flynn</v>
          </cell>
          <cell r="DP142">
            <v>0.79710532172662196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0.20289467827337804</v>
          </cell>
          <cell r="DV142">
            <v>1</v>
          </cell>
        </row>
        <row r="143">
          <cell r="DO143" t="str">
            <v>Art  Hughes -142 hrs</v>
          </cell>
          <cell r="DP143">
            <v>0.84617349953085497</v>
          </cell>
          <cell r="DQ143">
            <v>4.605483794569705E-2</v>
          </cell>
          <cell r="DR143">
            <v>0</v>
          </cell>
          <cell r="DS143">
            <v>0</v>
          </cell>
          <cell r="DT143">
            <v>0</v>
          </cell>
          <cell r="DU143">
            <v>0.107771662523448</v>
          </cell>
          <cell r="DV143">
            <v>1</v>
          </cell>
        </row>
        <row r="144">
          <cell r="DO144" t="str">
            <v>Art  Hughes -40 hrs</v>
          </cell>
          <cell r="DP144">
            <v>0.846173637700392</v>
          </cell>
          <cell r="DQ144">
            <v>4.6054726857471986E-2</v>
          </cell>
          <cell r="DR144">
            <v>0</v>
          </cell>
          <cell r="DS144">
            <v>0</v>
          </cell>
          <cell r="DT144">
            <v>0</v>
          </cell>
          <cell r="DU144">
            <v>0.1077716354421361</v>
          </cell>
          <cell r="DV144">
            <v>1.0000000000000002</v>
          </cell>
        </row>
        <row r="145">
          <cell r="DO145" t="str">
            <v>Mike  Kenworthy</v>
          </cell>
          <cell r="DP145">
            <v>0.85506000226225209</v>
          </cell>
          <cell r="DQ145">
            <v>4.6237663522740377E-2</v>
          </cell>
          <cell r="DR145">
            <v>0</v>
          </cell>
          <cell r="DS145">
            <v>0</v>
          </cell>
          <cell r="DT145">
            <v>0</v>
          </cell>
          <cell r="DU145">
            <v>9.8702334215007487E-2</v>
          </cell>
          <cell r="DV145">
            <v>1</v>
          </cell>
        </row>
        <row r="146">
          <cell r="DO146" t="str">
            <v>Steve  Mace</v>
          </cell>
          <cell r="DP146">
            <v>0.84617370150123183</v>
          </cell>
          <cell r="DQ146">
            <v>4.6054934040869147E-2</v>
          </cell>
          <cell r="DR146">
            <v>0</v>
          </cell>
          <cell r="DS146">
            <v>0</v>
          </cell>
          <cell r="DT146">
            <v>0</v>
          </cell>
          <cell r="DU146">
            <v>0.1077713644578991</v>
          </cell>
          <cell r="DV146">
            <v>1</v>
          </cell>
        </row>
        <row r="147">
          <cell r="DO147" t="str">
            <v>Jerry  Makowka</v>
          </cell>
          <cell r="DP147">
            <v>0.72343230037301143</v>
          </cell>
          <cell r="DQ147">
            <v>4.6054866743395019E-2</v>
          </cell>
          <cell r="DR147">
            <v>0</v>
          </cell>
          <cell r="DS147">
            <v>0.12274160354985476</v>
          </cell>
          <cell r="DT147">
            <v>0</v>
          </cell>
          <cell r="DU147">
            <v>0.10777122933373873</v>
          </cell>
          <cell r="DV147">
            <v>0.99999999999999989</v>
          </cell>
        </row>
        <row r="148">
          <cell r="DO148" t="str">
            <v>Mark  Mazzocco</v>
          </cell>
          <cell r="DP148">
            <v>0.84617372693603965</v>
          </cell>
          <cell r="DQ148">
            <v>4.6054960915513671E-2</v>
          </cell>
          <cell r="DR148">
            <v>0</v>
          </cell>
          <cell r="DS148">
            <v>0</v>
          </cell>
          <cell r="DT148">
            <v>0</v>
          </cell>
          <cell r="DU148">
            <v>0.10777131214844658</v>
          </cell>
          <cell r="DV148">
            <v>0.99999999999999989</v>
          </cell>
        </row>
        <row r="149">
          <cell r="DO149" t="str">
            <v>Len  Natkin-10%</v>
          </cell>
          <cell r="DP149">
            <v>0.84588935932867759</v>
          </cell>
          <cell r="DQ149">
            <v>4.6467420976624797E-2</v>
          </cell>
          <cell r="DR149">
            <v>0</v>
          </cell>
          <cell r="DS149">
            <v>0</v>
          </cell>
          <cell r="DT149">
            <v>0</v>
          </cell>
          <cell r="DU149">
            <v>0.10764321969469774</v>
          </cell>
          <cell r="DV149">
            <v>1.0000000000000002</v>
          </cell>
        </row>
        <row r="150">
          <cell r="DO150" t="str">
            <v>Jay  Patel</v>
          </cell>
          <cell r="DP150">
            <v>0.84617376927138799</v>
          </cell>
          <cell r="DQ150">
            <v>4.6054887567339851E-2</v>
          </cell>
          <cell r="DR150">
            <v>0</v>
          </cell>
          <cell r="DS150">
            <v>0</v>
          </cell>
          <cell r="DT150">
            <v>0</v>
          </cell>
          <cell r="DU150">
            <v>0.10777134316127226</v>
          </cell>
          <cell r="DV150">
            <v>1.0000000000000002</v>
          </cell>
        </row>
        <row r="151">
          <cell r="DO151" t="str">
            <v>Ken  Platek</v>
          </cell>
          <cell r="DP151">
            <v>0.82766965175934692</v>
          </cell>
          <cell r="DQ151">
            <v>4.6382948202608312E-2</v>
          </cell>
          <cell r="DR151">
            <v>0</v>
          </cell>
          <cell r="DS151">
            <v>0</v>
          </cell>
          <cell r="DT151">
            <v>0</v>
          </cell>
          <cell r="DU151">
            <v>0.12594740003804483</v>
          </cell>
          <cell r="DV151">
            <v>1</v>
          </cell>
        </row>
        <row r="152">
          <cell r="DO152" t="str">
            <v>Derek  Rose</v>
          </cell>
          <cell r="DP152">
            <v>0.84617388574626251</v>
          </cell>
          <cell r="DQ152">
            <v>4.6055018779243694E-2</v>
          </cell>
          <cell r="DR152">
            <v>0</v>
          </cell>
          <cell r="DS152">
            <v>0</v>
          </cell>
          <cell r="DT152">
            <v>0</v>
          </cell>
          <cell r="DU152">
            <v>0.10777109547449386</v>
          </cell>
          <cell r="DV152">
            <v>1</v>
          </cell>
        </row>
        <row r="153">
          <cell r="DO153" t="str">
            <v>Muriel  Ward</v>
          </cell>
          <cell r="DP153">
            <v>0.85907781632030911</v>
          </cell>
          <cell r="DQ153">
            <v>4.7872885676896244E-2</v>
          </cell>
          <cell r="DR153">
            <v>0</v>
          </cell>
          <cell r="DS153">
            <v>0</v>
          </cell>
          <cell r="DT153">
            <v>0</v>
          </cell>
          <cell r="DU153">
            <v>9.3049298002794767E-2</v>
          </cell>
          <cell r="DV153">
            <v>1.0000000000000002</v>
          </cell>
        </row>
        <row r="154">
          <cell r="DO154" t="str">
            <v>Dan  Seely</v>
          </cell>
          <cell r="DP154">
            <v>0.85541561733495985</v>
          </cell>
          <cell r="DQ154">
            <v>5.1278811533467125E-2</v>
          </cell>
          <cell r="DR154">
            <v>0</v>
          </cell>
          <cell r="DS154">
            <v>0</v>
          </cell>
          <cell r="DT154">
            <v>0</v>
          </cell>
          <cell r="DU154">
            <v>9.3305571131573076E-2</v>
          </cell>
          <cell r="DV154">
            <v>1</v>
          </cell>
        </row>
        <row r="155">
          <cell r="DO155" t="str">
            <v>Sharon  Ocheltree</v>
          </cell>
          <cell r="DP155">
            <v>0</v>
          </cell>
          <cell r="DQ155">
            <v>0</v>
          </cell>
          <cell r="DR155">
            <v>0.7</v>
          </cell>
          <cell r="DS155">
            <v>0</v>
          </cell>
          <cell r="DT155">
            <v>0.19999999999999998</v>
          </cell>
          <cell r="DU155">
            <v>9.9999999999999992E-2</v>
          </cell>
          <cell r="DV155">
            <v>0.99999999999999989</v>
          </cell>
        </row>
        <row r="156">
          <cell r="DO156" t="str">
            <v>Gwyn  Whittaker</v>
          </cell>
          <cell r="DP156">
            <v>0</v>
          </cell>
          <cell r="DQ156">
            <v>0</v>
          </cell>
          <cell r="DR156">
            <v>0.89999982935214062</v>
          </cell>
          <cell r="DS156">
            <v>0</v>
          </cell>
          <cell r="DT156">
            <v>0</v>
          </cell>
          <cell r="DU156">
            <v>0.10000017064785935</v>
          </cell>
          <cell r="DV156">
            <v>1</v>
          </cell>
        </row>
        <row r="157">
          <cell r="DO157" t="str">
            <v>New1-Rajiv Shah</v>
          </cell>
          <cell r="DP157">
            <v>0.83395312857427928</v>
          </cell>
          <cell r="DQ157">
            <v>4.5803096451394666E-2</v>
          </cell>
          <cell r="DR157">
            <v>0</v>
          </cell>
          <cell r="DS157">
            <v>0</v>
          </cell>
          <cell r="DT157">
            <v>0</v>
          </cell>
          <cell r="DU157">
            <v>0.12024377497432602</v>
          </cell>
          <cell r="DV157">
            <v>1</v>
          </cell>
        </row>
        <row r="158">
          <cell r="DO158" t="str">
            <v xml:space="preserve">New2Simmie Adams </v>
          </cell>
          <cell r="DP158">
            <v>0.83449381477137985</v>
          </cell>
          <cell r="DQ158">
            <v>4.7073414806143167E-2</v>
          </cell>
          <cell r="DR158">
            <v>0</v>
          </cell>
          <cell r="DS158">
            <v>0</v>
          </cell>
          <cell r="DT158">
            <v>0</v>
          </cell>
          <cell r="DU158">
            <v>0.11843277042247703</v>
          </cell>
          <cell r="DV158">
            <v>1</v>
          </cell>
        </row>
        <row r="159">
          <cell r="DO159" t="str">
            <v>New3-Chuck Spangler</v>
          </cell>
          <cell r="DP159">
            <v>0.83517999986726899</v>
          </cell>
          <cell r="DQ159">
            <v>4.3253724211467073E-2</v>
          </cell>
          <cell r="DR159">
            <v>0</v>
          </cell>
          <cell r="DS159">
            <v>0</v>
          </cell>
          <cell r="DT159">
            <v>0</v>
          </cell>
          <cell r="DU159">
            <v>0.12156627592126394</v>
          </cell>
          <cell r="DV159">
            <v>1</v>
          </cell>
        </row>
        <row r="160">
          <cell r="DO160" t="str">
            <v>New4-Mike Bennet</v>
          </cell>
          <cell r="DP160">
            <v>0.82266019022981862</v>
          </cell>
          <cell r="DQ160">
            <v>4.5897537178670504E-2</v>
          </cell>
          <cell r="DR160">
            <v>0</v>
          </cell>
          <cell r="DS160">
            <v>0</v>
          </cell>
          <cell r="DT160">
            <v>0</v>
          </cell>
          <cell r="DU160">
            <v>0.13144227259151098</v>
          </cell>
          <cell r="DV160">
            <v>1</v>
          </cell>
        </row>
        <row r="161">
          <cell r="DO161" t="str">
            <v>New5-Matt Meade</v>
          </cell>
          <cell r="DP161">
            <v>0.83111002229165165</v>
          </cell>
          <cell r="DQ161">
            <v>3.764104201207908E-2</v>
          </cell>
          <cell r="DR161">
            <v>0</v>
          </cell>
          <cell r="DS161">
            <v>0</v>
          </cell>
          <cell r="DT161">
            <v>0</v>
          </cell>
          <cell r="DU161">
            <v>0.13124893569626916</v>
          </cell>
          <cell r="DV161">
            <v>0.99999999999999989</v>
          </cell>
        </row>
        <row r="162">
          <cell r="DO162" t="str">
            <v>New6-Monica Milner</v>
          </cell>
          <cell r="DP162">
            <v>0.84079367785603787</v>
          </cell>
          <cell r="DQ162">
            <v>3.8107956397465399E-2</v>
          </cell>
          <cell r="DR162">
            <v>0</v>
          </cell>
          <cell r="DS162">
            <v>0</v>
          </cell>
          <cell r="DT162">
            <v>0</v>
          </cell>
          <cell r="DU162">
            <v>0.12109836574649677</v>
          </cell>
          <cell r="DV162">
            <v>1</v>
          </cell>
        </row>
        <row r="163">
          <cell r="DO163" t="str">
            <v>New7-John Anderson</v>
          </cell>
          <cell r="DP163">
            <v>0.84079379248977015</v>
          </cell>
          <cell r="DQ163">
            <v>3.8108319565501848E-2</v>
          </cell>
          <cell r="DR163">
            <v>0</v>
          </cell>
          <cell r="DS163">
            <v>0</v>
          </cell>
          <cell r="DT163">
            <v>0</v>
          </cell>
          <cell r="DU163">
            <v>0.12109788794472788</v>
          </cell>
          <cell r="DV163">
            <v>0.99999999999999989</v>
          </cell>
        </row>
        <row r="164">
          <cell r="DO164" t="str">
            <v>BD Support  Indirect_Hire1</v>
          </cell>
          <cell r="DP164">
            <v>0</v>
          </cell>
          <cell r="DQ164">
            <v>0</v>
          </cell>
          <cell r="DR164">
            <v>0.88610643220657925</v>
          </cell>
          <cell r="DS164">
            <v>0</v>
          </cell>
          <cell r="DT164">
            <v>0</v>
          </cell>
          <cell r="DU164">
            <v>0.11389356779342072</v>
          </cell>
          <cell r="DV164">
            <v>1</v>
          </cell>
        </row>
        <row r="165">
          <cell r="DO165" t="str">
            <v>New9- Bud Harrell</v>
          </cell>
          <cell r="DP165">
            <v>0.83449979015205611</v>
          </cell>
          <cell r="DQ165">
            <v>4.6639969892238654E-2</v>
          </cell>
          <cell r="DR165">
            <v>0</v>
          </cell>
          <cell r="DS165">
            <v>0</v>
          </cell>
          <cell r="DT165">
            <v>0</v>
          </cell>
          <cell r="DU165">
            <v>0.11886023995570535</v>
          </cell>
          <cell r="DV165">
            <v>1</v>
          </cell>
        </row>
        <row r="166">
          <cell r="DO166" t="str">
            <v>TBD</v>
          </cell>
          <cell r="DP166">
            <v>0</v>
          </cell>
          <cell r="DQ166">
            <v>0</v>
          </cell>
          <cell r="DR166">
            <v>0</v>
          </cell>
          <cell r="DS166">
            <v>0</v>
          </cell>
          <cell r="DT166">
            <v>0</v>
          </cell>
          <cell r="DU166">
            <v>0</v>
          </cell>
          <cell r="DV166">
            <v>0</v>
          </cell>
        </row>
        <row r="167">
          <cell r="DO167" t="str">
            <v>Len  Natkin-80%A</v>
          </cell>
          <cell r="DP167">
            <v>0.84573991399187531</v>
          </cell>
          <cell r="DQ167">
            <v>4.6617105275598612E-2</v>
          </cell>
          <cell r="DR167">
            <v>0</v>
          </cell>
          <cell r="DS167">
            <v>0</v>
          </cell>
          <cell r="DT167">
            <v>0</v>
          </cell>
          <cell r="DU167">
            <v>0.10764298073252601</v>
          </cell>
          <cell r="DV167">
            <v>0.99999999999999989</v>
          </cell>
        </row>
        <row r="168">
          <cell r="DO168" t="str">
            <v>Len Natkin- 10%B</v>
          </cell>
          <cell r="DP168">
            <v>0.84573991399187531</v>
          </cell>
          <cell r="DQ168">
            <v>4.6617105275598612E-2</v>
          </cell>
          <cell r="DR168">
            <v>0</v>
          </cell>
          <cell r="DS168">
            <v>0</v>
          </cell>
          <cell r="DT168">
            <v>0</v>
          </cell>
          <cell r="DU168">
            <v>0.10764298073252601</v>
          </cell>
          <cell r="DV168">
            <v>0.99999999999999989</v>
          </cell>
        </row>
        <row r="169">
          <cell r="DO169" t="str">
            <v>Mike  Kenworthy</v>
          </cell>
          <cell r="DP169">
            <v>0.88014471792599924</v>
          </cell>
          <cell r="DQ169">
            <v>4.0838698829239177E-2</v>
          </cell>
          <cell r="DR169">
            <v>0</v>
          </cell>
          <cell r="DS169">
            <v>0</v>
          </cell>
          <cell r="DT169">
            <v>0</v>
          </cell>
          <cell r="DU169">
            <v>7.9016583244761546E-2</v>
          </cell>
          <cell r="DV169">
            <v>1</v>
          </cell>
        </row>
        <row r="170">
          <cell r="DO170" t="str">
            <v>New8-Frank McGuire</v>
          </cell>
          <cell r="DP170">
            <v>0.93922701256411012</v>
          </cell>
          <cell r="DQ170">
            <v>4.3579684888248052E-2</v>
          </cell>
          <cell r="DR170">
            <v>0</v>
          </cell>
          <cell r="DS170">
            <v>0</v>
          </cell>
          <cell r="DT170">
            <v>0</v>
          </cell>
          <cell r="DU170">
            <v>1.7193302547641801E-2</v>
          </cell>
          <cell r="DV170">
            <v>1</v>
          </cell>
        </row>
        <row r="171">
          <cell r="DO171" t="str">
            <v>TBD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0</v>
          </cell>
          <cell r="DU171">
            <v>0</v>
          </cell>
          <cell r="DV171">
            <v>0</v>
          </cell>
        </row>
        <row r="172"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</row>
      </sheetData>
      <sheetData sheetId="7"/>
      <sheetData sheetId="8" refreshError="1"/>
      <sheetData sheetId="9" refreshError="1"/>
      <sheetData sheetId="10">
        <row r="11">
          <cell r="J11">
            <v>118895.31</v>
          </cell>
        </row>
      </sheetData>
      <sheetData sheetId="11">
        <row r="7">
          <cell r="E7">
            <v>194454.14</v>
          </cell>
        </row>
      </sheetData>
      <sheetData sheetId="12" refreshError="1"/>
      <sheetData sheetId="13">
        <row r="9">
          <cell r="F9">
            <v>69226.92</v>
          </cell>
        </row>
      </sheetData>
      <sheetData sheetId="14" refreshError="1"/>
      <sheetData sheetId="15">
        <row r="8">
          <cell r="H8">
            <v>13800</v>
          </cell>
        </row>
      </sheetData>
      <sheetData sheetId="16">
        <row r="64">
          <cell r="J64">
            <v>3089238.1947700866</v>
          </cell>
        </row>
      </sheetData>
      <sheetData sheetId="17" refreshError="1"/>
      <sheetData sheetId="18">
        <row r="6">
          <cell r="G6">
            <v>6002.97</v>
          </cell>
        </row>
      </sheetData>
      <sheetData sheetId="19">
        <row r="47">
          <cell r="I47">
            <v>287131.93</v>
          </cell>
        </row>
      </sheetData>
      <sheetData sheetId="20" refreshError="1"/>
      <sheetData sheetId="21" refreshError="1"/>
      <sheetData sheetId="22">
        <row r="22">
          <cell r="Q22">
            <v>408.6716369047619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"/>
      <sheetName val="Cover"/>
      <sheetName val="Summary"/>
      <sheetName val="Model Output"/>
      <sheetName val="Football Field"/>
      <sheetName val="Integrity"/>
      <sheetName val="Revenue Build"/>
      <sheetName val="Model"/>
      <sheetName val="Segment Analysis"/>
      <sheetName val="Drivers"/>
      <sheetName val="WACC"/>
      <sheetName val="_CIQHiddenCacheSheet"/>
      <sheetName val="Comparables"/>
      <sheetName val="Valuation"/>
      <sheetName val="CIQ ID Locater"/>
      <sheetName val="Multiples Data"/>
      <sheetName val="Charts"/>
      <sheetName val="Benchmark"/>
      <sheetName val="Pre-Earnings"/>
      <sheetName val="Post-Earnings"/>
    </sheetNames>
    <sheetDataSet>
      <sheetData sheetId="0" refreshError="1"/>
      <sheetData sheetId="1" refreshError="1">
        <row r="19">
          <cell r="F19" t="str">
            <v>Stamps.com Inc.</v>
          </cell>
        </row>
        <row r="20">
          <cell r="F20" t="str">
            <v>STMP</v>
          </cell>
        </row>
        <row r="22">
          <cell r="F22" t="str">
            <v>Base</v>
          </cell>
        </row>
        <row r="24">
          <cell r="F24">
            <v>44196</v>
          </cell>
        </row>
        <row r="25">
          <cell r="F25">
            <v>44561</v>
          </cell>
        </row>
        <row r="26">
          <cell r="F26" t="str">
            <v>2Q</v>
          </cell>
        </row>
        <row r="27">
          <cell r="F27">
            <v>44434</v>
          </cell>
        </row>
        <row r="29">
          <cell r="F29">
            <v>265.20999999999998</v>
          </cell>
        </row>
        <row r="30">
          <cell r="F30">
            <v>325.13</v>
          </cell>
        </row>
        <row r="31">
          <cell r="F31">
            <v>79.959999999999994</v>
          </cell>
        </row>
        <row r="33">
          <cell r="F33">
            <v>1.4617390534874125E-2</v>
          </cell>
        </row>
        <row r="35">
          <cell r="F35">
            <v>588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>
        <row r="7">
          <cell r="C7" t="str">
            <v>Segment</v>
          </cell>
        </row>
        <row r="9">
          <cell r="C9" t="str">
            <v>Segment</v>
          </cell>
        </row>
        <row r="11">
          <cell r="C11" t="str">
            <v>Segment</v>
          </cell>
        </row>
        <row r="13">
          <cell r="C13" t="str">
            <v>Segment</v>
          </cell>
        </row>
        <row r="15">
          <cell r="C15" t="str">
            <v>Segment</v>
          </cell>
        </row>
        <row r="17">
          <cell r="C17" t="str">
            <v>Segment</v>
          </cell>
        </row>
        <row r="19">
          <cell r="C19" t="str">
            <v>Segment</v>
          </cell>
        </row>
        <row r="26">
          <cell r="C26" t="str">
            <v>Summary</v>
          </cell>
          <cell r="D26"/>
          <cell r="E26"/>
          <cell r="F26" t="str">
            <v>1Q18</v>
          </cell>
          <cell r="G26" t="str">
            <v>2Q18</v>
          </cell>
          <cell r="H26" t="str">
            <v>3Q18</v>
          </cell>
          <cell r="I26" t="str">
            <v>4Q18</v>
          </cell>
          <cell r="J26">
            <v>2018</v>
          </cell>
          <cell r="K26" t="str">
            <v>1Q19</v>
          </cell>
          <cell r="L26" t="str">
            <v>2Q19</v>
          </cell>
          <cell r="M26" t="str">
            <v>3Q19</v>
          </cell>
          <cell r="N26" t="str">
            <v>4Q19</v>
          </cell>
          <cell r="O26">
            <v>2019</v>
          </cell>
          <cell r="P26" t="str">
            <v>1Q20</v>
          </cell>
          <cell r="Q26" t="str">
            <v>2Q20</v>
          </cell>
          <cell r="R26" t="str">
            <v>3Q20</v>
          </cell>
          <cell r="S26" t="str">
            <v>4Q20</v>
          </cell>
          <cell r="T26">
            <v>2020</v>
          </cell>
          <cell r="U26" t="str">
            <v>1Q21</v>
          </cell>
          <cell r="V26" t="str">
            <v>2Q21</v>
          </cell>
          <cell r="W26" t="str">
            <v>3Q21e</v>
          </cell>
          <cell r="X26" t="str">
            <v>4Q21e</v>
          </cell>
          <cell r="Y26" t="str">
            <v>2021e</v>
          </cell>
          <cell r="Z26" t="str">
            <v>1Q22e</v>
          </cell>
          <cell r="AA26" t="str">
            <v>2Q22e</v>
          </cell>
          <cell r="AB26" t="str">
            <v>3Q22e</v>
          </cell>
          <cell r="AC26" t="str">
            <v>4Q22e</v>
          </cell>
          <cell r="AD26" t="str">
            <v>2022e</v>
          </cell>
          <cell r="AE26" t="str">
            <v>2023e</v>
          </cell>
          <cell r="AF26" t="str">
            <v>2024e</v>
          </cell>
          <cell r="AG26" t="str">
            <v>2025e</v>
          </cell>
        </row>
        <row r="27">
          <cell r="C27"/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</row>
        <row r="28">
          <cell r="C28" t="str">
            <v>Total Company Revenue</v>
          </cell>
          <cell r="D28"/>
          <cell r="E28"/>
          <cell r="F28">
            <v>133565</v>
          </cell>
          <cell r="G28">
            <v>139627</v>
          </cell>
          <cell r="H28">
            <v>143507</v>
          </cell>
          <cell r="I28">
            <v>170231</v>
          </cell>
          <cell r="J28">
            <v>586930</v>
          </cell>
          <cell r="K28">
            <v>136003</v>
          </cell>
          <cell r="L28">
            <v>138773</v>
          </cell>
          <cell r="M28">
            <v>136172</v>
          </cell>
          <cell r="N28">
            <v>160902</v>
          </cell>
          <cell r="O28">
            <v>571850</v>
          </cell>
          <cell r="P28">
            <v>151346</v>
          </cell>
          <cell r="Q28">
            <v>206730</v>
          </cell>
          <cell r="R28">
            <v>193917</v>
          </cell>
          <cell r="S28">
            <v>-467884</v>
          </cell>
          <cell r="T28">
            <v>84109</v>
          </cell>
          <cell r="U28">
            <v>151346</v>
          </cell>
          <cell r="V28">
            <v>206730</v>
          </cell>
          <cell r="W28">
            <v>217066.5</v>
          </cell>
          <cell r="X28">
            <v>227919.82499999998</v>
          </cell>
          <cell r="Y28">
            <v>803062.32499999995</v>
          </cell>
          <cell r="Z28">
            <v>239315.81625000003</v>
          </cell>
          <cell r="AA28">
            <v>251281.60706250003</v>
          </cell>
          <cell r="AB28">
            <v>263845.68741562503</v>
          </cell>
          <cell r="AC28">
            <v>277037.9717864063</v>
          </cell>
          <cell r="AD28">
            <v>1031481.0825145314</v>
          </cell>
          <cell r="AE28">
            <v>1083055.1366402581</v>
          </cell>
          <cell r="AF28">
            <v>1137207.893472271</v>
          </cell>
          <cell r="AG28">
            <v>1194068.2881458844</v>
          </cell>
        </row>
        <row r="29">
          <cell r="C29" t="str">
            <v>% Growth</v>
          </cell>
          <cell r="D29"/>
          <cell r="E29"/>
          <cell r="F29"/>
          <cell r="G29">
            <v>4.5386141579006445E-2</v>
          </cell>
          <cell r="H29">
            <v>2.7788321742929334E-2</v>
          </cell>
          <cell r="I29">
            <v>0.18622088121136948</v>
          </cell>
          <cell r="J29"/>
          <cell r="K29">
            <v>-0.20106796059472132</v>
          </cell>
          <cell r="L29">
            <v>2.0367197782401814E-2</v>
          </cell>
          <cell r="M29">
            <v>-1.8742839024882385E-2</v>
          </cell>
          <cell r="N29">
            <v>0.18160855388773012</v>
          </cell>
          <cell r="O29">
            <v>-2.5693012795392933E-2</v>
          </cell>
          <cell r="P29">
            <v>-5.9390187816186213E-2</v>
          </cell>
          <cell r="Q29">
            <v>0.36594293869676098</v>
          </cell>
          <cell r="R29">
            <v>-6.1979393411696448E-2</v>
          </cell>
          <cell r="S29">
            <v>-3.412805478632611</v>
          </cell>
          <cell r="T29">
            <v>-0.85291772317915537</v>
          </cell>
          <cell r="U29">
            <v>-1.3234690649819185</v>
          </cell>
          <cell r="V29">
            <v>0.36594293869676098</v>
          </cell>
          <cell r="W29">
            <v>5.0000000000000044E-2</v>
          </cell>
          <cell r="X29">
            <v>4.9999999999999822E-2</v>
          </cell>
          <cell r="Y29">
            <v>8.5478762677002447</v>
          </cell>
          <cell r="Z29">
            <v>5.0000000000000266E-2</v>
          </cell>
          <cell r="AA29">
            <v>5.0000000000000044E-2</v>
          </cell>
          <cell r="AB29">
            <v>5.0000000000000044E-2</v>
          </cell>
          <cell r="AC29">
            <v>5.0000000000000044E-2</v>
          </cell>
          <cell r="AD29">
            <v>0.28443465768927889</v>
          </cell>
          <cell r="AE29">
            <v>5.0000000000000044E-2</v>
          </cell>
          <cell r="AF29">
            <v>5.0000000000000044E-2</v>
          </cell>
          <cell r="AG29">
            <v>4.9999999999999822E-2</v>
          </cell>
        </row>
        <row r="30">
          <cell r="C30" t="str">
            <v>Service Revenue</v>
          </cell>
          <cell r="D30"/>
          <cell r="E30"/>
          <cell r="F30">
            <v>120916</v>
          </cell>
          <cell r="G30">
            <v>125206</v>
          </cell>
          <cell r="H30">
            <v>127810</v>
          </cell>
          <cell r="I30">
            <v>156750</v>
          </cell>
          <cell r="J30">
            <v>530682</v>
          </cell>
          <cell r="K30">
            <v>123907</v>
          </cell>
          <cell r="L30">
            <v>127429</v>
          </cell>
          <cell r="M30">
            <v>124643</v>
          </cell>
          <cell r="N30">
            <v>147549</v>
          </cell>
          <cell r="O30">
            <v>523528</v>
          </cell>
          <cell r="P30">
            <v>139136</v>
          </cell>
          <cell r="Q30">
            <v>186990</v>
          </cell>
          <cell r="R30">
            <v>183779</v>
          </cell>
          <cell r="S30">
            <v>-486710</v>
          </cell>
          <cell r="T30">
            <v>23195</v>
          </cell>
          <cell r="U30">
            <v>139136</v>
          </cell>
          <cell r="V30">
            <v>186990</v>
          </cell>
          <cell r="W30">
            <v>196339.5</v>
          </cell>
          <cell r="X30">
            <v>206156.47500000001</v>
          </cell>
          <cell r="Y30">
            <v>728621.97499999998</v>
          </cell>
          <cell r="Z30">
            <v>216464.29875000002</v>
          </cell>
          <cell r="AA30">
            <v>227287.51368750003</v>
          </cell>
          <cell r="AB30">
            <v>238651.88937187503</v>
          </cell>
          <cell r="AC30">
            <v>250584.48384046881</v>
          </cell>
          <cell r="AD30">
            <v>932988.18564984389</v>
          </cell>
          <cell r="AE30">
            <v>979637.59493233613</v>
          </cell>
          <cell r="AF30">
            <v>1028619.4746789529</v>
          </cell>
          <cell r="AG30">
            <v>1080050.4484129006</v>
          </cell>
        </row>
        <row r="31">
          <cell r="C31" t="str">
            <v>% Growth</v>
          </cell>
          <cell r="D31"/>
          <cell r="E31"/>
          <cell r="F31"/>
          <cell r="G31">
            <v>3.5479175626054404E-2</v>
          </cell>
          <cell r="H31">
            <v>2.0797725348625562E-2</v>
          </cell>
          <cell r="I31">
            <v>0.2264298568187153</v>
          </cell>
          <cell r="J31"/>
          <cell r="K31">
            <v>-0.20952472089314189</v>
          </cell>
          <cell r="L31">
            <v>2.842454421461249E-2</v>
          </cell>
          <cell r="M31">
            <v>-2.1863155168760695E-2</v>
          </cell>
          <cell r="N31">
            <v>0.18377285527466447</v>
          </cell>
          <cell r="O31">
            <v>-1.3480766259266419E-2</v>
          </cell>
          <cell r="P31">
            <v>-5.7018346447620827E-2</v>
          </cell>
          <cell r="Q31">
            <v>0.34393686752529895</v>
          </cell>
          <cell r="R31">
            <v>-1.7172041285630213E-2</v>
          </cell>
          <cell r="S31">
            <v>-3.6483439348347746</v>
          </cell>
          <cell r="T31">
            <v>-0.95569482434559372</v>
          </cell>
          <cell r="U31">
            <v>-1.2858704361940374</v>
          </cell>
          <cell r="V31">
            <v>0.34393686752529895</v>
          </cell>
          <cell r="W31">
            <v>5.0000000000000044E-2</v>
          </cell>
          <cell r="X31">
            <v>5.0000000000000044E-2</v>
          </cell>
          <cell r="Y31">
            <v>30.412889631386072</v>
          </cell>
          <cell r="Z31">
            <v>5.0000000000000044E-2</v>
          </cell>
          <cell r="AA31">
            <v>5.0000000000000044E-2</v>
          </cell>
          <cell r="AB31">
            <v>5.0000000000000044E-2</v>
          </cell>
          <cell r="AC31">
            <v>5.0000000000000044E-2</v>
          </cell>
          <cell r="AD31">
            <v>0.28048318286014351</v>
          </cell>
          <cell r="AE31">
            <v>5.0000000000000044E-2</v>
          </cell>
          <cell r="AF31">
            <v>5.0000000000000044E-2</v>
          </cell>
          <cell r="AG31">
            <v>5.0000000000000044E-2</v>
          </cell>
        </row>
        <row r="32">
          <cell r="C32" t="str">
            <v>% of Total Revenue</v>
          </cell>
          <cell r="D32"/>
          <cell r="E32"/>
          <cell r="F32">
            <v>0.90529704638191144</v>
          </cell>
          <cell r="G32">
            <v>0.8967176835425813</v>
          </cell>
          <cell r="H32">
            <v>0.89061857609733319</v>
          </cell>
          <cell r="I32">
            <v>0.92080760848494103</v>
          </cell>
          <cell r="J32">
            <v>0.90416574378545989</v>
          </cell>
          <cell r="K32">
            <v>0.91106078542385094</v>
          </cell>
          <cell r="L32">
            <v>0.91825499196529581</v>
          </cell>
          <cell r="M32">
            <v>0.91533501747789559</v>
          </cell>
          <cell r="N32">
            <v>0.91701159712122904</v>
          </cell>
          <cell r="O32">
            <v>0.91549881962052981</v>
          </cell>
          <cell r="P32">
            <v>0.91932393323906814</v>
          </cell>
          <cell r="Q32">
            <v>0.90451313307212311</v>
          </cell>
          <cell r="R32">
            <v>0.9477199007822934</v>
          </cell>
          <cell r="S32">
            <v>1.0402364688683521</v>
          </cell>
          <cell r="T32">
            <v>0.27577310394844784</v>
          </cell>
          <cell r="U32">
            <v>0.91932393323906814</v>
          </cell>
          <cell r="V32">
            <v>0.90451313307212311</v>
          </cell>
          <cell r="W32">
            <v>0.90451313307212311</v>
          </cell>
          <cell r="X32">
            <v>0.90451313307212311</v>
          </cell>
          <cell r="Y32">
            <v>0.90730439259493345</v>
          </cell>
          <cell r="Z32">
            <v>0.904513133072123</v>
          </cell>
          <cell r="AA32">
            <v>0.90451313307212311</v>
          </cell>
          <cell r="AB32">
            <v>0.90451313307212311</v>
          </cell>
          <cell r="AC32">
            <v>0.90451313307212311</v>
          </cell>
          <cell r="AD32">
            <v>0.904513133072123</v>
          </cell>
          <cell r="AE32">
            <v>0.904513133072123</v>
          </cell>
          <cell r="AF32">
            <v>0.904513133072123</v>
          </cell>
          <cell r="AG32">
            <v>0.90451313307212311</v>
          </cell>
        </row>
        <row r="33">
          <cell r="C33" t="str">
            <v>Product Revenue</v>
          </cell>
          <cell r="D33"/>
          <cell r="E33"/>
          <cell r="F33">
            <v>5679</v>
          </cell>
          <cell r="G33">
            <v>4892</v>
          </cell>
          <cell r="H33">
            <v>4705</v>
          </cell>
          <cell r="I33">
            <v>5148</v>
          </cell>
          <cell r="J33">
            <v>20424</v>
          </cell>
          <cell r="K33">
            <v>5405</v>
          </cell>
          <cell r="L33">
            <v>4785</v>
          </cell>
          <cell r="M33">
            <v>5116</v>
          </cell>
          <cell r="N33">
            <v>5188</v>
          </cell>
          <cell r="O33">
            <v>20494</v>
          </cell>
          <cell r="P33">
            <v>5956</v>
          </cell>
          <cell r="Q33">
            <v>6827</v>
          </cell>
          <cell r="R33">
            <v>5816</v>
          </cell>
          <cell r="S33">
            <v>42116</v>
          </cell>
          <cell r="T33">
            <v>60715</v>
          </cell>
          <cell r="U33">
            <v>5956</v>
          </cell>
          <cell r="V33">
            <v>6827</v>
          </cell>
          <cell r="W33">
            <v>7168.35</v>
          </cell>
          <cell r="X33">
            <v>7526.7675000000008</v>
          </cell>
          <cell r="Y33">
            <v>27478.1175</v>
          </cell>
          <cell r="Z33">
            <v>7903.1058750000011</v>
          </cell>
          <cell r="AA33">
            <v>8298.2611687500012</v>
          </cell>
          <cell r="AB33">
            <v>8713.1742271875009</v>
          </cell>
          <cell r="AC33">
            <v>9148.8329385468769</v>
          </cell>
          <cell r="AD33">
            <v>34063.374209484376</v>
          </cell>
          <cell r="AE33">
            <v>35766.5429199586</v>
          </cell>
          <cell r="AF33">
            <v>37554.870065956529</v>
          </cell>
          <cell r="AG33">
            <v>39432.613569254354</v>
          </cell>
        </row>
        <row r="34">
          <cell r="C34" t="str">
            <v>% Growth</v>
          </cell>
          <cell r="D34"/>
          <cell r="E34"/>
          <cell r="F34"/>
          <cell r="G34">
            <v>-0.13858073604507837</v>
          </cell>
          <cell r="H34">
            <v>-3.8225674570727675E-2</v>
          </cell>
          <cell r="I34">
            <v>9.4155154091392079E-2</v>
          </cell>
          <cell r="J34"/>
          <cell r="K34">
            <v>4.9922299922299906E-2</v>
          </cell>
          <cell r="L34">
            <v>-0.1147086031452359</v>
          </cell>
          <cell r="M34">
            <v>6.9174503657262187E-2</v>
          </cell>
          <cell r="N34">
            <v>1.4073494917904661E-2</v>
          </cell>
          <cell r="O34">
            <v>3.4273403838620542E-3</v>
          </cell>
          <cell r="P34">
            <v>0.14803392444101782</v>
          </cell>
          <cell r="Q34">
            <v>0.14623908663532581</v>
          </cell>
          <cell r="R34">
            <v>-0.14808847224256627</v>
          </cell>
          <cell r="S34">
            <v>6.2414030261348001</v>
          </cell>
          <cell r="T34">
            <v>1.9625744120230313</v>
          </cell>
          <cell r="U34">
            <v>-0.85858106182923355</v>
          </cell>
          <cell r="V34">
            <v>0.14623908663532581</v>
          </cell>
          <cell r="W34">
            <v>5.0000000000000044E-2</v>
          </cell>
          <cell r="X34">
            <v>5.0000000000000044E-2</v>
          </cell>
          <cell r="Y34">
            <v>-0.54742456559334596</v>
          </cell>
          <cell r="Z34">
            <v>5.0000000000000044E-2</v>
          </cell>
          <cell r="AA34">
            <v>5.0000000000000044E-2</v>
          </cell>
          <cell r="AB34">
            <v>5.0000000000000044E-2</v>
          </cell>
          <cell r="AC34">
            <v>5.0000000000000044E-2</v>
          </cell>
          <cell r="AD34">
            <v>0.23965458003025053</v>
          </cell>
          <cell r="AE34">
            <v>5.0000000000000044E-2</v>
          </cell>
          <cell r="AF34">
            <v>5.0000000000000044E-2</v>
          </cell>
          <cell r="AG34">
            <v>5.0000000000000044E-2</v>
          </cell>
        </row>
        <row r="35">
          <cell r="C35" t="str">
            <v>% of Total Revenue</v>
          </cell>
          <cell r="D35"/>
          <cell r="E35"/>
          <cell r="F35">
            <v>4.2518623890989406E-2</v>
          </cell>
          <cell r="G35">
            <v>3.5036203599590338E-2</v>
          </cell>
          <cell r="H35">
            <v>3.2785857135888843E-2</v>
          </cell>
          <cell r="I35">
            <v>3.0241260404979115E-2</v>
          </cell>
          <cell r="J35">
            <v>3.4798016799277597E-2</v>
          </cell>
          <cell r="K35">
            <v>3.9741770402123483E-2</v>
          </cell>
          <cell r="L35">
            <v>3.4480770755118073E-2</v>
          </cell>
          <cell r="M35">
            <v>3.7570131892018917E-2</v>
          </cell>
          <cell r="N35">
            <v>3.2243228797653227E-2</v>
          </cell>
          <cell r="O35">
            <v>3.5838069423799947E-2</v>
          </cell>
          <cell r="P35">
            <v>3.9353534285676527E-2</v>
          </cell>
          <cell r="Q35">
            <v>3.3023750786049438E-2</v>
          </cell>
          <cell r="R35">
            <v>2.9992213163363708E-2</v>
          </cell>
          <cell r="S35">
            <v>-9.0013764095374066E-2</v>
          </cell>
          <cell r="T35">
            <v>0.72186091856995094</v>
          </cell>
          <cell r="U35">
            <v>3.9353534285676527E-2</v>
          </cell>
          <cell r="V35">
            <v>3.3023750786049438E-2</v>
          </cell>
          <cell r="W35">
            <v>3.3023750786049438E-2</v>
          </cell>
          <cell r="X35">
            <v>3.3023750786049445E-2</v>
          </cell>
          <cell r="Y35">
            <v>3.4216668675124316E-2</v>
          </cell>
          <cell r="Z35">
            <v>3.3023750786049438E-2</v>
          </cell>
          <cell r="AA35">
            <v>3.3023750786049438E-2</v>
          </cell>
          <cell r="AB35">
            <v>3.3023750786049438E-2</v>
          </cell>
          <cell r="AC35">
            <v>3.3023750786049438E-2</v>
          </cell>
          <cell r="AD35">
            <v>3.3023750786049431E-2</v>
          </cell>
          <cell r="AE35">
            <v>3.3023750786049431E-2</v>
          </cell>
          <cell r="AF35">
            <v>3.3023750786049431E-2</v>
          </cell>
          <cell r="AG35">
            <v>3.3023750786049438E-2</v>
          </cell>
        </row>
        <row r="36">
          <cell r="C36" t="str">
            <v>Insurance Revenue</v>
          </cell>
          <cell r="D36"/>
          <cell r="E36"/>
          <cell r="F36">
            <v>4368</v>
          </cell>
          <cell r="G36">
            <v>4293</v>
          </cell>
          <cell r="H36">
            <v>4023</v>
          </cell>
          <cell r="I36">
            <v>3505</v>
          </cell>
          <cell r="J36">
            <v>16189</v>
          </cell>
          <cell r="K36">
            <v>3334</v>
          </cell>
          <cell r="L36">
            <v>3431</v>
          </cell>
          <cell r="M36">
            <v>3106</v>
          </cell>
          <cell r="N36">
            <v>3231</v>
          </cell>
          <cell r="O36">
            <v>13102</v>
          </cell>
          <cell r="P36">
            <v>3180</v>
          </cell>
          <cell r="Q36">
            <v>4096</v>
          </cell>
          <cell r="R36">
            <v>4322</v>
          </cell>
          <cell r="S36">
            <v>-11324</v>
          </cell>
          <cell r="T36">
            <v>274</v>
          </cell>
          <cell r="U36">
            <v>3180</v>
          </cell>
          <cell r="V36">
            <v>4096</v>
          </cell>
          <cell r="W36">
            <v>4300.8</v>
          </cell>
          <cell r="X36">
            <v>4515.84</v>
          </cell>
          <cell r="Y36">
            <v>16092.64</v>
          </cell>
          <cell r="Z36">
            <v>4741.6320000000005</v>
          </cell>
          <cell r="AA36">
            <v>4978.713600000001</v>
          </cell>
          <cell r="AB36">
            <v>5227.6492800000015</v>
          </cell>
          <cell r="AC36">
            <v>5489.0317440000017</v>
          </cell>
          <cell r="AD36">
            <v>20437.026624000006</v>
          </cell>
          <cell r="AE36">
            <v>21458.877955200005</v>
          </cell>
          <cell r="AF36">
            <v>22531.821852960005</v>
          </cell>
          <cell r="AG36">
            <v>23658.412945608008</v>
          </cell>
        </row>
        <row r="37">
          <cell r="C37" t="str">
            <v>% Growth</v>
          </cell>
          <cell r="D37"/>
          <cell r="E37"/>
          <cell r="F37"/>
          <cell r="G37">
            <v>-1.717032967032972E-2</v>
          </cell>
          <cell r="H37">
            <v>-6.2893081761006275E-2</v>
          </cell>
          <cell r="I37">
            <v>-0.12875963211533681</v>
          </cell>
          <cell r="J37"/>
          <cell r="K37">
            <v>-4.8787446504992893E-2</v>
          </cell>
          <cell r="L37">
            <v>2.9094181163767274E-2</v>
          </cell>
          <cell r="M37">
            <v>-9.4724570096181848E-2</v>
          </cell>
          <cell r="N37">
            <v>4.0244687701223469E-2</v>
          </cell>
          <cell r="O37">
            <v>-0.1906850330471308</v>
          </cell>
          <cell r="P37">
            <v>-1.578458681522743E-2</v>
          </cell>
          <cell r="Q37">
            <v>0.28805031446540874</v>
          </cell>
          <cell r="R37">
            <v>5.517578125E-2</v>
          </cell>
          <cell r="S37">
            <v>-3.6200832947709394</v>
          </cell>
          <cell r="T37">
            <v>-0.97908716226530301</v>
          </cell>
          <cell r="U37">
            <v>-1.2808194984104557</v>
          </cell>
          <cell r="V37">
            <v>0.28805031446540874</v>
          </cell>
          <cell r="W37">
            <v>5.0000000000000044E-2</v>
          </cell>
          <cell r="X37">
            <v>5.0000000000000044E-2</v>
          </cell>
          <cell r="Y37">
            <v>57.732262773722624</v>
          </cell>
          <cell r="Z37">
            <v>5.0000000000000044E-2</v>
          </cell>
          <cell r="AA37">
            <v>5.0000000000000044E-2</v>
          </cell>
          <cell r="AB37">
            <v>5.0000000000000044E-2</v>
          </cell>
          <cell r="AC37">
            <v>5.0000000000000044E-2</v>
          </cell>
          <cell r="AD37">
            <v>0.26996108929299401</v>
          </cell>
          <cell r="AE37">
            <v>5.0000000000000044E-2</v>
          </cell>
          <cell r="AF37">
            <v>5.0000000000000044E-2</v>
          </cell>
          <cell r="AG37">
            <v>5.0000000000000044E-2</v>
          </cell>
        </row>
        <row r="38">
          <cell r="C38" t="str">
            <v>% of Total Revenue</v>
          </cell>
          <cell r="D38"/>
          <cell r="E38"/>
          <cell r="F38">
            <v>3.2703178227829144E-2</v>
          </cell>
          <cell r="G38">
            <v>3.0746202382060776E-2</v>
          </cell>
          <cell r="H38">
            <v>2.8033475718954474E-2</v>
          </cell>
          <cell r="I38">
            <v>2.0589669331672843E-2</v>
          </cell>
          <cell r="J38">
            <v>2.7582505579881757E-2</v>
          </cell>
          <cell r="K38">
            <v>2.4514165128710397E-2</v>
          </cell>
          <cell r="L38">
            <v>2.472382956338769E-2</v>
          </cell>
          <cell r="M38">
            <v>2.2809388126780836E-2</v>
          </cell>
          <cell r="N38">
            <v>2.0080545922362681E-2</v>
          </cell>
          <cell r="O38">
            <v>2.2911602693013903E-2</v>
          </cell>
          <cell r="P38">
            <v>2.1011457190807818E-2</v>
          </cell>
          <cell r="Q38">
            <v>1.9813283026169401E-2</v>
          </cell>
          <cell r="R38">
            <v>2.2287886054342839E-2</v>
          </cell>
          <cell r="S38">
            <v>2.420258012669807E-2</v>
          </cell>
          <cell r="T38">
            <v>3.2576775374811256E-3</v>
          </cell>
          <cell r="U38">
            <v>2.1011457190807818E-2</v>
          </cell>
          <cell r="V38">
            <v>1.9813283026169401E-2</v>
          </cell>
          <cell r="W38">
            <v>1.9813283026169401E-2</v>
          </cell>
          <cell r="X38">
            <v>1.9813283026169401E-2</v>
          </cell>
          <cell r="Y38">
            <v>2.0039092233594697E-2</v>
          </cell>
          <cell r="Z38">
            <v>1.9813283026169397E-2</v>
          </cell>
          <cell r="AA38">
            <v>1.9813283026169401E-2</v>
          </cell>
          <cell r="AB38">
            <v>1.9813283026169404E-2</v>
          </cell>
          <cell r="AC38">
            <v>1.9813283026169401E-2</v>
          </cell>
          <cell r="AD38">
            <v>1.9813283026169401E-2</v>
          </cell>
          <cell r="AE38">
            <v>1.9813283026169397E-2</v>
          </cell>
          <cell r="AF38">
            <v>1.9813283026169397E-2</v>
          </cell>
          <cell r="AG38">
            <v>1.9813283026169404E-2</v>
          </cell>
        </row>
        <row r="39">
          <cell r="C39" t="str">
            <v>Customized Postage Revenue</v>
          </cell>
          <cell r="D39"/>
          <cell r="E39"/>
          <cell r="F39">
            <v>2580</v>
          </cell>
          <cell r="G39">
            <v>5218</v>
          </cell>
          <cell r="H39">
            <v>6957</v>
          </cell>
          <cell r="I39">
            <v>4828</v>
          </cell>
          <cell r="J39">
            <v>19583</v>
          </cell>
          <cell r="K39">
            <v>3357</v>
          </cell>
          <cell r="L39">
            <v>3128</v>
          </cell>
          <cell r="M39">
            <v>3307</v>
          </cell>
          <cell r="N39">
            <v>4934</v>
          </cell>
          <cell r="O39">
            <v>14726</v>
          </cell>
          <cell r="P39">
            <v>3074</v>
          </cell>
          <cell r="Q39">
            <v>8817</v>
          </cell>
          <cell r="R39">
            <v>0</v>
          </cell>
          <cell r="S39">
            <v>-11966</v>
          </cell>
          <cell r="T39">
            <v>-75</v>
          </cell>
          <cell r="U39">
            <v>3074</v>
          </cell>
          <cell r="V39">
            <v>8817</v>
          </cell>
          <cell r="W39">
            <v>9257.85</v>
          </cell>
          <cell r="X39">
            <v>9720.7425000000003</v>
          </cell>
          <cell r="Y39">
            <v>30869.592499999999</v>
          </cell>
          <cell r="Z39">
            <v>10206.779625000001</v>
          </cell>
          <cell r="AA39">
            <v>10717.118606250002</v>
          </cell>
          <cell r="AB39">
            <v>11252.974536562502</v>
          </cell>
          <cell r="AC39">
            <v>11815.623263390627</v>
          </cell>
          <cell r="AD39">
            <v>43992.496031203133</v>
          </cell>
          <cell r="AE39">
            <v>46192.120832763292</v>
          </cell>
          <cell r="AF39">
            <v>48501.726874401458</v>
          </cell>
          <cell r="AG39">
            <v>50926.813218121533</v>
          </cell>
        </row>
        <row r="40">
          <cell r="C40" t="str">
            <v>% Growth</v>
          </cell>
          <cell r="D40"/>
          <cell r="E40"/>
          <cell r="F40"/>
          <cell r="G40">
            <v>1.0224806201550387</v>
          </cell>
          <cell r="H40">
            <v>0.33326945189727875</v>
          </cell>
          <cell r="I40">
            <v>-0.30602271093862299</v>
          </cell>
          <cell r="J40"/>
          <cell r="K40">
            <v>-0.30468102734051372</v>
          </cell>
          <cell r="L40">
            <v>-6.8215668751861802E-2</v>
          </cell>
          <cell r="M40">
            <v>5.7225063938618925E-2</v>
          </cell>
          <cell r="N40">
            <v>0.4919866948896281</v>
          </cell>
          <cell r="O40">
            <v>-0.24802124291477301</v>
          </cell>
          <cell r="P40">
            <v>-0.37697608431293073</v>
          </cell>
          <cell r="Q40">
            <v>1.8682498373454783</v>
          </cell>
          <cell r="R40">
            <v>-1</v>
          </cell>
          <cell r="S40" t="str">
            <v>N/A</v>
          </cell>
          <cell r="T40">
            <v>-1.0050930327312237</v>
          </cell>
          <cell r="U40">
            <v>-1.2568945345144575</v>
          </cell>
          <cell r="V40">
            <v>1.8682498373454783</v>
          </cell>
          <cell r="W40">
            <v>5.0000000000000044E-2</v>
          </cell>
          <cell r="X40">
            <v>5.0000000000000044E-2</v>
          </cell>
          <cell r="Y40">
            <v>-412.59456666666665</v>
          </cell>
          <cell r="Z40">
            <v>5.0000000000000044E-2</v>
          </cell>
          <cell r="AA40">
            <v>5.0000000000000044E-2</v>
          </cell>
          <cell r="AB40">
            <v>5.0000000000000044E-2</v>
          </cell>
          <cell r="AC40">
            <v>5.0000000000000044E-2</v>
          </cell>
          <cell r="AD40">
            <v>0.42510776684865981</v>
          </cell>
          <cell r="AE40">
            <v>5.0000000000000044E-2</v>
          </cell>
          <cell r="AF40">
            <v>5.0000000000000044E-2</v>
          </cell>
          <cell r="AG40">
            <v>5.0000000000000044E-2</v>
          </cell>
        </row>
        <row r="41">
          <cell r="C41" t="str">
            <v>% of Total Revenue</v>
          </cell>
          <cell r="D41"/>
          <cell r="E41"/>
          <cell r="F41">
            <v>1.9316437689514469E-2</v>
          </cell>
          <cell r="G41">
            <v>3.7370995581083886E-2</v>
          </cell>
          <cell r="H41">
            <v>4.8478471433449237E-2</v>
          </cell>
          <cell r="I41">
            <v>2.8361461778406989E-2</v>
          </cell>
          <cell r="J41">
            <v>3.3365137239534527E-2</v>
          </cell>
          <cell r="K41">
            <v>2.4683279045315178E-2</v>
          </cell>
          <cell r="L41">
            <v>2.2540407716198398E-2</v>
          </cell>
          <cell r="M41">
            <v>2.4285462503304645E-2</v>
          </cell>
          <cell r="N41">
            <v>3.0664628158755019E-2</v>
          </cell>
          <cell r="O41">
            <v>2.5751508262656292E-2</v>
          </cell>
          <cell r="P41">
            <v>2.0311075284447557E-2</v>
          </cell>
          <cell r="Q41">
            <v>4.2649833115658106E-2</v>
          </cell>
          <cell r="R41">
            <v>0</v>
          </cell>
          <cell r="S41">
            <v>2.5574715100324011E-2</v>
          </cell>
          <cell r="T41">
            <v>-8.9170005587987022E-4</v>
          </cell>
          <cell r="U41">
            <v>2.0311075284447557E-2</v>
          </cell>
          <cell r="V41">
            <v>4.2649833115658106E-2</v>
          </cell>
          <cell r="W41">
            <v>4.2649833115658106E-2</v>
          </cell>
          <cell r="X41">
            <v>4.2649833115658106E-2</v>
          </cell>
          <cell r="Y41">
            <v>3.8439846496347588E-2</v>
          </cell>
          <cell r="Z41">
            <v>4.2649833115658106E-2</v>
          </cell>
          <cell r="AA41">
            <v>4.2649833115658106E-2</v>
          </cell>
          <cell r="AB41">
            <v>4.2649833115658106E-2</v>
          </cell>
          <cell r="AC41">
            <v>4.2649833115658106E-2</v>
          </cell>
          <cell r="AD41">
            <v>4.2649833115658106E-2</v>
          </cell>
          <cell r="AE41">
            <v>4.2649833115658099E-2</v>
          </cell>
          <cell r="AF41">
            <v>4.2649833115658106E-2</v>
          </cell>
          <cell r="AG41">
            <v>4.2649833115658113E-2</v>
          </cell>
        </row>
        <row r="42">
          <cell r="C42" t="str">
            <v>Other Revenue</v>
          </cell>
          <cell r="D42"/>
          <cell r="E42"/>
          <cell r="F42">
            <v>22</v>
          </cell>
          <cell r="G42">
            <v>18</v>
          </cell>
          <cell r="H42">
            <v>12</v>
          </cell>
          <cell r="I42">
            <v>0</v>
          </cell>
          <cell r="J42">
            <v>52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C43" t="str">
            <v>% Growth</v>
          </cell>
          <cell r="D43"/>
          <cell r="E43"/>
          <cell r="F43"/>
          <cell r="G43">
            <v>-0.18181818181818177</v>
          </cell>
          <cell r="H43">
            <v>-0.33333333333333337</v>
          </cell>
          <cell r="I43">
            <v>-1</v>
          </cell>
          <cell r="J43"/>
          <cell r="K43" t="str">
            <v>N/A</v>
          </cell>
          <cell r="L43" t="str">
            <v>N/A</v>
          </cell>
          <cell r="M43" t="str">
            <v>N/A</v>
          </cell>
          <cell r="N43" t="str">
            <v>N/A</v>
          </cell>
          <cell r="O43">
            <v>-1</v>
          </cell>
          <cell r="P43" t="str">
            <v>N/A</v>
          </cell>
          <cell r="Q43" t="str">
            <v>N/A</v>
          </cell>
          <cell r="R43" t="str">
            <v>N/A</v>
          </cell>
          <cell r="S43" t="str">
            <v>N/A</v>
          </cell>
          <cell r="T43" t="str">
            <v>N/A</v>
          </cell>
          <cell r="U43" t="str">
            <v>N/A</v>
          </cell>
          <cell r="V43" t="str">
            <v>N/A</v>
          </cell>
          <cell r="W43" t="str">
            <v>--</v>
          </cell>
          <cell r="X43" t="str">
            <v>--</v>
          </cell>
          <cell r="Y43" t="str">
            <v>--</v>
          </cell>
          <cell r="Z43" t="str">
            <v>--</v>
          </cell>
          <cell r="AA43" t="str">
            <v>--</v>
          </cell>
          <cell r="AB43" t="str">
            <v>--</v>
          </cell>
          <cell r="AC43" t="str">
            <v>--</v>
          </cell>
          <cell r="AD43" t="str">
            <v>--</v>
          </cell>
          <cell r="AE43" t="str">
            <v>--</v>
          </cell>
          <cell r="AF43" t="str">
            <v>--</v>
          </cell>
          <cell r="AG43" t="str">
            <v>--</v>
          </cell>
        </row>
        <row r="44">
          <cell r="C44" t="str">
            <v>% of Total Revenue</v>
          </cell>
          <cell r="D44"/>
          <cell r="E44"/>
          <cell r="F44">
            <v>1.6471380975554973E-4</v>
          </cell>
          <cell r="G44">
            <v>1.2891489468369298E-4</v>
          </cell>
          <cell r="H44">
            <v>8.3619614374211716E-5</v>
          </cell>
          <cell r="I44">
            <v>0</v>
          </cell>
          <cell r="J44">
            <v>8.8596595846182673E-5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C45" t="str">
            <v xml:space="preserve"> Revenue</v>
          </cell>
          <cell r="D45"/>
          <cell r="E45"/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C46" t="str">
            <v>% Growth</v>
          </cell>
          <cell r="D46"/>
          <cell r="E46"/>
          <cell r="F46"/>
          <cell r="G46" t="str">
            <v>N/A</v>
          </cell>
          <cell r="H46" t="str">
            <v>N/A</v>
          </cell>
          <cell r="I46" t="str">
            <v>N/A</v>
          </cell>
          <cell r="J46"/>
          <cell r="K46" t="str">
            <v>N/A</v>
          </cell>
          <cell r="L46" t="str">
            <v>N/A</v>
          </cell>
          <cell r="M46" t="str">
            <v>N/A</v>
          </cell>
          <cell r="N46" t="str">
            <v>N/A</v>
          </cell>
          <cell r="O46" t="str">
            <v>N/A</v>
          </cell>
          <cell r="P46" t="str">
            <v>N/A</v>
          </cell>
          <cell r="Q46" t="str">
            <v>N/A</v>
          </cell>
          <cell r="R46" t="str">
            <v>N/A</v>
          </cell>
          <cell r="S46" t="str">
            <v>N/A</v>
          </cell>
          <cell r="T46" t="str">
            <v>N/A</v>
          </cell>
          <cell r="U46" t="str">
            <v>N/A</v>
          </cell>
          <cell r="V46" t="str">
            <v>N/A</v>
          </cell>
          <cell r="W46" t="str">
            <v>--</v>
          </cell>
          <cell r="X46" t="str">
            <v>--</v>
          </cell>
          <cell r="Y46" t="str">
            <v>--</v>
          </cell>
          <cell r="Z46" t="str">
            <v>--</v>
          </cell>
          <cell r="AA46" t="str">
            <v>--</v>
          </cell>
          <cell r="AB46" t="str">
            <v>--</v>
          </cell>
          <cell r="AC46" t="str">
            <v>--</v>
          </cell>
          <cell r="AD46" t="str">
            <v>--</v>
          </cell>
          <cell r="AE46" t="str">
            <v>--</v>
          </cell>
          <cell r="AF46" t="str">
            <v>--</v>
          </cell>
          <cell r="AG46" t="str">
            <v>--</v>
          </cell>
        </row>
        <row r="47">
          <cell r="C47" t="str">
            <v>% of Total Revenue</v>
          </cell>
          <cell r="D47"/>
          <cell r="E47"/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</sheetData>
      <sheetData sheetId="7" refreshError="1">
        <row r="25">
          <cell r="C25" t="str">
            <v>Income Statement</v>
          </cell>
          <cell r="D25"/>
          <cell r="E25"/>
          <cell r="F25" t="str">
            <v>1Q18</v>
          </cell>
          <cell r="G25" t="str">
            <v>2Q18</v>
          </cell>
          <cell r="H25" t="str">
            <v>3Q18</v>
          </cell>
          <cell r="I25" t="str">
            <v>4Q18</v>
          </cell>
          <cell r="J25">
            <v>2018</v>
          </cell>
          <cell r="K25" t="str">
            <v>1Q19</v>
          </cell>
          <cell r="L25" t="str">
            <v>2Q19</v>
          </cell>
          <cell r="M25" t="str">
            <v>3Q19</v>
          </cell>
          <cell r="N25" t="str">
            <v>4Q19</v>
          </cell>
          <cell r="O25">
            <v>2019</v>
          </cell>
          <cell r="P25" t="str">
            <v>1Q20</v>
          </cell>
          <cell r="Q25" t="str">
            <v>2Q20</v>
          </cell>
          <cell r="R25" t="str">
            <v>3Q20</v>
          </cell>
          <cell r="S25" t="str">
            <v>4Q20</v>
          </cell>
          <cell r="T25">
            <v>2020</v>
          </cell>
          <cell r="U25" t="str">
            <v>1Q21</v>
          </cell>
          <cell r="V25" t="str">
            <v>2Q21</v>
          </cell>
          <cell r="W25" t="str">
            <v>3Q21e</v>
          </cell>
          <cell r="X25" t="str">
            <v>4Q21e</v>
          </cell>
          <cell r="Y25" t="str">
            <v>2021e</v>
          </cell>
          <cell r="Z25" t="str">
            <v>1Q22e</v>
          </cell>
          <cell r="AA25" t="str">
            <v>2Q22e</v>
          </cell>
          <cell r="AB25" t="str">
            <v>3Q22e</v>
          </cell>
          <cell r="AC25" t="str">
            <v>4Q22e</v>
          </cell>
          <cell r="AD25" t="str">
            <v>2022e</v>
          </cell>
          <cell r="AE25" t="str">
            <v>2023e</v>
          </cell>
          <cell r="AF25" t="str">
            <v>2024e</v>
          </cell>
          <cell r="AG25" t="str">
            <v>2025e</v>
          </cell>
          <cell r="AH25" t="str">
            <v>x</v>
          </cell>
        </row>
        <row r="26">
          <cell r="C26" t="str">
            <v>Days In Period</v>
          </cell>
          <cell r="D26"/>
          <cell r="E26"/>
          <cell r="F26">
            <v>91</v>
          </cell>
          <cell r="G26">
            <v>91</v>
          </cell>
          <cell r="H26">
            <v>92</v>
          </cell>
          <cell r="I26">
            <v>92</v>
          </cell>
          <cell r="J26">
            <v>366</v>
          </cell>
          <cell r="K26">
            <v>90</v>
          </cell>
          <cell r="L26">
            <v>91</v>
          </cell>
          <cell r="M26">
            <v>92</v>
          </cell>
          <cell r="N26">
            <v>92</v>
          </cell>
          <cell r="O26">
            <v>365</v>
          </cell>
          <cell r="P26">
            <v>90</v>
          </cell>
          <cell r="Q26">
            <v>91</v>
          </cell>
          <cell r="R26">
            <v>92</v>
          </cell>
          <cell r="S26">
            <v>92</v>
          </cell>
          <cell r="T26">
            <v>365</v>
          </cell>
          <cell r="U26">
            <v>90</v>
          </cell>
          <cell r="V26">
            <v>91</v>
          </cell>
          <cell r="W26">
            <v>92</v>
          </cell>
          <cell r="X26">
            <v>92</v>
          </cell>
          <cell r="Y26">
            <v>365</v>
          </cell>
          <cell r="Z26">
            <v>91</v>
          </cell>
          <cell r="AA26">
            <v>91</v>
          </cell>
          <cell r="AB26">
            <v>92</v>
          </cell>
          <cell r="AC26">
            <v>92</v>
          </cell>
          <cell r="AD26">
            <v>366</v>
          </cell>
          <cell r="AE26">
            <v>365</v>
          </cell>
          <cell r="AF26">
            <v>365</v>
          </cell>
          <cell r="AG26">
            <v>365</v>
          </cell>
          <cell r="AH26"/>
        </row>
        <row r="27">
          <cell r="C27"/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</row>
        <row r="28">
          <cell r="C28" t="str">
            <v>Revenue</v>
          </cell>
          <cell r="D28"/>
          <cell r="E28"/>
          <cell r="F28">
            <v>133565</v>
          </cell>
          <cell r="G28">
            <v>139627</v>
          </cell>
          <cell r="H28">
            <v>143507</v>
          </cell>
          <cell r="I28">
            <v>170231</v>
          </cell>
          <cell r="J28">
            <v>586930</v>
          </cell>
          <cell r="K28">
            <v>136003</v>
          </cell>
          <cell r="L28">
            <v>138773</v>
          </cell>
          <cell r="M28">
            <v>136172</v>
          </cell>
          <cell r="N28">
            <v>160902</v>
          </cell>
          <cell r="O28">
            <v>571850</v>
          </cell>
          <cell r="P28">
            <v>151346</v>
          </cell>
          <cell r="Q28">
            <v>206730</v>
          </cell>
          <cell r="R28">
            <v>193917</v>
          </cell>
          <cell r="S28">
            <v>-467884</v>
          </cell>
          <cell r="T28">
            <v>84109</v>
          </cell>
          <cell r="U28">
            <v>151346</v>
          </cell>
          <cell r="V28">
            <v>206730</v>
          </cell>
          <cell r="W28">
            <v>217066.5</v>
          </cell>
          <cell r="X28">
            <v>227919.82499999998</v>
          </cell>
          <cell r="Y28">
            <v>803062.32499999995</v>
          </cell>
          <cell r="Z28">
            <v>239315.81625000003</v>
          </cell>
          <cell r="AA28">
            <v>251281.60706250003</v>
          </cell>
          <cell r="AB28">
            <v>263845.68741562503</v>
          </cell>
          <cell r="AC28">
            <v>277037.9717864063</v>
          </cell>
          <cell r="AD28">
            <v>1031481.0825145314</v>
          </cell>
          <cell r="AE28">
            <v>1083055.1366402581</v>
          </cell>
          <cell r="AF28">
            <v>1137207.893472271</v>
          </cell>
          <cell r="AG28">
            <v>1194068.2881458844</v>
          </cell>
          <cell r="AH28"/>
        </row>
        <row r="29">
          <cell r="C29" t="str">
            <v>Cost of Goods Sold</v>
          </cell>
          <cell r="D29"/>
          <cell r="E29"/>
          <cell r="F29">
            <v>-19097</v>
          </cell>
          <cell r="G29">
            <v>-22325</v>
          </cell>
          <cell r="H29">
            <v>-19904</v>
          </cell>
          <cell r="I29">
            <v>-19464</v>
          </cell>
          <cell r="J29">
            <v>-80790</v>
          </cell>
          <cell r="K29">
            <v>-17264</v>
          </cell>
          <cell r="L29">
            <v>-18388</v>
          </cell>
          <cell r="M29">
            <v>-19987</v>
          </cell>
          <cell r="N29">
            <v>-20427</v>
          </cell>
          <cell r="O29">
            <v>-76066</v>
          </cell>
          <cell r="P29">
            <v>-18824</v>
          </cell>
          <cell r="Q29">
            <v>-19536</v>
          </cell>
          <cell r="R29">
            <v>-21040</v>
          </cell>
          <cell r="S29">
            <v>-22090</v>
          </cell>
          <cell r="T29">
            <v>-81490</v>
          </cell>
          <cell r="U29">
            <v>-18824</v>
          </cell>
          <cell r="V29">
            <v>-19536</v>
          </cell>
          <cell r="W29">
            <v>-188847.85500000001</v>
          </cell>
          <cell r="X29">
            <v>-198290.24774999998</v>
          </cell>
          <cell r="Y29">
            <v>-425498.10274999996</v>
          </cell>
          <cell r="Z29">
            <v>-208204.76013750004</v>
          </cell>
          <cell r="AA29">
            <v>-218614.99814437501</v>
          </cell>
          <cell r="AB29">
            <v>-229545.74805159378</v>
          </cell>
          <cell r="AC29">
            <v>-241023.03545417349</v>
          </cell>
          <cell r="AD29">
            <v>-897388.54178764229</v>
          </cell>
          <cell r="AE29">
            <v>-942257.9688770246</v>
          </cell>
          <cell r="AF29">
            <v>-989370.86732087575</v>
          </cell>
          <cell r="AG29">
            <v>-1038839.4106869195</v>
          </cell>
          <cell r="AH29"/>
        </row>
        <row r="30">
          <cell r="C30" t="str">
            <v>Gross Profit</v>
          </cell>
          <cell r="D30"/>
          <cell r="E30"/>
          <cell r="F30">
            <v>114468</v>
          </cell>
          <cell r="G30">
            <v>117302</v>
          </cell>
          <cell r="H30">
            <v>123603</v>
          </cell>
          <cell r="I30">
            <v>150767</v>
          </cell>
          <cell r="J30">
            <v>506140</v>
          </cell>
          <cell r="K30">
            <v>118739</v>
          </cell>
          <cell r="L30">
            <v>120385</v>
          </cell>
          <cell r="M30">
            <v>116185</v>
          </cell>
          <cell r="N30">
            <v>140475</v>
          </cell>
          <cell r="O30">
            <v>495784</v>
          </cell>
          <cell r="P30">
            <v>132522</v>
          </cell>
          <cell r="Q30">
            <v>187194</v>
          </cell>
          <cell r="R30">
            <v>172877</v>
          </cell>
          <cell r="S30">
            <v>-489974</v>
          </cell>
          <cell r="T30">
            <v>2619</v>
          </cell>
          <cell r="U30">
            <v>132522</v>
          </cell>
          <cell r="V30">
            <v>187194</v>
          </cell>
          <cell r="W30">
            <v>28218.64499999999</v>
          </cell>
          <cell r="X30">
            <v>29629.577250000002</v>
          </cell>
          <cell r="Y30">
            <v>377564.22224999999</v>
          </cell>
          <cell r="Z30">
            <v>31111.056112499995</v>
          </cell>
          <cell r="AA30">
            <v>32666.608918125014</v>
          </cell>
          <cell r="AB30">
            <v>34299.939364031248</v>
          </cell>
          <cell r="AC30">
            <v>36014.936332232814</v>
          </cell>
          <cell r="AD30">
            <v>134092.54072688907</v>
          </cell>
          <cell r="AE30">
            <v>140797.16776323353</v>
          </cell>
          <cell r="AF30">
            <v>147837.02615139529</v>
          </cell>
          <cell r="AG30">
            <v>155228.87745896494</v>
          </cell>
          <cell r="AH30"/>
        </row>
        <row r="31">
          <cell r="C31"/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</row>
        <row r="32">
          <cell r="C32" t="str">
            <v>Selling, General &amp; Administration (SG&amp;A)</v>
          </cell>
          <cell r="D32"/>
          <cell r="E32"/>
          <cell r="F32">
            <v>-888</v>
          </cell>
          <cell r="G32">
            <v>-806</v>
          </cell>
          <cell r="H32">
            <v>-923</v>
          </cell>
          <cell r="I32">
            <v>-999</v>
          </cell>
          <cell r="J32">
            <v>-3616</v>
          </cell>
          <cell r="K32">
            <v>-933</v>
          </cell>
          <cell r="L32">
            <v>-1040</v>
          </cell>
          <cell r="M32">
            <v>-915</v>
          </cell>
          <cell r="N32">
            <v>-1206</v>
          </cell>
          <cell r="O32">
            <v>-4094</v>
          </cell>
          <cell r="P32">
            <v>-997</v>
          </cell>
          <cell r="Q32">
            <v>-1194</v>
          </cell>
          <cell r="R32">
            <v>-1154</v>
          </cell>
          <cell r="S32">
            <v>-1222</v>
          </cell>
          <cell r="T32">
            <v>-4567</v>
          </cell>
          <cell r="U32">
            <v>-997</v>
          </cell>
          <cell r="V32">
            <v>-1194</v>
          </cell>
          <cell r="W32">
            <v>-9767.9925000000003</v>
          </cell>
          <cell r="X32">
            <v>-10256.392124999998</v>
          </cell>
          <cell r="Y32">
            <v>-22215.384624999999</v>
          </cell>
          <cell r="Z32">
            <v>-10769.211731250001</v>
          </cell>
          <cell r="AA32">
            <v>-11307.672317812501</v>
          </cell>
          <cell r="AB32">
            <v>-11873.055933703126</v>
          </cell>
          <cell r="AC32">
            <v>-12466.708730388284</v>
          </cell>
          <cell r="AD32">
            <v>-46416.648713153918</v>
          </cell>
          <cell r="AE32">
            <v>-48737.481148811617</v>
          </cell>
          <cell r="AF32">
            <v>-51174.355206252192</v>
          </cell>
          <cell r="AG32">
            <v>-53733.072966564796</v>
          </cell>
          <cell r="AH32"/>
        </row>
        <row r="33">
          <cell r="C33" t="str">
            <v>Research &amp; Development (R&amp;D)</v>
          </cell>
          <cell r="D33"/>
          <cell r="E33"/>
          <cell r="F33">
            <v>-917</v>
          </cell>
          <cell r="G33">
            <v>-2127</v>
          </cell>
          <cell r="H33">
            <v>-857</v>
          </cell>
          <cell r="I33">
            <v>-726</v>
          </cell>
          <cell r="J33">
            <v>-4627</v>
          </cell>
          <cell r="K33">
            <v>-838</v>
          </cell>
          <cell r="L33">
            <v>-813</v>
          </cell>
          <cell r="M33">
            <v>-767</v>
          </cell>
          <cell r="N33">
            <v>-761</v>
          </cell>
          <cell r="O33">
            <v>-3179</v>
          </cell>
          <cell r="P33">
            <v>-764</v>
          </cell>
          <cell r="Q33">
            <v>-827</v>
          </cell>
          <cell r="R33">
            <v>-826</v>
          </cell>
          <cell r="S33">
            <v>-852</v>
          </cell>
          <cell r="T33">
            <v>-3269</v>
          </cell>
          <cell r="U33">
            <v>-764</v>
          </cell>
          <cell r="V33">
            <v>-827</v>
          </cell>
          <cell r="W33">
            <v>-9767.9925000000003</v>
          </cell>
          <cell r="X33">
            <v>-10256.392124999998</v>
          </cell>
          <cell r="Y33">
            <v>-21615.384624999999</v>
          </cell>
          <cell r="Z33">
            <v>-10769.211731250001</v>
          </cell>
          <cell r="AA33">
            <v>-11307.672317812501</v>
          </cell>
          <cell r="AB33">
            <v>-11873.055933703126</v>
          </cell>
          <cell r="AC33">
            <v>-12466.708730388284</v>
          </cell>
          <cell r="AD33">
            <v>-46416.648713153918</v>
          </cell>
          <cell r="AE33">
            <v>-48737.481148811617</v>
          </cell>
          <cell r="AF33">
            <v>-51174.355206252192</v>
          </cell>
          <cell r="AG33">
            <v>-53733.072966564796</v>
          </cell>
          <cell r="AH33"/>
        </row>
        <row r="34">
          <cell r="C34" t="str">
            <v>Depreciation &amp; Amortization (incl. in SG&amp;A)</v>
          </cell>
          <cell r="D34"/>
          <cell r="E34"/>
          <cell r="F34">
            <v>-443</v>
          </cell>
          <cell r="G34">
            <v>-447</v>
          </cell>
          <cell r="H34">
            <v>-474</v>
          </cell>
          <cell r="I34">
            <v>-546</v>
          </cell>
          <cell r="J34">
            <v>-1910</v>
          </cell>
          <cell r="K34">
            <v>-471</v>
          </cell>
          <cell r="L34">
            <v>-494</v>
          </cell>
          <cell r="M34">
            <v>-522</v>
          </cell>
          <cell r="N34">
            <v>-582</v>
          </cell>
          <cell r="O34">
            <v>-2069</v>
          </cell>
          <cell r="P34">
            <v>-501</v>
          </cell>
          <cell r="Q34">
            <v>-507</v>
          </cell>
          <cell r="R34">
            <v>-523</v>
          </cell>
          <cell r="S34">
            <v>-583</v>
          </cell>
          <cell r="T34">
            <v>-2114</v>
          </cell>
          <cell r="U34">
            <v>-501</v>
          </cell>
          <cell r="V34">
            <v>-507</v>
          </cell>
          <cell r="W34">
            <v>-472.6875</v>
          </cell>
          <cell r="X34">
            <v>-617.76159375000009</v>
          </cell>
          <cell r="Y34">
            <v>-2098.44909375</v>
          </cell>
          <cell r="Z34">
            <v>-765.535402734375</v>
          </cell>
          <cell r="AA34">
            <v>-916.31468731933592</v>
          </cell>
          <cell r="AB34">
            <v>-1070.4140918417359</v>
          </cell>
          <cell r="AC34">
            <v>-1228.1578289593895</v>
          </cell>
          <cell r="AD34">
            <v>-3980.4220108548366</v>
          </cell>
          <cell r="AE34">
            <v>-5559.5215568528683</v>
          </cell>
          <cell r="AF34">
            <v>-7974.7587332457124</v>
          </cell>
          <cell r="AG34">
            <v>-10190.168603675667</v>
          </cell>
          <cell r="AH34"/>
        </row>
        <row r="35">
          <cell r="C35" t="str">
            <v>Other Operating Income (Expense)</v>
          </cell>
          <cell r="D35"/>
          <cell r="E35"/>
          <cell r="F35">
            <v>58</v>
          </cell>
          <cell r="G35">
            <v>84</v>
          </cell>
          <cell r="H35">
            <v>68</v>
          </cell>
          <cell r="I35">
            <v>86</v>
          </cell>
          <cell r="J35">
            <v>296</v>
          </cell>
          <cell r="K35">
            <v>83</v>
          </cell>
          <cell r="L35">
            <v>37</v>
          </cell>
          <cell r="M35">
            <v>49</v>
          </cell>
          <cell r="N35">
            <v>56</v>
          </cell>
          <cell r="O35">
            <v>225</v>
          </cell>
          <cell r="P35">
            <v>78</v>
          </cell>
          <cell r="Q35">
            <v>9</v>
          </cell>
          <cell r="R35">
            <v>101</v>
          </cell>
          <cell r="S35">
            <v>-2</v>
          </cell>
          <cell r="T35">
            <v>186</v>
          </cell>
          <cell r="U35">
            <v>78</v>
          </cell>
          <cell r="V35">
            <v>9</v>
          </cell>
          <cell r="W35">
            <v>1085.3325</v>
          </cell>
          <cell r="X35">
            <v>1139.599125</v>
          </cell>
          <cell r="Y35">
            <v>2311.9316250000002</v>
          </cell>
          <cell r="Z35">
            <v>1196.5790812500002</v>
          </cell>
          <cell r="AA35">
            <v>1256.4080353125003</v>
          </cell>
          <cell r="AB35">
            <v>1319.2284370781251</v>
          </cell>
          <cell r="AC35">
            <v>1385.1898589320315</v>
          </cell>
          <cell r="AD35">
            <v>5157.405412572657</v>
          </cell>
          <cell r="AE35">
            <v>5415.275683201291</v>
          </cell>
          <cell r="AF35">
            <v>5686.0394673613555</v>
          </cell>
          <cell r="AG35">
            <v>5970.3414407294222</v>
          </cell>
          <cell r="AH35"/>
        </row>
        <row r="36">
          <cell r="C36" t="str">
            <v>EBIT</v>
          </cell>
          <cell r="D36"/>
          <cell r="E36"/>
          <cell r="F36">
            <v>112721</v>
          </cell>
          <cell r="G36">
            <v>114453</v>
          </cell>
          <cell r="H36">
            <v>121891</v>
          </cell>
          <cell r="I36">
            <v>149128</v>
          </cell>
          <cell r="J36">
            <v>498193</v>
          </cell>
          <cell r="K36">
            <v>117051</v>
          </cell>
          <cell r="L36">
            <v>118569</v>
          </cell>
          <cell r="M36">
            <v>114552</v>
          </cell>
          <cell r="N36">
            <v>138564</v>
          </cell>
          <cell r="O36">
            <v>488736</v>
          </cell>
          <cell r="P36">
            <v>130839</v>
          </cell>
          <cell r="Q36">
            <v>185182</v>
          </cell>
          <cell r="R36">
            <v>170998</v>
          </cell>
          <cell r="S36">
            <v>-492050</v>
          </cell>
          <cell r="T36">
            <v>-5031</v>
          </cell>
          <cell r="U36">
            <v>130839</v>
          </cell>
          <cell r="V36">
            <v>185182</v>
          </cell>
          <cell r="W36">
            <v>9767.9924999999894</v>
          </cell>
          <cell r="X36">
            <v>10256.392125000006</v>
          </cell>
          <cell r="Y36">
            <v>336045.38462500001</v>
          </cell>
          <cell r="Z36">
            <v>10769.211731249994</v>
          </cell>
          <cell r="AA36">
            <v>11307.67231781251</v>
          </cell>
          <cell r="AB36">
            <v>11873.055933703119</v>
          </cell>
          <cell r="AC36">
            <v>12466.708730388276</v>
          </cell>
          <cell r="AD36">
            <v>46416.648713153903</v>
          </cell>
          <cell r="AE36">
            <v>48737.481148811596</v>
          </cell>
          <cell r="AF36">
            <v>51174.35520625225</v>
          </cell>
          <cell r="AG36">
            <v>53733.072966564767</v>
          </cell>
          <cell r="AH36"/>
        </row>
        <row r="37"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</row>
        <row r="38">
          <cell r="C38" t="str">
            <v>Interest Income</v>
          </cell>
          <cell r="D38"/>
          <cell r="E38"/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/>
        </row>
        <row r="39">
          <cell r="C39" t="str">
            <v>Interest (Expense)</v>
          </cell>
          <cell r="D39"/>
          <cell r="E39"/>
          <cell r="F39">
            <v>-73</v>
          </cell>
          <cell r="G39">
            <v>-73</v>
          </cell>
          <cell r="H39">
            <v>-81</v>
          </cell>
          <cell r="I39">
            <v>-79</v>
          </cell>
          <cell r="J39">
            <v>-306</v>
          </cell>
          <cell r="K39">
            <v>-87</v>
          </cell>
          <cell r="L39">
            <v>-93</v>
          </cell>
          <cell r="M39">
            <v>-87</v>
          </cell>
          <cell r="N39">
            <v>-93</v>
          </cell>
          <cell r="O39">
            <v>-360</v>
          </cell>
          <cell r="P39">
            <v>-102</v>
          </cell>
          <cell r="Q39">
            <v>-109</v>
          </cell>
          <cell r="R39">
            <v>-106</v>
          </cell>
          <cell r="S39">
            <v>-158</v>
          </cell>
          <cell r="T39">
            <v>-475</v>
          </cell>
          <cell r="U39">
            <v>-102</v>
          </cell>
          <cell r="V39">
            <v>-109</v>
          </cell>
          <cell r="W39">
            <v>-121.18</v>
          </cell>
          <cell r="X39">
            <v>-121.18</v>
          </cell>
          <cell r="Y39">
            <v>-453.36</v>
          </cell>
          <cell r="Z39">
            <v>-633.78788889215093</v>
          </cell>
          <cell r="AA39">
            <v>-633.78788889215093</v>
          </cell>
          <cell r="AB39">
            <v>-121.18</v>
          </cell>
          <cell r="AC39">
            <v>-121.18</v>
          </cell>
          <cell r="AD39">
            <v>-1509.935777784302</v>
          </cell>
          <cell r="AE39">
            <v>-484.72</v>
          </cell>
          <cell r="AF39">
            <v>-484.72</v>
          </cell>
          <cell r="AG39">
            <v>-484.72</v>
          </cell>
          <cell r="AH39"/>
        </row>
        <row r="40">
          <cell r="C40" t="str">
            <v>Goodwill Impairment</v>
          </cell>
          <cell r="D40"/>
          <cell r="E40"/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/>
        </row>
        <row r="41">
          <cell r="C41" t="str">
            <v>Other Non-Operating Income (Expense)</v>
          </cell>
          <cell r="D41"/>
          <cell r="E41"/>
          <cell r="F41">
            <v>26</v>
          </cell>
          <cell r="G41">
            <v>13</v>
          </cell>
          <cell r="H41">
            <v>2</v>
          </cell>
          <cell r="I41">
            <v>-1</v>
          </cell>
          <cell r="J41">
            <v>40</v>
          </cell>
          <cell r="K41">
            <v>22</v>
          </cell>
          <cell r="L41">
            <v>27</v>
          </cell>
          <cell r="M41">
            <v>45</v>
          </cell>
          <cell r="N41">
            <v>35</v>
          </cell>
          <cell r="O41">
            <v>129</v>
          </cell>
          <cell r="P41">
            <v>66</v>
          </cell>
          <cell r="Q41">
            <v>-15</v>
          </cell>
          <cell r="R41">
            <v>12</v>
          </cell>
          <cell r="S41">
            <v>29</v>
          </cell>
          <cell r="T41">
            <v>92</v>
          </cell>
          <cell r="U41">
            <v>66</v>
          </cell>
          <cell r="V41">
            <v>-15</v>
          </cell>
          <cell r="W41">
            <v>0</v>
          </cell>
          <cell r="X41">
            <v>0</v>
          </cell>
          <cell r="Y41">
            <v>51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/>
        </row>
        <row r="42">
          <cell r="C42" t="str">
            <v>Pre-Tax Income (Loss)</v>
          </cell>
          <cell r="D42"/>
          <cell r="E42"/>
          <cell r="F42">
            <v>112674</v>
          </cell>
          <cell r="G42">
            <v>114393</v>
          </cell>
          <cell r="H42">
            <v>121812</v>
          </cell>
          <cell r="I42">
            <v>149048</v>
          </cell>
          <cell r="J42">
            <v>497927</v>
          </cell>
          <cell r="K42">
            <v>116986</v>
          </cell>
          <cell r="L42">
            <v>118503</v>
          </cell>
          <cell r="M42">
            <v>114510</v>
          </cell>
          <cell r="N42">
            <v>138506</v>
          </cell>
          <cell r="O42">
            <v>488505</v>
          </cell>
          <cell r="P42">
            <v>130803</v>
          </cell>
          <cell r="Q42">
            <v>185058</v>
          </cell>
          <cell r="R42">
            <v>170904</v>
          </cell>
          <cell r="S42">
            <v>-492179</v>
          </cell>
          <cell r="T42">
            <v>-5414</v>
          </cell>
          <cell r="U42">
            <v>130803</v>
          </cell>
          <cell r="V42">
            <v>185058</v>
          </cell>
          <cell r="W42">
            <v>9646.8124999999891</v>
          </cell>
          <cell r="X42">
            <v>10135.212125000005</v>
          </cell>
          <cell r="Y42">
            <v>335643.02462500002</v>
          </cell>
          <cell r="Z42">
            <v>10135.423842357843</v>
          </cell>
          <cell r="AA42">
            <v>10673.884428920359</v>
          </cell>
          <cell r="AB42">
            <v>11751.875933703119</v>
          </cell>
          <cell r="AC42">
            <v>12345.528730388276</v>
          </cell>
          <cell r="AD42">
            <v>44906.712935369593</v>
          </cell>
          <cell r="AE42">
            <v>48252.761148811594</v>
          </cell>
          <cell r="AF42">
            <v>50689.635206252249</v>
          </cell>
          <cell r="AG42">
            <v>53248.352966564766</v>
          </cell>
          <cell r="AH42"/>
        </row>
        <row r="43">
          <cell r="C43"/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</row>
        <row r="44">
          <cell r="C44" t="str">
            <v>Income Tax Benefit (Expense)</v>
          </cell>
          <cell r="D44"/>
          <cell r="E44"/>
          <cell r="F44">
            <v>-522</v>
          </cell>
          <cell r="G44">
            <v>245</v>
          </cell>
          <cell r="H44">
            <v>76</v>
          </cell>
          <cell r="I44">
            <v>-472</v>
          </cell>
          <cell r="J44">
            <v>-673</v>
          </cell>
          <cell r="K44">
            <v>-508</v>
          </cell>
          <cell r="L44">
            <v>-708</v>
          </cell>
          <cell r="M44">
            <v>-794</v>
          </cell>
          <cell r="N44">
            <v>160</v>
          </cell>
          <cell r="O44">
            <v>-1850</v>
          </cell>
          <cell r="P44">
            <v>-362</v>
          </cell>
          <cell r="Q44">
            <v>-390</v>
          </cell>
          <cell r="R44">
            <v>230</v>
          </cell>
          <cell r="S44">
            <v>-622</v>
          </cell>
          <cell r="T44">
            <v>-1144</v>
          </cell>
          <cell r="U44">
            <v>-362</v>
          </cell>
          <cell r="V44">
            <v>-390</v>
          </cell>
          <cell r="W44">
            <v>-2025.8306249999976</v>
          </cell>
          <cell r="X44">
            <v>-2128.394546250001</v>
          </cell>
          <cell r="Y44">
            <v>-4906.2251712499983</v>
          </cell>
          <cell r="Z44">
            <v>-2128.439006895147</v>
          </cell>
          <cell r="AA44">
            <v>-2241.5157300732753</v>
          </cell>
          <cell r="AB44">
            <v>-2467.8939460776551</v>
          </cell>
          <cell r="AC44">
            <v>-2592.561033381538</v>
          </cell>
          <cell r="AD44">
            <v>-9430.4097164276154</v>
          </cell>
          <cell r="AE44">
            <v>-10133.079841250434</v>
          </cell>
          <cell r="AF44">
            <v>-10644.823393312972</v>
          </cell>
          <cell r="AG44">
            <v>-11182.1541229786</v>
          </cell>
          <cell r="AH44"/>
        </row>
        <row r="45">
          <cell r="C45" t="str">
            <v>Net Income (Loss)</v>
          </cell>
          <cell r="D45"/>
          <cell r="E45"/>
          <cell r="F45">
            <v>112152</v>
          </cell>
          <cell r="G45">
            <v>114638</v>
          </cell>
          <cell r="H45">
            <v>121888</v>
          </cell>
          <cell r="I45">
            <v>148576</v>
          </cell>
          <cell r="J45">
            <v>497254</v>
          </cell>
          <cell r="K45">
            <v>116478</v>
          </cell>
          <cell r="L45">
            <v>117795</v>
          </cell>
          <cell r="M45">
            <v>113716</v>
          </cell>
          <cell r="N45">
            <v>138666</v>
          </cell>
          <cell r="O45">
            <v>486655</v>
          </cell>
          <cell r="P45">
            <v>130441</v>
          </cell>
          <cell r="Q45">
            <v>184668</v>
          </cell>
          <cell r="R45">
            <v>171134</v>
          </cell>
          <cell r="S45">
            <v>-492801</v>
          </cell>
          <cell r="T45">
            <v>-6558</v>
          </cell>
          <cell r="U45">
            <v>130441</v>
          </cell>
          <cell r="V45">
            <v>184668</v>
          </cell>
          <cell r="W45">
            <v>7620.9818749999913</v>
          </cell>
          <cell r="X45">
            <v>8006.817578750004</v>
          </cell>
          <cell r="Y45">
            <v>330736.79945375002</v>
          </cell>
          <cell r="Z45">
            <v>8006.9848354626956</v>
          </cell>
          <cell r="AA45">
            <v>8432.3686988470836</v>
          </cell>
          <cell r="AB45">
            <v>9283.9819876254642</v>
          </cell>
          <cell r="AC45">
            <v>9752.9676970067376</v>
          </cell>
          <cell r="AD45">
            <v>35476.303218941983</v>
          </cell>
          <cell r="AE45">
            <v>38119.681307561157</v>
          </cell>
          <cell r="AF45">
            <v>40044.811812939275</v>
          </cell>
          <cell r="AG45">
            <v>42066.198843586164</v>
          </cell>
          <cell r="AH45"/>
        </row>
        <row r="46">
          <cell r="C46"/>
          <cell r="D46"/>
          <cell r="E46"/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  <cell r="AG46"/>
          <cell r="AH46"/>
        </row>
        <row r="47">
          <cell r="C47" t="str">
            <v>Pre-Tax Adjustments</v>
          </cell>
          <cell r="D47"/>
          <cell r="E47"/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/>
        </row>
        <row r="48">
          <cell r="C48" t="str">
            <v>Post-Tax Adjustments</v>
          </cell>
          <cell r="D48"/>
          <cell r="E48"/>
          <cell r="F48">
            <v>-90</v>
          </cell>
          <cell r="G48">
            <v>43</v>
          </cell>
          <cell r="H48">
            <v>137</v>
          </cell>
          <cell r="I48">
            <v>-965</v>
          </cell>
          <cell r="J48">
            <v>-875</v>
          </cell>
          <cell r="K48">
            <v>208</v>
          </cell>
          <cell r="L48">
            <v>181</v>
          </cell>
          <cell r="M48">
            <v>198</v>
          </cell>
          <cell r="N48">
            <v>-340</v>
          </cell>
          <cell r="O48">
            <v>247</v>
          </cell>
          <cell r="P48">
            <v>211</v>
          </cell>
          <cell r="Q48">
            <v>23</v>
          </cell>
          <cell r="R48">
            <v>190</v>
          </cell>
          <cell r="S48">
            <v>866</v>
          </cell>
          <cell r="T48">
            <v>1290</v>
          </cell>
          <cell r="U48">
            <v>211</v>
          </cell>
          <cell r="V48">
            <v>23</v>
          </cell>
          <cell r="W48">
            <v>0</v>
          </cell>
          <cell r="X48">
            <v>0</v>
          </cell>
          <cell r="Y48">
            <v>234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/>
        </row>
        <row r="49">
          <cell r="C49" t="str">
            <v>Discontinued Operations</v>
          </cell>
          <cell r="D49"/>
          <cell r="E49"/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/>
        </row>
        <row r="50">
          <cell r="C50" t="str">
            <v>Income (Loss) due to Non-Controlling Interest</v>
          </cell>
          <cell r="D50"/>
          <cell r="E50"/>
          <cell r="F50">
            <v>1</v>
          </cell>
          <cell r="G50">
            <v>-1</v>
          </cell>
          <cell r="H50">
            <v>-1</v>
          </cell>
          <cell r="I50">
            <v>0</v>
          </cell>
          <cell r="J50">
            <v>-1</v>
          </cell>
          <cell r="K50">
            <v>0</v>
          </cell>
          <cell r="L50">
            <v>-1</v>
          </cell>
          <cell r="M50">
            <v>0</v>
          </cell>
          <cell r="N50">
            <v>-1</v>
          </cell>
          <cell r="O50">
            <v>-2</v>
          </cell>
          <cell r="P50">
            <v>-1</v>
          </cell>
          <cell r="Q50">
            <v>-9</v>
          </cell>
          <cell r="R50">
            <v>-2</v>
          </cell>
          <cell r="S50">
            <v>-9</v>
          </cell>
          <cell r="T50">
            <v>-21</v>
          </cell>
          <cell r="U50">
            <v>-1</v>
          </cell>
          <cell r="V50">
            <v>-9</v>
          </cell>
          <cell r="W50">
            <v>0</v>
          </cell>
          <cell r="X50">
            <v>0</v>
          </cell>
          <cell r="Y50">
            <v>-10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/>
        </row>
        <row r="51">
          <cell r="C51" t="str">
            <v>Adj. Net Income (Loss)</v>
          </cell>
          <cell r="D51"/>
          <cell r="E51"/>
          <cell r="F51">
            <v>112063</v>
          </cell>
          <cell r="G51">
            <v>114680</v>
          </cell>
          <cell r="H51">
            <v>122024</v>
          </cell>
          <cell r="I51">
            <v>147611</v>
          </cell>
          <cell r="J51">
            <v>496378</v>
          </cell>
          <cell r="K51">
            <v>116686</v>
          </cell>
          <cell r="L51">
            <v>117975</v>
          </cell>
          <cell r="M51">
            <v>113914</v>
          </cell>
          <cell r="N51">
            <v>138325</v>
          </cell>
          <cell r="O51">
            <v>486900</v>
          </cell>
          <cell r="P51">
            <v>130651</v>
          </cell>
          <cell r="Q51">
            <v>184682</v>
          </cell>
          <cell r="R51">
            <v>171322</v>
          </cell>
          <cell r="S51">
            <v>-491944</v>
          </cell>
          <cell r="T51">
            <v>-5289</v>
          </cell>
          <cell r="U51">
            <v>130651</v>
          </cell>
          <cell r="V51">
            <v>184682</v>
          </cell>
          <cell r="W51">
            <v>7620.9818749999913</v>
          </cell>
          <cell r="X51">
            <v>8006.817578750004</v>
          </cell>
          <cell r="Y51">
            <v>330960.79945375002</v>
          </cell>
          <cell r="Z51">
            <v>8006.9848354626956</v>
          </cell>
          <cell r="AA51">
            <v>8432.3686988470836</v>
          </cell>
          <cell r="AB51">
            <v>9283.9819876254642</v>
          </cell>
          <cell r="AC51">
            <v>9752.9676970067376</v>
          </cell>
          <cell r="AD51">
            <v>35476.303218941983</v>
          </cell>
          <cell r="AE51">
            <v>38119.681307561157</v>
          </cell>
          <cell r="AF51">
            <v>40044.811812939275</v>
          </cell>
          <cell r="AG51">
            <v>42066.198843586164</v>
          </cell>
          <cell r="AH51"/>
        </row>
        <row r="52">
          <cell r="C52"/>
          <cell r="D52"/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</row>
        <row r="53">
          <cell r="C53" t="str">
            <v>GAAP EPS (Basic)</v>
          </cell>
          <cell r="D53"/>
          <cell r="E53"/>
          <cell r="F53">
            <v>170.28849073792892</v>
          </cell>
          <cell r="G53">
            <v>180.44703289784354</v>
          </cell>
          <cell r="H53">
            <v>195.14569324367594</v>
          </cell>
          <cell r="I53">
            <v>239.5799386879215</v>
          </cell>
          <cell r="J53">
            <v>782.46105428796227</v>
          </cell>
          <cell r="K53">
            <v>189.82724902216427</v>
          </cell>
          <cell r="L53">
            <v>195.73778664007978</v>
          </cell>
          <cell r="M53">
            <v>190.28781793842035</v>
          </cell>
          <cell r="N53">
            <v>232.43821839080459</v>
          </cell>
          <cell r="O53">
            <v>807.72614107883817</v>
          </cell>
          <cell r="P53">
            <v>221.04897475004236</v>
          </cell>
          <cell r="Q53">
            <v>317.35349716446126</v>
          </cell>
          <cell r="R53">
            <v>298.03901079763148</v>
          </cell>
          <cell r="S53">
            <v>-859.43669340774318</v>
          </cell>
          <cell r="T53">
            <v>-11.308846352819449</v>
          </cell>
          <cell r="U53">
            <v>221.04897475004236</v>
          </cell>
          <cell r="V53">
            <v>317.35349716446126</v>
          </cell>
          <cell r="W53">
            <v>13.352861825094545</v>
          </cell>
          <cell r="X53">
            <v>14.216738290953542</v>
          </cell>
          <cell r="Y53">
            <v>573.71419123912619</v>
          </cell>
          <cell r="Z53">
            <v>14.409984768115198</v>
          </cell>
          <cell r="AA53">
            <v>15.384329919744065</v>
          </cell>
          <cell r="AB53">
            <v>17.174337199991836</v>
          </cell>
          <cell r="AC53">
            <v>18.297160964333401</v>
          </cell>
          <cell r="AD53">
            <v>65.172635813005726</v>
          </cell>
          <cell r="AE53">
            <v>73.597313171196305</v>
          </cell>
          <cell r="AF53">
            <v>80.845402113050895</v>
          </cell>
          <cell r="AG53">
            <v>88.990910161607033</v>
          </cell>
          <cell r="AH53"/>
        </row>
        <row r="54">
          <cell r="C54" t="str">
            <v>GAAP EPS (Diluted)</v>
          </cell>
          <cell r="D54"/>
          <cell r="E54"/>
          <cell r="F54">
            <v>168.70036101083033</v>
          </cell>
          <cell r="G54">
            <v>180.44703289784354</v>
          </cell>
          <cell r="H54">
            <v>192.92181069958849</v>
          </cell>
          <cell r="I54">
            <v>235.93613733905576</v>
          </cell>
          <cell r="J54">
            <v>773.57498444306168</v>
          </cell>
          <cell r="K54">
            <v>187.74661508704062</v>
          </cell>
          <cell r="L54">
            <v>193.45541139760223</v>
          </cell>
          <cell r="M54">
            <v>187.77410832232496</v>
          </cell>
          <cell r="N54">
            <v>229.33904214559388</v>
          </cell>
          <cell r="O54">
            <v>797.79508196721315</v>
          </cell>
          <cell r="P54">
            <v>218.67728415758592</v>
          </cell>
          <cell r="Q54">
            <v>314.0612244897959</v>
          </cell>
          <cell r="R54">
            <v>294.95691140985866</v>
          </cell>
          <cell r="S54">
            <v>-850.53676216775966</v>
          </cell>
          <cell r="T54">
            <v>-11.187308085977481</v>
          </cell>
          <cell r="U54">
            <v>218.67728415758592</v>
          </cell>
          <cell r="V54">
            <v>314.0612244897959</v>
          </cell>
          <cell r="W54">
            <v>13.21165667377309</v>
          </cell>
          <cell r="X54">
            <v>14.064406246019404</v>
          </cell>
          <cell r="Y54">
            <v>567.63398342375422</v>
          </cell>
          <cell r="Z54">
            <v>14.25350933751735</v>
          </cell>
          <cell r="AA54">
            <v>15.215001123439173</v>
          </cell>
          <cell r="AB54">
            <v>16.982698929894166</v>
          </cell>
          <cell r="AC54">
            <v>18.090137945854654</v>
          </cell>
          <cell r="AD54">
            <v>64.45039447424432</v>
          </cell>
          <cell r="AE54">
            <v>72.740631255337334</v>
          </cell>
          <cell r="AF54">
            <v>79.861892742082716</v>
          </cell>
          <cell r="AG54">
            <v>87.857154815142081</v>
          </cell>
          <cell r="AH54"/>
        </row>
        <row r="55"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</row>
        <row r="56">
          <cell r="C56" t="str">
            <v>Adj. EPS (Basic)</v>
          </cell>
          <cell r="D56"/>
          <cell r="E56"/>
          <cell r="F56">
            <v>170.15335560279379</v>
          </cell>
          <cell r="G56">
            <v>180.51314339682042</v>
          </cell>
          <cell r="H56">
            <v>195.363432596862</v>
          </cell>
          <cell r="I56">
            <v>238.02386879215203</v>
          </cell>
          <cell r="J56">
            <v>781.08261211644378</v>
          </cell>
          <cell r="K56">
            <v>190.16623207301171</v>
          </cell>
          <cell r="L56">
            <v>196.03688933200399</v>
          </cell>
          <cell r="M56">
            <v>190.61914323962517</v>
          </cell>
          <cell r="N56">
            <v>231.86661877394636</v>
          </cell>
          <cell r="O56">
            <v>808.13278008298755</v>
          </cell>
          <cell r="P56">
            <v>221.40484663616334</v>
          </cell>
          <cell r="Q56">
            <v>317.37755628114797</v>
          </cell>
          <cell r="R56">
            <v>298.36642284918145</v>
          </cell>
          <cell r="S56">
            <v>-857.94209975584226</v>
          </cell>
          <cell r="T56">
            <v>-9.1205380237972058</v>
          </cell>
          <cell r="U56">
            <v>221.40484663616334</v>
          </cell>
          <cell r="V56">
            <v>317.37755628114797</v>
          </cell>
          <cell r="W56">
            <v>13.352861825094545</v>
          </cell>
          <cell r="X56">
            <v>14.216738290953542</v>
          </cell>
          <cell r="Y56">
            <v>574.10275392416702</v>
          </cell>
          <cell r="Z56">
            <v>14.409984768115198</v>
          </cell>
          <cell r="AA56">
            <v>15.384329919744065</v>
          </cell>
          <cell r="AB56">
            <v>17.174337199991836</v>
          </cell>
          <cell r="AC56">
            <v>18.297160964333401</v>
          </cell>
          <cell r="AD56">
            <v>65.172635813005726</v>
          </cell>
          <cell r="AE56">
            <v>73.597313171196305</v>
          </cell>
          <cell r="AF56">
            <v>80.845402113050895</v>
          </cell>
          <cell r="AG56">
            <v>88.990910161607033</v>
          </cell>
          <cell r="AH56"/>
        </row>
        <row r="57">
          <cell r="C57" t="str">
            <v>Adj. EPS (Diluted)</v>
          </cell>
          <cell r="D57"/>
          <cell r="E57"/>
          <cell r="F57">
            <v>168.5664861612515</v>
          </cell>
          <cell r="G57">
            <v>180.51314339682042</v>
          </cell>
          <cell r="H57">
            <v>193.13706869262427</v>
          </cell>
          <cell r="I57">
            <v>234.40373390557937</v>
          </cell>
          <cell r="J57">
            <v>772.21219663970135</v>
          </cell>
          <cell r="K57">
            <v>188.08188265635076</v>
          </cell>
          <cell r="L57">
            <v>193.75102644112334</v>
          </cell>
          <cell r="M57">
            <v>188.10105680317039</v>
          </cell>
          <cell r="N57">
            <v>228.7750638569604</v>
          </cell>
          <cell r="O57">
            <v>798.19672131147536</v>
          </cell>
          <cell r="P57">
            <v>219.02933780385584</v>
          </cell>
          <cell r="Q57">
            <v>314.08503401360542</v>
          </cell>
          <cell r="R57">
            <v>295.28093760772146</v>
          </cell>
          <cell r="S57">
            <v>-849.05764584052451</v>
          </cell>
          <cell r="T57">
            <v>-9.0225179119754344</v>
          </cell>
          <cell r="U57">
            <v>219.02933780385584</v>
          </cell>
          <cell r="V57">
            <v>314.08503401360542</v>
          </cell>
          <cell r="W57">
            <v>13.21165667377309</v>
          </cell>
          <cell r="X57">
            <v>14.064406246019404</v>
          </cell>
          <cell r="Y57">
            <v>568.01842813174233</v>
          </cell>
          <cell r="Z57">
            <v>14.25350933751735</v>
          </cell>
          <cell r="AA57">
            <v>15.215001123439173</v>
          </cell>
          <cell r="AB57">
            <v>16.982698929894166</v>
          </cell>
          <cell r="AC57">
            <v>18.090137945854654</v>
          </cell>
          <cell r="AD57">
            <v>64.45039447424432</v>
          </cell>
          <cell r="AE57">
            <v>72.740631255337334</v>
          </cell>
          <cell r="AF57">
            <v>79.861892742082716</v>
          </cell>
          <cell r="AG57">
            <v>87.857154815142081</v>
          </cell>
          <cell r="AH57"/>
        </row>
        <row r="58">
          <cell r="C58"/>
          <cell r="D58"/>
          <cell r="E58"/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</row>
        <row r="59">
          <cell r="C59" t="str">
            <v>EBIT</v>
          </cell>
          <cell r="D59"/>
          <cell r="E59"/>
          <cell r="F59">
            <v>112632</v>
          </cell>
          <cell r="G59">
            <v>114495</v>
          </cell>
          <cell r="H59">
            <v>122027</v>
          </cell>
          <cell r="I59">
            <v>148163</v>
          </cell>
          <cell r="J59">
            <v>497317</v>
          </cell>
          <cell r="K59">
            <v>117259</v>
          </cell>
          <cell r="L59">
            <v>118749</v>
          </cell>
          <cell r="M59">
            <v>114750</v>
          </cell>
          <cell r="N59">
            <v>138223</v>
          </cell>
          <cell r="O59">
            <v>488981</v>
          </cell>
          <cell r="P59">
            <v>131049</v>
          </cell>
          <cell r="Q59">
            <v>185196</v>
          </cell>
          <cell r="R59">
            <v>171186</v>
          </cell>
          <cell r="S59">
            <v>-491193</v>
          </cell>
          <cell r="T59">
            <v>-3762</v>
          </cell>
          <cell r="U59">
            <v>131049</v>
          </cell>
          <cell r="V59">
            <v>185196</v>
          </cell>
          <cell r="W59">
            <v>9767.9924999999894</v>
          </cell>
          <cell r="X59">
            <v>10256.392125000006</v>
          </cell>
          <cell r="Y59">
            <v>336269.38462500001</v>
          </cell>
          <cell r="Z59">
            <v>10769.211731249994</v>
          </cell>
          <cell r="AA59">
            <v>11307.67231781251</v>
          </cell>
          <cell r="AB59">
            <v>11873.055933703119</v>
          </cell>
          <cell r="AC59">
            <v>12466.708730388276</v>
          </cell>
          <cell r="AD59">
            <v>46416.648713153903</v>
          </cell>
          <cell r="AE59">
            <v>48737.481148811596</v>
          </cell>
          <cell r="AF59">
            <v>51174.35520625225</v>
          </cell>
          <cell r="AG59">
            <v>53733.072966564767</v>
          </cell>
          <cell r="AH59"/>
        </row>
        <row r="60">
          <cell r="C60" t="str">
            <v>Depreciation &amp; Amortization</v>
          </cell>
          <cell r="D60"/>
          <cell r="E60"/>
          <cell r="F60">
            <v>443</v>
          </cell>
          <cell r="G60">
            <v>447</v>
          </cell>
          <cell r="H60">
            <v>474</v>
          </cell>
          <cell r="I60">
            <v>546</v>
          </cell>
          <cell r="J60">
            <v>1910</v>
          </cell>
          <cell r="K60">
            <v>471</v>
          </cell>
          <cell r="L60">
            <v>494</v>
          </cell>
          <cell r="M60">
            <v>522</v>
          </cell>
          <cell r="N60">
            <v>582</v>
          </cell>
          <cell r="O60">
            <v>2069</v>
          </cell>
          <cell r="P60">
            <v>501</v>
          </cell>
          <cell r="Q60">
            <v>507</v>
          </cell>
          <cell r="R60">
            <v>523</v>
          </cell>
          <cell r="S60">
            <v>583</v>
          </cell>
          <cell r="T60">
            <v>2114</v>
          </cell>
          <cell r="U60">
            <v>501</v>
          </cell>
          <cell r="V60">
            <v>507</v>
          </cell>
          <cell r="W60">
            <v>472.6875</v>
          </cell>
          <cell r="X60">
            <v>617.76159375000009</v>
          </cell>
          <cell r="Y60">
            <v>2098.44909375</v>
          </cell>
          <cell r="Z60">
            <v>765.535402734375</v>
          </cell>
          <cell r="AA60">
            <v>916.31468731933592</v>
          </cell>
          <cell r="AB60">
            <v>1070.4140918417359</v>
          </cell>
          <cell r="AC60">
            <v>1228.1578289593895</v>
          </cell>
          <cell r="AD60">
            <v>3980.4220108548366</v>
          </cell>
          <cell r="AE60">
            <v>5559.5215568528683</v>
          </cell>
          <cell r="AF60">
            <v>7974.7587332457124</v>
          </cell>
          <cell r="AG60">
            <v>10190.168603675667</v>
          </cell>
          <cell r="AH60"/>
        </row>
        <row r="61">
          <cell r="C61" t="str">
            <v>EBITDA</v>
          </cell>
          <cell r="D61"/>
          <cell r="E61"/>
          <cell r="F61">
            <v>113075</v>
          </cell>
          <cell r="G61">
            <v>114942</v>
          </cell>
          <cell r="H61">
            <v>122501</v>
          </cell>
          <cell r="I61">
            <v>148709</v>
          </cell>
          <cell r="J61">
            <v>499227</v>
          </cell>
          <cell r="K61">
            <v>117730</v>
          </cell>
          <cell r="L61">
            <v>119243</v>
          </cell>
          <cell r="M61">
            <v>115272</v>
          </cell>
          <cell r="N61">
            <v>138805</v>
          </cell>
          <cell r="O61">
            <v>491050</v>
          </cell>
          <cell r="P61">
            <v>131550</v>
          </cell>
          <cell r="Q61">
            <v>185703</v>
          </cell>
          <cell r="R61">
            <v>171709</v>
          </cell>
          <cell r="S61">
            <v>-490610</v>
          </cell>
          <cell r="T61">
            <v>-1648</v>
          </cell>
          <cell r="U61">
            <v>131550</v>
          </cell>
          <cell r="V61">
            <v>185703</v>
          </cell>
          <cell r="W61">
            <v>10240.679999999989</v>
          </cell>
          <cell r="X61">
            <v>10874.153718750005</v>
          </cell>
          <cell r="Y61">
            <v>338367.83371874999</v>
          </cell>
          <cell r="Z61">
            <v>11534.747133984369</v>
          </cell>
          <cell r="AA61">
            <v>12223.987005131847</v>
          </cell>
          <cell r="AB61">
            <v>12943.470025544855</v>
          </cell>
          <cell r="AC61">
            <v>13694.866559347665</v>
          </cell>
          <cell r="AD61">
            <v>50397.070724008736</v>
          </cell>
          <cell r="AE61">
            <v>54297.002705664461</v>
          </cell>
          <cell r="AF61">
            <v>59149.113939497962</v>
          </cell>
          <cell r="AG61">
            <v>63923.241570240432</v>
          </cell>
          <cell r="AH61"/>
        </row>
        <row r="62">
          <cell r="C62"/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</row>
        <row r="63">
          <cell r="C63" t="str">
            <v>Income Statement Analysis</v>
          </cell>
          <cell r="D63"/>
          <cell r="E63"/>
          <cell r="F63" t="str">
            <v>1Q18</v>
          </cell>
          <cell r="G63" t="str">
            <v>2Q18</v>
          </cell>
          <cell r="H63" t="str">
            <v>3Q18</v>
          </cell>
          <cell r="I63" t="str">
            <v>4Q18</v>
          </cell>
          <cell r="J63">
            <v>2018</v>
          </cell>
          <cell r="K63" t="str">
            <v>1Q19</v>
          </cell>
          <cell r="L63" t="str">
            <v>2Q19</v>
          </cell>
          <cell r="M63" t="str">
            <v>3Q19</v>
          </cell>
          <cell r="N63" t="str">
            <v>4Q19</v>
          </cell>
          <cell r="O63">
            <v>2019</v>
          </cell>
          <cell r="P63" t="str">
            <v>1Q20</v>
          </cell>
          <cell r="Q63" t="str">
            <v>2Q20</v>
          </cell>
          <cell r="R63" t="str">
            <v>3Q20</v>
          </cell>
          <cell r="S63" t="str">
            <v>4Q20</v>
          </cell>
          <cell r="T63">
            <v>2020</v>
          </cell>
          <cell r="U63" t="str">
            <v>1Q21</v>
          </cell>
          <cell r="V63" t="str">
            <v>2Q21</v>
          </cell>
          <cell r="W63" t="str">
            <v>3Q21e</v>
          </cell>
          <cell r="X63" t="str">
            <v>4Q21e</v>
          </cell>
          <cell r="Y63" t="str">
            <v>2021e</v>
          </cell>
          <cell r="Z63" t="str">
            <v>1Q22e</v>
          </cell>
          <cell r="AA63" t="str">
            <v>2Q22e</v>
          </cell>
          <cell r="AB63" t="str">
            <v>3Q22e</v>
          </cell>
          <cell r="AC63" t="str">
            <v>4Q22e</v>
          </cell>
          <cell r="AD63" t="str">
            <v>2022e</v>
          </cell>
          <cell r="AE63" t="str">
            <v>2023e</v>
          </cell>
          <cell r="AF63" t="str">
            <v>2024e</v>
          </cell>
          <cell r="AG63" t="str">
            <v>2025e</v>
          </cell>
          <cell r="AH63" t="str">
            <v>x</v>
          </cell>
        </row>
        <row r="64">
          <cell r="C64" t="str">
            <v>Drivers</v>
          </cell>
          <cell r="D64"/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</row>
        <row r="65">
          <cell r="D65"/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</row>
        <row r="66">
          <cell r="C66" t="str">
            <v>Gross Margin</v>
          </cell>
          <cell r="D66"/>
          <cell r="E66"/>
          <cell r="F66">
            <v>0.85702092614083025</v>
          </cell>
          <cell r="G66">
            <v>0.84010972089925307</v>
          </cell>
          <cell r="H66">
            <v>0.86130293295797422</v>
          </cell>
          <cell r="I66">
            <v>0.88566124853875028</v>
          </cell>
          <cell r="J66">
            <v>0.86235155810744046</v>
          </cell>
          <cell r="K66">
            <v>0.87306162364065498</v>
          </cell>
          <cell r="L66">
            <v>0.86749583852766754</v>
          </cell>
          <cell r="M66">
            <v>0.85322239520606291</v>
          </cell>
          <cell r="N66">
            <v>0.87304694783159931</v>
          </cell>
          <cell r="O66">
            <v>0.86698260033225494</v>
          </cell>
          <cell r="P66">
            <v>0.87562274523277783</v>
          </cell>
          <cell r="Q66">
            <v>0.90549992744159047</v>
          </cell>
          <cell r="R66">
            <v>0.89149997163734995</v>
          </cell>
          <cell r="S66">
            <v>1.0472125569585624</v>
          </cell>
          <cell r="T66">
            <v>3.1138165951325066E-2</v>
          </cell>
          <cell r="U66">
            <v>0.87562274523277783</v>
          </cell>
          <cell r="V66">
            <v>0.90549992744159047</v>
          </cell>
          <cell r="W66">
            <v>0.13</v>
          </cell>
          <cell r="X66">
            <v>0.13</v>
          </cell>
          <cell r="Y66">
            <v>0.4701555663814761</v>
          </cell>
          <cell r="Z66">
            <v>0.13</v>
          </cell>
          <cell r="AA66">
            <v>0.13</v>
          </cell>
          <cell r="AB66">
            <v>0.13</v>
          </cell>
          <cell r="AC66">
            <v>0.13</v>
          </cell>
          <cell r="AD66">
            <v>0.12999999999999998</v>
          </cell>
          <cell r="AE66">
            <v>0.13</v>
          </cell>
          <cell r="AF66">
            <v>0.13</v>
          </cell>
          <cell r="AG66">
            <v>0.13</v>
          </cell>
          <cell r="AH66"/>
        </row>
        <row r="67">
          <cell r="C67" t="str">
            <v>SG&amp;A as % of Revenue</v>
          </cell>
          <cell r="D67"/>
          <cell r="E67"/>
          <cell r="F67">
            <v>-6.6484483210421889E-3</v>
          </cell>
          <cell r="G67">
            <v>-5.7725225063920303E-3</v>
          </cell>
          <cell r="H67">
            <v>-6.4317420056164507E-3</v>
          </cell>
          <cell r="I67">
            <v>-5.8684963373298637E-3</v>
          </cell>
          <cell r="J67">
            <v>-6.1608709726883957E-3</v>
          </cell>
          <cell r="K67">
            <v>-6.8601427909678464E-3</v>
          </cell>
          <cell r="L67">
            <v>-7.4942532048741474E-3</v>
          </cell>
          <cell r="M67">
            <v>-6.7194430573098724E-3</v>
          </cell>
          <cell r="N67">
            <v>-7.4952455531938694E-3</v>
          </cell>
          <cell r="O67">
            <v>-7.1592200751945442E-3</v>
          </cell>
          <cell r="P67">
            <v>-6.5875543456715077E-3</v>
          </cell>
          <cell r="Q67">
            <v>-5.7756493977652009E-3</v>
          </cell>
          <cell r="R67">
            <v>-5.9509996544913546E-3</v>
          </cell>
          <cell r="S67">
            <v>2.6117584700481315E-3</v>
          </cell>
          <cell r="T67">
            <v>-5.4298588736044893E-2</v>
          </cell>
          <cell r="U67">
            <v>-6.5875543456715077E-3</v>
          </cell>
          <cell r="V67">
            <v>-5.7756493977652009E-3</v>
          </cell>
          <cell r="W67">
            <v>-4.4999999999999998E-2</v>
          </cell>
          <cell r="X67">
            <v>-4.4999999999999998E-2</v>
          </cell>
          <cell r="Y67">
            <v>-2.7663338116378451E-2</v>
          </cell>
          <cell r="Z67">
            <v>-4.4999999999999998E-2</v>
          </cell>
          <cell r="AA67">
            <v>-4.4999999999999998E-2</v>
          </cell>
          <cell r="AB67">
            <v>-4.4999999999999998E-2</v>
          </cell>
          <cell r="AC67">
            <v>-4.4999999999999998E-2</v>
          </cell>
          <cell r="AD67">
            <v>-4.5000000000000005E-2</v>
          </cell>
          <cell r="AE67">
            <v>-4.4999999999999998E-2</v>
          </cell>
          <cell r="AF67">
            <v>-4.4999999999999998E-2</v>
          </cell>
          <cell r="AG67">
            <v>-4.4999999999999998E-2</v>
          </cell>
          <cell r="AH67"/>
        </row>
        <row r="68">
          <cell r="C68" t="str">
            <v>R&amp;D as a % of Revenue</v>
          </cell>
          <cell r="D68"/>
          <cell r="E68"/>
          <cell r="F68">
            <v>-6.8655710702654141E-3</v>
          </cell>
          <cell r="G68">
            <v>-1.5233443388456388E-2</v>
          </cell>
          <cell r="H68">
            <v>-5.9718341265582861E-3</v>
          </cell>
          <cell r="I68">
            <v>-4.2647931340355164E-3</v>
          </cell>
          <cell r="J68">
            <v>-7.883393249620908E-3</v>
          </cell>
          <cell r="K68">
            <v>-6.1616287876002738E-3</v>
          </cell>
          <cell r="L68">
            <v>-5.8584883226564244E-3</v>
          </cell>
          <cell r="M68">
            <v>-5.6325823223570192E-3</v>
          </cell>
          <cell r="N68">
            <v>-4.7295869535493654E-3</v>
          </cell>
          <cell r="O68">
            <v>-5.559150126781499E-3</v>
          </cell>
          <cell r="P68">
            <v>-5.0480356269739539E-3</v>
          </cell>
          <cell r="Q68">
            <v>-4.0003869781841048E-3</v>
          </cell>
          <cell r="R68">
            <v>-4.2595543454158223E-3</v>
          </cell>
          <cell r="S68">
            <v>1.8209641706063897E-3</v>
          </cell>
          <cell r="T68">
            <v>-3.8866233102283938E-2</v>
          </cell>
          <cell r="U68">
            <v>-5.0480356269739539E-3</v>
          </cell>
          <cell r="V68">
            <v>-4.0003869781841048E-3</v>
          </cell>
          <cell r="W68">
            <v>-4.4999999999999998E-2</v>
          </cell>
          <cell r="X68">
            <v>-4.4999999999999998E-2</v>
          </cell>
          <cell r="Y68">
            <v>-2.6916198098323192E-2</v>
          </cell>
          <cell r="Z68">
            <v>-4.4999999999999998E-2</v>
          </cell>
          <cell r="AA68">
            <v>-4.4999999999999998E-2</v>
          </cell>
          <cell r="AB68">
            <v>-4.4999999999999998E-2</v>
          </cell>
          <cell r="AC68">
            <v>-4.4999999999999998E-2</v>
          </cell>
          <cell r="AD68">
            <v>-4.5000000000000005E-2</v>
          </cell>
          <cell r="AE68">
            <v>-4.4999999999999998E-2</v>
          </cell>
          <cell r="AF68">
            <v>-4.4999999999999998E-2</v>
          </cell>
          <cell r="AG68">
            <v>-4.4999999999999998E-2</v>
          </cell>
          <cell r="AH68"/>
        </row>
        <row r="69">
          <cell r="C69" t="str">
            <v>Other Operating Income as a % of Revenue</v>
          </cell>
          <cell r="D69"/>
          <cell r="E69"/>
          <cell r="F69">
            <v>4.342454984464493E-4</v>
          </cell>
          <cell r="G69">
            <v>6.016028418572339E-4</v>
          </cell>
          <cell r="H69">
            <v>4.7384448145386637E-4</v>
          </cell>
          <cell r="I69">
            <v>5.0519588089125952E-4</v>
          </cell>
          <cell r="J69">
            <v>5.0431908404750142E-4</v>
          </cell>
          <cell r="K69">
            <v>6.1028065557377413E-4</v>
          </cell>
          <cell r="L69">
            <v>2.6662246978879179E-4</v>
          </cell>
          <cell r="M69">
            <v>3.5983902711276915E-4</v>
          </cell>
          <cell r="N69">
            <v>3.4803793613503872E-4</v>
          </cell>
          <cell r="O69">
            <v>3.9345982338025707E-4</v>
          </cell>
          <cell r="P69">
            <v>5.1537536505755026E-4</v>
          </cell>
          <cell r="Q69">
            <v>4.3535045711797997E-5</v>
          </cell>
          <cell r="R69">
            <v>5.2084139090435595E-4</v>
          </cell>
          <cell r="S69">
            <v>4.2745637807661727E-6</v>
          </cell>
          <cell r="T69">
            <v>2.211416138582078E-3</v>
          </cell>
          <cell r="U69">
            <v>5.1537536505755026E-4</v>
          </cell>
          <cell r="V69">
            <v>4.3535045711797997E-5</v>
          </cell>
          <cell r="W69">
            <v>5.0000000000000001E-3</v>
          </cell>
          <cell r="X69">
            <v>5.0000000000000001E-3</v>
          </cell>
          <cell r="Y69">
            <v>2.8788943934083826E-3</v>
          </cell>
          <cell r="Z69">
            <v>5.0000000000000001E-3</v>
          </cell>
          <cell r="AA69">
            <v>5.0000000000000001E-3</v>
          </cell>
          <cell r="AB69">
            <v>5.0000000000000001E-3</v>
          </cell>
          <cell r="AC69">
            <v>5.0000000000000001E-3</v>
          </cell>
          <cell r="AD69">
            <v>5.0000000000000001E-3</v>
          </cell>
          <cell r="AE69">
            <v>5.0000000000000001E-3</v>
          </cell>
          <cell r="AF69">
            <v>5.0000000000000001E-3</v>
          </cell>
          <cell r="AG69">
            <v>5.0000000000000001E-3</v>
          </cell>
          <cell r="AH69"/>
        </row>
        <row r="70">
          <cell r="C70" t="str">
            <v>Other Non-Operating Income as a % of Revenue</v>
          </cell>
          <cell r="D70"/>
          <cell r="E70"/>
          <cell r="F70">
            <v>1.9466177516564969E-4</v>
          </cell>
          <cell r="G70">
            <v>9.3105201716000481E-5</v>
          </cell>
          <cell r="H70">
            <v>1.3936602395701951E-5</v>
          </cell>
          <cell r="I70">
            <v>-5.8743707080379014E-6</v>
          </cell>
          <cell r="J70">
            <v>6.8151227573986679E-5</v>
          </cell>
          <cell r="K70">
            <v>1.6176113762196421E-4</v>
          </cell>
          <cell r="L70">
            <v>1.9456234281884806E-4</v>
          </cell>
          <cell r="M70">
            <v>3.3046441265458388E-4</v>
          </cell>
          <cell r="N70">
            <v>2.175237100843992E-4</v>
          </cell>
          <cell r="O70">
            <v>2.2558363207134737E-4</v>
          </cell>
          <cell r="P70">
            <v>4.3608684735638869E-4</v>
          </cell>
          <cell r="Q70">
            <v>-7.255840951966333E-5</v>
          </cell>
          <cell r="R70">
            <v>6.1882145453982885E-5</v>
          </cell>
          <cell r="S70">
            <v>-6.1981174821109508E-5</v>
          </cell>
          <cell r="T70">
            <v>1.0938187352126406E-3</v>
          </cell>
          <cell r="U70">
            <v>4.3608684735638869E-4</v>
          </cell>
          <cell r="V70">
            <v>-7.255840951966333E-5</v>
          </cell>
          <cell r="W70">
            <v>0</v>
          </cell>
          <cell r="X70">
            <v>0</v>
          </cell>
          <cell r="Y70">
            <v>6.3506901534697208E-5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/>
        </row>
        <row r="71">
          <cell r="C71" t="str">
            <v>Tax Rate</v>
          </cell>
          <cell r="D71"/>
          <cell r="E71"/>
          <cell r="F71">
            <v>4.6328345492305236E-3</v>
          </cell>
          <cell r="G71">
            <v>-2.1417394420987297E-3</v>
          </cell>
          <cell r="H71">
            <v>-6.2391225823399995E-4</v>
          </cell>
          <cell r="I71">
            <v>3.1667650689710695E-3</v>
          </cell>
          <cell r="J71">
            <v>1.3516037491439509E-3</v>
          </cell>
          <cell r="K71">
            <v>4.3423999452925988E-3</v>
          </cell>
          <cell r="L71">
            <v>5.9745322903217643E-3</v>
          </cell>
          <cell r="M71">
            <v>6.9338922364858965E-3</v>
          </cell>
          <cell r="N71">
            <v>-1.1551846129409557E-3</v>
          </cell>
          <cell r="O71">
            <v>3.7870646155105884E-3</v>
          </cell>
          <cell r="P71">
            <v>2.7675206226156893E-3</v>
          </cell>
          <cell r="Q71">
            <v>2.1074473948707972E-3</v>
          </cell>
          <cell r="R71">
            <v>-1.3457847680569208E-3</v>
          </cell>
          <cell r="S71">
            <v>-1.2637678568163209E-3</v>
          </cell>
          <cell r="T71">
            <v>-0.21130402659770964</v>
          </cell>
          <cell r="U71">
            <v>2.7675206226156893E-3</v>
          </cell>
          <cell r="V71">
            <v>2.1074473948707972E-3</v>
          </cell>
          <cell r="W71">
            <v>0.21</v>
          </cell>
          <cell r="X71">
            <v>0.21</v>
          </cell>
          <cell r="Y71">
            <v>1.4617390534874125E-2</v>
          </cell>
          <cell r="Z71">
            <v>0.21</v>
          </cell>
          <cell r="AA71">
            <v>0.21</v>
          </cell>
          <cell r="AB71">
            <v>0.21</v>
          </cell>
          <cell r="AC71">
            <v>0.21</v>
          </cell>
          <cell r="AD71">
            <v>0.21000000000000002</v>
          </cell>
          <cell r="AE71">
            <v>0.21</v>
          </cell>
          <cell r="AF71">
            <v>0.21</v>
          </cell>
          <cell r="AG71">
            <v>0.21</v>
          </cell>
          <cell r="AH71"/>
        </row>
        <row r="72">
          <cell r="C72"/>
          <cell r="D72"/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</row>
        <row r="73">
          <cell r="C73" t="str">
            <v>Cash Flow Statement</v>
          </cell>
          <cell r="D73"/>
          <cell r="E73"/>
          <cell r="F73" t="str">
            <v>1Q18</v>
          </cell>
          <cell r="G73" t="str">
            <v>2Q18</v>
          </cell>
          <cell r="H73" t="str">
            <v>3Q18</v>
          </cell>
          <cell r="I73" t="str">
            <v>4Q18</v>
          </cell>
          <cell r="J73">
            <v>2018</v>
          </cell>
          <cell r="K73" t="str">
            <v>1Q19</v>
          </cell>
          <cell r="L73" t="str">
            <v>2Q19</v>
          </cell>
          <cell r="M73" t="str">
            <v>3Q19</v>
          </cell>
          <cell r="N73" t="str">
            <v>4Q19</v>
          </cell>
          <cell r="O73">
            <v>2019</v>
          </cell>
          <cell r="P73" t="str">
            <v>1Q20</v>
          </cell>
          <cell r="Q73" t="str">
            <v>2Q20</v>
          </cell>
          <cell r="R73" t="str">
            <v>3Q20</v>
          </cell>
          <cell r="S73" t="str">
            <v>4Q20</v>
          </cell>
          <cell r="T73">
            <v>2020</v>
          </cell>
          <cell r="U73" t="str">
            <v>1Q21</v>
          </cell>
          <cell r="V73" t="str">
            <v>2Q21</v>
          </cell>
          <cell r="W73" t="str">
            <v>3Q21e</v>
          </cell>
          <cell r="X73" t="str">
            <v>4Q21e</v>
          </cell>
          <cell r="Y73" t="str">
            <v>2021e</v>
          </cell>
          <cell r="Z73" t="str">
            <v>1Q22e</v>
          </cell>
          <cell r="AA73" t="str">
            <v>2Q22e</v>
          </cell>
          <cell r="AB73" t="str">
            <v>3Q22e</v>
          </cell>
          <cell r="AC73" t="str">
            <v>4Q22e</v>
          </cell>
          <cell r="AD73" t="str">
            <v>2022e</v>
          </cell>
          <cell r="AE73" t="str">
            <v>2023e</v>
          </cell>
          <cell r="AF73" t="str">
            <v>2024e</v>
          </cell>
          <cell r="AG73" t="str">
            <v>2025e</v>
          </cell>
          <cell r="AH73" t="str">
            <v>x</v>
          </cell>
        </row>
        <row r="74">
          <cell r="C74"/>
          <cell r="D74"/>
          <cell r="E74"/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</row>
        <row r="75">
          <cell r="C75" t="str">
            <v>Net Income</v>
          </cell>
          <cell r="D75"/>
          <cell r="E75"/>
          <cell r="F75"/>
          <cell r="G75"/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>
            <v>7620.9818749999913</v>
          </cell>
          <cell r="X75">
            <v>8006.817578750004</v>
          </cell>
          <cell r="Y75">
            <v>15627.799453749994</v>
          </cell>
          <cell r="Z75">
            <v>8006.9848354626956</v>
          </cell>
          <cell r="AA75">
            <v>8432.3686988470836</v>
          </cell>
          <cell r="AB75">
            <v>9283.9819876254642</v>
          </cell>
          <cell r="AC75">
            <v>9752.9676970067376</v>
          </cell>
          <cell r="AD75">
            <v>35476.303218941983</v>
          </cell>
          <cell r="AE75">
            <v>38119.681307561157</v>
          </cell>
          <cell r="AF75">
            <v>40044.811812939275</v>
          </cell>
          <cell r="AG75">
            <v>42066.198843586164</v>
          </cell>
          <cell r="AH75"/>
        </row>
        <row r="76">
          <cell r="C76" t="str">
            <v>Depreciation &amp; Amortization</v>
          </cell>
          <cell r="D76"/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>
            <v>472.6875</v>
          </cell>
          <cell r="X76">
            <v>617.76159375000009</v>
          </cell>
          <cell r="Y76">
            <v>1090.44909375</v>
          </cell>
          <cell r="Z76">
            <v>765.535402734375</v>
          </cell>
          <cell r="AA76">
            <v>916.31468731933592</v>
          </cell>
          <cell r="AB76">
            <v>1070.4140918417359</v>
          </cell>
          <cell r="AC76">
            <v>1228.1578289593895</v>
          </cell>
          <cell r="AD76">
            <v>3980.4220108548366</v>
          </cell>
          <cell r="AE76">
            <v>5559.5215568528683</v>
          </cell>
          <cell r="AF76">
            <v>7974.7587332457124</v>
          </cell>
          <cell r="AG76">
            <v>10190.168603675667</v>
          </cell>
          <cell r="AH76"/>
        </row>
        <row r="77">
          <cell r="C77" t="str">
            <v>Stock-Based Compensation</v>
          </cell>
          <cell r="D77"/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>
            <v>55.65</v>
          </cell>
          <cell r="X77">
            <v>58.43249999999999</v>
          </cell>
          <cell r="Y77">
            <v>114.08249999999998</v>
          </cell>
          <cell r="Z77">
            <v>61.354125000000003</v>
          </cell>
          <cell r="AA77">
            <v>64.421831250000011</v>
          </cell>
          <cell r="AB77">
            <v>67.642922812500004</v>
          </cell>
          <cell r="AC77">
            <v>71.025068953125015</v>
          </cell>
          <cell r="AD77">
            <v>264.44394801562504</v>
          </cell>
          <cell r="AE77">
            <v>277.66614541640632</v>
          </cell>
          <cell r="AF77">
            <v>291.54945268722662</v>
          </cell>
          <cell r="AG77">
            <v>306.12692532158792</v>
          </cell>
          <cell r="AH77"/>
        </row>
        <row r="78">
          <cell r="C78" t="str">
            <v>(Increase)/Decrease in Working Capital</v>
          </cell>
          <cell r="D78"/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>
            <v>7833.3231847824063</v>
          </cell>
          <cell r="X78">
            <v>283.36615923931822</v>
          </cell>
          <cell r="Y78">
            <v>8116.6893440217245</v>
          </cell>
          <cell r="Z78">
            <v>-89506.097189021879</v>
          </cell>
          <cell r="AA78">
            <v>83268.228865499957</v>
          </cell>
          <cell r="AB78">
            <v>7175.8457313731778</v>
          </cell>
          <cell r="AC78">
            <v>344.4333375939168</v>
          </cell>
          <cell r="AD78">
            <v>1282.4107454451732</v>
          </cell>
          <cell r="AE78">
            <v>-5682.6992431804538</v>
          </cell>
          <cell r="AF78">
            <v>77.520042313961312</v>
          </cell>
          <cell r="AG78">
            <v>81.396044430322945</v>
          </cell>
          <cell r="AH78"/>
        </row>
        <row r="79">
          <cell r="C79" t="str">
            <v>(Increase)/Decrease in LT Items</v>
          </cell>
          <cell r="D79"/>
          <cell r="E79"/>
          <cell r="F79"/>
          <cell r="G79"/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/>
        </row>
        <row r="80">
          <cell r="C80" t="str">
            <v>Net Cash From Operating Activities</v>
          </cell>
          <cell r="D80"/>
          <cell r="E80"/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>
            <v>15982.642559782398</v>
          </cell>
          <cell r="X80">
            <v>8966.3778317393226</v>
          </cell>
          <cell r="Y80">
            <v>24949.020391521721</v>
          </cell>
          <cell r="Z80">
            <v>-80672.222825824807</v>
          </cell>
          <cell r="AA80">
            <v>92681.334082916379</v>
          </cell>
          <cell r="AB80">
            <v>17597.884733652878</v>
          </cell>
          <cell r="AC80">
            <v>11396.583932513169</v>
          </cell>
          <cell r="AD80">
            <v>41003.579923257617</v>
          </cell>
          <cell r="AE80">
            <v>38274.169766649975</v>
          </cell>
          <cell r="AF80">
            <v>48388.640041186176</v>
          </cell>
          <cell r="AG80">
            <v>52643.890417013739</v>
          </cell>
          <cell r="AH80"/>
        </row>
        <row r="81">
          <cell r="C81"/>
          <cell r="D81"/>
          <cell r="E81"/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</row>
        <row r="82">
          <cell r="C82" t="str">
            <v>Capital Expenditures</v>
          </cell>
          <cell r="D82"/>
          <cell r="E82"/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>
            <v>-4341.33</v>
          </cell>
          <cell r="X82">
            <v>-4558.3964999999998</v>
          </cell>
          <cell r="Y82">
            <v>-8899.7265000000007</v>
          </cell>
          <cell r="Z82">
            <v>-4786.3163250000007</v>
          </cell>
          <cell r="AA82">
            <v>-5025.632141250001</v>
          </cell>
          <cell r="AB82">
            <v>-5276.9137483125005</v>
          </cell>
          <cell r="AC82">
            <v>-5540.7594357281259</v>
          </cell>
          <cell r="AD82">
            <v>-20629.621650290628</v>
          </cell>
          <cell r="AE82">
            <v>-21661.102732805164</v>
          </cell>
          <cell r="AF82">
            <v>-22744.157869445422</v>
          </cell>
          <cell r="AG82">
            <v>-23881.365762917689</v>
          </cell>
          <cell r="AH82"/>
        </row>
        <row r="83">
          <cell r="C83" t="str">
            <v>Purchases of Intangibles</v>
          </cell>
          <cell r="D83"/>
          <cell r="E83"/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/>
        </row>
        <row r="84">
          <cell r="C84" t="str">
            <v>Proceeds From/(Acquisitions of) Businesses</v>
          </cell>
          <cell r="D84"/>
          <cell r="E84"/>
          <cell r="F84"/>
          <cell r="G84"/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/>
        </row>
        <row r="85">
          <cell r="C85" t="str">
            <v>Net Cash From Investment Activities</v>
          </cell>
          <cell r="D85"/>
          <cell r="E85"/>
          <cell r="F85"/>
          <cell r="G85"/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>
            <v>-4341.33</v>
          </cell>
          <cell r="X85">
            <v>-4558.3964999999998</v>
          </cell>
          <cell r="Y85">
            <v>-8899.7265000000007</v>
          </cell>
          <cell r="Z85">
            <v>-4786.3163250000007</v>
          </cell>
          <cell r="AA85">
            <v>-5025.632141250001</v>
          </cell>
          <cell r="AB85">
            <v>-5276.9137483125005</v>
          </cell>
          <cell r="AC85">
            <v>-5540.7594357281259</v>
          </cell>
          <cell r="AD85">
            <v>-20629.621650290628</v>
          </cell>
          <cell r="AE85">
            <v>-21661.102732805164</v>
          </cell>
          <cell r="AF85">
            <v>-22744.157869445422</v>
          </cell>
          <cell r="AG85">
            <v>-23881.365762917689</v>
          </cell>
          <cell r="AH85"/>
        </row>
        <row r="86">
          <cell r="C86"/>
          <cell r="D86"/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</row>
        <row r="87">
          <cell r="C87" t="str">
            <v>Cash Flow Available for Financing Activities</v>
          </cell>
          <cell r="D87"/>
          <cell r="E87"/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>
            <v>11641.312559782398</v>
          </cell>
          <cell r="X87">
            <v>4407.9813317393227</v>
          </cell>
          <cell r="Y87">
            <v>16049.29389152172</v>
          </cell>
          <cell r="Z87">
            <v>-85458.539150824814</v>
          </cell>
          <cell r="AA87">
            <v>87655.701941666382</v>
          </cell>
          <cell r="AB87">
            <v>12320.970985340377</v>
          </cell>
          <cell r="AC87">
            <v>5855.8244967850433</v>
          </cell>
          <cell r="AD87">
            <v>20373.958272966989</v>
          </cell>
          <cell r="AE87">
            <v>16613.067033844811</v>
          </cell>
          <cell r="AF87">
            <v>25644.482171740754</v>
          </cell>
          <cell r="AG87">
            <v>28762.524654096051</v>
          </cell>
          <cell r="AH87"/>
        </row>
        <row r="88">
          <cell r="C88"/>
          <cell r="D88"/>
          <cell r="E88"/>
          <cell r="F88"/>
          <cell r="G88"/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</row>
        <row r="89">
          <cell r="C89" t="str">
            <v>Issuance/(Repayment) of Revolver</v>
          </cell>
          <cell r="D89"/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>
            <v>0</v>
          </cell>
          <cell r="X89">
            <v>0</v>
          </cell>
          <cell r="Y89">
            <v>0</v>
          </cell>
          <cell r="Z89">
            <v>82017.262222744161</v>
          </cell>
          <cell r="AA89">
            <v>-82017.262222744161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/>
        </row>
        <row r="90">
          <cell r="C90" t="str">
            <v>Issuance of Debt</v>
          </cell>
          <cell r="D90"/>
          <cell r="E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>
            <v>500</v>
          </cell>
          <cell r="X90">
            <v>500</v>
          </cell>
          <cell r="Y90">
            <v>1000</v>
          </cell>
          <cell r="Z90">
            <v>500</v>
          </cell>
          <cell r="AA90">
            <v>500</v>
          </cell>
          <cell r="AB90">
            <v>500</v>
          </cell>
          <cell r="AC90">
            <v>500</v>
          </cell>
          <cell r="AD90">
            <v>2000</v>
          </cell>
          <cell r="AE90">
            <v>2000</v>
          </cell>
          <cell r="AF90">
            <v>2000</v>
          </cell>
          <cell r="AG90">
            <v>2000</v>
          </cell>
          <cell r="AH90"/>
        </row>
        <row r="91">
          <cell r="C91" t="str">
            <v>(Repayment of Debt)</v>
          </cell>
          <cell r="D91"/>
          <cell r="E91"/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>
            <v>-500</v>
          </cell>
          <cell r="X91">
            <v>-500</v>
          </cell>
          <cell r="Y91">
            <v>-1000</v>
          </cell>
          <cell r="Z91">
            <v>-500</v>
          </cell>
          <cell r="AA91">
            <v>-500</v>
          </cell>
          <cell r="AB91">
            <v>-500</v>
          </cell>
          <cell r="AC91">
            <v>-500</v>
          </cell>
          <cell r="AD91">
            <v>-2000</v>
          </cell>
          <cell r="AE91">
            <v>-2000</v>
          </cell>
          <cell r="AF91">
            <v>-2000</v>
          </cell>
          <cell r="AG91">
            <v>-2000</v>
          </cell>
          <cell r="AH91"/>
        </row>
        <row r="92">
          <cell r="C92" t="str">
            <v>Issuance of Equity</v>
          </cell>
          <cell r="D92"/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/>
        </row>
        <row r="93">
          <cell r="C93" t="str">
            <v>(Repurchase) of Equity</v>
          </cell>
          <cell r="D93"/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>
            <v>-2000</v>
          </cell>
          <cell r="X93">
            <v>-2000</v>
          </cell>
          <cell r="Y93">
            <v>-4000</v>
          </cell>
          <cell r="Z93">
            <v>-2000</v>
          </cell>
          <cell r="AA93">
            <v>-2000</v>
          </cell>
          <cell r="AB93">
            <v>-2000</v>
          </cell>
          <cell r="AC93">
            <v>-2000</v>
          </cell>
          <cell r="AD93">
            <v>-8000</v>
          </cell>
          <cell r="AE93">
            <v>-6000</v>
          </cell>
          <cell r="AF93">
            <v>-6000</v>
          </cell>
          <cell r="AG93">
            <v>-6000</v>
          </cell>
          <cell r="AH93"/>
        </row>
        <row r="94">
          <cell r="C94" t="str">
            <v>Dividends Issued</v>
          </cell>
          <cell r="D94"/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>
            <v>-1125.8499999999999</v>
          </cell>
          <cell r="X94">
            <v>-1115.5</v>
          </cell>
          <cell r="Y94">
            <v>-2241.35</v>
          </cell>
          <cell r="Z94">
            <v>-1156.8999999999999</v>
          </cell>
          <cell r="AA94">
            <v>-1139.6499999999999</v>
          </cell>
          <cell r="AB94">
            <v>-1294.7274999999997</v>
          </cell>
          <cell r="AC94">
            <v>-1282.8249999999998</v>
          </cell>
          <cell r="AD94">
            <v>-4874.1024999999991</v>
          </cell>
          <cell r="AE94">
            <v>-5605.2178749999985</v>
          </cell>
          <cell r="AF94">
            <v>-6446.0005562499973</v>
          </cell>
          <cell r="AG94">
            <v>-7412.9006396874966</v>
          </cell>
          <cell r="AH94"/>
        </row>
        <row r="95">
          <cell r="C95" t="str">
            <v>Change in Noncontrolling Interests</v>
          </cell>
          <cell r="D95"/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/>
        </row>
        <row r="96">
          <cell r="C96" t="str">
            <v>Net Cash From Financing Activities</v>
          </cell>
          <cell r="D96"/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>
            <v>-3125.85</v>
          </cell>
          <cell r="X96">
            <v>-3115.5</v>
          </cell>
          <cell r="Y96">
            <v>-6241.35</v>
          </cell>
          <cell r="Z96">
            <v>78860.362222744167</v>
          </cell>
          <cell r="AA96">
            <v>-85156.912222744155</v>
          </cell>
          <cell r="AB96">
            <v>-3294.7275</v>
          </cell>
          <cell r="AC96">
            <v>-3282.8249999999998</v>
          </cell>
          <cell r="AD96">
            <v>-12874.10249999999</v>
          </cell>
          <cell r="AE96">
            <v>-11605.217874999998</v>
          </cell>
          <cell r="AF96">
            <v>-12446.000556249997</v>
          </cell>
          <cell r="AG96">
            <v>-13412.900639687497</v>
          </cell>
          <cell r="AH96"/>
        </row>
        <row r="97">
          <cell r="C97"/>
          <cell r="D97"/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/>
          <cell r="AF97"/>
          <cell r="AG97"/>
          <cell r="AH97"/>
        </row>
        <row r="98">
          <cell r="C98" t="str">
            <v>Effect of FX Rate Changes on Cash</v>
          </cell>
          <cell r="D98"/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/>
        </row>
        <row r="99">
          <cell r="C99" t="str">
            <v>Beginning Cash Adjustments</v>
          </cell>
          <cell r="D99"/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/>
        </row>
        <row r="100">
          <cell r="C100" t="str">
            <v>Ending Cash Adjustments</v>
          </cell>
          <cell r="D100"/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/>
        </row>
        <row r="101">
          <cell r="C101"/>
          <cell r="D101"/>
          <cell r="E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</row>
        <row r="102">
          <cell r="C102" t="str">
            <v>Beginning Cash Balance</v>
          </cell>
          <cell r="D102"/>
          <cell r="E102"/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>
            <v>0</v>
          </cell>
          <cell r="X102">
            <v>8515.4625597823979</v>
          </cell>
          <cell r="Y102">
            <v>0</v>
          </cell>
          <cell r="Z102">
            <v>9807.9438915217215</v>
          </cell>
          <cell r="AA102">
            <v>3209.766963441074</v>
          </cell>
          <cell r="AB102">
            <v>5708.5566823633017</v>
          </cell>
          <cell r="AC102">
            <v>14734.800167703677</v>
          </cell>
          <cell r="AD102">
            <v>9807.9438915217215</v>
          </cell>
          <cell r="AE102">
            <v>17307.799664488721</v>
          </cell>
          <cell r="AF102">
            <v>22315.648823333533</v>
          </cell>
          <cell r="AG102">
            <v>35514.130438824286</v>
          </cell>
          <cell r="AH102"/>
        </row>
        <row r="103">
          <cell r="C103" t="str">
            <v>Net Change in Cash</v>
          </cell>
          <cell r="D103"/>
          <cell r="E103"/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>
            <v>8515.4625597823979</v>
          </cell>
          <cell r="X103">
            <v>1292.4813317393227</v>
          </cell>
          <cell r="Y103">
            <v>9807.9438915217215</v>
          </cell>
          <cell r="Z103">
            <v>-6598.1769280806475</v>
          </cell>
          <cell r="AA103">
            <v>2498.7897189222276</v>
          </cell>
          <cell r="AB103">
            <v>9026.2434853403756</v>
          </cell>
          <cell r="AC103">
            <v>2572.9994967850434</v>
          </cell>
          <cell r="AD103">
            <v>7499.8557729669992</v>
          </cell>
          <cell r="AE103">
            <v>5007.8491588448123</v>
          </cell>
          <cell r="AF103">
            <v>13198.481615490757</v>
          </cell>
          <cell r="AG103">
            <v>15349.624014408553</v>
          </cell>
          <cell r="AH103"/>
        </row>
        <row r="104">
          <cell r="C104" t="str">
            <v>Ending Cash Balance</v>
          </cell>
          <cell r="D104"/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  <cell r="Q104"/>
          <cell r="R104"/>
          <cell r="S104"/>
          <cell r="T104">
            <v>9763</v>
          </cell>
          <cell r="U104"/>
          <cell r="V104"/>
          <cell r="W104">
            <v>8515.4625597823979</v>
          </cell>
          <cell r="X104">
            <v>9807.9438915217215</v>
          </cell>
          <cell r="Y104">
            <v>9807.9438915217215</v>
          </cell>
          <cell r="Z104">
            <v>3209.766963441074</v>
          </cell>
          <cell r="AA104">
            <v>5708.5566823633017</v>
          </cell>
          <cell r="AB104">
            <v>14734.800167703677</v>
          </cell>
          <cell r="AC104">
            <v>17307.799664488721</v>
          </cell>
          <cell r="AD104">
            <v>17307.799664488721</v>
          </cell>
          <cell r="AE104">
            <v>22315.648823333533</v>
          </cell>
          <cell r="AF104">
            <v>35514.130438824286</v>
          </cell>
          <cell r="AG104">
            <v>50863.754453232839</v>
          </cell>
          <cell r="AH104"/>
        </row>
        <row r="105">
          <cell r="C105"/>
          <cell r="D105"/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</row>
        <row r="106">
          <cell r="C106" t="str">
            <v>Free Cash Flow Analysis</v>
          </cell>
          <cell r="D106"/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 t="str">
            <v>x</v>
          </cell>
        </row>
        <row r="107">
          <cell r="C107"/>
          <cell r="D107"/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</row>
        <row r="108">
          <cell r="C108" t="str">
            <v>Net Income</v>
          </cell>
          <cell r="D108"/>
          <cell r="E108"/>
          <cell r="F108">
            <v>112152</v>
          </cell>
          <cell r="G108">
            <v>114638</v>
          </cell>
          <cell r="H108">
            <v>121888</v>
          </cell>
          <cell r="I108">
            <v>148576</v>
          </cell>
          <cell r="J108">
            <v>497254</v>
          </cell>
          <cell r="K108">
            <v>116478</v>
          </cell>
          <cell r="L108">
            <v>117795</v>
          </cell>
          <cell r="M108">
            <v>113716</v>
          </cell>
          <cell r="N108">
            <v>138666</v>
          </cell>
          <cell r="O108">
            <v>486655</v>
          </cell>
          <cell r="P108">
            <v>130441</v>
          </cell>
          <cell r="Q108">
            <v>184668</v>
          </cell>
          <cell r="R108">
            <v>171134</v>
          </cell>
          <cell r="S108">
            <v>-492801</v>
          </cell>
          <cell r="T108">
            <v>-6558</v>
          </cell>
          <cell r="U108">
            <v>130441</v>
          </cell>
          <cell r="V108">
            <v>184668</v>
          </cell>
          <cell r="W108">
            <v>7620.9818749999913</v>
          </cell>
          <cell r="X108">
            <v>8006.817578750004</v>
          </cell>
          <cell r="Y108">
            <v>330736.79945375002</v>
          </cell>
          <cell r="Z108">
            <v>8006.9848354626956</v>
          </cell>
          <cell r="AA108">
            <v>8432.3686988470836</v>
          </cell>
          <cell r="AB108">
            <v>9283.9819876254642</v>
          </cell>
          <cell r="AC108">
            <v>9752.9676970067376</v>
          </cell>
          <cell r="AD108">
            <v>35476.303218941983</v>
          </cell>
          <cell r="AE108">
            <v>38119.681307561157</v>
          </cell>
          <cell r="AF108">
            <v>40044.811812939275</v>
          </cell>
          <cell r="AG108">
            <v>42066.198843586164</v>
          </cell>
          <cell r="AH108"/>
        </row>
        <row r="109">
          <cell r="C109" t="str">
            <v>Depreciation &amp; Amortization</v>
          </cell>
          <cell r="D109"/>
          <cell r="E109"/>
          <cell r="F109">
            <v>443</v>
          </cell>
          <cell r="G109">
            <v>447</v>
          </cell>
          <cell r="H109">
            <v>474</v>
          </cell>
          <cell r="I109">
            <v>546</v>
          </cell>
          <cell r="J109">
            <v>1910</v>
          </cell>
          <cell r="K109">
            <v>471</v>
          </cell>
          <cell r="L109">
            <v>494</v>
          </cell>
          <cell r="M109">
            <v>522</v>
          </cell>
          <cell r="N109">
            <v>582</v>
          </cell>
          <cell r="O109">
            <v>2069</v>
          </cell>
          <cell r="P109">
            <v>501</v>
          </cell>
          <cell r="Q109">
            <v>507</v>
          </cell>
          <cell r="R109">
            <v>523</v>
          </cell>
          <cell r="S109">
            <v>583</v>
          </cell>
          <cell r="T109">
            <v>2114</v>
          </cell>
          <cell r="U109">
            <v>501</v>
          </cell>
          <cell r="V109">
            <v>507</v>
          </cell>
          <cell r="W109">
            <v>472.6875</v>
          </cell>
          <cell r="X109">
            <v>617.76159375000009</v>
          </cell>
          <cell r="Y109">
            <v>2098.44909375</v>
          </cell>
          <cell r="Z109">
            <v>765.535402734375</v>
          </cell>
          <cell r="AA109">
            <v>916.31468731933592</v>
          </cell>
          <cell r="AB109">
            <v>1070.4140918417359</v>
          </cell>
          <cell r="AC109">
            <v>1228.1578289593895</v>
          </cell>
          <cell r="AD109">
            <v>3980.4220108548366</v>
          </cell>
          <cell r="AE109">
            <v>5559.5215568528683</v>
          </cell>
          <cell r="AF109">
            <v>7974.7587332457124</v>
          </cell>
          <cell r="AG109">
            <v>10190.168603675667</v>
          </cell>
          <cell r="AH109"/>
        </row>
        <row r="110">
          <cell r="C110" t="str">
            <v>Change in Operating Working Capital</v>
          </cell>
          <cell r="D110"/>
          <cell r="E110"/>
          <cell r="F110">
            <v>0</v>
          </cell>
          <cell r="G110">
            <v>-3176</v>
          </cell>
          <cell r="H110">
            <v>-2007</v>
          </cell>
          <cell r="I110">
            <v>605</v>
          </cell>
          <cell r="J110">
            <v>-4578</v>
          </cell>
          <cell r="K110">
            <v>223</v>
          </cell>
          <cell r="L110">
            <v>755</v>
          </cell>
          <cell r="M110">
            <v>-1094</v>
          </cell>
          <cell r="N110">
            <v>-1701</v>
          </cell>
          <cell r="O110">
            <v>-1817</v>
          </cell>
          <cell r="P110">
            <v>-8834</v>
          </cell>
          <cell r="Q110">
            <v>323</v>
          </cell>
          <cell r="R110">
            <v>-99</v>
          </cell>
          <cell r="S110">
            <v>-2262</v>
          </cell>
          <cell r="T110">
            <v>-10872</v>
          </cell>
          <cell r="U110">
            <v>2038</v>
          </cell>
          <cell r="V110">
            <v>323</v>
          </cell>
          <cell r="W110">
            <v>-487132.32581521745</v>
          </cell>
          <cell r="X110">
            <v>-26915.066290760762</v>
          </cell>
          <cell r="Y110">
            <v>-511686.39210597822</v>
          </cell>
          <cell r="Z110">
            <v>-34782.547206521966</v>
          </cell>
          <cell r="AA110">
            <v>-29999.946965624928</v>
          </cell>
          <cell r="AB110">
            <v>-24309.739633558085</v>
          </cell>
          <cell r="AC110">
            <v>-32715.431295584189</v>
          </cell>
          <cell r="AD110">
            <v>-121807.66510128917</v>
          </cell>
          <cell r="AE110">
            <v>10040.414948432008</v>
          </cell>
          <cell r="AF110">
            <v>-33849.182112941868</v>
          </cell>
          <cell r="AG110">
            <v>-35541.641218588571</v>
          </cell>
          <cell r="AH110"/>
        </row>
        <row r="111">
          <cell r="C111" t="str">
            <v>Capital Expenditures</v>
          </cell>
          <cell r="D111"/>
          <cell r="E111"/>
          <cell r="F111">
            <v>-748</v>
          </cell>
          <cell r="G111">
            <v>-671</v>
          </cell>
          <cell r="H111">
            <v>-595</v>
          </cell>
          <cell r="I111">
            <v>-599</v>
          </cell>
          <cell r="J111">
            <v>-2613</v>
          </cell>
          <cell r="K111">
            <v>-466</v>
          </cell>
          <cell r="L111">
            <v>-439</v>
          </cell>
          <cell r="M111">
            <v>-399</v>
          </cell>
          <cell r="N111">
            <v>-435</v>
          </cell>
          <cell r="O111">
            <v>-1739</v>
          </cell>
          <cell r="P111">
            <v>-394</v>
          </cell>
          <cell r="Q111">
            <v>-376</v>
          </cell>
          <cell r="R111">
            <v>-457</v>
          </cell>
          <cell r="S111">
            <v>-495</v>
          </cell>
          <cell r="T111">
            <v>-1722</v>
          </cell>
          <cell r="U111">
            <v>-394</v>
          </cell>
          <cell r="V111">
            <v>-376</v>
          </cell>
          <cell r="W111">
            <v>-4341.33</v>
          </cell>
          <cell r="X111">
            <v>-4558.3964999999998</v>
          </cell>
          <cell r="Y111">
            <v>-9669.7265000000007</v>
          </cell>
          <cell r="Z111">
            <v>-4786.3163250000007</v>
          </cell>
          <cell r="AA111">
            <v>-5025.632141250001</v>
          </cell>
          <cell r="AB111">
            <v>-5276.9137483125005</v>
          </cell>
          <cell r="AC111">
            <v>-5540.7594357281259</v>
          </cell>
          <cell r="AD111">
            <v>-20629.621650290628</v>
          </cell>
          <cell r="AE111">
            <v>-21661.102732805164</v>
          </cell>
          <cell r="AF111">
            <v>-22744.157869445422</v>
          </cell>
          <cell r="AG111">
            <v>-23881.365762917689</v>
          </cell>
          <cell r="AH111"/>
        </row>
        <row r="112">
          <cell r="C112" t="str">
            <v>Free Cash Flow (FCF)</v>
          </cell>
          <cell r="D112"/>
          <cell r="E112"/>
          <cell r="F112">
            <v>111847</v>
          </cell>
          <cell r="G112">
            <v>111238</v>
          </cell>
          <cell r="H112">
            <v>119760</v>
          </cell>
          <cell r="I112">
            <v>149128</v>
          </cell>
          <cell r="J112">
            <v>491973</v>
          </cell>
          <cell r="K112">
            <v>116706</v>
          </cell>
          <cell r="L112">
            <v>118605</v>
          </cell>
          <cell r="M112">
            <v>112745</v>
          </cell>
          <cell r="N112">
            <v>137112</v>
          </cell>
          <cell r="O112">
            <v>485168</v>
          </cell>
          <cell r="P112">
            <v>121714</v>
          </cell>
          <cell r="Q112">
            <v>185122</v>
          </cell>
          <cell r="R112">
            <v>171101</v>
          </cell>
          <cell r="S112">
            <v>-494975</v>
          </cell>
          <cell r="T112">
            <v>-17038</v>
          </cell>
          <cell r="U112">
            <v>132586</v>
          </cell>
          <cell r="V112">
            <v>185122</v>
          </cell>
          <cell r="W112">
            <v>-483379.98644021747</v>
          </cell>
          <cell r="X112">
            <v>-22848.883618260759</v>
          </cell>
          <cell r="Y112">
            <v>-188520.87005847821</v>
          </cell>
          <cell r="Z112">
            <v>-30796.343293324895</v>
          </cell>
          <cell r="AA112">
            <v>-25676.895720708508</v>
          </cell>
          <cell r="AB112">
            <v>-19232.257302403385</v>
          </cell>
          <cell r="AC112">
            <v>-27275.065205346189</v>
          </cell>
          <cell r="AD112">
            <v>-102980.56152178298</v>
          </cell>
          <cell r="AE112">
            <v>32058.515080040866</v>
          </cell>
          <cell r="AF112">
            <v>-8573.769436202303</v>
          </cell>
          <cell r="AG112">
            <v>-7166.6395342444303</v>
          </cell>
          <cell r="AH112"/>
        </row>
        <row r="113">
          <cell r="C113"/>
          <cell r="D113"/>
          <cell r="E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</row>
        <row r="114">
          <cell r="C114" t="str">
            <v>Free Cash Flow Margin</v>
          </cell>
          <cell r="D114"/>
          <cell r="E114"/>
          <cell r="F114">
            <v>0.83739752180586235</v>
          </cell>
          <cell r="G114">
            <v>0.79667972526803554</v>
          </cell>
          <cell r="H114">
            <v>0.83452375145463287</v>
          </cell>
          <cell r="I114">
            <v>0.87603315494827616</v>
          </cell>
          <cell r="J114">
            <v>0.83821409708142369</v>
          </cell>
          <cell r="K114">
            <v>0.85811342396858892</v>
          </cell>
          <cell r="L114">
            <v>0.85466913592701754</v>
          </cell>
          <cell r="M114">
            <v>0.82796022677202363</v>
          </cell>
          <cell r="N114">
            <v>0.85214602677406126</v>
          </cell>
          <cell r="O114">
            <v>0.84841829151001136</v>
          </cell>
          <cell r="P114">
            <v>0.80421022028993172</v>
          </cell>
          <cell r="Q114">
            <v>0.89547719247327429</v>
          </cell>
          <cell r="R114">
            <v>0.88234141411016054</v>
          </cell>
          <cell r="S114">
            <v>1.0579011036923682</v>
          </cell>
          <cell r="T114">
            <v>-0.20257047402774972</v>
          </cell>
          <cell r="U114">
            <v>0.87604561732718411</v>
          </cell>
          <cell r="V114">
            <v>0.89547719247327429</v>
          </cell>
          <cell r="W114">
            <v>-2.2268751117294352</v>
          </cell>
          <cell r="X114">
            <v>-0.10024965409771072</v>
          </cell>
          <cell r="Y114">
            <v>-0.23475247709880825</v>
          </cell>
          <cell r="Z114">
            <v>-0.12868494768082381</v>
          </cell>
          <cell r="AA114">
            <v>-0.1021837452445217</v>
          </cell>
          <cell r="AB114">
            <v>-7.2892066157244473E-2</v>
          </cell>
          <cell r="AC114">
            <v>-9.8452443285915375E-2</v>
          </cell>
          <cell r="AD114">
            <v>-9.9837566841980543E-2</v>
          </cell>
          <cell r="AE114">
            <v>2.9600076667831966E-2</v>
          </cell>
          <cell r="AF114">
            <v>-7.5393157974165612E-3</v>
          </cell>
          <cell r="AG114">
            <v>-6.0018674018825057E-3</v>
          </cell>
          <cell r="AH114"/>
        </row>
        <row r="115">
          <cell r="C115" t="str">
            <v>Free Cash Flow per Share</v>
          </cell>
          <cell r="D115"/>
          <cell r="E115"/>
          <cell r="F115">
            <v>169.82538718493774</v>
          </cell>
          <cell r="G115">
            <v>175.09523059971667</v>
          </cell>
          <cell r="H115">
            <v>191.73871277617675</v>
          </cell>
          <cell r="I115">
            <v>240.47004291845491</v>
          </cell>
          <cell r="J115">
            <v>774.15106215578282</v>
          </cell>
          <cell r="K115">
            <v>190.19882659713167</v>
          </cell>
          <cell r="L115">
            <v>197.0837487537388</v>
          </cell>
          <cell r="M115">
            <v>188.66298527443104</v>
          </cell>
          <cell r="N115">
            <v>229.83333333333334</v>
          </cell>
          <cell r="O115">
            <v>805.25809128630704</v>
          </cell>
          <cell r="P115">
            <v>206.25995593967124</v>
          </cell>
          <cell r="Q115">
            <v>318.13369994844476</v>
          </cell>
          <cell r="R115">
            <v>297.98153953326363</v>
          </cell>
          <cell r="S115">
            <v>-863.22811301011495</v>
          </cell>
          <cell r="T115">
            <v>-29.380927746163128</v>
          </cell>
          <cell r="U115">
            <v>224.68395187256397</v>
          </cell>
          <cell r="V115">
            <v>318.13369994844476</v>
          </cell>
          <cell r="W115">
            <v>-846.93892123346723</v>
          </cell>
          <cell r="X115">
            <v>-40.570001182914574</v>
          </cell>
          <cell r="Y115">
            <v>-327.01864042927838</v>
          </cell>
          <cell r="Z115">
            <v>-55.423464248988324</v>
          </cell>
          <cell r="AA115">
            <v>-46.845892203012141</v>
          </cell>
          <cell r="AB115">
            <v>-35.577543393420697</v>
          </cell>
          <cell r="AC115">
            <v>-51.169682283278014</v>
          </cell>
          <cell r="AD115">
            <v>-189.1830326981333</v>
          </cell>
          <cell r="AE115">
            <v>61.895076066160307</v>
          </cell>
          <cell r="AF115">
            <v>-17.309354353624165</v>
          </cell>
          <cell r="AG115">
            <v>-15.161003192229419</v>
          </cell>
          <cell r="AH115"/>
        </row>
        <row r="116">
          <cell r="C116" t="str">
            <v>Free Cash Flow Yield</v>
          </cell>
          <cell r="D116"/>
          <cell r="E116"/>
          <cell r="F116">
            <v>5.5457714812617436</v>
          </cell>
          <cell r="G116">
            <v>5.3566418539110261</v>
          </cell>
          <cell r="H116">
            <v>5.8001576881547843</v>
          </cell>
          <cell r="I116">
            <v>7.0488067688247078</v>
          </cell>
          <cell r="J116">
            <v>5.9329876585425838</v>
          </cell>
          <cell r="K116">
            <v>4.5315105508876448</v>
          </cell>
          <cell r="L116">
            <v>4.2781515982794547</v>
          </cell>
          <cell r="M116">
            <v>3.3208006208920753</v>
          </cell>
          <cell r="N116">
            <v>3.5238350773633846</v>
          </cell>
          <cell r="O116">
            <v>3.8331933418365205</v>
          </cell>
          <cell r="P116">
            <v>2.4376287412358479</v>
          </cell>
          <cell r="Q116">
            <v>3.6802926795088617</v>
          </cell>
          <cell r="R116">
            <v>3.4293125359871524</v>
          </cell>
          <cell r="S116">
            <v>-9.2264655088725416</v>
          </cell>
          <cell r="T116">
            <v>-8.3584898711738298E-2</v>
          </cell>
          <cell r="U116">
            <v>2.6553678647115047</v>
          </cell>
          <cell r="V116">
            <v>3.6802926795088617</v>
          </cell>
          <cell r="W116">
            <v>-12.773861034402433</v>
          </cell>
          <cell r="X116">
            <v>-0.61189248041800204</v>
          </cell>
          <cell r="Y116">
            <v>-1.0769147999152953</v>
          </cell>
          <cell r="Z116">
            <v>-0.83591816672053587</v>
          </cell>
          <cell r="AA116">
            <v>-0.70654790095414421</v>
          </cell>
          <cell r="AB116">
            <v>-0.53659429725003882</v>
          </cell>
          <cell r="AC116">
            <v>-0.77176097859474402</v>
          </cell>
          <cell r="AD116">
            <v>-0.71333295387856155</v>
          </cell>
          <cell r="AE116">
            <v>0.23338138104204334</v>
          </cell>
          <cell r="AF116">
            <v>-6.526659761556565E-2</v>
          </cell>
          <cell r="AG116">
            <v>-5.7166031417478301E-2</v>
          </cell>
          <cell r="AH116"/>
        </row>
        <row r="117">
          <cell r="C117"/>
          <cell r="D117"/>
          <cell r="E117"/>
          <cell r="F117"/>
          <cell r="G117"/>
          <cell r="H117"/>
          <cell r="I117"/>
          <cell r="J117"/>
          <cell r="K117"/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C117"/>
          <cell r="AD117"/>
          <cell r="AE117"/>
          <cell r="AF117"/>
          <cell r="AG117"/>
          <cell r="AH117"/>
        </row>
        <row r="118">
          <cell r="C118" t="str">
            <v>Balance Sheet</v>
          </cell>
          <cell r="D118"/>
          <cell r="E118"/>
          <cell r="F118" t="str">
            <v>1Q18</v>
          </cell>
          <cell r="G118" t="str">
            <v>2Q18</v>
          </cell>
          <cell r="H118" t="str">
            <v>3Q18</v>
          </cell>
          <cell r="I118" t="str">
            <v>4Q18</v>
          </cell>
          <cell r="J118">
            <v>2018</v>
          </cell>
          <cell r="K118" t="str">
            <v>1Q19</v>
          </cell>
          <cell r="L118" t="str">
            <v>2Q19</v>
          </cell>
          <cell r="M118" t="str">
            <v>3Q19</v>
          </cell>
          <cell r="N118" t="str">
            <v>4Q19</v>
          </cell>
          <cell r="O118">
            <v>2019</v>
          </cell>
          <cell r="P118" t="str">
            <v>1Q20</v>
          </cell>
          <cell r="Q118" t="str">
            <v>2Q20</v>
          </cell>
          <cell r="R118" t="str">
            <v>3Q20</v>
          </cell>
          <cell r="S118" t="str">
            <v>4Q20</v>
          </cell>
          <cell r="T118">
            <v>2020</v>
          </cell>
          <cell r="U118" t="str">
            <v>1Q21</v>
          </cell>
          <cell r="V118" t="str">
            <v>2Q21</v>
          </cell>
          <cell r="W118" t="str">
            <v>3Q21e</v>
          </cell>
          <cell r="X118" t="str">
            <v>4Q21e</v>
          </cell>
          <cell r="Y118" t="str">
            <v>2021e</v>
          </cell>
          <cell r="Z118" t="str">
            <v>1Q22e</v>
          </cell>
          <cell r="AA118" t="str">
            <v>2Q22e</v>
          </cell>
          <cell r="AB118" t="str">
            <v>3Q22e</v>
          </cell>
          <cell r="AC118" t="str">
            <v>4Q22e</v>
          </cell>
          <cell r="AD118" t="str">
            <v>2022e</v>
          </cell>
          <cell r="AE118" t="str">
            <v>2023e</v>
          </cell>
          <cell r="AF118" t="str">
            <v>2024e</v>
          </cell>
          <cell r="AG118" t="str">
            <v>2025e</v>
          </cell>
          <cell r="AH118" t="str">
            <v>x</v>
          </cell>
        </row>
        <row r="119">
          <cell r="C119"/>
          <cell r="D119"/>
          <cell r="E119"/>
          <cell r="F119"/>
          <cell r="G119"/>
          <cell r="H119"/>
          <cell r="I119"/>
          <cell r="J119"/>
          <cell r="K119"/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C119"/>
          <cell r="AD119"/>
          <cell r="AE119"/>
          <cell r="AF119"/>
          <cell r="AG119"/>
          <cell r="AH119"/>
        </row>
        <row r="120">
          <cell r="C120" t="str">
            <v>Cash &amp; Cash Equivalents</v>
          </cell>
          <cell r="D120"/>
          <cell r="E120"/>
          <cell r="F120">
            <v>7886</v>
          </cell>
          <cell r="G120">
            <v>8605</v>
          </cell>
          <cell r="H120">
            <v>8986</v>
          </cell>
          <cell r="I120">
            <v>8801</v>
          </cell>
          <cell r="J120">
            <v>8801</v>
          </cell>
          <cell r="K120">
            <v>8190</v>
          </cell>
          <cell r="L120">
            <v>8737</v>
          </cell>
          <cell r="M120">
            <v>8569</v>
          </cell>
          <cell r="N120">
            <v>8813</v>
          </cell>
          <cell r="O120">
            <v>8813</v>
          </cell>
          <cell r="P120">
            <v>9235</v>
          </cell>
          <cell r="Q120">
            <v>8121</v>
          </cell>
          <cell r="R120">
            <v>8034</v>
          </cell>
          <cell r="S120">
            <v>7637</v>
          </cell>
          <cell r="T120">
            <v>7637</v>
          </cell>
          <cell r="U120">
            <v>9235</v>
          </cell>
          <cell r="V120">
            <v>8121</v>
          </cell>
          <cell r="W120">
            <v>8515.4625597823979</v>
          </cell>
          <cell r="X120">
            <v>9807.9438915217215</v>
          </cell>
          <cell r="Y120">
            <v>9807.9438915217215</v>
          </cell>
          <cell r="Z120">
            <v>3209.766963441074</v>
          </cell>
          <cell r="AA120">
            <v>5708.5566823633017</v>
          </cell>
          <cell r="AB120">
            <v>14734.800167703677</v>
          </cell>
          <cell r="AC120">
            <v>17307.799664488721</v>
          </cell>
          <cell r="AD120">
            <v>17307.799664488721</v>
          </cell>
          <cell r="AE120">
            <v>22315.648823333533</v>
          </cell>
          <cell r="AF120">
            <v>35514.130438824286</v>
          </cell>
          <cell r="AG120">
            <v>50863.754453232839</v>
          </cell>
          <cell r="AH120"/>
        </row>
        <row r="121">
          <cell r="C121" t="str">
            <v>Accounts Receivable</v>
          </cell>
          <cell r="D121"/>
          <cell r="E121"/>
          <cell r="F121">
            <v>9711</v>
          </cell>
          <cell r="G121">
            <v>9809</v>
          </cell>
          <cell r="H121">
            <v>9524</v>
          </cell>
          <cell r="I121">
            <v>8832</v>
          </cell>
          <cell r="J121">
            <v>8832</v>
          </cell>
          <cell r="K121">
            <v>9335</v>
          </cell>
          <cell r="L121">
            <v>9503</v>
          </cell>
          <cell r="M121">
            <v>10644</v>
          </cell>
          <cell r="N121">
            <v>10516</v>
          </cell>
          <cell r="O121">
            <v>10516</v>
          </cell>
          <cell r="P121">
            <v>2802</v>
          </cell>
          <cell r="Q121">
            <v>2823</v>
          </cell>
          <cell r="R121">
            <v>2893</v>
          </cell>
          <cell r="S121">
            <v>3879</v>
          </cell>
          <cell r="T121">
            <v>3879</v>
          </cell>
          <cell r="U121">
            <v>2802</v>
          </cell>
          <cell r="V121">
            <v>2823</v>
          </cell>
          <cell r="W121">
            <v>35391.27717391304</v>
          </cell>
          <cell r="X121">
            <v>37160.841032608689</v>
          </cell>
          <cell r="Y121">
            <v>37160.841032608689</v>
          </cell>
          <cell r="Z121">
            <v>39447.662019230775</v>
          </cell>
          <cell r="AA121">
            <v>41420.045120192313</v>
          </cell>
          <cell r="AB121">
            <v>43018.318600373648</v>
          </cell>
          <cell r="AC121">
            <v>45169.234530392328</v>
          </cell>
          <cell r="AD121">
            <v>45169.234530392328</v>
          </cell>
          <cell r="AE121">
            <v>44509.115204394169</v>
          </cell>
          <cell r="AF121">
            <v>46734.570964613886</v>
          </cell>
          <cell r="AG121">
            <v>49071.299512844562</v>
          </cell>
          <cell r="AH121"/>
        </row>
        <row r="122">
          <cell r="C122" t="str">
            <v>Inventory</v>
          </cell>
          <cell r="D122"/>
          <cell r="E122"/>
          <cell r="F122">
            <v>47266</v>
          </cell>
          <cell r="G122">
            <v>44182</v>
          </cell>
          <cell r="H122">
            <v>42680</v>
          </cell>
          <cell r="I122">
            <v>43199</v>
          </cell>
          <cell r="J122">
            <v>43199</v>
          </cell>
          <cell r="K122">
            <v>43247</v>
          </cell>
          <cell r="L122">
            <v>42453</v>
          </cell>
          <cell r="M122">
            <v>43031</v>
          </cell>
          <cell r="N122">
            <v>44344</v>
          </cell>
          <cell r="O122">
            <v>44344</v>
          </cell>
          <cell r="P122">
            <v>61303</v>
          </cell>
          <cell r="Q122">
            <v>61250</v>
          </cell>
          <cell r="R122">
            <v>62038</v>
          </cell>
          <cell r="S122">
            <v>62567</v>
          </cell>
          <cell r="T122">
            <v>62567</v>
          </cell>
          <cell r="U122">
            <v>61303</v>
          </cell>
          <cell r="V122">
            <v>61250</v>
          </cell>
          <cell r="W122">
            <v>656862.1043478261</v>
          </cell>
          <cell r="X122">
            <v>689705.20956521737</v>
          </cell>
          <cell r="Y122">
            <v>689705.20956521737</v>
          </cell>
          <cell r="Z122">
            <v>732148.60707692325</v>
          </cell>
          <cell r="AA122">
            <v>768756.0374307693</v>
          </cell>
          <cell r="AB122">
            <v>798419.99322293489</v>
          </cell>
          <cell r="AC122">
            <v>838340.99288408167</v>
          </cell>
          <cell r="AD122">
            <v>838340.99288408167</v>
          </cell>
          <cell r="AE122">
            <v>826089.1781935558</v>
          </cell>
          <cell r="AF122">
            <v>867393.6371032336</v>
          </cell>
          <cell r="AG122">
            <v>910763.31895839516</v>
          </cell>
          <cell r="AH122"/>
        </row>
        <row r="123">
          <cell r="C123" t="str">
            <v>Prepaid &amp; Other Current Assets</v>
          </cell>
          <cell r="D123"/>
          <cell r="E123"/>
          <cell r="F123">
            <v>724</v>
          </cell>
          <cell r="G123">
            <v>911</v>
          </cell>
          <cell r="H123">
            <v>1047</v>
          </cell>
          <cell r="I123">
            <v>1656</v>
          </cell>
          <cell r="J123">
            <v>1656</v>
          </cell>
          <cell r="K123">
            <v>1595</v>
          </cell>
          <cell r="L123">
            <v>2138</v>
          </cell>
          <cell r="M123">
            <v>1898</v>
          </cell>
          <cell r="N123">
            <v>1488</v>
          </cell>
          <cell r="O123">
            <v>1488</v>
          </cell>
          <cell r="P123">
            <v>13203</v>
          </cell>
          <cell r="Q123">
            <v>14207</v>
          </cell>
          <cell r="R123">
            <v>14721</v>
          </cell>
          <cell r="S123">
            <v>13747</v>
          </cell>
          <cell r="T123">
            <v>13747</v>
          </cell>
          <cell r="U123">
            <v>13203</v>
          </cell>
          <cell r="V123">
            <v>14207</v>
          </cell>
          <cell r="W123">
            <v>173653.2</v>
          </cell>
          <cell r="X123">
            <v>182335.86</v>
          </cell>
          <cell r="Y123">
            <v>182335.86</v>
          </cell>
          <cell r="Z123">
            <v>191452.65300000005</v>
          </cell>
          <cell r="AA123">
            <v>201025.28565000003</v>
          </cell>
          <cell r="AB123">
            <v>211076.54993250003</v>
          </cell>
          <cell r="AC123">
            <v>221630.37742912504</v>
          </cell>
          <cell r="AD123">
            <v>221630.37742912504</v>
          </cell>
          <cell r="AE123">
            <v>216611.02732805163</v>
          </cell>
          <cell r="AF123">
            <v>227441.57869445422</v>
          </cell>
          <cell r="AG123">
            <v>238813.65762917689</v>
          </cell>
          <cell r="AH123"/>
        </row>
        <row r="124">
          <cell r="C124" t="str">
            <v>Total Current Assets</v>
          </cell>
          <cell r="D124"/>
          <cell r="E124"/>
          <cell r="F124">
            <v>65587</v>
          </cell>
          <cell r="G124">
            <v>63507</v>
          </cell>
          <cell r="H124">
            <v>62237</v>
          </cell>
          <cell r="I124">
            <v>62488</v>
          </cell>
          <cell r="J124">
            <v>62488</v>
          </cell>
          <cell r="K124">
            <v>62367</v>
          </cell>
          <cell r="L124">
            <v>62831</v>
          </cell>
          <cell r="M124">
            <v>64142</v>
          </cell>
          <cell r="N124">
            <v>65161</v>
          </cell>
          <cell r="O124">
            <v>65161</v>
          </cell>
          <cell r="P124">
            <v>86543</v>
          </cell>
          <cell r="Q124">
            <v>86401</v>
          </cell>
          <cell r="R124">
            <v>87686</v>
          </cell>
          <cell r="S124">
            <v>87830</v>
          </cell>
          <cell r="T124">
            <v>87830</v>
          </cell>
          <cell r="U124">
            <v>86543</v>
          </cell>
          <cell r="V124">
            <v>86401</v>
          </cell>
          <cell r="W124">
            <v>874422.04408152145</v>
          </cell>
          <cell r="X124">
            <v>919009.85448934778</v>
          </cell>
          <cell r="Y124">
            <v>919009.85448934778</v>
          </cell>
          <cell r="Z124">
            <v>966258.68905959511</v>
          </cell>
          <cell r="AA124">
            <v>1016909.9248833249</v>
          </cell>
          <cell r="AB124">
            <v>1067249.6619235124</v>
          </cell>
          <cell r="AC124">
            <v>1122448.4045080878</v>
          </cell>
          <cell r="AD124">
            <v>1122448.4045080878</v>
          </cell>
          <cell r="AE124">
            <v>1109524.9695493351</v>
          </cell>
          <cell r="AF124">
            <v>1177083.917201126</v>
          </cell>
          <cell r="AG124">
            <v>1249512.0305536494</v>
          </cell>
          <cell r="AH124"/>
        </row>
        <row r="125">
          <cell r="C125"/>
          <cell r="D125"/>
          <cell r="E125"/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</row>
        <row r="126">
          <cell r="C126" t="str">
            <v>PP&amp;E, Net</v>
          </cell>
          <cell r="D126"/>
          <cell r="E126"/>
          <cell r="F126">
            <v>12269</v>
          </cell>
          <cell r="G126">
            <v>12533</v>
          </cell>
          <cell r="H126">
            <v>12713</v>
          </cell>
          <cell r="I126">
            <v>12807</v>
          </cell>
          <cell r="J126">
            <v>12807</v>
          </cell>
          <cell r="K126">
            <v>12842</v>
          </cell>
          <cell r="L126">
            <v>12820</v>
          </cell>
          <cell r="M126">
            <v>12712</v>
          </cell>
          <cell r="N126">
            <v>12672</v>
          </cell>
          <cell r="O126">
            <v>12672</v>
          </cell>
          <cell r="P126">
            <v>12628</v>
          </cell>
          <cell r="Q126">
            <v>12605</v>
          </cell>
          <cell r="R126">
            <v>12571</v>
          </cell>
          <cell r="S126">
            <v>12645</v>
          </cell>
          <cell r="T126">
            <v>12645</v>
          </cell>
          <cell r="U126">
            <v>12628</v>
          </cell>
          <cell r="V126">
            <v>12605</v>
          </cell>
          <cell r="W126">
            <v>16473.642500000002</v>
          </cell>
          <cell r="X126">
            <v>20414.277406249999</v>
          </cell>
          <cell r="Y126">
            <v>20414.277406249999</v>
          </cell>
          <cell r="Z126">
            <v>24435.058328515624</v>
          </cell>
          <cell r="AA126">
            <v>28544.375782446288</v>
          </cell>
          <cell r="AB126">
            <v>32750.875438917054</v>
          </cell>
          <cell r="AC126">
            <v>37063.477045685788</v>
          </cell>
          <cell r="AD126">
            <v>37063.477045685788</v>
          </cell>
          <cell r="AE126">
            <v>53165.058221638086</v>
          </cell>
          <cell r="AF126">
            <v>67934.457357837789</v>
          </cell>
          <cell r="AG126">
            <v>81625.654517079805</v>
          </cell>
          <cell r="AH126"/>
        </row>
        <row r="127">
          <cell r="C127" t="str">
            <v>Intangible Assets, Net</v>
          </cell>
          <cell r="D127"/>
          <cell r="E127"/>
          <cell r="F127">
            <v>2594</v>
          </cell>
          <cell r="G127">
            <v>2544</v>
          </cell>
          <cell r="H127">
            <v>2488</v>
          </cell>
          <cell r="I127">
            <v>2540</v>
          </cell>
          <cell r="J127">
            <v>2540</v>
          </cell>
          <cell r="K127">
            <v>2496</v>
          </cell>
          <cell r="L127">
            <v>2567</v>
          </cell>
          <cell r="M127">
            <v>2523</v>
          </cell>
          <cell r="N127">
            <v>2573</v>
          </cell>
          <cell r="O127">
            <v>2573</v>
          </cell>
          <cell r="P127">
            <v>2525</v>
          </cell>
          <cell r="Q127">
            <v>2494</v>
          </cell>
          <cell r="R127">
            <v>2530</v>
          </cell>
          <cell r="S127">
            <v>3429</v>
          </cell>
          <cell r="T127">
            <v>3429</v>
          </cell>
          <cell r="U127">
            <v>2525</v>
          </cell>
          <cell r="V127">
            <v>2494</v>
          </cell>
          <cell r="W127">
            <v>2494</v>
          </cell>
          <cell r="X127">
            <v>2494</v>
          </cell>
          <cell r="Y127">
            <v>2494</v>
          </cell>
          <cell r="Z127">
            <v>2494</v>
          </cell>
          <cell r="AA127">
            <v>2494</v>
          </cell>
          <cell r="AB127">
            <v>2494</v>
          </cell>
          <cell r="AC127">
            <v>2494</v>
          </cell>
          <cell r="AD127">
            <v>2494</v>
          </cell>
          <cell r="AE127">
            <v>2494</v>
          </cell>
          <cell r="AF127">
            <v>2494</v>
          </cell>
          <cell r="AG127">
            <v>2494</v>
          </cell>
          <cell r="AH127"/>
        </row>
        <row r="128">
          <cell r="C128" t="str">
            <v>Goodwill</v>
          </cell>
          <cell r="D128"/>
          <cell r="E128"/>
          <cell r="F128">
            <v>5132</v>
          </cell>
          <cell r="G128">
            <v>5128</v>
          </cell>
          <cell r="H128">
            <v>5128</v>
          </cell>
          <cell r="I128">
            <v>5324</v>
          </cell>
          <cell r="J128">
            <v>5324</v>
          </cell>
          <cell r="K128">
            <v>5342</v>
          </cell>
          <cell r="L128">
            <v>5347</v>
          </cell>
          <cell r="M128">
            <v>5344</v>
          </cell>
          <cell r="N128">
            <v>5559</v>
          </cell>
          <cell r="O128">
            <v>5559</v>
          </cell>
          <cell r="P128">
            <v>5558</v>
          </cell>
          <cell r="Q128">
            <v>5550</v>
          </cell>
          <cell r="R128">
            <v>5722</v>
          </cell>
          <cell r="S128">
            <v>7840</v>
          </cell>
          <cell r="T128">
            <v>7840</v>
          </cell>
          <cell r="U128">
            <v>5558</v>
          </cell>
          <cell r="V128">
            <v>5550</v>
          </cell>
          <cell r="W128">
            <v>5550</v>
          </cell>
          <cell r="X128">
            <v>5550</v>
          </cell>
          <cell r="Y128">
            <v>5550</v>
          </cell>
          <cell r="Z128">
            <v>5550</v>
          </cell>
          <cell r="AA128">
            <v>5550</v>
          </cell>
          <cell r="AB128">
            <v>5550</v>
          </cell>
          <cell r="AC128">
            <v>5550</v>
          </cell>
          <cell r="AD128">
            <v>5550</v>
          </cell>
          <cell r="AE128">
            <v>5550</v>
          </cell>
          <cell r="AF128">
            <v>5550</v>
          </cell>
          <cell r="AG128">
            <v>5550</v>
          </cell>
          <cell r="AH128"/>
        </row>
        <row r="129">
          <cell r="C129" t="str">
            <v>Other Non-Current Assets</v>
          </cell>
          <cell r="D129"/>
          <cell r="E129"/>
          <cell r="F129">
            <v>5965</v>
          </cell>
          <cell r="G129">
            <v>5897</v>
          </cell>
          <cell r="H129">
            <v>6384</v>
          </cell>
          <cell r="I129">
            <v>6838</v>
          </cell>
          <cell r="J129">
            <v>6838</v>
          </cell>
          <cell r="K129">
            <v>6626</v>
          </cell>
          <cell r="L129">
            <v>6471</v>
          </cell>
          <cell r="M129">
            <v>6286</v>
          </cell>
          <cell r="N129">
            <v>6368</v>
          </cell>
          <cell r="O129">
            <v>6368</v>
          </cell>
          <cell r="P129">
            <v>6295</v>
          </cell>
          <cell r="Q129">
            <v>6145</v>
          </cell>
          <cell r="R129">
            <v>6150</v>
          </cell>
          <cell r="S129">
            <v>5615</v>
          </cell>
          <cell r="T129">
            <v>5615</v>
          </cell>
          <cell r="U129">
            <v>6295</v>
          </cell>
          <cell r="V129">
            <v>6145</v>
          </cell>
          <cell r="W129">
            <v>6145</v>
          </cell>
          <cell r="X129">
            <v>6145</v>
          </cell>
          <cell r="Y129">
            <v>6145</v>
          </cell>
          <cell r="Z129">
            <v>6145</v>
          </cell>
          <cell r="AA129">
            <v>6145</v>
          </cell>
          <cell r="AB129">
            <v>6145</v>
          </cell>
          <cell r="AC129">
            <v>6145</v>
          </cell>
          <cell r="AD129">
            <v>6145</v>
          </cell>
          <cell r="AE129">
            <v>6145</v>
          </cell>
          <cell r="AF129">
            <v>6145</v>
          </cell>
          <cell r="AG129">
            <v>6145</v>
          </cell>
          <cell r="AH129"/>
        </row>
        <row r="130">
          <cell r="C130" t="str">
            <v>Total Non-Current Assets</v>
          </cell>
          <cell r="D130"/>
          <cell r="E130"/>
          <cell r="F130">
            <v>25960</v>
          </cell>
          <cell r="G130">
            <v>26102</v>
          </cell>
          <cell r="H130">
            <v>26713</v>
          </cell>
          <cell r="I130">
            <v>27509</v>
          </cell>
          <cell r="J130">
            <v>27509</v>
          </cell>
          <cell r="K130">
            <v>27306</v>
          </cell>
          <cell r="L130">
            <v>27205</v>
          </cell>
          <cell r="M130">
            <v>26865</v>
          </cell>
          <cell r="N130">
            <v>27172</v>
          </cell>
          <cell r="O130">
            <v>27172</v>
          </cell>
          <cell r="P130">
            <v>27006</v>
          </cell>
          <cell r="Q130">
            <v>26794</v>
          </cell>
          <cell r="R130">
            <v>26973</v>
          </cell>
          <cell r="S130">
            <v>29529</v>
          </cell>
          <cell r="T130">
            <v>29529</v>
          </cell>
          <cell r="U130">
            <v>27006</v>
          </cell>
          <cell r="V130">
            <v>26794</v>
          </cell>
          <cell r="W130">
            <v>30662.642500000002</v>
          </cell>
          <cell r="X130">
            <v>34603.277406249996</v>
          </cell>
          <cell r="Y130">
            <v>34603.277406249996</v>
          </cell>
          <cell r="Z130">
            <v>38624.058328515624</v>
          </cell>
          <cell r="AA130">
            <v>42733.375782446288</v>
          </cell>
          <cell r="AB130">
            <v>46939.87543891705</v>
          </cell>
          <cell r="AC130">
            <v>51252.477045685788</v>
          </cell>
          <cell r="AD130">
            <v>51252.477045685788</v>
          </cell>
          <cell r="AE130">
            <v>67354.058221638086</v>
          </cell>
          <cell r="AF130">
            <v>82123.457357837789</v>
          </cell>
          <cell r="AG130">
            <v>95814.654517079805</v>
          </cell>
          <cell r="AH130"/>
        </row>
        <row r="131">
          <cell r="C131"/>
          <cell r="D131"/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</row>
        <row r="132">
          <cell r="C132" t="str">
            <v>Total Assets</v>
          </cell>
          <cell r="D132"/>
          <cell r="E132"/>
          <cell r="F132">
            <v>91547</v>
          </cell>
          <cell r="G132">
            <v>89609</v>
          </cell>
          <cell r="H132">
            <v>88950</v>
          </cell>
          <cell r="I132">
            <v>89997</v>
          </cell>
          <cell r="J132">
            <v>89997</v>
          </cell>
          <cell r="K132">
            <v>89673</v>
          </cell>
          <cell r="L132">
            <v>90036</v>
          </cell>
          <cell r="M132">
            <v>91007</v>
          </cell>
          <cell r="N132">
            <v>92333</v>
          </cell>
          <cell r="O132">
            <v>92333</v>
          </cell>
          <cell r="P132">
            <v>113549</v>
          </cell>
          <cell r="Q132">
            <v>113195</v>
          </cell>
          <cell r="R132">
            <v>114659</v>
          </cell>
          <cell r="S132">
            <v>117359</v>
          </cell>
          <cell r="T132">
            <v>117359</v>
          </cell>
          <cell r="U132">
            <v>113549</v>
          </cell>
          <cell r="V132">
            <v>113195</v>
          </cell>
          <cell r="W132">
            <v>905084.68658152141</v>
          </cell>
          <cell r="X132">
            <v>953613.13189559779</v>
          </cell>
          <cell r="Y132">
            <v>953613.13189559779</v>
          </cell>
          <cell r="Z132">
            <v>1004882.7473881107</v>
          </cell>
          <cell r="AA132">
            <v>1059643.3006657711</v>
          </cell>
          <cell r="AB132">
            <v>1114189.5373624293</v>
          </cell>
          <cell r="AC132">
            <v>1173700.8815537735</v>
          </cell>
          <cell r="AD132">
            <v>1173700.8815537735</v>
          </cell>
          <cell r="AE132">
            <v>1176879.0277709733</v>
          </cell>
          <cell r="AF132">
            <v>1259207.3745589638</v>
          </cell>
          <cell r="AG132">
            <v>1345326.6850707291</v>
          </cell>
          <cell r="AH132"/>
        </row>
        <row r="133">
          <cell r="C133"/>
          <cell r="D133"/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</row>
        <row r="134">
          <cell r="C134" t="str">
            <v>Accounts Payable</v>
          </cell>
          <cell r="D134"/>
          <cell r="E134"/>
          <cell r="F134">
            <v>11558</v>
          </cell>
          <cell r="G134">
            <v>11748</v>
          </cell>
          <cell r="H134">
            <v>11968</v>
          </cell>
          <cell r="I134">
            <v>11190</v>
          </cell>
          <cell r="J134">
            <v>11190</v>
          </cell>
          <cell r="K134">
            <v>11964</v>
          </cell>
          <cell r="L134">
            <v>12093</v>
          </cell>
          <cell r="M134">
            <v>12718</v>
          </cell>
          <cell r="N134">
            <v>12202</v>
          </cell>
          <cell r="O134">
            <v>12202</v>
          </cell>
          <cell r="P134">
            <v>12613</v>
          </cell>
          <cell r="Q134">
            <v>12904</v>
          </cell>
          <cell r="R134">
            <v>13663</v>
          </cell>
          <cell r="S134">
            <v>12916</v>
          </cell>
          <cell r="T134">
            <v>12916</v>
          </cell>
          <cell r="U134">
            <v>12613</v>
          </cell>
          <cell r="V134">
            <v>12904</v>
          </cell>
          <cell r="W134">
            <v>153952.05570652173</v>
          </cell>
          <cell r="X134">
            <v>161649.6584918478</v>
          </cell>
          <cell r="Y134">
            <v>161649.6584918478</v>
          </cell>
          <cell r="Z134">
            <v>171597.32978365387</v>
          </cell>
          <cell r="AA134">
            <v>180177.19627283656</v>
          </cell>
          <cell r="AB134">
            <v>187129.68591162539</v>
          </cell>
          <cell r="AC134">
            <v>196486.17020720665</v>
          </cell>
          <cell r="AD134">
            <v>196486.17020720665</v>
          </cell>
          <cell r="AE134">
            <v>193614.65113911466</v>
          </cell>
          <cell r="AF134">
            <v>203295.38369607035</v>
          </cell>
          <cell r="AG134">
            <v>213460.15288087388</v>
          </cell>
          <cell r="AH134"/>
        </row>
        <row r="135">
          <cell r="C135" t="str">
            <v>Accrued Liabilities</v>
          </cell>
          <cell r="D135"/>
          <cell r="E135"/>
          <cell r="F135">
            <v>12790</v>
          </cell>
          <cell r="G135">
            <v>13534</v>
          </cell>
          <cell r="H135">
            <v>13243</v>
          </cell>
          <cell r="I135">
            <v>14691</v>
          </cell>
          <cell r="J135">
            <v>14691</v>
          </cell>
          <cell r="K135">
            <v>13332</v>
          </cell>
          <cell r="L135">
            <v>14294</v>
          </cell>
          <cell r="M135">
            <v>14008</v>
          </cell>
          <cell r="N135">
            <v>15292</v>
          </cell>
          <cell r="O135">
            <v>15292</v>
          </cell>
          <cell r="P135">
            <v>10983</v>
          </cell>
          <cell r="Q135">
            <v>12240</v>
          </cell>
          <cell r="R135">
            <v>12869</v>
          </cell>
          <cell r="S135">
            <v>14808</v>
          </cell>
          <cell r="T135">
            <v>14808</v>
          </cell>
          <cell r="U135">
            <v>10983</v>
          </cell>
          <cell r="V135">
            <v>12240</v>
          </cell>
          <cell r="W135">
            <v>188847.85500000001</v>
          </cell>
          <cell r="X135">
            <v>198290.24774999998</v>
          </cell>
          <cell r="Y135">
            <v>198290.24774999998</v>
          </cell>
          <cell r="Z135">
            <v>208204.76013750004</v>
          </cell>
          <cell r="AA135">
            <v>218614.99814437501</v>
          </cell>
          <cell r="AB135">
            <v>229545.74805159378</v>
          </cell>
          <cell r="AC135">
            <v>241023.03545417349</v>
          </cell>
          <cell r="AD135">
            <v>241023.03545417349</v>
          </cell>
          <cell r="AE135">
            <v>235564.49221925615</v>
          </cell>
          <cell r="AF135">
            <v>247342.71683021894</v>
          </cell>
          <cell r="AG135">
            <v>259709.85267172987</v>
          </cell>
          <cell r="AH135"/>
        </row>
        <row r="136">
          <cell r="C136" t="str">
            <v>Other Current Liabilities</v>
          </cell>
          <cell r="D136"/>
          <cell r="E136"/>
          <cell r="F136">
            <v>23926</v>
          </cell>
          <cell r="G136">
            <v>23409</v>
          </cell>
          <cell r="H136">
            <v>22646</v>
          </cell>
          <cell r="I136">
            <v>23869</v>
          </cell>
          <cell r="J136">
            <v>23869</v>
          </cell>
          <cell r="K136">
            <v>24118</v>
          </cell>
          <cell r="L136">
            <v>25802</v>
          </cell>
          <cell r="M136">
            <v>26695</v>
          </cell>
          <cell r="N136">
            <v>27440</v>
          </cell>
          <cell r="O136">
            <v>27440</v>
          </cell>
          <cell r="P136">
            <v>49955</v>
          </cell>
          <cell r="Q136">
            <v>50970</v>
          </cell>
          <cell r="R136">
            <v>51496</v>
          </cell>
          <cell r="S136">
            <v>50676</v>
          </cell>
          <cell r="T136">
            <v>50676</v>
          </cell>
          <cell r="U136">
            <v>49955</v>
          </cell>
          <cell r="V136">
            <v>50970</v>
          </cell>
          <cell r="W136">
            <v>528773.99399999995</v>
          </cell>
          <cell r="X136">
            <v>555212.69369999995</v>
          </cell>
          <cell r="Y136">
            <v>555212.69369999995</v>
          </cell>
          <cell r="Z136">
            <v>499691.42433000007</v>
          </cell>
          <cell r="AA136">
            <v>612121.99480424996</v>
          </cell>
          <cell r="AB136">
            <v>642728.09454446251</v>
          </cell>
          <cell r="AC136">
            <v>674864.49927168572</v>
          </cell>
          <cell r="AD136">
            <v>674864.49927168572</v>
          </cell>
          <cell r="AE136">
            <v>659580.57821391721</v>
          </cell>
          <cell r="AF136">
            <v>692559.60712461302</v>
          </cell>
          <cell r="AG136">
            <v>727187.58748084353</v>
          </cell>
          <cell r="AH136"/>
        </row>
        <row r="137">
          <cell r="C137" t="str">
            <v>Total Current Liabilities (Excl. Debt)</v>
          </cell>
          <cell r="D137"/>
          <cell r="E137"/>
          <cell r="F137">
            <v>48274</v>
          </cell>
          <cell r="G137">
            <v>48691</v>
          </cell>
          <cell r="H137">
            <v>47857</v>
          </cell>
          <cell r="I137">
            <v>49750</v>
          </cell>
          <cell r="J137">
            <v>49750</v>
          </cell>
          <cell r="K137">
            <v>49414</v>
          </cell>
          <cell r="L137">
            <v>52189</v>
          </cell>
          <cell r="M137">
            <v>53421</v>
          </cell>
          <cell r="N137">
            <v>54934</v>
          </cell>
          <cell r="O137">
            <v>54934</v>
          </cell>
          <cell r="P137">
            <v>73551</v>
          </cell>
          <cell r="Q137">
            <v>76114</v>
          </cell>
          <cell r="R137">
            <v>78028</v>
          </cell>
          <cell r="S137">
            <v>78400</v>
          </cell>
          <cell r="T137">
            <v>78400</v>
          </cell>
          <cell r="U137">
            <v>73551</v>
          </cell>
          <cell r="V137">
            <v>76114</v>
          </cell>
          <cell r="W137">
            <v>871573.90470652166</v>
          </cell>
          <cell r="X137">
            <v>915152.59994184773</v>
          </cell>
          <cell r="Y137">
            <v>915152.59994184773</v>
          </cell>
          <cell r="Z137">
            <v>879493.51425115392</v>
          </cell>
          <cell r="AA137">
            <v>1010914.1892214615</v>
          </cell>
          <cell r="AB137">
            <v>1059403.5285076816</v>
          </cell>
          <cell r="AC137">
            <v>1112373.7049330659</v>
          </cell>
          <cell r="AD137">
            <v>1112373.7049330659</v>
          </cell>
          <cell r="AE137">
            <v>1088759.7215722881</v>
          </cell>
          <cell r="AF137">
            <v>1143197.7076509022</v>
          </cell>
          <cell r="AG137">
            <v>1200357.5930334474</v>
          </cell>
          <cell r="AH137"/>
        </row>
        <row r="138">
          <cell r="C138"/>
          <cell r="D138"/>
          <cell r="E138"/>
          <cell r="F138"/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</row>
        <row r="139">
          <cell r="C139" t="str">
            <v>Revolver</v>
          </cell>
          <cell r="D139"/>
          <cell r="E139"/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82017.262222744161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/>
        </row>
        <row r="140">
          <cell r="C140" t="str">
            <v>LT Debt (Incl. Current Portion)</v>
          </cell>
          <cell r="D140"/>
          <cell r="E140"/>
          <cell r="F140">
            <v>9964</v>
          </cell>
          <cell r="G140">
            <v>11015</v>
          </cell>
          <cell r="H140">
            <v>10456</v>
          </cell>
          <cell r="I140">
            <v>9952</v>
          </cell>
          <cell r="J140">
            <v>9952</v>
          </cell>
          <cell r="K140">
            <v>10799</v>
          </cell>
          <cell r="L140">
            <v>10775</v>
          </cell>
          <cell r="M140">
            <v>10768</v>
          </cell>
          <cell r="N140">
            <v>11117</v>
          </cell>
          <cell r="O140">
            <v>11117</v>
          </cell>
          <cell r="P140">
            <v>12452</v>
          </cell>
          <cell r="Q140">
            <v>12118</v>
          </cell>
          <cell r="R140">
            <v>11876</v>
          </cell>
          <cell r="S140">
            <v>13847</v>
          </cell>
          <cell r="T140">
            <v>13847</v>
          </cell>
          <cell r="U140">
            <v>12452</v>
          </cell>
          <cell r="V140">
            <v>12118</v>
          </cell>
          <cell r="W140">
            <v>12118</v>
          </cell>
          <cell r="X140">
            <v>12118</v>
          </cell>
          <cell r="Y140">
            <v>12118</v>
          </cell>
          <cell r="Z140">
            <v>12118</v>
          </cell>
          <cell r="AA140">
            <v>12118</v>
          </cell>
          <cell r="AB140">
            <v>12118</v>
          </cell>
          <cell r="AC140">
            <v>12118</v>
          </cell>
          <cell r="AD140">
            <v>12118</v>
          </cell>
          <cell r="AE140">
            <v>12118</v>
          </cell>
          <cell r="AF140">
            <v>12118</v>
          </cell>
          <cell r="AG140">
            <v>12118</v>
          </cell>
          <cell r="AH140"/>
        </row>
        <row r="141">
          <cell r="C141" t="str">
            <v>Deferred Income Taxes</v>
          </cell>
          <cell r="D141"/>
          <cell r="E141"/>
          <cell r="F141">
            <v>2297</v>
          </cell>
          <cell r="G141">
            <v>2422</v>
          </cell>
          <cell r="H141">
            <v>2211</v>
          </cell>
          <cell r="I141">
            <v>1338</v>
          </cell>
          <cell r="J141">
            <v>1338</v>
          </cell>
          <cell r="K141">
            <v>1339</v>
          </cell>
          <cell r="L141">
            <v>1415</v>
          </cell>
          <cell r="M141">
            <v>2884</v>
          </cell>
          <cell r="N141">
            <v>1839</v>
          </cell>
          <cell r="O141">
            <v>1839</v>
          </cell>
          <cell r="P141">
            <v>2001</v>
          </cell>
          <cell r="Q141">
            <v>1900</v>
          </cell>
          <cell r="R141">
            <v>1738</v>
          </cell>
          <cell r="S141">
            <v>1736</v>
          </cell>
          <cell r="T141">
            <v>1736</v>
          </cell>
          <cell r="U141">
            <v>2001</v>
          </cell>
          <cell r="V141">
            <v>1900</v>
          </cell>
          <cell r="W141">
            <v>1900</v>
          </cell>
          <cell r="X141">
            <v>1900</v>
          </cell>
          <cell r="Y141">
            <v>1900</v>
          </cell>
          <cell r="Z141">
            <v>1900</v>
          </cell>
          <cell r="AA141">
            <v>1900</v>
          </cell>
          <cell r="AB141">
            <v>1900</v>
          </cell>
          <cell r="AC141">
            <v>1900</v>
          </cell>
          <cell r="AD141">
            <v>1900</v>
          </cell>
          <cell r="AE141">
            <v>1900</v>
          </cell>
          <cell r="AF141">
            <v>1900</v>
          </cell>
          <cell r="AG141">
            <v>1900</v>
          </cell>
          <cell r="AH141"/>
        </row>
        <row r="142">
          <cell r="C142" t="str">
            <v>Other Non-Current Liabilities</v>
          </cell>
          <cell r="D142"/>
          <cell r="E142"/>
          <cell r="F142">
            <v>26906</v>
          </cell>
          <cell r="G142">
            <v>26834</v>
          </cell>
          <cell r="H142">
            <v>26276</v>
          </cell>
          <cell r="I142">
            <v>28080</v>
          </cell>
          <cell r="J142">
            <v>28080</v>
          </cell>
          <cell r="K142">
            <v>27966</v>
          </cell>
          <cell r="L142">
            <v>27635</v>
          </cell>
          <cell r="M142">
            <v>22789</v>
          </cell>
          <cell r="N142">
            <v>24031</v>
          </cell>
          <cell r="O142">
            <v>24031</v>
          </cell>
          <cell r="P142">
            <v>24247</v>
          </cell>
          <cell r="Q142">
            <v>24437</v>
          </cell>
          <cell r="R142">
            <v>24226</v>
          </cell>
          <cell r="S142">
            <v>22966</v>
          </cell>
          <cell r="T142">
            <v>22966</v>
          </cell>
          <cell r="U142">
            <v>24247</v>
          </cell>
          <cell r="V142">
            <v>24437</v>
          </cell>
          <cell r="W142">
            <v>24437</v>
          </cell>
          <cell r="X142">
            <v>24437</v>
          </cell>
          <cell r="Y142">
            <v>24437</v>
          </cell>
          <cell r="Z142">
            <v>24437</v>
          </cell>
          <cell r="AA142">
            <v>24437</v>
          </cell>
          <cell r="AB142">
            <v>24437</v>
          </cell>
          <cell r="AC142">
            <v>24437</v>
          </cell>
          <cell r="AD142">
            <v>24437</v>
          </cell>
          <cell r="AE142">
            <v>24437</v>
          </cell>
          <cell r="AF142">
            <v>24437</v>
          </cell>
          <cell r="AG142">
            <v>24437</v>
          </cell>
          <cell r="AH142"/>
        </row>
        <row r="143">
          <cell r="C143" t="str">
            <v>Total Non-Current Liabilities</v>
          </cell>
          <cell r="D143"/>
          <cell r="E143"/>
          <cell r="F143">
            <v>39167</v>
          </cell>
          <cell r="G143">
            <v>40271</v>
          </cell>
          <cell r="H143">
            <v>38943</v>
          </cell>
          <cell r="I143">
            <v>39370</v>
          </cell>
          <cell r="J143">
            <v>39370</v>
          </cell>
          <cell r="K143">
            <v>40104</v>
          </cell>
          <cell r="L143">
            <v>39825</v>
          </cell>
          <cell r="M143">
            <v>36441</v>
          </cell>
          <cell r="N143">
            <v>36987</v>
          </cell>
          <cell r="O143">
            <v>36987</v>
          </cell>
          <cell r="P143">
            <v>38700</v>
          </cell>
          <cell r="Q143">
            <v>38455</v>
          </cell>
          <cell r="R143">
            <v>37840</v>
          </cell>
          <cell r="S143">
            <v>38549</v>
          </cell>
          <cell r="T143">
            <v>38549</v>
          </cell>
          <cell r="U143">
            <v>38700</v>
          </cell>
          <cell r="V143">
            <v>38455</v>
          </cell>
          <cell r="W143">
            <v>38455</v>
          </cell>
          <cell r="X143">
            <v>38455</v>
          </cell>
          <cell r="Y143">
            <v>38455</v>
          </cell>
          <cell r="Z143">
            <v>120472.26222274416</v>
          </cell>
          <cell r="AA143">
            <v>38455</v>
          </cell>
          <cell r="AB143">
            <v>38455</v>
          </cell>
          <cell r="AC143">
            <v>38455</v>
          </cell>
          <cell r="AD143">
            <v>38455</v>
          </cell>
          <cell r="AE143">
            <v>38455</v>
          </cell>
          <cell r="AF143">
            <v>38455</v>
          </cell>
          <cell r="AG143">
            <v>38455</v>
          </cell>
          <cell r="AH143"/>
        </row>
        <row r="144">
          <cell r="C144"/>
          <cell r="D144"/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</row>
        <row r="145">
          <cell r="C145" t="str">
            <v>Total Liabilities</v>
          </cell>
          <cell r="D145"/>
          <cell r="E145"/>
          <cell r="F145">
            <v>87441</v>
          </cell>
          <cell r="G145">
            <v>88962</v>
          </cell>
          <cell r="H145">
            <v>86800</v>
          </cell>
          <cell r="I145">
            <v>89120</v>
          </cell>
          <cell r="J145">
            <v>89120</v>
          </cell>
          <cell r="K145">
            <v>89518</v>
          </cell>
          <cell r="L145">
            <v>92014</v>
          </cell>
          <cell r="M145">
            <v>89862</v>
          </cell>
          <cell r="N145">
            <v>91921</v>
          </cell>
          <cell r="O145">
            <v>91921</v>
          </cell>
          <cell r="P145">
            <v>112251</v>
          </cell>
          <cell r="Q145">
            <v>114569</v>
          </cell>
          <cell r="R145">
            <v>115868</v>
          </cell>
          <cell r="S145">
            <v>116949</v>
          </cell>
          <cell r="T145">
            <v>116949</v>
          </cell>
          <cell r="U145">
            <v>112251</v>
          </cell>
          <cell r="V145">
            <v>114569</v>
          </cell>
          <cell r="W145">
            <v>910028.90470652166</v>
          </cell>
          <cell r="X145">
            <v>953607.59994184773</v>
          </cell>
          <cell r="Y145">
            <v>953607.59994184773</v>
          </cell>
          <cell r="Z145">
            <v>999965.77647389809</v>
          </cell>
          <cell r="AA145">
            <v>1049369.1892214615</v>
          </cell>
          <cell r="AB145">
            <v>1097858.5285076816</v>
          </cell>
          <cell r="AC145">
            <v>1150828.7049330659</v>
          </cell>
          <cell r="AD145">
            <v>1150828.7049330659</v>
          </cell>
          <cell r="AE145">
            <v>1127214.7215722881</v>
          </cell>
          <cell r="AF145">
            <v>1181652.7076509022</v>
          </cell>
          <cell r="AG145">
            <v>1238812.5930334474</v>
          </cell>
          <cell r="AH145"/>
        </row>
        <row r="146">
          <cell r="C146"/>
          <cell r="D146"/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</row>
        <row r="147">
          <cell r="C147" t="str">
            <v>Common Stock &amp; APIC</v>
          </cell>
          <cell r="D147"/>
          <cell r="E147"/>
          <cell r="F147">
            <v>9845</v>
          </cell>
          <cell r="G147">
            <v>9839</v>
          </cell>
          <cell r="H147">
            <v>9869</v>
          </cell>
          <cell r="I147">
            <v>9823</v>
          </cell>
          <cell r="J147">
            <v>9823</v>
          </cell>
          <cell r="K147">
            <v>9665</v>
          </cell>
          <cell r="L147">
            <v>9705</v>
          </cell>
          <cell r="M147">
            <v>11815</v>
          </cell>
          <cell r="N147">
            <v>11865</v>
          </cell>
          <cell r="O147">
            <v>11865</v>
          </cell>
          <cell r="P147">
            <v>11685</v>
          </cell>
          <cell r="Q147">
            <v>11737</v>
          </cell>
          <cell r="R147">
            <v>11775</v>
          </cell>
          <cell r="S147">
            <v>11829</v>
          </cell>
          <cell r="T147">
            <v>11829</v>
          </cell>
          <cell r="U147">
            <v>11685</v>
          </cell>
          <cell r="V147">
            <v>11737</v>
          </cell>
          <cell r="W147">
            <v>11792.65</v>
          </cell>
          <cell r="X147">
            <v>11851.0825</v>
          </cell>
          <cell r="Y147">
            <v>11851.0825</v>
          </cell>
          <cell r="Z147">
            <v>11912.436625</v>
          </cell>
          <cell r="AA147">
            <v>11976.85845625</v>
          </cell>
          <cell r="AB147">
            <v>12044.5013790625</v>
          </cell>
          <cell r="AC147">
            <v>12115.526448015626</v>
          </cell>
          <cell r="AD147">
            <v>12115.526448015626</v>
          </cell>
          <cell r="AE147">
            <v>12393.192593432032</v>
          </cell>
          <cell r="AF147">
            <v>12684.742046119258</v>
          </cell>
          <cell r="AG147">
            <v>12990.868971440847</v>
          </cell>
          <cell r="AH147"/>
        </row>
        <row r="148">
          <cell r="C148" t="str">
            <v>Retained Earnings</v>
          </cell>
          <cell r="D148"/>
          <cell r="E148"/>
          <cell r="F148">
            <v>39975</v>
          </cell>
          <cell r="G148">
            <v>38362</v>
          </cell>
          <cell r="H148">
            <v>40641</v>
          </cell>
          <cell r="I148">
            <v>40714</v>
          </cell>
          <cell r="J148">
            <v>40714</v>
          </cell>
          <cell r="K148">
            <v>42165</v>
          </cell>
          <cell r="L148">
            <v>42222</v>
          </cell>
          <cell r="M148">
            <v>44052</v>
          </cell>
          <cell r="N148">
            <v>45320</v>
          </cell>
          <cell r="O148">
            <v>45320</v>
          </cell>
          <cell r="P148">
            <v>52095</v>
          </cell>
          <cell r="Q148">
            <v>52303</v>
          </cell>
          <cell r="R148">
            <v>54666</v>
          </cell>
          <cell r="S148">
            <v>55941</v>
          </cell>
          <cell r="T148">
            <v>55941</v>
          </cell>
          <cell r="U148">
            <v>52095</v>
          </cell>
          <cell r="V148">
            <v>52303</v>
          </cell>
          <cell r="W148">
            <v>58798.131874999992</v>
          </cell>
          <cell r="X148">
            <v>65689.44945375</v>
          </cell>
          <cell r="Y148">
            <v>65689.44945375</v>
          </cell>
          <cell r="Z148">
            <v>72539.534289212752</v>
          </cell>
          <cell r="AA148">
            <v>79832.252988059845</v>
          </cell>
          <cell r="AB148">
            <v>87821.507475685314</v>
          </cell>
          <cell r="AC148">
            <v>96291.650172692054</v>
          </cell>
          <cell r="AD148">
            <v>96291.650172692054</v>
          </cell>
          <cell r="AE148">
            <v>128806.11360525319</v>
          </cell>
          <cell r="AF148">
            <v>162404.92486194248</v>
          </cell>
          <cell r="AG148">
            <v>197058.22306584116</v>
          </cell>
          <cell r="AH148"/>
        </row>
        <row r="149">
          <cell r="C149" t="str">
            <v>Treasury Stock</v>
          </cell>
          <cell r="D149"/>
          <cell r="E149"/>
          <cell r="F149">
            <v>-32939</v>
          </cell>
          <cell r="G149">
            <v>-34821</v>
          </cell>
          <cell r="H149">
            <v>-35763</v>
          </cell>
          <cell r="I149">
            <v>-36097</v>
          </cell>
          <cell r="J149">
            <v>-36097</v>
          </cell>
          <cell r="K149">
            <v>-38320</v>
          </cell>
          <cell r="L149">
            <v>-40730</v>
          </cell>
          <cell r="M149">
            <v>-41745</v>
          </cell>
          <cell r="N149">
            <v>-43454</v>
          </cell>
          <cell r="O149">
            <v>-43454</v>
          </cell>
          <cell r="P149">
            <v>-46396</v>
          </cell>
          <cell r="Q149">
            <v>-49342</v>
          </cell>
          <cell r="R149">
            <v>-51781</v>
          </cell>
          <cell r="S149">
            <v>-52348</v>
          </cell>
          <cell r="T149">
            <v>-52348</v>
          </cell>
          <cell r="U149">
            <v>-46396</v>
          </cell>
          <cell r="V149">
            <v>-49342</v>
          </cell>
          <cell r="W149">
            <v>-51342</v>
          </cell>
          <cell r="X149">
            <v>-53342</v>
          </cell>
          <cell r="Y149">
            <v>-53342</v>
          </cell>
          <cell r="Z149">
            <v>-55342</v>
          </cell>
          <cell r="AA149">
            <v>-57342</v>
          </cell>
          <cell r="AB149">
            <v>-59342</v>
          </cell>
          <cell r="AC149">
            <v>-61342</v>
          </cell>
          <cell r="AD149">
            <v>-61342</v>
          </cell>
          <cell r="AE149">
            <v>-67342</v>
          </cell>
          <cell r="AF149">
            <v>-73342</v>
          </cell>
          <cell r="AG149">
            <v>-79342</v>
          </cell>
          <cell r="AH149"/>
        </row>
        <row r="150">
          <cell r="C150" t="str">
            <v>Accumulated Other Comprehensive Income (AOCI)</v>
          </cell>
          <cell r="D150"/>
          <cell r="E150"/>
          <cell r="F150">
            <v>-12838</v>
          </cell>
          <cell r="G150">
            <v>-12795</v>
          </cell>
          <cell r="H150">
            <v>-12658</v>
          </cell>
          <cell r="I150">
            <v>-13623</v>
          </cell>
          <cell r="J150">
            <v>-13623</v>
          </cell>
          <cell r="K150">
            <v>-13415</v>
          </cell>
          <cell r="L150">
            <v>-13234</v>
          </cell>
          <cell r="M150">
            <v>-13036</v>
          </cell>
          <cell r="N150">
            <v>-13376</v>
          </cell>
          <cell r="O150">
            <v>-13376</v>
          </cell>
          <cell r="P150">
            <v>-16162</v>
          </cell>
          <cell r="Q150">
            <v>-16139</v>
          </cell>
          <cell r="R150">
            <v>-15949</v>
          </cell>
          <cell r="S150">
            <v>-15083</v>
          </cell>
          <cell r="T150">
            <v>-15083</v>
          </cell>
          <cell r="U150">
            <v>-16162</v>
          </cell>
          <cell r="V150">
            <v>-16139</v>
          </cell>
          <cell r="W150">
            <v>-16139</v>
          </cell>
          <cell r="X150">
            <v>-16139</v>
          </cell>
          <cell r="Y150">
            <v>-16139</v>
          </cell>
          <cell r="Z150">
            <v>-16139</v>
          </cell>
          <cell r="AA150">
            <v>-16139</v>
          </cell>
          <cell r="AB150">
            <v>-16139</v>
          </cell>
          <cell r="AC150">
            <v>-16139</v>
          </cell>
          <cell r="AD150">
            <v>-16139</v>
          </cell>
          <cell r="AE150">
            <v>-16139</v>
          </cell>
          <cell r="AF150">
            <v>-16139</v>
          </cell>
          <cell r="AG150">
            <v>-16139</v>
          </cell>
          <cell r="AH150"/>
        </row>
        <row r="151">
          <cell r="C151" t="str">
            <v>Total Shareholder's Equity</v>
          </cell>
          <cell r="D151"/>
          <cell r="E151"/>
          <cell r="F151">
            <v>4043</v>
          </cell>
          <cell r="G151">
            <v>585</v>
          </cell>
          <cell r="H151">
            <v>2089</v>
          </cell>
          <cell r="I151">
            <v>817</v>
          </cell>
          <cell r="J151">
            <v>817</v>
          </cell>
          <cell r="K151">
            <v>95</v>
          </cell>
          <cell r="L151">
            <v>-2037</v>
          </cell>
          <cell r="M151">
            <v>1086</v>
          </cell>
          <cell r="N151">
            <v>355</v>
          </cell>
          <cell r="O151">
            <v>355</v>
          </cell>
          <cell r="P151">
            <v>1222</v>
          </cell>
          <cell r="Q151">
            <v>-1441</v>
          </cell>
          <cell r="R151">
            <v>-1289</v>
          </cell>
          <cell r="S151">
            <v>339</v>
          </cell>
          <cell r="T151">
            <v>339</v>
          </cell>
          <cell r="U151">
            <v>1222</v>
          </cell>
          <cell r="V151">
            <v>-1441</v>
          </cell>
          <cell r="W151">
            <v>3109.781874999986</v>
          </cell>
          <cell r="X151">
            <v>8059.5319537500036</v>
          </cell>
          <cell r="Y151">
            <v>8059.5319537500036</v>
          </cell>
          <cell r="Z151">
            <v>12970.970914212754</v>
          </cell>
          <cell r="AA151">
            <v>18328.111444309849</v>
          </cell>
          <cell r="AB151">
            <v>24385.008854747808</v>
          </cell>
          <cell r="AC151">
            <v>30926.176620707673</v>
          </cell>
          <cell r="AD151">
            <v>30926.176620707673</v>
          </cell>
          <cell r="AE151">
            <v>57718.306198685226</v>
          </cell>
          <cell r="AF151">
            <v>85608.666908061743</v>
          </cell>
          <cell r="AG151">
            <v>114568.09203728201</v>
          </cell>
          <cell r="AH151"/>
        </row>
        <row r="152"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</row>
        <row r="153">
          <cell r="C153" t="str">
            <v>Noncontrolling Interests</v>
          </cell>
          <cell r="D153"/>
          <cell r="E153"/>
          <cell r="F153">
            <v>63</v>
          </cell>
          <cell r="G153">
            <v>62</v>
          </cell>
          <cell r="H153">
            <v>61</v>
          </cell>
          <cell r="I153">
            <v>60</v>
          </cell>
          <cell r="J153">
            <v>60</v>
          </cell>
          <cell r="K153">
            <v>60</v>
          </cell>
          <cell r="L153">
            <v>59</v>
          </cell>
          <cell r="M153">
            <v>59</v>
          </cell>
          <cell r="N153">
            <v>57</v>
          </cell>
          <cell r="O153">
            <v>57</v>
          </cell>
          <cell r="P153">
            <v>76</v>
          </cell>
          <cell r="Q153">
            <v>67</v>
          </cell>
          <cell r="R153">
            <v>80</v>
          </cell>
          <cell r="S153">
            <v>71</v>
          </cell>
          <cell r="T153">
            <v>71</v>
          </cell>
          <cell r="U153">
            <v>76</v>
          </cell>
          <cell r="V153">
            <v>67</v>
          </cell>
          <cell r="W153">
            <v>67</v>
          </cell>
          <cell r="X153">
            <v>67</v>
          </cell>
          <cell r="Y153">
            <v>67</v>
          </cell>
          <cell r="Z153">
            <v>67</v>
          </cell>
          <cell r="AA153">
            <v>67</v>
          </cell>
          <cell r="AB153">
            <v>67</v>
          </cell>
          <cell r="AC153">
            <v>67</v>
          </cell>
          <cell r="AD153">
            <v>67</v>
          </cell>
          <cell r="AE153">
            <v>67</v>
          </cell>
          <cell r="AF153">
            <v>67</v>
          </cell>
          <cell r="AG153">
            <v>67</v>
          </cell>
          <cell r="AH153"/>
        </row>
        <row r="154">
          <cell r="C154" t="str">
            <v>Total Equity</v>
          </cell>
          <cell r="D154"/>
          <cell r="E154"/>
          <cell r="F154">
            <v>4106</v>
          </cell>
          <cell r="G154">
            <v>647</v>
          </cell>
          <cell r="H154">
            <v>2150</v>
          </cell>
          <cell r="I154">
            <v>877</v>
          </cell>
          <cell r="J154">
            <v>877</v>
          </cell>
          <cell r="K154">
            <v>155</v>
          </cell>
          <cell r="L154">
            <v>-1978</v>
          </cell>
          <cell r="M154">
            <v>1145</v>
          </cell>
          <cell r="N154">
            <v>412</v>
          </cell>
          <cell r="O154">
            <v>412</v>
          </cell>
          <cell r="P154">
            <v>1298</v>
          </cell>
          <cell r="Q154">
            <v>-1374</v>
          </cell>
          <cell r="R154">
            <v>-1209</v>
          </cell>
          <cell r="S154">
            <v>410</v>
          </cell>
          <cell r="T154">
            <v>410</v>
          </cell>
          <cell r="U154">
            <v>1298</v>
          </cell>
          <cell r="V154">
            <v>-1374</v>
          </cell>
          <cell r="W154">
            <v>3176.781874999986</v>
          </cell>
          <cell r="X154">
            <v>8126.5319537500036</v>
          </cell>
          <cell r="Y154">
            <v>8126.5319537500036</v>
          </cell>
          <cell r="Z154">
            <v>13037.970914212754</v>
          </cell>
          <cell r="AA154">
            <v>18395.111444309849</v>
          </cell>
          <cell r="AB154">
            <v>24452.008854747808</v>
          </cell>
          <cell r="AC154">
            <v>30993.176620707673</v>
          </cell>
          <cell r="AD154">
            <v>30993.176620707673</v>
          </cell>
          <cell r="AE154">
            <v>57785.306198685226</v>
          </cell>
          <cell r="AF154">
            <v>85675.666908061743</v>
          </cell>
          <cell r="AG154">
            <v>114635.09203728201</v>
          </cell>
          <cell r="AH154"/>
        </row>
        <row r="155">
          <cell r="C155"/>
          <cell r="D155"/>
          <cell r="E155"/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</row>
        <row r="156">
          <cell r="C156" t="str">
            <v>Total Liabilities &amp; Shareholder's Equity</v>
          </cell>
          <cell r="D156"/>
          <cell r="E156"/>
          <cell r="F156">
            <v>91547</v>
          </cell>
          <cell r="G156">
            <v>89609</v>
          </cell>
          <cell r="H156">
            <v>88950</v>
          </cell>
          <cell r="I156">
            <v>89997</v>
          </cell>
          <cell r="J156">
            <v>89997</v>
          </cell>
          <cell r="K156">
            <v>89673</v>
          </cell>
          <cell r="L156">
            <v>90036</v>
          </cell>
          <cell r="M156">
            <v>91007</v>
          </cell>
          <cell r="N156">
            <v>92333</v>
          </cell>
          <cell r="O156">
            <v>92333</v>
          </cell>
          <cell r="P156">
            <v>113549</v>
          </cell>
          <cell r="Q156">
            <v>113195</v>
          </cell>
          <cell r="R156">
            <v>114659</v>
          </cell>
          <cell r="S156">
            <v>117359</v>
          </cell>
          <cell r="T156">
            <v>117359</v>
          </cell>
          <cell r="U156">
            <v>113549</v>
          </cell>
          <cell r="V156">
            <v>113195</v>
          </cell>
          <cell r="W156">
            <v>913205.68658152164</v>
          </cell>
          <cell r="X156">
            <v>961734.13189559779</v>
          </cell>
          <cell r="Y156">
            <v>961734.13189559779</v>
          </cell>
          <cell r="Z156">
            <v>1013003.7473881108</v>
          </cell>
          <cell r="AA156">
            <v>1067764.3006657714</v>
          </cell>
          <cell r="AB156">
            <v>1122310.5373624293</v>
          </cell>
          <cell r="AC156">
            <v>1181821.8815537735</v>
          </cell>
          <cell r="AD156">
            <v>1181821.8815537735</v>
          </cell>
          <cell r="AE156">
            <v>1185000.0277709733</v>
          </cell>
          <cell r="AF156">
            <v>1267328.374558964</v>
          </cell>
          <cell r="AG156">
            <v>1353447.6850707293</v>
          </cell>
          <cell r="AH156"/>
        </row>
        <row r="157">
          <cell r="C157"/>
          <cell r="D157"/>
          <cell r="E157"/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</row>
        <row r="158">
          <cell r="C158" t="str">
            <v>Balance Sheet Check</v>
          </cell>
          <cell r="D158"/>
          <cell r="E158"/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-8121.0000000002328</v>
          </cell>
          <cell r="X158">
            <v>-8121</v>
          </cell>
          <cell r="Y158">
            <v>-8121</v>
          </cell>
          <cell r="Z158">
            <v>-8121.0000000001164</v>
          </cell>
          <cell r="AA158">
            <v>-8121.0000000002328</v>
          </cell>
          <cell r="AB158">
            <v>-8121</v>
          </cell>
          <cell r="AC158">
            <v>-8121</v>
          </cell>
          <cell r="AD158">
            <v>-8121</v>
          </cell>
          <cell r="AE158">
            <v>-8121</v>
          </cell>
          <cell r="AF158">
            <v>-8121.0000000002328</v>
          </cell>
          <cell r="AG158">
            <v>-8121.0000000002328</v>
          </cell>
          <cell r="AH158"/>
        </row>
        <row r="159">
          <cell r="C159"/>
          <cell r="D159"/>
          <cell r="E159"/>
          <cell r="F159"/>
          <cell r="G159"/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</row>
      </sheetData>
      <sheetData sheetId="8" refreshError="1"/>
      <sheetData sheetId="9" refreshError="1"/>
      <sheetData sheetId="10" refreshError="1">
        <row r="6">
          <cell r="G6">
            <v>1.7999999999999999E-2</v>
          </cell>
          <cell r="N6">
            <v>7.2104565543514201E-2</v>
          </cell>
        </row>
        <row r="7">
          <cell r="G7">
            <v>0.08</v>
          </cell>
        </row>
        <row r="8">
          <cell r="N8">
            <v>0</v>
          </cell>
        </row>
        <row r="10">
          <cell r="G10">
            <v>0</v>
          </cell>
        </row>
        <row r="13">
          <cell r="O13">
            <v>6.0974902205007071E-2</v>
          </cell>
        </row>
        <row r="17">
          <cell r="G17">
            <v>3.9415304378605034E-2</v>
          </cell>
        </row>
        <row r="25">
          <cell r="G25">
            <v>6.2650247698517542E-2</v>
          </cell>
        </row>
      </sheetData>
      <sheetData sheetId="11" refreshError="1"/>
      <sheetData sheetId="12" refreshError="1"/>
      <sheetData sheetId="13" refreshError="1">
        <row r="220">
          <cell r="G220" t="str">
            <v>2002-2008</v>
          </cell>
        </row>
        <row r="221">
          <cell r="G221" t="str">
            <v>Late Cycle</v>
          </cell>
        </row>
        <row r="222">
          <cell r="G222" t="str">
            <v>NTM</v>
          </cell>
        </row>
      </sheetData>
      <sheetData sheetId="14" refreshError="1"/>
      <sheetData sheetId="15" refreshError="1">
        <row r="14">
          <cell r="C14"/>
          <cell r="D14"/>
          <cell r="E14" t="str">
            <v>LTM P/E</v>
          </cell>
          <cell r="F14" t="str">
            <v>NTM P/E</v>
          </cell>
          <cell r="G14" t="str">
            <v>LTM EV/EBITDA</v>
          </cell>
          <cell r="H14" t="str">
            <v>NTM EV/EBITDA</v>
          </cell>
        </row>
        <row r="15">
          <cell r="C15" t="str">
            <v>2002-2018 Full Cycle</v>
          </cell>
          <cell r="D15"/>
          <cell r="E15">
            <v>18.205671476016477</v>
          </cell>
          <cell r="F15">
            <v>19.283640878196735</v>
          </cell>
          <cell r="G15">
            <v>11.082545507878535</v>
          </cell>
          <cell r="H15">
            <v>9.1811144040872925</v>
          </cell>
        </row>
        <row r="16">
          <cell r="C16" t="str">
            <v>2002-2018 Early Cycle</v>
          </cell>
          <cell r="D16"/>
          <cell r="E16">
            <v>16.631865018705398</v>
          </cell>
          <cell r="F16">
            <v>19.070116660836842</v>
          </cell>
          <cell r="G16">
            <v>10.158647187845514</v>
          </cell>
          <cell r="H16" t="e">
            <v>#DIV/0!</v>
          </cell>
        </row>
        <row r="17">
          <cell r="C17" t="str">
            <v>2002-2018 Mid Cycle</v>
          </cell>
          <cell r="D17"/>
          <cell r="E17">
            <v>23.398224311899781</v>
          </cell>
          <cell r="F17">
            <v>20.451988708480599</v>
          </cell>
          <cell r="G17">
            <v>12.071191686019064</v>
          </cell>
          <cell r="H17">
            <v>10.052153383638277</v>
          </cell>
        </row>
        <row r="18">
          <cell r="C18" t="str">
            <v>2002-2018 Late Cycle</v>
          </cell>
          <cell r="D18"/>
          <cell r="E18">
            <v>18.777389202344729</v>
          </cell>
          <cell r="F18">
            <v>19.764491245647761</v>
          </cell>
          <cell r="G18">
            <v>11.670348005383676</v>
          </cell>
          <cell r="H18">
            <v>10.020605620546235</v>
          </cell>
        </row>
        <row r="19">
          <cell r="C19" t="str">
            <v>2002-2008 Full Cycle</v>
          </cell>
          <cell r="D19"/>
          <cell r="E19">
            <v>20.990344859611792</v>
          </cell>
          <cell r="F19">
            <v>20.603814431351687</v>
          </cell>
          <cell r="G19">
            <v>11.793920525786316</v>
          </cell>
          <cell r="H19">
            <v>9.3541574754593846</v>
          </cell>
        </row>
        <row r="20">
          <cell r="C20" t="str">
            <v>2002-2008 Early Cycle</v>
          </cell>
          <cell r="D20"/>
          <cell r="E20">
            <v>21.249489240284277</v>
          </cell>
          <cell r="F20">
            <v>21.070348116173559</v>
          </cell>
          <cell r="G20">
            <v>10.883267445446497</v>
          </cell>
          <cell r="H20" t="e">
            <v>#DIV/0!</v>
          </cell>
        </row>
        <row r="21">
          <cell r="C21" t="str">
            <v>2002-2008 Mid Cycle</v>
          </cell>
          <cell r="D21"/>
          <cell r="E21">
            <v>29.710481817262107</v>
          </cell>
          <cell r="F21">
            <v>24.405532339385086</v>
          </cell>
          <cell r="G21">
            <v>15.0676972906251</v>
          </cell>
          <cell r="H21">
            <v>11.45371415582796</v>
          </cell>
        </row>
        <row r="22">
          <cell r="C22" t="str">
            <v>2002-2008 Late Cycle</v>
          </cell>
          <cell r="D22"/>
          <cell r="E22">
            <v>18.364666816607834</v>
          </cell>
          <cell r="F22">
            <v>19.049844200140832</v>
          </cell>
          <cell r="G22">
            <v>11.239462473426661</v>
          </cell>
          <cell r="H22">
            <v>9.0854268672387928</v>
          </cell>
        </row>
        <row r="23">
          <cell r="C23" t="str">
            <v>2009-2018 Full Cycle</v>
          </cell>
          <cell r="D23"/>
          <cell r="E23">
            <v>16.256400107499754</v>
          </cell>
          <cell r="F23">
            <v>18.359519390988275</v>
          </cell>
          <cell r="G23">
            <v>10.584582995343096</v>
          </cell>
          <cell r="H23">
            <v>9.1205493291070603</v>
          </cell>
        </row>
        <row r="24">
          <cell r="C24" t="str">
            <v>2009-2018 Early Cycle</v>
          </cell>
          <cell r="D24"/>
          <cell r="E24">
            <v>12.014240797126522</v>
          </cell>
          <cell r="F24">
            <v>17.069885205500125</v>
          </cell>
          <cell r="G24">
            <v>9.4340269302445314</v>
          </cell>
          <cell r="H24">
            <v>7.2319439347489265</v>
          </cell>
        </row>
        <row r="25">
          <cell r="C25" t="str">
            <v>2009-2018 Mid Cycle</v>
          </cell>
          <cell r="D25"/>
          <cell r="E25">
            <v>17.085966806537453</v>
          </cell>
          <cell r="F25">
            <v>16.498445077576111</v>
          </cell>
          <cell r="G25">
            <v>9.074686081413029</v>
          </cell>
          <cell r="H25">
            <v>8.6505926114485945</v>
          </cell>
        </row>
        <row r="26">
          <cell r="C26" t="str">
            <v>2009-2018 Late Cycle</v>
          </cell>
          <cell r="D26"/>
          <cell r="E26">
            <v>19.190111588081624</v>
          </cell>
          <cell r="F26">
            <v>20.479138291154694</v>
          </cell>
          <cell r="G26">
            <v>12.101233537340693</v>
          </cell>
          <cell r="H26">
            <v>10.955784373853678</v>
          </cell>
        </row>
        <row r="36">
          <cell r="C36"/>
          <cell r="D36"/>
          <cell r="E36" t="str">
            <v>LTM P/E</v>
          </cell>
          <cell r="F36" t="str">
            <v>NTM P/E</v>
          </cell>
          <cell r="G36" t="str">
            <v>LTM EV/EBITDA</v>
          </cell>
          <cell r="H36" t="str">
            <v>NTM EV/EBITDA</v>
          </cell>
        </row>
        <row r="37">
          <cell r="C37" t="str">
            <v>2002-2018 Full Cycle</v>
          </cell>
          <cell r="D37"/>
          <cell r="E37">
            <v>21.403246311846644</v>
          </cell>
          <cell r="F37">
            <v>17.95801719118516</v>
          </cell>
          <cell r="G37">
            <v>9.3132513318769821</v>
          </cell>
          <cell r="H37">
            <v>7.4958293757039796</v>
          </cell>
        </row>
        <row r="38">
          <cell r="C38" t="str">
            <v>2002-2018 Early Cycle</v>
          </cell>
          <cell r="D38"/>
          <cell r="E38">
            <v>16.765031355001287</v>
          </cell>
          <cell r="F38">
            <v>15.070760284253637</v>
          </cell>
          <cell r="G38">
            <v>7.1956599918680535</v>
          </cell>
          <cell r="H38" t="e">
            <v>#DIV/0!</v>
          </cell>
        </row>
        <row r="39">
          <cell r="C39" t="str">
            <v>2002-2018 Mid Cycle</v>
          </cell>
          <cell r="D39"/>
          <cell r="E39">
            <v>22.912136348927586</v>
          </cell>
          <cell r="F39">
            <v>15.912102391386668</v>
          </cell>
          <cell r="G39">
            <v>9.5909870477663883</v>
          </cell>
          <cell r="H39">
            <v>7.7035467903506643</v>
          </cell>
        </row>
        <row r="40">
          <cell r="C40" t="str">
            <v>2002-2018 Late Cycle</v>
          </cell>
          <cell r="D40"/>
          <cell r="E40">
            <v>26.940327540795085</v>
          </cell>
          <cell r="F40">
            <v>21.478063172950975</v>
          </cell>
          <cell r="G40">
            <v>10.918281569823044</v>
          </cell>
          <cell r="H40">
            <v>8.2211305895486859</v>
          </cell>
        </row>
        <row r="41">
          <cell r="C41" t="str">
            <v>2002-2008 Full Cycle</v>
          </cell>
          <cell r="D41"/>
          <cell r="E41">
            <v>20.255465760579177</v>
          </cell>
          <cell r="F41">
            <v>21.31317889161188</v>
          </cell>
          <cell r="G41">
            <v>9.1534450379630528</v>
          </cell>
          <cell r="H41">
            <v>7.9483918337634245</v>
          </cell>
        </row>
        <row r="42">
          <cell r="C42" t="str">
            <v>2002-2008 Early Cycle</v>
          </cell>
          <cell r="D42"/>
          <cell r="E42">
            <v>18.198782411247478</v>
          </cell>
          <cell r="F42">
            <v>16.297524839559937</v>
          </cell>
          <cell r="G42">
            <v>7.6015561158213041</v>
          </cell>
          <cell r="H42" t="e">
            <v>#DIV/0!</v>
          </cell>
        </row>
        <row r="43">
          <cell r="C43" t="str">
            <v>2002-2008 Mid Cycle</v>
          </cell>
          <cell r="D43"/>
          <cell r="E43">
            <v>21.941880465375629</v>
          </cell>
          <cell r="F43">
            <v>15.863134957078572</v>
          </cell>
          <cell r="G43">
            <v>9.2477638484750244</v>
          </cell>
          <cell r="H43">
            <v>8.2231007097959399</v>
          </cell>
        </row>
        <row r="44">
          <cell r="C44" t="str">
            <v>2002-2008 Late Cycle</v>
          </cell>
          <cell r="D44"/>
          <cell r="E44">
            <v>23.644373208869958</v>
          </cell>
          <cell r="F44">
            <v>24.783418033166104</v>
          </cell>
          <cell r="G44">
            <v>10.546863511930287</v>
          </cell>
          <cell r="H44">
            <v>7.8442993922775894</v>
          </cell>
        </row>
        <row r="45">
          <cell r="C45" t="str">
            <v>2009-2018 Full Cycle</v>
          </cell>
          <cell r="D45"/>
          <cell r="E45">
            <v>22.027168047407443</v>
          </cell>
          <cell r="F45">
            <v>16.38109119198457</v>
          </cell>
          <cell r="G45">
            <v>9.4041056715640821</v>
          </cell>
          <cell r="H45">
            <v>7.3480074672926108</v>
          </cell>
        </row>
        <row r="46">
          <cell r="C46" t="str">
            <v>2009-2018 Early Cycle</v>
          </cell>
          <cell r="D46"/>
          <cell r="E46">
            <v>15.331280298755098</v>
          </cell>
          <cell r="F46">
            <v>13.843995728947338</v>
          </cell>
          <cell r="G46">
            <v>6.789763867914802</v>
          </cell>
          <cell r="H46">
            <v>6.0055133144661292</v>
          </cell>
        </row>
        <row r="47">
          <cell r="C47" t="str">
            <v>2009-2018 Mid Cycle</v>
          </cell>
          <cell r="D47"/>
          <cell r="E47">
            <v>23.882392232479543</v>
          </cell>
          <cell r="F47">
            <v>15.961069825694764</v>
          </cell>
          <cell r="G47">
            <v>9.9342102470577522</v>
          </cell>
          <cell r="H47">
            <v>7.1839928709053877</v>
          </cell>
        </row>
        <row r="48">
          <cell r="C48" t="str">
            <v>2009-2018 Late Cycle</v>
          </cell>
          <cell r="D48"/>
          <cell r="E48">
            <v>30.236281872720213</v>
          </cell>
          <cell r="F48">
            <v>18.172708312735843</v>
          </cell>
          <cell r="G48">
            <v>11.2896996277158</v>
          </cell>
          <cell r="H48">
            <v>8.5979617868197806</v>
          </cell>
        </row>
        <row r="58">
          <cell r="C58"/>
          <cell r="D58"/>
          <cell r="E58" t="str">
            <v>LTM P/E</v>
          </cell>
          <cell r="F58" t="str">
            <v>NTM P/E</v>
          </cell>
          <cell r="G58" t="str">
            <v>LTM EV/EBITDA</v>
          </cell>
          <cell r="H58" t="str">
            <v>NTM EV/EBITDA</v>
          </cell>
        </row>
        <row r="59">
          <cell r="C59" t="str">
            <v>2002-2018 Full Cycle</v>
          </cell>
          <cell r="D59"/>
          <cell r="E59">
            <v>17.451844369442512</v>
          </cell>
          <cell r="F59">
            <v>14.789390590177238</v>
          </cell>
          <cell r="G59">
            <v>9.0736330644380931</v>
          </cell>
          <cell r="H59">
            <v>8.2467031760817928</v>
          </cell>
        </row>
        <row r="60">
          <cell r="C60" t="str">
            <v>2002-2018 Early Cycle</v>
          </cell>
          <cell r="D60"/>
          <cell r="E60">
            <v>16.511356338309774</v>
          </cell>
          <cell r="F60">
            <v>14.249403727801335</v>
          </cell>
          <cell r="G60">
            <v>8.0081879799852764</v>
          </cell>
          <cell r="H60" t="e">
            <v>#DIV/0!</v>
          </cell>
        </row>
        <row r="61">
          <cell r="C61" t="str">
            <v>2002-2018 Mid Cycle</v>
          </cell>
          <cell r="D61"/>
          <cell r="E61">
            <v>18.174451528888053</v>
          </cell>
          <cell r="F61">
            <v>15.177675768515218</v>
          </cell>
          <cell r="G61">
            <v>9.1033872247162755</v>
          </cell>
          <cell r="H61">
            <v>8.1673101789748106</v>
          </cell>
        </row>
        <row r="62">
          <cell r="C62" t="str">
            <v>2002-2018 Late Cycle</v>
          </cell>
          <cell r="D62"/>
          <cell r="E62">
            <v>18.375615705208343</v>
          </cell>
          <cell r="F62">
            <v>16.379830180926785</v>
          </cell>
          <cell r="G62">
            <v>10.316037257276058</v>
          </cell>
          <cell r="H62">
            <v>9.7916138824697967</v>
          </cell>
        </row>
        <row r="63">
          <cell r="C63" t="str">
            <v>2002-2008 Full Cycle</v>
          </cell>
          <cell r="D63"/>
          <cell r="E63">
            <v>19.372174186392851</v>
          </cell>
          <cell r="F63">
            <v>16.698670553729919</v>
          </cell>
          <cell r="G63">
            <v>9.6234398026286101</v>
          </cell>
          <cell r="H63">
            <v>8.299118515323439</v>
          </cell>
        </row>
        <row r="64">
          <cell r="C64" t="str">
            <v>2002-2008 Early Cycle</v>
          </cell>
          <cell r="D64"/>
          <cell r="E64">
            <v>22.394953041679578</v>
          </cell>
          <cell r="F64">
            <v>19.063007806196822</v>
          </cell>
          <cell r="G64">
            <v>10.384988120065191</v>
          </cell>
          <cell r="H64" t="e">
            <v>#DIV/0!</v>
          </cell>
        </row>
        <row r="65">
          <cell r="C65" t="str">
            <v>2002-2008 Mid Cycle</v>
          </cell>
          <cell r="D65"/>
          <cell r="E65">
            <v>19.262472338714346</v>
          </cell>
          <cell r="F65">
            <v>17.294949146403418</v>
          </cell>
          <cell r="G65">
            <v>9.8177655309079377</v>
          </cell>
          <cell r="H65">
            <v>8.656236152701716</v>
          </cell>
        </row>
        <row r="66">
          <cell r="C66" t="str">
            <v>2002-2008 Late Cycle</v>
          </cell>
          <cell r="D66"/>
          <cell r="E66">
            <v>17.224511078395345</v>
          </cell>
          <cell r="F66">
            <v>14.896640295870613</v>
          </cell>
          <cell r="G66">
            <v>8.9307838896084188</v>
          </cell>
          <cell r="H66">
            <v>8.2881320038219322</v>
          </cell>
        </row>
        <row r="67">
          <cell r="C67" t="str">
            <v>2009-2018 Full Cycle</v>
          </cell>
          <cell r="D67"/>
          <cell r="E67">
            <v>16.187707655771675</v>
          </cell>
          <cell r="F67">
            <v>13.567451413503498</v>
          </cell>
          <cell r="G67">
            <v>8.6942664150866467</v>
          </cell>
          <cell r="H67">
            <v>8.2278336539548018</v>
          </cell>
        </row>
        <row r="68">
          <cell r="C68" t="str">
            <v>2009-2018 Early Cycle</v>
          </cell>
          <cell r="D68"/>
          <cell r="E68">
            <v>10.627759634939974</v>
          </cell>
          <cell r="F68">
            <v>9.4357996494058476</v>
          </cell>
          <cell r="G68">
            <v>5.6313878399053614</v>
          </cell>
          <cell r="H68">
            <v>5.4314602700251715</v>
          </cell>
        </row>
        <row r="69">
          <cell r="C69" t="str">
            <v>2009-2018 Mid Cycle</v>
          </cell>
          <cell r="D69"/>
          <cell r="E69">
            <v>17.086430719061759</v>
          </cell>
          <cell r="F69">
            <v>13.060402390627019</v>
          </cell>
          <cell r="G69">
            <v>8.3890089185246133</v>
          </cell>
          <cell r="H69">
            <v>7.6783842052479061</v>
          </cell>
        </row>
        <row r="70">
          <cell r="C70" t="str">
            <v>2009-2018 Late Cycle</v>
          </cell>
          <cell r="D70"/>
          <cell r="E70">
            <v>19.526720332021341</v>
          </cell>
          <cell r="F70">
            <v>17.863020065982958</v>
          </cell>
          <cell r="G70">
            <v>11.701290624943695</v>
          </cell>
          <cell r="H70">
            <v>11.295095761117661</v>
          </cell>
        </row>
        <row r="80">
          <cell r="C80"/>
          <cell r="D80"/>
          <cell r="E80" t="str">
            <v>LTM P/E</v>
          </cell>
          <cell r="F80" t="str">
            <v>NTM P/E</v>
          </cell>
          <cell r="G80" t="str">
            <v>LTM EV/EBITDA</v>
          </cell>
          <cell r="H80" t="str">
            <v>NTM EV/EBITDA</v>
          </cell>
        </row>
        <row r="81">
          <cell r="C81" t="str">
            <v>2002-2018 Full Cycle</v>
          </cell>
          <cell r="D81"/>
          <cell r="E81">
            <v>23.989111745649577</v>
          </cell>
          <cell r="F81">
            <v>16.203546988432574</v>
          </cell>
          <cell r="G81">
            <v>9.8661131234978807</v>
          </cell>
          <cell r="H81">
            <v>9.2441464344112774</v>
          </cell>
        </row>
        <row r="82">
          <cell r="C82" t="str">
            <v>2002-2018 Early Cycle</v>
          </cell>
          <cell r="D82"/>
          <cell r="E82">
            <v>16.283161986472258</v>
          </cell>
          <cell r="F82">
            <v>15.362904308645149</v>
          </cell>
          <cell r="G82">
            <v>9.8819850551453499</v>
          </cell>
          <cell r="H82">
            <v>9.2905553065414104</v>
          </cell>
        </row>
        <row r="83">
          <cell r="C83" t="str">
            <v>2002-2018 Mid Cycle</v>
          </cell>
          <cell r="D83"/>
          <cell r="E83">
            <v>30.517340865834477</v>
          </cell>
          <cell r="F83">
            <v>16.5008457582353</v>
          </cell>
          <cell r="G83">
            <v>10.780763119234088</v>
          </cell>
          <cell r="H83">
            <v>10.071622690062998</v>
          </cell>
        </row>
        <row r="84">
          <cell r="C84" t="str">
            <v>2002-2018 Late Cycle</v>
          </cell>
          <cell r="D84"/>
          <cell r="E84">
            <v>27.069477185753225</v>
          </cell>
          <cell r="F84">
            <v>15.714148641486672</v>
          </cell>
          <cell r="G84">
            <v>9.9615819121752605</v>
          </cell>
          <cell r="H84">
            <v>9.1156722981071887</v>
          </cell>
        </row>
        <row r="85">
          <cell r="C85" t="str">
            <v>2002-2008 Full Cycle</v>
          </cell>
          <cell r="D85"/>
          <cell r="E85" t="e">
            <v>#REF!</v>
          </cell>
          <cell r="F85" t="e">
            <v>#REF!</v>
          </cell>
          <cell r="G85" t="e">
            <v>#REF!</v>
          </cell>
          <cell r="H85" t="e">
            <v>#REF!</v>
          </cell>
        </row>
        <row r="86">
          <cell r="C86" t="str">
            <v>2002-2008 Early Cycle</v>
          </cell>
          <cell r="D86"/>
          <cell r="E86" t="e">
            <v>#REF!</v>
          </cell>
          <cell r="F86" t="e">
            <v>#REF!</v>
          </cell>
          <cell r="G86" t="e">
            <v>#REF!</v>
          </cell>
          <cell r="H86" t="e">
            <v>#REF!</v>
          </cell>
        </row>
        <row r="87">
          <cell r="C87" t="str">
            <v>2002-2008 Mid Cycle</v>
          </cell>
          <cell r="D87"/>
          <cell r="E87">
            <v>17.392478722963279</v>
          </cell>
          <cell r="F87">
            <v>16.634595658438169</v>
          </cell>
          <cell r="G87">
            <v>10.588664830685548</v>
          </cell>
          <cell r="H87">
            <v>10.397760806394952</v>
          </cell>
        </row>
        <row r="88">
          <cell r="C88" t="str">
            <v>2002-2008 Late Cycle</v>
          </cell>
          <cell r="D88"/>
          <cell r="E88">
            <v>15.514922285786557</v>
          </cell>
          <cell r="F88">
            <v>15.144611461447708</v>
          </cell>
          <cell r="G88">
            <v>9.2118889612689792</v>
          </cell>
          <cell r="H88">
            <v>9.1385054997468451</v>
          </cell>
        </row>
        <row r="89">
          <cell r="C89" t="str">
            <v>2009-2018 Full Cycle</v>
          </cell>
          <cell r="D89"/>
          <cell r="E89">
            <v>27.069477185753225</v>
          </cell>
          <cell r="F89">
            <v>15.714148641486672</v>
          </cell>
          <cell r="G89">
            <v>9.9615819121752605</v>
          </cell>
          <cell r="H89">
            <v>9.1156722981071887</v>
          </cell>
        </row>
        <row r="90">
          <cell r="C90" t="str">
            <v>2009-2018 Early Cycle</v>
          </cell>
          <cell r="D90"/>
          <cell r="E90">
            <v>14.82226101462237</v>
          </cell>
          <cell r="F90">
            <v>14.365408382331177</v>
          </cell>
          <cell r="G90">
            <v>8.0232548958417986</v>
          </cell>
          <cell r="H90">
            <v>7.6333590435799241</v>
          </cell>
        </row>
        <row r="91">
          <cell r="C91" t="str">
            <v>2009-2018 Mid Cycle</v>
          </cell>
          <cell r="D91"/>
          <cell r="E91">
            <v>15.173845249981238</v>
          </cell>
          <cell r="F91">
            <v>14.091212958852129</v>
          </cell>
          <cell r="G91">
            <v>9.1753052796051513</v>
          </cell>
          <cell r="H91">
            <v>8.1833498066878683</v>
          </cell>
        </row>
        <row r="92">
          <cell r="C92" t="str">
            <v>2009-2018 Late Cycle</v>
          </cell>
          <cell r="D92"/>
          <cell r="E92">
            <v>45.5197594458824</v>
          </cell>
          <cell r="F92">
            <v>17.857080055022895</v>
          </cell>
          <cell r="G92">
            <v>12.349637277199196</v>
          </cell>
          <cell r="H92">
            <v>11.004739880379152</v>
          </cell>
        </row>
        <row r="93">
          <cell r="C93"/>
          <cell r="D93"/>
          <cell r="E93"/>
          <cell r="F93"/>
          <cell r="G93"/>
          <cell r="H93"/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_CACHE"/>
      <sheetName val="Comps"/>
      <sheetName val="data"/>
      <sheetName val="Key_Company"/>
      <sheetName val="Comp 1"/>
      <sheetName val="Comp 2"/>
      <sheetName val="Comp 3"/>
      <sheetName val="Comp 4"/>
      <sheetName val="Comp 5"/>
      <sheetName val="Comp 6"/>
      <sheetName val="Comp 7"/>
      <sheetName val="Comp 8"/>
      <sheetName val="Comp 9"/>
    </sheetNames>
    <sheetDataSet>
      <sheetData sheetId="0" refreshError="1"/>
      <sheetData sheetId="1" refreshError="1"/>
      <sheetData sheetId="2" refreshError="1">
        <row r="5">
          <cell r="A5" t="str">
            <v>USD</v>
          </cell>
        </row>
        <row r="6">
          <cell r="A6">
            <v>1000000</v>
          </cell>
        </row>
      </sheetData>
      <sheetData sheetId="3" refreshError="1">
        <row r="2">
          <cell r="C2" t="str">
            <v>NAS:AMZN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5"/>
      <sheetName val="Macros"/>
      <sheetName val="Inputs"/>
      <sheetName val="Sales - Report First"/>
      <sheetName val="Debt"/>
      <sheetName val="POWER5.XLA"/>
      <sheetName val="Tecua"/>
      <sheetName val="URI"/>
      <sheetName val="Test"/>
      <sheetName val="proforma BS"/>
      <sheetName val="Stock Analysis"/>
      <sheetName val="merger"/>
      <sheetName val="Company summary items"/>
      <sheetName val="synthgraph"/>
      <sheetName val="Vergleichswerte"/>
      <sheetName val="IS &amp; CF"/>
      <sheetName val="Assumptions"/>
      <sheetName val="Mapping"/>
      <sheetName val="Rev Tracker"/>
      <sheetName val="INPUT"/>
      <sheetName val="Graph"/>
      <sheetName val="GER IFO vs Const"/>
      <sheetName val="Europe sales Graph"/>
      <sheetName val="EU Ind vs EU Cons"/>
      <sheetName val="rank"/>
      <sheetName val="GER_IFO_vs_Const"/>
      <sheetName val="Europe_sales_Graph"/>
      <sheetName val="EU_Ind_vs_EU_Cons"/>
      <sheetName val="POWER5_XLA"/>
      <sheetName val="Lookup"/>
      <sheetName val="Main Model"/>
      <sheetName val="Newer version"/>
      <sheetName val="Consolidated"/>
      <sheetName val="AcqIS"/>
      <sheetName val="AcqBSCF"/>
      <sheetName val="ASSUMPT"/>
      <sheetName val="Contract_Details"/>
      <sheetName val="BASE DATA"/>
      <sheetName val="Contents"/>
      <sheetName val="Insulin Sales - NA"/>
      <sheetName val="Business_Model"/>
      <sheetName val="Insulin Sales - EU"/>
      <sheetName val="Insulin Sales - Japan"/>
      <sheetName val="Performance"/>
      <sheetName val="pellet"/>
      <sheetName val="Pro Forma Income Statement"/>
      <sheetName val="Assum"/>
      <sheetName val="COMBINED"/>
      <sheetName val="Aggregation"/>
      <sheetName val="General"/>
      <sheetName val="GL Detail"/>
      <sheetName val="Pro Forma"/>
      <sheetName val="Cases"/>
      <sheetName val="S&amp;U"/>
      <sheetName val="Debt &amp; Interest"/>
      <sheetName val="McKinley P&amp;L"/>
      <sheetName val=" PT 08"/>
      <sheetName val=" PT 07"/>
      <sheetName val=" PT 11"/>
      <sheetName val=" PT 10"/>
      <sheetName val=" PT 12"/>
      <sheetName val=" PT 13"/>
      <sheetName val=" PT 09"/>
      <sheetName val=" PT 01"/>
      <sheetName val=" PT 04"/>
      <sheetName val=" PT 05"/>
      <sheetName val=" PT 03"/>
      <sheetName val="Overheads"/>
      <sheetName val="Données Spéc."/>
      <sheetName val="PV - CTLM"/>
      <sheetName val="PV - MTLK"/>
      <sheetName val="Deal Info &amp; Print Menu"/>
      <sheetName val="Product Trends"/>
      <sheetName val="EBITDA Bridge"/>
      <sheetName val="WC analytics (+data pages)"/>
      <sheetName val="Structures"/>
      <sheetName val="YEAR 1 "/>
      <sheetName val="Sched A9"/>
      <sheetName val="cd_Data"/>
      <sheetName val="yc_Formula"/>
      <sheetName val="Historical Actuals"/>
      <sheetName val="Tables"/>
      <sheetName val="Emory Vols Jan-Dec 2006"/>
      <sheetName val="Sheet1"/>
      <sheetName val="Pro Forma Credit "/>
      <sheetName val="Entrada Dados"/>
      <sheetName val="ENERGIA"/>
      <sheetName val="OPR"/>
      <sheetName val="Capital Expenditure Input Sheet"/>
      <sheetName val="Operating Expense Input Sheet"/>
      <sheetName val="Control"/>
      <sheetName val="Comet Reference Tab"/>
      <sheetName val="2000 Activity"/>
      <sheetName val="total Commonwealth"/>
      <sheetName val="INFO"/>
      <sheetName val="WKSHT"/>
      <sheetName val="CHK REQ"/>
      <sheetName val="SW 212218"/>
      <sheetName val="N.TX - 1997"/>
      <sheetName val="Customize Your Invoice"/>
      <sheetName val="Deal Matrix"/>
      <sheetName val="Model Driver"/>
      <sheetName val="DCF"/>
      <sheetName val="SummaryP&amp;L"/>
      <sheetName val="Assump"/>
      <sheetName val="Cover"/>
      <sheetName val="CF"/>
      <sheetName val="AssumptionsGroup"/>
      <sheetName val="Scenario Management"/>
      <sheetName val=" Cash Flow"/>
      <sheetName val=" P&amp;L-Projection"/>
      <sheetName val="P&amp;L"/>
      <sheetName val="SHELL"/>
      <sheetName val="S&amp;P"/>
      <sheetName val="LBO"/>
      <sheetName val="Active"/>
      <sheetName val="Currency"/>
      <sheetName val="FCC0504"/>
      <sheetName val="Dividend Analysis Assumptions"/>
      <sheetName val="Multiples.Summary"/>
      <sheetName val="Comps"/>
      <sheetName val="Ass"/>
      <sheetName val="Labor"/>
      <sheetName val="Drivers"/>
      <sheetName val="Cap"/>
      <sheetName val="Main"/>
      <sheetName val="CSI"/>
      <sheetName val="WACC"/>
      <sheetName val="\Applications\Microsoft Office "/>
      <sheetName val="AL1"/>
      <sheetName val="General Assump"/>
      <sheetName val="Summary"/>
      <sheetName val="List"/>
      <sheetName val="CloseTable"/>
      <sheetName val="CloseTable Prior"/>
      <sheetName val="Co List"/>
      <sheetName val="P"/>
      <sheetName val="Royal Carib. Model"/>
      <sheetName val="Annual"/>
      <sheetName val="BIS LIST-NTH 18"/>
      <sheetName val="Drop Down Lists"/>
      <sheetName val="DCF_a"/>
      <sheetName val="CASH FLOW MONTH FC"/>
      <sheetName val="Inc Stmt MONTH FC"/>
      <sheetName val="BS ASSETS FC"/>
      <sheetName val="SCIMED Old"/>
      <sheetName val="QuartRev"/>
      <sheetName val="//na1.salesforce.com/Applicatio"/>
      <sheetName val="\\sfdc\DFS\Applications\Microso"/>
      <sheetName val="\J\Applications\Microsoft Offic"/>
      <sheetName val="Calendar"/>
      <sheetName val="SegAutos"/>
      <sheetName val="Buyers Competitors (2)"/>
      <sheetName val="Trial Balance"/>
      <sheetName val="E&amp;Y Format"/>
      <sheetName val="CALCULATIONS"/>
      <sheetName val="Print Controls"/>
      <sheetName val="Input Page"/>
      <sheetName val="Calcs"/>
      <sheetName val="TargIS"/>
      <sheetName val="C_FB"/>
      <sheetName val="PF_IMP2"/>
      <sheetName val="FB"/>
      <sheetName val="MGMT_IS"/>
      <sheetName val="C_TOR"/>
      <sheetName val="STL"/>
      <sheetName val="NYN_91"/>
      <sheetName val="Fees"/>
      <sheetName val="2000_Activity"/>
      <sheetName val="total_Commonwealth"/>
      <sheetName val="CHK_REQ"/>
      <sheetName val="SW_212218"/>
      <sheetName val="N_TX_-_1997"/>
      <sheetName val="Customize_Your_Invoice"/>
      <sheetName val="Sales_-_Report_First"/>
      <sheetName val="Daily Sales"/>
      <sheetName val="Parameter"/>
      <sheetName val="#REF"/>
      <sheetName val="EXTRACT"/>
      <sheetName val="chad10 June02"/>
      <sheetName val="chad12 Dec02"/>
      <sheetName val="chad4"/>
      <sheetName val="DATA"/>
      <sheetName val="INÍCIO_OPER"/>
      <sheetName val="D &amp; A"/>
      <sheetName val="[POWER5.XLA]__qmaxsolutions_m_2"/>
      <sheetName val="POWER5_XLA1"/>
      <sheetName val="Rev_Tracker"/>
      <sheetName val="proforma_BS"/>
      <sheetName val="Stock_Analysis"/>
      <sheetName val="Company_summary_items"/>
      <sheetName val="Pro_Forma_Income_Statement"/>
      <sheetName val="Main_Model"/>
      <sheetName val="Newer_version"/>
      <sheetName val="GL_Detail"/>
      <sheetName val="Pro_Forma"/>
      <sheetName val="Debt_&amp;_Interest"/>
      <sheetName val="McKinley_P&amp;L"/>
      <sheetName val="_PT_08"/>
      <sheetName val="_PT_07"/>
      <sheetName val="_PT_11"/>
      <sheetName val="_PT_10"/>
      <sheetName val="_PT_12"/>
      <sheetName val="_PT_13"/>
      <sheetName val="_PT_09"/>
      <sheetName val="_PT_01"/>
      <sheetName val="_PT_04"/>
      <sheetName val="_PT_05"/>
      <sheetName val="_PT_03"/>
      <sheetName val="Données_Spéc_"/>
      <sheetName val="PV_-_CTLM"/>
      <sheetName val="PV_-_MTLK"/>
      <sheetName val="Deal_Info_&amp;_Print_Menu"/>
      <sheetName val="Product_Trends"/>
      <sheetName val="EBITDA_Bridge"/>
      <sheetName val="WC_analytics_(+data_pages)"/>
      <sheetName val="YEAR_1_"/>
      <sheetName val="Sched_A9"/>
      <sheetName val="Historical_Actuals"/>
      <sheetName val="Emory_Vols_Jan-Dec_2006"/>
      <sheetName val="Pro_Forma_Credit_"/>
      <sheetName val="Entrada_Dados"/>
      <sheetName val="Capital_Expenditure_Input_Sheet"/>
      <sheetName val="Operating_Expense_Input_Sheet"/>
      <sheetName val="Comet_Reference_Tab"/>
      <sheetName val="GER_IFO_vs_Const1"/>
      <sheetName val="Europe_sales_Graph1"/>
      <sheetName val="EU_Ind_vs_EU_Cons1"/>
      <sheetName val="Scenario_Management"/>
      <sheetName val="_Cash_Flow"/>
      <sheetName val="_P&amp;L-Projection"/>
      <sheetName val="Dividend_Analysis_Assumptions"/>
      <sheetName val="Multiples_Summary"/>
      <sheetName val="IS_&amp;_CF"/>
      <sheetName val="BASE_DATA"/>
      <sheetName val="Insulin_Sales_-_NA"/>
      <sheetName val="Insulin_Sales_-_EU"/>
      <sheetName val="Insulin_Sales_-_Japan"/>
      <sheetName val="Deal_Matrix"/>
      <sheetName val="Model_Driver"/>
      <sheetName val="chad10_June02"/>
      <sheetName val="chad12_Dec02"/>
      <sheetName val="CASH_FLOW_MONTH_FC"/>
      <sheetName val="Inc_Stmt_MONTH_FC"/>
      <sheetName val="BS_ASSETS_FC"/>
      <sheetName val="General_Assump"/>
      <sheetName val="\Applications\Microsoft_Office_"/>
      <sheetName val="CloseTable_Prior"/>
      <sheetName val="Co_List"/>
      <sheetName val="Royal_Carib__Model"/>
      <sheetName val="BIS_LIST-NTH_18"/>
      <sheetName val="Share Prices"/>
      <sheetName val="O1"/>
      <sheetName val="Consolidated Financials"/>
      <sheetName val="Equity Index"/>
      <sheetName val="Model"/>
      <sheetName val="BRSW"/>
      <sheetName val="sal"/>
      <sheetName val="check"/>
      <sheetName val="MACRs"/>
      <sheetName val="US Ops Account Detail"/>
      <sheetName val="Cashflow Model"/>
      <sheetName val="[POWER5.XLA][POWER5.XLA][POWER5"/>
      <sheetName val="[POWER5.XLA][POWER5.XLA]\Applic"/>
      <sheetName val="[POWER5.XLA][POWER5.XLA]//na1.s"/>
      <sheetName val="[POWER5.XLA][POWER5.XLA]\\sfdc\"/>
      <sheetName val="[POWER5.XLA]\Applications\Micro"/>
      <sheetName val="[POWER5.XLA]//na1.salesforce.co"/>
      <sheetName val="[POWER5.XLA]\\sfdc\DFS\Applicat"/>
      <sheetName val="Cap Sheet"/>
      <sheetName val="//aodocs.altirnao.com/webdav/PC"/>
      <sheetName val="//localhost/webdav/PCPK8Cq7c4LY"/>
      <sheetName val="//localhost/webdav/PCPQism4gC0V"/>
      <sheetName val="//localhost/FY%202015%20Close/F"/>
      <sheetName val="//aodocs.altirnao.com/webdav/PD"/>
      <sheetName val="//localhost/webdav/PCPyKv40Lr9R"/>
      <sheetName val="//qmaxsolutions-my_sharepoint_c"/>
      <sheetName val="//qmaxsolutions-my_sharepoint_1"/>
      <sheetName val="Main_Model1"/>
      <sheetName val="Newer_version1"/>
      <sheetName val="GL_Detail1"/>
      <sheetName val="Pro_Forma1"/>
      <sheetName val="McKinley_P&amp;L1"/>
      <sheetName val="Pro_Forma_Income_Statement1"/>
      <sheetName val="Deal_Matrix1"/>
      <sheetName val="Model_Driver1"/>
      <sheetName val="Insulin_Sales_-_NA1"/>
      <sheetName val="Insulin_Sales_-_EU1"/>
      <sheetName val="Insulin_Sales_-_Japan1"/>
      <sheetName val="Set-up"/>
      <sheetName val="D"/>
      <sheetName val="Model Summary"/>
      <sheetName val="Purchase vs. Rights"/>
      <sheetName val="CIH Sensitivities"/>
      <sheetName val="Tables for Memo Update 2-9-09"/>
      <sheetName val="summ2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Summary"/>
      <sheetName val="Model Output"/>
      <sheetName val="Football Field"/>
      <sheetName val="Integrity"/>
      <sheetName val="Revenue Build"/>
      <sheetName val="Model"/>
      <sheetName val="Segment Analysis"/>
      <sheetName val="Drivers"/>
      <sheetName val="Comparables"/>
      <sheetName val="CIQ ID Locater"/>
      <sheetName val="WACC"/>
      <sheetName val="Valuation"/>
      <sheetName val="Multiples Data"/>
      <sheetName val="Charts"/>
      <sheetName val="Benchmark"/>
      <sheetName val="Pre-Earnings"/>
      <sheetName val="Post-Earnings"/>
    </sheetNames>
    <sheetDataSet>
      <sheetData sheetId="0">
        <row r="19">
          <cell r="F19" t="str">
            <v>The Blackstone Group, Inc.</v>
          </cell>
        </row>
        <row r="20">
          <cell r="F20" t="str">
            <v>BX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B Pipeline Schedule"/>
      <sheetName val="Financial Model"/>
      <sheetName val="Revenue Waterfall - Final"/>
      <sheetName val="2013 CRS"/>
      <sheetName val="2013 Monthly P&amp;L"/>
      <sheetName val="2012 Monthly P&amp;L"/>
      <sheetName val="2012 CRS"/>
      <sheetName val="Earnings Adj."/>
      <sheetName val="Fringe Adjustments"/>
      <sheetName val="Monthly Balance Sheets"/>
      <sheetName val="WC Schedule"/>
      <sheetName val="Jan 2013"/>
      <sheetName val="Feb 2013"/>
      <sheetName val="Mar 2013"/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"/>
      <sheetName val="Valuation"/>
      <sheetName val="Financial Chart"/>
      <sheetName val="Pro Forma EBITDA"/>
      <sheetName val="Earnings Adjustments"/>
      <sheetName val="Balance Sheets-Mar-13"/>
      <sheetName val="Balance Sheets"/>
      <sheetName val="Chart Data"/>
      <sheetName val="Revenue Waterfall"/>
      <sheetName val="Staffing Forecast 2013"/>
      <sheetName val="P&amp;L Trend Mar-13"/>
      <sheetName val="Total Inc by Project Mar-13"/>
      <sheetName val="Backlog Schedule"/>
      <sheetName val="P&amp;L - Actual vs Budget (Feb 13)"/>
      <sheetName val="P&amp;L Trend (Feb 13)"/>
      <sheetName val="Invoice Schedule"/>
      <sheetName val="Wage Forecast"/>
      <sheetName val="Indirect Forecast"/>
      <sheetName val="Planning Worksheet"/>
      <sheetName val="2013 Forecast"/>
      <sheetName val="P&amp;L Trend (2)"/>
      <sheetName val="Total Inc by Project by Mon (2)"/>
      <sheetName val="Billiability Trend (2)"/>
      <sheetName val="P&amp;L Trend"/>
      <sheetName val="Total Inc by Project by Month"/>
      <sheetName val="Billability by Employee"/>
      <sheetName val="Employee Hours"/>
      <sheetName val="Sheet2"/>
      <sheetName val="Billiability Trend"/>
      <sheetName val="VV Proj Detail"/>
      <sheetName val="VV Sub Time Detail"/>
      <sheetName val="Staffing Forecast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">
          <cell r="C1" t="str">
            <v>Level</v>
          </cell>
          <cell r="P1" t="str">
            <v>Gender</v>
          </cell>
        </row>
        <row r="2">
          <cell r="C2" t="str">
            <v>3 - Jr. Analyst</v>
          </cell>
          <cell r="P2" t="str">
            <v>=F</v>
          </cell>
        </row>
        <row r="6">
          <cell r="C6" t="str">
            <v>Annual Salary</v>
          </cell>
          <cell r="P6" t="str">
            <v>Gender</v>
          </cell>
        </row>
        <row r="7">
          <cell r="C7">
            <v>72000</v>
          </cell>
          <cell r="P7" t="str">
            <v>M</v>
          </cell>
        </row>
        <row r="8">
          <cell r="C8">
            <v>62000</v>
          </cell>
          <cell r="P8" t="str">
            <v>F</v>
          </cell>
        </row>
        <row r="9">
          <cell r="C9">
            <v>135000</v>
          </cell>
          <cell r="P9" t="str">
            <v>M</v>
          </cell>
        </row>
        <row r="10">
          <cell r="C10">
            <v>83000</v>
          </cell>
          <cell r="P10" t="str">
            <v>M</v>
          </cell>
        </row>
        <row r="11">
          <cell r="C11">
            <v>130000</v>
          </cell>
          <cell r="P11" t="str">
            <v>M</v>
          </cell>
        </row>
        <row r="12">
          <cell r="C12">
            <v>130000</v>
          </cell>
          <cell r="P12" t="str">
            <v>M</v>
          </cell>
        </row>
        <row r="13">
          <cell r="C13">
            <v>85000</v>
          </cell>
          <cell r="P13" t="str">
            <v>M</v>
          </cell>
        </row>
        <row r="14">
          <cell r="C14">
            <v>120000</v>
          </cell>
          <cell r="P14" t="str">
            <v>F</v>
          </cell>
        </row>
        <row r="15">
          <cell r="C15">
            <v>200000</v>
          </cell>
          <cell r="P15" t="str">
            <v>M</v>
          </cell>
        </row>
        <row r="16">
          <cell r="C16">
            <v>200000</v>
          </cell>
          <cell r="P16" t="str">
            <v>M</v>
          </cell>
        </row>
        <row r="17">
          <cell r="C17">
            <v>100800</v>
          </cell>
          <cell r="P17" t="str">
            <v>F</v>
          </cell>
        </row>
        <row r="18">
          <cell r="C18">
            <v>155000</v>
          </cell>
          <cell r="P18" t="str">
            <v>M</v>
          </cell>
        </row>
        <row r="19">
          <cell r="C19">
            <v>70000</v>
          </cell>
        </row>
        <row r="21">
          <cell r="C21" t="str">
            <v>Salary</v>
          </cell>
          <cell r="P21" t="str">
            <v>Gender</v>
          </cell>
        </row>
        <row r="22">
          <cell r="C22">
            <v>118000</v>
          </cell>
          <cell r="P22" t="str">
            <v>F</v>
          </cell>
        </row>
        <row r="23">
          <cell r="C23">
            <v>135000</v>
          </cell>
          <cell r="P23" t="str">
            <v>F</v>
          </cell>
        </row>
        <row r="25">
          <cell r="C25" t="str">
            <v>IAT Pay Rate Per Hour</v>
          </cell>
          <cell r="P25" t="str">
            <v>Gender</v>
          </cell>
        </row>
        <row r="26">
          <cell r="C26">
            <v>156</v>
          </cell>
          <cell r="P26" t="str">
            <v>M</v>
          </cell>
        </row>
        <row r="27">
          <cell r="C27">
            <v>152.5</v>
          </cell>
        </row>
        <row r="28">
          <cell r="C28">
            <v>156</v>
          </cell>
        </row>
        <row r="29">
          <cell r="C29">
            <v>156</v>
          </cell>
          <cell r="P29" t="str">
            <v>M</v>
          </cell>
        </row>
        <row r="30">
          <cell r="C30">
            <v>90</v>
          </cell>
          <cell r="P30" t="str">
            <v>F</v>
          </cell>
        </row>
        <row r="33">
          <cell r="P33" t="str">
            <v>M</v>
          </cell>
        </row>
        <row r="34">
          <cell r="C34">
            <v>102.84</v>
          </cell>
          <cell r="P34" t="str">
            <v>F</v>
          </cell>
        </row>
        <row r="35">
          <cell r="C35">
            <v>150</v>
          </cell>
          <cell r="P35" t="str">
            <v>M</v>
          </cell>
        </row>
        <row r="36">
          <cell r="C36">
            <v>125</v>
          </cell>
          <cell r="P36" t="str">
            <v>F</v>
          </cell>
        </row>
        <row r="37">
          <cell r="C37">
            <v>125</v>
          </cell>
        </row>
        <row r="38">
          <cell r="C38">
            <v>197.16</v>
          </cell>
          <cell r="P38" t="str">
            <v>M</v>
          </cell>
        </row>
        <row r="39">
          <cell r="C39">
            <v>125</v>
          </cell>
          <cell r="P39" t="str">
            <v>M</v>
          </cell>
        </row>
        <row r="43">
          <cell r="C43">
            <v>124.5</v>
          </cell>
          <cell r="P43" t="str">
            <v>M</v>
          </cell>
        </row>
        <row r="44">
          <cell r="C44">
            <v>125</v>
          </cell>
          <cell r="P44" t="str">
            <v>M</v>
          </cell>
        </row>
        <row r="46">
          <cell r="C46">
            <v>125</v>
          </cell>
          <cell r="P46" t="str">
            <v>M</v>
          </cell>
        </row>
        <row r="47">
          <cell r="C47">
            <v>130</v>
          </cell>
          <cell r="P47" t="str">
            <v>M</v>
          </cell>
        </row>
        <row r="48">
          <cell r="C48">
            <v>100</v>
          </cell>
          <cell r="P48" t="str">
            <v>M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6">
          <cell r="D6" t="str">
            <v>Yes</v>
          </cell>
        </row>
        <row r="7">
          <cell r="D7" t="str">
            <v>No</v>
          </cell>
        </row>
      </sheetData>
      <sheetData sheetId="53"/>
      <sheetData sheetId="54"/>
      <sheetData sheetId="55"/>
      <sheetData sheetId="5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1 budget assumptions"/>
      <sheetName val="Summary Balance Sheet"/>
      <sheetName val="Summary Cash Flow Statement"/>
      <sheetName val="Profit &amp; Loss"/>
      <sheetName val="Labor budget"/>
      <sheetName val="labor rates"/>
      <sheetName val="Rate Rec"/>
      <sheetName val="Fringe Benefits Pool"/>
      <sheetName val="Overhead Pool"/>
      <sheetName val="G &amp; A Pool"/>
      <sheetName val="P&amp;L Assumptions"/>
      <sheetName val="SMH"/>
      <sheetName val="Facility SC"/>
      <sheetName val="Salaries"/>
      <sheetName val="2010 Labor Rates 091130"/>
      <sheetName val="Vacation"/>
    </sheetNames>
    <sheetDataSet>
      <sheetData sheetId="0"/>
      <sheetData sheetId="1"/>
      <sheetData sheetId="2"/>
      <sheetData sheetId="3">
        <row r="20">
          <cell r="Z20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47">
          <cell r="M47">
            <v>0.21970000000000001</v>
          </cell>
        </row>
      </sheetData>
      <sheetData sheetId="11"/>
      <sheetData sheetId="12"/>
      <sheetData sheetId="13">
        <row r="2">
          <cell r="A2" t="str">
            <v>001000 Velez Carlos</v>
          </cell>
        </row>
        <row r="17">
          <cell r="G17">
            <v>98820.800000000003</v>
          </cell>
        </row>
        <row r="26">
          <cell r="A26" t="str">
            <v>001028 Mooradian Deborah</v>
          </cell>
        </row>
      </sheetData>
      <sheetData sheetId="14">
        <row r="5">
          <cell r="A5" t="str">
            <v>Velez Carlos</v>
          </cell>
        </row>
        <row r="226">
          <cell r="A226" t="str">
            <v>Caruso Natalie</v>
          </cell>
        </row>
        <row r="233">
          <cell r="E233" t="str">
            <v>001020</v>
          </cell>
        </row>
        <row r="513">
          <cell r="A513" t="str">
            <v>New Employee 1</v>
          </cell>
        </row>
        <row r="520">
          <cell r="E520" t="str">
            <v>001044</v>
          </cell>
        </row>
        <row r="526">
          <cell r="A526" t="str">
            <v>New Employee 2</v>
          </cell>
        </row>
        <row r="533">
          <cell r="E533" t="str">
            <v>001045</v>
          </cell>
        </row>
        <row r="539">
          <cell r="A539" t="str">
            <v>New Employee 3</v>
          </cell>
        </row>
        <row r="546">
          <cell r="E546" t="str">
            <v>001046</v>
          </cell>
        </row>
        <row r="552">
          <cell r="A552" t="str">
            <v>New Employee 4</v>
          </cell>
        </row>
        <row r="565">
          <cell r="A565" t="str">
            <v>New Employee 5</v>
          </cell>
        </row>
        <row r="591">
          <cell r="A591" t="str">
            <v>New Employee 7</v>
          </cell>
        </row>
        <row r="604">
          <cell r="A604" t="str">
            <v>New Employee 8</v>
          </cell>
        </row>
        <row r="617">
          <cell r="A617" t="str">
            <v>New Employee 9</v>
          </cell>
        </row>
        <row r="630">
          <cell r="A630" t="str">
            <v>New Employee 10</v>
          </cell>
        </row>
        <row r="643">
          <cell r="A643" t="str">
            <v>New Employee 11</v>
          </cell>
        </row>
        <row r="656">
          <cell r="A656" t="str">
            <v>New Employee 12</v>
          </cell>
        </row>
      </sheetData>
      <sheetData sheetId="1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11 CFF &amp; ACTUALS"/>
      <sheetName val="FY11 CFF - the PLAN"/>
      <sheetName val="Pay Roll &amp; Taxes"/>
      <sheetName val="Fringe"/>
      <sheetName val="Overhead"/>
      <sheetName val="G&amp;A"/>
      <sheetName val="Wrap Rate Calculation 2011"/>
      <sheetName val="Rate Rec"/>
      <sheetName val="The Utilization model"/>
      <sheetName val="FY11 Sales Forecast"/>
      <sheetName val="2011 Chart of Accounts "/>
      <sheetName val="Sheet1"/>
    </sheetNames>
    <sheetDataSet>
      <sheetData sheetId="0">
        <row r="23">
          <cell r="K23">
            <v>23018.74</v>
          </cell>
        </row>
      </sheetData>
      <sheetData sheetId="1">
        <row r="14">
          <cell r="X14">
            <v>0.91541666666666655</v>
          </cell>
        </row>
      </sheetData>
      <sheetData sheetId="2">
        <row r="4">
          <cell r="E4">
            <v>7295.833333333333</v>
          </cell>
        </row>
        <row r="66">
          <cell r="R66">
            <v>2128637.1996029248</v>
          </cell>
        </row>
        <row r="67">
          <cell r="R67">
            <v>318935.37512193271</v>
          </cell>
        </row>
        <row r="68">
          <cell r="R68">
            <v>117259.65928155277</v>
          </cell>
        </row>
        <row r="69">
          <cell r="R69">
            <v>419406</v>
          </cell>
        </row>
        <row r="70">
          <cell r="R70">
            <v>2984238.2340064105</v>
          </cell>
        </row>
        <row r="76">
          <cell r="B76">
            <v>6621.6</v>
          </cell>
        </row>
        <row r="123">
          <cell r="R123">
            <v>169589.76609182372</v>
          </cell>
        </row>
      </sheetData>
      <sheetData sheetId="3">
        <row r="22">
          <cell r="Q22">
            <v>408.6716369047619</v>
          </cell>
        </row>
      </sheetData>
      <sheetData sheetId="4">
        <row r="4">
          <cell r="D4">
            <v>0</v>
          </cell>
        </row>
      </sheetData>
      <sheetData sheetId="5">
        <row r="4">
          <cell r="E4">
            <v>24513</v>
          </cell>
        </row>
      </sheetData>
      <sheetData sheetId="6"/>
      <sheetData sheetId="7"/>
      <sheetData sheetId="8">
        <row r="4">
          <cell r="B4">
            <v>0.8347457627118644</v>
          </cell>
        </row>
      </sheetData>
      <sheetData sheetId="9"/>
      <sheetData sheetId="10"/>
      <sheetData sheetId="1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of Key Assumptions"/>
      <sheetName val="P &amp; L updates"/>
      <sheetName val="Summary Balance Sheet"/>
      <sheetName val="Summary Cash Flow Statement"/>
      <sheetName val="Labor budget"/>
      <sheetName val="Capital Budget"/>
      <sheetName val="Billing Projections Wksht"/>
      <sheetName val="Labor categories &amp; bill rates"/>
      <sheetName val="Benefits"/>
      <sheetName val="Deltek SC assumptions"/>
      <sheetName val="B&amp;C allocations"/>
      <sheetName val="Assumptions"/>
      <sheetName val="Start up costs"/>
      <sheetName val="Loan Amortization Schedule"/>
      <sheetName val="Loan Amortization Schedule (2)"/>
      <sheetName val="Summary Statement of Income"/>
      <sheetName val="Statement of Incom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Loan Amortization Schedule</v>
          </cell>
        </row>
        <row r="4">
          <cell r="B4" t="str">
            <v>Enter values</v>
          </cell>
          <cell r="F4" t="str">
            <v>Loan summary</v>
          </cell>
        </row>
        <row r="5">
          <cell r="C5" t="str">
            <v>Loan amount</v>
          </cell>
          <cell r="D5">
            <v>71900</v>
          </cell>
          <cell r="G5" t="str">
            <v>Scheduled payment</v>
          </cell>
          <cell r="H5">
            <v>1440.7285040253385</v>
          </cell>
        </row>
        <row r="6">
          <cell r="C6" t="str">
            <v>Annual interest rate</v>
          </cell>
          <cell r="D6">
            <v>7.4999999999999997E-2</v>
          </cell>
          <cell r="G6" t="str">
            <v>Scheduled number of payments</v>
          </cell>
          <cell r="H6">
            <v>60</v>
          </cell>
        </row>
        <row r="7">
          <cell r="C7" t="str">
            <v>Loan period in years</v>
          </cell>
          <cell r="D7">
            <v>5</v>
          </cell>
          <cell r="G7" t="str">
            <v>Actual number of payments</v>
          </cell>
          <cell r="H7">
            <v>50</v>
          </cell>
        </row>
        <row r="8">
          <cell r="C8" t="str">
            <v>Number of payments per year</v>
          </cell>
          <cell r="D8">
            <v>12</v>
          </cell>
          <cell r="G8" t="str">
            <v>Total early payments</v>
          </cell>
          <cell r="H8">
            <v>0</v>
          </cell>
        </row>
        <row r="9">
          <cell r="C9" t="str">
            <v>Start date of loan</v>
          </cell>
          <cell r="D9">
            <v>38961</v>
          </cell>
          <cell r="G9" t="str">
            <v>Total interest</v>
          </cell>
          <cell r="H9">
            <v>14060.593917840954</v>
          </cell>
        </row>
        <row r="10">
          <cell r="C10" t="str">
            <v>Optional extra payments</v>
          </cell>
          <cell r="D10">
            <v>0</v>
          </cell>
        </row>
        <row r="12">
          <cell r="B12" t="str">
            <v>Lender name:</v>
          </cell>
          <cell r="C12" t="str">
            <v>HP Lease Agreement # 50024446</v>
          </cell>
        </row>
        <row r="16">
          <cell r="A16" t="str">
            <v>PmtNo.</v>
          </cell>
          <cell r="B16" t="str">
            <v>Payment Date</v>
          </cell>
          <cell r="C16" t="str">
            <v>Beginning Balance</v>
          </cell>
          <cell r="D16" t="str">
            <v>Scheduled Payment</v>
          </cell>
          <cell r="E16" t="str">
            <v>Extra Payment</v>
          </cell>
          <cell r="F16" t="str">
            <v>Total Payment</v>
          </cell>
          <cell r="G16" t="str">
            <v>Principal</v>
          </cell>
          <cell r="H16" t="str">
            <v>Interest</v>
          </cell>
          <cell r="I16" t="str">
            <v>Ending Balance</v>
          </cell>
          <cell r="J16" t="str">
            <v>Cumulative Interest</v>
          </cell>
        </row>
        <row r="18">
          <cell r="A18">
            <v>1</v>
          </cell>
          <cell r="B18">
            <v>38991</v>
          </cell>
          <cell r="C18">
            <v>71900</v>
          </cell>
          <cell r="D18">
            <v>1440.7285040253385</v>
          </cell>
          <cell r="E18">
            <v>0</v>
          </cell>
          <cell r="F18">
            <v>1440.7285040253385</v>
          </cell>
          <cell r="G18">
            <v>991.35350402533845</v>
          </cell>
          <cell r="H18">
            <v>449.37499999999994</v>
          </cell>
          <cell r="I18">
            <v>70908.646495974666</v>
          </cell>
          <cell r="J18">
            <v>449.37499999999994</v>
          </cell>
        </row>
        <row r="19">
          <cell r="A19">
            <v>2</v>
          </cell>
          <cell r="B19">
            <v>39022</v>
          </cell>
          <cell r="C19">
            <v>70908.646495974666</v>
          </cell>
          <cell r="D19">
            <v>1440.7285040253385</v>
          </cell>
          <cell r="E19">
            <v>0</v>
          </cell>
          <cell r="F19">
            <v>1440.7285040253385</v>
          </cell>
          <cell r="G19">
            <v>997.5494634254967</v>
          </cell>
          <cell r="H19">
            <v>443.1790405998417</v>
          </cell>
          <cell r="I19">
            <v>69911.097032549165</v>
          </cell>
          <cell r="J19">
            <v>892.55404059984164</v>
          </cell>
        </row>
        <row r="20">
          <cell r="A20">
            <v>3</v>
          </cell>
          <cell r="B20">
            <v>39052</v>
          </cell>
          <cell r="C20">
            <v>69911.097032549165</v>
          </cell>
          <cell r="D20">
            <v>1440.7285040253385</v>
          </cell>
          <cell r="E20">
            <v>0</v>
          </cell>
          <cell r="F20">
            <v>1440.7285040253385</v>
          </cell>
          <cell r="G20">
            <v>1003.7841475719063</v>
          </cell>
          <cell r="H20">
            <v>436.94435645343225</v>
          </cell>
          <cell r="I20">
            <v>68907.312884977262</v>
          </cell>
          <cell r="J20">
            <v>1329.4983970532739</v>
          </cell>
        </row>
        <row r="21">
          <cell r="A21">
            <v>4</v>
          </cell>
          <cell r="B21">
            <v>39083</v>
          </cell>
          <cell r="C21">
            <v>68907.312884977262</v>
          </cell>
          <cell r="D21">
            <v>1440.7285040253385</v>
          </cell>
          <cell r="E21">
            <v>0</v>
          </cell>
          <cell r="F21">
            <v>1440.7285040253385</v>
          </cell>
          <cell r="G21">
            <v>1010.0577984942306</v>
          </cell>
          <cell r="H21">
            <v>430.67070553110784</v>
          </cell>
          <cell r="I21">
            <v>67897.255086483026</v>
          </cell>
          <cell r="J21">
            <v>1760.1691025843818</v>
          </cell>
        </row>
        <row r="22">
          <cell r="A22">
            <v>5</v>
          </cell>
          <cell r="B22">
            <v>39114</v>
          </cell>
          <cell r="C22">
            <v>67897.255086483026</v>
          </cell>
          <cell r="D22">
            <v>1440.7285040253385</v>
          </cell>
          <cell r="E22">
            <v>0</v>
          </cell>
          <cell r="F22">
            <v>1440.7285040253385</v>
          </cell>
          <cell r="G22">
            <v>1016.3706597348196</v>
          </cell>
          <cell r="H22">
            <v>424.35784429051887</v>
          </cell>
          <cell r="I22">
            <v>66880.884426748205</v>
          </cell>
          <cell r="J22">
            <v>2184.5269468749007</v>
          </cell>
        </row>
        <row r="23">
          <cell r="A23">
            <v>6</v>
          </cell>
          <cell r="B23">
            <v>39142</v>
          </cell>
          <cell r="C23">
            <v>66880.884426748205</v>
          </cell>
          <cell r="D23">
            <v>1440.7285040253385</v>
          </cell>
          <cell r="E23">
            <v>0</v>
          </cell>
          <cell r="F23">
            <v>1440.7285040253385</v>
          </cell>
          <cell r="G23">
            <v>1022.7229763581622</v>
          </cell>
          <cell r="H23">
            <v>418.00552766717624</v>
          </cell>
          <cell r="I23">
            <v>65858.161450390049</v>
          </cell>
          <cell r="J23">
            <v>2602.5324745420767</v>
          </cell>
        </row>
        <row r="24">
          <cell r="A24">
            <v>7</v>
          </cell>
          <cell r="B24">
            <v>39173</v>
          </cell>
          <cell r="C24">
            <v>65858.161450390049</v>
          </cell>
          <cell r="D24">
            <v>1440.7285040253385</v>
          </cell>
          <cell r="E24">
            <v>0</v>
          </cell>
          <cell r="F24">
            <v>1440.7285040253385</v>
          </cell>
          <cell r="G24">
            <v>1029.1149949604007</v>
          </cell>
          <cell r="H24">
            <v>411.61350906493777</v>
          </cell>
          <cell r="I24">
            <v>64829.046455429649</v>
          </cell>
          <cell r="J24">
            <v>3014.1459836070144</v>
          </cell>
        </row>
        <row r="25">
          <cell r="A25">
            <v>8</v>
          </cell>
          <cell r="B25">
            <v>39203</v>
          </cell>
          <cell r="C25">
            <v>64829.046455429649</v>
          </cell>
          <cell r="D25">
            <v>1440.7285040253385</v>
          </cell>
          <cell r="E25">
            <v>0</v>
          </cell>
          <cell r="F25">
            <v>1440.7285040253385</v>
          </cell>
          <cell r="G25">
            <v>1035.5469636789032</v>
          </cell>
          <cell r="H25">
            <v>405.18154034643527</v>
          </cell>
          <cell r="I25">
            <v>63793.499491750743</v>
          </cell>
          <cell r="J25">
            <v>3419.3275239534496</v>
          </cell>
        </row>
        <row r="26">
          <cell r="A26">
            <v>9</v>
          </cell>
          <cell r="B26">
            <v>39234</v>
          </cell>
          <cell r="C26">
            <v>63793.499491750743</v>
          </cell>
          <cell r="D26">
            <v>1440.7285040253385</v>
          </cell>
          <cell r="E26">
            <v>0</v>
          </cell>
          <cell r="F26">
            <v>1440.7285040253385</v>
          </cell>
          <cell r="G26">
            <v>1042.0191322018964</v>
          </cell>
          <cell r="H26">
            <v>398.7093718234421</v>
          </cell>
          <cell r="I26">
            <v>62751.480359548848</v>
          </cell>
          <cell r="J26">
            <v>3818.0368957768915</v>
          </cell>
        </row>
        <row r="27">
          <cell r="A27">
            <v>10</v>
          </cell>
          <cell r="B27">
            <v>39264</v>
          </cell>
          <cell r="C27">
            <v>62751.480359548848</v>
          </cell>
          <cell r="D27">
            <v>1440.7285040253385</v>
          </cell>
          <cell r="E27">
            <v>0</v>
          </cell>
          <cell r="F27">
            <v>1440.7285040253385</v>
          </cell>
          <cell r="G27">
            <v>1048.5317517781582</v>
          </cell>
          <cell r="H27">
            <v>392.19675224718026</v>
          </cell>
          <cell r="I27">
            <v>61702.94860777069</v>
          </cell>
          <cell r="J27">
            <v>4210.233648024072</v>
          </cell>
        </row>
        <row r="28">
          <cell r="A28">
            <v>11</v>
          </cell>
          <cell r="B28">
            <v>39295</v>
          </cell>
          <cell r="C28">
            <v>61702.94860777069</v>
          </cell>
          <cell r="D28">
            <v>1440.7285040253385</v>
          </cell>
          <cell r="E28">
            <v>0</v>
          </cell>
          <cell r="F28">
            <v>1440.7285040253385</v>
          </cell>
          <cell r="G28">
            <v>1055.0850752267716</v>
          </cell>
          <cell r="H28">
            <v>385.64342879856684</v>
          </cell>
          <cell r="I28">
            <v>60647.863532543917</v>
          </cell>
          <cell r="J28">
            <v>4595.8770768226386</v>
          </cell>
        </row>
        <row r="29">
          <cell r="A29">
            <v>12</v>
          </cell>
          <cell r="B29">
            <v>39326</v>
          </cell>
          <cell r="C29">
            <v>60647.863532543917</v>
          </cell>
          <cell r="D29">
            <v>1440.7285040253385</v>
          </cell>
          <cell r="E29">
            <v>0</v>
          </cell>
          <cell r="F29">
            <v>1440.7285040253385</v>
          </cell>
          <cell r="G29">
            <v>1061.6793569469389</v>
          </cell>
          <cell r="H29">
            <v>379.04914707839947</v>
          </cell>
          <cell r="I29">
            <v>59586.18417559698</v>
          </cell>
          <cell r="J29">
            <v>4974.9262239010377</v>
          </cell>
        </row>
        <row r="30">
          <cell r="A30">
            <v>13</v>
          </cell>
          <cell r="B30">
            <v>39356</v>
          </cell>
          <cell r="C30">
            <v>59586.18417559698</v>
          </cell>
          <cell r="D30">
            <v>1440.7285040253385</v>
          </cell>
          <cell r="E30">
            <v>0</v>
          </cell>
          <cell r="F30">
            <v>1440.7285040253385</v>
          </cell>
          <cell r="G30">
            <v>1068.3148529278574</v>
          </cell>
          <cell r="H30">
            <v>372.41365109748108</v>
          </cell>
          <cell r="I30">
            <v>58517.869322669125</v>
          </cell>
          <cell r="J30">
            <v>5347.339874998519</v>
          </cell>
        </row>
        <row r="31">
          <cell r="A31">
            <v>14</v>
          </cell>
          <cell r="B31">
            <v>39387</v>
          </cell>
          <cell r="C31">
            <v>58517.869322669125</v>
          </cell>
          <cell r="D31">
            <v>1440.7285040253385</v>
          </cell>
          <cell r="E31">
            <v>0</v>
          </cell>
          <cell r="F31">
            <v>1440.7285040253385</v>
          </cell>
          <cell r="G31">
            <v>1074.9918207586563</v>
          </cell>
          <cell r="H31">
            <v>365.73668326668206</v>
          </cell>
          <cell r="I31">
            <v>57442.877501910465</v>
          </cell>
          <cell r="J31">
            <v>5713.0765582652011</v>
          </cell>
        </row>
        <row r="32">
          <cell r="A32">
            <v>15</v>
          </cell>
          <cell r="B32">
            <v>39417</v>
          </cell>
          <cell r="C32">
            <v>57442.877501910465</v>
          </cell>
          <cell r="D32">
            <v>1440.7285040253385</v>
          </cell>
          <cell r="E32">
            <v>0</v>
          </cell>
          <cell r="F32">
            <v>1440.7285040253385</v>
          </cell>
          <cell r="G32">
            <v>1081.710519638398</v>
          </cell>
          <cell r="H32">
            <v>359.01798438694044</v>
          </cell>
          <cell r="I32">
            <v>56361.166982272065</v>
          </cell>
          <cell r="J32">
            <v>6072.0945426521412</v>
          </cell>
        </row>
        <row r="33">
          <cell r="A33">
            <v>16</v>
          </cell>
          <cell r="B33">
            <v>39448</v>
          </cell>
          <cell r="C33">
            <v>56361.166982272065</v>
          </cell>
          <cell r="D33">
            <v>1440.7285040253385</v>
          </cell>
          <cell r="E33">
            <v>0</v>
          </cell>
          <cell r="F33">
            <v>1440.7285040253385</v>
          </cell>
          <cell r="G33">
            <v>1088.471210386138</v>
          </cell>
          <cell r="H33">
            <v>352.25729363920044</v>
          </cell>
          <cell r="I33">
            <v>55272.695771885927</v>
          </cell>
          <cell r="J33">
            <v>6424.3518362913419</v>
          </cell>
        </row>
        <row r="34">
          <cell r="A34">
            <v>17</v>
          </cell>
          <cell r="B34">
            <v>39479</v>
          </cell>
          <cell r="C34">
            <v>55272.695771885927</v>
          </cell>
          <cell r="D34">
            <v>1440.7285040253385</v>
          </cell>
          <cell r="E34">
            <v>0</v>
          </cell>
          <cell r="F34">
            <v>1440.7285040253385</v>
          </cell>
          <cell r="G34">
            <v>1095.2741554510515</v>
          </cell>
          <cell r="H34">
            <v>345.454348574287</v>
          </cell>
          <cell r="I34">
            <v>54177.421616434876</v>
          </cell>
          <cell r="J34">
            <v>6769.8061848656289</v>
          </cell>
        </row>
        <row r="35">
          <cell r="A35">
            <v>18</v>
          </cell>
          <cell r="B35">
            <v>39508</v>
          </cell>
          <cell r="C35">
            <v>54177.421616434876</v>
          </cell>
          <cell r="D35">
            <v>1440.7285040253385</v>
          </cell>
          <cell r="E35">
            <v>0</v>
          </cell>
          <cell r="F35">
            <v>1440.7285040253385</v>
          </cell>
          <cell r="G35">
            <v>1102.1196189226205</v>
          </cell>
          <cell r="H35">
            <v>338.60888510271798</v>
          </cell>
          <cell r="I35">
            <v>53075.301997512259</v>
          </cell>
          <cell r="J35">
            <v>7108.4150699683469</v>
          </cell>
        </row>
        <row r="36">
          <cell r="A36">
            <v>19</v>
          </cell>
          <cell r="B36">
            <v>39539</v>
          </cell>
          <cell r="C36">
            <v>53075.301997512259</v>
          </cell>
          <cell r="D36">
            <v>1440.7285040253385</v>
          </cell>
          <cell r="E36">
            <v>0</v>
          </cell>
          <cell r="F36">
            <v>1440.7285040253385</v>
          </cell>
          <cell r="G36">
            <v>1109.0078665408869</v>
          </cell>
          <cell r="H36">
            <v>331.72063748445163</v>
          </cell>
          <cell r="I36">
            <v>51966.294130971371</v>
          </cell>
          <cell r="J36">
            <v>7440.1357074527987</v>
          </cell>
        </row>
        <row r="37">
          <cell r="A37">
            <v>20</v>
          </cell>
          <cell r="B37">
            <v>39569</v>
          </cell>
          <cell r="C37">
            <v>51966.294130971371</v>
          </cell>
          <cell r="D37">
            <v>1440.7285040253385</v>
          </cell>
          <cell r="E37">
            <v>0</v>
          </cell>
          <cell r="F37">
            <v>1440.7285040253385</v>
          </cell>
          <cell r="G37">
            <v>1115.9391657067674</v>
          </cell>
          <cell r="H37">
            <v>324.78933831857108</v>
          </cell>
          <cell r="I37">
            <v>50850.354965264603</v>
          </cell>
          <cell r="J37">
            <v>7764.9250457713697</v>
          </cell>
        </row>
        <row r="38">
          <cell r="A38">
            <v>21</v>
          </cell>
          <cell r="B38">
            <v>39600</v>
          </cell>
          <cell r="C38">
            <v>50850.354965264603</v>
          </cell>
          <cell r="D38">
            <v>1440.7285040253385</v>
          </cell>
          <cell r="E38">
            <v>0</v>
          </cell>
          <cell r="F38">
            <v>1440.7285040253385</v>
          </cell>
          <cell r="G38">
            <v>1122.9137854924347</v>
          </cell>
          <cell r="H38">
            <v>317.81471853290378</v>
          </cell>
          <cell r="I38">
            <v>49727.44117977217</v>
          </cell>
          <cell r="J38">
            <v>8082.7397643042732</v>
          </cell>
        </row>
        <row r="39">
          <cell r="A39">
            <v>22</v>
          </cell>
          <cell r="B39">
            <v>39630</v>
          </cell>
          <cell r="C39">
            <v>49727.44117977217</v>
          </cell>
          <cell r="D39">
            <v>1440.7285040253385</v>
          </cell>
          <cell r="E39">
            <v>0</v>
          </cell>
          <cell r="F39">
            <v>1440.7285040253385</v>
          </cell>
          <cell r="G39">
            <v>1129.9319966517623</v>
          </cell>
          <cell r="H39">
            <v>310.79650737357605</v>
          </cell>
          <cell r="I39">
            <v>48597.509183120404</v>
          </cell>
          <cell r="J39">
            <v>8393.5362716778491</v>
          </cell>
        </row>
        <row r="40">
          <cell r="A40">
            <v>23</v>
          </cell>
          <cell r="B40">
            <v>39661</v>
          </cell>
          <cell r="C40">
            <v>48597.509183120404</v>
          </cell>
          <cell r="D40">
            <v>1440.7285040253385</v>
          </cell>
          <cell r="E40">
            <v>0</v>
          </cell>
          <cell r="F40">
            <v>1440.7285040253385</v>
          </cell>
          <cell r="G40">
            <v>1136.9940716308361</v>
          </cell>
          <cell r="H40">
            <v>303.73443239450251</v>
          </cell>
          <cell r="I40">
            <v>47460.515111489571</v>
          </cell>
          <cell r="J40">
            <v>8697.2707040723508</v>
          </cell>
        </row>
        <row r="41">
          <cell r="A41">
            <v>24</v>
          </cell>
          <cell r="B41">
            <v>39692</v>
          </cell>
          <cell r="C41">
            <v>47460.515111489571</v>
          </cell>
          <cell r="D41">
            <v>1440.7285040253385</v>
          </cell>
          <cell r="E41">
            <v>0</v>
          </cell>
          <cell r="F41">
            <v>1440.7285040253385</v>
          </cell>
          <cell r="G41">
            <v>1144.1002845785288</v>
          </cell>
          <cell r="H41">
            <v>296.62821944680979</v>
          </cell>
          <cell r="I41">
            <v>46316.414826911045</v>
          </cell>
          <cell r="J41">
            <v>8993.8989235191602</v>
          </cell>
        </row>
        <row r="42">
          <cell r="A42">
            <v>25</v>
          </cell>
          <cell r="B42">
            <v>39722</v>
          </cell>
          <cell r="C42">
            <v>46316.414826911045</v>
          </cell>
          <cell r="D42">
            <v>1440.7285040253385</v>
          </cell>
          <cell r="E42">
            <v>0</v>
          </cell>
          <cell r="F42">
            <v>1440.7285040253385</v>
          </cell>
          <cell r="G42">
            <v>1151.2509113571446</v>
          </cell>
          <cell r="H42">
            <v>289.47759266819401</v>
          </cell>
          <cell r="I42">
            <v>45165.163915553901</v>
          </cell>
          <cell r="J42">
            <v>9283.3765161873544</v>
          </cell>
        </row>
        <row r="43">
          <cell r="A43">
            <v>26</v>
          </cell>
          <cell r="B43">
            <v>39753</v>
          </cell>
          <cell r="C43">
            <v>45165.163915553901</v>
          </cell>
          <cell r="D43">
            <v>1440.7285040253385</v>
          </cell>
          <cell r="E43">
            <v>0</v>
          </cell>
          <cell r="F43">
            <v>1440.7285040253385</v>
          </cell>
          <cell r="G43">
            <v>1158.4462295531266</v>
          </cell>
          <cell r="H43">
            <v>282.2822744722119</v>
          </cell>
          <cell r="I43">
            <v>44006.717686000775</v>
          </cell>
          <cell r="J43">
            <v>9565.6587906595669</v>
          </cell>
        </row>
        <row r="44">
          <cell r="A44">
            <v>27</v>
          </cell>
          <cell r="B44">
            <v>39783</v>
          </cell>
          <cell r="C44">
            <v>44006.717686000775</v>
          </cell>
          <cell r="D44">
            <v>1440.7285040253385</v>
          </cell>
          <cell r="E44">
            <v>0</v>
          </cell>
          <cell r="F44">
            <v>1440.7285040253385</v>
          </cell>
          <cell r="G44">
            <v>1165.6865184878336</v>
          </cell>
          <cell r="H44">
            <v>275.04198553750484</v>
          </cell>
          <cell r="I44">
            <v>42841.031167512941</v>
          </cell>
          <cell r="J44">
            <v>9840.7007761970708</v>
          </cell>
        </row>
        <row r="45">
          <cell r="A45">
            <v>28</v>
          </cell>
          <cell r="B45">
            <v>39814</v>
          </cell>
          <cell r="C45">
            <v>42841.031167512941</v>
          </cell>
          <cell r="D45">
            <v>1440.7285040253385</v>
          </cell>
          <cell r="E45">
            <v>0</v>
          </cell>
          <cell r="F45">
            <v>1440.7285040253385</v>
          </cell>
          <cell r="G45">
            <v>1172.9720592283825</v>
          </cell>
          <cell r="H45">
            <v>267.75644479695586</v>
          </cell>
          <cell r="I45">
            <v>41668.059108284557</v>
          </cell>
          <cell r="J45">
            <v>10108.457220994027</v>
          </cell>
        </row>
        <row r="46">
          <cell r="A46">
            <v>29</v>
          </cell>
          <cell r="B46">
            <v>39845</v>
          </cell>
          <cell r="C46">
            <v>41668.059108284557</v>
          </cell>
          <cell r="D46">
            <v>1440.7285040253385</v>
          </cell>
          <cell r="E46">
            <v>0</v>
          </cell>
          <cell r="F46">
            <v>1440.7285040253385</v>
          </cell>
          <cell r="G46">
            <v>1180.3031345985601</v>
          </cell>
          <cell r="H46">
            <v>260.42536942677845</v>
          </cell>
          <cell r="I46">
            <v>40487.755973685998</v>
          </cell>
          <cell r="J46">
            <v>10368.882590420806</v>
          </cell>
        </row>
        <row r="47">
          <cell r="A47">
            <v>30</v>
          </cell>
          <cell r="B47">
            <v>39873</v>
          </cell>
          <cell r="C47">
            <v>40487.755973685998</v>
          </cell>
          <cell r="D47">
            <v>1440.7285040253385</v>
          </cell>
          <cell r="E47">
            <v>0</v>
          </cell>
          <cell r="F47">
            <v>1440.7285040253385</v>
          </cell>
          <cell r="G47">
            <v>1187.680029189801</v>
          </cell>
          <cell r="H47">
            <v>253.04847483553749</v>
          </cell>
          <cell r="I47">
            <v>39300.075944496195</v>
          </cell>
          <cell r="J47">
            <v>10621.931065256344</v>
          </cell>
        </row>
        <row r="48">
          <cell r="A48">
            <v>31</v>
          </cell>
          <cell r="B48">
            <v>39904</v>
          </cell>
          <cell r="C48">
            <v>39300.075944496195</v>
          </cell>
          <cell r="D48">
            <v>1440.7285040253385</v>
          </cell>
          <cell r="E48">
            <v>0</v>
          </cell>
          <cell r="F48">
            <v>1440.7285040253385</v>
          </cell>
          <cell r="G48">
            <v>1195.1030293722372</v>
          </cell>
          <cell r="H48">
            <v>245.62547465310124</v>
          </cell>
          <cell r="I48">
            <v>38104.972915123959</v>
          </cell>
          <cell r="J48">
            <v>10867.556539909445</v>
          </cell>
        </row>
        <row r="49">
          <cell r="A49">
            <v>32</v>
          </cell>
          <cell r="B49">
            <v>39934</v>
          </cell>
          <cell r="C49">
            <v>38104.972915123959</v>
          </cell>
          <cell r="D49">
            <v>1440.7285040253385</v>
          </cell>
          <cell r="E49">
            <v>0</v>
          </cell>
          <cell r="F49">
            <v>1440.7285040253385</v>
          </cell>
          <cell r="G49">
            <v>1202.5724233058138</v>
          </cell>
          <cell r="H49">
            <v>238.15608071952474</v>
          </cell>
          <cell r="I49">
            <v>36902.400491818145</v>
          </cell>
          <cell r="J49">
            <v>11105.71262062897</v>
          </cell>
        </row>
        <row r="50">
          <cell r="A50">
            <v>33</v>
          </cell>
          <cell r="B50">
            <v>39965</v>
          </cell>
          <cell r="C50">
            <v>36902.400491818145</v>
          </cell>
          <cell r="D50">
            <v>1440.7285040253385</v>
          </cell>
          <cell r="E50">
            <v>0</v>
          </cell>
          <cell r="F50">
            <v>1440.7285040253385</v>
          </cell>
          <cell r="G50">
            <v>1210.088500951475</v>
          </cell>
          <cell r="H50">
            <v>230.64000307386343</v>
          </cell>
          <cell r="I50">
            <v>35692.31199086667</v>
          </cell>
          <cell r="J50">
            <v>11336.352623702835</v>
          </cell>
        </row>
        <row r="51">
          <cell r="A51">
            <v>34</v>
          </cell>
          <cell r="B51">
            <v>39995</v>
          </cell>
          <cell r="C51">
            <v>35692.31199086667</v>
          </cell>
          <cell r="D51">
            <v>1440.7285040253385</v>
          </cell>
          <cell r="E51">
            <v>0</v>
          </cell>
          <cell r="F51">
            <v>1440.7285040253385</v>
          </cell>
          <cell r="G51">
            <v>1217.6515540824219</v>
          </cell>
          <cell r="H51">
            <v>223.07694994291668</v>
          </cell>
          <cell r="I51">
            <v>34474.660436784252</v>
          </cell>
          <cell r="J51">
            <v>11559.429573645752</v>
          </cell>
        </row>
        <row r="52">
          <cell r="A52">
            <v>35</v>
          </cell>
          <cell r="B52">
            <v>40026</v>
          </cell>
          <cell r="C52">
            <v>34474.660436784252</v>
          </cell>
          <cell r="D52">
            <v>1440.7285040253385</v>
          </cell>
          <cell r="E52">
            <v>0</v>
          </cell>
          <cell r="F52">
            <v>1440.7285040253385</v>
          </cell>
          <cell r="G52">
            <v>1225.2618762954369</v>
          </cell>
          <cell r="H52">
            <v>215.46662772990157</v>
          </cell>
          <cell r="I52">
            <v>33249.398560488815</v>
          </cell>
          <cell r="J52">
            <v>11774.896201375654</v>
          </cell>
        </row>
        <row r="53">
          <cell r="A53">
            <v>36</v>
          </cell>
          <cell r="B53">
            <v>40057</v>
          </cell>
          <cell r="C53">
            <v>33249.398560488815</v>
          </cell>
          <cell r="D53">
            <v>1440.7285040253385</v>
          </cell>
          <cell r="E53">
            <v>0</v>
          </cell>
          <cell r="F53">
            <v>1440.7285040253385</v>
          </cell>
          <cell r="G53">
            <v>1232.9197630222834</v>
          </cell>
          <cell r="H53">
            <v>207.80874100305508</v>
          </cell>
          <cell r="I53">
            <v>32016.478797466531</v>
          </cell>
          <cell r="J53">
            <v>11982.704942378708</v>
          </cell>
        </row>
        <row r="54">
          <cell r="A54">
            <v>37</v>
          </cell>
          <cell r="B54">
            <v>40087</v>
          </cell>
          <cell r="C54">
            <v>32016.478797466531</v>
          </cell>
          <cell r="D54">
            <v>1440.7285040253385</v>
          </cell>
          <cell r="E54">
            <v>0</v>
          </cell>
          <cell r="F54">
            <v>1440.7285040253385</v>
          </cell>
          <cell r="G54">
            <v>1240.6255115411727</v>
          </cell>
          <cell r="H54">
            <v>200.10299248416581</v>
          </cell>
          <cell r="I54">
            <v>30775.853285925357</v>
          </cell>
          <cell r="J54">
            <v>12182.807934862874</v>
          </cell>
        </row>
        <row r="55">
          <cell r="A55">
            <v>38</v>
          </cell>
          <cell r="B55">
            <v>40118</v>
          </cell>
          <cell r="C55">
            <v>30775.853285925357</v>
          </cell>
          <cell r="D55">
            <v>1440.7285040253385</v>
          </cell>
          <cell r="E55">
            <v>0</v>
          </cell>
          <cell r="F55">
            <v>1440.7285040253385</v>
          </cell>
          <cell r="G55">
            <v>1248.3794209883049</v>
          </cell>
          <cell r="H55">
            <v>192.34908303703347</v>
          </cell>
          <cell r="I55">
            <v>29527.473864937052</v>
          </cell>
          <cell r="J55">
            <v>12375.157017899908</v>
          </cell>
        </row>
        <row r="56">
          <cell r="A56">
            <v>39</v>
          </cell>
          <cell r="B56">
            <v>40148</v>
          </cell>
          <cell r="C56">
            <v>29527.473864937052</v>
          </cell>
          <cell r="D56">
            <v>1440.7285040253385</v>
          </cell>
          <cell r="E56">
            <v>0</v>
          </cell>
          <cell r="F56">
            <v>1440.7285040253385</v>
          </cell>
          <cell r="G56">
            <v>1256.1817923694819</v>
          </cell>
          <cell r="H56">
            <v>184.54671165585657</v>
          </cell>
          <cell r="I56">
            <v>28271.292072567569</v>
          </cell>
          <cell r="J56">
            <v>12559.703729555764</v>
          </cell>
        </row>
        <row r="57">
          <cell r="A57">
            <v>40</v>
          </cell>
          <cell r="B57">
            <v>40179</v>
          </cell>
          <cell r="C57">
            <v>28271.292072567569</v>
          </cell>
          <cell r="D57">
            <v>1440.7285040253385</v>
          </cell>
          <cell r="E57">
            <v>0</v>
          </cell>
          <cell r="F57">
            <v>1440.7285040253385</v>
          </cell>
          <cell r="G57">
            <v>1264.0329285717912</v>
          </cell>
          <cell r="H57">
            <v>176.69557545354732</v>
          </cell>
          <cell r="I57">
            <v>27007.259143995776</v>
          </cell>
          <cell r="J57">
            <v>12736.39930500931</v>
          </cell>
        </row>
        <row r="58">
          <cell r="A58">
            <v>41</v>
          </cell>
          <cell r="B58">
            <v>40210</v>
          </cell>
          <cell r="C58">
            <v>27007.259143995776</v>
          </cell>
          <cell r="D58">
            <v>1440.7285040253385</v>
          </cell>
          <cell r="E58">
            <v>0</v>
          </cell>
          <cell r="F58">
            <v>1440.7285040253385</v>
          </cell>
          <cell r="G58">
            <v>1271.9331343753649</v>
          </cell>
          <cell r="H58">
            <v>168.79536964997359</v>
          </cell>
          <cell r="I58">
            <v>25735.32600962041</v>
          </cell>
          <cell r="J58">
            <v>12905.194674659284</v>
          </cell>
        </row>
        <row r="59">
          <cell r="A59">
            <v>42</v>
          </cell>
          <cell r="B59">
            <v>40238</v>
          </cell>
          <cell r="C59">
            <v>25735.32600962041</v>
          </cell>
          <cell r="D59">
            <v>1440.7285040253385</v>
          </cell>
          <cell r="E59">
            <v>0</v>
          </cell>
          <cell r="F59">
            <v>1440.7285040253385</v>
          </cell>
          <cell r="G59">
            <v>1279.8827164652109</v>
          </cell>
          <cell r="H59">
            <v>160.84578756012755</v>
          </cell>
          <cell r="I59">
            <v>24455.4432931552</v>
          </cell>
          <cell r="J59">
            <v>13066.040462219411</v>
          </cell>
        </row>
        <row r="60">
          <cell r="A60">
            <v>43</v>
          </cell>
          <cell r="B60">
            <v>40269</v>
          </cell>
          <cell r="C60">
            <v>24455.4432931552</v>
          </cell>
          <cell r="D60">
            <v>1440.7285040253385</v>
          </cell>
          <cell r="E60">
            <v>0</v>
          </cell>
          <cell r="F60">
            <v>1440.7285040253385</v>
          </cell>
          <cell r="G60">
            <v>1287.8819834431185</v>
          </cell>
          <cell r="H60">
            <v>152.84652058221999</v>
          </cell>
          <cell r="I60">
            <v>23167.56130971208</v>
          </cell>
          <cell r="J60">
            <v>13218.88698280163</v>
          </cell>
        </row>
        <row r="61">
          <cell r="A61">
            <v>44</v>
          </cell>
          <cell r="B61">
            <v>40299</v>
          </cell>
          <cell r="C61">
            <v>23167.56130971208</v>
          </cell>
          <cell r="D61">
            <v>1440.7285040253385</v>
          </cell>
          <cell r="E61">
            <v>0</v>
          </cell>
          <cell r="F61">
            <v>1440.7285040253385</v>
          </cell>
          <cell r="G61">
            <v>1295.931245839638</v>
          </cell>
          <cell r="H61">
            <v>144.79725818570049</v>
          </cell>
          <cell r="I61">
            <v>21871.630063872442</v>
          </cell>
          <cell r="J61">
            <v>13363.684240987332</v>
          </cell>
        </row>
        <row r="62">
          <cell r="A62">
            <v>45</v>
          </cell>
          <cell r="B62">
            <v>40330</v>
          </cell>
          <cell r="C62">
            <v>21871.630063872442</v>
          </cell>
          <cell r="D62">
            <v>1440.7285040253385</v>
          </cell>
          <cell r="E62">
            <v>0</v>
          </cell>
          <cell r="F62">
            <v>1440.7285040253385</v>
          </cell>
          <cell r="G62">
            <v>1304.0308161261357</v>
          </cell>
          <cell r="H62">
            <v>136.69768789920275</v>
          </cell>
          <cell r="I62">
            <v>20567.599247746308</v>
          </cell>
          <cell r="J62">
            <v>13500.381928886534</v>
          </cell>
        </row>
        <row r="63">
          <cell r="A63">
            <v>46</v>
          </cell>
          <cell r="B63">
            <v>40360</v>
          </cell>
          <cell r="C63">
            <v>20567.599247746308</v>
          </cell>
          <cell r="D63">
            <v>1440.7285040253385</v>
          </cell>
          <cell r="E63">
            <v>0</v>
          </cell>
          <cell r="F63">
            <v>1440.7285040253385</v>
          </cell>
          <cell r="G63">
            <v>1312.1810087269241</v>
          </cell>
          <cell r="H63">
            <v>128.54749529841442</v>
          </cell>
          <cell r="I63">
            <v>19255.418239019382</v>
          </cell>
          <cell r="J63">
            <v>13628.929424184949</v>
          </cell>
        </row>
        <row r="64">
          <cell r="A64">
            <v>47</v>
          </cell>
          <cell r="B64">
            <v>40391</v>
          </cell>
          <cell r="C64">
            <v>19255.418239019382</v>
          </cell>
          <cell r="D64">
            <v>1440.7285040253385</v>
          </cell>
          <cell r="E64">
            <v>0</v>
          </cell>
          <cell r="F64">
            <v>1440.7285040253385</v>
          </cell>
          <cell r="G64">
            <v>1320.3821400314673</v>
          </cell>
          <cell r="H64">
            <v>120.34636399387114</v>
          </cell>
          <cell r="I64">
            <v>17935.036098987915</v>
          </cell>
          <cell r="J64">
            <v>13749.27578817882</v>
          </cell>
        </row>
        <row r="65">
          <cell r="A65">
            <v>48</v>
          </cell>
          <cell r="B65">
            <v>40422</v>
          </cell>
          <cell r="C65">
            <v>17935.036098987915</v>
          </cell>
          <cell r="D65">
            <v>1440.7285040253385</v>
          </cell>
          <cell r="E65">
            <v>0</v>
          </cell>
          <cell r="F65">
            <v>1440.7285040253385</v>
          </cell>
          <cell r="G65">
            <v>1328.634528406664</v>
          </cell>
          <cell r="H65">
            <v>112.09397561867446</v>
          </cell>
          <cell r="I65">
            <v>16606.401570581253</v>
          </cell>
          <cell r="J65">
            <v>13861.369763797495</v>
          </cell>
        </row>
        <row r="66">
          <cell r="A66">
            <v>49</v>
          </cell>
          <cell r="B66">
            <v>40452</v>
          </cell>
          <cell r="C66">
            <v>16606.401570581253</v>
          </cell>
          <cell r="D66">
            <v>1440.7285040253385</v>
          </cell>
          <cell r="E66">
            <v>0</v>
          </cell>
          <cell r="F66">
            <v>1440.7285040253385</v>
          </cell>
          <cell r="G66">
            <v>1336.9384942092056</v>
          </cell>
          <cell r="H66">
            <v>103.79000981613284</v>
          </cell>
          <cell r="I66">
            <v>15269.463076372047</v>
          </cell>
          <cell r="J66">
            <v>13965.159773613628</v>
          </cell>
        </row>
        <row r="67">
          <cell r="A67">
            <v>50</v>
          </cell>
          <cell r="B67">
            <v>40483</v>
          </cell>
          <cell r="C67">
            <v>15269.463076372047</v>
          </cell>
          <cell r="D67">
            <v>70595.696697241612</v>
          </cell>
          <cell r="E67">
            <v>0</v>
          </cell>
          <cell r="F67">
            <v>15269.463076372047</v>
          </cell>
          <cell r="G67">
            <v>15174.028932144722</v>
          </cell>
          <cell r="H67">
            <v>95.434144227325291</v>
          </cell>
          <cell r="I67">
            <v>0</v>
          </cell>
          <cell r="J67">
            <v>14060.593917840954</v>
          </cell>
        </row>
        <row r="68">
          <cell r="A68">
            <v>51</v>
          </cell>
          <cell r="B68">
            <v>40513</v>
          </cell>
          <cell r="C68">
            <v>0</v>
          </cell>
          <cell r="D68">
            <v>1440.7285040253385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14060.593917840954</v>
          </cell>
        </row>
        <row r="69">
          <cell r="A69">
            <v>52</v>
          </cell>
          <cell r="B69">
            <v>40544</v>
          </cell>
          <cell r="C69">
            <v>0</v>
          </cell>
          <cell r="D69">
            <v>1440.7285040253385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14060.593917840954</v>
          </cell>
        </row>
        <row r="70">
          <cell r="A70">
            <v>53</v>
          </cell>
          <cell r="B70">
            <v>40575</v>
          </cell>
          <cell r="C70">
            <v>0</v>
          </cell>
          <cell r="D70">
            <v>1440.7285040253385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14060.593917840954</v>
          </cell>
        </row>
        <row r="71">
          <cell r="A71">
            <v>54</v>
          </cell>
          <cell r="B71">
            <v>40603</v>
          </cell>
          <cell r="C71">
            <v>0</v>
          </cell>
          <cell r="D71">
            <v>1440.7285040253385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14060.593917840954</v>
          </cell>
        </row>
        <row r="72">
          <cell r="A72">
            <v>55</v>
          </cell>
          <cell r="B72">
            <v>40634</v>
          </cell>
          <cell r="C72">
            <v>0</v>
          </cell>
          <cell r="D72">
            <v>1440.7285040253385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14060.593917840954</v>
          </cell>
        </row>
        <row r="73">
          <cell r="A73">
            <v>56</v>
          </cell>
          <cell r="B73">
            <v>40664</v>
          </cell>
          <cell r="C73">
            <v>0</v>
          </cell>
          <cell r="D73">
            <v>1440.7285040253385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14060.593917840954</v>
          </cell>
        </row>
        <row r="74">
          <cell r="A74">
            <v>57</v>
          </cell>
          <cell r="B74">
            <v>40695</v>
          </cell>
          <cell r="C74">
            <v>0</v>
          </cell>
          <cell r="D74">
            <v>1440.7285040253385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14060.593917840954</v>
          </cell>
        </row>
        <row r="75">
          <cell r="A75">
            <v>58</v>
          </cell>
          <cell r="B75">
            <v>40725</v>
          </cell>
          <cell r="C75">
            <v>0</v>
          </cell>
          <cell r="D75">
            <v>1440.7285040253385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14060.593917840954</v>
          </cell>
        </row>
        <row r="76">
          <cell r="A76">
            <v>59</v>
          </cell>
          <cell r="B76">
            <v>40756</v>
          </cell>
          <cell r="C76">
            <v>0</v>
          </cell>
          <cell r="D76">
            <v>1440.7285040253385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14060.593917840954</v>
          </cell>
        </row>
        <row r="77">
          <cell r="A77">
            <v>60</v>
          </cell>
          <cell r="B77">
            <v>40787</v>
          </cell>
          <cell r="C77">
            <v>0</v>
          </cell>
          <cell r="D77">
            <v>1440.7285040253385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14060.593917840954</v>
          </cell>
        </row>
        <row r="78">
          <cell r="A78">
            <v>61</v>
          </cell>
          <cell r="B78">
            <v>40817</v>
          </cell>
          <cell r="C78">
            <v>0</v>
          </cell>
          <cell r="D78">
            <v>1440.7285040253385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14060.593917840954</v>
          </cell>
        </row>
        <row r="79">
          <cell r="A79">
            <v>62</v>
          </cell>
          <cell r="B79">
            <v>40848</v>
          </cell>
          <cell r="C79">
            <v>0</v>
          </cell>
          <cell r="D79">
            <v>1440.7285040253385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14060.593917840954</v>
          </cell>
        </row>
        <row r="80">
          <cell r="A80">
            <v>63</v>
          </cell>
          <cell r="B80">
            <v>40878</v>
          </cell>
          <cell r="C80">
            <v>0</v>
          </cell>
          <cell r="D80">
            <v>1440.7285040253385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14060.593917840954</v>
          </cell>
        </row>
        <row r="81">
          <cell r="A81">
            <v>64</v>
          </cell>
          <cell r="B81">
            <v>40909</v>
          </cell>
          <cell r="C81">
            <v>0</v>
          </cell>
          <cell r="D81">
            <v>1440.7285040253385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14060.593917840954</v>
          </cell>
        </row>
        <row r="82">
          <cell r="A82">
            <v>65</v>
          </cell>
          <cell r="B82">
            <v>40940</v>
          </cell>
          <cell r="C82">
            <v>0</v>
          </cell>
          <cell r="D82">
            <v>1440.7285040253385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14060.593917840954</v>
          </cell>
        </row>
        <row r="83">
          <cell r="A83">
            <v>66</v>
          </cell>
          <cell r="B83">
            <v>40969</v>
          </cell>
          <cell r="C83">
            <v>0</v>
          </cell>
          <cell r="D83">
            <v>1440.7285040253385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14060.593917840954</v>
          </cell>
        </row>
        <row r="84">
          <cell r="A84">
            <v>67</v>
          </cell>
          <cell r="B84">
            <v>41000</v>
          </cell>
          <cell r="C84">
            <v>0</v>
          </cell>
          <cell r="D84">
            <v>1440.7285040253385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14060.593917840954</v>
          </cell>
        </row>
        <row r="85">
          <cell r="A85">
            <v>68</v>
          </cell>
          <cell r="B85">
            <v>41030</v>
          </cell>
          <cell r="C85">
            <v>0</v>
          </cell>
          <cell r="D85">
            <v>1440.7285040253385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14060.593917840954</v>
          </cell>
        </row>
        <row r="86">
          <cell r="A86">
            <v>69</v>
          </cell>
          <cell r="B86">
            <v>41061</v>
          </cell>
          <cell r="C86">
            <v>0</v>
          </cell>
          <cell r="D86">
            <v>1440.7285040253385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14060.593917840954</v>
          </cell>
        </row>
        <row r="87">
          <cell r="A87">
            <v>70</v>
          </cell>
          <cell r="B87">
            <v>41091</v>
          </cell>
          <cell r="C87">
            <v>0</v>
          </cell>
          <cell r="D87">
            <v>1440.7285040253385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14060.593917840954</v>
          </cell>
        </row>
        <row r="88">
          <cell r="A88">
            <v>71</v>
          </cell>
          <cell r="B88">
            <v>41122</v>
          </cell>
          <cell r="C88">
            <v>0</v>
          </cell>
          <cell r="D88">
            <v>1440.7285040253385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14060.593917840954</v>
          </cell>
        </row>
        <row r="89">
          <cell r="A89">
            <v>72</v>
          </cell>
          <cell r="B89">
            <v>41153</v>
          </cell>
          <cell r="C89">
            <v>0</v>
          </cell>
          <cell r="D89">
            <v>1440.7285040253385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14060.593917840954</v>
          </cell>
        </row>
        <row r="90">
          <cell r="A90">
            <v>73</v>
          </cell>
          <cell r="B90">
            <v>41183</v>
          </cell>
          <cell r="C90">
            <v>0</v>
          </cell>
          <cell r="D90">
            <v>1440.7285040253385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14060.593917840954</v>
          </cell>
        </row>
        <row r="91">
          <cell r="A91">
            <v>74</v>
          </cell>
          <cell r="B91">
            <v>41214</v>
          </cell>
          <cell r="C91">
            <v>0</v>
          </cell>
          <cell r="D91">
            <v>1440.7285040253385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14060.593917840954</v>
          </cell>
        </row>
        <row r="92">
          <cell r="A92">
            <v>75</v>
          </cell>
          <cell r="B92">
            <v>41244</v>
          </cell>
          <cell r="C92">
            <v>0</v>
          </cell>
          <cell r="D92">
            <v>1440.7285040253385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14060.593917840954</v>
          </cell>
        </row>
        <row r="93">
          <cell r="A93">
            <v>76</v>
          </cell>
          <cell r="B93">
            <v>41275</v>
          </cell>
          <cell r="C93">
            <v>0</v>
          </cell>
          <cell r="D93">
            <v>1440.7285040253385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14060.593917840954</v>
          </cell>
        </row>
        <row r="94">
          <cell r="A94">
            <v>77</v>
          </cell>
          <cell r="B94">
            <v>41306</v>
          </cell>
          <cell r="C94">
            <v>0</v>
          </cell>
          <cell r="D94">
            <v>1440.7285040253385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14060.593917840954</v>
          </cell>
        </row>
        <row r="95">
          <cell r="A95">
            <v>78</v>
          </cell>
          <cell r="B95">
            <v>41334</v>
          </cell>
          <cell r="C95">
            <v>0</v>
          </cell>
          <cell r="D95">
            <v>1440.7285040253385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14060.593917840954</v>
          </cell>
        </row>
        <row r="96">
          <cell r="A96">
            <v>79</v>
          </cell>
          <cell r="B96">
            <v>41365</v>
          </cell>
          <cell r="C96">
            <v>0</v>
          </cell>
          <cell r="D96">
            <v>1440.7285040253385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14060.593917840954</v>
          </cell>
        </row>
        <row r="97">
          <cell r="A97">
            <v>80</v>
          </cell>
          <cell r="B97">
            <v>41395</v>
          </cell>
          <cell r="C97">
            <v>0</v>
          </cell>
          <cell r="D97">
            <v>1440.7285040253385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14060.593917840954</v>
          </cell>
        </row>
        <row r="98">
          <cell r="A98">
            <v>81</v>
          </cell>
          <cell r="B98">
            <v>41426</v>
          </cell>
          <cell r="C98">
            <v>0</v>
          </cell>
          <cell r="D98">
            <v>1440.7285040253385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14060.593917840954</v>
          </cell>
        </row>
        <row r="99">
          <cell r="A99">
            <v>82</v>
          </cell>
          <cell r="B99">
            <v>41456</v>
          </cell>
          <cell r="C99">
            <v>0</v>
          </cell>
          <cell r="D99">
            <v>1440.7285040253385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14060.593917840954</v>
          </cell>
        </row>
        <row r="100">
          <cell r="A100">
            <v>83</v>
          </cell>
          <cell r="B100">
            <v>41487</v>
          </cell>
          <cell r="C100">
            <v>0</v>
          </cell>
          <cell r="D100">
            <v>1440.7285040253385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14060.593917840954</v>
          </cell>
        </row>
        <row r="101">
          <cell r="A101">
            <v>84</v>
          </cell>
          <cell r="B101">
            <v>41518</v>
          </cell>
          <cell r="C101">
            <v>0</v>
          </cell>
          <cell r="D101">
            <v>1440.7285040253385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14060.593917840954</v>
          </cell>
        </row>
        <row r="102">
          <cell r="A102">
            <v>85</v>
          </cell>
          <cell r="B102">
            <v>41548</v>
          </cell>
          <cell r="C102">
            <v>0</v>
          </cell>
          <cell r="D102">
            <v>1440.7285040253385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14060.593917840954</v>
          </cell>
        </row>
        <row r="103">
          <cell r="A103">
            <v>86</v>
          </cell>
          <cell r="B103">
            <v>41579</v>
          </cell>
          <cell r="C103">
            <v>0</v>
          </cell>
          <cell r="D103">
            <v>1440.7285040253385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14060.593917840954</v>
          </cell>
        </row>
        <row r="104">
          <cell r="A104">
            <v>87</v>
          </cell>
          <cell r="B104">
            <v>41609</v>
          </cell>
          <cell r="C104">
            <v>0</v>
          </cell>
          <cell r="D104">
            <v>1440.7285040253385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14060.593917840954</v>
          </cell>
        </row>
        <row r="105">
          <cell r="A105">
            <v>88</v>
          </cell>
          <cell r="B105">
            <v>41640</v>
          </cell>
          <cell r="C105">
            <v>0</v>
          </cell>
          <cell r="D105">
            <v>1440.7285040253385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14060.593917840954</v>
          </cell>
        </row>
        <row r="106">
          <cell r="A106">
            <v>89</v>
          </cell>
          <cell r="B106">
            <v>41671</v>
          </cell>
          <cell r="C106">
            <v>0</v>
          </cell>
          <cell r="D106">
            <v>1440.7285040253385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14060.593917840954</v>
          </cell>
        </row>
        <row r="107">
          <cell r="A107">
            <v>90</v>
          </cell>
          <cell r="B107">
            <v>41699</v>
          </cell>
          <cell r="C107">
            <v>0</v>
          </cell>
          <cell r="D107">
            <v>1440.7285040253385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14060.593917840954</v>
          </cell>
        </row>
        <row r="108">
          <cell r="A108">
            <v>91</v>
          </cell>
          <cell r="B108">
            <v>41730</v>
          </cell>
          <cell r="C108">
            <v>0</v>
          </cell>
          <cell r="D108">
            <v>1440.7285040253385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14060.593917840954</v>
          </cell>
        </row>
        <row r="109">
          <cell r="A109">
            <v>92</v>
          </cell>
          <cell r="B109">
            <v>41760</v>
          </cell>
          <cell r="C109">
            <v>0</v>
          </cell>
          <cell r="D109">
            <v>1440.7285040253385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14060.593917840954</v>
          </cell>
        </row>
        <row r="110">
          <cell r="A110">
            <v>93</v>
          </cell>
          <cell r="B110">
            <v>41791</v>
          </cell>
          <cell r="C110">
            <v>0</v>
          </cell>
          <cell r="D110">
            <v>1440.7285040253385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14060.593917840954</v>
          </cell>
        </row>
        <row r="111">
          <cell r="A111">
            <v>94</v>
          </cell>
          <cell r="B111">
            <v>41821</v>
          </cell>
          <cell r="C111">
            <v>0</v>
          </cell>
          <cell r="D111">
            <v>1440.7285040253385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14060.593917840954</v>
          </cell>
        </row>
        <row r="112">
          <cell r="A112">
            <v>95</v>
          </cell>
          <cell r="B112">
            <v>41852</v>
          </cell>
          <cell r="C112">
            <v>0</v>
          </cell>
          <cell r="D112">
            <v>1440.7285040253385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14060.593917840954</v>
          </cell>
        </row>
        <row r="113">
          <cell r="A113">
            <v>96</v>
          </cell>
          <cell r="B113">
            <v>41883</v>
          </cell>
          <cell r="C113">
            <v>0</v>
          </cell>
          <cell r="D113">
            <v>1440.7285040253385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14060.593917840954</v>
          </cell>
        </row>
        <row r="114">
          <cell r="A114">
            <v>97</v>
          </cell>
          <cell r="B114">
            <v>41913</v>
          </cell>
          <cell r="C114">
            <v>0</v>
          </cell>
          <cell r="D114">
            <v>1440.7285040253385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14060.593917840954</v>
          </cell>
        </row>
        <row r="115">
          <cell r="A115">
            <v>98</v>
          </cell>
          <cell r="B115">
            <v>41944</v>
          </cell>
          <cell r="C115">
            <v>0</v>
          </cell>
          <cell r="D115">
            <v>1440.7285040253385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14060.593917840954</v>
          </cell>
        </row>
        <row r="116">
          <cell r="A116">
            <v>99</v>
          </cell>
          <cell r="B116">
            <v>41974</v>
          </cell>
          <cell r="C116">
            <v>0</v>
          </cell>
          <cell r="D116">
            <v>1440.7285040253385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14060.593917840954</v>
          </cell>
        </row>
        <row r="117">
          <cell r="A117">
            <v>100</v>
          </cell>
          <cell r="B117">
            <v>42005</v>
          </cell>
          <cell r="C117">
            <v>0</v>
          </cell>
          <cell r="D117">
            <v>1440.7285040253385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14060.593917840954</v>
          </cell>
        </row>
        <row r="118">
          <cell r="A118">
            <v>101</v>
          </cell>
          <cell r="B118">
            <v>42036</v>
          </cell>
          <cell r="C118">
            <v>0</v>
          </cell>
          <cell r="D118">
            <v>1440.7285040253385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14060.593917840954</v>
          </cell>
        </row>
        <row r="119">
          <cell r="A119">
            <v>102</v>
          </cell>
          <cell r="B119">
            <v>42064</v>
          </cell>
          <cell r="C119">
            <v>0</v>
          </cell>
          <cell r="D119">
            <v>1440.7285040253385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14060.593917840954</v>
          </cell>
        </row>
        <row r="120">
          <cell r="A120">
            <v>103</v>
          </cell>
          <cell r="B120">
            <v>42095</v>
          </cell>
          <cell r="C120">
            <v>0</v>
          </cell>
          <cell r="D120">
            <v>1440.7285040253385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14060.593917840954</v>
          </cell>
        </row>
        <row r="121">
          <cell r="A121">
            <v>104</v>
          </cell>
          <cell r="B121">
            <v>42125</v>
          </cell>
          <cell r="C121">
            <v>0</v>
          </cell>
          <cell r="D121">
            <v>1440.7285040253385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14060.593917840954</v>
          </cell>
        </row>
        <row r="122">
          <cell r="A122">
            <v>105</v>
          </cell>
          <cell r="B122">
            <v>42156</v>
          </cell>
          <cell r="C122">
            <v>0</v>
          </cell>
          <cell r="D122">
            <v>1440.7285040253385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14060.593917840954</v>
          </cell>
        </row>
        <row r="123">
          <cell r="A123">
            <v>106</v>
          </cell>
          <cell r="B123">
            <v>42186</v>
          </cell>
          <cell r="C123">
            <v>0</v>
          </cell>
          <cell r="D123">
            <v>1440.7285040253385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14060.593917840954</v>
          </cell>
        </row>
        <row r="124">
          <cell r="A124">
            <v>107</v>
          </cell>
          <cell r="B124">
            <v>42217</v>
          </cell>
          <cell r="C124">
            <v>0</v>
          </cell>
          <cell r="D124">
            <v>1440.7285040253385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14060.593917840954</v>
          </cell>
        </row>
        <row r="125">
          <cell r="A125">
            <v>108</v>
          </cell>
          <cell r="B125">
            <v>42248</v>
          </cell>
          <cell r="C125">
            <v>0</v>
          </cell>
          <cell r="D125">
            <v>1440.7285040253385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14060.593917840954</v>
          </cell>
        </row>
        <row r="126">
          <cell r="A126">
            <v>109</v>
          </cell>
          <cell r="B126">
            <v>42278</v>
          </cell>
          <cell r="C126">
            <v>0</v>
          </cell>
          <cell r="D126">
            <v>1440.7285040253385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14060.593917840954</v>
          </cell>
        </row>
        <row r="127">
          <cell r="A127">
            <v>110</v>
          </cell>
          <cell r="B127">
            <v>42309</v>
          </cell>
          <cell r="C127">
            <v>0</v>
          </cell>
          <cell r="D127">
            <v>1440.7285040253385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14060.593917840954</v>
          </cell>
        </row>
        <row r="128">
          <cell r="A128">
            <v>111</v>
          </cell>
          <cell r="B128">
            <v>42339</v>
          </cell>
          <cell r="C128">
            <v>0</v>
          </cell>
          <cell r="D128">
            <v>1440.7285040253385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14060.593917840954</v>
          </cell>
        </row>
        <row r="129">
          <cell r="A129">
            <v>112</v>
          </cell>
          <cell r="B129">
            <v>42370</v>
          </cell>
          <cell r="C129">
            <v>0</v>
          </cell>
          <cell r="D129">
            <v>1440.7285040253385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14060.593917840954</v>
          </cell>
        </row>
        <row r="130">
          <cell r="A130">
            <v>113</v>
          </cell>
          <cell r="B130">
            <v>42401</v>
          </cell>
          <cell r="C130">
            <v>0</v>
          </cell>
          <cell r="D130">
            <v>1440.7285040253385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14060.593917840954</v>
          </cell>
        </row>
        <row r="131">
          <cell r="A131">
            <v>114</v>
          </cell>
          <cell r="B131">
            <v>42430</v>
          </cell>
          <cell r="C131">
            <v>0</v>
          </cell>
          <cell r="D131">
            <v>1440.7285040253385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14060.593917840954</v>
          </cell>
        </row>
        <row r="132">
          <cell r="A132">
            <v>115</v>
          </cell>
          <cell r="B132">
            <v>42461</v>
          </cell>
          <cell r="C132">
            <v>0</v>
          </cell>
          <cell r="D132">
            <v>1440.7285040253385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14060.593917840954</v>
          </cell>
        </row>
        <row r="133">
          <cell r="A133">
            <v>116</v>
          </cell>
          <cell r="B133">
            <v>42491</v>
          </cell>
          <cell r="C133">
            <v>0</v>
          </cell>
          <cell r="D133">
            <v>1440.7285040253385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14060.593917840954</v>
          </cell>
        </row>
        <row r="134">
          <cell r="A134">
            <v>117</v>
          </cell>
          <cell r="B134">
            <v>42522</v>
          </cell>
          <cell r="C134">
            <v>0</v>
          </cell>
          <cell r="D134">
            <v>1440.7285040253385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14060.593917840954</v>
          </cell>
        </row>
        <row r="135">
          <cell r="A135">
            <v>118</v>
          </cell>
          <cell r="B135">
            <v>42552</v>
          </cell>
          <cell r="C135">
            <v>0</v>
          </cell>
          <cell r="D135">
            <v>1440.7285040253385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14060.593917840954</v>
          </cell>
        </row>
        <row r="136">
          <cell r="A136">
            <v>119</v>
          </cell>
          <cell r="B136">
            <v>42583</v>
          </cell>
          <cell r="C136">
            <v>0</v>
          </cell>
          <cell r="D136">
            <v>1440.7285040253385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14060.593917840954</v>
          </cell>
        </row>
        <row r="137">
          <cell r="A137">
            <v>120</v>
          </cell>
          <cell r="B137">
            <v>42614</v>
          </cell>
          <cell r="C137">
            <v>0</v>
          </cell>
          <cell r="D137">
            <v>1440.7285040253385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14060.593917840954</v>
          </cell>
        </row>
        <row r="138">
          <cell r="A138">
            <v>121</v>
          </cell>
          <cell r="B138">
            <v>42644</v>
          </cell>
          <cell r="C138">
            <v>0</v>
          </cell>
          <cell r="D138">
            <v>1440.7285040253385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14060.593917840954</v>
          </cell>
        </row>
        <row r="139">
          <cell r="A139">
            <v>122</v>
          </cell>
          <cell r="B139">
            <v>42675</v>
          </cell>
          <cell r="C139">
            <v>0</v>
          </cell>
          <cell r="D139">
            <v>1440.7285040253385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14060.593917840954</v>
          </cell>
        </row>
        <row r="140">
          <cell r="A140">
            <v>123</v>
          </cell>
          <cell r="B140">
            <v>42705</v>
          </cell>
          <cell r="C140">
            <v>0</v>
          </cell>
          <cell r="D140">
            <v>1440.7285040253385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14060.593917840954</v>
          </cell>
        </row>
        <row r="141">
          <cell r="A141">
            <v>124</v>
          </cell>
          <cell r="B141">
            <v>42736</v>
          </cell>
          <cell r="C141">
            <v>0</v>
          </cell>
          <cell r="D141">
            <v>1440.7285040253385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14060.593917840954</v>
          </cell>
        </row>
        <row r="142">
          <cell r="A142">
            <v>125</v>
          </cell>
          <cell r="B142">
            <v>42767</v>
          </cell>
          <cell r="C142">
            <v>0</v>
          </cell>
          <cell r="D142">
            <v>1440.7285040253385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14060.593917840954</v>
          </cell>
        </row>
        <row r="143">
          <cell r="A143">
            <v>126</v>
          </cell>
          <cell r="B143">
            <v>42795</v>
          </cell>
          <cell r="C143">
            <v>0</v>
          </cell>
          <cell r="D143">
            <v>1440.7285040253385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14060.593917840954</v>
          </cell>
        </row>
        <row r="144">
          <cell r="A144">
            <v>127</v>
          </cell>
          <cell r="B144">
            <v>42826</v>
          </cell>
          <cell r="C144">
            <v>0</v>
          </cell>
          <cell r="D144">
            <v>1440.7285040253385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14060.593917840954</v>
          </cell>
        </row>
        <row r="145">
          <cell r="A145">
            <v>128</v>
          </cell>
          <cell r="B145">
            <v>42856</v>
          </cell>
          <cell r="C145">
            <v>0</v>
          </cell>
          <cell r="D145">
            <v>1440.7285040253385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14060.593917840954</v>
          </cell>
        </row>
        <row r="146">
          <cell r="A146">
            <v>129</v>
          </cell>
          <cell r="B146">
            <v>42887</v>
          </cell>
          <cell r="C146">
            <v>0</v>
          </cell>
          <cell r="D146">
            <v>1440.7285040253385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14060.593917840954</v>
          </cell>
        </row>
        <row r="147">
          <cell r="A147">
            <v>130</v>
          </cell>
          <cell r="B147">
            <v>42917</v>
          </cell>
          <cell r="C147">
            <v>0</v>
          </cell>
          <cell r="D147">
            <v>1440.7285040253385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14060.593917840954</v>
          </cell>
        </row>
        <row r="148">
          <cell r="A148">
            <v>131</v>
          </cell>
          <cell r="B148">
            <v>42948</v>
          </cell>
          <cell r="C148">
            <v>0</v>
          </cell>
          <cell r="D148">
            <v>1440.7285040253385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14060.593917840954</v>
          </cell>
        </row>
        <row r="149">
          <cell r="A149">
            <v>132</v>
          </cell>
          <cell r="B149">
            <v>42979</v>
          </cell>
          <cell r="C149">
            <v>0</v>
          </cell>
          <cell r="D149">
            <v>1440.7285040253385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14060.593917840954</v>
          </cell>
        </row>
        <row r="150">
          <cell r="A150">
            <v>133</v>
          </cell>
          <cell r="B150">
            <v>43009</v>
          </cell>
          <cell r="C150">
            <v>0</v>
          </cell>
          <cell r="D150">
            <v>1440.7285040253385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14060.593917840954</v>
          </cell>
        </row>
        <row r="151">
          <cell r="A151">
            <v>134</v>
          </cell>
          <cell r="B151">
            <v>43040</v>
          </cell>
          <cell r="C151">
            <v>0</v>
          </cell>
          <cell r="D151">
            <v>1440.7285040253385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14060.593917840954</v>
          </cell>
        </row>
        <row r="152">
          <cell r="A152">
            <v>135</v>
          </cell>
          <cell r="B152">
            <v>43070</v>
          </cell>
          <cell r="C152">
            <v>0</v>
          </cell>
          <cell r="D152">
            <v>1440.7285040253385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14060.593917840954</v>
          </cell>
        </row>
        <row r="153">
          <cell r="A153">
            <v>136</v>
          </cell>
          <cell r="B153">
            <v>43101</v>
          </cell>
          <cell r="C153">
            <v>0</v>
          </cell>
          <cell r="D153">
            <v>1440.7285040253385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14060.593917840954</v>
          </cell>
        </row>
        <row r="154">
          <cell r="A154">
            <v>137</v>
          </cell>
          <cell r="B154">
            <v>43132</v>
          </cell>
          <cell r="C154">
            <v>0</v>
          </cell>
          <cell r="D154">
            <v>1440.7285040253385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14060.593917840954</v>
          </cell>
        </row>
        <row r="155">
          <cell r="A155">
            <v>138</v>
          </cell>
          <cell r="B155">
            <v>43160</v>
          </cell>
          <cell r="C155">
            <v>0</v>
          </cell>
          <cell r="D155">
            <v>1440.7285040253385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14060.593917840954</v>
          </cell>
        </row>
        <row r="156">
          <cell r="A156">
            <v>139</v>
          </cell>
          <cell r="B156">
            <v>43191</v>
          </cell>
          <cell r="C156">
            <v>0</v>
          </cell>
          <cell r="D156">
            <v>1440.7285040253385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14060.593917840954</v>
          </cell>
        </row>
        <row r="157">
          <cell r="A157">
            <v>140</v>
          </cell>
          <cell r="B157">
            <v>43221</v>
          </cell>
          <cell r="C157">
            <v>0</v>
          </cell>
          <cell r="D157">
            <v>1440.7285040253385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14060.593917840954</v>
          </cell>
        </row>
        <row r="158">
          <cell r="A158">
            <v>141</v>
          </cell>
          <cell r="B158">
            <v>43252</v>
          </cell>
          <cell r="C158">
            <v>0</v>
          </cell>
          <cell r="D158">
            <v>1440.7285040253385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14060.593917840954</v>
          </cell>
        </row>
        <row r="159">
          <cell r="A159">
            <v>142</v>
          </cell>
          <cell r="B159">
            <v>43282</v>
          </cell>
          <cell r="C159">
            <v>0</v>
          </cell>
          <cell r="D159">
            <v>1440.7285040253385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14060.593917840954</v>
          </cell>
        </row>
        <row r="160">
          <cell r="A160">
            <v>143</v>
          </cell>
          <cell r="B160">
            <v>43313</v>
          </cell>
          <cell r="C160">
            <v>0</v>
          </cell>
          <cell r="D160">
            <v>1440.7285040253385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14060.593917840954</v>
          </cell>
        </row>
        <row r="161">
          <cell r="A161">
            <v>144</v>
          </cell>
          <cell r="B161">
            <v>43344</v>
          </cell>
          <cell r="C161">
            <v>0</v>
          </cell>
          <cell r="D161">
            <v>1440.7285040253385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14060.593917840954</v>
          </cell>
        </row>
        <row r="162">
          <cell r="A162">
            <v>145</v>
          </cell>
          <cell r="B162">
            <v>43374</v>
          </cell>
          <cell r="C162">
            <v>0</v>
          </cell>
          <cell r="D162">
            <v>1440.7285040253385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14060.593917840954</v>
          </cell>
        </row>
        <row r="163">
          <cell r="A163">
            <v>146</v>
          </cell>
          <cell r="B163">
            <v>43405</v>
          </cell>
          <cell r="C163">
            <v>0</v>
          </cell>
          <cell r="D163">
            <v>1440.7285040253385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14060.593917840954</v>
          </cell>
        </row>
        <row r="164">
          <cell r="A164">
            <v>147</v>
          </cell>
          <cell r="B164">
            <v>43435</v>
          </cell>
          <cell r="C164">
            <v>0</v>
          </cell>
          <cell r="D164">
            <v>1440.7285040253385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14060.593917840954</v>
          </cell>
        </row>
        <row r="165">
          <cell r="A165">
            <v>148</v>
          </cell>
          <cell r="B165">
            <v>43466</v>
          </cell>
          <cell r="C165">
            <v>0</v>
          </cell>
          <cell r="D165">
            <v>1440.7285040253385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14060.593917840954</v>
          </cell>
        </row>
        <row r="166">
          <cell r="A166">
            <v>149</v>
          </cell>
          <cell r="B166">
            <v>43497</v>
          </cell>
          <cell r="C166">
            <v>0</v>
          </cell>
          <cell r="D166">
            <v>1440.7285040253385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14060.593917840954</v>
          </cell>
        </row>
        <row r="167">
          <cell r="A167">
            <v>150</v>
          </cell>
          <cell r="B167">
            <v>43525</v>
          </cell>
          <cell r="C167">
            <v>0</v>
          </cell>
          <cell r="D167">
            <v>1440.7285040253385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14060.593917840954</v>
          </cell>
        </row>
        <row r="168">
          <cell r="A168">
            <v>151</v>
          </cell>
          <cell r="B168">
            <v>43556</v>
          </cell>
          <cell r="C168">
            <v>0</v>
          </cell>
          <cell r="D168">
            <v>1440.7285040253385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14060.593917840954</v>
          </cell>
        </row>
        <row r="169">
          <cell r="A169">
            <v>152</v>
          </cell>
          <cell r="B169">
            <v>43586</v>
          </cell>
          <cell r="C169">
            <v>0</v>
          </cell>
          <cell r="D169">
            <v>1440.7285040253385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14060.593917840954</v>
          </cell>
        </row>
        <row r="170">
          <cell r="A170">
            <v>153</v>
          </cell>
          <cell r="B170">
            <v>43617</v>
          </cell>
          <cell r="C170">
            <v>0</v>
          </cell>
          <cell r="D170">
            <v>1440.7285040253385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14060.593917840954</v>
          </cell>
        </row>
        <row r="171">
          <cell r="A171">
            <v>154</v>
          </cell>
          <cell r="B171">
            <v>43647</v>
          </cell>
          <cell r="C171">
            <v>0</v>
          </cell>
          <cell r="D171">
            <v>1440.7285040253385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14060.593917840954</v>
          </cell>
        </row>
        <row r="172">
          <cell r="A172">
            <v>155</v>
          </cell>
          <cell r="B172">
            <v>43678</v>
          </cell>
          <cell r="C172">
            <v>0</v>
          </cell>
          <cell r="D172">
            <v>1440.7285040253385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14060.593917840954</v>
          </cell>
        </row>
        <row r="173">
          <cell r="A173">
            <v>156</v>
          </cell>
          <cell r="B173">
            <v>43709</v>
          </cell>
          <cell r="C173">
            <v>0</v>
          </cell>
          <cell r="D173">
            <v>1440.7285040253385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14060.593917840954</v>
          </cell>
        </row>
        <row r="174">
          <cell r="A174">
            <v>157</v>
          </cell>
          <cell r="B174">
            <v>43739</v>
          </cell>
          <cell r="C174">
            <v>0</v>
          </cell>
          <cell r="D174">
            <v>1440.7285040253385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14060.593917840954</v>
          </cell>
        </row>
        <row r="175">
          <cell r="A175">
            <v>158</v>
          </cell>
          <cell r="B175">
            <v>43770</v>
          </cell>
          <cell r="C175">
            <v>0</v>
          </cell>
          <cell r="D175">
            <v>1440.7285040253385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14060.593917840954</v>
          </cell>
        </row>
        <row r="176">
          <cell r="A176">
            <v>159</v>
          </cell>
          <cell r="B176">
            <v>43800</v>
          </cell>
          <cell r="C176">
            <v>0</v>
          </cell>
          <cell r="D176">
            <v>1440.7285040253385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14060.593917840954</v>
          </cell>
        </row>
        <row r="177">
          <cell r="A177">
            <v>160</v>
          </cell>
          <cell r="B177">
            <v>43831</v>
          </cell>
          <cell r="C177">
            <v>0</v>
          </cell>
          <cell r="D177">
            <v>1440.7285040253385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14060.593917840954</v>
          </cell>
        </row>
        <row r="178">
          <cell r="A178">
            <v>161</v>
          </cell>
          <cell r="B178">
            <v>43862</v>
          </cell>
          <cell r="C178">
            <v>0</v>
          </cell>
          <cell r="D178">
            <v>1440.7285040253385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14060.593917840954</v>
          </cell>
        </row>
        <row r="179">
          <cell r="A179">
            <v>162</v>
          </cell>
          <cell r="B179">
            <v>43891</v>
          </cell>
          <cell r="C179">
            <v>0</v>
          </cell>
          <cell r="D179">
            <v>1440.7285040253385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14060.593917840954</v>
          </cell>
        </row>
        <row r="180">
          <cell r="A180">
            <v>163</v>
          </cell>
          <cell r="B180">
            <v>43922</v>
          </cell>
          <cell r="C180">
            <v>0</v>
          </cell>
          <cell r="D180">
            <v>1440.7285040253385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14060.593917840954</v>
          </cell>
        </row>
        <row r="181">
          <cell r="A181">
            <v>164</v>
          </cell>
          <cell r="B181">
            <v>43952</v>
          </cell>
          <cell r="C181">
            <v>0</v>
          </cell>
          <cell r="D181">
            <v>1440.7285040253385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14060.593917840954</v>
          </cell>
        </row>
        <row r="182">
          <cell r="A182">
            <v>165</v>
          </cell>
          <cell r="B182">
            <v>43983</v>
          </cell>
          <cell r="C182">
            <v>0</v>
          </cell>
          <cell r="D182">
            <v>1440.7285040253385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14060.593917840954</v>
          </cell>
        </row>
        <row r="183">
          <cell r="A183">
            <v>166</v>
          </cell>
          <cell r="B183">
            <v>44013</v>
          </cell>
          <cell r="C183">
            <v>0</v>
          </cell>
          <cell r="D183">
            <v>1440.7285040253385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14060.593917840954</v>
          </cell>
        </row>
        <row r="184">
          <cell r="A184">
            <v>167</v>
          </cell>
          <cell r="B184">
            <v>44044</v>
          </cell>
          <cell r="C184">
            <v>0</v>
          </cell>
          <cell r="D184">
            <v>1440.7285040253385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14060.593917840954</v>
          </cell>
        </row>
        <row r="185">
          <cell r="A185">
            <v>168</v>
          </cell>
          <cell r="B185">
            <v>44075</v>
          </cell>
          <cell r="C185">
            <v>0</v>
          </cell>
          <cell r="D185">
            <v>1440.7285040253385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14060.593917840954</v>
          </cell>
        </row>
        <row r="186">
          <cell r="A186">
            <v>169</v>
          </cell>
          <cell r="B186">
            <v>44105</v>
          </cell>
          <cell r="C186">
            <v>0</v>
          </cell>
          <cell r="D186">
            <v>1440.7285040253385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14060.593917840954</v>
          </cell>
        </row>
        <row r="187">
          <cell r="A187">
            <v>170</v>
          </cell>
          <cell r="B187">
            <v>44136</v>
          </cell>
          <cell r="C187">
            <v>0</v>
          </cell>
          <cell r="D187">
            <v>1440.7285040253385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14060.593917840954</v>
          </cell>
        </row>
        <row r="188">
          <cell r="A188">
            <v>171</v>
          </cell>
          <cell r="B188">
            <v>44166</v>
          </cell>
          <cell r="C188">
            <v>0</v>
          </cell>
          <cell r="D188">
            <v>1440.7285040253385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14060.593917840954</v>
          </cell>
        </row>
        <row r="189">
          <cell r="A189">
            <v>172</v>
          </cell>
          <cell r="B189">
            <v>44197</v>
          </cell>
          <cell r="C189">
            <v>0</v>
          </cell>
          <cell r="D189">
            <v>1440.7285040253385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14060.593917840954</v>
          </cell>
        </row>
        <row r="190">
          <cell r="A190">
            <v>173</v>
          </cell>
          <cell r="B190">
            <v>44228</v>
          </cell>
          <cell r="C190">
            <v>0</v>
          </cell>
          <cell r="D190">
            <v>1440.7285040253385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14060.593917840954</v>
          </cell>
        </row>
        <row r="191">
          <cell r="A191">
            <v>174</v>
          </cell>
          <cell r="B191">
            <v>44256</v>
          </cell>
          <cell r="C191">
            <v>0</v>
          </cell>
          <cell r="D191">
            <v>1440.7285040253385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14060.593917840954</v>
          </cell>
        </row>
        <row r="192">
          <cell r="A192">
            <v>175</v>
          </cell>
          <cell r="B192">
            <v>44287</v>
          </cell>
          <cell r="C192">
            <v>0</v>
          </cell>
          <cell r="D192">
            <v>1440.7285040253385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14060.593917840954</v>
          </cell>
        </row>
        <row r="193">
          <cell r="A193">
            <v>176</v>
          </cell>
          <cell r="B193">
            <v>44317</v>
          </cell>
          <cell r="C193">
            <v>0</v>
          </cell>
          <cell r="D193">
            <v>1440.7285040253385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14060.593917840954</v>
          </cell>
        </row>
        <row r="194">
          <cell r="A194">
            <v>177</v>
          </cell>
          <cell r="B194">
            <v>44348</v>
          </cell>
          <cell r="C194">
            <v>0</v>
          </cell>
          <cell r="D194">
            <v>1440.7285040253385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14060.593917840954</v>
          </cell>
        </row>
        <row r="195">
          <cell r="A195">
            <v>178</v>
          </cell>
          <cell r="B195">
            <v>44378</v>
          </cell>
          <cell r="C195">
            <v>0</v>
          </cell>
          <cell r="D195">
            <v>1440.7285040253385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14060.593917840954</v>
          </cell>
        </row>
        <row r="196">
          <cell r="A196">
            <v>179</v>
          </cell>
          <cell r="B196">
            <v>44409</v>
          </cell>
          <cell r="C196">
            <v>0</v>
          </cell>
          <cell r="D196">
            <v>1440.7285040253385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14060.593917840954</v>
          </cell>
        </row>
        <row r="197">
          <cell r="A197">
            <v>180</v>
          </cell>
          <cell r="B197">
            <v>44440</v>
          </cell>
          <cell r="C197">
            <v>0</v>
          </cell>
          <cell r="D197">
            <v>1440.7285040253385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14060.593917840954</v>
          </cell>
        </row>
        <row r="198">
          <cell r="A198">
            <v>181</v>
          </cell>
          <cell r="B198">
            <v>44470</v>
          </cell>
          <cell r="C198">
            <v>0</v>
          </cell>
          <cell r="D198">
            <v>1440.7285040253385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14060.593917840954</v>
          </cell>
        </row>
        <row r="199">
          <cell r="A199">
            <v>182</v>
          </cell>
          <cell r="B199">
            <v>44501</v>
          </cell>
          <cell r="C199">
            <v>0</v>
          </cell>
          <cell r="D199">
            <v>1440.7285040253385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14060.593917840954</v>
          </cell>
        </row>
        <row r="200">
          <cell r="A200">
            <v>183</v>
          </cell>
          <cell r="B200">
            <v>44531</v>
          </cell>
          <cell r="C200">
            <v>0</v>
          </cell>
          <cell r="D200">
            <v>1440.7285040253385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14060.593917840954</v>
          </cell>
        </row>
        <row r="201">
          <cell r="A201">
            <v>184</v>
          </cell>
          <cell r="B201">
            <v>44562</v>
          </cell>
          <cell r="C201">
            <v>0</v>
          </cell>
          <cell r="D201">
            <v>1440.7285040253385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14060.593917840954</v>
          </cell>
        </row>
        <row r="202">
          <cell r="A202">
            <v>185</v>
          </cell>
          <cell r="B202">
            <v>44593</v>
          </cell>
          <cell r="C202">
            <v>0</v>
          </cell>
          <cell r="D202">
            <v>1440.7285040253385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14060.593917840954</v>
          </cell>
        </row>
        <row r="203">
          <cell r="A203">
            <v>186</v>
          </cell>
          <cell r="B203">
            <v>44621</v>
          </cell>
          <cell r="C203">
            <v>0</v>
          </cell>
          <cell r="D203">
            <v>1440.7285040253385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14060.593917840954</v>
          </cell>
        </row>
        <row r="204">
          <cell r="A204">
            <v>187</v>
          </cell>
          <cell r="B204">
            <v>44652</v>
          </cell>
          <cell r="C204">
            <v>0</v>
          </cell>
          <cell r="D204">
            <v>1440.7285040253385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14060.593917840954</v>
          </cell>
        </row>
        <row r="205">
          <cell r="A205">
            <v>188</v>
          </cell>
          <cell r="B205">
            <v>44682</v>
          </cell>
          <cell r="C205">
            <v>0</v>
          </cell>
          <cell r="D205">
            <v>1440.7285040253385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14060.593917840954</v>
          </cell>
        </row>
        <row r="206">
          <cell r="A206">
            <v>189</v>
          </cell>
          <cell r="B206">
            <v>44713</v>
          </cell>
          <cell r="C206">
            <v>0</v>
          </cell>
          <cell r="D206">
            <v>1440.7285040253385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14060.593917840954</v>
          </cell>
        </row>
        <row r="207">
          <cell r="A207">
            <v>190</v>
          </cell>
          <cell r="B207">
            <v>44743</v>
          </cell>
          <cell r="C207">
            <v>0</v>
          </cell>
          <cell r="D207">
            <v>1440.7285040253385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14060.593917840954</v>
          </cell>
        </row>
        <row r="208">
          <cell r="A208">
            <v>191</v>
          </cell>
          <cell r="B208">
            <v>44774</v>
          </cell>
          <cell r="C208">
            <v>0</v>
          </cell>
          <cell r="D208">
            <v>1440.7285040253385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14060.593917840954</v>
          </cell>
        </row>
        <row r="209">
          <cell r="A209">
            <v>192</v>
          </cell>
          <cell r="B209">
            <v>44805</v>
          </cell>
          <cell r="C209">
            <v>0</v>
          </cell>
          <cell r="D209">
            <v>1440.7285040253385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14060.593917840954</v>
          </cell>
        </row>
        <row r="210">
          <cell r="A210">
            <v>193</v>
          </cell>
          <cell r="B210">
            <v>44835</v>
          </cell>
          <cell r="C210">
            <v>0</v>
          </cell>
          <cell r="D210">
            <v>1440.7285040253385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14060.593917840954</v>
          </cell>
        </row>
        <row r="211">
          <cell r="A211">
            <v>194</v>
          </cell>
          <cell r="B211">
            <v>44866</v>
          </cell>
          <cell r="C211">
            <v>0</v>
          </cell>
          <cell r="D211">
            <v>1440.7285040253385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14060.593917840954</v>
          </cell>
        </row>
        <row r="212">
          <cell r="A212">
            <v>195</v>
          </cell>
          <cell r="B212">
            <v>44896</v>
          </cell>
          <cell r="C212">
            <v>0</v>
          </cell>
          <cell r="D212">
            <v>1440.7285040253385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14060.593917840954</v>
          </cell>
        </row>
        <row r="213">
          <cell r="A213">
            <v>196</v>
          </cell>
          <cell r="B213">
            <v>44927</v>
          </cell>
          <cell r="C213">
            <v>0</v>
          </cell>
          <cell r="D213">
            <v>1440.7285040253385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14060.593917840954</v>
          </cell>
        </row>
        <row r="214">
          <cell r="A214">
            <v>197</v>
          </cell>
          <cell r="B214">
            <v>44958</v>
          </cell>
          <cell r="C214">
            <v>0</v>
          </cell>
          <cell r="D214">
            <v>1440.7285040253385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14060.593917840954</v>
          </cell>
        </row>
        <row r="215">
          <cell r="A215">
            <v>198</v>
          </cell>
          <cell r="B215">
            <v>44986</v>
          </cell>
          <cell r="C215">
            <v>0</v>
          </cell>
          <cell r="D215">
            <v>1440.7285040253385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14060.593917840954</v>
          </cell>
        </row>
        <row r="216">
          <cell r="A216">
            <v>199</v>
          </cell>
          <cell r="B216">
            <v>45017</v>
          </cell>
          <cell r="C216">
            <v>0</v>
          </cell>
          <cell r="D216">
            <v>1440.7285040253385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14060.593917840954</v>
          </cell>
        </row>
        <row r="217">
          <cell r="A217">
            <v>200</v>
          </cell>
          <cell r="B217">
            <v>45047</v>
          </cell>
          <cell r="C217">
            <v>0</v>
          </cell>
          <cell r="D217">
            <v>1440.7285040253385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14060.593917840954</v>
          </cell>
        </row>
        <row r="218">
          <cell r="A218">
            <v>201</v>
          </cell>
          <cell r="B218">
            <v>45078</v>
          </cell>
          <cell r="C218">
            <v>0</v>
          </cell>
          <cell r="D218">
            <v>1440.7285040253385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14060.593917840954</v>
          </cell>
        </row>
        <row r="219">
          <cell r="A219">
            <v>202</v>
          </cell>
          <cell r="B219">
            <v>45108</v>
          </cell>
          <cell r="C219">
            <v>0</v>
          </cell>
          <cell r="D219">
            <v>1440.7285040253385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14060.593917840954</v>
          </cell>
        </row>
        <row r="220">
          <cell r="A220">
            <v>203</v>
          </cell>
          <cell r="B220">
            <v>45139</v>
          </cell>
          <cell r="C220">
            <v>0</v>
          </cell>
          <cell r="D220">
            <v>1440.7285040253385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14060.593917840954</v>
          </cell>
        </row>
        <row r="221">
          <cell r="A221">
            <v>204</v>
          </cell>
          <cell r="B221">
            <v>45170</v>
          </cell>
          <cell r="C221">
            <v>0</v>
          </cell>
          <cell r="D221">
            <v>1440.7285040253385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14060.593917840954</v>
          </cell>
        </row>
        <row r="222">
          <cell r="A222">
            <v>205</v>
          </cell>
          <cell r="B222">
            <v>45200</v>
          </cell>
          <cell r="C222">
            <v>0</v>
          </cell>
          <cell r="D222">
            <v>1440.7285040253385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14060.593917840954</v>
          </cell>
        </row>
        <row r="223">
          <cell r="A223">
            <v>206</v>
          </cell>
          <cell r="B223">
            <v>45231</v>
          </cell>
          <cell r="C223">
            <v>0</v>
          </cell>
          <cell r="D223">
            <v>1440.7285040253385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14060.593917840954</v>
          </cell>
        </row>
        <row r="224">
          <cell r="A224">
            <v>207</v>
          </cell>
          <cell r="B224">
            <v>45261</v>
          </cell>
          <cell r="C224">
            <v>0</v>
          </cell>
          <cell r="D224">
            <v>1440.7285040253385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14060.593917840954</v>
          </cell>
        </row>
        <row r="225">
          <cell r="A225">
            <v>208</v>
          </cell>
          <cell r="B225">
            <v>45292</v>
          </cell>
          <cell r="C225">
            <v>0</v>
          </cell>
          <cell r="D225">
            <v>1440.7285040253385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14060.593917840954</v>
          </cell>
        </row>
        <row r="226">
          <cell r="A226">
            <v>209</v>
          </cell>
          <cell r="B226">
            <v>45323</v>
          </cell>
          <cell r="C226">
            <v>0</v>
          </cell>
          <cell r="D226">
            <v>1440.7285040253385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14060.593917840954</v>
          </cell>
        </row>
        <row r="227">
          <cell r="A227">
            <v>210</v>
          </cell>
          <cell r="B227">
            <v>45352</v>
          </cell>
          <cell r="C227">
            <v>0</v>
          </cell>
          <cell r="D227">
            <v>1440.7285040253385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14060.593917840954</v>
          </cell>
        </row>
        <row r="228">
          <cell r="A228">
            <v>211</v>
          </cell>
          <cell r="B228">
            <v>45383</v>
          </cell>
          <cell r="C228">
            <v>0</v>
          </cell>
          <cell r="D228">
            <v>1440.7285040253385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14060.593917840954</v>
          </cell>
        </row>
        <row r="229">
          <cell r="A229">
            <v>212</v>
          </cell>
          <cell r="B229">
            <v>45413</v>
          </cell>
          <cell r="C229">
            <v>0</v>
          </cell>
          <cell r="D229">
            <v>1440.7285040253385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14060.593917840954</v>
          </cell>
        </row>
        <row r="230">
          <cell r="A230">
            <v>213</v>
          </cell>
          <cell r="B230">
            <v>45444</v>
          </cell>
          <cell r="C230">
            <v>0</v>
          </cell>
          <cell r="D230">
            <v>1440.7285040253385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14060.593917840954</v>
          </cell>
        </row>
        <row r="231">
          <cell r="A231">
            <v>214</v>
          </cell>
          <cell r="B231">
            <v>45474</v>
          </cell>
          <cell r="C231">
            <v>0</v>
          </cell>
          <cell r="D231">
            <v>1440.7285040253385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14060.593917840954</v>
          </cell>
        </row>
        <row r="232">
          <cell r="A232">
            <v>215</v>
          </cell>
          <cell r="B232">
            <v>45505</v>
          </cell>
          <cell r="C232">
            <v>0</v>
          </cell>
          <cell r="D232">
            <v>1440.7285040253385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14060.593917840954</v>
          </cell>
        </row>
        <row r="233">
          <cell r="A233">
            <v>216</v>
          </cell>
          <cell r="B233">
            <v>45536</v>
          </cell>
          <cell r="C233">
            <v>0</v>
          </cell>
          <cell r="D233">
            <v>1440.7285040253385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14060.593917840954</v>
          </cell>
        </row>
        <row r="234">
          <cell r="A234">
            <v>217</v>
          </cell>
          <cell r="B234">
            <v>45566</v>
          </cell>
          <cell r="C234">
            <v>0</v>
          </cell>
          <cell r="D234">
            <v>1440.7285040253385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14060.593917840954</v>
          </cell>
        </row>
        <row r="235">
          <cell r="A235">
            <v>218</v>
          </cell>
          <cell r="B235">
            <v>45597</v>
          </cell>
          <cell r="C235">
            <v>0</v>
          </cell>
          <cell r="D235">
            <v>1440.7285040253385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14060.593917840954</v>
          </cell>
        </row>
        <row r="236">
          <cell r="A236">
            <v>219</v>
          </cell>
          <cell r="B236">
            <v>45627</v>
          </cell>
          <cell r="C236">
            <v>0</v>
          </cell>
          <cell r="D236">
            <v>1440.7285040253385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14060.593917840954</v>
          </cell>
        </row>
        <row r="237">
          <cell r="A237">
            <v>220</v>
          </cell>
          <cell r="B237">
            <v>45658</v>
          </cell>
          <cell r="C237">
            <v>0</v>
          </cell>
          <cell r="D237">
            <v>1440.7285040253385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14060.593917840954</v>
          </cell>
        </row>
        <row r="238">
          <cell r="A238">
            <v>221</v>
          </cell>
          <cell r="B238">
            <v>45689</v>
          </cell>
          <cell r="C238">
            <v>0</v>
          </cell>
          <cell r="D238">
            <v>1440.7285040253385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14060.593917840954</v>
          </cell>
        </row>
        <row r="239">
          <cell r="A239">
            <v>222</v>
          </cell>
          <cell r="B239">
            <v>45717</v>
          </cell>
          <cell r="C239">
            <v>0</v>
          </cell>
          <cell r="D239">
            <v>1440.7285040253385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14060.593917840954</v>
          </cell>
        </row>
        <row r="240">
          <cell r="A240">
            <v>223</v>
          </cell>
          <cell r="B240">
            <v>45748</v>
          </cell>
          <cell r="C240">
            <v>0</v>
          </cell>
          <cell r="D240">
            <v>1440.7285040253385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14060.593917840954</v>
          </cell>
        </row>
        <row r="241">
          <cell r="A241">
            <v>224</v>
          </cell>
          <cell r="B241">
            <v>45778</v>
          </cell>
          <cell r="C241">
            <v>0</v>
          </cell>
          <cell r="D241">
            <v>1440.7285040253385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14060.593917840954</v>
          </cell>
        </row>
        <row r="242">
          <cell r="A242">
            <v>225</v>
          </cell>
          <cell r="B242">
            <v>45809</v>
          </cell>
          <cell r="C242">
            <v>0</v>
          </cell>
          <cell r="D242">
            <v>1440.7285040253385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14060.593917840954</v>
          </cell>
        </row>
        <row r="243">
          <cell r="A243">
            <v>226</v>
          </cell>
          <cell r="B243">
            <v>45839</v>
          </cell>
          <cell r="C243">
            <v>0</v>
          </cell>
          <cell r="D243">
            <v>1440.7285040253385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14060.593917840954</v>
          </cell>
        </row>
        <row r="244">
          <cell r="A244">
            <v>227</v>
          </cell>
          <cell r="B244">
            <v>45870</v>
          </cell>
          <cell r="C244">
            <v>0</v>
          </cell>
          <cell r="D244">
            <v>1440.7285040253385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14060.593917840954</v>
          </cell>
        </row>
        <row r="245">
          <cell r="A245">
            <v>228</v>
          </cell>
          <cell r="B245">
            <v>45901</v>
          </cell>
          <cell r="C245">
            <v>0</v>
          </cell>
          <cell r="D245">
            <v>1440.7285040253385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14060.593917840954</v>
          </cell>
        </row>
        <row r="246">
          <cell r="A246">
            <v>229</v>
          </cell>
          <cell r="B246">
            <v>45931</v>
          </cell>
          <cell r="C246">
            <v>0</v>
          </cell>
          <cell r="D246">
            <v>1440.7285040253385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14060.593917840954</v>
          </cell>
        </row>
        <row r="247">
          <cell r="A247">
            <v>230</v>
          </cell>
          <cell r="B247">
            <v>45962</v>
          </cell>
          <cell r="C247">
            <v>0</v>
          </cell>
          <cell r="D247">
            <v>1440.7285040253385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14060.593917840954</v>
          </cell>
        </row>
        <row r="248">
          <cell r="A248">
            <v>231</v>
          </cell>
          <cell r="B248">
            <v>45992</v>
          </cell>
          <cell r="C248">
            <v>0</v>
          </cell>
          <cell r="D248">
            <v>1440.7285040253385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14060.593917840954</v>
          </cell>
        </row>
        <row r="249">
          <cell r="A249">
            <v>232</v>
          </cell>
          <cell r="B249">
            <v>46023</v>
          </cell>
          <cell r="C249">
            <v>0</v>
          </cell>
          <cell r="D249">
            <v>1440.7285040253385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14060.593917840954</v>
          </cell>
        </row>
        <row r="250">
          <cell r="A250">
            <v>233</v>
          </cell>
          <cell r="B250">
            <v>46054</v>
          </cell>
          <cell r="C250">
            <v>0</v>
          </cell>
          <cell r="D250">
            <v>1440.7285040253385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14060.593917840954</v>
          </cell>
        </row>
        <row r="251">
          <cell r="A251">
            <v>234</v>
          </cell>
          <cell r="B251">
            <v>46082</v>
          </cell>
          <cell r="C251">
            <v>0</v>
          </cell>
          <cell r="D251">
            <v>1440.7285040253385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14060.593917840954</v>
          </cell>
        </row>
        <row r="252">
          <cell r="A252">
            <v>235</v>
          </cell>
          <cell r="B252">
            <v>46113</v>
          </cell>
          <cell r="C252">
            <v>0</v>
          </cell>
          <cell r="D252">
            <v>1440.7285040253385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14060.593917840954</v>
          </cell>
        </row>
        <row r="253">
          <cell r="A253">
            <v>236</v>
          </cell>
          <cell r="B253">
            <v>46143</v>
          </cell>
          <cell r="C253">
            <v>0</v>
          </cell>
          <cell r="D253">
            <v>1440.7285040253385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14060.593917840954</v>
          </cell>
        </row>
        <row r="254">
          <cell r="A254">
            <v>237</v>
          </cell>
          <cell r="B254">
            <v>46174</v>
          </cell>
          <cell r="C254">
            <v>0</v>
          </cell>
          <cell r="D254">
            <v>1440.7285040253385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14060.593917840954</v>
          </cell>
        </row>
        <row r="255">
          <cell r="A255">
            <v>238</v>
          </cell>
          <cell r="B255">
            <v>46204</v>
          </cell>
          <cell r="C255">
            <v>0</v>
          </cell>
          <cell r="D255">
            <v>1440.7285040253385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14060.593917840954</v>
          </cell>
        </row>
        <row r="256">
          <cell r="A256">
            <v>239</v>
          </cell>
          <cell r="B256">
            <v>46235</v>
          </cell>
          <cell r="C256">
            <v>0</v>
          </cell>
          <cell r="D256">
            <v>1440.7285040253385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14060.593917840954</v>
          </cell>
        </row>
        <row r="257">
          <cell r="A257">
            <v>240</v>
          </cell>
          <cell r="B257">
            <v>46266</v>
          </cell>
          <cell r="C257">
            <v>0</v>
          </cell>
          <cell r="D257">
            <v>1440.7285040253385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14060.593917840954</v>
          </cell>
        </row>
        <row r="258">
          <cell r="A258">
            <v>241</v>
          </cell>
          <cell r="B258">
            <v>46296</v>
          </cell>
          <cell r="C258">
            <v>0</v>
          </cell>
          <cell r="D258">
            <v>1440.7285040253385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14060.593917840954</v>
          </cell>
        </row>
        <row r="259">
          <cell r="A259">
            <v>242</v>
          </cell>
          <cell r="B259">
            <v>46327</v>
          </cell>
          <cell r="C259">
            <v>0</v>
          </cell>
          <cell r="D259">
            <v>1440.7285040253385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14060.593917840954</v>
          </cell>
        </row>
        <row r="260">
          <cell r="A260">
            <v>243</v>
          </cell>
          <cell r="B260">
            <v>46357</v>
          </cell>
          <cell r="C260">
            <v>0</v>
          </cell>
          <cell r="D260">
            <v>1440.7285040253385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14060.593917840954</v>
          </cell>
        </row>
        <row r="261">
          <cell r="A261">
            <v>244</v>
          </cell>
          <cell r="B261">
            <v>46388</v>
          </cell>
          <cell r="C261">
            <v>0</v>
          </cell>
          <cell r="D261">
            <v>1440.7285040253385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14060.593917840954</v>
          </cell>
        </row>
        <row r="262">
          <cell r="A262">
            <v>245</v>
          </cell>
          <cell r="B262">
            <v>46419</v>
          </cell>
          <cell r="C262">
            <v>0</v>
          </cell>
          <cell r="D262">
            <v>1440.7285040253385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14060.593917840954</v>
          </cell>
        </row>
        <row r="263">
          <cell r="A263">
            <v>246</v>
          </cell>
          <cell r="B263">
            <v>46447</v>
          </cell>
          <cell r="C263">
            <v>0</v>
          </cell>
          <cell r="D263">
            <v>1440.7285040253385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14060.593917840954</v>
          </cell>
        </row>
        <row r="264">
          <cell r="A264">
            <v>247</v>
          </cell>
          <cell r="B264">
            <v>46478</v>
          </cell>
          <cell r="C264">
            <v>0</v>
          </cell>
          <cell r="D264">
            <v>1440.7285040253385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14060.593917840954</v>
          </cell>
        </row>
        <row r="265">
          <cell r="A265">
            <v>248</v>
          </cell>
          <cell r="B265">
            <v>46508</v>
          </cell>
          <cell r="C265">
            <v>0</v>
          </cell>
          <cell r="D265">
            <v>1440.7285040253385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14060.593917840954</v>
          </cell>
        </row>
        <row r="266">
          <cell r="A266">
            <v>249</v>
          </cell>
          <cell r="B266">
            <v>46539</v>
          </cell>
          <cell r="C266">
            <v>0</v>
          </cell>
          <cell r="D266">
            <v>1440.7285040253385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14060.593917840954</v>
          </cell>
        </row>
        <row r="267">
          <cell r="A267">
            <v>250</v>
          </cell>
          <cell r="B267">
            <v>46569</v>
          </cell>
          <cell r="C267">
            <v>0</v>
          </cell>
          <cell r="D267">
            <v>1440.7285040253385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14060.593917840954</v>
          </cell>
        </row>
        <row r="268">
          <cell r="A268">
            <v>251</v>
          </cell>
          <cell r="B268">
            <v>46600</v>
          </cell>
          <cell r="C268">
            <v>0</v>
          </cell>
          <cell r="D268">
            <v>1440.7285040253385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14060.593917840954</v>
          </cell>
        </row>
        <row r="269">
          <cell r="A269">
            <v>252</v>
          </cell>
          <cell r="B269">
            <v>46631</v>
          </cell>
          <cell r="C269">
            <v>0</v>
          </cell>
          <cell r="D269">
            <v>1440.7285040253385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14060.593917840954</v>
          </cell>
        </row>
        <row r="270">
          <cell r="A270">
            <v>253</v>
          </cell>
          <cell r="B270">
            <v>46661</v>
          </cell>
          <cell r="C270">
            <v>0</v>
          </cell>
          <cell r="D270">
            <v>1440.7285040253385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14060.593917840954</v>
          </cell>
        </row>
        <row r="271">
          <cell r="A271">
            <v>254</v>
          </cell>
          <cell r="B271">
            <v>46692</v>
          </cell>
          <cell r="C271">
            <v>0</v>
          </cell>
          <cell r="D271">
            <v>1440.7285040253385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14060.593917840954</v>
          </cell>
        </row>
        <row r="272">
          <cell r="A272">
            <v>255</v>
          </cell>
          <cell r="B272">
            <v>46722</v>
          </cell>
          <cell r="C272">
            <v>0</v>
          </cell>
          <cell r="D272">
            <v>1440.7285040253385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14060.593917840954</v>
          </cell>
        </row>
        <row r="273">
          <cell r="A273">
            <v>256</v>
          </cell>
          <cell r="B273">
            <v>46753</v>
          </cell>
          <cell r="C273">
            <v>0</v>
          </cell>
          <cell r="D273">
            <v>1440.7285040253385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14060.593917840954</v>
          </cell>
        </row>
        <row r="274">
          <cell r="A274">
            <v>257</v>
          </cell>
          <cell r="B274">
            <v>46784</v>
          </cell>
          <cell r="C274">
            <v>0</v>
          </cell>
          <cell r="D274">
            <v>1440.7285040253385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14060.593917840954</v>
          </cell>
        </row>
        <row r="275">
          <cell r="A275">
            <v>258</v>
          </cell>
          <cell r="B275">
            <v>46813</v>
          </cell>
          <cell r="C275">
            <v>0</v>
          </cell>
          <cell r="D275">
            <v>1440.7285040253385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14060.593917840954</v>
          </cell>
        </row>
        <row r="276">
          <cell r="A276">
            <v>259</v>
          </cell>
          <cell r="B276">
            <v>46844</v>
          </cell>
          <cell r="C276">
            <v>0</v>
          </cell>
          <cell r="D276">
            <v>1440.7285040253385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14060.593917840954</v>
          </cell>
        </row>
        <row r="277">
          <cell r="A277">
            <v>260</v>
          </cell>
          <cell r="B277">
            <v>46874</v>
          </cell>
          <cell r="C277">
            <v>0</v>
          </cell>
          <cell r="D277">
            <v>1440.7285040253385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14060.593917840954</v>
          </cell>
        </row>
        <row r="278">
          <cell r="A278">
            <v>261</v>
          </cell>
          <cell r="B278">
            <v>46905</v>
          </cell>
          <cell r="C278">
            <v>0</v>
          </cell>
          <cell r="D278">
            <v>1440.7285040253385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14060.593917840954</v>
          </cell>
        </row>
        <row r="279">
          <cell r="A279">
            <v>262</v>
          </cell>
          <cell r="B279">
            <v>46935</v>
          </cell>
          <cell r="C279">
            <v>0</v>
          </cell>
          <cell r="D279">
            <v>1440.7285040253385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14060.593917840954</v>
          </cell>
        </row>
        <row r="280">
          <cell r="A280">
            <v>263</v>
          </cell>
          <cell r="B280">
            <v>46966</v>
          </cell>
          <cell r="C280">
            <v>0</v>
          </cell>
          <cell r="D280">
            <v>1440.7285040253385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14060.593917840954</v>
          </cell>
        </row>
        <row r="281">
          <cell r="A281">
            <v>264</v>
          </cell>
          <cell r="B281">
            <v>46997</v>
          </cell>
          <cell r="C281">
            <v>0</v>
          </cell>
          <cell r="D281">
            <v>1440.7285040253385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14060.593917840954</v>
          </cell>
        </row>
        <row r="282">
          <cell r="A282">
            <v>265</v>
          </cell>
          <cell r="B282">
            <v>47027</v>
          </cell>
          <cell r="C282">
            <v>0</v>
          </cell>
          <cell r="D282">
            <v>1440.7285040253385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14060.593917840954</v>
          </cell>
        </row>
        <row r="283">
          <cell r="A283">
            <v>266</v>
          </cell>
          <cell r="B283">
            <v>47058</v>
          </cell>
          <cell r="C283">
            <v>0</v>
          </cell>
          <cell r="D283">
            <v>1440.7285040253385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14060.593917840954</v>
          </cell>
        </row>
        <row r="284">
          <cell r="A284">
            <v>267</v>
          </cell>
          <cell r="B284">
            <v>47088</v>
          </cell>
          <cell r="C284">
            <v>0</v>
          </cell>
          <cell r="D284">
            <v>1440.7285040253385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14060.593917840954</v>
          </cell>
        </row>
        <row r="285">
          <cell r="A285">
            <v>268</v>
          </cell>
          <cell r="B285">
            <v>47119</v>
          </cell>
          <cell r="C285">
            <v>0</v>
          </cell>
          <cell r="D285">
            <v>1440.7285040253385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14060.593917840954</v>
          </cell>
        </row>
        <row r="286">
          <cell r="A286">
            <v>269</v>
          </cell>
          <cell r="B286">
            <v>47150</v>
          </cell>
          <cell r="C286">
            <v>0</v>
          </cell>
          <cell r="D286">
            <v>1440.7285040253385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14060.593917840954</v>
          </cell>
        </row>
        <row r="287">
          <cell r="A287">
            <v>270</v>
          </cell>
          <cell r="B287">
            <v>47178</v>
          </cell>
          <cell r="C287">
            <v>0</v>
          </cell>
          <cell r="D287">
            <v>1440.7285040253385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14060.593917840954</v>
          </cell>
        </row>
        <row r="288">
          <cell r="A288">
            <v>271</v>
          </cell>
          <cell r="B288">
            <v>47209</v>
          </cell>
          <cell r="C288">
            <v>0</v>
          </cell>
          <cell r="D288">
            <v>1440.7285040253385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14060.593917840954</v>
          </cell>
        </row>
        <row r="289">
          <cell r="A289">
            <v>272</v>
          </cell>
          <cell r="B289">
            <v>47239</v>
          </cell>
          <cell r="C289">
            <v>0</v>
          </cell>
          <cell r="D289">
            <v>1440.7285040253385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14060.593917840954</v>
          </cell>
        </row>
        <row r="290">
          <cell r="A290">
            <v>273</v>
          </cell>
          <cell r="B290">
            <v>47270</v>
          </cell>
          <cell r="C290">
            <v>0</v>
          </cell>
          <cell r="D290">
            <v>1440.7285040253385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14060.593917840954</v>
          </cell>
        </row>
        <row r="291">
          <cell r="A291">
            <v>274</v>
          </cell>
          <cell r="B291">
            <v>47300</v>
          </cell>
          <cell r="C291">
            <v>0</v>
          </cell>
          <cell r="D291">
            <v>1440.7285040253385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14060.593917840954</v>
          </cell>
        </row>
        <row r="292">
          <cell r="A292">
            <v>275</v>
          </cell>
          <cell r="B292">
            <v>47331</v>
          </cell>
          <cell r="C292">
            <v>0</v>
          </cell>
          <cell r="D292">
            <v>1440.7285040253385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14060.593917840954</v>
          </cell>
        </row>
        <row r="293">
          <cell r="A293">
            <v>276</v>
          </cell>
          <cell r="B293">
            <v>47362</v>
          </cell>
          <cell r="C293">
            <v>0</v>
          </cell>
          <cell r="D293">
            <v>1440.7285040253385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14060.593917840954</v>
          </cell>
        </row>
        <row r="294">
          <cell r="A294">
            <v>277</v>
          </cell>
          <cell r="B294">
            <v>47392</v>
          </cell>
          <cell r="C294">
            <v>0</v>
          </cell>
          <cell r="D294">
            <v>1440.7285040253385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14060.593917840954</v>
          </cell>
        </row>
        <row r="295">
          <cell r="A295">
            <v>278</v>
          </cell>
          <cell r="B295">
            <v>47423</v>
          </cell>
          <cell r="C295">
            <v>0</v>
          </cell>
          <cell r="D295">
            <v>1440.7285040253385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14060.593917840954</v>
          </cell>
        </row>
        <row r="296">
          <cell r="A296">
            <v>279</v>
          </cell>
          <cell r="B296">
            <v>47453</v>
          </cell>
          <cell r="C296">
            <v>0</v>
          </cell>
          <cell r="D296">
            <v>1440.7285040253385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14060.593917840954</v>
          </cell>
        </row>
        <row r="297">
          <cell r="A297">
            <v>280</v>
          </cell>
          <cell r="B297">
            <v>47484</v>
          </cell>
          <cell r="C297">
            <v>0</v>
          </cell>
          <cell r="D297">
            <v>1440.7285040253385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14060.593917840954</v>
          </cell>
        </row>
        <row r="298">
          <cell r="A298">
            <v>281</v>
          </cell>
          <cell r="B298">
            <v>47515</v>
          </cell>
          <cell r="C298">
            <v>0</v>
          </cell>
          <cell r="D298">
            <v>1440.7285040253385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14060.593917840954</v>
          </cell>
        </row>
        <row r="299">
          <cell r="A299">
            <v>282</v>
          </cell>
          <cell r="B299">
            <v>47543</v>
          </cell>
          <cell r="C299">
            <v>0</v>
          </cell>
          <cell r="D299">
            <v>1440.7285040253385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14060.593917840954</v>
          </cell>
        </row>
        <row r="300">
          <cell r="A300">
            <v>283</v>
          </cell>
          <cell r="B300">
            <v>47574</v>
          </cell>
          <cell r="C300">
            <v>0</v>
          </cell>
          <cell r="D300">
            <v>1440.7285040253385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14060.593917840954</v>
          </cell>
        </row>
        <row r="301">
          <cell r="A301">
            <v>284</v>
          </cell>
          <cell r="B301">
            <v>47604</v>
          </cell>
          <cell r="C301">
            <v>0</v>
          </cell>
          <cell r="D301">
            <v>1440.7285040253385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14060.593917840954</v>
          </cell>
        </row>
        <row r="302">
          <cell r="A302">
            <v>285</v>
          </cell>
          <cell r="B302">
            <v>47635</v>
          </cell>
          <cell r="C302">
            <v>0</v>
          </cell>
          <cell r="D302">
            <v>1440.7285040253385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14060.593917840954</v>
          </cell>
        </row>
        <row r="303">
          <cell r="A303">
            <v>286</v>
          </cell>
          <cell r="B303">
            <v>47665</v>
          </cell>
          <cell r="C303">
            <v>0</v>
          </cell>
          <cell r="D303">
            <v>1440.7285040253385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14060.593917840954</v>
          </cell>
        </row>
        <row r="304">
          <cell r="A304">
            <v>287</v>
          </cell>
          <cell r="B304">
            <v>47696</v>
          </cell>
          <cell r="C304">
            <v>0</v>
          </cell>
          <cell r="D304">
            <v>1440.7285040253385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14060.593917840954</v>
          </cell>
        </row>
        <row r="305">
          <cell r="A305">
            <v>288</v>
          </cell>
          <cell r="B305">
            <v>47727</v>
          </cell>
          <cell r="C305">
            <v>0</v>
          </cell>
          <cell r="D305">
            <v>1440.7285040253385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14060.593917840954</v>
          </cell>
        </row>
        <row r="306">
          <cell r="A306">
            <v>289</v>
          </cell>
          <cell r="B306">
            <v>47757</v>
          </cell>
          <cell r="C306">
            <v>0</v>
          </cell>
          <cell r="D306">
            <v>1440.7285040253385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14060.593917840954</v>
          </cell>
        </row>
        <row r="307">
          <cell r="A307">
            <v>290</v>
          </cell>
          <cell r="B307">
            <v>47788</v>
          </cell>
          <cell r="C307">
            <v>0</v>
          </cell>
          <cell r="D307">
            <v>1440.7285040253385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14060.593917840954</v>
          </cell>
        </row>
        <row r="308">
          <cell r="A308">
            <v>291</v>
          </cell>
          <cell r="B308">
            <v>47818</v>
          </cell>
          <cell r="C308">
            <v>0</v>
          </cell>
          <cell r="D308">
            <v>1440.7285040253385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14060.593917840954</v>
          </cell>
        </row>
        <row r="309">
          <cell r="A309">
            <v>292</v>
          </cell>
          <cell r="B309">
            <v>47849</v>
          </cell>
          <cell r="C309">
            <v>0</v>
          </cell>
          <cell r="D309">
            <v>1440.7285040253385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14060.593917840954</v>
          </cell>
        </row>
        <row r="310">
          <cell r="A310">
            <v>293</v>
          </cell>
          <cell r="B310">
            <v>47880</v>
          </cell>
          <cell r="C310">
            <v>0</v>
          </cell>
          <cell r="D310">
            <v>1440.7285040253385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14060.593917840954</v>
          </cell>
        </row>
        <row r="311">
          <cell r="A311">
            <v>294</v>
          </cell>
          <cell r="B311">
            <v>47908</v>
          </cell>
          <cell r="C311">
            <v>0</v>
          </cell>
          <cell r="D311">
            <v>1440.7285040253385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14060.593917840954</v>
          </cell>
        </row>
        <row r="312">
          <cell r="A312">
            <v>295</v>
          </cell>
          <cell r="B312">
            <v>47939</v>
          </cell>
          <cell r="C312">
            <v>0</v>
          </cell>
          <cell r="D312">
            <v>1440.7285040253385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14060.593917840954</v>
          </cell>
        </row>
        <row r="313">
          <cell r="A313">
            <v>296</v>
          </cell>
          <cell r="B313">
            <v>47969</v>
          </cell>
          <cell r="C313">
            <v>0</v>
          </cell>
          <cell r="D313">
            <v>1440.7285040253385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14060.593917840954</v>
          </cell>
        </row>
        <row r="314">
          <cell r="A314">
            <v>297</v>
          </cell>
          <cell r="B314">
            <v>48000</v>
          </cell>
          <cell r="C314">
            <v>0</v>
          </cell>
          <cell r="D314">
            <v>1440.7285040253385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14060.593917840954</v>
          </cell>
        </row>
        <row r="315">
          <cell r="A315">
            <v>298</v>
          </cell>
          <cell r="B315">
            <v>48030</v>
          </cell>
          <cell r="C315">
            <v>0</v>
          </cell>
          <cell r="D315">
            <v>1440.7285040253385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14060.593917840954</v>
          </cell>
        </row>
        <row r="316">
          <cell r="A316">
            <v>299</v>
          </cell>
          <cell r="B316">
            <v>48061</v>
          </cell>
          <cell r="C316">
            <v>0</v>
          </cell>
          <cell r="D316">
            <v>1440.7285040253385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14060.593917840954</v>
          </cell>
        </row>
        <row r="317">
          <cell r="A317">
            <v>300</v>
          </cell>
          <cell r="B317">
            <v>48092</v>
          </cell>
          <cell r="C317">
            <v>0</v>
          </cell>
          <cell r="D317">
            <v>1440.7285040253385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14060.593917840954</v>
          </cell>
        </row>
        <row r="318">
          <cell r="A318">
            <v>301</v>
          </cell>
          <cell r="B318">
            <v>48122</v>
          </cell>
          <cell r="C318">
            <v>0</v>
          </cell>
          <cell r="D318">
            <v>1440.7285040253385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14060.593917840954</v>
          </cell>
        </row>
        <row r="319">
          <cell r="A319">
            <v>302</v>
          </cell>
          <cell r="B319">
            <v>48153</v>
          </cell>
          <cell r="C319">
            <v>0</v>
          </cell>
          <cell r="D319">
            <v>1440.7285040253385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14060.593917840954</v>
          </cell>
        </row>
        <row r="320">
          <cell r="A320">
            <v>303</v>
          </cell>
          <cell r="B320">
            <v>48183</v>
          </cell>
          <cell r="C320">
            <v>0</v>
          </cell>
          <cell r="D320">
            <v>1440.7285040253385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14060.593917840954</v>
          </cell>
        </row>
        <row r="321">
          <cell r="A321">
            <v>304</v>
          </cell>
          <cell r="B321">
            <v>48214</v>
          </cell>
          <cell r="C321">
            <v>0</v>
          </cell>
          <cell r="D321">
            <v>1440.7285040253385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14060.593917840954</v>
          </cell>
        </row>
        <row r="322">
          <cell r="A322">
            <v>305</v>
          </cell>
          <cell r="B322">
            <v>48245</v>
          </cell>
          <cell r="C322">
            <v>0</v>
          </cell>
          <cell r="D322">
            <v>1440.7285040253385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14060.593917840954</v>
          </cell>
        </row>
        <row r="323">
          <cell r="A323">
            <v>306</v>
          </cell>
          <cell r="B323">
            <v>48274</v>
          </cell>
          <cell r="C323">
            <v>0</v>
          </cell>
          <cell r="D323">
            <v>1440.7285040253385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14060.593917840954</v>
          </cell>
        </row>
        <row r="324">
          <cell r="A324">
            <v>307</v>
          </cell>
          <cell r="B324">
            <v>48305</v>
          </cell>
          <cell r="C324">
            <v>0</v>
          </cell>
          <cell r="D324">
            <v>1440.7285040253385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14060.593917840954</v>
          </cell>
        </row>
        <row r="325">
          <cell r="A325">
            <v>308</v>
          </cell>
          <cell r="B325">
            <v>48335</v>
          </cell>
          <cell r="C325">
            <v>0</v>
          </cell>
          <cell r="D325">
            <v>1440.7285040253385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14060.593917840954</v>
          </cell>
        </row>
        <row r="326">
          <cell r="A326">
            <v>309</v>
          </cell>
          <cell r="B326">
            <v>48366</v>
          </cell>
          <cell r="C326">
            <v>0</v>
          </cell>
          <cell r="D326">
            <v>1440.7285040253385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14060.593917840954</v>
          </cell>
        </row>
        <row r="327">
          <cell r="A327">
            <v>310</v>
          </cell>
          <cell r="B327">
            <v>48396</v>
          </cell>
          <cell r="C327">
            <v>0</v>
          </cell>
          <cell r="D327">
            <v>1440.7285040253385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14060.593917840954</v>
          </cell>
        </row>
        <row r="328">
          <cell r="A328">
            <v>311</v>
          </cell>
          <cell r="B328">
            <v>48427</v>
          </cell>
          <cell r="C328">
            <v>0</v>
          </cell>
          <cell r="D328">
            <v>1440.7285040253385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14060.593917840954</v>
          </cell>
        </row>
        <row r="329">
          <cell r="A329">
            <v>312</v>
          </cell>
          <cell r="B329">
            <v>48458</v>
          </cell>
          <cell r="C329">
            <v>0</v>
          </cell>
          <cell r="D329">
            <v>1440.7285040253385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14060.593917840954</v>
          </cell>
        </row>
        <row r="330">
          <cell r="A330">
            <v>313</v>
          </cell>
          <cell r="B330">
            <v>48488</v>
          </cell>
          <cell r="C330">
            <v>0</v>
          </cell>
          <cell r="D330">
            <v>1440.7285040253385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14060.593917840954</v>
          </cell>
        </row>
        <row r="331">
          <cell r="A331">
            <v>314</v>
          </cell>
          <cell r="B331">
            <v>48519</v>
          </cell>
          <cell r="C331">
            <v>0</v>
          </cell>
          <cell r="D331">
            <v>1440.7285040253385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14060.593917840954</v>
          </cell>
        </row>
        <row r="332">
          <cell r="A332">
            <v>315</v>
          </cell>
          <cell r="B332">
            <v>48549</v>
          </cell>
          <cell r="C332">
            <v>0</v>
          </cell>
          <cell r="D332">
            <v>1440.7285040253385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14060.593917840954</v>
          </cell>
        </row>
        <row r="333">
          <cell r="A333">
            <v>316</v>
          </cell>
          <cell r="B333">
            <v>48580</v>
          </cell>
          <cell r="C333">
            <v>0</v>
          </cell>
          <cell r="D333">
            <v>1440.7285040253385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14060.593917840954</v>
          </cell>
        </row>
        <row r="334">
          <cell r="A334">
            <v>317</v>
          </cell>
          <cell r="B334">
            <v>48611</v>
          </cell>
          <cell r="C334">
            <v>0</v>
          </cell>
          <cell r="D334">
            <v>1440.7285040253385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14060.593917840954</v>
          </cell>
        </row>
        <row r="335">
          <cell r="A335">
            <v>318</v>
          </cell>
          <cell r="B335">
            <v>48639</v>
          </cell>
          <cell r="C335">
            <v>0</v>
          </cell>
          <cell r="D335">
            <v>1440.7285040253385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14060.593917840954</v>
          </cell>
        </row>
        <row r="336">
          <cell r="A336">
            <v>319</v>
          </cell>
          <cell r="B336">
            <v>48670</v>
          </cell>
          <cell r="C336">
            <v>0</v>
          </cell>
          <cell r="D336">
            <v>1440.7285040253385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14060.593917840954</v>
          </cell>
        </row>
        <row r="337">
          <cell r="A337">
            <v>320</v>
          </cell>
          <cell r="B337">
            <v>48700</v>
          </cell>
          <cell r="C337">
            <v>0</v>
          </cell>
          <cell r="D337">
            <v>1440.7285040253385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14060.593917840954</v>
          </cell>
        </row>
        <row r="338">
          <cell r="A338">
            <v>321</v>
          </cell>
          <cell r="B338">
            <v>48731</v>
          </cell>
          <cell r="C338">
            <v>0</v>
          </cell>
          <cell r="D338">
            <v>1440.7285040253385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14060.593917840954</v>
          </cell>
        </row>
        <row r="339">
          <cell r="A339">
            <v>322</v>
          </cell>
          <cell r="B339">
            <v>48761</v>
          </cell>
          <cell r="C339">
            <v>0</v>
          </cell>
          <cell r="D339">
            <v>1440.7285040253385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14060.593917840954</v>
          </cell>
        </row>
        <row r="340">
          <cell r="A340">
            <v>323</v>
          </cell>
          <cell r="B340">
            <v>48792</v>
          </cell>
          <cell r="C340">
            <v>0</v>
          </cell>
          <cell r="D340">
            <v>1440.7285040253385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14060.593917840954</v>
          </cell>
        </row>
        <row r="341">
          <cell r="A341">
            <v>324</v>
          </cell>
          <cell r="B341">
            <v>48823</v>
          </cell>
          <cell r="C341">
            <v>0</v>
          </cell>
          <cell r="D341">
            <v>1440.7285040253385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14060.593917840954</v>
          </cell>
        </row>
        <row r="342">
          <cell r="A342">
            <v>325</v>
          </cell>
          <cell r="B342">
            <v>48853</v>
          </cell>
          <cell r="C342">
            <v>0</v>
          </cell>
          <cell r="D342">
            <v>1440.7285040253385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14060.593917840954</v>
          </cell>
        </row>
        <row r="343">
          <cell r="A343">
            <v>326</v>
          </cell>
          <cell r="B343">
            <v>48884</v>
          </cell>
          <cell r="C343">
            <v>0</v>
          </cell>
          <cell r="D343">
            <v>1440.7285040253385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14060.593917840954</v>
          </cell>
        </row>
        <row r="344">
          <cell r="A344">
            <v>327</v>
          </cell>
          <cell r="B344">
            <v>48914</v>
          </cell>
          <cell r="C344">
            <v>0</v>
          </cell>
          <cell r="D344">
            <v>1440.7285040253385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14060.593917840954</v>
          </cell>
        </row>
        <row r="345">
          <cell r="A345">
            <v>328</v>
          </cell>
          <cell r="B345">
            <v>48945</v>
          </cell>
          <cell r="C345">
            <v>0</v>
          </cell>
          <cell r="D345">
            <v>1440.7285040253385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14060.593917840954</v>
          </cell>
        </row>
        <row r="346">
          <cell r="A346">
            <v>329</v>
          </cell>
          <cell r="B346">
            <v>48976</v>
          </cell>
          <cell r="C346">
            <v>0</v>
          </cell>
          <cell r="D346">
            <v>1440.7285040253385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14060.593917840954</v>
          </cell>
        </row>
        <row r="347">
          <cell r="A347">
            <v>330</v>
          </cell>
          <cell r="B347">
            <v>49004</v>
          </cell>
          <cell r="C347">
            <v>0</v>
          </cell>
          <cell r="D347">
            <v>1440.7285040253385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14060.593917840954</v>
          </cell>
        </row>
        <row r="348">
          <cell r="A348">
            <v>331</v>
          </cell>
          <cell r="B348">
            <v>49035</v>
          </cell>
          <cell r="C348">
            <v>0</v>
          </cell>
          <cell r="D348">
            <v>1440.7285040253385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14060.593917840954</v>
          </cell>
        </row>
        <row r="349">
          <cell r="A349">
            <v>332</v>
          </cell>
          <cell r="B349">
            <v>49065</v>
          </cell>
          <cell r="C349">
            <v>0</v>
          </cell>
          <cell r="D349">
            <v>1440.7285040253385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14060.593917840954</v>
          </cell>
        </row>
        <row r="350">
          <cell r="A350">
            <v>333</v>
          </cell>
          <cell r="B350">
            <v>49096</v>
          </cell>
          <cell r="C350">
            <v>0</v>
          </cell>
          <cell r="D350">
            <v>1440.7285040253385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14060.593917840954</v>
          </cell>
        </row>
        <row r="351">
          <cell r="A351">
            <v>334</v>
          </cell>
          <cell r="B351">
            <v>49126</v>
          </cell>
          <cell r="C351">
            <v>0</v>
          </cell>
          <cell r="D351">
            <v>1440.7285040253385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14060.593917840954</v>
          </cell>
        </row>
        <row r="352">
          <cell r="A352">
            <v>335</v>
          </cell>
          <cell r="B352">
            <v>49157</v>
          </cell>
          <cell r="C352">
            <v>0</v>
          </cell>
          <cell r="D352">
            <v>1440.7285040253385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14060.593917840954</v>
          </cell>
        </row>
        <row r="353">
          <cell r="A353">
            <v>336</v>
          </cell>
          <cell r="B353">
            <v>49188</v>
          </cell>
          <cell r="C353">
            <v>0</v>
          </cell>
          <cell r="D353">
            <v>1440.7285040253385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14060.593917840954</v>
          </cell>
        </row>
        <row r="354">
          <cell r="A354">
            <v>337</v>
          </cell>
          <cell r="B354">
            <v>49218</v>
          </cell>
          <cell r="C354">
            <v>0</v>
          </cell>
          <cell r="D354">
            <v>1440.7285040253385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14060.593917840954</v>
          </cell>
        </row>
        <row r="355">
          <cell r="A355">
            <v>338</v>
          </cell>
          <cell r="B355">
            <v>49249</v>
          </cell>
          <cell r="C355">
            <v>0</v>
          </cell>
          <cell r="D355">
            <v>1440.7285040253385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14060.593917840954</v>
          </cell>
        </row>
        <row r="356">
          <cell r="A356">
            <v>339</v>
          </cell>
          <cell r="B356">
            <v>49279</v>
          </cell>
          <cell r="C356">
            <v>0</v>
          </cell>
          <cell r="D356">
            <v>1440.7285040253385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14060.593917840954</v>
          </cell>
        </row>
        <row r="357">
          <cell r="A357">
            <v>340</v>
          </cell>
          <cell r="B357">
            <v>49310</v>
          </cell>
          <cell r="C357">
            <v>0</v>
          </cell>
          <cell r="D357">
            <v>1440.7285040253385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14060.593917840954</v>
          </cell>
        </row>
        <row r="358">
          <cell r="A358">
            <v>341</v>
          </cell>
          <cell r="B358">
            <v>49341</v>
          </cell>
          <cell r="C358">
            <v>0</v>
          </cell>
          <cell r="D358">
            <v>1440.7285040253385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14060.593917840954</v>
          </cell>
        </row>
        <row r="359">
          <cell r="A359">
            <v>342</v>
          </cell>
          <cell r="B359">
            <v>49369</v>
          </cell>
          <cell r="C359">
            <v>0</v>
          </cell>
          <cell r="D359">
            <v>1440.7285040253385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14060.593917840954</v>
          </cell>
        </row>
        <row r="360">
          <cell r="A360">
            <v>343</v>
          </cell>
          <cell r="B360">
            <v>49400</v>
          </cell>
          <cell r="C360">
            <v>0</v>
          </cell>
          <cell r="D360">
            <v>1440.7285040253385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14060.593917840954</v>
          </cell>
        </row>
        <row r="361">
          <cell r="A361">
            <v>344</v>
          </cell>
          <cell r="B361">
            <v>49430</v>
          </cell>
          <cell r="C361">
            <v>0</v>
          </cell>
          <cell r="D361">
            <v>1440.7285040253385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14060.593917840954</v>
          </cell>
        </row>
        <row r="362">
          <cell r="A362">
            <v>345</v>
          </cell>
          <cell r="B362">
            <v>49461</v>
          </cell>
          <cell r="C362">
            <v>0</v>
          </cell>
          <cell r="D362">
            <v>1440.7285040253385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14060.593917840954</v>
          </cell>
        </row>
        <row r="363">
          <cell r="A363">
            <v>346</v>
          </cell>
          <cell r="B363">
            <v>49491</v>
          </cell>
          <cell r="C363">
            <v>0</v>
          </cell>
          <cell r="D363">
            <v>1440.7285040253385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14060.593917840954</v>
          </cell>
        </row>
        <row r="364">
          <cell r="A364">
            <v>347</v>
          </cell>
          <cell r="B364">
            <v>49522</v>
          </cell>
          <cell r="C364">
            <v>0</v>
          </cell>
          <cell r="D364">
            <v>1440.7285040253385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14060.593917840954</v>
          </cell>
        </row>
        <row r="365">
          <cell r="A365">
            <v>348</v>
          </cell>
          <cell r="B365">
            <v>49553</v>
          </cell>
          <cell r="C365">
            <v>0</v>
          </cell>
          <cell r="D365">
            <v>1440.7285040253385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14060.593917840954</v>
          </cell>
        </row>
        <row r="366">
          <cell r="A366">
            <v>349</v>
          </cell>
          <cell r="B366">
            <v>49583</v>
          </cell>
          <cell r="C366">
            <v>0</v>
          </cell>
          <cell r="D366">
            <v>1440.7285040253385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14060.593917840954</v>
          </cell>
        </row>
        <row r="367">
          <cell r="A367">
            <v>350</v>
          </cell>
          <cell r="B367">
            <v>49614</v>
          </cell>
          <cell r="C367">
            <v>0</v>
          </cell>
          <cell r="D367">
            <v>1440.7285040253385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14060.593917840954</v>
          </cell>
        </row>
        <row r="368">
          <cell r="A368">
            <v>351</v>
          </cell>
          <cell r="B368">
            <v>49644</v>
          </cell>
          <cell r="C368">
            <v>0</v>
          </cell>
          <cell r="D368">
            <v>1440.7285040253385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14060.593917840954</v>
          </cell>
        </row>
        <row r="369">
          <cell r="A369">
            <v>352</v>
          </cell>
          <cell r="B369">
            <v>49675</v>
          </cell>
          <cell r="C369">
            <v>0</v>
          </cell>
          <cell r="D369">
            <v>1440.7285040253385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14060.593917840954</v>
          </cell>
        </row>
        <row r="370">
          <cell r="A370">
            <v>353</v>
          </cell>
          <cell r="B370">
            <v>49706</v>
          </cell>
          <cell r="C370">
            <v>0</v>
          </cell>
          <cell r="D370">
            <v>1440.7285040253385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14060.593917840954</v>
          </cell>
        </row>
        <row r="371">
          <cell r="A371">
            <v>354</v>
          </cell>
          <cell r="B371">
            <v>49735</v>
          </cell>
          <cell r="C371">
            <v>0</v>
          </cell>
          <cell r="D371">
            <v>1440.7285040253385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14060.593917840954</v>
          </cell>
        </row>
        <row r="372">
          <cell r="A372">
            <v>355</v>
          </cell>
          <cell r="B372">
            <v>49766</v>
          </cell>
          <cell r="C372">
            <v>0</v>
          </cell>
          <cell r="D372">
            <v>1440.7285040253385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14060.593917840954</v>
          </cell>
        </row>
        <row r="373">
          <cell r="A373">
            <v>356</v>
          </cell>
          <cell r="B373">
            <v>49796</v>
          </cell>
          <cell r="C373">
            <v>0</v>
          </cell>
          <cell r="D373">
            <v>1440.7285040253385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14060.593917840954</v>
          </cell>
        </row>
        <row r="374">
          <cell r="A374">
            <v>357</v>
          </cell>
          <cell r="B374">
            <v>49827</v>
          </cell>
          <cell r="C374">
            <v>0</v>
          </cell>
          <cell r="D374">
            <v>1440.7285040253385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14060.593917840954</v>
          </cell>
        </row>
        <row r="375">
          <cell r="A375">
            <v>358</v>
          </cell>
          <cell r="B375">
            <v>49857</v>
          </cell>
          <cell r="C375">
            <v>0</v>
          </cell>
          <cell r="D375">
            <v>1440.7285040253385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14060.593917840954</v>
          </cell>
        </row>
        <row r="376">
          <cell r="A376">
            <v>359</v>
          </cell>
          <cell r="B376">
            <v>49888</v>
          </cell>
          <cell r="C376">
            <v>0</v>
          </cell>
          <cell r="D376">
            <v>1440.7285040253385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14060.593917840954</v>
          </cell>
        </row>
        <row r="377">
          <cell r="A377">
            <v>360</v>
          </cell>
          <cell r="B377">
            <v>49919</v>
          </cell>
          <cell r="C377">
            <v>0</v>
          </cell>
          <cell r="D377">
            <v>1440.7285040253385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14060.593917840954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_CIQHiddenCacheSheet"/>
      <sheetName val="Compay ID Locater"/>
      <sheetName val="Comps"/>
      <sheetName val="Transactions"/>
      <sheetName val="Hard Coded&gt;&gt;"/>
      <sheetName val="Comps 1"/>
      <sheetName val="Transactions 1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ummary Balance Sheet"/>
      <sheetName val="Summary Cash Flow Statement"/>
      <sheetName val="Profit &amp; Loss"/>
      <sheetName val="Fringe Benefits Pool"/>
      <sheetName val="Overhead Pool"/>
      <sheetName val="Mat_Hand."/>
      <sheetName val="G &amp; A Pool"/>
      <sheetName val="Rate recon"/>
      <sheetName val="Labor budget"/>
      <sheetName val="P&amp;L Assumptions"/>
      <sheetName val="Consultants"/>
      <sheetName val="LABOR PVT"/>
      <sheetName val="Labor Utilization Analysis"/>
      <sheetName val="Price"/>
      <sheetName val="Facilities Breakout"/>
      <sheetName val="PBC - FY11 CFF &amp; ACTUALS"/>
      <sheetName val="PBC-Pay Roll &amp; Taxes"/>
      <sheetName val="PBC - The Utilization model"/>
      <sheetName val="PBCFringe"/>
      <sheetName val="PBC - Overhead"/>
      <sheetName val="PBC G&amp;A"/>
      <sheetName val="PBC - FY11 CFF - the PLAN"/>
      <sheetName val="COA"/>
      <sheetName val="VACA"/>
      <sheetName val="04 12 Item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2">
          <cell r="A42" t="str">
            <v>Art  Hughes -142 hrs</v>
          </cell>
        </row>
        <row r="43">
          <cell r="A43" t="str">
            <v>Art  Hughes -40 hrs</v>
          </cell>
        </row>
        <row r="44">
          <cell r="A44" t="str">
            <v>BD Support  Indirect_Hire1</v>
          </cell>
        </row>
        <row r="45">
          <cell r="A45" t="str">
            <v>Brad  Beil</v>
          </cell>
        </row>
        <row r="46">
          <cell r="A46" t="str">
            <v>Cynthia  Femano</v>
          </cell>
        </row>
        <row r="47">
          <cell r="A47" t="str">
            <v>Dan  Seely</v>
          </cell>
        </row>
        <row r="48">
          <cell r="A48" t="str">
            <v>Derek  Rose</v>
          </cell>
        </row>
        <row r="49">
          <cell r="A49" t="str">
            <v>Greg Taylor</v>
          </cell>
        </row>
        <row r="50">
          <cell r="A50" t="str">
            <v>Gwyn  Whittaker</v>
          </cell>
        </row>
        <row r="51">
          <cell r="A51" t="str">
            <v>Jay  Patel</v>
          </cell>
        </row>
        <row r="52">
          <cell r="A52" t="str">
            <v>Jerry  Makowka</v>
          </cell>
        </row>
        <row r="53">
          <cell r="A53" t="str">
            <v>Ken  Platek</v>
          </cell>
        </row>
        <row r="54">
          <cell r="A54" t="str">
            <v>Len  Natkin-10%</v>
          </cell>
        </row>
        <row r="55">
          <cell r="A55" t="str">
            <v>Len  Natkin-45%A</v>
          </cell>
        </row>
        <row r="56">
          <cell r="A56" t="str">
            <v>Len Natkin- 45%B</v>
          </cell>
        </row>
        <row r="57">
          <cell r="A57" t="str">
            <v>Lillet  Flynn</v>
          </cell>
        </row>
        <row r="58">
          <cell r="A58" t="str">
            <v>Mark  Mazzocco</v>
          </cell>
        </row>
        <row r="59">
          <cell r="A59" t="str">
            <v>Mike  Kenworthy</v>
          </cell>
        </row>
        <row r="60">
          <cell r="A60" t="str">
            <v>Muriel  Ward</v>
          </cell>
        </row>
        <row r="61">
          <cell r="A61" t="str">
            <v>New Hire 10</v>
          </cell>
        </row>
        <row r="62">
          <cell r="A62" t="str">
            <v>New Hire 11</v>
          </cell>
        </row>
        <row r="63">
          <cell r="A63" t="str">
            <v>New Hire 12</v>
          </cell>
        </row>
        <row r="64">
          <cell r="A64" t="str">
            <v>New Hire 9</v>
          </cell>
        </row>
        <row r="65">
          <cell r="A65" t="str">
            <v>New Hire 9</v>
          </cell>
        </row>
        <row r="66">
          <cell r="A66" t="str">
            <v>New1-Rajiv Shah</v>
          </cell>
        </row>
        <row r="67">
          <cell r="A67" t="str">
            <v xml:space="preserve">New2Simmie Adams </v>
          </cell>
        </row>
        <row r="68">
          <cell r="A68" t="str">
            <v>New3-Chuck Spangler</v>
          </cell>
        </row>
        <row r="69">
          <cell r="A69" t="str">
            <v>New4-Mike Bennet</v>
          </cell>
        </row>
        <row r="70">
          <cell r="A70" t="str">
            <v>New5-Matt Meade</v>
          </cell>
        </row>
        <row r="71">
          <cell r="A71" t="str">
            <v>New6-Monica Milner</v>
          </cell>
        </row>
        <row r="72">
          <cell r="A72" t="str">
            <v>New7-John Anderson</v>
          </cell>
        </row>
        <row r="73">
          <cell r="A73" t="str">
            <v>Pat   Duecy</v>
          </cell>
        </row>
        <row r="74">
          <cell r="A74" t="str">
            <v>Scott Stewart</v>
          </cell>
        </row>
        <row r="75">
          <cell r="A75" t="str">
            <v>Set Cruz</v>
          </cell>
        </row>
        <row r="76">
          <cell r="A76" t="str">
            <v>Sharon  Ocheltree</v>
          </cell>
        </row>
        <row r="77">
          <cell r="A77" t="str">
            <v>TBD  Indirect_Hire2</v>
          </cell>
        </row>
        <row r="78">
          <cell r="A78" t="str">
            <v>TBD  Indirect_Hire3</v>
          </cell>
        </row>
        <row r="79">
          <cell r="A79" t="str">
            <v>TBD  Indirect_Hire4</v>
          </cell>
        </row>
        <row r="80">
          <cell r="A80" t="str">
            <v>Steve  Mace</v>
          </cell>
        </row>
        <row r="81">
          <cell r="A81" t="str">
            <v>TBD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2.emf"/><Relationship Id="rId4" Type="http://schemas.openxmlformats.org/officeDocument/2006/relationships/control" Target="../activeX/activeX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8FF4F-A432-41EA-9B15-D17EB9FA2E6B}">
  <sheetPr codeName="Sheet1"/>
  <dimension ref="A1:N34"/>
  <sheetViews>
    <sheetView showGridLines="0" tabSelected="1" zoomScale="80" zoomScaleNormal="80" workbookViewId="0"/>
  </sheetViews>
  <sheetFormatPr defaultRowHeight="15" outlineLevelRow="1" x14ac:dyDescent="0.25"/>
  <cols>
    <col min="1" max="1" width="4.5703125" customWidth="1"/>
    <col min="2" max="2" width="13.28515625" bestFit="1" customWidth="1"/>
    <col min="6" max="6" width="13.7109375" customWidth="1"/>
    <col min="8" max="9" width="2.7109375" customWidth="1"/>
    <col min="14" max="14" width="10.42578125" bestFit="1" customWidth="1"/>
  </cols>
  <sheetData>
    <row r="1" spans="1:14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4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4" x14ac:dyDescent="0.25">
      <c r="A3" s="32"/>
      <c r="B3" s="19" t="s">
        <v>21</v>
      </c>
      <c r="C3" s="30"/>
      <c r="D3" s="30"/>
      <c r="E3" s="31"/>
      <c r="F3" s="31"/>
      <c r="G3" s="32"/>
      <c r="H3" s="32"/>
      <c r="J3" s="430" t="s">
        <v>481</v>
      </c>
      <c r="K3" s="431"/>
      <c r="L3" s="431"/>
      <c r="M3" s="431"/>
      <c r="N3" s="431"/>
    </row>
    <row r="4" spans="1:14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</row>
    <row r="5" spans="1:14" x14ac:dyDescent="0.25">
      <c r="A5" s="32"/>
      <c r="B5" s="32"/>
      <c r="C5" s="32"/>
      <c r="D5" s="32"/>
      <c r="E5" s="32"/>
      <c r="F5" s="32"/>
      <c r="G5" s="32"/>
      <c r="H5" s="32"/>
      <c r="I5" s="32"/>
      <c r="J5" s="432" t="s">
        <v>482</v>
      </c>
      <c r="K5" s="433"/>
      <c r="L5" s="433"/>
      <c r="M5" s="433"/>
      <c r="N5" s="434"/>
    </row>
    <row r="6" spans="1:14" x14ac:dyDescent="0.25">
      <c r="A6" s="32"/>
      <c r="B6" s="32"/>
      <c r="C6" s="32"/>
      <c r="D6" s="32"/>
      <c r="E6" s="32"/>
      <c r="F6" s="32"/>
      <c r="G6" s="32"/>
      <c r="H6" s="32"/>
      <c r="I6" s="32"/>
      <c r="J6" s="36"/>
      <c r="K6" s="32"/>
      <c r="N6" s="315"/>
    </row>
    <row r="7" spans="1:14" x14ac:dyDescent="0.25">
      <c r="A7" s="32"/>
      <c r="B7" s="32"/>
      <c r="C7" s="32"/>
      <c r="D7" s="32"/>
      <c r="E7" s="32"/>
      <c r="F7" s="32"/>
      <c r="G7" s="32"/>
      <c r="H7" s="32"/>
      <c r="I7" s="32"/>
      <c r="J7" s="90" t="s">
        <v>478</v>
      </c>
      <c r="K7" s="32"/>
      <c r="N7" s="370">
        <f>Valuation!L16</f>
        <v>113.45876399251733</v>
      </c>
    </row>
    <row r="8" spans="1:14" x14ac:dyDescent="0.25">
      <c r="A8" s="32"/>
      <c r="B8" s="32"/>
      <c r="C8" s="32"/>
      <c r="D8" s="32"/>
      <c r="E8" s="32"/>
      <c r="F8" s="32"/>
      <c r="G8" s="32"/>
      <c r="H8" s="32"/>
      <c r="I8" s="32"/>
      <c r="J8" s="316" t="s">
        <v>52</v>
      </c>
      <c r="K8" s="69"/>
      <c r="L8" s="66"/>
      <c r="M8" s="66"/>
      <c r="N8" s="371">
        <f>Valuation!L17</f>
        <v>0.26121347257133554</v>
      </c>
    </row>
    <row r="9" spans="1:14" x14ac:dyDescent="0.25">
      <c r="A9" s="32"/>
      <c r="B9" s="32"/>
      <c r="C9" s="32"/>
      <c r="D9" s="32"/>
      <c r="E9" s="32"/>
      <c r="F9" s="32"/>
      <c r="G9" s="32"/>
      <c r="H9" s="32"/>
      <c r="I9" s="32"/>
    </row>
    <row r="10" spans="1:14" x14ac:dyDescent="0.25">
      <c r="A10" s="32"/>
      <c r="B10" s="32"/>
      <c r="C10" s="32"/>
      <c r="D10" s="32"/>
      <c r="E10" s="32"/>
      <c r="F10" s="32"/>
      <c r="G10" s="32"/>
      <c r="H10" s="32"/>
      <c r="I10" s="32"/>
    </row>
    <row r="11" spans="1:14" x14ac:dyDescent="0.25">
      <c r="A11" s="32"/>
      <c r="B11" s="32"/>
      <c r="C11" s="32"/>
      <c r="D11" s="32"/>
      <c r="E11" s="32"/>
      <c r="F11" s="32"/>
      <c r="G11" s="32"/>
      <c r="H11" s="32"/>
      <c r="I11" s="32"/>
    </row>
    <row r="12" spans="1:14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68"/>
      <c r="K12" s="32"/>
    </row>
    <row r="13" spans="1:14" x14ac:dyDescent="0.25">
      <c r="A13" s="32"/>
      <c r="B13" s="32" t="s">
        <v>22</v>
      </c>
      <c r="C13" s="32"/>
      <c r="D13" s="32"/>
      <c r="E13" s="32"/>
      <c r="F13" s="38" t="s">
        <v>455</v>
      </c>
      <c r="G13" s="32"/>
      <c r="H13" s="32"/>
      <c r="I13" s="32"/>
      <c r="J13" s="11"/>
      <c r="K13" s="32"/>
    </row>
    <row r="14" spans="1:14" x14ac:dyDescent="0.25">
      <c r="A14" s="32"/>
      <c r="B14" s="32" t="s">
        <v>23</v>
      </c>
      <c r="C14" s="32"/>
      <c r="D14" s="32"/>
      <c r="E14" s="32"/>
      <c r="F14" s="38" t="s">
        <v>35</v>
      </c>
      <c r="G14" s="32"/>
      <c r="H14" s="32"/>
      <c r="I14" s="32"/>
      <c r="J14" s="32"/>
      <c r="K14" s="32"/>
    </row>
    <row r="15" spans="1:14" x14ac:dyDescent="0.2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</row>
    <row r="16" spans="1:14" x14ac:dyDescent="0.2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</row>
    <row r="17" spans="1:11" x14ac:dyDescent="0.25">
      <c r="A17" s="32"/>
      <c r="B17" s="34" t="s">
        <v>25</v>
      </c>
      <c r="C17" s="35"/>
      <c r="D17" s="35"/>
      <c r="E17" s="35"/>
      <c r="F17" s="40" t="s">
        <v>26</v>
      </c>
      <c r="G17" s="36"/>
      <c r="H17" s="32"/>
      <c r="I17" s="32"/>
      <c r="J17" s="32"/>
      <c r="K17" s="32"/>
    </row>
    <row r="18" spans="1:11" x14ac:dyDescent="0.25">
      <c r="A18" s="32"/>
      <c r="B18" s="32"/>
      <c r="C18" s="32"/>
      <c r="D18" s="32"/>
      <c r="E18" s="32"/>
      <c r="F18" s="32"/>
      <c r="G18" s="32"/>
      <c r="H18" s="32"/>
      <c r="I18" s="32"/>
      <c r="J18" s="304"/>
      <c r="K18" s="32"/>
    </row>
    <row r="19" spans="1:11" x14ac:dyDescent="0.25">
      <c r="A19" s="32"/>
      <c r="B19" s="32" t="s">
        <v>27</v>
      </c>
      <c r="C19" s="32"/>
      <c r="D19" s="32"/>
      <c r="E19" s="32"/>
      <c r="F19" s="37">
        <v>46022</v>
      </c>
      <c r="G19" s="32"/>
      <c r="H19" s="32"/>
      <c r="I19" s="32"/>
      <c r="J19" s="11"/>
      <c r="K19" s="32"/>
    </row>
    <row r="20" spans="1:11" x14ac:dyDescent="0.25">
      <c r="A20" s="32"/>
      <c r="B20" s="32" t="s">
        <v>28</v>
      </c>
      <c r="C20" s="32"/>
      <c r="D20" s="32"/>
      <c r="E20" s="32"/>
      <c r="F20" s="37">
        <f>F19+365</f>
        <v>46387</v>
      </c>
      <c r="G20" s="32"/>
      <c r="H20" s="32"/>
      <c r="I20" s="32"/>
      <c r="J20" s="32"/>
      <c r="K20" s="32"/>
    </row>
    <row r="21" spans="1:11" x14ac:dyDescent="0.25">
      <c r="A21" s="32"/>
      <c r="B21" s="32" t="s">
        <v>29</v>
      </c>
      <c r="C21" s="32"/>
      <c r="D21" s="32"/>
      <c r="E21" s="32"/>
      <c r="F21" s="38" t="s">
        <v>523</v>
      </c>
      <c r="G21" s="32"/>
      <c r="H21" s="32"/>
      <c r="I21" s="32"/>
      <c r="J21" s="68"/>
      <c r="K21" s="32"/>
    </row>
    <row r="22" spans="1:11" x14ac:dyDescent="0.25">
      <c r="A22" s="32"/>
      <c r="B22" s="32" t="s">
        <v>30</v>
      </c>
      <c r="C22" s="32"/>
      <c r="D22" s="32"/>
      <c r="E22" s="32"/>
      <c r="F22" s="37">
        <v>46091</v>
      </c>
      <c r="G22" s="32"/>
      <c r="H22" s="32"/>
      <c r="I22" s="32"/>
      <c r="J22" s="11"/>
      <c r="K22" s="32"/>
    </row>
    <row r="23" spans="1:11" x14ac:dyDescent="0.25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spans="1:11" x14ac:dyDescent="0.25">
      <c r="A24" s="32"/>
      <c r="B24" s="32" t="s">
        <v>31</v>
      </c>
      <c r="C24" s="32"/>
      <c r="D24" s="32"/>
      <c r="E24" s="32"/>
      <c r="F24" s="59">
        <v>89.96</v>
      </c>
      <c r="G24" s="32"/>
      <c r="H24" s="32"/>
      <c r="I24" s="32"/>
      <c r="J24" s="32"/>
      <c r="K24" s="32"/>
    </row>
    <row r="25" spans="1:11" x14ac:dyDescent="0.25">
      <c r="A25" s="32"/>
      <c r="B25" s="39" t="s">
        <v>32</v>
      </c>
      <c r="C25" s="32"/>
      <c r="D25" s="32"/>
      <c r="E25" s="32"/>
      <c r="F25" s="59">
        <v>153.87</v>
      </c>
      <c r="G25" s="32"/>
      <c r="H25" s="32"/>
      <c r="I25" s="32"/>
      <c r="J25" s="32"/>
      <c r="K25" s="32"/>
    </row>
    <row r="26" spans="1:11" x14ac:dyDescent="0.25">
      <c r="A26" s="32"/>
      <c r="B26" s="39" t="s">
        <v>33</v>
      </c>
      <c r="C26" s="32"/>
      <c r="D26" s="32"/>
      <c r="E26" s="32"/>
      <c r="F26" s="59">
        <v>84.52</v>
      </c>
      <c r="G26" s="32"/>
      <c r="H26" s="32"/>
      <c r="I26" s="32"/>
      <c r="J26" s="32"/>
      <c r="K26" s="32"/>
    </row>
    <row r="27" spans="1:11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</row>
    <row r="28" spans="1:11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</row>
    <row r="29" spans="1:11" x14ac:dyDescent="0.2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</row>
    <row r="30" spans="1:11" x14ac:dyDescent="0.2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</row>
    <row r="31" spans="1:11" x14ac:dyDescent="0.25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</row>
    <row r="32" spans="1:11" hidden="1" outlineLevel="1" x14ac:dyDescent="0.25">
      <c r="B32" s="329" t="s">
        <v>484</v>
      </c>
    </row>
    <row r="33" spans="2:2" hidden="1" outlineLevel="1" x14ac:dyDescent="0.25">
      <c r="B33" t="s">
        <v>485</v>
      </c>
    </row>
    <row r="34" spans="2:2" collapsed="1" x14ac:dyDescent="0.25"/>
  </sheetData>
  <mergeCells count="2">
    <mergeCell ref="J3:N3"/>
    <mergeCell ref="J5:N5"/>
  </mergeCells>
  <conditionalFormatting sqref="J5">
    <cfRule type="expression" dxfId="23" priority="1">
      <formula>$Q$2="Report"</formula>
    </cfRule>
  </conditionalFormatting>
  <dataValidations count="2">
    <dataValidation type="list" allowBlank="1" showInputMessage="1" showErrorMessage="1" sqref="F17" xr:uid="{056B22BB-2EDE-4500-AACD-94E4632A0021}">
      <formula1>"Bull, Base, Bear"</formula1>
    </dataValidation>
    <dataValidation type="list" allowBlank="1" showInputMessage="1" showErrorMessage="1" sqref="F21" xr:uid="{2FAEAB9E-C2FB-4D82-A87B-1A3FAD473752}">
      <formula1>"1Q, 2Q, 3Q, 4Q"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0F4C-FD68-4DD9-B07F-0D3FE1A38BAD}">
  <sheetPr codeName="Sheet2"/>
  <dimension ref="A2:AG52"/>
  <sheetViews>
    <sheetView showGridLines="0" zoomScale="80" zoomScaleNormal="80" workbookViewId="0"/>
  </sheetViews>
  <sheetFormatPr defaultRowHeight="15" outlineLevelCol="1" x14ac:dyDescent="0.25"/>
  <cols>
    <col min="1" max="1" width="3.42578125" customWidth="1"/>
    <col min="2" max="2" width="39.28515625" bestFit="1" customWidth="1"/>
    <col min="3" max="6" width="16.5703125" hidden="1" customWidth="1" outlineLevel="1"/>
    <col min="7" max="7" width="16.5703125" bestFit="1" customWidth="1" collapsed="1"/>
    <col min="8" max="11" width="16.5703125" hidden="1" customWidth="1" outlineLevel="1"/>
    <col min="12" max="12" width="16.5703125" bestFit="1" customWidth="1" collapsed="1"/>
    <col min="13" max="16" width="16.5703125" hidden="1" customWidth="1" outlineLevel="1"/>
    <col min="17" max="17" width="16.5703125" bestFit="1" customWidth="1" collapsed="1"/>
    <col min="18" max="21" width="16.5703125" hidden="1" customWidth="1" outlineLevel="1"/>
    <col min="22" max="22" width="16.5703125" customWidth="1" collapsed="1"/>
    <col min="23" max="26" width="16.5703125" hidden="1" customWidth="1" outlineLevel="1"/>
    <col min="27" max="27" width="18" bestFit="1" customWidth="1" collapsed="1"/>
    <col min="28" max="30" width="18" customWidth="1"/>
    <col min="31" max="31" width="2.7109375" customWidth="1"/>
    <col min="32" max="32" width="10.7109375" customWidth="1"/>
    <col min="33" max="33" width="11.42578125" customWidth="1"/>
  </cols>
  <sheetData>
    <row r="2" spans="1:33" x14ac:dyDescent="0.25">
      <c r="B2" s="13" t="s">
        <v>483</v>
      </c>
    </row>
    <row r="4" spans="1:33" x14ac:dyDescent="0.25"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F4" s="49" t="s">
        <v>37</v>
      </c>
      <c r="AG4" s="50"/>
    </row>
    <row r="5" spans="1:33" x14ac:dyDescent="0.25">
      <c r="A5" s="387" t="s">
        <v>6</v>
      </c>
      <c r="B5" s="48" t="s">
        <v>14</v>
      </c>
      <c r="C5" s="15" t="str">
        <f>Model!E2</f>
        <v>1Q23</v>
      </c>
      <c r="D5" s="15" t="str">
        <f>Model!F2</f>
        <v>2Q23</v>
      </c>
      <c r="E5" s="15" t="str">
        <f>Model!G2</f>
        <v>3Q23</v>
      </c>
      <c r="F5" s="15" t="str">
        <f>Model!H2</f>
        <v>4Q23</v>
      </c>
      <c r="G5" s="7">
        <f>Model!I2</f>
        <v>2023</v>
      </c>
      <c r="H5" s="15" t="str">
        <f>Model!J2</f>
        <v>1Q24</v>
      </c>
      <c r="I5" s="15" t="str">
        <f>Model!K2</f>
        <v>2Q24</v>
      </c>
      <c r="J5" s="15" t="str">
        <f>Model!L2</f>
        <v>3Q24</v>
      </c>
      <c r="K5" s="15" t="str">
        <f>Model!M2</f>
        <v>4Q24</v>
      </c>
      <c r="L5" s="7">
        <f>Model!N2</f>
        <v>2024</v>
      </c>
      <c r="M5" s="15" t="str">
        <f>Model!O2</f>
        <v>1Q25</v>
      </c>
      <c r="N5" s="15" t="str">
        <f>Model!P2</f>
        <v>2Q25</v>
      </c>
      <c r="O5" s="15" t="str">
        <f>Model!Q2</f>
        <v>3Q25</v>
      </c>
      <c r="P5" s="15" t="str">
        <f>Model!R2</f>
        <v>4Q25</v>
      </c>
      <c r="Q5" s="7">
        <f>Model!S2</f>
        <v>2025</v>
      </c>
      <c r="R5" s="15" t="str">
        <f>Model!T2</f>
        <v>1Q26e</v>
      </c>
      <c r="S5" s="15" t="str">
        <f>Model!U2</f>
        <v>2Q26e</v>
      </c>
      <c r="T5" s="15" t="str">
        <f>Model!V2</f>
        <v>3Q26e</v>
      </c>
      <c r="U5" s="15" t="str">
        <f>Model!W2</f>
        <v>4Q26e</v>
      </c>
      <c r="V5" s="15" t="str">
        <f>Model!X2</f>
        <v>2026e</v>
      </c>
      <c r="W5" s="15" t="str">
        <f>Model!Y2</f>
        <v>1Q27e</v>
      </c>
      <c r="X5" s="15" t="str">
        <f>Model!Z2</f>
        <v>2Q27e</v>
      </c>
      <c r="Y5" s="15" t="str">
        <f>Model!AA2</f>
        <v>3Q27e</v>
      </c>
      <c r="Z5" s="15" t="str">
        <f>Model!AB2</f>
        <v>4Q27e</v>
      </c>
      <c r="AA5" s="15" t="str">
        <f>Model!AC2</f>
        <v>2027e</v>
      </c>
      <c r="AB5" s="15" t="str">
        <f>Model!AD2</f>
        <v>2028e</v>
      </c>
      <c r="AC5" s="15" t="str">
        <f>Model!AE2</f>
        <v>2029e</v>
      </c>
      <c r="AD5" s="15" t="str">
        <f>Model!AF2</f>
        <v>2030e</v>
      </c>
      <c r="AF5" s="51" t="s">
        <v>38</v>
      </c>
      <c r="AG5" s="52" t="s">
        <v>39</v>
      </c>
    </row>
    <row r="6" spans="1:33" x14ac:dyDescent="0.25">
      <c r="B6" s="9"/>
      <c r="C6" s="374"/>
      <c r="D6" s="374"/>
      <c r="E6" s="374"/>
      <c r="F6" s="374"/>
      <c r="G6" s="9"/>
      <c r="H6" s="374"/>
      <c r="I6" s="374"/>
      <c r="J6" s="374"/>
      <c r="K6" s="374"/>
      <c r="L6" s="9"/>
      <c r="M6" s="374"/>
      <c r="N6" s="374"/>
      <c r="O6" s="374"/>
      <c r="P6" s="374"/>
      <c r="Q6" s="9"/>
      <c r="R6" s="373"/>
      <c r="S6" s="373"/>
      <c r="T6" s="373"/>
      <c r="U6" s="373"/>
      <c r="V6" s="9"/>
      <c r="W6" s="373"/>
      <c r="X6" s="373"/>
      <c r="Y6" s="373"/>
      <c r="Z6" s="373"/>
      <c r="AA6" s="9"/>
      <c r="AB6" s="9"/>
      <c r="AC6" s="9"/>
      <c r="AD6" s="9"/>
      <c r="AF6" s="53"/>
      <c r="AG6" s="54"/>
    </row>
    <row r="7" spans="1:33" s="381" customFormat="1" x14ac:dyDescent="0.25">
      <c r="B7" s="9" t="str">
        <f>+Model!B11</f>
        <v>Fee-Related Earnings</v>
      </c>
      <c r="C7" s="410">
        <f>+SUM(C9,C11,C13,C15,C17)</f>
        <v>548578</v>
      </c>
      <c r="D7" s="410">
        <f t="shared" ref="D7" si="0">+SUM(D9,D11,D13,D15,D17)</f>
        <v>602309</v>
      </c>
      <c r="E7" s="410">
        <f t="shared" ref="E7:F7" si="1">+SUM(E9,E11,E13,E15,E17)</f>
        <v>557525</v>
      </c>
      <c r="F7" s="410">
        <f t="shared" si="1"/>
        <v>675374</v>
      </c>
      <c r="G7" s="411">
        <f>+SUM(C7:F7)</f>
        <v>2383786</v>
      </c>
      <c r="H7" s="410">
        <f>+SUM(H9,H11,H13,H15,H17)</f>
        <v>668741</v>
      </c>
      <c r="I7" s="410">
        <f t="shared" ref="I7:K7" si="2">+SUM(I9,I11,I13,I15,I17)</f>
        <v>755397</v>
      </c>
      <c r="J7" s="410">
        <f t="shared" si="2"/>
        <v>1000673</v>
      </c>
      <c r="K7" s="410">
        <f t="shared" si="2"/>
        <v>842985</v>
      </c>
      <c r="L7" s="411">
        <f>+SUM(H7:K7)</f>
        <v>3267796</v>
      </c>
      <c r="M7" s="410">
        <f>+SUM(M9,M11,M13,M15,M17)</f>
        <v>822603</v>
      </c>
      <c r="N7" s="410">
        <f t="shared" ref="N7:P7" si="3">+SUM(N9,N11,N13,N15,N17)</f>
        <v>886754</v>
      </c>
      <c r="O7" s="410">
        <f t="shared" si="3"/>
        <v>1032936</v>
      </c>
      <c r="P7" s="410">
        <f t="shared" si="3"/>
        <v>972020</v>
      </c>
      <c r="Q7" s="411">
        <f>+SUM(M7:P7)</f>
        <v>3714313</v>
      </c>
      <c r="R7" s="397">
        <f>SUM(R9,R11,R13,R15,R17)</f>
        <v>1034171.4549999998</v>
      </c>
      <c r="S7" s="397">
        <f t="shared" ref="S7:U7" si="4">SUM(S9,S11,S13,S15,S17)</f>
        <v>1114538.81463625</v>
      </c>
      <c r="T7" s="397">
        <f t="shared" si="4"/>
        <v>1174421.8666579183</v>
      </c>
      <c r="U7" s="397">
        <f t="shared" si="4"/>
        <v>1180505.5202947522</v>
      </c>
      <c r="V7" s="398">
        <f>SUM(R7:U7)</f>
        <v>4503637.6565889204</v>
      </c>
      <c r="W7" s="397">
        <f>SUM(W9,W11,W13,W15,W17)</f>
        <v>1232755.9386615204</v>
      </c>
      <c r="X7" s="397">
        <f t="shared" ref="X7:Z7" si="5">SUM(X9,X11,X13,X15,X17)</f>
        <v>1336605.3130900976</v>
      </c>
      <c r="Y7" s="397">
        <f t="shared" si="5"/>
        <v>1398143.110013261</v>
      </c>
      <c r="Z7" s="397">
        <f t="shared" si="5"/>
        <v>1390318.4789712955</v>
      </c>
      <c r="AA7" s="398">
        <f>SUM(W7:Z7)</f>
        <v>5357822.840736175</v>
      </c>
      <c r="AB7" s="398">
        <f>SUM(AB9,AB11,AB13,AB15,AB17)</f>
        <v>5922057.9653619248</v>
      </c>
      <c r="AC7" s="398">
        <f t="shared" ref="AC7:AD7" si="6">SUM(AC9,AC11,AC13,AC15,AC17)</f>
        <v>6585176.2010672279</v>
      </c>
      <c r="AD7" s="398">
        <f t="shared" si="6"/>
        <v>7117956.6091279425</v>
      </c>
      <c r="AF7" s="454">
        <f>IFERROR((Q7/G7)^(1/3)-1,"--")</f>
        <v>0.15932111140733785</v>
      </c>
      <c r="AG7" s="455">
        <f>IFERROR((AD7/Q7)^(1/5)-1,"--")</f>
        <v>0.13892563340817166</v>
      </c>
    </row>
    <row r="8" spans="1:33" x14ac:dyDescent="0.25">
      <c r="B8" s="17" t="s">
        <v>15</v>
      </c>
      <c r="C8" s="377"/>
      <c r="D8" s="377">
        <f>D7/C7-1</f>
        <v>9.7945962105662199E-2</v>
      </c>
      <c r="E8" s="377">
        <f t="shared" ref="E8:F8" si="7">E7/D7-1</f>
        <v>-7.4353861556111567E-2</v>
      </c>
      <c r="F8" s="377">
        <f t="shared" si="7"/>
        <v>0.21137886193444233</v>
      </c>
      <c r="G8" s="400">
        <v>0</v>
      </c>
      <c r="H8" s="377">
        <f>+H7/F7-1</f>
        <v>-9.8212249805292862E-3</v>
      </c>
      <c r="I8" s="377">
        <f>I7/H7-1</f>
        <v>0.12958080931182625</v>
      </c>
      <c r="J8" s="377">
        <f t="shared" ref="J8" si="8">J7/I7-1</f>
        <v>0.3246981388594341</v>
      </c>
      <c r="K8" s="377">
        <f t="shared" ref="K8" si="9">K7/J7-1</f>
        <v>-0.15758194734943387</v>
      </c>
      <c r="L8" s="400">
        <v>0</v>
      </c>
      <c r="M8" s="377">
        <f>+M7/K7-1</f>
        <v>-2.4178366163098985E-2</v>
      </c>
      <c r="N8" s="377">
        <f>N7/M7-1</f>
        <v>7.7985370828941747E-2</v>
      </c>
      <c r="O8" s="377">
        <f t="shared" ref="O8" si="10">O7/N7-1</f>
        <v>0.16485068012098059</v>
      </c>
      <c r="P8" s="377">
        <f t="shared" ref="P8" si="11">P7/O7-1</f>
        <v>-5.8973644059264085E-2</v>
      </c>
      <c r="Q8" s="400">
        <v>0</v>
      </c>
      <c r="R8" s="399">
        <f>R7/P7-1</f>
        <v>6.3940510483323276E-2</v>
      </c>
      <c r="S8" s="399">
        <f t="shared" ref="S8:U8" si="12">S7/Q7-1</f>
        <v>-0.69993406192847774</v>
      </c>
      <c r="T8" s="399">
        <f t="shared" si="12"/>
        <v>0.13561620849215816</v>
      </c>
      <c r="U8" s="399">
        <f t="shared" si="12"/>
        <v>5.9187445777769243E-2</v>
      </c>
      <c r="V8" s="400">
        <f>V7/Q7-1</f>
        <v>0.21250892334300331</v>
      </c>
      <c r="W8" s="399">
        <f>W7/U7-1</f>
        <v>4.4261053818471119E-2</v>
      </c>
      <c r="X8" s="399">
        <f t="shared" ref="X8" si="13">X7/V7-1</f>
        <v>-0.70321650740826924</v>
      </c>
      <c r="Y8" s="399">
        <f t="shared" ref="Y8" si="14">Y7/W7-1</f>
        <v>0.13416051479850233</v>
      </c>
      <c r="Z8" s="399">
        <f t="shared" ref="Z8:AB8" si="15">Z7/X7-1</f>
        <v>4.0186257944028636E-2</v>
      </c>
      <c r="AA8" s="400">
        <f>AA7/V7-1</f>
        <v>0.18966561017571282</v>
      </c>
      <c r="AB8" s="401">
        <f t="shared" si="15"/>
        <v>3.2594974136743753</v>
      </c>
      <c r="AC8" s="401">
        <f t="shared" ref="AC8" si="16">AC7/AA7-1</f>
        <v>0.2290768838042454</v>
      </c>
      <c r="AD8" s="401">
        <f t="shared" ref="AD8" si="17">AD7/AB7-1</f>
        <v>0.20193970588616672</v>
      </c>
      <c r="AF8" s="55"/>
      <c r="AG8" s="56"/>
    </row>
    <row r="9" spans="1:33" x14ac:dyDescent="0.25">
      <c r="B9" s="9" t="str">
        <f>Model!B6</f>
        <v>Management Fees</v>
      </c>
      <c r="C9" s="380">
        <f>'Segment Analysis'!E7</f>
        <v>738156</v>
      </c>
      <c r="D9" s="380">
        <f>'Segment Analysis'!F7</f>
        <v>748888</v>
      </c>
      <c r="E9" s="380">
        <f>'Segment Analysis'!G7</f>
        <v>758700</v>
      </c>
      <c r="F9" s="380">
        <f>'Segment Analysis'!H7</f>
        <v>784581</v>
      </c>
      <c r="G9" s="398">
        <f>+SUM(C9:F9)</f>
        <v>3030325</v>
      </c>
      <c r="H9" s="380">
        <f>'Segment Analysis'!J7</f>
        <v>815327</v>
      </c>
      <c r="I9" s="380">
        <f>'Segment Analysis'!K7</f>
        <v>847307</v>
      </c>
      <c r="J9" s="380">
        <f>'Segment Analysis'!L7</f>
        <v>892629</v>
      </c>
      <c r="K9" s="380">
        <f>'Segment Analysis'!M7</f>
        <v>906118</v>
      </c>
      <c r="L9" s="398">
        <f>+SUM(H9:K9)</f>
        <v>3461381</v>
      </c>
      <c r="M9" s="380">
        <f>'Segment Analysis'!O7</f>
        <v>917334</v>
      </c>
      <c r="N9" s="380">
        <f>'Segment Analysis'!P7</f>
        <v>995763</v>
      </c>
      <c r="O9" s="380">
        <f>'Segment Analysis'!Q7</f>
        <v>1063553</v>
      </c>
      <c r="P9" s="380">
        <f>'Segment Analysis'!R7</f>
        <v>1124191</v>
      </c>
      <c r="Q9" s="398">
        <f>+SUM(M9:P9)</f>
        <v>4100841</v>
      </c>
      <c r="R9" s="397">
        <f>R22</f>
        <v>1143864.3425</v>
      </c>
      <c r="S9" s="397">
        <f t="shared" ref="S9:U9" si="18">S22</f>
        <v>1185043.4588300001</v>
      </c>
      <c r="T9" s="397">
        <f t="shared" si="18"/>
        <v>1241925.5448538403</v>
      </c>
      <c r="U9" s="397">
        <f t="shared" si="18"/>
        <v>1291602.5666479939</v>
      </c>
      <c r="V9" s="398">
        <f>SUM(R9:U9)</f>
        <v>4862435.9128318336</v>
      </c>
      <c r="W9" s="397">
        <f>W22</f>
        <v>1346495.6757305337</v>
      </c>
      <c r="X9" s="397">
        <f t="shared" ref="X9:Z9" si="19">X22</f>
        <v>1397662.5114082941</v>
      </c>
      <c r="Y9" s="397">
        <f t="shared" si="19"/>
        <v>1453569.0118646258</v>
      </c>
      <c r="Z9" s="397">
        <f t="shared" si="19"/>
        <v>1504443.9272798877</v>
      </c>
      <c r="AA9" s="398">
        <f>SUM(W9:Z9)</f>
        <v>5702171.1262833411</v>
      </c>
      <c r="AB9" s="398">
        <f t="shared" ref="AB9:AD9" si="20">AB22</f>
        <v>6295196.9234168092</v>
      </c>
      <c r="AC9" s="398">
        <f t="shared" si="20"/>
        <v>7230033.6665442055</v>
      </c>
      <c r="AD9" s="398">
        <f t="shared" si="20"/>
        <v>8014492.3193642525</v>
      </c>
      <c r="AF9" s="454">
        <f>IFERROR((Q9/G9)^(1/3)-1,"--")</f>
        <v>0.10610046284886088</v>
      </c>
      <c r="AG9" s="455">
        <f>IFERROR((AD9/Q9)^(1/5)-1,"--")</f>
        <v>0.14340639594030313</v>
      </c>
    </row>
    <row r="10" spans="1:33" x14ac:dyDescent="0.25">
      <c r="B10" s="17" t="s">
        <v>15</v>
      </c>
      <c r="C10" s="377"/>
      <c r="D10" s="377">
        <f t="shared" ref="D10" si="21">D23</f>
        <v>1.4538932149843697E-2</v>
      </c>
      <c r="E10" s="377">
        <f t="shared" ref="E10:F10" si="22">E23</f>
        <v>1.3102092702780732E-2</v>
      </c>
      <c r="F10" s="377">
        <f t="shared" si="22"/>
        <v>3.4112297350731513E-2</v>
      </c>
      <c r="G10" s="400">
        <f>+G23</f>
        <v>0</v>
      </c>
      <c r="H10" s="377">
        <f>+H9/F9-1</f>
        <v>3.918779577889353E-2</v>
      </c>
      <c r="I10" s="377">
        <f t="shared" ref="I10:K10" si="23">I23</f>
        <v>3.9223526266148445E-2</v>
      </c>
      <c r="J10" s="377">
        <f t="shared" si="23"/>
        <v>5.3489467217903375E-2</v>
      </c>
      <c r="K10" s="377">
        <f t="shared" si="23"/>
        <v>1.5111541301033204E-2</v>
      </c>
      <c r="L10" s="400">
        <f>+L23</f>
        <v>0.14224744870599682</v>
      </c>
      <c r="M10" s="377">
        <f>+M9/K9-1</f>
        <v>1.2378078793269687E-2</v>
      </c>
      <c r="N10" s="377">
        <f t="shared" ref="N10:P10" si="24">N23</f>
        <v>8.5496667516956837E-2</v>
      </c>
      <c r="O10" s="377">
        <f t="shared" si="24"/>
        <v>6.8078448385810786E-2</v>
      </c>
      <c r="P10" s="377">
        <f t="shared" si="24"/>
        <v>5.7014554046671773E-2</v>
      </c>
      <c r="Q10" s="400">
        <f>+Q23</f>
        <v>0.18474129256501959</v>
      </c>
      <c r="R10" s="399">
        <f t="shared" ref="R10" si="25">R23</f>
        <v>1.7500000000000002E-2</v>
      </c>
      <c r="S10" s="399">
        <f t="shared" ref="S10:U10" si="26">S23</f>
        <v>3.5999999999999997E-2</v>
      </c>
      <c r="T10" s="399">
        <f t="shared" si="26"/>
        <v>4.8000000000000001E-2</v>
      </c>
      <c r="U10" s="399">
        <f t="shared" si="26"/>
        <v>0.04</v>
      </c>
      <c r="V10" s="400">
        <f t="shared" ref="V10:Z10" si="27">V23</f>
        <v>0.18571676220361466</v>
      </c>
      <c r="W10" s="399">
        <f t="shared" si="27"/>
        <v>4.2500000000000003E-2</v>
      </c>
      <c r="X10" s="399">
        <f t="shared" si="27"/>
        <v>3.7999999999999999E-2</v>
      </c>
      <c r="Y10" s="399">
        <f t="shared" si="27"/>
        <v>0.04</v>
      </c>
      <c r="Z10" s="399">
        <f t="shared" si="27"/>
        <v>3.5000000000000003E-2</v>
      </c>
      <c r="AA10" s="400">
        <f t="shared" ref="AA10:AB10" si="28">AA23</f>
        <v>0.17269846400144218</v>
      </c>
      <c r="AB10" s="401">
        <f t="shared" si="28"/>
        <v>0.104</v>
      </c>
      <c r="AC10" s="401">
        <f t="shared" ref="AC10:AD10" si="29">AC23</f>
        <v>0.14849999999999999</v>
      </c>
      <c r="AD10" s="401">
        <f t="shared" si="29"/>
        <v>0.10849999999999999</v>
      </c>
      <c r="AF10" s="55"/>
      <c r="AG10" s="56"/>
    </row>
    <row r="11" spans="1:33" x14ac:dyDescent="0.25">
      <c r="B11" s="9" t="str">
        <f>Model!B7</f>
        <v>Transaction and Monitoring Fees</v>
      </c>
      <c r="C11" s="380">
        <f>'Segment Analysis'!E8</f>
        <v>142179</v>
      </c>
      <c r="D11" s="380">
        <f>'Segment Analysis'!F8</f>
        <v>190228</v>
      </c>
      <c r="E11" s="380">
        <f>'Segment Analysis'!G8</f>
        <v>124014</v>
      </c>
      <c r="F11" s="380">
        <f>'Segment Analysis'!H8</f>
        <v>264233</v>
      </c>
      <c r="G11" s="398">
        <f>+SUM(C11:F11)</f>
        <v>720654</v>
      </c>
      <c r="H11" s="380">
        <f>'Segment Analysis'!J8</f>
        <v>152084</v>
      </c>
      <c r="I11" s="380">
        <f>'Segment Analysis'!K8</f>
        <v>222858</v>
      </c>
      <c r="J11" s="380">
        <f>'Segment Analysis'!L8</f>
        <v>467145</v>
      </c>
      <c r="K11" s="380">
        <f>'Segment Analysis'!M8</f>
        <v>323797</v>
      </c>
      <c r="L11" s="398">
        <f>+SUM(H11:K11)</f>
        <v>1165884</v>
      </c>
      <c r="M11" s="380">
        <f>'Segment Analysis'!O8</f>
        <v>261509</v>
      </c>
      <c r="N11" s="380">
        <f>'Segment Analysis'!P8</f>
        <v>234249</v>
      </c>
      <c r="O11" s="380">
        <f>'Segment Analysis'!Q8</f>
        <v>328124</v>
      </c>
      <c r="P11" s="380">
        <f>'Segment Analysis'!R8</f>
        <v>268695</v>
      </c>
      <c r="Q11" s="398">
        <f>+SUM(M11:P11)</f>
        <v>1092577</v>
      </c>
      <c r="R11" s="397">
        <f>R28</f>
        <v>297579.71249999997</v>
      </c>
      <c r="S11" s="397">
        <f t="shared" ref="S11:U11" si="30">S28</f>
        <v>331057.43015624996</v>
      </c>
      <c r="T11" s="397">
        <f t="shared" si="30"/>
        <v>335195.64803320309</v>
      </c>
      <c r="U11" s="397">
        <f t="shared" si="30"/>
        <v>355307.38691519527</v>
      </c>
      <c r="V11" s="398">
        <f>SUM(R11:U11)</f>
        <v>1319140.1776046483</v>
      </c>
      <c r="W11" s="397">
        <f>W28</f>
        <v>353530.84998061927</v>
      </c>
      <c r="X11" s="397">
        <f t="shared" ref="X11:Z11" si="31">X28</f>
        <v>396838.37910324516</v>
      </c>
      <c r="Y11" s="397">
        <f t="shared" si="31"/>
        <v>400806.76289427764</v>
      </c>
      <c r="Z11" s="397">
        <f t="shared" si="31"/>
        <v>418843.06722452008</v>
      </c>
      <c r="AA11" s="398">
        <f>SUM(W11:Z11)</f>
        <v>1570019.0592026622</v>
      </c>
      <c r="AB11" s="398">
        <f t="shared" ref="AB11:AD11" si="32">AB28</f>
        <v>1703470.6792348884</v>
      </c>
      <c r="AC11" s="398">
        <f t="shared" si="32"/>
        <v>1682177.2957444524</v>
      </c>
      <c r="AD11" s="398">
        <f t="shared" si="32"/>
        <v>1593862.9877178688</v>
      </c>
      <c r="AF11" s="454">
        <f>IFERROR((Q11/G11)^(1/3)-1,"--")</f>
        <v>0.14879292113209575</v>
      </c>
      <c r="AG11" s="455">
        <f>IFERROR((AD11/Q11)^(1/5)-1,"--")</f>
        <v>7.8449432774633454E-2</v>
      </c>
    </row>
    <row r="12" spans="1:33" x14ac:dyDescent="0.25">
      <c r="B12" s="17" t="s">
        <v>15</v>
      </c>
      <c r="C12" s="377"/>
      <c r="D12" s="377">
        <f t="shared" ref="D12" si="33">D29</f>
        <v>0.33794723552704697</v>
      </c>
      <c r="E12" s="377">
        <f t="shared" ref="E12:F12" si="34">E29</f>
        <v>-0.34807704438883869</v>
      </c>
      <c r="F12" s="377">
        <f t="shared" si="34"/>
        <v>1.1306707307239505</v>
      </c>
      <c r="G12" s="400">
        <f>+G29</f>
        <v>0</v>
      </c>
      <c r="H12" s="377">
        <f>+H11/F11-1</f>
        <v>-0.42443222458966134</v>
      </c>
      <c r="I12" s="377">
        <f t="shared" ref="I12:K12" si="35">I29</f>
        <v>0.46536124773151677</v>
      </c>
      <c r="J12" s="377">
        <f t="shared" si="35"/>
        <v>1.0961553994023099</v>
      </c>
      <c r="K12" s="377">
        <f t="shared" si="35"/>
        <v>-0.30685975446595815</v>
      </c>
      <c r="L12" s="400">
        <f>+L29</f>
        <v>0.61781381911430455</v>
      </c>
      <c r="M12" s="377">
        <f>+M11/K11-1</f>
        <v>-0.19236744009363893</v>
      </c>
      <c r="N12" s="377">
        <f t="shared" ref="N12:P12" si="36">N29</f>
        <v>-0.1042411542241376</v>
      </c>
      <c r="O12" s="377">
        <f t="shared" si="36"/>
        <v>0.40074877587524393</v>
      </c>
      <c r="P12" s="377">
        <f t="shared" si="36"/>
        <v>-0.18111750435810847</v>
      </c>
      <c r="Q12" s="400">
        <f>+Q29</f>
        <v>-6.2876752747271558E-2</v>
      </c>
      <c r="R12" s="399">
        <f t="shared" ref="R12:V12" si="37">R29</f>
        <v>0.1075</v>
      </c>
      <c r="S12" s="399">
        <f t="shared" ref="S12:U12" si="38">S29</f>
        <v>0.1125</v>
      </c>
      <c r="T12" s="399">
        <f t="shared" si="38"/>
        <v>1.2500000000000001E-2</v>
      </c>
      <c r="U12" s="399">
        <f t="shared" si="38"/>
        <v>0.06</v>
      </c>
      <c r="V12" s="400">
        <f t="shared" si="37"/>
        <v>0.20736586767307785</v>
      </c>
      <c r="W12" s="399">
        <f t="shared" ref="W12:AA12" si="39">W29</f>
        <v>-5.0000000000000001E-3</v>
      </c>
      <c r="X12" s="399">
        <f t="shared" si="39"/>
        <v>0.1225</v>
      </c>
      <c r="Y12" s="399">
        <f t="shared" si="39"/>
        <v>0.01</v>
      </c>
      <c r="Z12" s="399">
        <f t="shared" si="39"/>
        <v>4.4999999999999998E-2</v>
      </c>
      <c r="AA12" s="400">
        <f t="shared" si="39"/>
        <v>0.19018364072086014</v>
      </c>
      <c r="AB12" s="401">
        <f t="shared" ref="AB12:AD12" si="40">AB29</f>
        <v>8.5000000000000006E-2</v>
      </c>
      <c r="AC12" s="401">
        <f t="shared" si="40"/>
        <v>-1.2500000000000001E-2</v>
      </c>
      <c r="AD12" s="401">
        <f t="shared" si="40"/>
        <v>-5.2500000000000005E-2</v>
      </c>
      <c r="AF12" s="55"/>
      <c r="AG12" s="56"/>
    </row>
    <row r="13" spans="1:33" x14ac:dyDescent="0.25">
      <c r="B13" s="9" t="str">
        <f>Model!B8</f>
        <v>Fee-Related Performance Revenues</v>
      </c>
      <c r="C13" s="380">
        <f>'Segment Analysis'!E9</f>
        <v>21741</v>
      </c>
      <c r="D13" s="380">
        <f>'Segment Analysis'!F9</f>
        <v>28352</v>
      </c>
      <c r="E13" s="380">
        <f>'Segment Analysis'!G9</f>
        <v>20436</v>
      </c>
      <c r="F13" s="380">
        <f>'Segment Analysis'!H9</f>
        <v>23898</v>
      </c>
      <c r="G13" s="398">
        <f>+SUM(C13:F13)</f>
        <v>94427</v>
      </c>
      <c r="H13" s="380">
        <f>'Segment Analysis'!J9</f>
        <v>19101</v>
      </c>
      <c r="I13" s="380">
        <f>'Segment Analysis'!K9</f>
        <v>37145</v>
      </c>
      <c r="J13" s="380">
        <f>'Segment Analysis'!L9</f>
        <v>56655</v>
      </c>
      <c r="K13" s="380">
        <f>'Segment Analysis'!M9</f>
        <v>25091</v>
      </c>
      <c r="L13" s="398">
        <f>+SUM(H13:K13)</f>
        <v>137992</v>
      </c>
      <c r="M13" s="380">
        <f>'Segment Analysis'!O9</f>
        <v>21277</v>
      </c>
      <c r="N13" s="380">
        <f>'Segment Analysis'!P9</f>
        <v>53737</v>
      </c>
      <c r="O13" s="380">
        <f>'Segment Analysis'!Q9</f>
        <v>73177</v>
      </c>
      <c r="P13" s="380">
        <f>'Segment Analysis'!R9</f>
        <v>33593</v>
      </c>
      <c r="Q13" s="398">
        <f>+SUM(M13:P13)</f>
        <v>181784</v>
      </c>
      <c r="R13" s="397">
        <f>R34</f>
        <v>38296.020000000004</v>
      </c>
      <c r="S13" s="397">
        <f t="shared" ref="S13:U13" si="41">S34</f>
        <v>67018.035000000003</v>
      </c>
      <c r="T13" s="397">
        <f t="shared" si="41"/>
        <v>83772.543750000012</v>
      </c>
      <c r="U13" s="397">
        <f t="shared" si="41"/>
        <v>47750.34993750001</v>
      </c>
      <c r="V13" s="398">
        <f>SUM(R13:U13)</f>
        <v>236836.94868750003</v>
      </c>
      <c r="W13" s="397">
        <f>W34</f>
        <v>41542.804445625006</v>
      </c>
      <c r="X13" s="397">
        <f t="shared" ref="X13:Z13" si="42">X34</f>
        <v>82877.894869021897</v>
      </c>
      <c r="Y13" s="397">
        <f t="shared" si="42"/>
        <v>104011.75806062247</v>
      </c>
      <c r="Z13" s="397">
        <f t="shared" si="42"/>
        <v>55126.231772129911</v>
      </c>
      <c r="AA13" s="398">
        <f>SUM(W13:Z13)</f>
        <v>283558.68914739927</v>
      </c>
      <c r="AB13" s="398">
        <f t="shared" ref="AB13:AD13" si="43">AB34</f>
        <v>351612.77454277512</v>
      </c>
      <c r="AC13" s="398">
        <f t="shared" si="43"/>
        <v>502806.26759616839</v>
      </c>
      <c r="AD13" s="398">
        <f t="shared" si="43"/>
        <v>698900.71195867413</v>
      </c>
      <c r="AF13" s="454">
        <f>IFERROR((Q13/G13)^(1/3)-1,"--")</f>
        <v>0.24399839810761192</v>
      </c>
      <c r="AG13" s="455">
        <f>IFERROR((AD13/Q13)^(1/5)-1,"--")</f>
        <v>0.30909741559777837</v>
      </c>
    </row>
    <row r="14" spans="1:33" x14ac:dyDescent="0.25">
      <c r="B14" s="17" t="s">
        <v>15</v>
      </c>
      <c r="C14" s="377"/>
      <c r="D14" s="377">
        <f t="shared" ref="D14:G14" si="44">D41</f>
        <v>7.1838655991806721E-2</v>
      </c>
      <c r="E14" s="377">
        <f t="shared" ref="E14:F14" si="45">E41</f>
        <v>-6.6495470498520781E-2</v>
      </c>
      <c r="F14" s="377">
        <f t="shared" si="45"/>
        <v>0.18768853741714198</v>
      </c>
      <c r="G14" s="400">
        <f t="shared" si="44"/>
        <v>0</v>
      </c>
      <c r="H14" s="377">
        <f>+H13/F13-1</f>
        <v>-0.20072809440120509</v>
      </c>
      <c r="I14" s="377">
        <f t="shared" ref="I14:L14" si="46">I41</f>
        <v>0.12244555143651525</v>
      </c>
      <c r="J14" s="377">
        <f t="shared" si="46"/>
        <v>0.27916337683649939</v>
      </c>
      <c r="K14" s="377">
        <f t="shared" si="46"/>
        <v>-0.11397276853252647</v>
      </c>
      <c r="L14" s="400">
        <f t="shared" si="46"/>
        <v>-3.6307284106982696E-2</v>
      </c>
      <c r="M14" s="377">
        <f>+M13/K13-1</f>
        <v>-0.15200669562791436</v>
      </c>
      <c r="N14" s="377">
        <f t="shared" ref="N14:Q14" si="47">N41</f>
        <v>6.9683507839692238E-2</v>
      </c>
      <c r="O14" s="377">
        <f t="shared" si="47"/>
        <v>0.14107791467844177</v>
      </c>
      <c r="P14" s="377">
        <f t="shared" si="47"/>
        <v>-2.5964501657889549E-2</v>
      </c>
      <c r="Q14" s="400">
        <f t="shared" si="47"/>
        <v>0.12807374346158729</v>
      </c>
      <c r="R14" s="399">
        <f t="shared" ref="R14:V14" si="48">R41</f>
        <v>0.03</v>
      </c>
      <c r="S14" s="399">
        <f t="shared" ref="S14:U14" si="49">S41</f>
        <v>6.7500000000000004E-2</v>
      </c>
      <c r="T14" s="399">
        <f t="shared" si="49"/>
        <v>4.7500000000000001E-2</v>
      </c>
      <c r="U14" s="399">
        <f t="shared" si="49"/>
        <v>1.4999999999999999E-2</v>
      </c>
      <c r="V14" s="400">
        <f t="shared" si="48"/>
        <v>0.18123731340661764</v>
      </c>
      <c r="W14" s="399">
        <f t="shared" ref="W14:AA14" si="50">W41</f>
        <v>3.5000000000000003E-2</v>
      </c>
      <c r="X14" s="399">
        <f t="shared" si="50"/>
        <v>7.4999999999999997E-2</v>
      </c>
      <c r="Y14" s="399">
        <f t="shared" si="50"/>
        <v>0.04</v>
      </c>
      <c r="Z14" s="399">
        <f t="shared" si="50"/>
        <v>0.01</v>
      </c>
      <c r="AA14" s="400">
        <f t="shared" si="50"/>
        <v>0.1751099184381153</v>
      </c>
      <c r="AB14" s="401">
        <f t="shared" ref="AB14:AD14" si="51">AB41</f>
        <v>0.12</v>
      </c>
      <c r="AC14" s="401">
        <f t="shared" si="51"/>
        <v>0.13</v>
      </c>
      <c r="AD14" s="401">
        <f t="shared" si="51"/>
        <v>0.09</v>
      </c>
      <c r="AF14" s="55"/>
      <c r="AG14" s="56"/>
    </row>
    <row r="15" spans="1:33" x14ac:dyDescent="0.25">
      <c r="B15" s="9" t="str">
        <f>Model!B9</f>
        <v>Fee-Related Compensation</v>
      </c>
      <c r="C15" s="380">
        <f>'Segment Analysis'!E10</f>
        <v>-203094</v>
      </c>
      <c r="D15" s="380">
        <f>'Segment Analysis'!F10</f>
        <v>-217684</v>
      </c>
      <c r="E15" s="380">
        <f>'Segment Analysis'!G10</f>
        <v>-203209</v>
      </c>
      <c r="F15" s="380">
        <f>'Segment Analysis'!H10</f>
        <v>-241349</v>
      </c>
      <c r="G15" s="398">
        <f>+SUM(C15:F15)</f>
        <v>-865336</v>
      </c>
      <c r="H15" s="380">
        <f>'Segment Analysis'!J10</f>
        <v>-172640</v>
      </c>
      <c r="I15" s="380">
        <f>'Segment Analysis'!K10</f>
        <v>-193779</v>
      </c>
      <c r="J15" s="380">
        <f>'Segment Analysis'!L10</f>
        <v>-247875</v>
      </c>
      <c r="K15" s="380">
        <f>'Segment Analysis'!M10</f>
        <v>-219624</v>
      </c>
      <c r="L15" s="398">
        <f>+SUM(H15:K15)</f>
        <v>-833918</v>
      </c>
      <c r="M15" s="380">
        <f>'Segment Analysis'!O10</f>
        <v>-210021</v>
      </c>
      <c r="N15" s="380">
        <f>'Segment Analysis'!P10</f>
        <v>-224656</v>
      </c>
      <c r="O15" s="380">
        <f>'Segment Analysis'!Q10</f>
        <v>-256350</v>
      </c>
      <c r="P15" s="380">
        <f>'Segment Analysis'!R10</f>
        <v>-249694</v>
      </c>
      <c r="Q15" s="398">
        <f>+SUM(M15:P15)</f>
        <v>-940721</v>
      </c>
      <c r="R15" s="397">
        <f>R40</f>
        <v>-257184.82</v>
      </c>
      <c r="S15" s="397">
        <f t="shared" ref="S15:U15" si="52">S40</f>
        <v>-274544.79534999997</v>
      </c>
      <c r="T15" s="397">
        <f t="shared" si="52"/>
        <v>-287585.67312912497</v>
      </c>
      <c r="U15" s="397">
        <f t="shared" si="52"/>
        <v>-291899.45822606183</v>
      </c>
      <c r="V15" s="398">
        <f>SUM(R15:U15)</f>
        <v>-1111214.7467051868</v>
      </c>
      <c r="W15" s="397">
        <f>W40</f>
        <v>-302115.93926397397</v>
      </c>
      <c r="X15" s="397">
        <f t="shared" ref="X15:Z15" si="53">X40</f>
        <v>-324774.63470877201</v>
      </c>
      <c r="Y15" s="397">
        <f t="shared" si="53"/>
        <v>-337765.62009712291</v>
      </c>
      <c r="Z15" s="397">
        <f t="shared" si="53"/>
        <v>-341143.27629809413</v>
      </c>
      <c r="AA15" s="398">
        <f>SUM(W15:Z15)</f>
        <v>-1305799.470367963</v>
      </c>
      <c r="AB15" s="398">
        <f t="shared" ref="AB15:AD15" si="54">AB40</f>
        <v>-1462495.4068121186</v>
      </c>
      <c r="AC15" s="398">
        <f t="shared" si="54"/>
        <v>-1652619.8096976939</v>
      </c>
      <c r="AD15" s="398">
        <f t="shared" si="54"/>
        <v>-1801355.5925704865</v>
      </c>
      <c r="AF15" s="454">
        <f>IFERROR((Q15/G15)^(1/3)-1,"--")</f>
        <v>2.823414701947824E-2</v>
      </c>
      <c r="AG15" s="455">
        <f>IFERROR((AD15/Q15)^(1/5)-1,"--")</f>
        <v>0.13874825018324088</v>
      </c>
    </row>
    <row r="16" spans="1:33" x14ac:dyDescent="0.25">
      <c r="B16" s="17" t="s">
        <v>15</v>
      </c>
      <c r="C16" s="377"/>
      <c r="D16" s="377">
        <f t="shared" ref="D16:G16" si="55">D41</f>
        <v>7.1838655991806721E-2</v>
      </c>
      <c r="E16" s="377">
        <f t="shared" ref="E16:F16" si="56">E41</f>
        <v>-6.6495470498520781E-2</v>
      </c>
      <c r="F16" s="377">
        <f t="shared" si="56"/>
        <v>0.18768853741714198</v>
      </c>
      <c r="G16" s="400">
        <f t="shared" si="55"/>
        <v>0</v>
      </c>
      <c r="H16" s="377">
        <f>+H15/F15-1</f>
        <v>-0.28468732002204278</v>
      </c>
      <c r="I16" s="377">
        <f t="shared" ref="I16:L16" si="57">I41</f>
        <v>0.12244555143651525</v>
      </c>
      <c r="J16" s="377">
        <f t="shared" si="57"/>
        <v>0.27916337683649939</v>
      </c>
      <c r="K16" s="377">
        <f t="shared" si="57"/>
        <v>-0.11397276853252647</v>
      </c>
      <c r="L16" s="400">
        <f t="shared" si="57"/>
        <v>-3.6307284106982696E-2</v>
      </c>
      <c r="M16" s="377">
        <f>+M15/K15-1</f>
        <v>-4.3724729537755413E-2</v>
      </c>
      <c r="N16" s="377">
        <f t="shared" ref="N16:Q16" si="58">N41</f>
        <v>6.9683507839692238E-2</v>
      </c>
      <c r="O16" s="377">
        <f t="shared" si="58"/>
        <v>0.14107791467844177</v>
      </c>
      <c r="P16" s="377">
        <f t="shared" si="58"/>
        <v>-2.5964501657889549E-2</v>
      </c>
      <c r="Q16" s="400">
        <f t="shared" si="58"/>
        <v>0.12807374346158729</v>
      </c>
      <c r="R16" s="399">
        <f t="shared" ref="R16:V16" si="59">R41</f>
        <v>0.03</v>
      </c>
      <c r="S16" s="399">
        <f t="shared" ref="S16:U16" si="60">S41</f>
        <v>6.7500000000000004E-2</v>
      </c>
      <c r="T16" s="399">
        <f t="shared" si="60"/>
        <v>4.7500000000000001E-2</v>
      </c>
      <c r="U16" s="399">
        <f t="shared" si="60"/>
        <v>1.4999999999999999E-2</v>
      </c>
      <c r="V16" s="400">
        <f t="shared" si="59"/>
        <v>0.18123731340661764</v>
      </c>
      <c r="W16" s="399">
        <f t="shared" ref="W16:AA16" si="61">W41</f>
        <v>3.5000000000000003E-2</v>
      </c>
      <c r="X16" s="399">
        <f t="shared" si="61"/>
        <v>7.4999999999999997E-2</v>
      </c>
      <c r="Y16" s="399">
        <f t="shared" si="61"/>
        <v>0.04</v>
      </c>
      <c r="Z16" s="399">
        <f t="shared" si="61"/>
        <v>0.01</v>
      </c>
      <c r="AA16" s="400">
        <f t="shared" si="61"/>
        <v>0.1751099184381153</v>
      </c>
      <c r="AB16" s="401">
        <f t="shared" ref="AB16:AD16" si="62">AB41</f>
        <v>0.12</v>
      </c>
      <c r="AC16" s="401">
        <f t="shared" si="62"/>
        <v>0.13</v>
      </c>
      <c r="AD16" s="401">
        <f t="shared" si="62"/>
        <v>0.09</v>
      </c>
      <c r="AF16" s="454"/>
      <c r="AG16" s="56"/>
    </row>
    <row r="17" spans="1:33" x14ac:dyDescent="0.25">
      <c r="B17" s="9" t="str">
        <f>Model!B10</f>
        <v>Other Operating Expenses</v>
      </c>
      <c r="C17" s="380">
        <f>'Segment Analysis'!E11</f>
        <v>-150404</v>
      </c>
      <c r="D17" s="380">
        <f>'Segment Analysis'!F11</f>
        <v>-147475</v>
      </c>
      <c r="E17" s="380">
        <f>'Segment Analysis'!G11</f>
        <v>-142416</v>
      </c>
      <c r="F17" s="380">
        <f>'Segment Analysis'!H11</f>
        <v>-155989</v>
      </c>
      <c r="G17" s="398">
        <f>+SUM(C17:F17)</f>
        <v>-596284</v>
      </c>
      <c r="H17" s="380">
        <f>'Segment Analysis'!J11</f>
        <v>-145131</v>
      </c>
      <c r="I17" s="380">
        <f>'Segment Analysis'!K11</f>
        <v>-158134</v>
      </c>
      <c r="J17" s="380">
        <f>'Segment Analysis'!L11</f>
        <v>-167881</v>
      </c>
      <c r="K17" s="380">
        <f>'Segment Analysis'!M11</f>
        <v>-192397</v>
      </c>
      <c r="L17" s="398">
        <f>+SUM(H17:K17)</f>
        <v>-663543</v>
      </c>
      <c r="M17" s="380">
        <f>'Segment Analysis'!O11</f>
        <v>-167496</v>
      </c>
      <c r="N17" s="380">
        <f>'Segment Analysis'!P11</f>
        <v>-172339</v>
      </c>
      <c r="O17" s="380">
        <f>'Segment Analysis'!Q11</f>
        <v>-175568</v>
      </c>
      <c r="P17" s="380">
        <f>'Segment Analysis'!R11</f>
        <v>-204765</v>
      </c>
      <c r="Q17" s="398">
        <f>+SUM(M17:P17)</f>
        <v>-720168</v>
      </c>
      <c r="R17" s="397">
        <f>R46</f>
        <v>-188383.80000000002</v>
      </c>
      <c r="S17" s="397">
        <f t="shared" ref="S17:U17" si="63">S46</f>
        <v>-194035.31400000001</v>
      </c>
      <c r="T17" s="397">
        <f t="shared" si="63"/>
        <v>-198886.19685000001</v>
      </c>
      <c r="U17" s="397">
        <f t="shared" si="63"/>
        <v>-222255.324979875</v>
      </c>
      <c r="V17" s="398">
        <f>SUM(R17:U17)</f>
        <v>-803560.63582987501</v>
      </c>
      <c r="W17" s="397">
        <f>W46</f>
        <v>-206697.45223128374</v>
      </c>
      <c r="X17" s="397">
        <f t="shared" ref="X17:Z17" si="64">X46</f>
        <v>-215998.83758169148</v>
      </c>
      <c r="Y17" s="397">
        <f t="shared" si="64"/>
        <v>-222478.80270914224</v>
      </c>
      <c r="Z17" s="397">
        <f t="shared" si="64"/>
        <v>-246951.47100714792</v>
      </c>
      <c r="AA17" s="398">
        <f>SUM(W17:Z17)</f>
        <v>-892126.56352926535</v>
      </c>
      <c r="AB17" s="398">
        <f t="shared" ref="AB17:AD17" si="65">AB46</f>
        <v>-965727.00502042973</v>
      </c>
      <c r="AC17" s="398">
        <f t="shared" si="65"/>
        <v>-1177221.2191199039</v>
      </c>
      <c r="AD17" s="398">
        <f t="shared" si="65"/>
        <v>-1387943.8173423668</v>
      </c>
      <c r="AF17" s="454">
        <f>IFERROR((Q17/G17)^(1/3)-1,"--")</f>
        <v>6.4944286693623399E-2</v>
      </c>
      <c r="AG17" s="455">
        <f>IFERROR((AD17/Q17)^(1/5)-1,"--")</f>
        <v>0.14021726655019862</v>
      </c>
    </row>
    <row r="18" spans="1:33" x14ac:dyDescent="0.25">
      <c r="B18" s="17" t="s">
        <v>15</v>
      </c>
      <c r="C18" s="377"/>
      <c r="D18" s="377">
        <f t="shared" ref="D18:G18" si="66">D47</f>
        <v>-1.9474216111273646E-2</v>
      </c>
      <c r="E18" s="377">
        <f t="shared" ref="E18:F18" si="67">E47</f>
        <v>-3.4304119342261408E-2</v>
      </c>
      <c r="F18" s="377">
        <f t="shared" si="67"/>
        <v>9.530530277496907E-2</v>
      </c>
      <c r="G18" s="400">
        <f t="shared" si="66"/>
        <v>0</v>
      </c>
      <c r="H18" s="377">
        <f>+H17/F17-1</f>
        <v>-6.9607472321766228E-2</v>
      </c>
      <c r="I18" s="377">
        <f t="shared" ref="I18:L18" si="68">I47</f>
        <v>8.9594917695047904E-2</v>
      </c>
      <c r="J18" s="377">
        <f t="shared" si="68"/>
        <v>6.1637598492417789E-2</v>
      </c>
      <c r="K18" s="377">
        <f t="shared" si="68"/>
        <v>0.1460320107695332</v>
      </c>
      <c r="L18" s="400">
        <f t="shared" si="68"/>
        <v>0.11279692227193761</v>
      </c>
      <c r="M18" s="377">
        <f>+M17/K17-1</f>
        <v>-0.1294250949858885</v>
      </c>
      <c r="N18" s="377">
        <f t="shared" ref="N18:Q18" si="69">N47</f>
        <v>2.8914123322347995E-2</v>
      </c>
      <c r="O18" s="377">
        <f t="shared" si="69"/>
        <v>1.8736327819007803E-2</v>
      </c>
      <c r="P18" s="377">
        <f t="shared" si="69"/>
        <v>0.16630023694522911</v>
      </c>
      <c r="Q18" s="400">
        <f t="shared" si="69"/>
        <v>8.533734814473215E-2</v>
      </c>
      <c r="R18" s="399">
        <f t="shared" ref="R18:V18" si="70">R47</f>
        <v>-0.08</v>
      </c>
      <c r="S18" s="399">
        <f t="shared" ref="S18:U18" si="71">S47</f>
        <v>0.03</v>
      </c>
      <c r="T18" s="399">
        <f t="shared" si="71"/>
        <v>2.5000000000000001E-2</v>
      </c>
      <c r="U18" s="399">
        <f t="shared" si="71"/>
        <v>0.11749999999999999</v>
      </c>
      <c r="V18" s="400">
        <f t="shared" si="70"/>
        <v>0.11579608623248316</v>
      </c>
      <c r="W18" s="399">
        <f t="shared" ref="W18:AA18" si="72">W47</f>
        <v>-7.0000000000000007E-2</v>
      </c>
      <c r="X18" s="399">
        <f t="shared" si="72"/>
        <v>4.4999999999999998E-2</v>
      </c>
      <c r="Y18" s="399">
        <f t="shared" si="72"/>
        <v>0.03</v>
      </c>
      <c r="Z18" s="399">
        <f t="shared" si="72"/>
        <v>0.11</v>
      </c>
      <c r="AA18" s="400">
        <f t="shared" si="72"/>
        <v>0.11021685701157335</v>
      </c>
      <c r="AB18" s="401">
        <f t="shared" ref="AB18:AD18" si="73">AB47</f>
        <v>8.2500000000000004E-2</v>
      </c>
      <c r="AC18" s="401">
        <f t="shared" si="73"/>
        <v>0.219</v>
      </c>
      <c r="AD18" s="401">
        <f t="shared" si="73"/>
        <v>0.17899999999999999</v>
      </c>
      <c r="AF18" s="57"/>
      <c r="AG18" s="58"/>
    </row>
    <row r="19" spans="1:33" x14ac:dyDescent="0.25">
      <c r="B19" s="9"/>
      <c r="C19" s="375"/>
      <c r="D19" s="375"/>
      <c r="E19" s="375"/>
      <c r="F19" s="375"/>
      <c r="G19" s="42"/>
      <c r="H19" s="375"/>
      <c r="I19" s="375"/>
      <c r="J19" s="375"/>
      <c r="K19" s="375"/>
      <c r="L19" s="42"/>
      <c r="M19" s="375"/>
      <c r="N19" s="375"/>
      <c r="O19" s="375"/>
      <c r="P19" s="375"/>
      <c r="Q19" s="42"/>
      <c r="R19" s="373"/>
      <c r="S19" s="373"/>
      <c r="T19" s="373"/>
      <c r="U19" s="373"/>
      <c r="V19" s="42"/>
      <c r="W19" s="372"/>
      <c r="X19" s="372"/>
      <c r="Y19" s="372"/>
      <c r="Z19" s="372"/>
      <c r="AA19" s="42"/>
      <c r="AB19" s="42"/>
      <c r="AC19" s="42"/>
      <c r="AD19" s="42"/>
    </row>
    <row r="20" spans="1:33" x14ac:dyDescent="0.25">
      <c r="A20" s="387" t="s">
        <v>6</v>
      </c>
      <c r="B20" s="13" t="s">
        <v>16</v>
      </c>
      <c r="C20" s="14" t="str">
        <f t="shared" ref="C20:AD20" si="74">C5</f>
        <v>1Q23</v>
      </c>
      <c r="D20" s="14" t="str">
        <f t="shared" si="74"/>
        <v>2Q23</v>
      </c>
      <c r="E20" s="14" t="str">
        <f t="shared" si="74"/>
        <v>3Q23</v>
      </c>
      <c r="F20" s="14" t="str">
        <f t="shared" si="74"/>
        <v>4Q23</v>
      </c>
      <c r="G20" s="3">
        <f t="shared" si="74"/>
        <v>2023</v>
      </c>
      <c r="H20" s="14" t="str">
        <f t="shared" si="74"/>
        <v>1Q24</v>
      </c>
      <c r="I20" s="14" t="str">
        <f t="shared" si="74"/>
        <v>2Q24</v>
      </c>
      <c r="J20" s="14" t="str">
        <f t="shared" si="74"/>
        <v>3Q24</v>
      </c>
      <c r="K20" s="14" t="str">
        <f t="shared" si="74"/>
        <v>4Q24</v>
      </c>
      <c r="L20" s="3">
        <f t="shared" si="74"/>
        <v>2024</v>
      </c>
      <c r="M20" s="14" t="str">
        <f t="shared" si="74"/>
        <v>1Q25</v>
      </c>
      <c r="N20" s="14" t="str">
        <f t="shared" si="74"/>
        <v>2Q25</v>
      </c>
      <c r="O20" s="14" t="str">
        <f t="shared" si="74"/>
        <v>3Q25</v>
      </c>
      <c r="P20" s="14" t="str">
        <f t="shared" si="74"/>
        <v>4Q25</v>
      </c>
      <c r="Q20" s="3">
        <f t="shared" si="74"/>
        <v>2025</v>
      </c>
      <c r="R20" s="14" t="str">
        <f t="shared" si="74"/>
        <v>1Q26e</v>
      </c>
      <c r="S20" s="14" t="str">
        <f t="shared" si="74"/>
        <v>2Q26e</v>
      </c>
      <c r="T20" s="14" t="str">
        <f t="shared" si="74"/>
        <v>3Q26e</v>
      </c>
      <c r="U20" s="14" t="str">
        <f t="shared" si="74"/>
        <v>4Q26e</v>
      </c>
      <c r="V20" s="14" t="str">
        <f t="shared" si="74"/>
        <v>2026e</v>
      </c>
      <c r="W20" s="14" t="str">
        <f t="shared" si="74"/>
        <v>1Q27e</v>
      </c>
      <c r="X20" s="14" t="str">
        <f t="shared" si="74"/>
        <v>2Q27e</v>
      </c>
      <c r="Y20" s="14" t="str">
        <f t="shared" si="74"/>
        <v>3Q27e</v>
      </c>
      <c r="Z20" s="14" t="str">
        <f t="shared" si="74"/>
        <v>4Q27e</v>
      </c>
      <c r="AA20" s="14" t="str">
        <f t="shared" si="74"/>
        <v>2027e</v>
      </c>
      <c r="AB20" s="14" t="str">
        <f t="shared" si="74"/>
        <v>2028e</v>
      </c>
      <c r="AC20" s="14" t="str">
        <f t="shared" si="74"/>
        <v>2029e</v>
      </c>
      <c r="AD20" s="14" t="str">
        <f t="shared" si="74"/>
        <v>2030e</v>
      </c>
    </row>
    <row r="21" spans="1:33" x14ac:dyDescent="0.25">
      <c r="B21" s="9"/>
      <c r="C21" s="375"/>
      <c r="D21" s="375"/>
      <c r="E21" s="375"/>
      <c r="F21" s="375"/>
      <c r="G21" s="42"/>
      <c r="H21" s="375"/>
      <c r="I21" s="375"/>
      <c r="J21" s="375"/>
      <c r="K21" s="375"/>
      <c r="L21" s="42"/>
      <c r="M21" s="375"/>
      <c r="N21" s="375"/>
      <c r="O21" s="375"/>
      <c r="P21" s="375"/>
      <c r="Q21" s="42"/>
      <c r="R21" s="372"/>
      <c r="S21" s="372"/>
      <c r="T21" s="372"/>
      <c r="U21" s="372"/>
      <c r="V21" s="42"/>
      <c r="W21" s="372"/>
      <c r="X21" s="372"/>
      <c r="Y21" s="372"/>
      <c r="Z21" s="372"/>
      <c r="AA21" s="42"/>
      <c r="AB21" s="42"/>
      <c r="AC21" s="42"/>
      <c r="AD21" s="42"/>
    </row>
    <row r="22" spans="1:33" x14ac:dyDescent="0.25">
      <c r="B22" s="9" t="str">
        <f t="shared" ref="B22:Q22" si="75">B9</f>
        <v>Management Fees</v>
      </c>
      <c r="C22" s="375">
        <f t="shared" si="75"/>
        <v>738156</v>
      </c>
      <c r="D22" s="375">
        <f t="shared" si="75"/>
        <v>748888</v>
      </c>
      <c r="E22" s="375">
        <f t="shared" si="75"/>
        <v>758700</v>
      </c>
      <c r="F22" s="375">
        <f t="shared" si="75"/>
        <v>784581</v>
      </c>
      <c r="G22" s="326">
        <f t="shared" si="75"/>
        <v>3030325</v>
      </c>
      <c r="H22" s="375">
        <f t="shared" si="75"/>
        <v>815327</v>
      </c>
      <c r="I22" s="375">
        <f t="shared" si="75"/>
        <v>847307</v>
      </c>
      <c r="J22" s="375">
        <f t="shared" si="75"/>
        <v>892629</v>
      </c>
      <c r="K22" s="375">
        <f t="shared" si="75"/>
        <v>906118</v>
      </c>
      <c r="L22" s="326">
        <f t="shared" si="75"/>
        <v>3461381</v>
      </c>
      <c r="M22" s="375">
        <f t="shared" si="75"/>
        <v>917334</v>
      </c>
      <c r="N22" s="375">
        <f t="shared" si="75"/>
        <v>995763</v>
      </c>
      <c r="O22" s="375">
        <f t="shared" si="75"/>
        <v>1063553</v>
      </c>
      <c r="P22" s="375">
        <f t="shared" si="75"/>
        <v>1124191</v>
      </c>
      <c r="Q22" s="326">
        <f t="shared" si="75"/>
        <v>4100841</v>
      </c>
      <c r="R22" s="372">
        <f>P22*(1+R23)</f>
        <v>1143864.3425</v>
      </c>
      <c r="S22" s="372">
        <f>R22*(1+S23)</f>
        <v>1185043.4588300001</v>
      </c>
      <c r="T22" s="372">
        <f t="shared" ref="T22:U22" si="76">S22*(1+T23)</f>
        <v>1241925.5448538403</v>
      </c>
      <c r="U22" s="372">
        <f t="shared" si="76"/>
        <v>1291602.5666479939</v>
      </c>
      <c r="V22" s="326">
        <f>SUM(R22:U22)</f>
        <v>4862435.9128318336</v>
      </c>
      <c r="W22" s="372">
        <f>U22*(1+W23)</f>
        <v>1346495.6757305337</v>
      </c>
      <c r="X22" s="372">
        <f>W22*(1+X23)</f>
        <v>1397662.5114082941</v>
      </c>
      <c r="Y22" s="372">
        <f t="shared" ref="Y22" si="77">X22*(1+Y23)</f>
        <v>1453569.0118646258</v>
      </c>
      <c r="Z22" s="372">
        <f t="shared" ref="Z22" si="78">Y22*(1+Z23)</f>
        <v>1504443.9272798877</v>
      </c>
      <c r="AA22" s="326">
        <f>SUM(W22:Z22)</f>
        <v>5702171.1262833411</v>
      </c>
      <c r="AB22" s="326">
        <f t="shared" ref="AB22" si="79">AA22*(1+AB23)</f>
        <v>6295196.9234168092</v>
      </c>
      <c r="AC22" s="326">
        <f>AB22*(1+AC23)</f>
        <v>7230033.6665442055</v>
      </c>
      <c r="AD22" s="326">
        <f>AC22*(1+AD23)</f>
        <v>8014492.3193642525</v>
      </c>
    </row>
    <row r="23" spans="1:33" x14ac:dyDescent="0.25">
      <c r="B23" s="17" t="str">
        <f>B10</f>
        <v>% Growth</v>
      </c>
      <c r="C23" s="377"/>
      <c r="D23" s="377">
        <f>D22/C22-1</f>
        <v>1.4538932149843697E-2</v>
      </c>
      <c r="E23" s="377">
        <f t="shared" ref="E23:F23" si="80">E22/D22-1</f>
        <v>1.3102092702780732E-2</v>
      </c>
      <c r="F23" s="377">
        <f t="shared" si="80"/>
        <v>3.4112297350731513E-2</v>
      </c>
      <c r="G23" s="43">
        <v>0</v>
      </c>
      <c r="H23" s="377">
        <f>H22/F22-1</f>
        <v>3.918779577889353E-2</v>
      </c>
      <c r="I23" s="377">
        <f>I22/H22-1</f>
        <v>3.9223526266148445E-2</v>
      </c>
      <c r="J23" s="377">
        <f t="shared" ref="J23" si="81">J22/I22-1</f>
        <v>5.3489467217903375E-2</v>
      </c>
      <c r="K23" s="377">
        <f t="shared" ref="K23" si="82">K22/J22-1</f>
        <v>1.5111541301033204E-2</v>
      </c>
      <c r="L23" s="43">
        <f>L22/G22-1</f>
        <v>0.14224744870599682</v>
      </c>
      <c r="M23" s="377">
        <f>M22/K22-1</f>
        <v>1.2378078793269687E-2</v>
      </c>
      <c r="N23" s="377">
        <f>N22/M22-1</f>
        <v>8.5496667516956837E-2</v>
      </c>
      <c r="O23" s="377">
        <f t="shared" ref="O23" si="83">O22/N22-1</f>
        <v>6.8078448385810786E-2</v>
      </c>
      <c r="P23" s="377">
        <f t="shared" ref="P23" si="84">P22/O22-1</f>
        <v>5.7014554046671773E-2</v>
      </c>
      <c r="Q23" s="43">
        <f>Q22/L22-1</f>
        <v>0.18474129256501959</v>
      </c>
      <c r="R23" s="378">
        <f t="shared" ref="R23" si="85">IF(Case_Scenario="Bull",R24,IF(Case_Scenario="Base",R25,IF(Case_Scenario="Bear",R26,"N/A")))</f>
        <v>1.7500000000000002E-2</v>
      </c>
      <c r="S23" s="378">
        <f t="shared" ref="S23:U23" si="86">IF(Case_Scenario="Bull",S24,IF(Case_Scenario="Base",S25,IF(Case_Scenario="Bear",S26,"N/A")))</f>
        <v>3.5999999999999997E-2</v>
      </c>
      <c r="T23" s="378">
        <f t="shared" si="86"/>
        <v>4.8000000000000001E-2</v>
      </c>
      <c r="U23" s="378">
        <f t="shared" si="86"/>
        <v>0.04</v>
      </c>
      <c r="V23" s="43">
        <f>V22/Q22-1</f>
        <v>0.18571676220361466</v>
      </c>
      <c r="W23" s="378">
        <f t="shared" ref="W23:Z23" si="87">IF(Case_Scenario="Bull",W24,IF(Case_Scenario="Base",W25,IF(Case_Scenario="Bear",W26,"N/A")))</f>
        <v>4.2500000000000003E-2</v>
      </c>
      <c r="X23" s="378">
        <f t="shared" si="87"/>
        <v>3.7999999999999999E-2</v>
      </c>
      <c r="Y23" s="378">
        <f t="shared" si="87"/>
        <v>0.04</v>
      </c>
      <c r="Z23" s="378">
        <f t="shared" si="87"/>
        <v>3.5000000000000003E-2</v>
      </c>
      <c r="AA23" s="43">
        <f>AA22/V22-1</f>
        <v>0.17269846400144218</v>
      </c>
      <c r="AB23" s="43">
        <f t="shared" ref="AB23:AC23" si="88">IF(Case_Scenario="Bull",AB24,IF(Case_Scenario="Base",AB25,IF(Case_Scenario="Bear",AB26,"N/A")))</f>
        <v>0.104</v>
      </c>
      <c r="AC23" s="43">
        <f t="shared" si="88"/>
        <v>0.14849999999999999</v>
      </c>
      <c r="AD23" s="43">
        <f t="shared" ref="AD23" si="89">IF(Case_Scenario="Bull",AD24,IF(Case_Scenario="Base",AD25,IF(Case_Scenario="Bear",AD26,"N/A")))</f>
        <v>0.10849999999999999</v>
      </c>
    </row>
    <row r="24" spans="1:33" x14ac:dyDescent="0.25">
      <c r="B24" s="17" t="s">
        <v>18</v>
      </c>
      <c r="C24" s="376"/>
      <c r="D24" s="376"/>
      <c r="E24" s="376"/>
      <c r="F24" s="376"/>
      <c r="G24" s="44"/>
      <c r="H24" s="376"/>
      <c r="I24" s="376"/>
      <c r="J24" s="376"/>
      <c r="K24" s="376"/>
      <c r="L24" s="44"/>
      <c r="M24" s="376"/>
      <c r="N24" s="376"/>
      <c r="O24" s="376"/>
      <c r="P24" s="376"/>
      <c r="Q24" s="44"/>
      <c r="R24" s="396">
        <f>R25+1%</f>
        <v>2.7500000000000004E-2</v>
      </c>
      <c r="S24" s="396">
        <f t="shared" ref="S24:U24" si="90">S25+1%</f>
        <v>4.5999999999999999E-2</v>
      </c>
      <c r="T24" s="396">
        <f t="shared" si="90"/>
        <v>5.8000000000000003E-2</v>
      </c>
      <c r="U24" s="396">
        <f t="shared" si="90"/>
        <v>0.05</v>
      </c>
      <c r="V24" s="45"/>
      <c r="W24" s="396">
        <f>W25+1%</f>
        <v>5.2500000000000005E-2</v>
      </c>
      <c r="X24" s="396">
        <f t="shared" ref="X24" si="91">X25+1%</f>
        <v>4.8000000000000001E-2</v>
      </c>
      <c r="Y24" s="396">
        <f t="shared" ref="Y24" si="92">Y25+1%</f>
        <v>0.05</v>
      </c>
      <c r="Z24" s="396">
        <f t="shared" ref="Z24" si="93">Z25+1%</f>
        <v>4.5000000000000005E-2</v>
      </c>
      <c r="AA24" s="45"/>
      <c r="AB24" s="330">
        <f t="shared" ref="AB24" si="94">AB25+1%</f>
        <v>0.11399999999999999</v>
      </c>
      <c r="AC24" s="330">
        <f t="shared" ref="AC24:AD24" si="95">AC25+1%</f>
        <v>0.1585</v>
      </c>
      <c r="AD24" s="330">
        <f t="shared" si="95"/>
        <v>0.11849999999999998</v>
      </c>
    </row>
    <row r="25" spans="1:33" x14ac:dyDescent="0.25">
      <c r="B25" s="17" t="s">
        <v>19</v>
      </c>
      <c r="C25" s="376"/>
      <c r="D25" s="376"/>
      <c r="E25" s="376"/>
      <c r="F25" s="376"/>
      <c r="G25" s="44"/>
      <c r="H25" s="376"/>
      <c r="I25" s="376"/>
      <c r="J25" s="376"/>
      <c r="K25" s="376"/>
      <c r="L25" s="44"/>
      <c r="M25" s="376"/>
      <c r="N25" s="376"/>
      <c r="O25" s="376"/>
      <c r="P25" s="376"/>
      <c r="Q25" s="44"/>
      <c r="R25" s="396">
        <v>1.7500000000000002E-2</v>
      </c>
      <c r="S25" s="396">
        <v>3.5999999999999997E-2</v>
      </c>
      <c r="T25" s="396">
        <v>4.8000000000000001E-2</v>
      </c>
      <c r="U25" s="396">
        <v>0.04</v>
      </c>
      <c r="V25" s="45"/>
      <c r="W25" s="396">
        <v>4.2500000000000003E-2</v>
      </c>
      <c r="X25" s="396">
        <v>3.7999999999999999E-2</v>
      </c>
      <c r="Y25" s="396">
        <v>0.04</v>
      </c>
      <c r="Z25" s="396">
        <v>3.5000000000000003E-2</v>
      </c>
      <c r="AA25" s="45"/>
      <c r="AB25" s="330">
        <v>0.104</v>
      </c>
      <c r="AC25" s="330">
        <v>0.14849999999999999</v>
      </c>
      <c r="AD25" s="330">
        <f>+AC25-4%</f>
        <v>0.10849999999999999</v>
      </c>
    </row>
    <row r="26" spans="1:33" x14ac:dyDescent="0.25">
      <c r="B26" s="17" t="s">
        <v>20</v>
      </c>
      <c r="C26" s="376"/>
      <c r="D26" s="376"/>
      <c r="E26" s="376"/>
      <c r="F26" s="376"/>
      <c r="G26" s="44"/>
      <c r="H26" s="376"/>
      <c r="I26" s="376"/>
      <c r="J26" s="376"/>
      <c r="K26" s="376"/>
      <c r="L26" s="44"/>
      <c r="M26" s="376"/>
      <c r="N26" s="376"/>
      <c r="O26" s="376"/>
      <c r="P26" s="376"/>
      <c r="Q26" s="44"/>
      <c r="R26" s="396">
        <f>R25-1%</f>
        <v>7.5000000000000015E-3</v>
      </c>
      <c r="S26" s="396">
        <f t="shared" ref="S26:U26" si="96">S25-1%</f>
        <v>2.5999999999999995E-2</v>
      </c>
      <c r="T26" s="396">
        <f t="shared" si="96"/>
        <v>3.7999999999999999E-2</v>
      </c>
      <c r="U26" s="396">
        <f t="shared" si="96"/>
        <v>0.03</v>
      </c>
      <c r="V26" s="45"/>
      <c r="W26" s="396">
        <f>W25-1%</f>
        <v>3.2500000000000001E-2</v>
      </c>
      <c r="X26" s="396">
        <f t="shared" ref="X26" si="97">X25-1%</f>
        <v>2.7999999999999997E-2</v>
      </c>
      <c r="Y26" s="396">
        <f t="shared" ref="Y26" si="98">Y25-1%</f>
        <v>0.03</v>
      </c>
      <c r="Z26" s="396">
        <f t="shared" ref="Z26" si="99">Z25-1%</f>
        <v>2.5000000000000001E-2</v>
      </c>
      <c r="AA26" s="45"/>
      <c r="AB26" s="330">
        <f t="shared" ref="AB26" si="100">AB25-1%</f>
        <v>9.4E-2</v>
      </c>
      <c r="AC26" s="330">
        <f t="shared" ref="AC26:AD26" si="101">AC25-1%</f>
        <v>0.13849999999999998</v>
      </c>
      <c r="AD26" s="330">
        <f t="shared" si="101"/>
        <v>9.849999999999999E-2</v>
      </c>
    </row>
    <row r="27" spans="1:33" x14ac:dyDescent="0.25">
      <c r="B27" s="9"/>
      <c r="C27" s="376"/>
      <c r="D27" s="376"/>
      <c r="E27" s="376"/>
      <c r="F27" s="376"/>
      <c r="G27" s="44"/>
      <c r="H27" s="376"/>
      <c r="I27" s="376"/>
      <c r="J27" s="376"/>
      <c r="K27" s="376"/>
      <c r="L27" s="44"/>
      <c r="M27" s="376"/>
      <c r="N27" s="376"/>
      <c r="O27" s="376"/>
      <c r="P27" s="376"/>
      <c r="Q27" s="44"/>
      <c r="R27" s="379"/>
      <c r="S27" s="379"/>
      <c r="T27" s="379"/>
      <c r="U27" s="379"/>
      <c r="V27" s="42"/>
      <c r="W27" s="379"/>
      <c r="X27" s="379"/>
      <c r="Y27" s="379"/>
      <c r="Z27" s="379"/>
      <c r="AA27" s="42"/>
      <c r="AB27" s="42"/>
      <c r="AC27" s="42"/>
      <c r="AD27" s="42"/>
    </row>
    <row r="28" spans="1:33" x14ac:dyDescent="0.25">
      <c r="B28" s="18" t="str">
        <f t="shared" ref="B28:Q28" si="102">B11</f>
        <v>Transaction and Monitoring Fees</v>
      </c>
      <c r="C28" s="375">
        <f t="shared" si="102"/>
        <v>142179</v>
      </c>
      <c r="D28" s="375">
        <f t="shared" si="102"/>
        <v>190228</v>
      </c>
      <c r="E28" s="375">
        <f t="shared" si="102"/>
        <v>124014</v>
      </c>
      <c r="F28" s="375">
        <f t="shared" si="102"/>
        <v>264233</v>
      </c>
      <c r="G28" s="42">
        <f t="shared" si="102"/>
        <v>720654</v>
      </c>
      <c r="H28" s="375">
        <f t="shared" si="102"/>
        <v>152084</v>
      </c>
      <c r="I28" s="375">
        <f t="shared" si="102"/>
        <v>222858</v>
      </c>
      <c r="J28" s="375">
        <f t="shared" si="102"/>
        <v>467145</v>
      </c>
      <c r="K28" s="375">
        <f t="shared" si="102"/>
        <v>323797</v>
      </c>
      <c r="L28" s="42">
        <f t="shared" si="102"/>
        <v>1165884</v>
      </c>
      <c r="M28" s="375">
        <f t="shared" si="102"/>
        <v>261509</v>
      </c>
      <c r="N28" s="375">
        <f t="shared" si="102"/>
        <v>234249</v>
      </c>
      <c r="O28" s="375">
        <f t="shared" si="102"/>
        <v>328124</v>
      </c>
      <c r="P28" s="375">
        <f t="shared" si="102"/>
        <v>268695</v>
      </c>
      <c r="Q28" s="42">
        <f t="shared" si="102"/>
        <v>1092577</v>
      </c>
      <c r="R28" s="372">
        <f>P28*(1+R29)</f>
        <v>297579.71249999997</v>
      </c>
      <c r="S28" s="372">
        <f>R28*(1+S29)</f>
        <v>331057.43015624996</v>
      </c>
      <c r="T28" s="372">
        <f t="shared" ref="T28" si="103">S28*(1+T29)</f>
        <v>335195.64803320309</v>
      </c>
      <c r="U28" s="372">
        <f t="shared" ref="U28" si="104">T28*(1+U29)</f>
        <v>355307.38691519527</v>
      </c>
      <c r="V28" s="326">
        <f>SUM(R28:U28)</f>
        <v>1319140.1776046483</v>
      </c>
      <c r="W28" s="372">
        <f>U28*(1+W29)</f>
        <v>353530.84998061927</v>
      </c>
      <c r="X28" s="372">
        <f>W28*(1+X29)</f>
        <v>396838.37910324516</v>
      </c>
      <c r="Y28" s="372">
        <f t="shared" ref="Y28" si="105">X28*(1+Y29)</f>
        <v>400806.76289427764</v>
      </c>
      <c r="Z28" s="372">
        <f t="shared" ref="Z28" si="106">Y28*(1+Z29)</f>
        <v>418843.06722452008</v>
      </c>
      <c r="AA28" s="326">
        <f>SUM(W28:Z28)</f>
        <v>1570019.0592026622</v>
      </c>
      <c r="AB28" s="326">
        <f t="shared" ref="AB28" si="107">AA28*(1+AB29)</f>
        <v>1703470.6792348884</v>
      </c>
      <c r="AC28" s="326">
        <f t="shared" ref="AC28:AD28" si="108">AB28*(1+AC29)</f>
        <v>1682177.2957444524</v>
      </c>
      <c r="AD28" s="326">
        <f t="shared" si="108"/>
        <v>1593862.9877178688</v>
      </c>
    </row>
    <row r="29" spans="1:33" x14ac:dyDescent="0.25">
      <c r="B29" s="17" t="str">
        <f>B16</f>
        <v>% Growth</v>
      </c>
      <c r="C29" s="377"/>
      <c r="D29" s="377">
        <f>D28/C28-1</f>
        <v>0.33794723552704697</v>
      </c>
      <c r="E29" s="377">
        <f t="shared" ref="E29" si="109">E28/D28-1</f>
        <v>-0.34807704438883869</v>
      </c>
      <c r="F29" s="377">
        <f t="shared" ref="F29" si="110">F28/E28-1</f>
        <v>1.1306707307239505</v>
      </c>
      <c r="G29" s="43">
        <v>0</v>
      </c>
      <c r="H29" s="377">
        <f>H28/F28-1</f>
        <v>-0.42443222458966134</v>
      </c>
      <c r="I29" s="377">
        <f>I28/H28-1</f>
        <v>0.46536124773151677</v>
      </c>
      <c r="J29" s="377">
        <f t="shared" ref="J29" si="111">J28/I28-1</f>
        <v>1.0961553994023099</v>
      </c>
      <c r="K29" s="377">
        <f t="shared" ref="K29" si="112">K28/J28-1</f>
        <v>-0.30685975446595815</v>
      </c>
      <c r="L29" s="43">
        <f>L28/G28-1</f>
        <v>0.61781381911430455</v>
      </c>
      <c r="M29" s="377">
        <f>M28/K28-1</f>
        <v>-0.19236744009363893</v>
      </c>
      <c r="N29" s="377">
        <f>N28/M28-1</f>
        <v>-0.1042411542241376</v>
      </c>
      <c r="O29" s="377">
        <f t="shared" ref="O29" si="113">O28/N28-1</f>
        <v>0.40074877587524393</v>
      </c>
      <c r="P29" s="377">
        <f t="shared" ref="P29" si="114">P28/O28-1</f>
        <v>-0.18111750435810847</v>
      </c>
      <c r="Q29" s="43">
        <f>Q28/L28-1</f>
        <v>-6.2876752747271558E-2</v>
      </c>
      <c r="R29" s="378">
        <f t="shared" ref="R29:U29" si="115">IF(Case_Scenario="Bull",R30,IF(Case_Scenario="Base",R31,IF(Case_Scenario="Bear",R32,"N/A")))</f>
        <v>0.1075</v>
      </c>
      <c r="S29" s="378">
        <f t="shared" si="115"/>
        <v>0.1125</v>
      </c>
      <c r="T29" s="378">
        <f t="shared" si="115"/>
        <v>1.2500000000000001E-2</v>
      </c>
      <c r="U29" s="378">
        <f t="shared" si="115"/>
        <v>0.06</v>
      </c>
      <c r="V29" s="43">
        <f>V28/Q28-1</f>
        <v>0.20736586767307785</v>
      </c>
      <c r="W29" s="378">
        <f t="shared" ref="W29:Z29" si="116">IF(Case_Scenario="Bull",W30,IF(Case_Scenario="Base",W31,IF(Case_Scenario="Bear",W32,"N/A")))</f>
        <v>-5.0000000000000001E-3</v>
      </c>
      <c r="X29" s="378">
        <f t="shared" si="116"/>
        <v>0.1225</v>
      </c>
      <c r="Y29" s="378">
        <f t="shared" si="116"/>
        <v>0.01</v>
      </c>
      <c r="Z29" s="378">
        <f t="shared" si="116"/>
        <v>4.4999999999999998E-2</v>
      </c>
      <c r="AA29" s="43">
        <f>AA28/V28-1</f>
        <v>0.19018364072086014</v>
      </c>
      <c r="AB29" s="43">
        <f t="shared" ref="AB29:AC29" si="117">IF(Case_Scenario="Bull",AB30,IF(Case_Scenario="Base",AB31,IF(Case_Scenario="Bear",AB32,"N/A")))</f>
        <v>8.5000000000000006E-2</v>
      </c>
      <c r="AC29" s="43">
        <f t="shared" si="117"/>
        <v>-1.2500000000000001E-2</v>
      </c>
      <c r="AD29" s="43">
        <f t="shared" ref="AD29" si="118">IF(Case_Scenario="Bull",AD30,IF(Case_Scenario="Base",AD31,IF(Case_Scenario="Bear",AD32,"N/A")))</f>
        <v>-5.2500000000000005E-2</v>
      </c>
    </row>
    <row r="30" spans="1:33" x14ac:dyDescent="0.25">
      <c r="B30" s="17" t="s">
        <v>18</v>
      </c>
      <c r="C30" s="375"/>
      <c r="D30" s="375"/>
      <c r="E30" s="375"/>
      <c r="F30" s="375"/>
      <c r="G30" s="42"/>
      <c r="H30" s="375"/>
      <c r="I30" s="375"/>
      <c r="J30" s="375"/>
      <c r="K30" s="375"/>
      <c r="L30" s="42"/>
      <c r="M30" s="375"/>
      <c r="N30" s="375"/>
      <c r="O30" s="375"/>
      <c r="P30" s="375"/>
      <c r="Q30" s="42"/>
      <c r="R30" s="396">
        <f>R31+1%</f>
        <v>0.11749999999999999</v>
      </c>
      <c r="S30" s="396">
        <f t="shared" ref="S30" si="119">S31+1%</f>
        <v>0.1225</v>
      </c>
      <c r="T30" s="396">
        <f t="shared" ref="T30" si="120">T31+1%</f>
        <v>2.2499999999999999E-2</v>
      </c>
      <c r="U30" s="396">
        <f t="shared" ref="U30" si="121">U31+1%</f>
        <v>6.9999999999999993E-2</v>
      </c>
      <c r="V30" s="45"/>
      <c r="W30" s="428">
        <f>W31+1%</f>
        <v>5.0000000000000001E-3</v>
      </c>
      <c r="X30" s="428">
        <f t="shared" ref="X30" si="122">X31+1%</f>
        <v>0.13250000000000001</v>
      </c>
      <c r="Y30" s="428">
        <f t="shared" ref="Y30" si="123">Y31+1%</f>
        <v>0.02</v>
      </c>
      <c r="Z30" s="428">
        <f t="shared" ref="Z30" si="124">Z31+1%</f>
        <v>5.5E-2</v>
      </c>
      <c r="AA30" s="45"/>
      <c r="AB30" s="330">
        <f t="shared" ref="AB30" si="125">AB31+1%</f>
        <v>9.5000000000000001E-2</v>
      </c>
      <c r="AC30" s="429">
        <f t="shared" ref="AC30:AD30" si="126">AC31+1%</f>
        <v>-2.5000000000000005E-3</v>
      </c>
      <c r="AD30" s="429">
        <f t="shared" si="126"/>
        <v>-4.2500000000000003E-2</v>
      </c>
    </row>
    <row r="31" spans="1:33" x14ac:dyDescent="0.25">
      <c r="B31" s="17" t="s">
        <v>19</v>
      </c>
      <c r="C31" s="375"/>
      <c r="D31" s="375"/>
      <c r="E31" s="375"/>
      <c r="F31" s="375"/>
      <c r="G31" s="42"/>
      <c r="H31" s="375"/>
      <c r="I31" s="375"/>
      <c r="J31" s="375"/>
      <c r="K31" s="375"/>
      <c r="L31" s="42"/>
      <c r="M31" s="375"/>
      <c r="N31" s="375"/>
      <c r="O31" s="375"/>
      <c r="P31" s="375"/>
      <c r="Q31" s="42"/>
      <c r="R31" s="396">
        <v>0.1075</v>
      </c>
      <c r="S31" s="396">
        <v>0.1125</v>
      </c>
      <c r="T31" s="396">
        <v>1.2500000000000001E-2</v>
      </c>
      <c r="U31" s="396">
        <v>0.06</v>
      </c>
      <c r="V31" s="45"/>
      <c r="W31" s="428">
        <v>-5.0000000000000001E-3</v>
      </c>
      <c r="X31" s="428">
        <v>0.1225</v>
      </c>
      <c r="Y31" s="428">
        <v>0.01</v>
      </c>
      <c r="Z31" s="428">
        <v>4.4999999999999998E-2</v>
      </c>
      <c r="AA31" s="45"/>
      <c r="AB31" s="330">
        <v>8.5000000000000006E-2</v>
      </c>
      <c r="AC31" s="429">
        <v>-1.2500000000000001E-2</v>
      </c>
      <c r="AD31" s="429">
        <f>+AC31-4%</f>
        <v>-5.2500000000000005E-2</v>
      </c>
    </row>
    <row r="32" spans="1:33" x14ac:dyDescent="0.25">
      <c r="B32" s="17" t="s">
        <v>20</v>
      </c>
      <c r="C32" s="375"/>
      <c r="D32" s="375"/>
      <c r="E32" s="375"/>
      <c r="F32" s="375"/>
      <c r="G32" s="42"/>
      <c r="H32" s="375"/>
      <c r="I32" s="375"/>
      <c r="J32" s="375"/>
      <c r="K32" s="375"/>
      <c r="L32" s="42"/>
      <c r="M32" s="375"/>
      <c r="N32" s="375"/>
      <c r="O32" s="375"/>
      <c r="P32" s="375"/>
      <c r="Q32" s="42"/>
      <c r="R32" s="396">
        <f>R31-1%</f>
        <v>9.7500000000000003E-2</v>
      </c>
      <c r="S32" s="396">
        <f t="shared" ref="S32" si="127">S31-1%</f>
        <v>0.10250000000000001</v>
      </c>
      <c r="T32" s="396">
        <f t="shared" ref="T32" si="128">T31-1%</f>
        <v>2.5000000000000005E-3</v>
      </c>
      <c r="U32" s="396">
        <f t="shared" ref="U32" si="129">U31-1%</f>
        <v>4.9999999999999996E-2</v>
      </c>
      <c r="V32" s="45"/>
      <c r="W32" s="428">
        <f>W31-1%</f>
        <v>-1.4999999999999999E-2</v>
      </c>
      <c r="X32" s="428">
        <f t="shared" ref="X32" si="130">X31-1%</f>
        <v>0.1125</v>
      </c>
      <c r="Y32" s="428">
        <f t="shared" ref="Y32" si="131">Y31-1%</f>
        <v>0</v>
      </c>
      <c r="Z32" s="428">
        <f t="shared" ref="Z32" si="132">Z31-1%</f>
        <v>3.4999999999999996E-2</v>
      </c>
      <c r="AA32" s="45"/>
      <c r="AB32" s="330">
        <f t="shared" ref="AB32" si="133">AB31-1%</f>
        <v>7.5000000000000011E-2</v>
      </c>
      <c r="AC32" s="429">
        <f t="shared" ref="AC32:AD32" si="134">AC31-1%</f>
        <v>-2.2499999999999999E-2</v>
      </c>
      <c r="AD32" s="429">
        <f t="shared" si="134"/>
        <v>-6.25E-2</v>
      </c>
    </row>
    <row r="33" spans="2:32" x14ac:dyDescent="0.25">
      <c r="B33" s="9"/>
      <c r="C33" s="375"/>
      <c r="D33" s="375"/>
      <c r="E33" s="375"/>
      <c r="F33" s="375"/>
      <c r="G33" s="42"/>
      <c r="H33" s="375"/>
      <c r="I33" s="375"/>
      <c r="J33" s="375"/>
      <c r="K33" s="375"/>
      <c r="L33" s="42"/>
      <c r="M33" s="375"/>
      <c r="N33" s="375"/>
      <c r="O33" s="375"/>
      <c r="P33" s="375"/>
      <c r="Q33" s="42"/>
      <c r="R33" s="372"/>
      <c r="S33" s="372"/>
      <c r="T33" s="372"/>
      <c r="U33" s="372"/>
      <c r="V33" s="42"/>
      <c r="W33" s="372"/>
      <c r="X33" s="372"/>
      <c r="Y33" s="372"/>
      <c r="Z33" s="372"/>
      <c r="AA33" s="42"/>
      <c r="AB33" s="42"/>
      <c r="AC33" s="42"/>
      <c r="AD33" s="42"/>
    </row>
    <row r="34" spans="2:32" x14ac:dyDescent="0.25">
      <c r="B34" s="9" t="str">
        <f t="shared" ref="B34:Q34" si="135">B13</f>
        <v>Fee-Related Performance Revenues</v>
      </c>
      <c r="C34" s="375">
        <f t="shared" si="135"/>
        <v>21741</v>
      </c>
      <c r="D34" s="375">
        <f t="shared" si="135"/>
        <v>28352</v>
      </c>
      <c r="E34" s="375">
        <f t="shared" si="135"/>
        <v>20436</v>
      </c>
      <c r="F34" s="375">
        <f t="shared" si="135"/>
        <v>23898</v>
      </c>
      <c r="G34" s="327">
        <f t="shared" si="135"/>
        <v>94427</v>
      </c>
      <c r="H34" s="375">
        <f t="shared" si="135"/>
        <v>19101</v>
      </c>
      <c r="I34" s="375">
        <f t="shared" si="135"/>
        <v>37145</v>
      </c>
      <c r="J34" s="375">
        <f t="shared" si="135"/>
        <v>56655</v>
      </c>
      <c r="K34" s="375">
        <f t="shared" si="135"/>
        <v>25091</v>
      </c>
      <c r="L34" s="327">
        <f t="shared" si="135"/>
        <v>137992</v>
      </c>
      <c r="M34" s="375">
        <f t="shared" si="135"/>
        <v>21277</v>
      </c>
      <c r="N34" s="375">
        <f t="shared" si="135"/>
        <v>53737</v>
      </c>
      <c r="O34" s="375">
        <f t="shared" si="135"/>
        <v>73177</v>
      </c>
      <c r="P34" s="375">
        <f t="shared" si="135"/>
        <v>33593</v>
      </c>
      <c r="Q34" s="327">
        <f t="shared" si="135"/>
        <v>181784</v>
      </c>
      <c r="R34" s="372">
        <f>P34*(1+R35)</f>
        <v>38296.020000000004</v>
      </c>
      <c r="S34" s="372">
        <f>R34*(1+S35)</f>
        <v>67018.035000000003</v>
      </c>
      <c r="T34" s="372">
        <f t="shared" ref="T34" si="136">S34*(1+T35)</f>
        <v>83772.543750000012</v>
      </c>
      <c r="U34" s="372">
        <f t="shared" ref="U34" si="137">T34*(1+U35)</f>
        <v>47750.34993750001</v>
      </c>
      <c r="V34" s="326">
        <f>SUM(R34:U34)</f>
        <v>236836.94868750003</v>
      </c>
      <c r="W34" s="372">
        <f>U34*(1+W35)</f>
        <v>41542.804445625006</v>
      </c>
      <c r="X34" s="372">
        <f>W34*(1+X35)</f>
        <v>82877.894869021897</v>
      </c>
      <c r="Y34" s="372">
        <f t="shared" ref="Y34" si="138">X34*(1+Y35)</f>
        <v>104011.75806062247</v>
      </c>
      <c r="Z34" s="372">
        <f t="shared" ref="Z34" si="139">Y34*(1+Z35)</f>
        <v>55126.231772129911</v>
      </c>
      <c r="AA34" s="326">
        <f>SUM(W34:Z34)</f>
        <v>283558.68914739927</v>
      </c>
      <c r="AB34" s="326">
        <f t="shared" ref="AB34" si="140">AA34*(1+AB35)</f>
        <v>351612.77454277512</v>
      </c>
      <c r="AC34" s="326">
        <f t="shared" ref="AC34:AD34" si="141">AB34*(1+AC35)</f>
        <v>502806.26759616839</v>
      </c>
      <c r="AD34" s="326">
        <f t="shared" si="141"/>
        <v>698900.71195867413</v>
      </c>
      <c r="AF34" s="16"/>
    </row>
    <row r="35" spans="2:32" x14ac:dyDescent="0.25">
      <c r="B35" s="17" t="s">
        <v>15</v>
      </c>
      <c r="C35" s="377"/>
      <c r="D35" s="377">
        <f>D34/C34-1</f>
        <v>0.30407984913297459</v>
      </c>
      <c r="E35" s="377">
        <f t="shared" ref="E35" si="142">E34/D34-1</f>
        <v>-0.27920428893905191</v>
      </c>
      <c r="F35" s="377">
        <f t="shared" ref="F35" si="143">F34/E34-1</f>
        <v>0.16940692894891374</v>
      </c>
      <c r="G35" s="43">
        <v>0</v>
      </c>
      <c r="H35" s="377">
        <f>H34/F34-1</f>
        <v>-0.20072809440120509</v>
      </c>
      <c r="I35" s="377">
        <f>I34/H34-1</f>
        <v>0.94466258311083195</v>
      </c>
      <c r="J35" s="377">
        <f t="shared" ref="J35" si="144">J34/I34-1</f>
        <v>0.52523892852335452</v>
      </c>
      <c r="K35" s="377">
        <f t="shared" ref="K35" si="145">K34/J34-1</f>
        <v>-0.55712646721383807</v>
      </c>
      <c r="L35" s="43">
        <f>L34/G34-1</f>
        <v>0.46136168680568068</v>
      </c>
      <c r="M35" s="377">
        <f>M34/K34-1</f>
        <v>-0.15200669562791436</v>
      </c>
      <c r="N35" s="377">
        <f>N34/M34-1</f>
        <v>1.5255910137707382</v>
      </c>
      <c r="O35" s="377">
        <f t="shared" ref="O35" si="146">O34/N34-1</f>
        <v>0.36176191450955586</v>
      </c>
      <c r="P35" s="377">
        <f t="shared" ref="P35" si="147">P34/O34-1</f>
        <v>-0.54093499323557948</v>
      </c>
      <c r="Q35" s="43">
        <f>Q34/L34-1</f>
        <v>0.31735173053510346</v>
      </c>
      <c r="R35" s="378">
        <f t="shared" ref="R35:U35" si="148">IF(Case_Scenario="Bull",R36,IF(Case_Scenario="Base",R37,IF(Case_Scenario="Bear",R38,"N/A")))</f>
        <v>0.14000000000000001</v>
      </c>
      <c r="S35" s="378">
        <f t="shared" si="148"/>
        <v>0.75</v>
      </c>
      <c r="T35" s="378">
        <f t="shared" si="148"/>
        <v>0.25</v>
      </c>
      <c r="U35" s="378">
        <f t="shared" si="148"/>
        <v>-0.43</v>
      </c>
      <c r="V35" s="43">
        <f>V34/Q34-1</f>
        <v>0.30284815323405812</v>
      </c>
      <c r="W35" s="378">
        <f t="shared" ref="W35:Z35" si="149">IF(Case_Scenario="Bull",W36,IF(Case_Scenario="Base",W37,IF(Case_Scenario="Bear",W38,"N/A")))</f>
        <v>-0.13</v>
      </c>
      <c r="X35" s="378">
        <f t="shared" si="149"/>
        <v>0.995</v>
      </c>
      <c r="Y35" s="378">
        <f t="shared" si="149"/>
        <v>0.255</v>
      </c>
      <c r="Z35" s="378">
        <f t="shared" si="149"/>
        <v>-0.47</v>
      </c>
      <c r="AA35" s="43">
        <f>AA34/V34-1</f>
        <v>0.19727386591839324</v>
      </c>
      <c r="AB35" s="43">
        <f t="shared" ref="AB35:AC35" si="150">IF(Case_Scenario="Bull",AB36,IF(Case_Scenario="Base",AB37,IF(Case_Scenario="Bear",AB38,"N/A")))</f>
        <v>0.24</v>
      </c>
      <c r="AC35" s="43">
        <f t="shared" si="150"/>
        <v>0.43</v>
      </c>
      <c r="AD35" s="43">
        <f t="shared" ref="AD35" si="151">IF(Case_Scenario="Bull",AD36,IF(Case_Scenario="Base",AD37,IF(Case_Scenario="Bear",AD38,"N/A")))</f>
        <v>0.39</v>
      </c>
    </row>
    <row r="36" spans="2:32" x14ac:dyDescent="0.25">
      <c r="B36" s="17" t="s">
        <v>18</v>
      </c>
      <c r="C36" s="375"/>
      <c r="D36" s="375"/>
      <c r="E36" s="375"/>
      <c r="F36" s="375"/>
      <c r="G36" s="42"/>
      <c r="H36" s="375"/>
      <c r="I36" s="375"/>
      <c r="J36" s="375"/>
      <c r="K36" s="375"/>
      <c r="L36" s="42"/>
      <c r="M36" s="375"/>
      <c r="N36" s="375"/>
      <c r="O36" s="375"/>
      <c r="P36" s="375"/>
      <c r="Q36" s="42"/>
      <c r="R36" s="428">
        <f>R37+1%</f>
        <v>0.15000000000000002</v>
      </c>
      <c r="S36" s="428">
        <f t="shared" ref="S36" si="152">S37+1%</f>
        <v>0.76</v>
      </c>
      <c r="T36" s="428">
        <f t="shared" ref="T36" si="153">T37+1%</f>
        <v>0.26</v>
      </c>
      <c r="U36" s="428">
        <f t="shared" ref="U36" si="154">U37+1%</f>
        <v>-0.42</v>
      </c>
      <c r="V36" s="45"/>
      <c r="W36" s="428">
        <f>W37+1%</f>
        <v>-0.12000000000000001</v>
      </c>
      <c r="X36" s="428">
        <f t="shared" ref="X36" si="155">X37+1%</f>
        <v>1.0049999999999999</v>
      </c>
      <c r="Y36" s="428">
        <f t="shared" ref="Y36" si="156">Y37+1%</f>
        <v>0.26500000000000001</v>
      </c>
      <c r="Z36" s="428">
        <f t="shared" ref="Z36" si="157">Z37+1%</f>
        <v>-0.45999999999999996</v>
      </c>
      <c r="AA36" s="45"/>
      <c r="AB36" s="330">
        <f t="shared" ref="AB36" si="158">AB37+1%</f>
        <v>0.25</v>
      </c>
      <c r="AC36" s="330">
        <f t="shared" ref="AC36:AD36" si="159">AC37+1%</f>
        <v>0.44</v>
      </c>
      <c r="AD36" s="330">
        <f t="shared" si="159"/>
        <v>0.4</v>
      </c>
    </row>
    <row r="37" spans="2:32" x14ac:dyDescent="0.25">
      <c r="B37" s="17" t="s">
        <v>19</v>
      </c>
      <c r="C37" s="375"/>
      <c r="D37" s="375"/>
      <c r="E37" s="375"/>
      <c r="F37" s="375"/>
      <c r="G37" s="42"/>
      <c r="H37" s="375"/>
      <c r="I37" s="375"/>
      <c r="J37" s="375"/>
      <c r="K37" s="375"/>
      <c r="L37" s="42"/>
      <c r="M37" s="375"/>
      <c r="N37" s="375"/>
      <c r="O37" s="375"/>
      <c r="P37" s="375"/>
      <c r="Q37" s="42"/>
      <c r="R37" s="428">
        <v>0.14000000000000001</v>
      </c>
      <c r="S37" s="428">
        <v>0.75</v>
      </c>
      <c r="T37" s="428">
        <v>0.25</v>
      </c>
      <c r="U37" s="428">
        <v>-0.43</v>
      </c>
      <c r="V37" s="45"/>
      <c r="W37" s="428">
        <v>-0.13</v>
      </c>
      <c r="X37" s="428">
        <v>0.995</v>
      </c>
      <c r="Y37" s="428">
        <v>0.255</v>
      </c>
      <c r="Z37" s="428">
        <v>-0.47</v>
      </c>
      <c r="AA37" s="45"/>
      <c r="AB37" s="330">
        <v>0.24</v>
      </c>
      <c r="AC37" s="330">
        <v>0.43</v>
      </c>
      <c r="AD37" s="429">
        <f>+AC37-4%</f>
        <v>0.39</v>
      </c>
    </row>
    <row r="38" spans="2:32" x14ac:dyDescent="0.25">
      <c r="B38" s="17" t="s">
        <v>20</v>
      </c>
      <c r="C38" s="375"/>
      <c r="D38" s="375"/>
      <c r="E38" s="375"/>
      <c r="F38" s="375"/>
      <c r="G38" s="42"/>
      <c r="H38" s="375"/>
      <c r="I38" s="375"/>
      <c r="J38" s="375"/>
      <c r="K38" s="375"/>
      <c r="L38" s="42"/>
      <c r="M38" s="375"/>
      <c r="N38" s="375"/>
      <c r="O38" s="375"/>
      <c r="P38" s="375"/>
      <c r="Q38" s="42"/>
      <c r="R38" s="428">
        <f>R37-1%</f>
        <v>0.13</v>
      </c>
      <c r="S38" s="428">
        <f t="shared" ref="S38" si="160">S37-1%</f>
        <v>0.74</v>
      </c>
      <c r="T38" s="428">
        <f t="shared" ref="T38" si="161">T37-1%</f>
        <v>0.24</v>
      </c>
      <c r="U38" s="428">
        <f t="shared" ref="U38" si="162">U37-1%</f>
        <v>-0.44</v>
      </c>
      <c r="V38" s="45"/>
      <c r="W38" s="428">
        <f>W37-1%</f>
        <v>-0.14000000000000001</v>
      </c>
      <c r="X38" s="428">
        <f t="shared" ref="X38" si="163">X37-1%</f>
        <v>0.98499999999999999</v>
      </c>
      <c r="Y38" s="428">
        <f t="shared" ref="Y38" si="164">Y37-1%</f>
        <v>0.245</v>
      </c>
      <c r="Z38" s="428">
        <f t="shared" ref="Z38" si="165">Z37-1%</f>
        <v>-0.48</v>
      </c>
      <c r="AA38" s="45"/>
      <c r="AB38" s="330">
        <f t="shared" ref="AB38" si="166">AB37-1%</f>
        <v>0.22999999999999998</v>
      </c>
      <c r="AC38" s="330">
        <f t="shared" ref="AC38:AD38" si="167">AC37-1%</f>
        <v>0.42</v>
      </c>
      <c r="AD38" s="330">
        <f t="shared" si="167"/>
        <v>0.38</v>
      </c>
    </row>
    <row r="39" spans="2:32" x14ac:dyDescent="0.25">
      <c r="B39" s="9"/>
      <c r="C39" s="375"/>
      <c r="D39" s="375"/>
      <c r="E39" s="375"/>
      <c r="F39" s="375"/>
      <c r="G39" s="42"/>
      <c r="H39" s="375"/>
      <c r="I39" s="375"/>
      <c r="J39" s="375"/>
      <c r="K39" s="375"/>
      <c r="L39" s="42"/>
      <c r="M39" s="375"/>
      <c r="N39" s="375"/>
      <c r="O39" s="375"/>
      <c r="P39" s="375"/>
      <c r="Q39" s="42"/>
      <c r="R39" s="372"/>
      <c r="S39" s="372"/>
      <c r="T39" s="372"/>
      <c r="U39" s="372"/>
      <c r="V39" s="42"/>
      <c r="W39" s="372"/>
      <c r="X39" s="372"/>
      <c r="Y39" s="372"/>
      <c r="Z39" s="372"/>
      <c r="AA39" s="42"/>
      <c r="AB39" s="42"/>
      <c r="AC39" s="42"/>
      <c r="AD39" s="42"/>
    </row>
    <row r="40" spans="2:32" x14ac:dyDescent="0.25">
      <c r="B40" s="9" t="str">
        <f t="shared" ref="B40:Q40" si="168">B15</f>
        <v>Fee-Related Compensation</v>
      </c>
      <c r="C40" s="375">
        <f t="shared" si="168"/>
        <v>-203094</v>
      </c>
      <c r="D40" s="375">
        <f t="shared" si="168"/>
        <v>-217684</v>
      </c>
      <c r="E40" s="375">
        <f t="shared" si="168"/>
        <v>-203209</v>
      </c>
      <c r="F40" s="375">
        <f t="shared" si="168"/>
        <v>-241349</v>
      </c>
      <c r="G40" s="327">
        <f t="shared" si="168"/>
        <v>-865336</v>
      </c>
      <c r="H40" s="375">
        <f t="shared" si="168"/>
        <v>-172640</v>
      </c>
      <c r="I40" s="375">
        <f t="shared" si="168"/>
        <v>-193779</v>
      </c>
      <c r="J40" s="375">
        <f t="shared" si="168"/>
        <v>-247875</v>
      </c>
      <c r="K40" s="375">
        <f t="shared" si="168"/>
        <v>-219624</v>
      </c>
      <c r="L40" s="327">
        <f t="shared" si="168"/>
        <v>-833918</v>
      </c>
      <c r="M40" s="375">
        <f t="shared" si="168"/>
        <v>-210021</v>
      </c>
      <c r="N40" s="375">
        <f t="shared" si="168"/>
        <v>-224656</v>
      </c>
      <c r="O40" s="375">
        <f t="shared" si="168"/>
        <v>-256350</v>
      </c>
      <c r="P40" s="375">
        <f t="shared" si="168"/>
        <v>-249694</v>
      </c>
      <c r="Q40" s="327">
        <f t="shared" si="168"/>
        <v>-940721</v>
      </c>
      <c r="R40" s="372">
        <f>P40*(1+R41)</f>
        <v>-257184.82</v>
      </c>
      <c r="S40" s="372">
        <f>R40*(1+S41)</f>
        <v>-274544.79534999997</v>
      </c>
      <c r="T40" s="372">
        <f t="shared" ref="T40" si="169">S40*(1+T41)</f>
        <v>-287585.67312912497</v>
      </c>
      <c r="U40" s="372">
        <f t="shared" ref="U40" si="170">T40*(1+U41)</f>
        <v>-291899.45822606183</v>
      </c>
      <c r="V40" s="326">
        <f>SUM(R40:U40)</f>
        <v>-1111214.7467051868</v>
      </c>
      <c r="W40" s="372">
        <f>U40*(1+W41)</f>
        <v>-302115.93926397397</v>
      </c>
      <c r="X40" s="372">
        <f>W40*(1+X41)</f>
        <v>-324774.63470877201</v>
      </c>
      <c r="Y40" s="372">
        <f t="shared" ref="Y40" si="171">X40*(1+Y41)</f>
        <v>-337765.62009712291</v>
      </c>
      <c r="Z40" s="372">
        <f>Y40*(1+Z41)</f>
        <v>-341143.27629809413</v>
      </c>
      <c r="AA40" s="326">
        <f>SUM(W40:Z40)</f>
        <v>-1305799.470367963</v>
      </c>
      <c r="AB40" s="326">
        <f t="shared" ref="AB40" si="172">AA40*(1+AB41)</f>
        <v>-1462495.4068121186</v>
      </c>
      <c r="AC40" s="326">
        <f t="shared" ref="AC40:AD40" si="173">AB40*(1+AC41)</f>
        <v>-1652619.8096976939</v>
      </c>
      <c r="AD40" s="326">
        <f t="shared" si="173"/>
        <v>-1801355.5925704865</v>
      </c>
      <c r="AF40" s="16"/>
    </row>
    <row r="41" spans="2:32" x14ac:dyDescent="0.25">
      <c r="B41" s="17" t="str">
        <f>B23</f>
        <v>% Growth</v>
      </c>
      <c r="C41" s="377"/>
      <c r="D41" s="377">
        <f>D40/C40-1</f>
        <v>7.1838655991806721E-2</v>
      </c>
      <c r="E41" s="377">
        <f t="shared" ref="E41" si="174">E40/D40-1</f>
        <v>-6.6495470498520781E-2</v>
      </c>
      <c r="F41" s="377">
        <f t="shared" ref="F41" si="175">F40/E40-1</f>
        <v>0.18768853741714198</v>
      </c>
      <c r="G41" s="43">
        <v>0</v>
      </c>
      <c r="H41" s="377">
        <f>H40/F40-1</f>
        <v>-0.28468732002204278</v>
      </c>
      <c r="I41" s="377">
        <f>I40/H40-1</f>
        <v>0.12244555143651525</v>
      </c>
      <c r="J41" s="377">
        <f t="shared" ref="J41" si="176">J40/I40-1</f>
        <v>0.27916337683649939</v>
      </c>
      <c r="K41" s="377">
        <f t="shared" ref="K41" si="177">K40/J40-1</f>
        <v>-0.11397276853252647</v>
      </c>
      <c r="L41" s="43">
        <f>L40/G40-1</f>
        <v>-3.6307284106982696E-2</v>
      </c>
      <c r="M41" s="377">
        <f>M40/K40-1</f>
        <v>-4.3724729537755413E-2</v>
      </c>
      <c r="N41" s="377">
        <f>N40/M40-1</f>
        <v>6.9683507839692238E-2</v>
      </c>
      <c r="O41" s="377">
        <f t="shared" ref="O41" si="178">O40/N40-1</f>
        <v>0.14107791467844177</v>
      </c>
      <c r="P41" s="377">
        <f t="shared" ref="P41" si="179">P40/O40-1</f>
        <v>-2.5964501657889549E-2</v>
      </c>
      <c r="Q41" s="43">
        <f>Q40/L40-1</f>
        <v>0.12807374346158729</v>
      </c>
      <c r="R41" s="378">
        <f t="shared" ref="R41:U41" si="180">IF(Case_Scenario="Bull",R42,IF(Case_Scenario="Base",R43,IF(Case_Scenario="Bear",R44,"N/A")))</f>
        <v>0.03</v>
      </c>
      <c r="S41" s="378">
        <f t="shared" si="180"/>
        <v>6.7500000000000004E-2</v>
      </c>
      <c r="T41" s="378">
        <f t="shared" si="180"/>
        <v>4.7500000000000001E-2</v>
      </c>
      <c r="U41" s="378">
        <f t="shared" si="180"/>
        <v>1.4999999999999999E-2</v>
      </c>
      <c r="V41" s="43">
        <f>V40/Q40-1</f>
        <v>0.18123731340661764</v>
      </c>
      <c r="W41" s="378">
        <f t="shared" ref="W41:Z41" si="181">IF(Case_Scenario="Bull",W42,IF(Case_Scenario="Base",W43,IF(Case_Scenario="Bear",W44,"N/A")))</f>
        <v>3.5000000000000003E-2</v>
      </c>
      <c r="X41" s="378">
        <f t="shared" si="181"/>
        <v>7.4999999999999997E-2</v>
      </c>
      <c r="Y41" s="378">
        <f t="shared" si="181"/>
        <v>0.04</v>
      </c>
      <c r="Z41" s="378">
        <f t="shared" si="181"/>
        <v>0.01</v>
      </c>
      <c r="AA41" s="43">
        <f>AA40/V40-1</f>
        <v>0.1751099184381153</v>
      </c>
      <c r="AB41" s="43">
        <f t="shared" ref="AB41:AC41" si="182">IF(Case_Scenario="Bull",AB42,IF(Case_Scenario="Base",AB43,IF(Case_Scenario="Bear",AB44,"N/A")))</f>
        <v>0.12</v>
      </c>
      <c r="AC41" s="43">
        <f t="shared" si="182"/>
        <v>0.13</v>
      </c>
      <c r="AD41" s="43">
        <f t="shared" ref="AD41" si="183">IF(Case_Scenario="Bull",AD42,IF(Case_Scenario="Base",AD43,IF(Case_Scenario="Bear",AD44,"N/A")))</f>
        <v>0.09</v>
      </c>
    </row>
    <row r="42" spans="2:32" x14ac:dyDescent="0.25">
      <c r="B42" s="17" t="s">
        <v>18</v>
      </c>
      <c r="C42" s="375"/>
      <c r="D42" s="375"/>
      <c r="E42" s="375"/>
      <c r="F42" s="375"/>
      <c r="G42" s="42"/>
      <c r="H42" s="375"/>
      <c r="I42" s="375"/>
      <c r="J42" s="375"/>
      <c r="K42" s="375"/>
      <c r="L42" s="42"/>
      <c r="M42" s="375"/>
      <c r="N42" s="375"/>
      <c r="O42" s="375"/>
      <c r="P42" s="375"/>
      <c r="Q42" s="42"/>
      <c r="R42" s="396">
        <f>R43+1%</f>
        <v>0.04</v>
      </c>
      <c r="S42" s="396">
        <f t="shared" ref="S42" si="184">S43+1%</f>
        <v>7.7499999999999999E-2</v>
      </c>
      <c r="T42" s="396">
        <f t="shared" ref="T42" si="185">T43+1%</f>
        <v>5.7500000000000002E-2</v>
      </c>
      <c r="U42" s="396">
        <f t="shared" ref="U42" si="186">U43+1%</f>
        <v>2.5000000000000001E-2</v>
      </c>
      <c r="V42" s="45"/>
      <c r="W42" s="396">
        <f>W43+1%</f>
        <v>4.5000000000000005E-2</v>
      </c>
      <c r="X42" s="396">
        <f t="shared" ref="X42" si="187">X43+1%</f>
        <v>8.4999999999999992E-2</v>
      </c>
      <c r="Y42" s="396">
        <f t="shared" ref="Y42" si="188">Y43+1%</f>
        <v>0.05</v>
      </c>
      <c r="Z42" s="396">
        <f t="shared" ref="Z42" si="189">Z43+1%</f>
        <v>0.02</v>
      </c>
      <c r="AA42" s="45"/>
      <c r="AB42" s="330">
        <f t="shared" ref="AB42" si="190">AB43+1%</f>
        <v>0.13</v>
      </c>
      <c r="AC42" s="330">
        <f t="shared" ref="AC42:AD42" si="191">AC43+1%</f>
        <v>0.14000000000000001</v>
      </c>
      <c r="AD42" s="330">
        <f t="shared" si="191"/>
        <v>9.9999999999999992E-2</v>
      </c>
    </row>
    <row r="43" spans="2:32" x14ac:dyDescent="0.25">
      <c r="B43" s="17" t="s">
        <v>19</v>
      </c>
      <c r="C43" s="375"/>
      <c r="D43" s="375"/>
      <c r="E43" s="375"/>
      <c r="F43" s="375"/>
      <c r="G43" s="42"/>
      <c r="H43" s="375"/>
      <c r="I43" s="375"/>
      <c r="J43" s="375"/>
      <c r="K43" s="375"/>
      <c r="L43" s="42"/>
      <c r="M43" s="375"/>
      <c r="N43" s="375"/>
      <c r="O43" s="375"/>
      <c r="P43" s="375"/>
      <c r="Q43" s="42"/>
      <c r="R43" s="396">
        <v>0.03</v>
      </c>
      <c r="S43" s="396">
        <v>6.7500000000000004E-2</v>
      </c>
      <c r="T43" s="396">
        <v>4.7500000000000001E-2</v>
      </c>
      <c r="U43" s="396">
        <v>1.4999999999999999E-2</v>
      </c>
      <c r="V43" s="45"/>
      <c r="W43" s="396">
        <v>3.5000000000000003E-2</v>
      </c>
      <c r="X43" s="396">
        <v>7.4999999999999997E-2</v>
      </c>
      <c r="Y43" s="396">
        <v>0.04</v>
      </c>
      <c r="Z43" s="396">
        <v>0.01</v>
      </c>
      <c r="AA43" s="45"/>
      <c r="AB43" s="330">
        <v>0.12</v>
      </c>
      <c r="AC43" s="330">
        <v>0.13</v>
      </c>
      <c r="AD43" s="429">
        <f>+AC43-4%</f>
        <v>0.09</v>
      </c>
    </row>
    <row r="44" spans="2:32" x14ac:dyDescent="0.25">
      <c r="B44" s="17" t="s">
        <v>20</v>
      </c>
      <c r="C44" s="375"/>
      <c r="D44" s="375"/>
      <c r="E44" s="375"/>
      <c r="F44" s="375"/>
      <c r="G44" s="42"/>
      <c r="H44" s="375"/>
      <c r="I44" s="375"/>
      <c r="J44" s="375"/>
      <c r="K44" s="375"/>
      <c r="L44" s="42"/>
      <c r="M44" s="375"/>
      <c r="N44" s="375"/>
      <c r="O44" s="375"/>
      <c r="P44" s="375"/>
      <c r="Q44" s="42"/>
      <c r="R44" s="396">
        <f>R43-1%</f>
        <v>1.9999999999999997E-2</v>
      </c>
      <c r="S44" s="396">
        <f t="shared" ref="S44" si="192">S43-1%</f>
        <v>5.7500000000000002E-2</v>
      </c>
      <c r="T44" s="396">
        <f t="shared" ref="T44" si="193">T43-1%</f>
        <v>3.7499999999999999E-2</v>
      </c>
      <c r="U44" s="396">
        <f t="shared" ref="U44" si="194">U43-1%</f>
        <v>4.9999999999999992E-3</v>
      </c>
      <c r="V44" s="45"/>
      <c r="W44" s="396">
        <f>W43-1%</f>
        <v>2.5000000000000001E-2</v>
      </c>
      <c r="X44" s="396">
        <f t="shared" ref="X44" si="195">X43-1%</f>
        <v>6.5000000000000002E-2</v>
      </c>
      <c r="Y44" s="396">
        <f t="shared" ref="Y44" si="196">Y43-1%</f>
        <v>0.03</v>
      </c>
      <c r="Z44" s="396">
        <f t="shared" ref="Z44" si="197">Z43-1%</f>
        <v>0</v>
      </c>
      <c r="AA44" s="45"/>
      <c r="AB44" s="330">
        <f t="shared" ref="AB44" si="198">AB43-1%</f>
        <v>0.11</v>
      </c>
      <c r="AC44" s="330">
        <f t="shared" ref="AC44:AD44" si="199">AC43-1%</f>
        <v>0.12000000000000001</v>
      </c>
      <c r="AD44" s="330">
        <f t="shared" si="199"/>
        <v>0.08</v>
      </c>
    </row>
    <row r="45" spans="2:32" x14ac:dyDescent="0.25">
      <c r="B45" s="9"/>
      <c r="C45" s="375"/>
      <c r="D45" s="375"/>
      <c r="E45" s="375"/>
      <c r="F45" s="375"/>
      <c r="G45" s="42"/>
      <c r="H45" s="375"/>
      <c r="I45" s="375"/>
      <c r="J45" s="375"/>
      <c r="K45" s="375"/>
      <c r="L45" s="42"/>
      <c r="M45" s="375"/>
      <c r="N45" s="375"/>
      <c r="O45" s="375"/>
      <c r="P45" s="375"/>
      <c r="Q45" s="42"/>
      <c r="R45" s="372"/>
      <c r="S45" s="372"/>
      <c r="T45" s="372"/>
      <c r="U45" s="372"/>
      <c r="V45" s="42"/>
      <c r="W45" s="372"/>
      <c r="X45" s="372"/>
      <c r="Y45" s="372"/>
      <c r="Z45" s="372"/>
      <c r="AA45" s="42"/>
      <c r="AB45" s="42"/>
      <c r="AC45" s="42"/>
      <c r="AD45" s="42"/>
    </row>
    <row r="46" spans="2:32" x14ac:dyDescent="0.25">
      <c r="B46" s="9" t="str">
        <f t="shared" ref="B46:Q46" si="200">B17</f>
        <v>Other Operating Expenses</v>
      </c>
      <c r="C46" s="375">
        <f t="shared" si="200"/>
        <v>-150404</v>
      </c>
      <c r="D46" s="375">
        <f t="shared" si="200"/>
        <v>-147475</v>
      </c>
      <c r="E46" s="375">
        <f t="shared" si="200"/>
        <v>-142416</v>
      </c>
      <c r="F46" s="375">
        <f t="shared" si="200"/>
        <v>-155989</v>
      </c>
      <c r="G46" s="327">
        <f t="shared" si="200"/>
        <v>-596284</v>
      </c>
      <c r="H46" s="375">
        <f t="shared" si="200"/>
        <v>-145131</v>
      </c>
      <c r="I46" s="375">
        <f t="shared" si="200"/>
        <v>-158134</v>
      </c>
      <c r="J46" s="375">
        <f t="shared" si="200"/>
        <v>-167881</v>
      </c>
      <c r="K46" s="375">
        <f t="shared" si="200"/>
        <v>-192397</v>
      </c>
      <c r="L46" s="327">
        <f t="shared" si="200"/>
        <v>-663543</v>
      </c>
      <c r="M46" s="375">
        <f t="shared" si="200"/>
        <v>-167496</v>
      </c>
      <c r="N46" s="375">
        <f t="shared" si="200"/>
        <v>-172339</v>
      </c>
      <c r="O46" s="375">
        <f t="shared" si="200"/>
        <v>-175568</v>
      </c>
      <c r="P46" s="375">
        <f t="shared" si="200"/>
        <v>-204765</v>
      </c>
      <c r="Q46" s="327">
        <f t="shared" si="200"/>
        <v>-720168</v>
      </c>
      <c r="R46" s="372">
        <f>P46*(1+R47)</f>
        <v>-188383.80000000002</v>
      </c>
      <c r="S46" s="372">
        <f>R46*(1+S47)</f>
        <v>-194035.31400000001</v>
      </c>
      <c r="T46" s="372">
        <f t="shared" ref="T46" si="201">S46*(1+T47)</f>
        <v>-198886.19685000001</v>
      </c>
      <c r="U46" s="372">
        <f t="shared" ref="U46" si="202">T46*(1+U47)</f>
        <v>-222255.324979875</v>
      </c>
      <c r="V46" s="326">
        <f>SUM(R46:U46)</f>
        <v>-803560.63582987501</v>
      </c>
      <c r="W46" s="372">
        <f>U46*(1+W47)</f>
        <v>-206697.45223128374</v>
      </c>
      <c r="X46" s="372">
        <f>W46*(1+X47)</f>
        <v>-215998.83758169148</v>
      </c>
      <c r="Y46" s="372">
        <f t="shared" ref="Y46" si="203">X46*(1+Y47)</f>
        <v>-222478.80270914224</v>
      </c>
      <c r="Z46" s="372">
        <f t="shared" ref="Z46" si="204">Y46*(1+Z47)</f>
        <v>-246951.47100714792</v>
      </c>
      <c r="AA46" s="326">
        <f>SUM(W46:Z46)</f>
        <v>-892126.56352926535</v>
      </c>
      <c r="AB46" s="326">
        <f t="shared" ref="AB46" si="205">AA46*(1+AB47)</f>
        <v>-965727.00502042973</v>
      </c>
      <c r="AC46" s="326">
        <f t="shared" ref="AC46:AD46" si="206">AB46*(1+AC47)</f>
        <v>-1177221.2191199039</v>
      </c>
      <c r="AD46" s="326">
        <f t="shared" si="206"/>
        <v>-1387943.8173423668</v>
      </c>
      <c r="AF46" s="16"/>
    </row>
    <row r="47" spans="2:32" x14ac:dyDescent="0.25">
      <c r="B47" s="17" t="str">
        <f>B29</f>
        <v>% Growth</v>
      </c>
      <c r="C47" s="377"/>
      <c r="D47" s="377">
        <f>D46/C46-1</f>
        <v>-1.9474216111273646E-2</v>
      </c>
      <c r="E47" s="377">
        <f t="shared" ref="E47" si="207">E46/D46-1</f>
        <v>-3.4304119342261408E-2</v>
      </c>
      <c r="F47" s="377">
        <f t="shared" ref="F47" si="208">F46/E46-1</f>
        <v>9.530530277496907E-2</v>
      </c>
      <c r="G47" s="43">
        <v>0</v>
      </c>
      <c r="H47" s="377">
        <f>H46/F46-1</f>
        <v>-6.9607472321766228E-2</v>
      </c>
      <c r="I47" s="377">
        <f>I46/H46-1</f>
        <v>8.9594917695047904E-2</v>
      </c>
      <c r="J47" s="377">
        <f t="shared" ref="J47" si="209">J46/I46-1</f>
        <v>6.1637598492417789E-2</v>
      </c>
      <c r="K47" s="377">
        <f t="shared" ref="K47" si="210">K46/J46-1</f>
        <v>0.1460320107695332</v>
      </c>
      <c r="L47" s="43">
        <f>L46/G46-1</f>
        <v>0.11279692227193761</v>
      </c>
      <c r="M47" s="377">
        <f>M46/K46-1</f>
        <v>-0.1294250949858885</v>
      </c>
      <c r="N47" s="377">
        <f>N46/M46-1</f>
        <v>2.8914123322347995E-2</v>
      </c>
      <c r="O47" s="377">
        <f t="shared" ref="O47" si="211">O46/N46-1</f>
        <v>1.8736327819007803E-2</v>
      </c>
      <c r="P47" s="377">
        <f t="shared" ref="P47" si="212">P46/O46-1</f>
        <v>0.16630023694522911</v>
      </c>
      <c r="Q47" s="43">
        <f>Q46/L46-1</f>
        <v>8.533734814473215E-2</v>
      </c>
      <c r="R47" s="378">
        <f t="shared" ref="R47:U47" si="213">IF(Case_Scenario="Bull",R48,IF(Case_Scenario="Base",R49,IF(Case_Scenario="Bear",R50,"N/A")))</f>
        <v>-0.08</v>
      </c>
      <c r="S47" s="378">
        <f t="shared" si="213"/>
        <v>0.03</v>
      </c>
      <c r="T47" s="378">
        <f t="shared" si="213"/>
        <v>2.5000000000000001E-2</v>
      </c>
      <c r="U47" s="378">
        <f t="shared" si="213"/>
        <v>0.11749999999999999</v>
      </c>
      <c r="V47" s="43">
        <f>V46/Q46-1</f>
        <v>0.11579608623248316</v>
      </c>
      <c r="W47" s="378">
        <f t="shared" ref="W47:Z47" si="214">IF(Case_Scenario="Bull",W48,IF(Case_Scenario="Base",W49,IF(Case_Scenario="Bear",W50,"N/A")))</f>
        <v>-7.0000000000000007E-2</v>
      </c>
      <c r="X47" s="378">
        <f t="shared" si="214"/>
        <v>4.4999999999999998E-2</v>
      </c>
      <c r="Y47" s="378">
        <f t="shared" si="214"/>
        <v>0.03</v>
      </c>
      <c r="Z47" s="378">
        <f t="shared" si="214"/>
        <v>0.11</v>
      </c>
      <c r="AA47" s="43">
        <f>AA46/V46-1</f>
        <v>0.11021685701157335</v>
      </c>
      <c r="AB47" s="43">
        <f t="shared" ref="AB47:AC47" si="215">IF(Case_Scenario="Bull",AB48,IF(Case_Scenario="Base",AB49,IF(Case_Scenario="Bear",AB50,"N/A")))</f>
        <v>8.2500000000000004E-2</v>
      </c>
      <c r="AC47" s="43">
        <f t="shared" si="215"/>
        <v>0.219</v>
      </c>
      <c r="AD47" s="43">
        <f t="shared" ref="AD47" si="216">IF(Case_Scenario="Bull",AD48,IF(Case_Scenario="Base",AD49,IF(Case_Scenario="Bear",AD50,"N/A")))</f>
        <v>0.17899999999999999</v>
      </c>
    </row>
    <row r="48" spans="2:32" x14ac:dyDescent="0.25">
      <c r="B48" s="17" t="s">
        <v>18</v>
      </c>
      <c r="C48" s="375"/>
      <c r="D48" s="375"/>
      <c r="E48" s="375"/>
      <c r="F48" s="375"/>
      <c r="G48" s="42"/>
      <c r="H48" s="375"/>
      <c r="I48" s="375"/>
      <c r="J48" s="375"/>
      <c r="K48" s="375"/>
      <c r="L48" s="42"/>
      <c r="M48" s="375"/>
      <c r="N48" s="375"/>
      <c r="O48" s="375"/>
      <c r="P48" s="375"/>
      <c r="Q48" s="42"/>
      <c r="R48" s="428">
        <f>R49+1%</f>
        <v>-7.0000000000000007E-2</v>
      </c>
      <c r="S48" s="428">
        <f t="shared" ref="S48" si="217">S49+1%</f>
        <v>0.04</v>
      </c>
      <c r="T48" s="428">
        <f t="shared" ref="T48" si="218">T49+1%</f>
        <v>3.5000000000000003E-2</v>
      </c>
      <c r="U48" s="428">
        <f t="shared" ref="U48" si="219">U49+1%</f>
        <v>0.1275</v>
      </c>
      <c r="V48" s="45"/>
      <c r="W48" s="428">
        <f>W49+1%</f>
        <v>-6.0000000000000005E-2</v>
      </c>
      <c r="X48" s="428">
        <f t="shared" ref="X48" si="220">X49+1%</f>
        <v>5.5E-2</v>
      </c>
      <c r="Y48" s="428">
        <f t="shared" ref="Y48" si="221">Y49+1%</f>
        <v>0.04</v>
      </c>
      <c r="Z48" s="428">
        <f t="shared" ref="Z48" si="222">Z49+1%</f>
        <v>0.12</v>
      </c>
      <c r="AA48" s="45"/>
      <c r="AB48" s="330">
        <f t="shared" ref="AB48" si="223">AB49+1%</f>
        <v>9.2499999999999999E-2</v>
      </c>
      <c r="AC48" s="330">
        <f t="shared" ref="AC48:AD48" si="224">AC49+1%</f>
        <v>0.22900000000000001</v>
      </c>
      <c r="AD48" s="330">
        <f t="shared" si="224"/>
        <v>0.189</v>
      </c>
    </row>
    <row r="49" spans="2:30" x14ac:dyDescent="0.25">
      <c r="B49" s="17" t="s">
        <v>19</v>
      </c>
      <c r="C49" s="375"/>
      <c r="D49" s="375"/>
      <c r="E49" s="375"/>
      <c r="F49" s="375"/>
      <c r="G49" s="42"/>
      <c r="H49" s="375"/>
      <c r="I49" s="375"/>
      <c r="J49" s="375"/>
      <c r="K49" s="375"/>
      <c r="L49" s="42"/>
      <c r="M49" s="375"/>
      <c r="N49" s="375"/>
      <c r="O49" s="375"/>
      <c r="P49" s="375"/>
      <c r="Q49" s="42"/>
      <c r="R49" s="428">
        <v>-0.08</v>
      </c>
      <c r="S49" s="428">
        <v>0.03</v>
      </c>
      <c r="T49" s="428">
        <v>2.5000000000000001E-2</v>
      </c>
      <c r="U49" s="428">
        <v>0.11749999999999999</v>
      </c>
      <c r="V49" s="45"/>
      <c r="W49" s="428">
        <v>-7.0000000000000007E-2</v>
      </c>
      <c r="X49" s="428">
        <v>4.4999999999999998E-2</v>
      </c>
      <c r="Y49" s="428">
        <v>0.03</v>
      </c>
      <c r="Z49" s="428">
        <v>0.11</v>
      </c>
      <c r="AA49" s="45"/>
      <c r="AB49" s="330">
        <v>8.2500000000000004E-2</v>
      </c>
      <c r="AC49" s="330">
        <v>0.219</v>
      </c>
      <c r="AD49" s="429">
        <f>+AC49-4%</f>
        <v>0.17899999999999999</v>
      </c>
    </row>
    <row r="50" spans="2:30" x14ac:dyDescent="0.25">
      <c r="B50" s="17" t="s">
        <v>20</v>
      </c>
      <c r="C50" s="375"/>
      <c r="D50" s="375"/>
      <c r="E50" s="375"/>
      <c r="F50" s="375"/>
      <c r="G50" s="42"/>
      <c r="H50" s="375"/>
      <c r="I50" s="375"/>
      <c r="J50" s="375"/>
      <c r="K50" s="375"/>
      <c r="L50" s="42"/>
      <c r="M50" s="375"/>
      <c r="N50" s="375"/>
      <c r="O50" s="375"/>
      <c r="P50" s="375"/>
      <c r="Q50" s="42"/>
      <c r="R50" s="428">
        <f>R49-1%</f>
        <v>-0.09</v>
      </c>
      <c r="S50" s="428">
        <f t="shared" ref="S50" si="225">S49-1%</f>
        <v>1.9999999999999997E-2</v>
      </c>
      <c r="T50" s="428">
        <f t="shared" ref="T50" si="226">T49-1%</f>
        <v>1.5000000000000001E-2</v>
      </c>
      <c r="U50" s="428">
        <f t="shared" ref="U50" si="227">U49-1%</f>
        <v>0.1075</v>
      </c>
      <c r="V50" s="45"/>
      <c r="W50" s="428">
        <f>W49-1%</f>
        <v>-0.08</v>
      </c>
      <c r="X50" s="428">
        <f t="shared" ref="X50" si="228">X49-1%</f>
        <v>3.4999999999999996E-2</v>
      </c>
      <c r="Y50" s="428">
        <f t="shared" ref="Y50" si="229">Y49-1%</f>
        <v>1.9999999999999997E-2</v>
      </c>
      <c r="Z50" s="428">
        <f t="shared" ref="Z50" si="230">Z49-1%</f>
        <v>0.1</v>
      </c>
      <c r="AA50" s="45"/>
      <c r="AB50" s="330">
        <f t="shared" ref="AB50" si="231">AB49-1%</f>
        <v>7.2500000000000009E-2</v>
      </c>
      <c r="AC50" s="330">
        <f t="shared" ref="AC50:AD50" si="232">AC49-1%</f>
        <v>0.20899999999999999</v>
      </c>
      <c r="AD50" s="330">
        <f t="shared" si="232"/>
        <v>0.16899999999999998</v>
      </c>
    </row>
    <row r="51" spans="2:30" x14ac:dyDescent="0.25">
      <c r="C51" s="375"/>
      <c r="D51" s="375"/>
      <c r="E51" s="375"/>
      <c r="F51" s="375"/>
      <c r="G51" s="42"/>
      <c r="H51" s="375"/>
      <c r="I51" s="375"/>
      <c r="J51" s="375"/>
      <c r="K51" s="375"/>
      <c r="L51" s="42"/>
      <c r="M51" s="375"/>
      <c r="N51" s="375"/>
      <c r="O51" s="375"/>
      <c r="P51" s="375"/>
      <c r="Q51" s="42"/>
      <c r="R51" s="372"/>
      <c r="S51" s="372"/>
      <c r="T51" s="372"/>
      <c r="U51" s="372"/>
      <c r="V51" s="42"/>
      <c r="W51" s="372"/>
      <c r="X51" s="372"/>
      <c r="Y51" s="372"/>
      <c r="Z51" s="372"/>
      <c r="AA51" s="42"/>
      <c r="AB51" s="46"/>
      <c r="AC51" s="46"/>
      <c r="AD51" s="46"/>
    </row>
    <row r="52" spans="2:30" x14ac:dyDescent="0.25">
      <c r="B52" s="13" t="s">
        <v>488</v>
      </c>
      <c r="C52" s="14"/>
      <c r="D52" s="14"/>
      <c r="E52" s="14"/>
      <c r="F52" s="14"/>
      <c r="G52" s="3"/>
      <c r="H52" s="14"/>
      <c r="I52" s="14"/>
      <c r="J52" s="14"/>
      <c r="K52" s="14"/>
      <c r="L52" s="3"/>
      <c r="M52" s="14"/>
      <c r="N52" s="14"/>
      <c r="O52" s="14"/>
      <c r="P52" s="14"/>
      <c r="Q52" s="3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</sheetData>
  <conditionalFormatting sqref="C7:AD7">
    <cfRule type="expression" dxfId="22" priority="120">
      <formula>$B$2="Report"</formula>
    </cfRule>
    <cfRule type="expression" dxfId="21" priority="121">
      <formula>$B$2</formula>
    </cfRule>
  </conditionalFormatting>
  <conditionalFormatting sqref="C9:AD9">
    <cfRule type="expression" dxfId="20" priority="18">
      <formula>$B$2="Report"</formula>
    </cfRule>
    <cfRule type="expression" dxfId="19" priority="19">
      <formula>$B$2</formula>
    </cfRule>
  </conditionalFormatting>
  <conditionalFormatting sqref="C11:AD11">
    <cfRule type="expression" dxfId="18" priority="16">
      <formula>$B$2="Report"</formula>
    </cfRule>
    <cfRule type="expression" dxfId="17" priority="17">
      <formula>$B$2</formula>
    </cfRule>
  </conditionalFormatting>
  <conditionalFormatting sqref="C13:AD13">
    <cfRule type="expression" dxfId="16" priority="14">
      <formula>$B$2="Report"</formula>
    </cfRule>
    <cfRule type="expression" dxfId="15" priority="15">
      <formula>$B$2</formula>
    </cfRule>
  </conditionalFormatting>
  <conditionalFormatting sqref="C15:AD15">
    <cfRule type="expression" dxfId="14" priority="12">
      <formula>$B$2="Report"</formula>
    </cfRule>
    <cfRule type="expression" dxfId="13" priority="13">
      <formula>$B$2</formula>
    </cfRule>
  </conditionalFormatting>
  <conditionalFormatting sqref="C17:AD17">
    <cfRule type="expression" dxfId="12" priority="10">
      <formula>$B$2="Report"</formula>
    </cfRule>
    <cfRule type="expression" dxfId="11" priority="11">
      <formula>$B$2</formula>
    </cfRule>
  </conditionalFormatting>
  <conditionalFormatting sqref="V24:V26 V30:V32 V36:V38 V42:V44 V48:V51 AA51">
    <cfRule type="expression" dxfId="10" priority="162">
      <formula>$B$2="Report"</formula>
    </cfRule>
  </conditionalFormatting>
  <conditionalFormatting sqref="AA24:AD26">
    <cfRule type="expression" dxfId="9" priority="100">
      <formula>$B$2="Report"</formula>
    </cfRule>
  </conditionalFormatting>
  <conditionalFormatting sqref="AA30:AD32">
    <cfRule type="expression" dxfId="8" priority="9">
      <formula>$B$2="Report"</formula>
    </cfRule>
  </conditionalFormatting>
  <conditionalFormatting sqref="AA36:AD38">
    <cfRule type="expression" dxfId="7" priority="3">
      <formula>$B$2="Report"</formula>
    </cfRule>
  </conditionalFormatting>
  <conditionalFormatting sqref="AA42:AD44">
    <cfRule type="expression" dxfId="6" priority="2">
      <formula>$B$2="Report"</formula>
    </cfRule>
  </conditionalFormatting>
  <conditionalFormatting sqref="AA48:AD50">
    <cfRule type="expression" dxfId="5" priority="1">
      <formula>$B$2="Report"</formula>
    </cfRule>
  </conditionalFormatting>
  <dataValidations count="1">
    <dataValidation type="list" allowBlank="1" showInputMessage="1" showErrorMessage="1" sqref="B2" xr:uid="{B5CFFC85-5D73-44A0-84FF-4C7AA0552964}">
      <formula1>"Report,Working"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A7D46-62C0-45CC-A94A-1F04A1380762}">
  <dimension ref="A2:AG78"/>
  <sheetViews>
    <sheetView showGridLines="0" zoomScale="80" zoomScaleNormal="80" workbookViewId="0"/>
  </sheetViews>
  <sheetFormatPr defaultRowHeight="12.75" outlineLevelCol="1" x14ac:dyDescent="0.2"/>
  <cols>
    <col min="1" max="1" width="2.7109375" style="2" customWidth="1"/>
    <col min="2" max="2" width="60.28515625" style="2" bestFit="1" customWidth="1"/>
    <col min="3" max="4" width="2.7109375" style="2" customWidth="1"/>
    <col min="5" max="8" width="16.5703125" style="2" hidden="1" customWidth="1" outlineLevel="1"/>
    <col min="9" max="9" width="16.5703125" style="2" bestFit="1" customWidth="1" collapsed="1"/>
    <col min="10" max="13" width="16.5703125" style="2" hidden="1" customWidth="1" outlineLevel="1"/>
    <col min="14" max="14" width="16.5703125" style="2" bestFit="1" customWidth="1" collapsed="1"/>
    <col min="15" max="18" width="16.5703125" style="2" hidden="1" customWidth="1" outlineLevel="1"/>
    <col min="19" max="19" width="16.5703125" style="2" bestFit="1" customWidth="1" collapsed="1"/>
    <col min="20" max="23" width="15.28515625" style="2" hidden="1" customWidth="1" outlineLevel="1"/>
    <col min="24" max="24" width="16.5703125" style="2" bestFit="1" customWidth="1" collapsed="1"/>
    <col min="25" max="25" width="15.28515625" style="2" hidden="1" customWidth="1" outlineLevel="1"/>
    <col min="26" max="28" width="16" style="2" hidden="1" customWidth="1" outlineLevel="1"/>
    <col min="29" max="29" width="16.5703125" style="2" bestFit="1" customWidth="1" collapsed="1"/>
    <col min="30" max="30" width="16" style="2" bestFit="1" customWidth="1"/>
    <col min="31" max="32" width="17.140625" style="2" bestFit="1" customWidth="1"/>
    <col min="33" max="16384" width="9.140625" style="2"/>
  </cols>
  <sheetData>
    <row r="2" spans="1:32" x14ac:dyDescent="0.2">
      <c r="A2" s="341" t="s">
        <v>6</v>
      </c>
      <c r="B2" s="337" t="s">
        <v>489</v>
      </c>
      <c r="C2" s="338"/>
      <c r="D2" s="338"/>
      <c r="E2" s="355" t="str">
        <f>'Segment Analysis'!E2</f>
        <v>1Q23</v>
      </c>
      <c r="F2" s="355" t="str">
        <f>'Segment Analysis'!F2</f>
        <v>2Q23</v>
      </c>
      <c r="G2" s="355" t="str">
        <f>'Segment Analysis'!G2</f>
        <v>3Q23</v>
      </c>
      <c r="H2" s="355" t="str">
        <f>'Segment Analysis'!H2</f>
        <v>4Q23</v>
      </c>
      <c r="I2" s="364">
        <f>'Segment Analysis'!I2</f>
        <v>2023</v>
      </c>
      <c r="J2" s="355" t="str">
        <f>'Segment Analysis'!J2</f>
        <v>1Q24</v>
      </c>
      <c r="K2" s="355" t="str">
        <f>'Segment Analysis'!K2</f>
        <v>2Q24</v>
      </c>
      <c r="L2" s="355" t="str">
        <f>'Segment Analysis'!L2</f>
        <v>3Q24</v>
      </c>
      <c r="M2" s="355" t="str">
        <f>'Segment Analysis'!M2</f>
        <v>4Q24</v>
      </c>
      <c r="N2" s="364">
        <f>'Segment Analysis'!N2</f>
        <v>2024</v>
      </c>
      <c r="O2" s="355" t="str">
        <f>'Segment Analysis'!O2</f>
        <v>1Q25</v>
      </c>
      <c r="P2" s="355" t="str">
        <f>'Segment Analysis'!P2</f>
        <v>2Q25</v>
      </c>
      <c r="Q2" s="355" t="str">
        <f>'Segment Analysis'!Q2</f>
        <v>3Q25</v>
      </c>
      <c r="R2" s="355" t="str">
        <f>'Segment Analysis'!R2</f>
        <v>4Q25</v>
      </c>
      <c r="S2" s="364">
        <f>'Segment Analysis'!S2</f>
        <v>2025</v>
      </c>
      <c r="T2" s="355" t="str">
        <f>'Segment Analysis'!T2</f>
        <v>1Q26e</v>
      </c>
      <c r="U2" s="355" t="str">
        <f>'Segment Analysis'!U2</f>
        <v>2Q26e</v>
      </c>
      <c r="V2" s="355" t="str">
        <f>'Segment Analysis'!V2</f>
        <v>3Q26e</v>
      </c>
      <c r="W2" s="355" t="str">
        <f>'Segment Analysis'!W2</f>
        <v>4Q26e</v>
      </c>
      <c r="X2" s="364" t="str">
        <f>'Segment Analysis'!X2</f>
        <v>2026e</v>
      </c>
      <c r="Y2" s="355" t="str">
        <f>'Segment Analysis'!Y2</f>
        <v>1Q27e</v>
      </c>
      <c r="Z2" s="355" t="str">
        <f>'Segment Analysis'!Z2</f>
        <v>2Q27e</v>
      </c>
      <c r="AA2" s="355" t="str">
        <f>'Segment Analysis'!AA2</f>
        <v>3Q27e</v>
      </c>
      <c r="AB2" s="355" t="str">
        <f>'Segment Analysis'!AB2</f>
        <v>4Q27e</v>
      </c>
      <c r="AC2" s="364" t="str">
        <f>'Segment Analysis'!AC2</f>
        <v>2027e</v>
      </c>
      <c r="AD2" s="355" t="str">
        <f>'Segment Analysis'!AD2</f>
        <v>2028e</v>
      </c>
      <c r="AE2" s="355" t="str">
        <f>'Segment Analysis'!AE2</f>
        <v>2029e</v>
      </c>
      <c r="AF2" s="355" t="str">
        <f>'Segment Analysis'!AF2</f>
        <v>2030e</v>
      </c>
    </row>
    <row r="3" spans="1:32" x14ac:dyDescent="0.2">
      <c r="B3" s="356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</row>
    <row r="4" spans="1:32" x14ac:dyDescent="0.2">
      <c r="E4" s="346"/>
      <c r="F4" s="346"/>
      <c r="G4" s="346"/>
      <c r="H4" s="346"/>
      <c r="J4" s="346"/>
      <c r="K4" s="346"/>
      <c r="L4" s="346"/>
      <c r="M4" s="346"/>
      <c r="O4" s="346"/>
      <c r="P4" s="346"/>
      <c r="Q4" s="346"/>
      <c r="R4" s="346"/>
      <c r="T4" s="345"/>
      <c r="U4" s="345"/>
      <c r="V4" s="345"/>
      <c r="W4" s="345"/>
      <c r="Y4" s="345"/>
      <c r="Z4" s="345"/>
      <c r="AA4" s="345"/>
      <c r="AB4" s="345"/>
    </row>
    <row r="5" spans="1:32" x14ac:dyDescent="0.2">
      <c r="B5" s="88" t="s">
        <v>4</v>
      </c>
      <c r="E5" s="350"/>
      <c r="F5" s="350"/>
      <c r="G5" s="350"/>
      <c r="H5" s="350"/>
      <c r="I5" s="362"/>
      <c r="J5" s="350"/>
      <c r="K5" s="350"/>
      <c r="L5" s="350"/>
      <c r="M5" s="350"/>
      <c r="N5" s="362"/>
      <c r="O5" s="350"/>
      <c r="P5" s="350"/>
      <c r="Q5" s="350"/>
      <c r="R5" s="350"/>
      <c r="S5" s="362"/>
      <c r="T5" s="352"/>
      <c r="U5" s="352"/>
      <c r="V5" s="352"/>
      <c r="W5" s="352"/>
      <c r="X5" s="362"/>
      <c r="Y5" s="352"/>
      <c r="Z5" s="352"/>
      <c r="AA5" s="352"/>
      <c r="AB5" s="352"/>
      <c r="AC5" s="362"/>
      <c r="AD5" s="403"/>
      <c r="AE5" s="403"/>
      <c r="AF5" s="403"/>
    </row>
    <row r="6" spans="1:32" x14ac:dyDescent="0.2">
      <c r="B6" s="328" t="str" cm="1">
        <f t="array" ref="B6:B10">+'Segment Analysis'!B7:B11</f>
        <v>Management Fees</v>
      </c>
      <c r="E6" s="357">
        <f>+'Segment Analysis'!E7</f>
        <v>738156</v>
      </c>
      <c r="F6" s="357">
        <f>+'Segment Analysis'!F7</f>
        <v>748888</v>
      </c>
      <c r="G6" s="357">
        <f>+'Segment Analysis'!G7</f>
        <v>758700</v>
      </c>
      <c r="H6" s="357">
        <f>+'Segment Analysis'!H7</f>
        <v>784581</v>
      </c>
      <c r="I6" s="349">
        <f t="shared" ref="I6:I8" si="0">+SUM(E6:H6)</f>
        <v>3030325</v>
      </c>
      <c r="J6" s="357">
        <f>+'Segment Analysis'!J7</f>
        <v>815327</v>
      </c>
      <c r="K6" s="357">
        <f>+'Segment Analysis'!K7</f>
        <v>847307</v>
      </c>
      <c r="L6" s="357">
        <f>+'Segment Analysis'!L7</f>
        <v>892629</v>
      </c>
      <c r="M6" s="357">
        <f>+'Segment Analysis'!M7</f>
        <v>906118</v>
      </c>
      <c r="N6" s="349">
        <f t="shared" ref="N6:N10" si="1">+SUM(J6:M6)</f>
        <v>3461381</v>
      </c>
      <c r="O6" s="357">
        <f>+'Segment Analysis'!O7</f>
        <v>917334</v>
      </c>
      <c r="P6" s="357">
        <f>+'Segment Analysis'!P7</f>
        <v>995763</v>
      </c>
      <c r="Q6" s="357">
        <f>+'Segment Analysis'!Q7</f>
        <v>1063553</v>
      </c>
      <c r="R6" s="357">
        <f>+'Segment Analysis'!R7</f>
        <v>1124191</v>
      </c>
      <c r="S6" s="349">
        <f t="shared" ref="S6:S10" si="2">+SUM(O6:R6)</f>
        <v>4100841</v>
      </c>
      <c r="T6" s="402">
        <f>+'Revenue Build'!R9</f>
        <v>1143864.3425</v>
      </c>
      <c r="U6" s="402">
        <f>+'Revenue Build'!S9</f>
        <v>1185043.4588300001</v>
      </c>
      <c r="V6" s="402">
        <f>+'Revenue Build'!T9</f>
        <v>1241925.5448538403</v>
      </c>
      <c r="W6" s="402">
        <f>+'Revenue Build'!U9</f>
        <v>1291602.5666479939</v>
      </c>
      <c r="X6" s="349">
        <f t="shared" ref="X6:X10" si="3">+SUM(T6:W6)</f>
        <v>4862435.9128318336</v>
      </c>
      <c r="Y6" s="402">
        <f>+'Revenue Build'!W9</f>
        <v>1346495.6757305337</v>
      </c>
      <c r="Z6" s="402">
        <f>+'Revenue Build'!X9</f>
        <v>1397662.5114082941</v>
      </c>
      <c r="AA6" s="402">
        <f>+'Revenue Build'!Y9</f>
        <v>1453569.0118646258</v>
      </c>
      <c r="AB6" s="402">
        <f>+'Revenue Build'!Z9</f>
        <v>1504443.9272798877</v>
      </c>
      <c r="AC6" s="349">
        <f t="shared" ref="AC6:AC10" si="4">+SUM(Y6:AB6)</f>
        <v>5702171.1262833411</v>
      </c>
      <c r="AD6" s="417">
        <f>+'Revenue Build'!AB9</f>
        <v>6295196.9234168092</v>
      </c>
      <c r="AE6" s="417">
        <f>+'Revenue Build'!AC9</f>
        <v>7230033.6665442055</v>
      </c>
      <c r="AF6" s="417">
        <f>+'Revenue Build'!AD9</f>
        <v>8014492.3193642525</v>
      </c>
    </row>
    <row r="7" spans="1:32" x14ac:dyDescent="0.2">
      <c r="B7" s="328" t="str">
        <v>Transaction and Monitoring Fees</v>
      </c>
      <c r="E7" s="357">
        <f>+'Segment Analysis'!E8</f>
        <v>142179</v>
      </c>
      <c r="F7" s="357">
        <f>+'Segment Analysis'!F8</f>
        <v>190228</v>
      </c>
      <c r="G7" s="357">
        <f>+'Segment Analysis'!G8</f>
        <v>124014</v>
      </c>
      <c r="H7" s="357">
        <f>+'Segment Analysis'!H8</f>
        <v>264233</v>
      </c>
      <c r="I7" s="349">
        <f t="shared" si="0"/>
        <v>720654</v>
      </c>
      <c r="J7" s="357">
        <f>+'Segment Analysis'!J8</f>
        <v>152084</v>
      </c>
      <c r="K7" s="357">
        <f>+'Segment Analysis'!K8</f>
        <v>222858</v>
      </c>
      <c r="L7" s="357">
        <f>+'Segment Analysis'!L8</f>
        <v>467145</v>
      </c>
      <c r="M7" s="357">
        <f>+'Segment Analysis'!M8</f>
        <v>323797</v>
      </c>
      <c r="N7" s="349">
        <f t="shared" si="1"/>
        <v>1165884</v>
      </c>
      <c r="O7" s="357">
        <f>+'Segment Analysis'!O8</f>
        <v>261509</v>
      </c>
      <c r="P7" s="357">
        <f>+'Segment Analysis'!P8</f>
        <v>234249</v>
      </c>
      <c r="Q7" s="357">
        <f>+'Segment Analysis'!Q8</f>
        <v>328124</v>
      </c>
      <c r="R7" s="357">
        <f>+'Segment Analysis'!R8</f>
        <v>268695</v>
      </c>
      <c r="S7" s="349">
        <f t="shared" si="2"/>
        <v>1092577</v>
      </c>
      <c r="T7" s="402">
        <f>+'Segment Analysis'!T8</f>
        <v>297579.71249999997</v>
      </c>
      <c r="U7" s="402">
        <f>+'Segment Analysis'!U8</f>
        <v>331057.43015624996</v>
      </c>
      <c r="V7" s="402">
        <f>+'Segment Analysis'!V8</f>
        <v>335195.64803320309</v>
      </c>
      <c r="W7" s="402">
        <f>+'Segment Analysis'!W8</f>
        <v>355307.38691519527</v>
      </c>
      <c r="X7" s="349">
        <f t="shared" si="3"/>
        <v>1319140.1776046483</v>
      </c>
      <c r="Y7" s="402">
        <f>+'Segment Analysis'!Y8</f>
        <v>353530.84998061927</v>
      </c>
      <c r="Z7" s="402">
        <f>+'Segment Analysis'!Z8</f>
        <v>396838.37910324516</v>
      </c>
      <c r="AA7" s="402">
        <f>+'Segment Analysis'!AA8</f>
        <v>400806.76289427764</v>
      </c>
      <c r="AB7" s="402">
        <f>+'Segment Analysis'!AB8</f>
        <v>418843.06722452008</v>
      </c>
      <c r="AC7" s="349">
        <f t="shared" si="4"/>
        <v>1570019.0592026622</v>
      </c>
      <c r="AD7" s="417">
        <f>+'Segment Analysis'!AD8</f>
        <v>1703470.6792348884</v>
      </c>
      <c r="AE7" s="417">
        <f>+'Segment Analysis'!AE8</f>
        <v>1682177.2957444524</v>
      </c>
      <c r="AF7" s="417">
        <f>+'Segment Analysis'!AF8</f>
        <v>1593862.9877178688</v>
      </c>
    </row>
    <row r="8" spans="1:32" s="349" customFormat="1" x14ac:dyDescent="0.2">
      <c r="A8" s="2"/>
      <c r="B8" s="328" t="str">
        <v>Fee-Related Performance Revenues</v>
      </c>
      <c r="C8" s="2"/>
      <c r="D8" s="2"/>
      <c r="E8" s="357">
        <f>+'Segment Analysis'!E9</f>
        <v>21741</v>
      </c>
      <c r="F8" s="357">
        <f>+'Segment Analysis'!F9</f>
        <v>28352</v>
      </c>
      <c r="G8" s="357">
        <f>+'Segment Analysis'!G9</f>
        <v>20436</v>
      </c>
      <c r="H8" s="357">
        <f>+'Segment Analysis'!H9</f>
        <v>23898</v>
      </c>
      <c r="I8" s="349">
        <f t="shared" si="0"/>
        <v>94427</v>
      </c>
      <c r="J8" s="357">
        <f>+'Segment Analysis'!J9</f>
        <v>19101</v>
      </c>
      <c r="K8" s="357">
        <f>+'Segment Analysis'!K9</f>
        <v>37145</v>
      </c>
      <c r="L8" s="357">
        <f>+'Segment Analysis'!L9</f>
        <v>56655</v>
      </c>
      <c r="M8" s="357">
        <f>+'Segment Analysis'!M9</f>
        <v>25091</v>
      </c>
      <c r="N8" s="349">
        <f t="shared" si="1"/>
        <v>137992</v>
      </c>
      <c r="O8" s="357">
        <f>+'Segment Analysis'!O9</f>
        <v>21277</v>
      </c>
      <c r="P8" s="357">
        <f>+'Segment Analysis'!P9</f>
        <v>53737</v>
      </c>
      <c r="Q8" s="357">
        <f>+'Segment Analysis'!Q9</f>
        <v>73177</v>
      </c>
      <c r="R8" s="357">
        <f>+'Segment Analysis'!R9</f>
        <v>33593</v>
      </c>
      <c r="S8" s="349">
        <f t="shared" si="2"/>
        <v>181784</v>
      </c>
      <c r="T8" s="402">
        <f>+'Segment Analysis'!T9</f>
        <v>38296.020000000004</v>
      </c>
      <c r="U8" s="402">
        <f>+'Segment Analysis'!U9</f>
        <v>67018.035000000003</v>
      </c>
      <c r="V8" s="402">
        <f>+'Segment Analysis'!V9</f>
        <v>83772.543750000012</v>
      </c>
      <c r="W8" s="402">
        <f>+'Segment Analysis'!W9</f>
        <v>47750.34993750001</v>
      </c>
      <c r="X8" s="349">
        <f t="shared" si="3"/>
        <v>236836.94868750003</v>
      </c>
      <c r="Y8" s="402">
        <f>+'Segment Analysis'!Y9</f>
        <v>41542.804445625006</v>
      </c>
      <c r="Z8" s="402">
        <f>+'Segment Analysis'!Z9</f>
        <v>82877.894869021897</v>
      </c>
      <c r="AA8" s="402">
        <f>+'Segment Analysis'!AA9</f>
        <v>104011.75806062247</v>
      </c>
      <c r="AB8" s="402">
        <f>+'Segment Analysis'!AB9</f>
        <v>55126.231772129911</v>
      </c>
      <c r="AC8" s="349">
        <f t="shared" si="4"/>
        <v>283558.68914739927</v>
      </c>
      <c r="AD8" s="417">
        <f>+'Segment Analysis'!AD9</f>
        <v>351612.77454277512</v>
      </c>
      <c r="AE8" s="417">
        <f>+'Segment Analysis'!AE9</f>
        <v>502806.26759616839</v>
      </c>
      <c r="AF8" s="417">
        <f>+'Segment Analysis'!AF9</f>
        <v>698900.71195867413</v>
      </c>
    </row>
    <row r="9" spans="1:32" s="349" customFormat="1" x14ac:dyDescent="0.2">
      <c r="A9" s="2"/>
      <c r="B9" s="328" t="str">
        <v>Fee-Related Compensation</v>
      </c>
      <c r="C9" s="2"/>
      <c r="D9" s="2"/>
      <c r="E9" s="359">
        <f>+'Segment Analysis'!E10</f>
        <v>-203094</v>
      </c>
      <c r="F9" s="359">
        <f>+'Segment Analysis'!F10</f>
        <v>-217684</v>
      </c>
      <c r="G9" s="359">
        <f>+'Segment Analysis'!G10</f>
        <v>-203209</v>
      </c>
      <c r="H9" s="359">
        <f>+'Segment Analysis'!H10</f>
        <v>-241349</v>
      </c>
      <c r="I9" s="349">
        <f t="shared" ref="I9" si="5">+SUM(E9:H9)</f>
        <v>-865336</v>
      </c>
      <c r="J9" s="359">
        <f>+'Segment Analysis'!J10</f>
        <v>-172640</v>
      </c>
      <c r="K9" s="359">
        <f>+'Segment Analysis'!K10</f>
        <v>-193779</v>
      </c>
      <c r="L9" s="359">
        <f>+'Segment Analysis'!L10</f>
        <v>-247875</v>
      </c>
      <c r="M9" s="359">
        <f>+'Segment Analysis'!M10</f>
        <v>-219624</v>
      </c>
      <c r="N9" s="349">
        <f t="shared" si="1"/>
        <v>-833918</v>
      </c>
      <c r="O9" s="359">
        <f>+'Segment Analysis'!O10</f>
        <v>-210021</v>
      </c>
      <c r="P9" s="359">
        <f>+'Segment Analysis'!P10</f>
        <v>-224656</v>
      </c>
      <c r="Q9" s="359">
        <f>+'Segment Analysis'!Q10</f>
        <v>-256350</v>
      </c>
      <c r="R9" s="359">
        <f>+'Segment Analysis'!R10</f>
        <v>-249694</v>
      </c>
      <c r="S9" s="349">
        <f t="shared" si="2"/>
        <v>-940721</v>
      </c>
      <c r="T9" s="388">
        <f>+'Segment Analysis'!T10</f>
        <v>-257184.82</v>
      </c>
      <c r="U9" s="388">
        <f>+'Segment Analysis'!U10</f>
        <v>-274544.79534999997</v>
      </c>
      <c r="V9" s="388">
        <f>+'Segment Analysis'!V10</f>
        <v>-287585.67312912497</v>
      </c>
      <c r="W9" s="388">
        <f>+'Segment Analysis'!W10</f>
        <v>-291899.45822606183</v>
      </c>
      <c r="X9" s="349">
        <f t="shared" si="3"/>
        <v>-1111214.7467051868</v>
      </c>
      <c r="Y9" s="388">
        <f>+'Segment Analysis'!Y10</f>
        <v>-302115.93926397397</v>
      </c>
      <c r="Z9" s="388">
        <f>+'Segment Analysis'!Z10</f>
        <v>-324774.63470877201</v>
      </c>
      <c r="AA9" s="388">
        <f>+'Segment Analysis'!AA10</f>
        <v>-337765.62009712291</v>
      </c>
      <c r="AB9" s="388">
        <f>+'Segment Analysis'!AB10</f>
        <v>-341143.27629809413</v>
      </c>
      <c r="AC9" s="349">
        <f t="shared" si="4"/>
        <v>-1305799.470367963</v>
      </c>
      <c r="AD9" s="386">
        <f>+'Segment Analysis'!AD10</f>
        <v>-1462495.4068121186</v>
      </c>
      <c r="AE9" s="386">
        <f>+'Segment Analysis'!AE10</f>
        <v>-1652619.8096976939</v>
      </c>
      <c r="AF9" s="386">
        <f>+'Segment Analysis'!AF10</f>
        <v>-1801355.5925704865</v>
      </c>
    </row>
    <row r="10" spans="1:32" s="349" customFormat="1" x14ac:dyDescent="0.2">
      <c r="A10" s="2"/>
      <c r="B10" s="328" t="str">
        <v>Other Operating Expenses</v>
      </c>
      <c r="C10" s="2"/>
      <c r="D10" s="2"/>
      <c r="E10" s="359">
        <f>+'Segment Analysis'!E11</f>
        <v>-150404</v>
      </c>
      <c r="F10" s="359">
        <f>+'Segment Analysis'!F11</f>
        <v>-147475</v>
      </c>
      <c r="G10" s="359">
        <f>+'Segment Analysis'!G11</f>
        <v>-142416</v>
      </c>
      <c r="H10" s="359">
        <f>+'Segment Analysis'!H11</f>
        <v>-155989</v>
      </c>
      <c r="I10" s="349">
        <f t="shared" ref="I10" si="6">+SUM(E10:H10)</f>
        <v>-596284</v>
      </c>
      <c r="J10" s="359">
        <f>+'Segment Analysis'!J11</f>
        <v>-145131</v>
      </c>
      <c r="K10" s="359">
        <f>+'Segment Analysis'!K11</f>
        <v>-158134</v>
      </c>
      <c r="L10" s="359">
        <f>+'Segment Analysis'!L11</f>
        <v>-167881</v>
      </c>
      <c r="M10" s="359">
        <f>+'Segment Analysis'!M11</f>
        <v>-192397</v>
      </c>
      <c r="N10" s="349">
        <f t="shared" si="1"/>
        <v>-663543</v>
      </c>
      <c r="O10" s="359">
        <f>+'Segment Analysis'!O11</f>
        <v>-167496</v>
      </c>
      <c r="P10" s="359">
        <f>+'Segment Analysis'!P11</f>
        <v>-172339</v>
      </c>
      <c r="Q10" s="359">
        <f>+'Segment Analysis'!Q11</f>
        <v>-175568</v>
      </c>
      <c r="R10" s="359">
        <f>+'Segment Analysis'!R11</f>
        <v>-204765</v>
      </c>
      <c r="S10" s="349">
        <f t="shared" si="2"/>
        <v>-720168</v>
      </c>
      <c r="T10" s="388">
        <f>+'Segment Analysis'!T11</f>
        <v>-188383.80000000002</v>
      </c>
      <c r="U10" s="388">
        <f>+'Segment Analysis'!U11</f>
        <v>-194035.31400000001</v>
      </c>
      <c r="V10" s="388">
        <f>+'Segment Analysis'!V11</f>
        <v>-198886.19685000001</v>
      </c>
      <c r="W10" s="388">
        <f>+'Segment Analysis'!W11</f>
        <v>-222255.324979875</v>
      </c>
      <c r="X10" s="349">
        <f t="shared" si="3"/>
        <v>-803560.63582987501</v>
      </c>
      <c r="Y10" s="388">
        <f>+'Segment Analysis'!Y11</f>
        <v>-206697.45223128374</v>
      </c>
      <c r="Z10" s="388">
        <f>+'Segment Analysis'!Z11</f>
        <v>-215998.83758169148</v>
      </c>
      <c r="AA10" s="388">
        <f>+'Segment Analysis'!AA11</f>
        <v>-222478.80270914224</v>
      </c>
      <c r="AB10" s="388">
        <f>+'Segment Analysis'!AB11</f>
        <v>-246951.47100714792</v>
      </c>
      <c r="AC10" s="349">
        <f t="shared" si="4"/>
        <v>-892126.56352926535</v>
      </c>
      <c r="AD10" s="386">
        <f>+'Segment Analysis'!AD11</f>
        <v>-965727.00502042973</v>
      </c>
      <c r="AE10" s="386">
        <f>+'Segment Analysis'!AE11</f>
        <v>-1177221.2191199039</v>
      </c>
      <c r="AF10" s="386">
        <f>+'Segment Analysis'!AF11</f>
        <v>-1387943.8173423668</v>
      </c>
    </row>
    <row r="11" spans="1:32" s="349" customFormat="1" x14ac:dyDescent="0.2">
      <c r="A11" s="2"/>
      <c r="B11" s="11" t="s">
        <v>498</v>
      </c>
      <c r="C11" s="2"/>
      <c r="D11" s="2"/>
      <c r="E11" s="409">
        <f>+SUM(E6:E10)</f>
        <v>548578</v>
      </c>
      <c r="F11" s="409">
        <f t="shared" ref="F11:H11" si="7">+SUM(F6:F10)</f>
        <v>602309</v>
      </c>
      <c r="G11" s="409">
        <f t="shared" si="7"/>
        <v>557525</v>
      </c>
      <c r="H11" s="409">
        <f t="shared" si="7"/>
        <v>675374</v>
      </c>
      <c r="I11" s="408">
        <f>+SUM(E11:H11)</f>
        <v>2383786</v>
      </c>
      <c r="J11" s="409">
        <f>+SUM(J6:J10)</f>
        <v>668741</v>
      </c>
      <c r="K11" s="409">
        <f t="shared" ref="K11" si="8">+SUM(K6:K10)</f>
        <v>755397</v>
      </c>
      <c r="L11" s="409">
        <f t="shared" ref="L11" si="9">+SUM(L6:L10)</f>
        <v>1000673</v>
      </c>
      <c r="M11" s="409">
        <f t="shared" ref="M11" si="10">+SUM(M6:M10)</f>
        <v>842985</v>
      </c>
      <c r="N11" s="408">
        <f>+SUM(J11:M11)</f>
        <v>3267796</v>
      </c>
      <c r="O11" s="409">
        <f>+SUM(O6:O10)</f>
        <v>822603</v>
      </c>
      <c r="P11" s="409">
        <f t="shared" ref="P11" si="11">+SUM(P6:P10)</f>
        <v>886754</v>
      </c>
      <c r="Q11" s="409">
        <f t="shared" ref="Q11" si="12">+SUM(Q6:Q10)</f>
        <v>1032936</v>
      </c>
      <c r="R11" s="409">
        <f t="shared" ref="R11" si="13">+SUM(R6:R10)</f>
        <v>972020</v>
      </c>
      <c r="S11" s="408">
        <f>+SUM(O11:R11)</f>
        <v>3714313</v>
      </c>
      <c r="T11" s="416">
        <f>SUM(T6:T10)</f>
        <v>1034171.4549999998</v>
      </c>
      <c r="U11" s="416">
        <f t="shared" ref="U11:W11" si="14">SUM(U6:U10)</f>
        <v>1114538.81463625</v>
      </c>
      <c r="V11" s="416">
        <f t="shared" si="14"/>
        <v>1174421.8666579183</v>
      </c>
      <c r="W11" s="416">
        <f t="shared" si="14"/>
        <v>1180505.5202947522</v>
      </c>
      <c r="X11" s="408">
        <f>+SUM(T11:W11)</f>
        <v>4503637.6565889204</v>
      </c>
      <c r="Y11" s="416">
        <f>SUM(Y6:Y10)</f>
        <v>1232755.9386615204</v>
      </c>
      <c r="Z11" s="416">
        <f t="shared" ref="Z11" si="15">SUM(Z6:Z10)</f>
        <v>1336605.3130900976</v>
      </c>
      <c r="AA11" s="416">
        <f t="shared" ref="AA11" si="16">SUM(AA6:AA10)</f>
        <v>1398143.110013261</v>
      </c>
      <c r="AB11" s="416">
        <f t="shared" ref="AB11" si="17">SUM(AB6:AB10)</f>
        <v>1390318.4789712955</v>
      </c>
      <c r="AC11" s="408">
        <f>+SUM(Y11:AB11)</f>
        <v>5357822.840736175</v>
      </c>
      <c r="AD11" s="418">
        <f t="shared" ref="AD11" si="18">SUM(AD6:AD10)</f>
        <v>5922057.9653619248</v>
      </c>
      <c r="AE11" s="418">
        <f t="shared" ref="AE11" si="19">SUM(AE6:AE10)</f>
        <v>6585176.2010672279</v>
      </c>
      <c r="AF11" s="418">
        <f t="shared" ref="AF11" si="20">SUM(AF6:AF10)</f>
        <v>7117956.6091279425</v>
      </c>
    </row>
    <row r="12" spans="1:32" s="427" customFormat="1" x14ac:dyDescent="0.2">
      <c r="A12" s="385"/>
      <c r="B12" s="423" t="s">
        <v>15</v>
      </c>
      <c r="C12" s="385"/>
      <c r="D12" s="385"/>
      <c r="E12" s="424"/>
      <c r="F12" s="384">
        <f>+F11/E11-1</f>
        <v>9.7945962105662199E-2</v>
      </c>
      <c r="G12" s="384">
        <f t="shared" ref="G12:H12" si="21">+G11/F11-1</f>
        <v>-7.4353861556111567E-2</v>
      </c>
      <c r="H12" s="384">
        <f t="shared" si="21"/>
        <v>0.21137886193444233</v>
      </c>
      <c r="I12" s="425"/>
      <c r="J12" s="384">
        <f>+J11/I11-1</f>
        <v>-0.71946265310728397</v>
      </c>
      <c r="K12" s="384">
        <f t="shared" ref="K12:M12" si="22">+K11/J11-1</f>
        <v>0.12958080931182625</v>
      </c>
      <c r="L12" s="384">
        <f t="shared" si="22"/>
        <v>0.3246981388594341</v>
      </c>
      <c r="M12" s="384">
        <f t="shared" si="22"/>
        <v>-0.15758194734943387</v>
      </c>
      <c r="N12" s="425">
        <f>+N11/I11-1</f>
        <v>0.37084285250437743</v>
      </c>
      <c r="O12" s="384">
        <f>+O11/N11-1</f>
        <v>-0.74826978183460657</v>
      </c>
      <c r="P12" s="384">
        <f t="shared" ref="P12" si="23">+P11/O11-1</f>
        <v>7.7985370828941747E-2</v>
      </c>
      <c r="Q12" s="384">
        <f t="shared" ref="Q12" si="24">+Q11/P11-1</f>
        <v>0.16485068012098059</v>
      </c>
      <c r="R12" s="384">
        <f t="shared" ref="R12" si="25">+R11/Q11-1</f>
        <v>-5.8973644059264085E-2</v>
      </c>
      <c r="S12" s="425">
        <f>+S11/N11-1</f>
        <v>0.13664163858453837</v>
      </c>
      <c r="T12" s="426">
        <f>+T11/S11-1</f>
        <v>-0.72157126903413904</v>
      </c>
      <c r="U12" s="426">
        <f t="shared" ref="U12" si="26">+U11/T11-1</f>
        <v>7.7711833224259896E-2</v>
      </c>
      <c r="V12" s="426">
        <f t="shared" ref="V12" si="27">+V11/U11-1</f>
        <v>5.3728996456002598E-2</v>
      </c>
      <c r="W12" s="426">
        <f t="shared" ref="W12" si="28">+W11/V11-1</f>
        <v>5.1801263324109392E-3</v>
      </c>
      <c r="X12" s="425">
        <f>+X11/S11-1</f>
        <v>0.21250892334300331</v>
      </c>
      <c r="Y12" s="426">
        <f>+Y11/X11-1</f>
        <v>-0.72627550601057544</v>
      </c>
      <c r="Z12" s="426">
        <f t="shared" ref="Z12" si="29">+Z11/Y11-1</f>
        <v>8.4241633864147403E-2</v>
      </c>
      <c r="AA12" s="426">
        <f t="shared" ref="AA12" si="30">+AA11/Z11-1</f>
        <v>4.6040365334845346E-2</v>
      </c>
      <c r="AB12" s="426">
        <f t="shared" ref="AB12" si="31">+AB11/AA11-1</f>
        <v>-5.5964450176285707E-3</v>
      </c>
      <c r="AC12" s="425">
        <f>+AC11/X11-1</f>
        <v>0.18966561017571282</v>
      </c>
      <c r="AD12" s="425">
        <f>+AD11/AC11-1</f>
        <v>0.10531052283696307</v>
      </c>
      <c r="AE12" s="425">
        <f t="shared" ref="AE12:AF12" si="32">+AE11/AD11-1</f>
        <v>0.11197428994850722</v>
      </c>
      <c r="AF12" s="425">
        <f t="shared" si="32"/>
        <v>8.0906021614785217E-2</v>
      </c>
    </row>
    <row r="13" spans="1:32" s="349" customFormat="1" x14ac:dyDescent="0.2">
      <c r="A13" s="2"/>
      <c r="B13" s="11"/>
      <c r="C13" s="2"/>
      <c r="D13" s="2"/>
      <c r="E13" s="363"/>
      <c r="F13" s="420"/>
      <c r="G13" s="420"/>
      <c r="H13" s="420"/>
      <c r="I13" s="421"/>
      <c r="J13" s="420"/>
      <c r="K13" s="420"/>
      <c r="L13" s="420"/>
      <c r="M13" s="420"/>
      <c r="N13" s="421"/>
      <c r="O13" s="420"/>
      <c r="P13" s="420"/>
      <c r="Q13" s="420"/>
      <c r="R13" s="420"/>
      <c r="S13" s="421"/>
      <c r="T13" s="422"/>
      <c r="U13" s="422"/>
      <c r="V13" s="422"/>
      <c r="W13" s="422"/>
      <c r="X13" s="421"/>
      <c r="Y13" s="422"/>
      <c r="Z13" s="422"/>
      <c r="AA13" s="422"/>
      <c r="AB13" s="422"/>
      <c r="AC13" s="421"/>
      <c r="AD13" s="421"/>
      <c r="AE13" s="421"/>
      <c r="AF13" s="421"/>
    </row>
    <row r="14" spans="1:32" s="349" customFormat="1" x14ac:dyDescent="0.2">
      <c r="A14" s="2"/>
      <c r="B14" s="11" t="s">
        <v>500</v>
      </c>
      <c r="C14" s="2"/>
      <c r="D14" s="2"/>
      <c r="E14" s="363"/>
      <c r="F14" s="363"/>
      <c r="G14" s="363"/>
      <c r="H14" s="363"/>
      <c r="J14" s="363"/>
      <c r="K14" s="363"/>
      <c r="L14" s="363"/>
      <c r="M14" s="363"/>
      <c r="O14" s="363"/>
      <c r="P14" s="363"/>
      <c r="Q14" s="363"/>
      <c r="R14" s="363"/>
      <c r="T14" s="388"/>
      <c r="U14" s="388"/>
      <c r="V14" s="388"/>
      <c r="W14" s="388"/>
      <c r="Y14" s="388"/>
      <c r="Z14" s="388"/>
      <c r="AA14" s="388"/>
      <c r="AB14" s="388"/>
      <c r="AD14" s="386"/>
      <c r="AE14" s="386"/>
      <c r="AF14" s="386"/>
    </row>
    <row r="15" spans="1:32" s="349" customFormat="1" x14ac:dyDescent="0.2">
      <c r="A15" s="2"/>
      <c r="B15" s="328" t="s">
        <v>502</v>
      </c>
      <c r="C15" s="2"/>
      <c r="D15" s="2"/>
      <c r="E15" s="348">
        <v>175398</v>
      </c>
      <c r="F15" s="348">
        <v>149334</v>
      </c>
      <c r="G15" s="348">
        <v>329266</v>
      </c>
      <c r="H15" s="348">
        <f>1065389-SUM(E15:G15)</f>
        <v>411391</v>
      </c>
      <c r="I15" s="349">
        <f t="shared" ref="I15" si="33">+SUM(E15:H15)</f>
        <v>1065389</v>
      </c>
      <c r="J15" s="348">
        <v>271545</v>
      </c>
      <c r="K15" s="348">
        <v>482309</v>
      </c>
      <c r="L15" s="348">
        <v>391920</v>
      </c>
      <c r="M15" s="348">
        <f>1822115-SUM(J15:L15)</f>
        <v>676341</v>
      </c>
      <c r="N15" s="349">
        <f t="shared" ref="N15:N16" si="34">+SUM(J15:M15)</f>
        <v>1822115</v>
      </c>
      <c r="O15" s="348">
        <v>347920</v>
      </c>
      <c r="P15" s="348">
        <v>418850</v>
      </c>
      <c r="Q15" s="348">
        <v>930659</v>
      </c>
      <c r="R15" s="348">
        <f>1879512-SUM(O15:Q15)</f>
        <v>182083</v>
      </c>
      <c r="S15" s="349">
        <f t="shared" ref="S15:S16" si="35">+SUM(O15:R15)</f>
        <v>1879512</v>
      </c>
      <c r="T15" s="395">
        <f>+R15*(1+T53)</f>
        <v>682811.25</v>
      </c>
      <c r="U15" s="395">
        <f>+T15*(1+U53)</f>
        <v>792061.04999999993</v>
      </c>
      <c r="V15" s="395">
        <f>+U15*(1+V53)</f>
        <v>891068.68124999991</v>
      </c>
      <c r="W15" s="395">
        <f>+V15*(1+W53)</f>
        <v>1118291.1949687498</v>
      </c>
      <c r="X15" s="360">
        <f t="shared" ref="X15:X16" si="36">+SUM(T15:W15)</f>
        <v>3484232.1762187495</v>
      </c>
      <c r="Y15" s="395">
        <f>+W15*(1+Y53)</f>
        <v>944956.05974859348</v>
      </c>
      <c r="Z15" s="395">
        <f>+Y15*(1+Z53)</f>
        <v>1055988.3967690531</v>
      </c>
      <c r="AA15" s="395">
        <f>+Z15*(1+AA53)</f>
        <v>1108787.8166075058</v>
      </c>
      <c r="AB15" s="395">
        <f>+AA15*(1+AB53)</f>
        <v>1333317.3494705257</v>
      </c>
      <c r="AC15" s="360">
        <f t="shared" ref="AC15:AC16" si="37">+SUM(Y15:AB15)</f>
        <v>4443049.6225956781</v>
      </c>
      <c r="AD15" s="360">
        <f>+AC15*(1+AD53)</f>
        <v>5049525.8960799882</v>
      </c>
      <c r="AE15" s="360">
        <f>+AD15*(1+AE53)</f>
        <v>4584464.5610510213</v>
      </c>
      <c r="AF15" s="360">
        <f>+AE15*(1+AF53)</f>
        <v>4721998.4978825524</v>
      </c>
    </row>
    <row r="16" spans="1:32" s="349" customFormat="1" x14ac:dyDescent="0.2">
      <c r="A16" s="2"/>
      <c r="B16" s="328" t="s">
        <v>501</v>
      </c>
      <c r="C16" s="2"/>
      <c r="D16" s="2"/>
      <c r="E16" s="348">
        <v>-114009</v>
      </c>
      <c r="F16" s="348">
        <v>-97085</v>
      </c>
      <c r="G16" s="348">
        <v>-213816</v>
      </c>
      <c r="H16" s="348">
        <f>+-666440-SUM(E16:G16)</f>
        <v>-241530</v>
      </c>
      <c r="I16" s="349">
        <f t="shared" ref="I16" si="38">+SUM(E16:H16)</f>
        <v>-666440</v>
      </c>
      <c r="J16" s="348">
        <v>-193547</v>
      </c>
      <c r="K16" s="348">
        <v>-359470</v>
      </c>
      <c r="L16" s="348">
        <v>-289994</v>
      </c>
      <c r="M16" s="348">
        <f>+-1213327-SUM(J16:L16)</f>
        <v>-370316</v>
      </c>
      <c r="N16" s="349">
        <f t="shared" si="34"/>
        <v>-1213327</v>
      </c>
      <c r="O16" s="348">
        <v>-259931</v>
      </c>
      <c r="P16" s="348">
        <v>-309536</v>
      </c>
      <c r="Q16" s="348">
        <v>-697994</v>
      </c>
      <c r="R16" s="348">
        <f>+-1387776-SUM(O16:Q16)</f>
        <v>-120315</v>
      </c>
      <c r="S16" s="349">
        <f t="shared" si="35"/>
        <v>-1387776</v>
      </c>
      <c r="T16" s="395">
        <f>+T15*T54</f>
        <v>-491624.1</v>
      </c>
      <c r="U16" s="395">
        <f>+U15*U54</f>
        <v>-572264.10862499999</v>
      </c>
      <c r="V16" s="395">
        <f>+V15*V54</f>
        <v>-648252.46560937492</v>
      </c>
      <c r="W16" s="395">
        <f>+W15*W54</f>
        <v>-735276.46069195296</v>
      </c>
      <c r="X16" s="360">
        <f t="shared" si="36"/>
        <v>-2447417.134926328</v>
      </c>
      <c r="Y16" s="395">
        <f>+Y15*Y54</f>
        <v>-685093.14331773028</v>
      </c>
      <c r="Z16" s="395">
        <f>+Z15*Z54</f>
        <v>-768231.55864948616</v>
      </c>
      <c r="AA16" s="395">
        <f>+AA15*AA54</f>
        <v>-807197.53049026418</v>
      </c>
      <c r="AB16" s="395">
        <f>+AB15*AB54</f>
        <v>-879989.45065054705</v>
      </c>
      <c r="AC16" s="360">
        <f t="shared" si="37"/>
        <v>-3140511.683108028</v>
      </c>
      <c r="AD16" s="360">
        <f>+AD15*AD54</f>
        <v>-3634143.7874087677</v>
      </c>
      <c r="AE16" s="360">
        <f>+AE15*AE54</f>
        <v>-3295771.5729395794</v>
      </c>
      <c r="AF16" s="360">
        <f>+AF15*AF54</f>
        <v>-3398422.3189260731</v>
      </c>
    </row>
    <row r="17" spans="1:32" s="349" customFormat="1" x14ac:dyDescent="0.2">
      <c r="A17" s="2"/>
      <c r="B17" s="11" t="s">
        <v>503</v>
      </c>
      <c r="C17" s="2"/>
      <c r="D17" s="2"/>
      <c r="E17" s="409">
        <f>+SUM(E15:E16)</f>
        <v>61389</v>
      </c>
      <c r="F17" s="409">
        <f t="shared" ref="F17:H17" si="39">+SUM(F15:F16)</f>
        <v>52249</v>
      </c>
      <c r="G17" s="409">
        <f t="shared" si="39"/>
        <v>115450</v>
      </c>
      <c r="H17" s="409">
        <f t="shared" si="39"/>
        <v>169861</v>
      </c>
      <c r="I17" s="408">
        <f>+SUM(E17:H17)</f>
        <v>398949</v>
      </c>
      <c r="J17" s="409">
        <f>+SUM(J15:J16)</f>
        <v>77998</v>
      </c>
      <c r="K17" s="409">
        <f t="shared" ref="K17" si="40">+SUM(K15:K16)</f>
        <v>122839</v>
      </c>
      <c r="L17" s="409">
        <f t="shared" ref="L17" si="41">+SUM(L15:L16)</f>
        <v>101926</v>
      </c>
      <c r="M17" s="409">
        <f t="shared" ref="M17" si="42">+SUM(M15:M16)</f>
        <v>306025</v>
      </c>
      <c r="N17" s="408">
        <f>+SUM(J17:M17)</f>
        <v>608788</v>
      </c>
      <c r="O17" s="409">
        <f>+SUM(O15:O16)</f>
        <v>87989</v>
      </c>
      <c r="P17" s="409">
        <f t="shared" ref="P17" si="43">+SUM(P15:P16)</f>
        <v>109314</v>
      </c>
      <c r="Q17" s="409">
        <f t="shared" ref="Q17" si="44">+SUM(Q15:Q16)</f>
        <v>232665</v>
      </c>
      <c r="R17" s="409">
        <f t="shared" ref="R17" si="45">+SUM(R15:R16)</f>
        <v>61768</v>
      </c>
      <c r="S17" s="408">
        <f>+SUM(O17:R17)</f>
        <v>491736</v>
      </c>
      <c r="T17" s="416">
        <f>+SUM(T15:T16)</f>
        <v>191187.15000000002</v>
      </c>
      <c r="U17" s="416">
        <f t="shared" ref="U17:W17" si="46">+SUM(U15:U16)</f>
        <v>219796.94137499994</v>
      </c>
      <c r="V17" s="416">
        <f t="shared" si="46"/>
        <v>242816.21564062499</v>
      </c>
      <c r="W17" s="416">
        <f t="shared" si="46"/>
        <v>383014.73427679681</v>
      </c>
      <c r="X17" s="418">
        <f>+SUM(T17:W17)</f>
        <v>1036815.0412924218</v>
      </c>
      <c r="Y17" s="416">
        <f>+SUM(Y15:Y16)</f>
        <v>259862.9164308632</v>
      </c>
      <c r="Z17" s="416">
        <f t="shared" ref="Z17" si="47">+SUM(Z15:Z16)</f>
        <v>287756.83811956691</v>
      </c>
      <c r="AA17" s="416">
        <f t="shared" ref="AA17" si="48">+SUM(AA15:AA16)</f>
        <v>301590.2861172416</v>
      </c>
      <c r="AB17" s="416">
        <f t="shared" ref="AB17" si="49">+SUM(AB15:AB16)</f>
        <v>453327.8988199787</v>
      </c>
      <c r="AC17" s="418">
        <f>+SUM(Y17:AB17)</f>
        <v>1302537.9394876505</v>
      </c>
      <c r="AD17" s="418">
        <f t="shared" ref="AD17" si="50">+SUM(AD15:AD16)</f>
        <v>1415382.1086712205</v>
      </c>
      <c r="AE17" s="418">
        <f t="shared" ref="AE17" si="51">+SUM(AE15:AE16)</f>
        <v>1288692.988111442</v>
      </c>
      <c r="AF17" s="418">
        <f t="shared" ref="AF17" si="52">+SUM(AF15:AF16)</f>
        <v>1323576.1789564793</v>
      </c>
    </row>
    <row r="18" spans="1:32" s="349" customFormat="1" x14ac:dyDescent="0.2">
      <c r="A18" s="2"/>
      <c r="B18" s="328"/>
      <c r="C18" s="2"/>
      <c r="D18" s="2"/>
      <c r="E18" s="348"/>
      <c r="F18" s="348"/>
      <c r="G18" s="348"/>
      <c r="H18" s="348"/>
      <c r="J18" s="348"/>
      <c r="K18" s="348"/>
      <c r="L18" s="348"/>
      <c r="M18" s="348"/>
      <c r="O18" s="348"/>
      <c r="P18" s="348"/>
      <c r="Q18" s="348"/>
      <c r="R18" s="348"/>
      <c r="T18" s="395"/>
      <c r="U18" s="395"/>
      <c r="V18" s="395"/>
      <c r="W18" s="395"/>
      <c r="X18" s="360"/>
      <c r="Y18" s="395"/>
      <c r="Z18" s="395"/>
      <c r="AA18" s="395"/>
      <c r="AB18" s="395"/>
      <c r="AC18" s="360"/>
      <c r="AD18" s="360"/>
      <c r="AE18" s="360"/>
      <c r="AF18" s="360"/>
    </row>
    <row r="19" spans="1:32" s="349" customFormat="1" x14ac:dyDescent="0.2">
      <c r="A19" s="2"/>
      <c r="B19" s="11" t="s">
        <v>500</v>
      </c>
      <c r="C19" s="2"/>
      <c r="D19" s="2"/>
      <c r="E19" s="348"/>
      <c r="F19" s="348"/>
      <c r="G19" s="348"/>
      <c r="H19" s="348"/>
      <c r="J19" s="348"/>
      <c r="K19" s="348"/>
      <c r="L19" s="348"/>
      <c r="M19" s="348"/>
      <c r="O19" s="348"/>
      <c r="P19" s="348"/>
      <c r="Q19" s="348"/>
      <c r="R19" s="348"/>
      <c r="T19" s="395"/>
      <c r="U19" s="395"/>
      <c r="V19" s="395"/>
      <c r="W19" s="395"/>
      <c r="X19" s="360"/>
      <c r="Y19" s="395"/>
      <c r="Z19" s="395"/>
      <c r="AA19" s="395"/>
      <c r="AB19" s="395"/>
      <c r="AC19" s="360"/>
      <c r="AD19" s="360"/>
      <c r="AE19" s="360"/>
      <c r="AF19" s="360"/>
    </row>
    <row r="20" spans="1:32" s="349" customFormat="1" x14ac:dyDescent="0.2">
      <c r="A20" s="2"/>
      <c r="B20" s="328" t="s">
        <v>502</v>
      </c>
      <c r="C20" s="2"/>
      <c r="D20" s="2"/>
      <c r="E20" s="348">
        <v>198094</v>
      </c>
      <c r="F20" s="348">
        <v>114675</v>
      </c>
      <c r="G20" s="348">
        <v>231196</v>
      </c>
      <c r="H20" s="348">
        <f>690727-SUM(E20:G20)</f>
        <v>146762</v>
      </c>
      <c r="I20" s="349">
        <f t="shared" ref="I20" si="53">+SUM(E20:H20)</f>
        <v>690727</v>
      </c>
      <c r="J20" s="348">
        <v>134753</v>
      </c>
      <c r="K20" s="348">
        <v>138546</v>
      </c>
      <c r="L20" s="348">
        <v>151546</v>
      </c>
      <c r="M20" s="348">
        <f>534668-SUM(J20:L20)</f>
        <v>109823</v>
      </c>
      <c r="N20" s="349">
        <f t="shared" ref="N20:N21" si="54">+SUM(J20:M20)</f>
        <v>534668</v>
      </c>
      <c r="O20" s="348">
        <v>217957</v>
      </c>
      <c r="P20" s="348">
        <v>153998</v>
      </c>
      <c r="Q20" s="348">
        <v>4436</v>
      </c>
      <c r="R20" s="348">
        <f>403455-SUM(O20:Q20)</f>
        <v>27064</v>
      </c>
      <c r="S20" s="349">
        <f t="shared" ref="S20:S21" si="55">+SUM(O20:R20)</f>
        <v>403455</v>
      </c>
      <c r="T20" s="395">
        <f>+R20*(1+T57)</f>
        <v>198920.4</v>
      </c>
      <c r="U20" s="395">
        <f>+T20*(1+U57)</f>
        <v>208866.42</v>
      </c>
      <c r="V20" s="395">
        <f>+U20*(1+V57)</f>
        <v>221398.40520000004</v>
      </c>
      <c r="W20" s="395">
        <f>+V20*(1+W57)</f>
        <v>270106.05434400006</v>
      </c>
      <c r="X20" s="360">
        <f t="shared" ref="X20:X21" si="56">+SUM(T20:W20)</f>
        <v>899291.27954400005</v>
      </c>
      <c r="Y20" s="395">
        <f>+W20*(1+Y57)</f>
        <v>251198.63053992004</v>
      </c>
      <c r="Z20" s="395">
        <f>+Y20*(1+Z57)</f>
        <v>268782.53467771446</v>
      </c>
      <c r="AA20" s="395">
        <f>+Z20*(1+AA57)</f>
        <v>275233.31550997961</v>
      </c>
      <c r="AB20" s="395">
        <f>+AA20*(1+AB57)</f>
        <v>297251.98075077799</v>
      </c>
      <c r="AC20" s="360">
        <f t="shared" ref="AC20:AC21" si="57">+SUM(Y20:AB20)</f>
        <v>1092466.4614783921</v>
      </c>
      <c r="AD20" s="360">
        <f>+AC20*(1+AD57)</f>
        <v>1398357.070692342</v>
      </c>
      <c r="AE20" s="360">
        <f>+AD20*(1+AE57)</f>
        <v>1514420.7075598063</v>
      </c>
      <c r="AF20" s="360">
        <f>+AE20*(1+AF57)</f>
        <v>1590141.7429377967</v>
      </c>
    </row>
    <row r="21" spans="1:32" s="349" customFormat="1" x14ac:dyDescent="0.2">
      <c r="A21" s="2"/>
      <c r="B21" s="328" t="s">
        <v>501</v>
      </c>
      <c r="C21" s="2"/>
      <c r="D21" s="2"/>
      <c r="E21" s="348">
        <v>-29714</v>
      </c>
      <c r="F21" s="348">
        <v>-17183</v>
      </c>
      <c r="G21" s="348">
        <v>-34679</v>
      </c>
      <c r="H21" s="348">
        <f>+-103590-SUM(E21:G21)</f>
        <v>-22014</v>
      </c>
      <c r="I21" s="349">
        <f t="shared" ref="I21" si="58">+SUM(E21:H21)</f>
        <v>-103590</v>
      </c>
      <c r="J21" s="348">
        <v>-20211</v>
      </c>
      <c r="K21" s="348">
        <v>-20782</v>
      </c>
      <c r="L21" s="348">
        <v>-22732</v>
      </c>
      <c r="M21" s="348">
        <f>+-80198-SUM(J21:L21)</f>
        <v>-16473</v>
      </c>
      <c r="N21" s="349">
        <f t="shared" si="54"/>
        <v>-80198</v>
      </c>
      <c r="O21" s="348">
        <v>-32694</v>
      </c>
      <c r="P21" s="348">
        <v>-23100</v>
      </c>
      <c r="Q21" s="348">
        <v>-665</v>
      </c>
      <c r="R21" s="348">
        <f>+-60520-SUM(O21:Q21)</f>
        <v>-4061</v>
      </c>
      <c r="S21" s="349">
        <f t="shared" si="55"/>
        <v>-60520</v>
      </c>
      <c r="T21" s="395">
        <f>+T20*T58</f>
        <v>-29838.059999999998</v>
      </c>
      <c r="U21" s="395">
        <f>+U20*U58</f>
        <v>-31329.963</v>
      </c>
      <c r="V21" s="395">
        <f>+V20*V58</f>
        <v>-33209.760780000004</v>
      </c>
      <c r="W21" s="395">
        <f>+W20*W58</f>
        <v>-40515.908151600008</v>
      </c>
      <c r="X21" s="360">
        <f t="shared" si="56"/>
        <v>-134893.69193160001</v>
      </c>
      <c r="Y21" s="395">
        <f>+Y20*Y58</f>
        <v>-37679.794580988004</v>
      </c>
      <c r="Z21" s="395">
        <f>+Z20*Z58</f>
        <v>-40317.380201657164</v>
      </c>
      <c r="AA21" s="395">
        <f>+AA20*AA58</f>
        <v>-41284.997326496938</v>
      </c>
      <c r="AB21" s="395">
        <f>+AB20*AB58</f>
        <v>-44587.797112616696</v>
      </c>
      <c r="AC21" s="360">
        <f t="shared" si="57"/>
        <v>-163869.96922175877</v>
      </c>
      <c r="AD21" s="360">
        <f>+AD20*AD58</f>
        <v>-209753.56060385131</v>
      </c>
      <c r="AE21" s="360">
        <f>+AE20*AE58</f>
        <v>-221105.42330373172</v>
      </c>
      <c r="AF21" s="360">
        <f>+AF20*AF58</f>
        <v>-232160.69446891831</v>
      </c>
    </row>
    <row r="22" spans="1:32" s="349" customFormat="1" x14ac:dyDescent="0.2">
      <c r="A22" s="2"/>
      <c r="B22" s="11" t="s">
        <v>503</v>
      </c>
      <c r="C22" s="2"/>
      <c r="D22" s="2"/>
      <c r="E22" s="409">
        <f>+SUM(E20:E21)</f>
        <v>168380</v>
      </c>
      <c r="F22" s="409">
        <f t="shared" ref="F22:H22" si="59">+SUM(F20:F21)</f>
        <v>97492</v>
      </c>
      <c r="G22" s="409">
        <f t="shared" si="59"/>
        <v>196517</v>
      </c>
      <c r="H22" s="409">
        <f t="shared" si="59"/>
        <v>124748</v>
      </c>
      <c r="I22" s="408">
        <f>+SUM(E22:H22)</f>
        <v>587137</v>
      </c>
      <c r="J22" s="409">
        <f>+SUM(J20:J21)</f>
        <v>114542</v>
      </c>
      <c r="K22" s="409">
        <f t="shared" ref="K22" si="60">+SUM(K20:K21)</f>
        <v>117764</v>
      </c>
      <c r="L22" s="409">
        <f t="shared" ref="L22" si="61">+SUM(L20:L21)</f>
        <v>128814</v>
      </c>
      <c r="M22" s="409">
        <f t="shared" ref="M22" si="62">+SUM(M20:M21)</f>
        <v>93350</v>
      </c>
      <c r="N22" s="408">
        <f>+SUM(J22:M22)</f>
        <v>454470</v>
      </c>
      <c r="O22" s="409">
        <f>+SUM(O20:O21)</f>
        <v>185263</v>
      </c>
      <c r="P22" s="409">
        <f t="shared" ref="P22" si="63">+SUM(P20:P21)</f>
        <v>130898</v>
      </c>
      <c r="Q22" s="409">
        <f t="shared" ref="Q22" si="64">+SUM(Q20:Q21)</f>
        <v>3771</v>
      </c>
      <c r="R22" s="409">
        <f t="shared" ref="R22" si="65">+SUM(R20:R21)</f>
        <v>23003</v>
      </c>
      <c r="S22" s="408">
        <f>+SUM(O22:R22)</f>
        <v>342935</v>
      </c>
      <c r="T22" s="416">
        <f>+SUM(T20:T21)</f>
        <v>169082.34</v>
      </c>
      <c r="U22" s="416">
        <f t="shared" ref="U22" si="66">+SUM(U20:U21)</f>
        <v>177536.45700000002</v>
      </c>
      <c r="V22" s="416">
        <f t="shared" ref="V22" si="67">+SUM(V20:V21)</f>
        <v>188188.64442000003</v>
      </c>
      <c r="W22" s="416">
        <f t="shared" ref="W22" si="68">+SUM(W20:W21)</f>
        <v>229590.14619240005</v>
      </c>
      <c r="X22" s="418">
        <f>+SUM(T22:W22)</f>
        <v>764397.58761240006</v>
      </c>
      <c r="Y22" s="416">
        <f>+SUM(Y20:Y21)</f>
        <v>213518.83595893203</v>
      </c>
      <c r="Z22" s="416">
        <f t="shared" ref="Z22" si="69">+SUM(Z20:Z21)</f>
        <v>228465.1544760573</v>
      </c>
      <c r="AA22" s="416">
        <f t="shared" ref="AA22" si="70">+SUM(AA20:AA21)</f>
        <v>233948.31818348268</v>
      </c>
      <c r="AB22" s="416">
        <f t="shared" ref="AB22" si="71">+SUM(AB20:AB21)</f>
        <v>252664.18363816128</v>
      </c>
      <c r="AC22" s="418">
        <f>+SUM(Y22:AB22)</f>
        <v>928596.49225663324</v>
      </c>
      <c r="AD22" s="418">
        <f t="shared" ref="AD22" si="72">+SUM(AD20:AD21)</f>
        <v>1188603.5100884908</v>
      </c>
      <c r="AE22" s="418">
        <f t="shared" ref="AE22" si="73">+SUM(AE20:AE21)</f>
        <v>1293315.2842560746</v>
      </c>
      <c r="AF22" s="418">
        <f t="shared" ref="AF22" si="74">+SUM(AF20:AF21)</f>
        <v>1357981.0484688785</v>
      </c>
    </row>
    <row r="23" spans="1:32" s="349" customFormat="1" x14ac:dyDescent="0.2">
      <c r="A23" s="2"/>
      <c r="B23" s="11"/>
      <c r="C23" s="2"/>
      <c r="D23" s="2"/>
      <c r="E23" s="409"/>
      <c r="F23" s="409"/>
      <c r="G23" s="409"/>
      <c r="H23" s="409"/>
      <c r="I23" s="408"/>
      <c r="J23" s="409"/>
      <c r="K23" s="409"/>
      <c r="L23" s="409"/>
      <c r="M23" s="409"/>
      <c r="N23" s="408"/>
      <c r="O23" s="409"/>
      <c r="P23" s="409"/>
      <c r="Q23" s="409"/>
      <c r="R23" s="409"/>
      <c r="S23" s="408"/>
      <c r="T23" s="416"/>
      <c r="U23" s="416"/>
      <c r="V23" s="416"/>
      <c r="W23" s="416"/>
      <c r="X23" s="418"/>
      <c r="Y23" s="416"/>
      <c r="Z23" s="416"/>
      <c r="AA23" s="416"/>
      <c r="AB23" s="416"/>
      <c r="AC23" s="418"/>
      <c r="AD23" s="418"/>
      <c r="AE23" s="418"/>
      <c r="AF23" s="418"/>
    </row>
    <row r="24" spans="1:32" s="349" customFormat="1" x14ac:dyDescent="0.2">
      <c r="A24" s="2"/>
      <c r="B24" s="11" t="s">
        <v>511</v>
      </c>
      <c r="C24" s="2"/>
      <c r="D24" s="2"/>
      <c r="E24" s="409">
        <f>+SUM(E22,E17,E11)</f>
        <v>778347</v>
      </c>
      <c r="F24" s="409">
        <f t="shared" ref="F24:H24" si="75">+SUM(F22,F17,F11)</f>
        <v>752050</v>
      </c>
      <c r="G24" s="409">
        <f t="shared" si="75"/>
        <v>869492</v>
      </c>
      <c r="H24" s="409">
        <f t="shared" si="75"/>
        <v>969983</v>
      </c>
      <c r="I24" s="408">
        <f>+SUM(E24:H24)</f>
        <v>3369872</v>
      </c>
      <c r="J24" s="409">
        <f>+SUM(J22,J17,J11)</f>
        <v>861281</v>
      </c>
      <c r="K24" s="409">
        <f t="shared" ref="K24" si="76">+SUM(K22,K17,K11)</f>
        <v>996000</v>
      </c>
      <c r="L24" s="409">
        <f t="shared" ref="L24" si="77">+SUM(L22,L17,L11)</f>
        <v>1231413</v>
      </c>
      <c r="M24" s="409">
        <f t="shared" ref="M24" si="78">+SUM(M22,M17,M11)</f>
        <v>1242360</v>
      </c>
      <c r="N24" s="408">
        <f>+SUM(J24:M24)</f>
        <v>4331054</v>
      </c>
      <c r="O24" s="409">
        <f>+SUM(O22,O17,O11)</f>
        <v>1095855</v>
      </c>
      <c r="P24" s="409">
        <f t="shared" ref="P24" si="79">+SUM(P22,P17,P11)</f>
        <v>1126966</v>
      </c>
      <c r="Q24" s="409">
        <f t="shared" ref="Q24" si="80">+SUM(Q22,Q17,Q11)</f>
        <v>1269372</v>
      </c>
      <c r="R24" s="409">
        <f t="shared" ref="R24" si="81">+SUM(R22,R17,R11)</f>
        <v>1056791</v>
      </c>
      <c r="S24" s="408">
        <f>+SUM(O24:R24)</f>
        <v>4548984</v>
      </c>
      <c r="T24" s="416">
        <f>+SUM(T22,T17,T11)</f>
        <v>1394440.9449999998</v>
      </c>
      <c r="U24" s="416">
        <f t="shared" ref="U24:W24" si="82">+SUM(U22,U17,U11)</f>
        <v>1511872.2130112499</v>
      </c>
      <c r="V24" s="416">
        <f t="shared" si="82"/>
        <v>1605426.7267185433</v>
      </c>
      <c r="W24" s="416">
        <f t="shared" si="82"/>
        <v>1793110.4007639489</v>
      </c>
      <c r="X24" s="418">
        <f>+SUM(T24:W24)</f>
        <v>6304850.2854937427</v>
      </c>
      <c r="Y24" s="416">
        <f>+SUM(Y22,Y17,Y11)</f>
        <v>1706137.6910513155</v>
      </c>
      <c r="Z24" s="416">
        <f t="shared" ref="Z24" si="83">+SUM(Z22,Z17,Z11)</f>
        <v>1852827.3056857218</v>
      </c>
      <c r="AA24" s="416">
        <f t="shared" ref="AA24" si="84">+SUM(AA22,AA17,AA11)</f>
        <v>1933681.7143139853</v>
      </c>
      <c r="AB24" s="416">
        <f t="shared" ref="AB24" si="85">+SUM(AB22,AB17,AB11)</f>
        <v>2096310.5614294354</v>
      </c>
      <c r="AC24" s="418">
        <f>+SUM(Y24:AB24)</f>
        <v>7588957.272480458</v>
      </c>
      <c r="AD24" s="418">
        <f t="shared" ref="AD24" si="86">+SUM(AD22,AD17,AD11)</f>
        <v>8526043.584121637</v>
      </c>
      <c r="AE24" s="418">
        <f t="shared" ref="AE24" si="87">+SUM(AE22,AE17,AE11)</f>
        <v>9167184.4734347444</v>
      </c>
      <c r="AF24" s="418">
        <f t="shared" ref="AF24" si="88">+SUM(AF22,AF17,AF11)</f>
        <v>9799513.8365532998</v>
      </c>
    </row>
    <row r="25" spans="1:32" s="349" customFormat="1" x14ac:dyDescent="0.2">
      <c r="A25" s="2"/>
      <c r="B25" s="11"/>
      <c r="C25" s="2"/>
      <c r="D25" s="2"/>
      <c r="E25" s="363"/>
      <c r="F25" s="363"/>
      <c r="G25" s="363"/>
      <c r="H25" s="363"/>
      <c r="J25" s="363"/>
      <c r="K25" s="363"/>
      <c r="L25" s="363"/>
      <c r="M25" s="363"/>
      <c r="O25" s="363"/>
      <c r="P25" s="363"/>
      <c r="Q25" s="363"/>
      <c r="R25" s="363"/>
      <c r="T25" s="388"/>
      <c r="U25" s="388"/>
      <c r="V25" s="388"/>
      <c r="W25" s="388"/>
      <c r="Y25" s="388"/>
      <c r="Z25" s="388"/>
      <c r="AA25" s="388"/>
      <c r="AB25" s="388"/>
      <c r="AD25" s="386"/>
      <c r="AE25" s="386"/>
      <c r="AF25" s="386"/>
    </row>
    <row r="26" spans="1:32" x14ac:dyDescent="0.2">
      <c r="B26" s="88" t="s">
        <v>5</v>
      </c>
      <c r="E26" s="346"/>
      <c r="F26" s="346"/>
      <c r="G26" s="346"/>
      <c r="H26" s="346"/>
      <c r="J26" s="346"/>
      <c r="K26" s="346"/>
      <c r="L26" s="346"/>
      <c r="M26" s="346"/>
      <c r="O26" s="346"/>
      <c r="P26" s="346"/>
      <c r="Q26" s="346"/>
      <c r="R26" s="346"/>
      <c r="T26" s="345"/>
      <c r="U26" s="345"/>
      <c r="V26" s="345"/>
      <c r="W26" s="345"/>
      <c r="Y26" s="345"/>
      <c r="Z26" s="345"/>
      <c r="AA26" s="345"/>
      <c r="AB26" s="345"/>
    </row>
    <row r="27" spans="1:32" x14ac:dyDescent="0.2">
      <c r="B27" s="328" t="s">
        <v>2</v>
      </c>
      <c r="E27" s="412">
        <v>1271255</v>
      </c>
      <c r="F27" s="412">
        <v>1283794</v>
      </c>
      <c r="G27" s="412">
        <v>1356407</v>
      </c>
      <c r="H27" s="412">
        <v>1466361</v>
      </c>
      <c r="I27" s="408">
        <f>+SUM(E27:H27)</f>
        <v>5377817</v>
      </c>
      <c r="J27" s="412">
        <v>1486419</v>
      </c>
      <c r="K27" s="412">
        <v>1538046</v>
      </c>
      <c r="L27" s="412">
        <v>1636300</v>
      </c>
      <c r="M27" s="412">
        <v>1668057</v>
      </c>
      <c r="N27" s="408">
        <f>+SUM(J27:M27)</f>
        <v>6328822</v>
      </c>
      <c r="O27" s="412">
        <v>1729343</v>
      </c>
      <c r="P27" s="412">
        <v>1788525</v>
      </c>
      <c r="Q27" s="412">
        <v>1835025</v>
      </c>
      <c r="R27" s="412">
        <v>1871225</v>
      </c>
      <c r="S27" s="408">
        <f>+SUM(O27:R27)</f>
        <v>7224118</v>
      </c>
      <c r="T27" s="353">
        <f>+R27*(1+T61)</f>
        <v>1981627.2749999999</v>
      </c>
      <c r="U27" s="353">
        <f>+T27*(1+U61)</f>
        <v>1985590.5295499999</v>
      </c>
      <c r="V27" s="353">
        <f>+U27*(1+V61)</f>
        <v>2033244.7022591999</v>
      </c>
      <c r="W27" s="353">
        <f>+V27*(1+W61)</f>
        <v>2092208.7986247165</v>
      </c>
      <c r="X27" s="408">
        <f>+SUM(T27:W27)</f>
        <v>8092671.3054339159</v>
      </c>
      <c r="Y27" s="353">
        <f>+W27*(1+Y61)</f>
        <v>2160205.5845800196</v>
      </c>
      <c r="Z27" s="353">
        <f>+Y27*(1+Z61)</f>
        <v>2225011.7521174201</v>
      </c>
      <c r="AA27" s="353">
        <f>+Z27*(1+AA61)</f>
        <v>2291762.1046809428</v>
      </c>
      <c r="AB27" s="353">
        <f>+AA27*(1+AB61)</f>
        <v>2360514.9678213713</v>
      </c>
      <c r="AC27" s="408">
        <f>+SUM(Y27:AB27)</f>
        <v>9037494.4091997538</v>
      </c>
      <c r="AD27" s="349">
        <f>+AC27*(1+AD61)</f>
        <v>9728862.7315035351</v>
      </c>
      <c r="AE27" s="349">
        <f>+AD27*(1+AE61)</f>
        <v>10830656.435846312</v>
      </c>
      <c r="AF27" s="349">
        <f>+AE27*(1+AF61)</f>
        <v>11697108.950714018</v>
      </c>
    </row>
    <row r="28" spans="1:32" x14ac:dyDescent="0.2">
      <c r="B28" s="328" t="s">
        <v>508</v>
      </c>
      <c r="E28" s="407">
        <f>+-750612</f>
        <v>-750612</v>
      </c>
      <c r="F28" s="407">
        <v>-811677</v>
      </c>
      <c r="G28" s="407">
        <v>-820014</v>
      </c>
      <c r="H28" s="407">
        <f>+-3283009-SUM(E28:G28)</f>
        <v>-900706</v>
      </c>
      <c r="I28" s="349">
        <f>+SUM(E28:H28)</f>
        <v>-3283009</v>
      </c>
      <c r="J28" s="407">
        <v>-1003327</v>
      </c>
      <c r="K28" s="407">
        <v>-1070616</v>
      </c>
      <c r="L28" s="407">
        <v>-1166891</v>
      </c>
      <c r="M28" s="407">
        <f>+-4448886-SUM(J28:L28)</f>
        <v>-1208052</v>
      </c>
      <c r="N28" s="349">
        <f>+SUM(J28:M28)</f>
        <v>-4448886</v>
      </c>
      <c r="O28" s="407">
        <v>-1241222</v>
      </c>
      <c r="P28" s="407">
        <v>-1277381</v>
      </c>
      <c r="Q28" s="407">
        <v>-1305073</v>
      </c>
      <c r="R28" s="407">
        <f>+-5229343-SUM(O28:Q28)</f>
        <v>-1405667</v>
      </c>
      <c r="S28" s="349">
        <f>+SUM(O28:R28)</f>
        <v>-5229343</v>
      </c>
      <c r="T28" s="353">
        <f>+T62*T$27</f>
        <v>-1419835.9425375001</v>
      </c>
      <c r="U28" s="353">
        <f>+U62*U$27</f>
        <v>-1465365.8108078998</v>
      </c>
      <c r="V28" s="353">
        <f>+V62*V$27</f>
        <v>-1505617.7020229376</v>
      </c>
      <c r="W28" s="353">
        <f>+W62*W$27</f>
        <v>-1544050.0933850408</v>
      </c>
      <c r="X28" s="349">
        <f>+SUM(T28:W28)</f>
        <v>-5934869.5487533789</v>
      </c>
      <c r="Y28" s="353">
        <f>+Y62*Y$27</f>
        <v>-1588831.2074586046</v>
      </c>
      <c r="Z28" s="353">
        <f>+Z62*Z$27</f>
        <v>-1630933.6143020689</v>
      </c>
      <c r="AA28" s="353">
        <f>+AA62*AA$27</f>
        <v>-1675278.0985217693</v>
      </c>
      <c r="AB28" s="353">
        <f>+AB62*AB$27</f>
        <v>-1721995.6690256905</v>
      </c>
      <c r="AC28" s="349">
        <f>+SUM(Y28:AB28)</f>
        <v>-6617038.5893081333</v>
      </c>
      <c r="AD28" s="349">
        <f>+AD62*AD$27</f>
        <v>-7199358.4213126162</v>
      </c>
      <c r="AE28" s="349">
        <f>+AE62*AE$27</f>
        <v>-8003855.1060904246</v>
      </c>
      <c r="AF28" s="349">
        <f>+AF62*AF$27</f>
        <v>-8655860.6235283725</v>
      </c>
    </row>
    <row r="29" spans="1:32" x14ac:dyDescent="0.2">
      <c r="B29" s="328" t="s">
        <v>3</v>
      </c>
      <c r="E29" s="407">
        <f>+-196714</f>
        <v>-196714</v>
      </c>
      <c r="F29" s="407">
        <v>-203285</v>
      </c>
      <c r="G29" s="407">
        <v>-204701</v>
      </c>
      <c r="H29" s="407">
        <f>+-805109-SUM(E29:G29)</f>
        <v>-200409</v>
      </c>
      <c r="I29" s="349">
        <f>+SUM(E29:H29)</f>
        <v>-805109</v>
      </c>
      <c r="J29" s="407">
        <v>-210252</v>
      </c>
      <c r="K29" s="407">
        <v>-214217</v>
      </c>
      <c r="L29" s="407">
        <v>-230889</v>
      </c>
      <c r="M29" s="407">
        <f>+-865390-SUM(J29:L29)</f>
        <v>-210032</v>
      </c>
      <c r="N29" s="349">
        <f>+SUM(J29:M29)</f>
        <v>-865390</v>
      </c>
      <c r="O29" s="407">
        <v>-229349</v>
      </c>
      <c r="P29" s="407">
        <v>-233212</v>
      </c>
      <c r="Q29" s="407">
        <v>-225299</v>
      </c>
      <c r="R29" s="407">
        <f>+-885380-SUM(O29:Q29)</f>
        <v>-197520</v>
      </c>
      <c r="S29" s="349">
        <f>+SUM(O29:R29)</f>
        <v>-885380</v>
      </c>
      <c r="T29" s="353">
        <f>+T63*T$27</f>
        <v>-326968.500375</v>
      </c>
      <c r="U29" s="353">
        <f>+U63*U$27</f>
        <v>-327622.43737574999</v>
      </c>
      <c r="V29" s="353">
        <f>+V63*V$27</f>
        <v>-330402.26411712001</v>
      </c>
      <c r="W29" s="353">
        <f>+W63*W$27</f>
        <v>-326384.57258545578</v>
      </c>
      <c r="X29" s="349">
        <f>+SUM(T29:W29)</f>
        <v>-1311377.7744533259</v>
      </c>
      <c r="Y29" s="353">
        <f>+Y63*Y$27</f>
        <v>-351033.40749425319</v>
      </c>
      <c r="Z29" s="353">
        <f>+Z63*Z$27</f>
        <v>-360451.90384302207</v>
      </c>
      <c r="AA29" s="353">
        <f>+AA63*AA$27</f>
        <v>-364390.17464426992</v>
      </c>
      <c r="AB29" s="353">
        <f>+AB63*AB$27</f>
        <v>-358798.27510884841</v>
      </c>
      <c r="AC29" s="349">
        <f>+SUM(Y29:AB29)</f>
        <v>-1434673.7610903936</v>
      </c>
      <c r="AD29" s="349">
        <f>+AD63*AD$27</f>
        <v>-1483651.5665542891</v>
      </c>
      <c r="AE29" s="349">
        <f>+AE63*AE$27</f>
        <v>-1643010.5813178855</v>
      </c>
      <c r="AF29" s="349">
        <f>+AF63*AF$27</f>
        <v>-1754566.3426071026</v>
      </c>
    </row>
    <row r="30" spans="1:32" x14ac:dyDescent="0.2">
      <c r="B30" s="328" t="s">
        <v>509</v>
      </c>
      <c r="E30" s="407">
        <v>-118817</v>
      </c>
      <c r="F30" s="407">
        <v>-98608</v>
      </c>
      <c r="G30" s="407">
        <v>-121665</v>
      </c>
      <c r="H30" s="407">
        <f>+-473062-SUM(E30:G30)</f>
        <v>-133972</v>
      </c>
      <c r="I30" s="349">
        <f t="shared" ref="I30" si="89">+SUM(E30:H30)</f>
        <v>-473062</v>
      </c>
      <c r="J30" s="348">
        <v>0</v>
      </c>
      <c r="K30" s="348">
        <v>0</v>
      </c>
      <c r="L30" s="348">
        <v>0</v>
      </c>
      <c r="M30" s="348">
        <v>0</v>
      </c>
      <c r="N30" s="349">
        <f t="shared" ref="N30" si="90">+SUM(J30:M30)</f>
        <v>0</v>
      </c>
      <c r="O30" s="348">
        <v>0</v>
      </c>
      <c r="P30" s="348">
        <v>0</v>
      </c>
      <c r="Q30" s="348">
        <v>0</v>
      </c>
      <c r="R30" s="348">
        <v>0</v>
      </c>
      <c r="S30" s="349">
        <f t="shared" ref="S30" si="91">+SUM(O30:R30)</f>
        <v>0</v>
      </c>
      <c r="T30" s="353">
        <f>+T64*T$27</f>
        <v>0</v>
      </c>
      <c r="U30" s="353">
        <f>+U64*U$27</f>
        <v>0</v>
      </c>
      <c r="V30" s="353">
        <f>+V64*V$27</f>
        <v>0</v>
      </c>
      <c r="W30" s="353">
        <f>+W64*W$27</f>
        <v>0</v>
      </c>
      <c r="X30" s="349">
        <f t="shared" ref="X30" si="92">+SUM(T30:W30)</f>
        <v>0</v>
      </c>
      <c r="Y30" s="353">
        <f>+Y64*Y$27</f>
        <v>0</v>
      </c>
      <c r="Z30" s="353">
        <f>+Z64*Z$27</f>
        <v>0</v>
      </c>
      <c r="AA30" s="353">
        <f>+AA64*AA$27</f>
        <v>0</v>
      </c>
      <c r="AB30" s="353">
        <f>+AB64*AB$27</f>
        <v>0</v>
      </c>
      <c r="AC30" s="349">
        <f t="shared" ref="AC30" si="93">+SUM(Y30:AB30)</f>
        <v>0</v>
      </c>
      <c r="AD30" s="349">
        <f>+AD64*AD$27</f>
        <v>0</v>
      </c>
      <c r="AE30" s="349">
        <f>+AE64*AE$27</f>
        <v>0</v>
      </c>
      <c r="AF30" s="349">
        <f>+AF64*AF$27</f>
        <v>0</v>
      </c>
    </row>
    <row r="31" spans="1:32" x14ac:dyDescent="0.2">
      <c r="B31" s="2" t="s">
        <v>510</v>
      </c>
      <c r="E31" s="409">
        <f>+SUM(E27:E30)</f>
        <v>205112</v>
      </c>
      <c r="F31" s="409">
        <f t="shared" ref="F31:H31" si="94">+SUM(F27:F30)</f>
        <v>170224</v>
      </c>
      <c r="G31" s="409">
        <f t="shared" si="94"/>
        <v>210027</v>
      </c>
      <c r="H31" s="409">
        <f t="shared" si="94"/>
        <v>231274</v>
      </c>
      <c r="I31" s="408">
        <f>+SUM(E31:H31)</f>
        <v>816637</v>
      </c>
      <c r="J31" s="409">
        <f>+SUM(J27:J30)</f>
        <v>272840</v>
      </c>
      <c r="K31" s="409">
        <f t="shared" ref="K31" si="95">+SUM(K27:K30)</f>
        <v>253213</v>
      </c>
      <c r="L31" s="409">
        <f t="shared" ref="L31" si="96">+SUM(L27:L30)</f>
        <v>238520</v>
      </c>
      <c r="M31" s="409">
        <f t="shared" ref="M31" si="97">+SUM(M27:M30)</f>
        <v>249973</v>
      </c>
      <c r="N31" s="408">
        <f>+SUM(J31:M31)</f>
        <v>1014546</v>
      </c>
      <c r="O31" s="409">
        <f>+SUM(O27:O30)</f>
        <v>258772</v>
      </c>
      <c r="P31" s="409">
        <f t="shared" ref="P31" si="98">+SUM(P27:P30)</f>
        <v>277932</v>
      </c>
      <c r="Q31" s="409">
        <f t="shared" ref="Q31" si="99">+SUM(Q27:Q30)</f>
        <v>304653</v>
      </c>
      <c r="R31" s="409">
        <f t="shared" ref="R31" si="100">+SUM(R27:R30)</f>
        <v>268038</v>
      </c>
      <c r="S31" s="408">
        <f>+SUM(O31:R31)</f>
        <v>1109395</v>
      </c>
      <c r="T31" s="419">
        <f>SUM(T27:T30)</f>
        <v>234822.83208749985</v>
      </c>
      <c r="U31" s="419">
        <f>SUM(U27:U30)</f>
        <v>192602.28136635007</v>
      </c>
      <c r="V31" s="419">
        <f t="shared" ref="V31:W31" si="101">SUM(V27:V30)</f>
        <v>197224.73611914233</v>
      </c>
      <c r="W31" s="419">
        <f t="shared" si="101"/>
        <v>221774.13265421992</v>
      </c>
      <c r="X31" s="408">
        <f>+SUM(T31:W31)</f>
        <v>846423.98222721205</v>
      </c>
      <c r="Y31" s="419">
        <f>SUM(Y27:Y30)</f>
        <v>220340.9696271618</v>
      </c>
      <c r="Z31" s="419">
        <f>SUM(Z27:Z30)</f>
        <v>233626.23397232906</v>
      </c>
      <c r="AA31" s="419">
        <f t="shared" ref="AA31" si="102">SUM(AA27:AA30)</f>
        <v>252093.83151490364</v>
      </c>
      <c r="AB31" s="419">
        <f t="shared" ref="AB31" si="103">SUM(AB27:AB30)</f>
        <v>279721.02368683234</v>
      </c>
      <c r="AC31" s="408">
        <f>+SUM(Y31:AB31)</f>
        <v>985782.05880122678</v>
      </c>
      <c r="AD31" s="408">
        <f>SUM(AD27:AD30)</f>
        <v>1045852.7436366298</v>
      </c>
      <c r="AE31" s="408">
        <f t="shared" ref="AE31" si="104">SUM(AE27:AE30)</f>
        <v>1183790.7484380018</v>
      </c>
      <c r="AF31" s="408">
        <f t="shared" ref="AF31" si="105">SUM(AF27:AF30)</f>
        <v>1286681.9845785431</v>
      </c>
    </row>
    <row r="32" spans="1:32" x14ac:dyDescent="0.2">
      <c r="E32" s="350"/>
      <c r="F32" s="350"/>
      <c r="G32" s="350"/>
      <c r="H32" s="350"/>
      <c r="I32" s="362"/>
      <c r="J32" s="350"/>
      <c r="K32" s="350"/>
      <c r="L32" s="350"/>
      <c r="M32" s="350"/>
      <c r="N32" s="362"/>
      <c r="O32" s="350"/>
      <c r="P32" s="350"/>
      <c r="Q32" s="350"/>
      <c r="R32" s="350"/>
      <c r="S32" s="362"/>
      <c r="T32" s="352"/>
      <c r="U32" s="352"/>
      <c r="V32" s="352"/>
      <c r="W32" s="352"/>
      <c r="X32" s="362"/>
      <c r="Y32" s="352"/>
      <c r="Z32" s="352"/>
      <c r="AA32" s="352"/>
      <c r="AB32" s="352"/>
      <c r="AC32" s="362"/>
      <c r="AD32" s="351"/>
      <c r="AE32" s="351"/>
      <c r="AF32" s="351"/>
    </row>
    <row r="33" spans="1:32" x14ac:dyDescent="0.2">
      <c r="B33" s="88" t="s">
        <v>499</v>
      </c>
      <c r="E33" s="359"/>
      <c r="F33" s="359"/>
      <c r="G33" s="359"/>
      <c r="H33" s="359"/>
      <c r="I33" s="349"/>
      <c r="J33" s="359"/>
      <c r="K33" s="359"/>
      <c r="L33" s="359"/>
      <c r="M33" s="359"/>
      <c r="N33" s="349"/>
      <c r="O33" s="359"/>
      <c r="P33" s="359"/>
      <c r="Q33" s="359"/>
      <c r="R33" s="359"/>
      <c r="S33" s="349"/>
      <c r="T33" s="345"/>
      <c r="U33" s="345"/>
      <c r="V33" s="345"/>
      <c r="W33" s="345"/>
      <c r="X33" s="349"/>
      <c r="Y33" s="345"/>
      <c r="Z33" s="345"/>
      <c r="AA33" s="345"/>
      <c r="AB33" s="345"/>
      <c r="AC33" s="349"/>
      <c r="AD33" s="349"/>
    </row>
    <row r="34" spans="1:32" x14ac:dyDescent="0.2">
      <c r="B34" s="2" t="s">
        <v>512</v>
      </c>
      <c r="E34" s="348">
        <v>0</v>
      </c>
      <c r="F34" s="348">
        <v>0</v>
      </c>
      <c r="G34" s="348">
        <v>0</v>
      </c>
      <c r="H34" s="348">
        <v>0</v>
      </c>
      <c r="I34" s="408">
        <f>+SUM(E34:H34)</f>
        <v>0</v>
      </c>
      <c r="J34" s="348">
        <v>20720</v>
      </c>
      <c r="K34" s="348">
        <v>40852</v>
      </c>
      <c r="L34" s="348">
        <v>6828</v>
      </c>
      <c r="M34" s="348">
        <f>76211-SUM(J34:L34)</f>
        <v>7811</v>
      </c>
      <c r="N34" s="408">
        <f>+SUM(J34:M34)</f>
        <v>76211</v>
      </c>
      <c r="O34" s="348">
        <v>31486</v>
      </c>
      <c r="P34" s="348">
        <v>29121</v>
      </c>
      <c r="Q34" s="348">
        <v>57663</v>
      </c>
      <c r="R34" s="348">
        <f>162096-SUM(O34:Q34)</f>
        <v>43826</v>
      </c>
      <c r="S34" s="408">
        <f>+SUM(O34:R34)</f>
        <v>162096</v>
      </c>
      <c r="T34" s="353">
        <f>+R34*(1+T$66)</f>
        <v>76695.5</v>
      </c>
      <c r="U34" s="353">
        <f>+T34*(1+U$66)</f>
        <v>85132.005000000005</v>
      </c>
      <c r="V34" s="353">
        <f>+U34*(1+V$66)</f>
        <v>96199.165649999995</v>
      </c>
      <c r="W34" s="353">
        <f>+V34*(1+W$66)</f>
        <v>106781.0738715</v>
      </c>
      <c r="X34" s="408">
        <f>+SUM(T34:W34)</f>
        <v>364807.74452149996</v>
      </c>
      <c r="Y34" s="353">
        <f>+W34*(1+Y$66)</f>
        <v>115323.55978122001</v>
      </c>
      <c r="Z34" s="353">
        <f>+Y34*(1+Z$66)</f>
        <v>123972.82676481151</v>
      </c>
      <c r="AA34" s="353">
        <f>+Z34*(1+AA$66)</f>
        <v>130171.4681030521</v>
      </c>
      <c r="AB34" s="353">
        <f>+AA34*(1+AB$66)</f>
        <v>136680.04150820471</v>
      </c>
      <c r="AC34" s="408">
        <f>+SUM(Y34:AB34)</f>
        <v>506147.89615728834</v>
      </c>
      <c r="AD34" s="440">
        <f>+AC34*(1+AD$66)</f>
        <v>766814.06267829193</v>
      </c>
      <c r="AE34" s="440">
        <f>+AD34*(1+AE$66)</f>
        <v>1000692.3517951709</v>
      </c>
      <c r="AF34" s="440">
        <f>+AE34*(1+AF$66)</f>
        <v>1150796.2045644466</v>
      </c>
    </row>
    <row r="35" spans="1:32" x14ac:dyDescent="0.2">
      <c r="B35" s="88"/>
      <c r="E35" s="346"/>
      <c r="F35" s="346"/>
      <c r="G35" s="346"/>
      <c r="H35" s="346"/>
      <c r="J35" s="346"/>
      <c r="K35" s="346"/>
      <c r="L35" s="346"/>
      <c r="M35" s="346"/>
      <c r="O35" s="346"/>
      <c r="P35" s="346"/>
      <c r="Q35" s="346"/>
      <c r="R35" s="346"/>
      <c r="T35" s="345"/>
      <c r="U35" s="345"/>
      <c r="V35" s="345"/>
      <c r="W35" s="345"/>
      <c r="Y35" s="345"/>
      <c r="Z35" s="345"/>
      <c r="AA35" s="345"/>
      <c r="AB35" s="345"/>
    </row>
    <row r="36" spans="1:32" s="349" customFormat="1" x14ac:dyDescent="0.2">
      <c r="A36" s="2"/>
      <c r="B36" s="2" t="s">
        <v>504</v>
      </c>
      <c r="C36" s="2"/>
      <c r="D36" s="2"/>
      <c r="E36" s="409">
        <f>+SUM(E34,E31,E24)</f>
        <v>983459</v>
      </c>
      <c r="F36" s="409">
        <f>+SUM(F34,F31,F24)</f>
        <v>922274</v>
      </c>
      <c r="G36" s="409">
        <f>+SUM(G34,G31,G24)</f>
        <v>1079519</v>
      </c>
      <c r="H36" s="409">
        <f>+SUM(H34,H31,H24)</f>
        <v>1201257</v>
      </c>
      <c r="I36" s="408">
        <f>+SUM(E36:H36)</f>
        <v>4186509</v>
      </c>
      <c r="J36" s="409">
        <f>+SUM(J34,J31,J24)</f>
        <v>1154841</v>
      </c>
      <c r="K36" s="409">
        <f>+SUM(K34,K31,K24)</f>
        <v>1290065</v>
      </c>
      <c r="L36" s="409">
        <f>+SUM(L34,L31,L24)</f>
        <v>1476761</v>
      </c>
      <c r="M36" s="409">
        <f>+SUM(M34,M31,M24)</f>
        <v>1500144</v>
      </c>
      <c r="N36" s="408">
        <f>+SUM(J36:M36)</f>
        <v>5421811</v>
      </c>
      <c r="O36" s="409">
        <f>+SUM(O34,O31,O24)</f>
        <v>1386113</v>
      </c>
      <c r="P36" s="409">
        <f>+SUM(P34,P31,P24)</f>
        <v>1434019</v>
      </c>
      <c r="Q36" s="409">
        <f>+SUM(Q34,Q31,Q24)</f>
        <v>1631688</v>
      </c>
      <c r="R36" s="409">
        <f>+SUM(R34,R31,R24)</f>
        <v>1368655</v>
      </c>
      <c r="S36" s="408">
        <f>+SUM(O36:R36)</f>
        <v>5820475</v>
      </c>
      <c r="T36" s="416">
        <f>+SUM(T34,T31,T24)</f>
        <v>1705959.2770874996</v>
      </c>
      <c r="U36" s="416">
        <f>+SUM(U34,U31,U24)</f>
        <v>1789606.4993775999</v>
      </c>
      <c r="V36" s="416">
        <f>+SUM(V34,V31,V24)</f>
        <v>1898850.6284876857</v>
      </c>
      <c r="W36" s="416">
        <f>+SUM(W34,W31,W24)</f>
        <v>2121665.6072896691</v>
      </c>
      <c r="X36" s="408">
        <f>+SUM(T36:W36)</f>
        <v>7516082.0122424541</v>
      </c>
      <c r="Y36" s="416">
        <f>+SUM(Y34,Y31,Y24)</f>
        <v>2041802.2204596973</v>
      </c>
      <c r="Z36" s="416">
        <f>+SUM(Z34,Z31,Z24)</f>
        <v>2210426.3664228623</v>
      </c>
      <c r="AA36" s="416">
        <f>+SUM(AA34,AA31,AA24)</f>
        <v>2315947.0139319412</v>
      </c>
      <c r="AB36" s="416">
        <f>+SUM(AB34,AB31,AB24)</f>
        <v>2512711.6266244724</v>
      </c>
      <c r="AC36" s="408">
        <f>+SUM(Y36:AB36)</f>
        <v>9080887.2274389733</v>
      </c>
      <c r="AD36" s="418">
        <f>+SUM(AD34,AD31,AD24)</f>
        <v>10338710.390436558</v>
      </c>
      <c r="AE36" s="418">
        <f>+SUM(AE34,AE31,AE24)</f>
        <v>11351667.573667917</v>
      </c>
      <c r="AF36" s="418">
        <f>+SUM(AF34,AF31,AF24)</f>
        <v>12236992.025696289</v>
      </c>
    </row>
    <row r="37" spans="1:32" s="349" customFormat="1" x14ac:dyDescent="0.2">
      <c r="A37" s="2"/>
      <c r="B37" s="2"/>
      <c r="C37" s="2"/>
      <c r="D37" s="2"/>
      <c r="E37" s="348"/>
      <c r="F37" s="348"/>
      <c r="G37" s="348"/>
      <c r="H37" s="348"/>
      <c r="J37" s="348"/>
      <c r="K37" s="348"/>
      <c r="L37" s="348"/>
      <c r="M37" s="348"/>
      <c r="O37" s="348"/>
      <c r="P37" s="348"/>
      <c r="Q37" s="348"/>
      <c r="R37" s="348"/>
      <c r="T37" s="353"/>
      <c r="U37" s="353"/>
      <c r="V37" s="353"/>
      <c r="W37" s="353"/>
      <c r="Y37" s="353"/>
      <c r="Z37" s="353"/>
      <c r="AA37" s="353"/>
      <c r="AB37" s="353"/>
    </row>
    <row r="38" spans="1:32" s="349" customFormat="1" x14ac:dyDescent="0.2">
      <c r="A38" s="2"/>
      <c r="B38" s="2" t="s">
        <v>7</v>
      </c>
      <c r="C38" s="2"/>
      <c r="D38" s="2"/>
      <c r="E38" s="348">
        <v>-85500</v>
      </c>
      <c r="F38" s="348">
        <v>-92010</v>
      </c>
      <c r="G38" s="348">
        <v>-89429</v>
      </c>
      <c r="H38" s="348">
        <f>+-357084-SUM(E38:G38)</f>
        <v>-90145</v>
      </c>
      <c r="I38" s="349">
        <f>+SUM(E38:H38)</f>
        <v>-357084</v>
      </c>
      <c r="J38" s="348">
        <f>+-74730</f>
        <v>-74730</v>
      </c>
      <c r="K38" s="348">
        <v>-79952</v>
      </c>
      <c r="L38" s="348">
        <f>+-88101</f>
        <v>-88101</v>
      </c>
      <c r="M38" s="348">
        <f>+-318441-SUM(J38:L38)</f>
        <v>-75658</v>
      </c>
      <c r="N38" s="349">
        <f>+SUM(J38:M38)</f>
        <v>-318441</v>
      </c>
      <c r="O38" s="348">
        <f>+-91470</f>
        <v>-91470</v>
      </c>
      <c r="P38" s="348">
        <f>+-93607</f>
        <v>-93607</v>
      </c>
      <c r="Q38" s="348">
        <f>+-102789</f>
        <v>-102789</v>
      </c>
      <c r="R38" s="348">
        <f>+-404800-SUM(O38:Q38)</f>
        <v>-116934</v>
      </c>
      <c r="S38" s="349">
        <f>+SUM(O38:R38)</f>
        <v>-404800</v>
      </c>
      <c r="T38" s="353">
        <f>+T69*T$36</f>
        <v>-110887.35301068748</v>
      </c>
      <c r="U38" s="353">
        <f>+U69*U$36</f>
        <v>-111850.40621109999</v>
      </c>
      <c r="V38" s="353">
        <f>+V69*V$36</f>
        <v>-111082.76176652961</v>
      </c>
      <c r="W38" s="353">
        <f>+W69*W$36</f>
        <v>-111387.44438270762</v>
      </c>
      <c r="X38" s="349">
        <f>+SUM(T38:W38)</f>
        <v>-445207.96537102468</v>
      </c>
      <c r="Y38" s="353">
        <f>+Y69*Y$36</f>
        <v>-104131.91324344455</v>
      </c>
      <c r="Z38" s="353">
        <f>+Z69*Z$36</f>
        <v>-104995.25240508596</v>
      </c>
      <c r="AA38" s="353">
        <f>+AA69*AA$36</f>
        <v>-105375.58913390333</v>
      </c>
      <c r="AB38" s="353">
        <f>+AB69*AB$36</f>
        <v>-105533.88831822785</v>
      </c>
      <c r="AC38" s="349">
        <f>+SUM(Y38:AB38)</f>
        <v>-420036.64310066169</v>
      </c>
      <c r="AD38" s="349">
        <f>+AD69*AD$36</f>
        <v>-436810.51399594458</v>
      </c>
      <c r="AE38" s="349">
        <f>+AE69*AE$36</f>
        <v>-465418.37052038463</v>
      </c>
      <c r="AF38" s="349">
        <f>+AF69*AF$36</f>
        <v>-489479.68102785153</v>
      </c>
    </row>
    <row r="39" spans="1:32" s="349" customFormat="1" x14ac:dyDescent="0.2">
      <c r="A39" s="2"/>
      <c r="B39" s="2" t="s">
        <v>505</v>
      </c>
      <c r="C39" s="2"/>
      <c r="D39" s="2"/>
      <c r="E39" s="348">
        <v>-173057</v>
      </c>
      <c r="F39" s="348">
        <v>-171542</v>
      </c>
      <c r="G39" s="348">
        <v>-204640</v>
      </c>
      <c r="H39" s="348">
        <f>+-763382-SUM(E39:G39)</f>
        <v>-214143</v>
      </c>
      <c r="I39" s="349">
        <f>+SUM(E39:H39)</f>
        <v>-763382</v>
      </c>
      <c r="J39" s="348">
        <v>-216366</v>
      </c>
      <c r="K39" s="348">
        <v>-238244</v>
      </c>
      <c r="L39" s="348">
        <f>+-294850</f>
        <v>-294850</v>
      </c>
      <c r="M39" s="348">
        <f>+-988757-SUM(J39:L39)</f>
        <v>-239297</v>
      </c>
      <c r="N39" s="349">
        <f>+SUM(J39:M39)</f>
        <v>-988757</v>
      </c>
      <c r="O39" s="348">
        <f>+-260655</f>
        <v>-260655</v>
      </c>
      <c r="P39" s="348">
        <f>+-277062</f>
        <v>-277062</v>
      </c>
      <c r="Q39" s="348">
        <f>+-325158</f>
        <v>-325158</v>
      </c>
      <c r="R39" s="348">
        <f>+-1108064-SUM(O39:Q39)</f>
        <v>-245189</v>
      </c>
      <c r="S39" s="349">
        <f>+SUM(O39:R39)</f>
        <v>-1108064</v>
      </c>
      <c r="T39" s="353">
        <f>+T73*T$36</f>
        <v>-326691.2015622562</v>
      </c>
      <c r="U39" s="353">
        <f>+U73*U$36</f>
        <v>-352552.48037738714</v>
      </c>
      <c r="V39" s="353">
        <f>+V73*V$36</f>
        <v>-377871.27506904944</v>
      </c>
      <c r="W39" s="353">
        <f>+W73*W$36</f>
        <v>-424333.1214579338</v>
      </c>
      <c r="X39" s="349">
        <f>+SUM(T39:W39)</f>
        <v>-1481448.0784666268</v>
      </c>
      <c r="Y39" s="353">
        <f>+Y73*Y$36</f>
        <v>-416527.6529737782</v>
      </c>
      <c r="Z39" s="353">
        <f>+Z73*Z$36</f>
        <v>-445400.91283420671</v>
      </c>
      <c r="AA39" s="353">
        <f>+AA73*AA$36</f>
        <v>-470137.24382818403</v>
      </c>
      <c r="AB39" s="353">
        <f>+AB73*AB$36</f>
        <v>-505055.03695151891</v>
      </c>
      <c r="AC39" s="349">
        <f>+SUM(Y39:AB39)</f>
        <v>-1837120.8465876877</v>
      </c>
      <c r="AD39" s="440">
        <f>+AD73*AD$36</f>
        <v>-2016048.5261351289</v>
      </c>
      <c r="AE39" s="440">
        <f>+AE73*AE$36</f>
        <v>-2156816.8389969044</v>
      </c>
      <c r="AF39" s="440">
        <f>+AF73*AF$36</f>
        <v>-2325028.4848822947</v>
      </c>
    </row>
    <row r="40" spans="1:32" s="349" customFormat="1" x14ac:dyDescent="0.2">
      <c r="A40" s="2"/>
      <c r="B40" s="2" t="s">
        <v>513</v>
      </c>
      <c r="C40" s="2"/>
      <c r="D40" s="2"/>
      <c r="E40" s="348">
        <f>+-5626</f>
        <v>-5626</v>
      </c>
      <c r="F40" s="348">
        <v>-6118</v>
      </c>
      <c r="G40" s="348">
        <v>-5719</v>
      </c>
      <c r="H40" s="348">
        <f>+-25590-SUM(E40:G40)</f>
        <v>-8127</v>
      </c>
      <c r="I40" s="349">
        <f t="shared" ref="I40:I41" si="106">+SUM(E40:H40)</f>
        <v>-25590</v>
      </c>
      <c r="J40" s="348">
        <v>0</v>
      </c>
      <c r="K40" s="348">
        <v>0</v>
      </c>
      <c r="L40" s="348">
        <v>0</v>
      </c>
      <c r="M40" s="348">
        <v>0</v>
      </c>
      <c r="N40" s="349">
        <f t="shared" ref="N40:N41" si="107">+SUM(J40:M40)</f>
        <v>0</v>
      </c>
      <c r="O40" s="348">
        <v>0</v>
      </c>
      <c r="P40" s="348">
        <v>0</v>
      </c>
      <c r="Q40" s="348">
        <v>0</v>
      </c>
      <c r="R40" s="348">
        <v>0</v>
      </c>
      <c r="S40" s="349">
        <f t="shared" ref="S40:S41" si="108">+SUM(O40:R40)</f>
        <v>0</v>
      </c>
      <c r="T40" s="353">
        <f>+T71*T$36</f>
        <v>0</v>
      </c>
      <c r="U40" s="353">
        <f>+U71*U$36</f>
        <v>0</v>
      </c>
      <c r="V40" s="353">
        <f>+V71*V$36</f>
        <v>0</v>
      </c>
      <c r="W40" s="353">
        <f>+W71*W$36</f>
        <v>0</v>
      </c>
      <c r="X40" s="349">
        <f t="shared" ref="X40:X41" si="109">+SUM(T40:W40)</f>
        <v>0</v>
      </c>
      <c r="Y40" s="353">
        <f>+Y71*Y$36</f>
        <v>0</v>
      </c>
      <c r="Z40" s="353">
        <f>+Z71*Z$36</f>
        <v>0</v>
      </c>
      <c r="AA40" s="353">
        <f>+AA71*AA$36</f>
        <v>0</v>
      </c>
      <c r="AB40" s="353">
        <f>+AB71*AB$36</f>
        <v>0</v>
      </c>
      <c r="AC40" s="349">
        <f t="shared" ref="AC40:AC41" si="110">+SUM(Y40:AB40)</f>
        <v>0</v>
      </c>
      <c r="AD40" s="349">
        <f>+AD71*AD$36</f>
        <v>0</v>
      </c>
      <c r="AE40" s="349">
        <f>+AE71*AE$36</f>
        <v>0</v>
      </c>
      <c r="AF40" s="349">
        <f>+AF71*AF$36</f>
        <v>0</v>
      </c>
    </row>
    <row r="41" spans="1:32" s="349" customFormat="1" x14ac:dyDescent="0.2">
      <c r="A41" s="2"/>
      <c r="B41" s="2" t="s">
        <v>8</v>
      </c>
      <c r="C41" s="2"/>
      <c r="D41" s="2"/>
      <c r="E41" s="348">
        <v>0</v>
      </c>
      <c r="F41" s="348">
        <v>0</v>
      </c>
      <c r="G41" s="348">
        <v>0</v>
      </c>
      <c r="H41" s="348">
        <v>0</v>
      </c>
      <c r="I41" s="349">
        <f t="shared" si="106"/>
        <v>0</v>
      </c>
      <c r="J41" s="348">
        <v>0</v>
      </c>
      <c r="K41" s="348">
        <v>0</v>
      </c>
      <c r="L41" s="348">
        <v>0</v>
      </c>
      <c r="M41" s="348">
        <v>0</v>
      </c>
      <c r="N41" s="349">
        <f t="shared" si="107"/>
        <v>0</v>
      </c>
      <c r="O41" s="348">
        <v>0</v>
      </c>
      <c r="P41" s="348">
        <v>0</v>
      </c>
      <c r="Q41" s="348">
        <v>0</v>
      </c>
      <c r="R41" s="348">
        <v>0</v>
      </c>
      <c r="S41" s="349">
        <f t="shared" si="108"/>
        <v>0</v>
      </c>
      <c r="T41" s="353">
        <f>+T72*T$36</f>
        <v>0</v>
      </c>
      <c r="U41" s="353">
        <f>+U72*U$36</f>
        <v>0</v>
      </c>
      <c r="V41" s="353">
        <f>+V72*V$36</f>
        <v>0</v>
      </c>
      <c r="W41" s="353">
        <f>+W72*W$36</f>
        <v>0</v>
      </c>
      <c r="X41" s="349">
        <f t="shared" si="109"/>
        <v>0</v>
      </c>
      <c r="Y41" s="353">
        <f>+Y72*Y$36</f>
        <v>0</v>
      </c>
      <c r="Z41" s="353">
        <f>+Z72*Z$36</f>
        <v>0</v>
      </c>
      <c r="AA41" s="353">
        <f>+AA72*AA$36</f>
        <v>0</v>
      </c>
      <c r="AB41" s="353">
        <f>+AB72*AB$36</f>
        <v>0</v>
      </c>
      <c r="AC41" s="349">
        <f t="shared" si="110"/>
        <v>0</v>
      </c>
      <c r="AD41" s="349">
        <f>+AD72*AD$36</f>
        <v>0</v>
      </c>
      <c r="AE41" s="349">
        <f>+AE72*AE$36</f>
        <v>0</v>
      </c>
      <c r="AF41" s="349">
        <f>+AF72*AF$36</f>
        <v>0</v>
      </c>
    </row>
    <row r="42" spans="1:32" x14ac:dyDescent="0.2">
      <c r="B42" s="328"/>
      <c r="E42" s="350"/>
      <c r="F42" s="350"/>
      <c r="G42" s="350"/>
      <c r="H42" s="350"/>
      <c r="I42" s="362"/>
      <c r="J42" s="350"/>
      <c r="K42" s="350"/>
      <c r="L42" s="350"/>
      <c r="M42" s="350"/>
      <c r="N42" s="362"/>
      <c r="O42" s="350"/>
      <c r="P42" s="350"/>
      <c r="Q42" s="350"/>
      <c r="R42" s="350"/>
      <c r="S42" s="362"/>
      <c r="T42" s="352"/>
      <c r="U42" s="352"/>
      <c r="V42" s="352"/>
      <c r="W42" s="352"/>
      <c r="X42" s="362"/>
      <c r="Y42" s="352"/>
      <c r="Z42" s="352"/>
      <c r="AA42" s="352"/>
      <c r="AB42" s="352"/>
      <c r="AC42" s="362"/>
      <c r="AD42" s="351"/>
      <c r="AE42" s="351"/>
      <c r="AF42" s="351"/>
    </row>
    <row r="43" spans="1:32" x14ac:dyDescent="0.2">
      <c r="B43" s="88" t="s">
        <v>506</v>
      </c>
      <c r="E43" s="409">
        <f>+SUM(E36:E41)</f>
        <v>719276</v>
      </c>
      <c r="F43" s="409">
        <f t="shared" ref="F43:H43" si="111">+SUM(F36:F41)</f>
        <v>652604</v>
      </c>
      <c r="G43" s="409">
        <f t="shared" si="111"/>
        <v>779731</v>
      </c>
      <c r="H43" s="409">
        <f t="shared" si="111"/>
        <v>888842</v>
      </c>
      <c r="I43" s="408">
        <f>+SUM(E43:H43)</f>
        <v>3040453</v>
      </c>
      <c r="J43" s="409">
        <f>+SUM(J36:J41)</f>
        <v>863745</v>
      </c>
      <c r="K43" s="409">
        <f t="shared" ref="K43:M43" si="112">+SUM(K36:K41)</f>
        <v>971869</v>
      </c>
      <c r="L43" s="409">
        <f t="shared" si="112"/>
        <v>1093810</v>
      </c>
      <c r="M43" s="409">
        <f t="shared" si="112"/>
        <v>1185189</v>
      </c>
      <c r="N43" s="408">
        <f>+SUM(J43:M43)</f>
        <v>4114613</v>
      </c>
      <c r="O43" s="409">
        <f>+SUM(O36:O41)</f>
        <v>1033988</v>
      </c>
      <c r="P43" s="409">
        <f t="shared" ref="P43:R43" si="113">+SUM(P36:P41)</f>
        <v>1063350</v>
      </c>
      <c r="Q43" s="409">
        <f t="shared" si="113"/>
        <v>1203741</v>
      </c>
      <c r="R43" s="409">
        <f t="shared" si="113"/>
        <v>1006532</v>
      </c>
      <c r="S43" s="408">
        <f>+SUM(O43:R43)</f>
        <v>4307611</v>
      </c>
      <c r="T43" s="419">
        <f>+SUM(T36:T41)</f>
        <v>1268380.7225145558</v>
      </c>
      <c r="U43" s="419">
        <f t="shared" ref="U43:W43" si="114">+SUM(U36:U41)</f>
        <v>1325203.6127891126</v>
      </c>
      <c r="V43" s="419">
        <f t="shared" si="114"/>
        <v>1409896.5916521065</v>
      </c>
      <c r="W43" s="419">
        <f t="shared" si="114"/>
        <v>1585945.0414490276</v>
      </c>
      <c r="X43" s="408">
        <f>+SUM(T43:W43)</f>
        <v>5589425.9684048025</v>
      </c>
      <c r="Y43" s="419">
        <f>+SUM(Y36:Y41)</f>
        <v>1521142.6542424746</v>
      </c>
      <c r="Z43" s="419">
        <f t="shared" ref="Z43:AB43" si="115">+SUM(Z36:Z41)</f>
        <v>1660030.2011835696</v>
      </c>
      <c r="AA43" s="419">
        <f t="shared" si="115"/>
        <v>1740434.1809698539</v>
      </c>
      <c r="AB43" s="419">
        <f t="shared" si="115"/>
        <v>1902122.7013547255</v>
      </c>
      <c r="AC43" s="408">
        <f>+SUM(Y43:AB43)</f>
        <v>6823729.7377506234</v>
      </c>
      <c r="AD43" s="408">
        <f t="shared" ref="AD43:AF43" si="116">+SUM(AD36:AD41)</f>
        <v>7885851.3503054837</v>
      </c>
      <c r="AE43" s="408">
        <f t="shared" si="116"/>
        <v>8729432.3641506284</v>
      </c>
      <c r="AF43" s="408">
        <f t="shared" si="116"/>
        <v>9422483.8597861417</v>
      </c>
    </row>
    <row r="44" spans="1:32" x14ac:dyDescent="0.2">
      <c r="E44" s="346"/>
      <c r="F44" s="346"/>
      <c r="G44" s="346"/>
      <c r="H44" s="346"/>
      <c r="J44" s="346"/>
      <c r="K44" s="346"/>
      <c r="L44" s="346"/>
      <c r="M44" s="346"/>
      <c r="O44" s="346"/>
      <c r="P44" s="346"/>
      <c r="Q44" s="346"/>
      <c r="R44" s="346"/>
      <c r="T44" s="345"/>
      <c r="U44" s="345"/>
      <c r="V44" s="345"/>
      <c r="W44" s="345"/>
      <c r="Y44" s="345"/>
      <c r="Z44" s="345"/>
      <c r="AA44" s="345"/>
      <c r="AB44" s="345"/>
    </row>
    <row r="45" spans="1:32" x14ac:dyDescent="0.2">
      <c r="B45" s="10" t="s">
        <v>492</v>
      </c>
      <c r="E45" s="347">
        <f>+E11/E77</f>
        <v>0.61594638294851378</v>
      </c>
      <c r="F45" s="347">
        <f>+F11/F77</f>
        <v>0.67499403354198639</v>
      </c>
      <c r="G45" s="347">
        <f>+G11/G77</f>
        <v>0.62745212135161377</v>
      </c>
      <c r="H45" s="347">
        <f>+H11/H77</f>
        <v>0.75952391914261308</v>
      </c>
      <c r="I45" s="361">
        <f t="shared" ref="I45:I46" si="117">SUM(E45:H45)</f>
        <v>2.6779164569847271</v>
      </c>
      <c r="J45" s="347">
        <f>+J11/J77</f>
        <v>0.75076556103391334</v>
      </c>
      <c r="K45" s="347">
        <f>+K11/K77</f>
        <v>0.84458151873321163</v>
      </c>
      <c r="L45" s="347">
        <f>+L11/L77</f>
        <v>1.1187632567715562</v>
      </c>
      <c r="M45" s="347">
        <f>+M11/M77</f>
        <v>0.94106741856173015</v>
      </c>
      <c r="N45" s="361">
        <f t="shared" ref="N45:N46" si="118">SUM(J45:M45)</f>
        <v>3.6551777551004112</v>
      </c>
      <c r="O45" s="347">
        <f>+O11/O77</f>
        <v>0.91785418751754932</v>
      </c>
      <c r="P45" s="347">
        <f>+P11/P77</f>
        <v>0.98496933576861156</v>
      </c>
      <c r="Q45" s="347">
        <f>+Q11/Q77</f>
        <v>1.147037720640421</v>
      </c>
      <c r="R45" s="347">
        <f>+R11/R77</f>
        <v>1.0787404436494701</v>
      </c>
      <c r="S45" s="361">
        <f t="shared" ref="S45:S46" si="119">SUM(O45:R45)</f>
        <v>4.1286016875760518</v>
      </c>
      <c r="T45" s="382">
        <f>+T11/T77</f>
        <v>1.1484158652778393</v>
      </c>
      <c r="U45" s="382">
        <f>+U11/U77</f>
        <v>1.2369059170056156</v>
      </c>
      <c r="V45" s="382">
        <f>+V11/V77</f>
        <v>1.3026552494098211</v>
      </c>
      <c r="W45" s="382">
        <f>+W11/W77</f>
        <v>1.3075467638726155</v>
      </c>
      <c r="X45" s="361">
        <f t="shared" ref="X45:X46" si="120">SUM(T45:W45)</f>
        <v>4.9955237955658918</v>
      </c>
      <c r="Y45" s="382">
        <f>+Y11/Y77</f>
        <v>1.3622816808795477</v>
      </c>
      <c r="Z45" s="382">
        <f>+Z11/Z77</f>
        <v>1.4737689932961724</v>
      </c>
      <c r="AA45" s="382">
        <f>+AA11/AA77</f>
        <v>1.5354929548220977</v>
      </c>
      <c r="AB45" s="382">
        <f>+AB11/AB77</f>
        <v>1.5244218709596127</v>
      </c>
      <c r="AC45" s="361">
        <f t="shared" ref="AC45:AC46" si="121">SUM(Y45:AB45)</f>
        <v>5.8959654999574305</v>
      </c>
      <c r="AD45" s="361">
        <f>+AD11/AD77</f>
        <v>6.499756305823519</v>
      </c>
      <c r="AE45" s="361">
        <f>+AE11/AE77</f>
        <v>7.3731441123545594</v>
      </c>
      <c r="AF45" s="361">
        <f>+AF11/AF77</f>
        <v>7.9696758692776442</v>
      </c>
    </row>
    <row r="46" spans="1:32" x14ac:dyDescent="0.2">
      <c r="B46" s="10" t="s">
        <v>11</v>
      </c>
      <c r="E46" s="347">
        <f>+SUM(E22,E17)/E77</f>
        <v>0.25798589163928748</v>
      </c>
      <c r="F46" s="347">
        <f>+SUM(F22,F17)/F77</f>
        <v>0.16781134197996475</v>
      </c>
      <c r="G46" s="347">
        <f>+SUM(G22,G17)/G77</f>
        <v>0.35109520818205264</v>
      </c>
      <c r="H46" s="347">
        <f>+SUM(H22,H17)/H77</f>
        <v>0.33131654800849025</v>
      </c>
      <c r="I46" s="361">
        <f t="shared" si="117"/>
        <v>1.1082089898097951</v>
      </c>
      <c r="J46" s="347">
        <f>+SUM(J22,J17)/J77</f>
        <v>0.21615603218805141</v>
      </c>
      <c r="K46" s="347">
        <f>+SUM(K22,K17)/K77</f>
        <v>0.26900933833701607</v>
      </c>
      <c r="L46" s="347">
        <f>+SUM(L22,L17)/L77</f>
        <v>0.25796982017848874</v>
      </c>
      <c r="M46" s="347">
        <f>+SUM(M22,M17)/M77</f>
        <v>0.44584280893265116</v>
      </c>
      <c r="N46" s="361">
        <f t="shared" si="118"/>
        <v>1.1889779996362073</v>
      </c>
      <c r="O46" s="347">
        <f>+SUM(O22,O17)/O77</f>
        <v>0.30489250883785418</v>
      </c>
      <c r="P46" s="347">
        <f>+SUM(P22,P17)/P77</f>
        <v>0.26681746468992495</v>
      </c>
      <c r="Q46" s="347">
        <f>+SUM(Q22,Q17)/Q77</f>
        <v>0.26255354689674731</v>
      </c>
      <c r="R46" s="347">
        <f>+SUM(R22,R17)/R77</f>
        <v>9.407821459291911E-2</v>
      </c>
      <c r="S46" s="361">
        <f t="shared" si="119"/>
        <v>0.92834173501744544</v>
      </c>
      <c r="T46" s="382">
        <f>+SUM(T22,T17)/T77</f>
        <v>0.40006828276995515</v>
      </c>
      <c r="U46" s="382">
        <f>+SUM(U22,U17)/U77</f>
        <v>0.44095730451019344</v>
      </c>
      <c r="V46" s="382">
        <f>+SUM(V22,V17)/V77</f>
        <v>0.47806564184372091</v>
      </c>
      <c r="W46" s="382">
        <f>+SUM(W22,W17)/W77</f>
        <v>0.67853094730981878</v>
      </c>
      <c r="X46" s="361">
        <f t="shared" si="120"/>
        <v>1.9976221764336883</v>
      </c>
      <c r="Y46" s="382">
        <f>+SUM(Y22,Y17)/Y77</f>
        <v>0.52312000219886312</v>
      </c>
      <c r="Z46" s="382">
        <f>+SUM(Z22,Z17)/Z77</f>
        <v>0.56919717353668331</v>
      </c>
      <c r="AA46" s="382">
        <f>+SUM(AA22,AA17)/AA77</f>
        <v>0.58814848641010853</v>
      </c>
      <c r="AB46" s="382">
        <f>+SUM(AB22,AB17)/AB77</f>
        <v>0.77408866205951554</v>
      </c>
      <c r="AC46" s="361">
        <f t="shared" si="121"/>
        <v>2.4545543242051706</v>
      </c>
      <c r="AD46" s="361">
        <f>+SUM(AD22,AD17)/AD77</f>
        <v>2.8580051132229687</v>
      </c>
      <c r="AE46" s="361">
        <f>+SUM(AE22,AE17)/AE77</f>
        <v>2.8909657859074454</v>
      </c>
      <c r="AF46" s="361">
        <f>+SUM(AF22,AF17)/AF77</f>
        <v>3.0024265531617544</v>
      </c>
    </row>
    <row r="47" spans="1:32" x14ac:dyDescent="0.2">
      <c r="B47" s="2" t="s">
        <v>507</v>
      </c>
      <c r="E47" s="347">
        <f>+E43/E77</f>
        <v>0.80760703225735475</v>
      </c>
      <c r="F47" s="347">
        <f>+F43/F77</f>
        <v>0.7313584991518215</v>
      </c>
      <c r="G47" s="347">
        <f>+G43/G77</f>
        <v>0.87752812884375619</v>
      </c>
      <c r="H47" s="347">
        <f>+H43/H77</f>
        <v>0.99958950054126827</v>
      </c>
      <c r="I47" s="361">
        <f>SUM(E47:H47)</f>
        <v>3.4160831607942006</v>
      </c>
      <c r="J47" s="347">
        <f>+J43/J77</f>
        <v>0.96968781563450956</v>
      </c>
      <c r="K47" s="347">
        <f>+K43/K77</f>
        <v>1.086610876174684</v>
      </c>
      <c r="L47" s="347">
        <f>+L43/L77</f>
        <v>1.2228914319555899</v>
      </c>
      <c r="M47" s="347">
        <f>+M43/M77</f>
        <v>1.3230873061059905</v>
      </c>
      <c r="N47" s="361">
        <f>SUM(J47:M47)</f>
        <v>4.6022774298707736</v>
      </c>
      <c r="O47" s="347">
        <f>+O43/O77</f>
        <v>1.1537159670495922</v>
      </c>
      <c r="P47" s="347">
        <f>+P43/P77</f>
        <v>1.1811248025828507</v>
      </c>
      <c r="Q47" s="347">
        <f>+Q43/Q77</f>
        <v>1.3367104378987866</v>
      </c>
      <c r="R47" s="347">
        <f>+R43/R77</f>
        <v>1.1170416002010128</v>
      </c>
      <c r="S47" s="361">
        <f>SUM(O47:R47)</f>
        <v>4.7885928077322424</v>
      </c>
      <c r="T47" s="382">
        <f>+T43/T77</f>
        <v>1.4084981149941764</v>
      </c>
      <c r="U47" s="382">
        <f>+U43/U77</f>
        <v>1.470699959813458</v>
      </c>
      <c r="V47" s="382">
        <f>+V43/V77</f>
        <v>1.5638411105773398</v>
      </c>
      <c r="W47" s="382">
        <f>+W43/W77</f>
        <v>1.7566180513147707</v>
      </c>
      <c r="X47" s="361">
        <f>SUM(T47:W47)</f>
        <v>6.1996572366997444</v>
      </c>
      <c r="Y47" s="382">
        <f>+Y43/Y77</f>
        <v>1.6809692063856192</v>
      </c>
      <c r="Z47" s="382">
        <f>+Z43/Z77</f>
        <v>1.8303840441749304</v>
      </c>
      <c r="AA47" s="382">
        <f>+AA43/AA77</f>
        <v>1.9114097863597319</v>
      </c>
      <c r="AB47" s="382">
        <f>+AB43/AB77</f>
        <v>2.0855922517403216</v>
      </c>
      <c r="AC47" s="361">
        <f>SUM(Y47:AB47)</f>
        <v>7.5083552886606029</v>
      </c>
      <c r="AD47" s="361">
        <f>+AD43/AD77</f>
        <v>8.6551182613766393</v>
      </c>
      <c r="AE47" s="361">
        <f>+AE43/AE77</f>
        <v>9.7739773203795952</v>
      </c>
      <c r="AF47" s="361">
        <f>+AF43/AF77</f>
        <v>10.549957855839734</v>
      </c>
    </row>
    <row r="48" spans="1:32" x14ac:dyDescent="0.2">
      <c r="E48" s="346"/>
      <c r="F48" s="346"/>
      <c r="G48" s="346"/>
      <c r="H48" s="346"/>
      <c r="J48" s="346"/>
      <c r="K48" s="346"/>
      <c r="L48" s="346"/>
      <c r="M48" s="346"/>
      <c r="O48" s="346"/>
      <c r="P48" s="346"/>
      <c r="Q48" s="346"/>
      <c r="R48" s="346"/>
      <c r="T48" s="345"/>
      <c r="U48" s="345"/>
      <c r="V48" s="345"/>
      <c r="W48" s="345"/>
      <c r="Y48" s="345"/>
      <c r="Z48" s="345"/>
      <c r="AA48" s="345"/>
      <c r="AB48" s="345"/>
    </row>
    <row r="49" spans="1:32" x14ac:dyDescent="0.2">
      <c r="A49" s="341" t="s">
        <v>6</v>
      </c>
      <c r="B49" s="337" t="s">
        <v>490</v>
      </c>
      <c r="C49" s="338"/>
      <c r="D49" s="338"/>
      <c r="E49" s="383" t="str">
        <f>+E2</f>
        <v>1Q23</v>
      </c>
      <c r="F49" s="383" t="str">
        <f>+F2</f>
        <v>2Q23</v>
      </c>
      <c r="G49" s="383" t="str">
        <f>+G2</f>
        <v>3Q23</v>
      </c>
      <c r="H49" s="383" t="str">
        <f>+H2</f>
        <v>4Q23</v>
      </c>
      <c r="I49" s="339">
        <f>+I2</f>
        <v>2023</v>
      </c>
      <c r="J49" s="383" t="str">
        <f>+J2</f>
        <v>1Q24</v>
      </c>
      <c r="K49" s="383" t="str">
        <f>+K2</f>
        <v>2Q24</v>
      </c>
      <c r="L49" s="383" t="str">
        <f>+L2</f>
        <v>3Q24</v>
      </c>
      <c r="M49" s="383" t="str">
        <f>+M2</f>
        <v>4Q24</v>
      </c>
      <c r="N49" s="339">
        <f>+N2</f>
        <v>2024</v>
      </c>
      <c r="O49" s="383" t="str">
        <f>+O2</f>
        <v>1Q25</v>
      </c>
      <c r="P49" s="383" t="str">
        <f>+P2</f>
        <v>2Q25</v>
      </c>
      <c r="Q49" s="383" t="str">
        <f>+Q2</f>
        <v>3Q25</v>
      </c>
      <c r="R49" s="383" t="str">
        <f>+R2</f>
        <v>4Q25</v>
      </c>
      <c r="S49" s="339">
        <f>+S2</f>
        <v>2025</v>
      </c>
      <c r="T49" s="383" t="str">
        <f>T2</f>
        <v>1Q26e</v>
      </c>
      <c r="U49" s="383" t="str">
        <f>+U2</f>
        <v>2Q26e</v>
      </c>
      <c r="V49" s="383" t="str">
        <f>+V2</f>
        <v>3Q26e</v>
      </c>
      <c r="W49" s="383" t="str">
        <f>+W2</f>
        <v>4Q26e</v>
      </c>
      <c r="X49" s="339" t="str">
        <f>+X2</f>
        <v>2026e</v>
      </c>
      <c r="Y49" s="383" t="str">
        <f>+Y2</f>
        <v>1Q27e</v>
      </c>
      <c r="Z49" s="383" t="str">
        <f>+Z2</f>
        <v>2Q27e</v>
      </c>
      <c r="AA49" s="383" t="str">
        <f>+AA2</f>
        <v>3Q27e</v>
      </c>
      <c r="AB49" s="383" t="str">
        <f>+AB2</f>
        <v>4Q27e</v>
      </c>
      <c r="AC49" s="339" t="str">
        <f>+AC2</f>
        <v>2027e</v>
      </c>
      <c r="AD49" s="383" t="str">
        <f>+AD2</f>
        <v>2028e</v>
      </c>
      <c r="AE49" s="383" t="str">
        <f>+AE2</f>
        <v>2029e</v>
      </c>
      <c r="AF49" s="383" t="str">
        <f>+AF2</f>
        <v>2030e</v>
      </c>
    </row>
    <row r="50" spans="1:32" x14ac:dyDescent="0.2">
      <c r="B50" s="22" t="s">
        <v>41</v>
      </c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340"/>
    </row>
    <row r="51" spans="1:32" x14ac:dyDescent="0.2">
      <c r="E51" s="346"/>
      <c r="F51" s="346"/>
      <c r="G51" s="346"/>
      <c r="H51" s="346"/>
      <c r="J51" s="346"/>
      <c r="K51" s="346"/>
      <c r="L51" s="346"/>
      <c r="M51" s="346"/>
      <c r="O51" s="346"/>
      <c r="P51" s="346"/>
      <c r="Q51" s="346"/>
      <c r="R51" s="346"/>
      <c r="T51" s="345"/>
      <c r="U51" s="345"/>
      <c r="V51" s="345"/>
      <c r="W51" s="345"/>
      <c r="Y51" s="345"/>
      <c r="Z51" s="345"/>
      <c r="AA51" s="345"/>
      <c r="AB51" s="345"/>
    </row>
    <row r="52" spans="1:32" x14ac:dyDescent="0.2">
      <c r="B52" s="88" t="str" cm="1">
        <f t="array" ref="B52:B54">+B14:B16</f>
        <v>Realized Performance Income (Loss)</v>
      </c>
      <c r="E52" s="346"/>
      <c r="F52" s="346"/>
      <c r="G52" s="346"/>
      <c r="H52" s="346"/>
      <c r="J52" s="346"/>
      <c r="K52" s="346"/>
      <c r="L52" s="346"/>
      <c r="M52" s="346"/>
      <c r="O52" s="346"/>
      <c r="P52" s="346"/>
      <c r="Q52" s="346"/>
      <c r="R52" s="346"/>
      <c r="T52" s="345"/>
      <c r="U52" s="345"/>
      <c r="V52" s="345"/>
      <c r="W52" s="345"/>
      <c r="Y52" s="345"/>
      <c r="Z52" s="345"/>
      <c r="AA52" s="345"/>
      <c r="AB52" s="345"/>
    </row>
    <row r="53" spans="1:32" x14ac:dyDescent="0.2">
      <c r="B53" s="328" t="str">
        <v xml:space="preserve">Realized Performance Income </v>
      </c>
      <c r="E53" s="366">
        <f>+Drivers!E11</f>
        <v>0</v>
      </c>
      <c r="F53" s="366">
        <f>+Drivers!F11</f>
        <v>-0.14859918585160603</v>
      </c>
      <c r="G53" s="366">
        <f>+Drivers!G11</f>
        <v>1.2048964067124701</v>
      </c>
      <c r="H53" s="366">
        <f>+Drivers!H11</f>
        <v>0.24941840335777155</v>
      </c>
      <c r="I53" s="421">
        <v>0</v>
      </c>
      <c r="J53" s="366">
        <f>+Drivers!J11</f>
        <v>-0.74512126556591074</v>
      </c>
      <c r="K53" s="366">
        <f>+Drivers!K11</f>
        <v>0.77616601299968702</v>
      </c>
      <c r="L53" s="366">
        <f>+Drivers!L11</f>
        <v>-0.18740890176214831</v>
      </c>
      <c r="M53" s="366">
        <f>+Drivers!M11</f>
        <v>0.72571187997550513</v>
      </c>
      <c r="N53" s="421">
        <f>N15/I15-1</f>
        <v>0.71028140895015812</v>
      </c>
      <c r="O53" s="366">
        <f>+Drivers!O11</f>
        <v>-0.80905705732075095</v>
      </c>
      <c r="P53" s="366">
        <f>+Drivers!P11</f>
        <v>0.20386870544952873</v>
      </c>
      <c r="Q53" s="366">
        <f>+Drivers!Q11</f>
        <v>1.2219386415184434</v>
      </c>
      <c r="R53" s="366">
        <f>+Drivers!R11</f>
        <v>-0.80435046563779</v>
      </c>
      <c r="S53" s="421">
        <f>S15/N15-1</f>
        <v>3.1500207176824668E-2</v>
      </c>
      <c r="T53" s="394">
        <f>+Drivers!T11</f>
        <v>2.75</v>
      </c>
      <c r="U53" s="394">
        <f>+Drivers!U11</f>
        <v>0.16</v>
      </c>
      <c r="V53" s="394">
        <f>+Drivers!V11</f>
        <v>0.125</v>
      </c>
      <c r="W53" s="394">
        <f>+Drivers!W11</f>
        <v>0.255</v>
      </c>
      <c r="X53" s="421">
        <f>X15/S15-1</f>
        <v>0.85379618550919045</v>
      </c>
      <c r="Y53" s="394">
        <f>+Drivers!Y11</f>
        <v>-0.155</v>
      </c>
      <c r="Z53" s="394">
        <f>+Drivers!Z11</f>
        <v>0.11749999999999999</v>
      </c>
      <c r="AA53" s="394">
        <f>+Drivers!AA11</f>
        <v>0.05</v>
      </c>
      <c r="AB53" s="394">
        <f>+Drivers!AB11</f>
        <v>0.20250000000000001</v>
      </c>
      <c r="AC53" s="421">
        <f>AC15/X15-1</f>
        <v>0.27518758736034687</v>
      </c>
      <c r="AD53" s="367">
        <f>+Drivers!AD11</f>
        <v>0.13650000000000001</v>
      </c>
      <c r="AE53" s="367">
        <f>+Drivers!AE11</f>
        <v>-9.2100000000000001E-2</v>
      </c>
      <c r="AF53" s="367">
        <f>+Drivers!AF11</f>
        <v>0.03</v>
      </c>
    </row>
    <row r="54" spans="1:32" x14ac:dyDescent="0.2">
      <c r="B54" s="328" t="str">
        <v>Realized Performance Income Compensation</v>
      </c>
      <c r="E54" s="366">
        <f>+Drivers!E17</f>
        <v>0</v>
      </c>
      <c r="F54" s="366">
        <f>+Drivers!F17</f>
        <v>-0.65011986553631462</v>
      </c>
      <c r="G54" s="366">
        <f>+Drivers!G17</f>
        <v>-0.64937163266173858</v>
      </c>
      <c r="H54" s="366">
        <f>+Drivers!H17</f>
        <v>-0.58710569749945918</v>
      </c>
      <c r="I54" s="421">
        <v>0</v>
      </c>
      <c r="J54" s="366">
        <f>+Drivers!J17</f>
        <v>-0.71276215728516457</v>
      </c>
      <c r="K54" s="366">
        <f>+Drivers!K17</f>
        <v>-0.74531057890273666</v>
      </c>
      <c r="L54" s="366">
        <f>+Drivers!L17</f>
        <v>-0.73993161869769342</v>
      </c>
      <c r="M54" s="366">
        <f>+Drivers!M17</f>
        <v>-0.54752853959762904</v>
      </c>
      <c r="N54" s="421">
        <f>N16/N15</f>
        <v>-0.66588936483152816</v>
      </c>
      <c r="O54" s="366">
        <f>+Drivers!O17</f>
        <v>-0.74709990802483328</v>
      </c>
      <c r="P54" s="366">
        <f>+Drivers!P17</f>
        <v>-0.7390139668138952</v>
      </c>
      <c r="Q54" s="366">
        <f>+Drivers!Q17</f>
        <v>-0.74999973137314524</v>
      </c>
      <c r="R54" s="366">
        <f>+Drivers!R17</f>
        <v>-0.66077008836629447</v>
      </c>
      <c r="S54" s="421">
        <f>S16/S15</f>
        <v>-0.73837038550432244</v>
      </c>
      <c r="T54" s="394">
        <f>+Drivers!T17</f>
        <v>-0.72</v>
      </c>
      <c r="U54" s="394">
        <f>+Drivers!U17</f>
        <v>-0.72250000000000003</v>
      </c>
      <c r="V54" s="394">
        <f>+Drivers!V17</f>
        <v>-0.72750000000000004</v>
      </c>
      <c r="W54" s="394">
        <f>+Drivers!W17</f>
        <v>-0.65749999999999997</v>
      </c>
      <c r="X54" s="421">
        <f>X16/X15</f>
        <v>-0.70242653507160324</v>
      </c>
      <c r="Y54" s="394">
        <f>+Drivers!Y17</f>
        <v>-0.72499999999999998</v>
      </c>
      <c r="Z54" s="394">
        <f>+Drivers!Z17</f>
        <v>-0.72750000000000004</v>
      </c>
      <c r="AA54" s="394">
        <f>+Drivers!AA17</f>
        <v>-0.72799999999999998</v>
      </c>
      <c r="AB54" s="394">
        <f>+Drivers!AB17</f>
        <v>-0.66</v>
      </c>
      <c r="AC54" s="421">
        <f>AC16/AC15</f>
        <v>-0.7068369588168828</v>
      </c>
      <c r="AD54" s="367">
        <f>+Drivers!AD17</f>
        <v>-0.71970000000000001</v>
      </c>
      <c r="AE54" s="367">
        <f>+Drivers!AE17</f>
        <v>-0.71889999999999998</v>
      </c>
      <c r="AF54" s="367">
        <f>+Drivers!AF17</f>
        <v>-0.71970000000000001</v>
      </c>
    </row>
    <row r="55" spans="1:32" x14ac:dyDescent="0.2">
      <c r="B55" s="328"/>
      <c r="E55" s="366"/>
      <c r="F55" s="366"/>
      <c r="G55" s="366"/>
      <c r="H55" s="366"/>
      <c r="I55" s="367"/>
      <c r="J55" s="366"/>
      <c r="K55" s="366"/>
      <c r="L55" s="366"/>
      <c r="M55" s="366"/>
      <c r="N55" s="367"/>
      <c r="O55" s="366"/>
      <c r="P55" s="366"/>
      <c r="Q55" s="366"/>
      <c r="R55" s="366"/>
      <c r="S55" s="367"/>
      <c r="T55" s="394"/>
      <c r="U55" s="394"/>
      <c r="V55" s="394"/>
      <c r="W55" s="394"/>
      <c r="X55" s="367"/>
      <c r="Y55" s="394"/>
      <c r="Z55" s="394"/>
      <c r="AA55" s="394"/>
      <c r="AB55" s="394"/>
      <c r="AC55" s="367"/>
      <c r="AD55" s="367"/>
      <c r="AE55" s="367"/>
      <c r="AF55" s="367"/>
    </row>
    <row r="56" spans="1:32" x14ac:dyDescent="0.2">
      <c r="B56" s="88" t="str" cm="1">
        <f t="array" ref="B56:B58">+B19:B21</f>
        <v>Realized Performance Income (Loss)</v>
      </c>
      <c r="E56" s="368"/>
      <c r="F56" s="368"/>
      <c r="G56" s="368"/>
      <c r="H56" s="368"/>
      <c r="I56" s="415"/>
      <c r="J56" s="368"/>
      <c r="K56" s="368"/>
      <c r="L56" s="368"/>
      <c r="M56" s="368"/>
      <c r="N56" s="415"/>
      <c r="O56" s="368"/>
      <c r="P56" s="368"/>
      <c r="Q56" s="368"/>
      <c r="R56" s="368"/>
      <c r="S56" s="415"/>
      <c r="T56" s="404"/>
      <c r="U56" s="404"/>
      <c r="V56" s="404"/>
      <c r="W56" s="404"/>
      <c r="X56" s="415"/>
      <c r="Y56" s="404"/>
      <c r="Z56" s="404"/>
      <c r="AA56" s="404"/>
      <c r="AB56" s="404"/>
      <c r="AC56" s="415"/>
      <c r="AD56" s="415"/>
      <c r="AE56" s="415"/>
      <c r="AF56" s="415"/>
    </row>
    <row r="57" spans="1:32" x14ac:dyDescent="0.2">
      <c r="B57" s="328" t="str">
        <v xml:space="preserve">Realized Performance Income </v>
      </c>
      <c r="E57" s="366">
        <f>+Drivers!E23</f>
        <v>0</v>
      </c>
      <c r="F57" s="366">
        <f>+Drivers!F23</f>
        <v>-0.42110816077215862</v>
      </c>
      <c r="G57" s="366">
        <f>+Drivers!G23</f>
        <v>1.0160976673206887</v>
      </c>
      <c r="H57" s="366">
        <f>+Drivers!H23</f>
        <v>-0.36520528036817246</v>
      </c>
      <c r="I57" s="421">
        <v>0</v>
      </c>
      <c r="J57" s="366">
        <f>+Drivers!J23</f>
        <v>-0.80491134703001332</v>
      </c>
      <c r="K57" s="366">
        <f>+Drivers!K23</f>
        <v>2.8147796338485964E-2</v>
      </c>
      <c r="L57" s="366">
        <f>+Drivers!L23</f>
        <v>9.3831651581424147E-2</v>
      </c>
      <c r="M57" s="366">
        <f>+Drivers!M23</f>
        <v>-0.27531574571417261</v>
      </c>
      <c r="N57" s="421">
        <f>N20/I20-1</f>
        <v>-0.22593441403043457</v>
      </c>
      <c r="O57" s="366">
        <f>+Drivers!O23</f>
        <v>-0.5923507672050693</v>
      </c>
      <c r="P57" s="366">
        <f>+Drivers!P23</f>
        <v>-0.29344779016044453</v>
      </c>
      <c r="Q57" s="366">
        <f>+Drivers!Q23</f>
        <v>-0.97119443109650772</v>
      </c>
      <c r="R57" s="366">
        <f>+Drivers!R23</f>
        <v>5.1009918845807034</v>
      </c>
      <c r="S57" s="421">
        <f>S20/N20-1</f>
        <v>-0.24541023588469857</v>
      </c>
      <c r="T57" s="394">
        <f>+Drivers!T23</f>
        <v>6.35</v>
      </c>
      <c r="U57" s="394">
        <f>+Drivers!U23</f>
        <v>0.05</v>
      </c>
      <c r="V57" s="394">
        <f>+Drivers!V23</f>
        <v>0.06</v>
      </c>
      <c r="W57" s="394">
        <f>+Drivers!W23</f>
        <v>0.22</v>
      </c>
      <c r="X57" s="421">
        <f>X20/S20-1</f>
        <v>1.2289754236383241</v>
      </c>
      <c r="Y57" s="394">
        <f>+Drivers!Y23</f>
        <v>-7.0000000000000007E-2</v>
      </c>
      <c r="Z57" s="394">
        <f>+Drivers!Z23</f>
        <v>7.0000000000000007E-2</v>
      </c>
      <c r="AA57" s="394">
        <f>+Drivers!AA23</f>
        <v>2.4E-2</v>
      </c>
      <c r="AB57" s="394">
        <f>+Drivers!AB23</f>
        <v>0.08</v>
      </c>
      <c r="AC57" s="421">
        <f>AC20/X20-1</f>
        <v>0.21480824548009037</v>
      </c>
      <c r="AD57" s="367">
        <f>+Drivers!AD23</f>
        <v>0.28000000000000003</v>
      </c>
      <c r="AE57" s="367">
        <f>+Drivers!AE23</f>
        <v>8.3000000000000004E-2</v>
      </c>
      <c r="AF57" s="367">
        <f>+Drivers!AF23</f>
        <v>0.05</v>
      </c>
    </row>
    <row r="58" spans="1:32" x14ac:dyDescent="0.2">
      <c r="B58" s="328" t="str">
        <v>Realized Performance Income Compensation</v>
      </c>
      <c r="E58" s="366">
        <f>+Drivers!E29</f>
        <v>0</v>
      </c>
      <c r="F58" s="366">
        <f>+Drivers!F29</f>
        <v>-0.14984085458905602</v>
      </c>
      <c r="G58" s="366">
        <f>+Drivers!G29</f>
        <v>-0.14999826986626066</v>
      </c>
      <c r="H58" s="366">
        <f>+Drivers!H29</f>
        <v>-0.14999795587413636</v>
      </c>
      <c r="I58" s="421">
        <f>+H58</f>
        <v>-0.14999795587413636</v>
      </c>
      <c r="J58" s="366">
        <f>+Drivers!J29</f>
        <v>-0.14998552907912996</v>
      </c>
      <c r="K58" s="366">
        <f>+Drivers!K29</f>
        <v>-0.15000072178193524</v>
      </c>
      <c r="L58" s="366">
        <f>+Drivers!L29</f>
        <v>-0.15000065986565136</v>
      </c>
      <c r="M58" s="366">
        <f>+Drivers!M29</f>
        <v>-0.14999590249765532</v>
      </c>
      <c r="N58" s="421">
        <f>+M58</f>
        <v>-0.14999590249765532</v>
      </c>
      <c r="O58" s="366">
        <f>+Drivers!O29</f>
        <v>-0.15000206462742652</v>
      </c>
      <c r="P58" s="366">
        <f>+Drivers!P29</f>
        <v>-0.15000194807724776</v>
      </c>
      <c r="Q58" s="366">
        <f>+Drivers!Q29</f>
        <v>-0.14990982867448152</v>
      </c>
      <c r="R58" s="366">
        <f>+Drivers!R29</f>
        <v>-0.15005172923440732</v>
      </c>
      <c r="S58" s="421">
        <f>+R58</f>
        <v>-0.15005172923440732</v>
      </c>
      <c r="T58" s="394">
        <f>+Drivers!T29</f>
        <v>-0.15</v>
      </c>
      <c r="U58" s="394">
        <f>+Drivers!U29</f>
        <v>-0.15</v>
      </c>
      <c r="V58" s="394">
        <f>+Drivers!V29</f>
        <v>-0.15</v>
      </c>
      <c r="W58" s="394">
        <f>+Drivers!W29</f>
        <v>-0.15</v>
      </c>
      <c r="X58" s="421">
        <f>+W58</f>
        <v>-0.15</v>
      </c>
      <c r="Y58" s="394">
        <f>+Drivers!Y29</f>
        <v>-0.15</v>
      </c>
      <c r="Z58" s="394">
        <f>+Drivers!Z29</f>
        <v>-0.15</v>
      </c>
      <c r="AA58" s="394">
        <f>+Drivers!AA29</f>
        <v>-0.15</v>
      </c>
      <c r="AB58" s="394">
        <f>+Drivers!AB29</f>
        <v>-0.15</v>
      </c>
      <c r="AC58" s="421">
        <f>+AB58</f>
        <v>-0.15</v>
      </c>
      <c r="AD58" s="367">
        <f>+Drivers!AD29</f>
        <v>-0.15</v>
      </c>
      <c r="AE58" s="367">
        <f>+Drivers!AE29</f>
        <v>-0.14599999999999999</v>
      </c>
      <c r="AF58" s="367">
        <f>+Drivers!AF29</f>
        <v>-0.14599999999999999</v>
      </c>
    </row>
    <row r="59" spans="1:32" x14ac:dyDescent="0.2">
      <c r="B59" s="328"/>
      <c r="E59" s="366"/>
      <c r="F59" s="366"/>
      <c r="G59" s="366"/>
      <c r="H59" s="366"/>
      <c r="I59" s="367"/>
      <c r="J59" s="366"/>
      <c r="K59" s="366"/>
      <c r="L59" s="366"/>
      <c r="M59" s="366"/>
      <c r="N59" s="367"/>
      <c r="O59" s="366"/>
      <c r="P59" s="366"/>
      <c r="Q59" s="366"/>
      <c r="R59" s="366"/>
      <c r="S59" s="367"/>
      <c r="T59" s="394"/>
      <c r="U59" s="394"/>
      <c r="V59" s="394"/>
      <c r="W59" s="394"/>
      <c r="X59" s="367"/>
      <c r="Y59" s="394"/>
      <c r="Z59" s="394"/>
      <c r="AA59" s="394"/>
      <c r="AB59" s="394"/>
      <c r="AC59" s="367"/>
      <c r="AD59" s="367"/>
      <c r="AE59" s="367"/>
      <c r="AF59" s="367"/>
    </row>
    <row r="60" spans="1:32" x14ac:dyDescent="0.2">
      <c r="B60" s="406" t="str">
        <f>+B26</f>
        <v>Insurance</v>
      </c>
      <c r="E60" s="366"/>
      <c r="F60" s="366"/>
      <c r="G60" s="366"/>
      <c r="H60" s="366"/>
      <c r="I60" s="367"/>
      <c r="J60" s="366"/>
      <c r="K60" s="366"/>
      <c r="L60" s="366"/>
      <c r="M60" s="366"/>
      <c r="N60" s="367"/>
      <c r="O60" s="366"/>
      <c r="P60" s="366"/>
      <c r="Q60" s="366"/>
      <c r="R60" s="366"/>
      <c r="S60" s="367"/>
      <c r="T60" s="394"/>
      <c r="U60" s="394"/>
      <c r="V60" s="394"/>
      <c r="W60" s="394"/>
      <c r="X60" s="367"/>
      <c r="Y60" s="394"/>
      <c r="Z60" s="394"/>
      <c r="AA60" s="394"/>
      <c r="AB60" s="394"/>
      <c r="AC60" s="367"/>
      <c r="AD60" s="367"/>
      <c r="AE60" s="367"/>
      <c r="AF60" s="367"/>
    </row>
    <row r="61" spans="1:32" x14ac:dyDescent="0.2">
      <c r="B61" s="328" t="str" cm="1">
        <f t="array" ref="B61:B64">+B27:B30</f>
        <v>Net Investment Income</v>
      </c>
      <c r="E61" s="366">
        <f>+Drivers!E36</f>
        <v>0</v>
      </c>
      <c r="F61" s="366">
        <f>+Drivers!F36</f>
        <v>9.8634813629052687E-3</v>
      </c>
      <c r="G61" s="366">
        <f>+Drivers!G36</f>
        <v>5.6561255154643275E-2</v>
      </c>
      <c r="H61" s="366">
        <f>+Drivers!H36</f>
        <v>8.1062689885852857E-2</v>
      </c>
      <c r="I61" s="421">
        <v>0</v>
      </c>
      <c r="J61" s="366">
        <f>+Drivers!J36</f>
        <v>-0.7236017886067897</v>
      </c>
      <c r="K61" s="366">
        <f>+Drivers!K36</f>
        <v>3.4732467763127328E-2</v>
      </c>
      <c r="L61" s="366">
        <f>+Drivers!L36</f>
        <v>6.388235462398395E-2</v>
      </c>
      <c r="M61" s="366">
        <f>+Drivers!M36</f>
        <v>1.9407810303734063E-2</v>
      </c>
      <c r="N61" s="421">
        <f>N27/I27-1</f>
        <v>0.17683848297552696</v>
      </c>
      <c r="O61" s="366">
        <f>+Drivers!O36</f>
        <v>-0.72675120267247206</v>
      </c>
      <c r="P61" s="366">
        <f>+Drivers!P36</f>
        <v>3.4222245095391735E-2</v>
      </c>
      <c r="Q61" s="366">
        <f>+Drivers!Q36</f>
        <v>2.5999077452090402E-2</v>
      </c>
      <c r="R61" s="366">
        <f>+Drivers!R36</f>
        <v>1.9727251672320589E-2</v>
      </c>
      <c r="S61" s="421">
        <f>S27/N27-1</f>
        <v>0.14146329285291959</v>
      </c>
      <c r="T61" s="394">
        <f>+Drivers!T36</f>
        <v>5.8999999999999997E-2</v>
      </c>
      <c r="U61" s="394">
        <f>+Drivers!U36</f>
        <v>2E-3</v>
      </c>
      <c r="V61" s="394">
        <f>+Drivers!V36</f>
        <v>2.4E-2</v>
      </c>
      <c r="W61" s="394">
        <f>+Drivers!W36</f>
        <v>2.9000000000000001E-2</v>
      </c>
      <c r="X61" s="421">
        <f>X27/S27-1</f>
        <v>0.12022966754334807</v>
      </c>
      <c r="Y61" s="394">
        <f>+Drivers!Y36</f>
        <v>3.2500000000000001E-2</v>
      </c>
      <c r="Z61" s="394">
        <f>+Drivers!Z36</f>
        <v>0.03</v>
      </c>
      <c r="AA61" s="394">
        <f>+Drivers!AA36</f>
        <v>0.03</v>
      </c>
      <c r="AB61" s="394">
        <f>+Drivers!AB36</f>
        <v>0.03</v>
      </c>
      <c r="AC61" s="421">
        <f>AC27/X27-1</f>
        <v>0.1167504607695391</v>
      </c>
      <c r="AD61" s="367">
        <f>+Drivers!AD36</f>
        <v>7.6499999999999999E-2</v>
      </c>
      <c r="AE61" s="367">
        <f>+Drivers!AE36</f>
        <v>0.11325</v>
      </c>
      <c r="AF61" s="367">
        <f>+Drivers!AF36</f>
        <v>0.08</v>
      </c>
    </row>
    <row r="62" spans="1:32" x14ac:dyDescent="0.2">
      <c r="B62" s="328" t="str">
        <v>Net Cost of Insurance</v>
      </c>
      <c r="E62" s="366">
        <f>+Drivers!E42</f>
        <v>-0.5904495950851717</v>
      </c>
      <c r="F62" s="366">
        <f>+Drivers!F42</f>
        <v>-0.63224863178983548</v>
      </c>
      <c r="G62" s="366">
        <f>+Drivers!G42</f>
        <v>-0.60454863473868836</v>
      </c>
      <c r="H62" s="366">
        <f>+Drivers!H42</f>
        <v>-0.61424574166934331</v>
      </c>
      <c r="I62" s="421">
        <f>I28/I$27</f>
        <v>-0.61047242775274801</v>
      </c>
      <c r="J62" s="366">
        <f>+Drivers!J42</f>
        <v>-0.67499608118572219</v>
      </c>
      <c r="K62" s="366">
        <f>+Drivers!K42</f>
        <v>-0.69608841348048112</v>
      </c>
      <c r="L62" s="366">
        <f>+Drivers!L42</f>
        <v>-0.71312778830287848</v>
      </c>
      <c r="M62" s="366">
        <f>+Drivers!M42</f>
        <v>-0.72422704979506092</v>
      </c>
      <c r="N62" s="421">
        <f>N28/N$27</f>
        <v>-0.70295641116150842</v>
      </c>
      <c r="O62" s="366">
        <f>+Drivers!O42</f>
        <v>-0.71774194014721193</v>
      </c>
      <c r="P62" s="366">
        <f>+Drivers!P42</f>
        <v>-0.71420919472749889</v>
      </c>
      <c r="Q62" s="366">
        <f>+Drivers!Q42</f>
        <v>-0.71120175474448577</v>
      </c>
      <c r="R62" s="366">
        <f>+Drivers!R42</f>
        <v>-0.75120148565779099</v>
      </c>
      <c r="S62" s="421">
        <f>S28/S$27</f>
        <v>-0.72387286586404043</v>
      </c>
      <c r="T62" s="394">
        <f>+Drivers!T42</f>
        <v>-0.71650000000000003</v>
      </c>
      <c r="U62" s="394">
        <f>+Drivers!U42</f>
        <v>-0.73799999999999999</v>
      </c>
      <c r="V62" s="394">
        <f>+Drivers!V42</f>
        <v>-0.74050000000000005</v>
      </c>
      <c r="W62" s="394">
        <f>+Drivers!W42</f>
        <v>-0.73799999999999999</v>
      </c>
      <c r="X62" s="421">
        <f>X28/X$27</f>
        <v>-0.73336347477356989</v>
      </c>
      <c r="Y62" s="394">
        <f>+Drivers!Y42</f>
        <v>-0.73550000000000004</v>
      </c>
      <c r="Z62" s="394">
        <f>+Drivers!Z42</f>
        <v>-0.73299999999999998</v>
      </c>
      <c r="AA62" s="394">
        <f>+Drivers!AA42</f>
        <v>-0.73099999999999998</v>
      </c>
      <c r="AB62" s="394">
        <f>+Drivers!AB42</f>
        <v>-0.72950000000000004</v>
      </c>
      <c r="AC62" s="421">
        <f>AC28/AC$27</f>
        <v>-0.73217623045744762</v>
      </c>
      <c r="AD62" s="367">
        <f>+Drivers!AD42</f>
        <v>-0.74</v>
      </c>
      <c r="AE62" s="367">
        <f>+Drivers!AE42</f>
        <v>-0.73899999999999999</v>
      </c>
      <c r="AF62" s="367">
        <f>+Drivers!AF42</f>
        <v>-0.74</v>
      </c>
    </row>
    <row r="63" spans="1:32" x14ac:dyDescent="0.2">
      <c r="B63" s="328" t="str">
        <v>General, Administrative, and Other</v>
      </c>
      <c r="E63" s="366">
        <f>+Drivers!E48</f>
        <v>-0.15474000102261151</v>
      </c>
      <c r="F63" s="366">
        <f>+Drivers!F48</f>
        <v>-0.15834705568027269</v>
      </c>
      <c r="G63" s="366">
        <f>+Drivers!G48</f>
        <v>-0.15091414302639253</v>
      </c>
      <c r="H63" s="366">
        <f>+Drivers!H48</f>
        <v>-0.13667098347541976</v>
      </c>
      <c r="I63" s="421">
        <f t="shared" ref="I63:I64" si="122">I29/I$27</f>
        <v>-0.14970925935188945</v>
      </c>
      <c r="J63" s="366">
        <f>+Drivers!J48</f>
        <v>-0.14144867631535926</v>
      </c>
      <c r="K63" s="366">
        <f>+Drivers!K48</f>
        <v>-0.13927866916854242</v>
      </c>
      <c r="L63" s="366">
        <f>+Drivers!L48</f>
        <v>-0.1411043207235837</v>
      </c>
      <c r="M63" s="366">
        <f>+Drivers!M48</f>
        <v>-0.12591416240572115</v>
      </c>
      <c r="N63" s="421">
        <f t="shared" ref="N63:N64" si="123">N29/N$27</f>
        <v>-0.13673792690014033</v>
      </c>
      <c r="O63" s="366">
        <f>+Drivers!O48</f>
        <v>-0.13262204201248681</v>
      </c>
      <c r="P63" s="366">
        <f>+Drivers!P48</f>
        <v>-0.13039348066143888</v>
      </c>
      <c r="Q63" s="366">
        <f>+Drivers!Q48</f>
        <v>-0.12277707388182722</v>
      </c>
      <c r="R63" s="366">
        <f>+Drivers!R48</f>
        <v>-0.10555652046119521</v>
      </c>
      <c r="S63" s="421">
        <f t="shared" ref="S63:S64" si="124">S29/S$27</f>
        <v>-0.12255890615297259</v>
      </c>
      <c r="T63" s="394">
        <f>+Drivers!T48</f>
        <v>-0.16500000000000001</v>
      </c>
      <c r="U63" s="394">
        <f>+Drivers!U48</f>
        <v>-0.16500000000000001</v>
      </c>
      <c r="V63" s="394">
        <f>+Drivers!V48</f>
        <v>-0.16250000000000001</v>
      </c>
      <c r="W63" s="394">
        <f>+Drivers!W48</f>
        <v>-0.156</v>
      </c>
      <c r="X63" s="421">
        <f t="shared" ref="X63:X64" si="125">X29/X$27</f>
        <v>-0.1620451053748824</v>
      </c>
      <c r="Y63" s="394">
        <f>+Drivers!Y48</f>
        <v>-0.16250000000000001</v>
      </c>
      <c r="Z63" s="394">
        <f>+Drivers!Z48</f>
        <v>-0.16200000000000001</v>
      </c>
      <c r="AA63" s="394">
        <f>+Drivers!AA48</f>
        <v>-0.159</v>
      </c>
      <c r="AB63" s="394">
        <f>+Drivers!AB48</f>
        <v>-0.152</v>
      </c>
      <c r="AC63" s="421">
        <f t="shared" ref="AC63:AC64" si="126">AC29/AC$27</f>
        <v>-0.1587468490857335</v>
      </c>
      <c r="AD63" s="367">
        <f>+Drivers!AD48</f>
        <v>-0.1525</v>
      </c>
      <c r="AE63" s="367">
        <f>+Drivers!AE48</f>
        <v>-0.1517</v>
      </c>
      <c r="AF63" s="367">
        <f>+Drivers!AF48</f>
        <v>-0.15</v>
      </c>
    </row>
    <row r="64" spans="1:32" x14ac:dyDescent="0.2">
      <c r="B64" s="328" t="str">
        <v>Pre-Tax Operating Earnings Attributable to Non-Controlling Interest</v>
      </c>
      <c r="E64" s="366">
        <f>+Drivers!E54</f>
        <v>-9.3464332490334354E-2</v>
      </c>
      <c r="F64" s="366">
        <f>+Drivers!F54</f>
        <v>-7.6809830860714412E-2</v>
      </c>
      <c r="G64" s="366">
        <f>+Drivers!G54</f>
        <v>-8.9696529139115327E-2</v>
      </c>
      <c r="H64" s="366">
        <f>+Drivers!H54</f>
        <v>-9.1363586456541052E-2</v>
      </c>
      <c r="I64" s="421">
        <f t="shared" si="122"/>
        <v>-8.7965432814095385E-2</v>
      </c>
      <c r="J64" s="366">
        <f>+Drivers!J54</f>
        <v>0</v>
      </c>
      <c r="K64" s="366">
        <f>+Drivers!K54</f>
        <v>0</v>
      </c>
      <c r="L64" s="366">
        <f>+Drivers!L54</f>
        <v>0</v>
      </c>
      <c r="M64" s="366">
        <f>+Drivers!M54</f>
        <v>0</v>
      </c>
      <c r="N64" s="421">
        <f t="shared" si="123"/>
        <v>0</v>
      </c>
      <c r="O64" s="366">
        <f>+Drivers!O54</f>
        <v>0</v>
      </c>
      <c r="P64" s="366">
        <f>+Drivers!P54</f>
        <v>0</v>
      </c>
      <c r="Q64" s="366">
        <f>+Drivers!Q54</f>
        <v>0</v>
      </c>
      <c r="R64" s="366">
        <f>+Drivers!R54</f>
        <v>0</v>
      </c>
      <c r="S64" s="421">
        <f t="shared" si="124"/>
        <v>0</v>
      </c>
      <c r="T64" s="394">
        <f>+Drivers!T54</f>
        <v>0</v>
      </c>
      <c r="U64" s="394">
        <f>+Drivers!U54</f>
        <v>0</v>
      </c>
      <c r="V64" s="394">
        <f>+Drivers!V54</f>
        <v>0</v>
      </c>
      <c r="W64" s="394">
        <f>+Drivers!W54</f>
        <v>0</v>
      </c>
      <c r="X64" s="421">
        <f t="shared" si="125"/>
        <v>0</v>
      </c>
      <c r="Y64" s="394">
        <f>+Drivers!Y54</f>
        <v>0</v>
      </c>
      <c r="Z64" s="394">
        <f>+Drivers!Z54</f>
        <v>0</v>
      </c>
      <c r="AA64" s="394">
        <f>+Drivers!AA54</f>
        <v>0</v>
      </c>
      <c r="AB64" s="394">
        <f>+Drivers!AB54</f>
        <v>0</v>
      </c>
      <c r="AC64" s="421">
        <f t="shared" si="126"/>
        <v>0</v>
      </c>
      <c r="AD64" s="367">
        <f>+Drivers!AD54</f>
        <v>0</v>
      </c>
      <c r="AE64" s="367">
        <f>+Drivers!AE54</f>
        <v>0</v>
      </c>
      <c r="AF64" s="367">
        <f>+Drivers!AF54</f>
        <v>0</v>
      </c>
    </row>
    <row r="65" spans="1:33" x14ac:dyDescent="0.2">
      <c r="B65" s="406"/>
      <c r="E65" s="366"/>
      <c r="F65" s="366"/>
      <c r="G65" s="366"/>
      <c r="H65" s="366"/>
      <c r="I65" s="367"/>
      <c r="J65" s="366"/>
      <c r="K65" s="366"/>
      <c r="L65" s="366"/>
      <c r="M65" s="366"/>
      <c r="N65" s="367"/>
      <c r="O65" s="366"/>
      <c r="P65" s="366"/>
      <c r="Q65" s="366"/>
      <c r="R65" s="366"/>
      <c r="S65" s="367"/>
      <c r="T65" s="394"/>
      <c r="U65" s="394"/>
      <c r="V65" s="394"/>
      <c r="W65" s="394"/>
      <c r="X65" s="367"/>
      <c r="Y65" s="394"/>
      <c r="Z65" s="394"/>
      <c r="AA65" s="394"/>
      <c r="AB65" s="394"/>
      <c r="AC65" s="367"/>
      <c r="AD65" s="367"/>
      <c r="AE65" s="367"/>
      <c r="AF65" s="367"/>
    </row>
    <row r="66" spans="1:33" x14ac:dyDescent="0.2">
      <c r="B66" s="406" t="s">
        <v>499</v>
      </c>
      <c r="E66" s="366">
        <f>+Drivers!E61</f>
        <v>0</v>
      </c>
      <c r="F66" s="366">
        <v>0</v>
      </c>
      <c r="G66" s="366">
        <v>0</v>
      </c>
      <c r="H66" s="366">
        <v>0</v>
      </c>
      <c r="I66" s="421">
        <v>0</v>
      </c>
      <c r="J66" s="366">
        <v>0</v>
      </c>
      <c r="K66" s="366">
        <f>+Drivers!K61</f>
        <v>0.97162162162162158</v>
      </c>
      <c r="L66" s="366">
        <f>+Drivers!L61</f>
        <v>-0.83286008028982672</v>
      </c>
      <c r="M66" s="366">
        <f>+Drivers!M61</f>
        <v>0.14396602226127708</v>
      </c>
      <c r="N66" s="421">
        <v>0</v>
      </c>
      <c r="O66" s="366">
        <f>+Drivers!O61</f>
        <v>-0.58685754025009507</v>
      </c>
      <c r="P66" s="366">
        <f>+Drivers!P61</f>
        <v>-7.5112748523153194E-2</v>
      </c>
      <c r="Q66" s="366">
        <f>+Drivers!Q61</f>
        <v>0.98011744102194287</v>
      </c>
      <c r="R66" s="366">
        <f>+Drivers!R61</f>
        <v>-0.2399632346565389</v>
      </c>
      <c r="S66" s="421">
        <f>S34/N34-1</f>
        <v>1.1269370563304508</v>
      </c>
      <c r="T66" s="394">
        <f>+Drivers!T61</f>
        <v>0.75</v>
      </c>
      <c r="U66" s="394">
        <f>+Drivers!U61</f>
        <v>0.11</v>
      </c>
      <c r="V66" s="394">
        <f>+Drivers!V61</f>
        <v>0.13</v>
      </c>
      <c r="W66" s="394">
        <f>+Drivers!W61</f>
        <v>0.11</v>
      </c>
      <c r="X66" s="421">
        <f>X34/S34-1</f>
        <v>1.2505659888060161</v>
      </c>
      <c r="Y66" s="394">
        <f>+Drivers!Y61</f>
        <v>0.08</v>
      </c>
      <c r="Z66" s="394">
        <f>+Drivers!Z61</f>
        <v>7.4999999999999997E-2</v>
      </c>
      <c r="AA66" s="394">
        <f>+Drivers!AA61</f>
        <v>0.05</v>
      </c>
      <c r="AB66" s="394">
        <f>+Drivers!AB61</f>
        <v>0.05</v>
      </c>
      <c r="AC66" s="421">
        <f>AC34/X34-1</f>
        <v>0.38743736600542067</v>
      </c>
      <c r="AD66" s="367">
        <f>+Drivers!AD61</f>
        <v>0.51500000000000001</v>
      </c>
      <c r="AE66" s="367">
        <f>+Drivers!AE61</f>
        <v>0.30499999999999999</v>
      </c>
      <c r="AF66" s="367">
        <f>+Drivers!AF61</f>
        <v>0.15</v>
      </c>
    </row>
    <row r="67" spans="1:33" x14ac:dyDescent="0.2">
      <c r="B67" s="328"/>
      <c r="E67" s="366"/>
      <c r="F67" s="366"/>
      <c r="G67" s="366"/>
      <c r="H67" s="366"/>
      <c r="I67" s="367"/>
      <c r="J67" s="366"/>
      <c r="K67" s="366"/>
      <c r="L67" s="366"/>
      <c r="M67" s="366"/>
      <c r="N67" s="367"/>
      <c r="O67" s="366"/>
      <c r="P67" s="366"/>
      <c r="Q67" s="366"/>
      <c r="R67" s="366"/>
      <c r="S67" s="367"/>
      <c r="T67" s="394"/>
      <c r="U67" s="394"/>
      <c r="V67" s="394"/>
      <c r="W67" s="394"/>
      <c r="X67" s="367"/>
      <c r="Y67" s="394"/>
      <c r="Z67" s="394"/>
      <c r="AA67" s="394"/>
      <c r="AB67" s="394"/>
      <c r="AC67" s="367"/>
      <c r="AD67" s="367"/>
      <c r="AE67" s="367"/>
      <c r="AF67" s="367"/>
    </row>
    <row r="68" spans="1:33" x14ac:dyDescent="0.2">
      <c r="B68" s="406" t="str">
        <f>+B43</f>
        <v>Adjusted Net Income (ANI) [Formerly Distributable Earnings]</v>
      </c>
      <c r="E68" s="366"/>
      <c r="F68" s="366"/>
      <c r="G68" s="366"/>
      <c r="H68" s="366"/>
      <c r="I68" s="367"/>
      <c r="J68" s="366"/>
      <c r="K68" s="366"/>
      <c r="L68" s="366"/>
      <c r="M68" s="366"/>
      <c r="N68" s="367"/>
      <c r="O68" s="366"/>
      <c r="P68" s="366"/>
      <c r="Q68" s="366"/>
      <c r="R68" s="366"/>
      <c r="S68" s="367"/>
      <c r="T68" s="394"/>
      <c r="U68" s="394"/>
      <c r="V68" s="394"/>
      <c r="W68" s="394"/>
      <c r="X68" s="367"/>
      <c r="Y68" s="394"/>
      <c r="Z68" s="394"/>
      <c r="AA68" s="394"/>
      <c r="AB68" s="394"/>
      <c r="AC68" s="367"/>
      <c r="AD68" s="367"/>
      <c r="AE68" s="367"/>
      <c r="AF68" s="367"/>
    </row>
    <row r="69" spans="1:33" x14ac:dyDescent="0.2">
      <c r="B69" s="328" t="str">
        <f>+B38</f>
        <v>Interest Expense</v>
      </c>
      <c r="E69" s="366">
        <f>+Drivers!E68</f>
        <v>-8.6938042155290662E-2</v>
      </c>
      <c r="F69" s="366">
        <f>+Drivers!F68</f>
        <v>-9.9764278294736705E-2</v>
      </c>
      <c r="G69" s="366">
        <f>+Drivers!G68</f>
        <v>-8.2841524790207496E-2</v>
      </c>
      <c r="H69" s="366">
        <f>+Drivers!H68</f>
        <v>-7.504222660096882E-2</v>
      </c>
      <c r="I69" s="421">
        <f>I38/I$36</f>
        <v>-8.529397643716996E-2</v>
      </c>
      <c r="J69" s="366">
        <f>+Drivers!J68</f>
        <v>-6.4710206859645611E-2</v>
      </c>
      <c r="K69" s="366">
        <f>+Drivers!K68</f>
        <v>-6.1975171793669313E-2</v>
      </c>
      <c r="L69" s="366">
        <f>+Drivers!L68</f>
        <v>-5.965826562321188E-2</v>
      </c>
      <c r="M69" s="366">
        <f>+Drivers!M68</f>
        <v>-5.0433825019464799E-2</v>
      </c>
      <c r="N69" s="421">
        <f>N38/N$36</f>
        <v>-5.8733327295990213E-2</v>
      </c>
      <c r="O69" s="366">
        <f>+Drivers!O68</f>
        <v>-6.5990290834874218E-2</v>
      </c>
      <c r="P69" s="366">
        <f>+Drivers!P68</f>
        <v>-6.5275983093668916E-2</v>
      </c>
      <c r="Q69" s="366">
        <f>+Drivers!Q68</f>
        <v>-6.2995499139541389E-2</v>
      </c>
      <c r="R69" s="366">
        <f>+Drivers!R68</f>
        <v>-8.5437162761981655E-2</v>
      </c>
      <c r="S69" s="421">
        <f>S38/S$36</f>
        <v>-6.9547588470013189E-2</v>
      </c>
      <c r="T69" s="394">
        <f>+Drivers!T68</f>
        <v>-6.5000000000000002E-2</v>
      </c>
      <c r="U69" s="394">
        <f>+Drivers!U68</f>
        <v>-6.25E-2</v>
      </c>
      <c r="V69" s="394">
        <f>+Drivers!V68</f>
        <v>-5.8500000000000003E-2</v>
      </c>
      <c r="W69" s="394">
        <f>+Drivers!W68</f>
        <v>-5.2499999999999998E-2</v>
      </c>
      <c r="X69" s="421">
        <f>X38/X$36</f>
        <v>-5.9234048357356205E-2</v>
      </c>
      <c r="Y69" s="394">
        <f>+Drivers!Y68</f>
        <v>-5.0999999999999997E-2</v>
      </c>
      <c r="Z69" s="394">
        <f>+Drivers!Z68</f>
        <v>-4.7500000000000001E-2</v>
      </c>
      <c r="AA69" s="394">
        <f>+Drivers!AA68</f>
        <v>-4.5499999999999999E-2</v>
      </c>
      <c r="AB69" s="394">
        <f>+Drivers!AB68</f>
        <v>-4.2000000000000003E-2</v>
      </c>
      <c r="AC69" s="421">
        <f>AC38/AC$36</f>
        <v>-4.6255022508315195E-2</v>
      </c>
      <c r="AD69" s="367">
        <f>+Drivers!AD68</f>
        <v>-4.2250000000000003E-2</v>
      </c>
      <c r="AE69" s="367">
        <f>+Drivers!AE68</f>
        <v>-4.1000000000000002E-2</v>
      </c>
      <c r="AF69" s="367">
        <f>+Drivers!AF68</f>
        <v>-0.04</v>
      </c>
    </row>
    <row r="70" spans="1:33" x14ac:dyDescent="0.2">
      <c r="B70" s="328" t="str">
        <f>+B40</f>
        <v>Non-Controlling Interest</v>
      </c>
      <c r="E70" s="366">
        <f>+Drivers!E74</f>
        <v>-5.7206248557387747E-3</v>
      </c>
      <c r="F70" s="366">
        <f>+Drivers!F74</f>
        <v>-6.6336034627453447E-3</v>
      </c>
      <c r="G70" s="366">
        <f>+Drivers!G74</f>
        <v>-5.2977298222634337E-3</v>
      </c>
      <c r="H70" s="366">
        <f>+Drivers!H74</f>
        <v>-6.7654132296419501E-3</v>
      </c>
      <c r="I70" s="421">
        <f>I40/I$36</f>
        <v>-6.1124913382486455E-3</v>
      </c>
      <c r="J70" s="366">
        <f>+Drivers!J74</f>
        <v>0</v>
      </c>
      <c r="K70" s="366">
        <f>+Drivers!K74</f>
        <v>0</v>
      </c>
      <c r="L70" s="366">
        <f>+Drivers!L74</f>
        <v>0</v>
      </c>
      <c r="M70" s="366">
        <f>+Drivers!M74</f>
        <v>0</v>
      </c>
      <c r="N70" s="421">
        <f>N40/N$36</f>
        <v>0</v>
      </c>
      <c r="O70" s="366">
        <f>+Drivers!O74</f>
        <v>0</v>
      </c>
      <c r="P70" s="366">
        <f>+Drivers!P74</f>
        <v>0</v>
      </c>
      <c r="Q70" s="366">
        <f>+Drivers!Q74</f>
        <v>0</v>
      </c>
      <c r="R70" s="366">
        <f>+Drivers!R74</f>
        <v>0</v>
      </c>
      <c r="S70" s="421">
        <f>S40/S$36</f>
        <v>0</v>
      </c>
      <c r="T70" s="394">
        <f>+Drivers!T74</f>
        <v>0</v>
      </c>
      <c r="U70" s="394">
        <f>+Drivers!U74</f>
        <v>0</v>
      </c>
      <c r="V70" s="394">
        <f>+Drivers!V74</f>
        <v>0</v>
      </c>
      <c r="W70" s="394">
        <f>+Drivers!W74</f>
        <v>0</v>
      </c>
      <c r="X70" s="421">
        <f>X40/X$36</f>
        <v>0</v>
      </c>
      <c r="Y70" s="394">
        <f>+Drivers!Y74</f>
        <v>0</v>
      </c>
      <c r="Z70" s="394">
        <f>+Drivers!Z74</f>
        <v>0</v>
      </c>
      <c r="AA70" s="394">
        <f>+Drivers!AA74</f>
        <v>0</v>
      </c>
      <c r="AB70" s="394">
        <f>+Drivers!AB74</f>
        <v>0</v>
      </c>
      <c r="AC70" s="421">
        <f>AC40/AC$36</f>
        <v>0</v>
      </c>
      <c r="AD70" s="367">
        <f>+Drivers!AD74</f>
        <v>0</v>
      </c>
      <c r="AE70" s="367">
        <f>+Drivers!AE74</f>
        <v>0</v>
      </c>
      <c r="AF70" s="367">
        <f>+Drivers!AF74</f>
        <v>0</v>
      </c>
    </row>
    <row r="71" spans="1:33" x14ac:dyDescent="0.2">
      <c r="B71" s="328" t="str">
        <f>+B41</f>
        <v>Preferred Stock Dividends</v>
      </c>
      <c r="E71" s="366">
        <f>+Drivers!E80</f>
        <v>0</v>
      </c>
      <c r="F71" s="366">
        <f>+Drivers!F80</f>
        <v>0</v>
      </c>
      <c r="G71" s="366">
        <f>+Drivers!G80</f>
        <v>0</v>
      </c>
      <c r="H71" s="366">
        <f>+Drivers!H80</f>
        <v>0</v>
      </c>
      <c r="I71" s="421">
        <f>I41/I$36</f>
        <v>0</v>
      </c>
      <c r="J71" s="366">
        <f>+Drivers!J80</f>
        <v>0</v>
      </c>
      <c r="K71" s="366">
        <f>+Drivers!K80</f>
        <v>0</v>
      </c>
      <c r="L71" s="366">
        <f>+Drivers!L80</f>
        <v>0</v>
      </c>
      <c r="M71" s="366">
        <f>+Drivers!M80</f>
        <v>0</v>
      </c>
      <c r="N71" s="421">
        <f>N41/N$36</f>
        <v>0</v>
      </c>
      <c r="O71" s="366">
        <f>+Drivers!O80</f>
        <v>0</v>
      </c>
      <c r="P71" s="366">
        <f>+Drivers!P80</f>
        <v>0</v>
      </c>
      <c r="Q71" s="366">
        <f>+Drivers!Q80</f>
        <v>0</v>
      </c>
      <c r="R71" s="366">
        <f>+Drivers!R80</f>
        <v>0</v>
      </c>
      <c r="S71" s="421">
        <f>S41/S$36</f>
        <v>0</v>
      </c>
      <c r="T71" s="394">
        <f>+Drivers!T80</f>
        <v>0</v>
      </c>
      <c r="U71" s="394">
        <f>+Drivers!U80</f>
        <v>0</v>
      </c>
      <c r="V71" s="394">
        <f>+Drivers!V80</f>
        <v>0</v>
      </c>
      <c r="W71" s="394">
        <f>+Drivers!W80</f>
        <v>0</v>
      </c>
      <c r="X71" s="421">
        <f>X41/X$36</f>
        <v>0</v>
      </c>
      <c r="Y71" s="394">
        <f>+Drivers!Y80</f>
        <v>0</v>
      </c>
      <c r="Z71" s="394">
        <f>+Drivers!Z80</f>
        <v>0</v>
      </c>
      <c r="AA71" s="394">
        <f>+Drivers!AA80</f>
        <v>0</v>
      </c>
      <c r="AB71" s="394">
        <f>+Drivers!AB80</f>
        <v>0</v>
      </c>
      <c r="AC71" s="421">
        <f>AC41/AC$36</f>
        <v>0</v>
      </c>
      <c r="AD71" s="367">
        <f>+Drivers!AD80</f>
        <v>0</v>
      </c>
      <c r="AE71" s="367">
        <f>+Drivers!AE80</f>
        <v>0</v>
      </c>
      <c r="AF71" s="367">
        <f>+Drivers!AF80</f>
        <v>0</v>
      </c>
    </row>
    <row r="72" spans="1:33" x14ac:dyDescent="0.2">
      <c r="B72" s="11"/>
      <c r="E72" s="346"/>
      <c r="F72" s="346"/>
      <c r="G72" s="346"/>
      <c r="H72" s="346"/>
      <c r="J72" s="346"/>
      <c r="K72" s="346"/>
      <c r="L72" s="346"/>
      <c r="M72" s="346"/>
      <c r="O72" s="346"/>
      <c r="P72" s="346"/>
      <c r="Q72" s="346"/>
      <c r="R72" s="346"/>
      <c r="T72" s="345"/>
      <c r="U72" s="345"/>
      <c r="V72" s="345"/>
      <c r="W72" s="345"/>
      <c r="Y72" s="345"/>
      <c r="Z72" s="345"/>
      <c r="AA72" s="345"/>
      <c r="AB72" s="345"/>
    </row>
    <row r="73" spans="1:33" x14ac:dyDescent="0.2">
      <c r="B73" s="2" t="s">
        <v>47</v>
      </c>
      <c r="E73" s="358">
        <f>+E39/E36</f>
        <v>-0.17596768141834077</v>
      </c>
      <c r="F73" s="358">
        <f>+F39/F36</f>
        <v>-0.18599895475747988</v>
      </c>
      <c r="G73" s="358">
        <f>+G39/G36</f>
        <v>-0.18956590852036878</v>
      </c>
      <c r="H73" s="358">
        <f>+H39/H36</f>
        <v>-0.17826576660947657</v>
      </c>
      <c r="I73" s="62">
        <f>+I39/I36</f>
        <v>-0.18234333187866072</v>
      </c>
      <c r="J73" s="358">
        <f>+J39/J36</f>
        <v>-0.18735566194826819</v>
      </c>
      <c r="K73" s="358">
        <f>+K39/K36</f>
        <v>-0.1846759659397007</v>
      </c>
      <c r="L73" s="358">
        <f>+L39/L36</f>
        <v>-0.19965993143101693</v>
      </c>
      <c r="M73" s="358">
        <f>+M39/M36</f>
        <v>-0.15951601979543298</v>
      </c>
      <c r="N73" s="62">
        <f>+N39/N36</f>
        <v>-0.18236655611934832</v>
      </c>
      <c r="O73" s="358">
        <f>+O39/O36</f>
        <v>-0.18804743913375027</v>
      </c>
      <c r="P73" s="358">
        <f>+P39/P36</f>
        <v>-0.19320664510023927</v>
      </c>
      <c r="Q73" s="358">
        <f>+Q39/Q36</f>
        <v>-0.19927706767470252</v>
      </c>
      <c r="R73" s="358">
        <f>+R39/R36</f>
        <v>-0.17914594985588042</v>
      </c>
      <c r="S73" s="62">
        <f>+S39/S36</f>
        <v>-0.19037346608309461</v>
      </c>
      <c r="T73" s="394">
        <f>Drivers!T88</f>
        <v>-0.1915</v>
      </c>
      <c r="U73" s="394">
        <f>Drivers!U88</f>
        <v>-0.19699999999999998</v>
      </c>
      <c r="V73" s="394">
        <f>Drivers!V88</f>
        <v>-0.19899999999999998</v>
      </c>
      <c r="W73" s="394">
        <f>Drivers!W88</f>
        <v>-0.19999999999999998</v>
      </c>
      <c r="X73" s="62">
        <f>+X39/X36</f>
        <v>-0.19710376710280608</v>
      </c>
      <c r="Y73" s="394">
        <f>Drivers!Y88</f>
        <v>-0.20399999999999999</v>
      </c>
      <c r="Z73" s="394">
        <f>Drivers!Z88</f>
        <v>-0.20149999999999998</v>
      </c>
      <c r="AA73" s="394">
        <f>Drivers!AA88</f>
        <v>-0.20299999999999999</v>
      </c>
      <c r="AB73" s="394">
        <f>Drivers!AB88</f>
        <v>-0.20099999999999998</v>
      </c>
      <c r="AC73" s="62">
        <f>+AC39/AC36</f>
        <v>-0.20230631661591503</v>
      </c>
      <c r="AD73" s="443">
        <f>Drivers!AD88</f>
        <v>-0.19500000000000001</v>
      </c>
      <c r="AE73" s="443">
        <f>Drivers!AE88</f>
        <v>-0.19</v>
      </c>
      <c r="AF73" s="443">
        <f>Drivers!AF88</f>
        <v>-0.19</v>
      </c>
      <c r="AG73" s="443"/>
    </row>
    <row r="74" spans="1:33" x14ac:dyDescent="0.2">
      <c r="E74" s="358"/>
      <c r="F74" s="358"/>
      <c r="G74" s="358"/>
      <c r="H74" s="358"/>
      <c r="I74" s="62"/>
      <c r="J74" s="358"/>
      <c r="K74" s="358"/>
      <c r="L74" s="358"/>
      <c r="M74" s="358"/>
      <c r="N74" s="62"/>
      <c r="O74" s="358"/>
      <c r="P74" s="358"/>
      <c r="Q74" s="358"/>
      <c r="R74" s="358"/>
      <c r="S74" s="62"/>
      <c r="T74" s="345"/>
      <c r="U74" s="345"/>
      <c r="V74" s="345"/>
      <c r="W74" s="345"/>
      <c r="X74" s="62"/>
      <c r="Y74" s="345"/>
      <c r="Z74" s="345"/>
      <c r="AA74" s="345"/>
      <c r="AB74" s="345"/>
      <c r="AC74" s="62"/>
    </row>
    <row r="75" spans="1:33" x14ac:dyDescent="0.2">
      <c r="A75" s="341" t="s">
        <v>6</v>
      </c>
      <c r="B75" s="337" t="s">
        <v>491</v>
      </c>
      <c r="C75" s="338"/>
      <c r="D75" s="338"/>
      <c r="E75" s="355" t="str">
        <f>+E49</f>
        <v>1Q23</v>
      </c>
      <c r="F75" s="355" t="str">
        <f t="shared" ref="F75:H75" si="127">+F49</f>
        <v>2Q23</v>
      </c>
      <c r="G75" s="355" t="str">
        <f t="shared" si="127"/>
        <v>3Q23</v>
      </c>
      <c r="H75" s="355" t="str">
        <f t="shared" si="127"/>
        <v>4Q23</v>
      </c>
      <c r="I75" s="364">
        <f>+I49</f>
        <v>2023</v>
      </c>
      <c r="J75" s="355" t="str">
        <f>+J49</f>
        <v>1Q24</v>
      </c>
      <c r="K75" s="355" t="str">
        <f t="shared" ref="K75:M75" si="128">+K49</f>
        <v>2Q24</v>
      </c>
      <c r="L75" s="355" t="str">
        <f t="shared" si="128"/>
        <v>3Q24</v>
      </c>
      <c r="M75" s="355" t="str">
        <f t="shared" si="128"/>
        <v>4Q24</v>
      </c>
      <c r="N75" s="364">
        <f>+N49</f>
        <v>2024</v>
      </c>
      <c r="O75" s="355" t="str">
        <f>+O49</f>
        <v>1Q25</v>
      </c>
      <c r="P75" s="355" t="str">
        <f t="shared" ref="P75:R75" si="129">+P49</f>
        <v>2Q25</v>
      </c>
      <c r="Q75" s="355" t="str">
        <f t="shared" si="129"/>
        <v>3Q25</v>
      </c>
      <c r="R75" s="355" t="str">
        <f t="shared" si="129"/>
        <v>4Q25</v>
      </c>
      <c r="S75" s="364">
        <f>+S49</f>
        <v>2025</v>
      </c>
      <c r="T75" s="355" t="str">
        <f>+T49</f>
        <v>1Q26e</v>
      </c>
      <c r="U75" s="355" t="str">
        <f t="shared" ref="U75:W75" si="130">+U49</f>
        <v>2Q26e</v>
      </c>
      <c r="V75" s="355" t="str">
        <f t="shared" si="130"/>
        <v>3Q26e</v>
      </c>
      <c r="W75" s="355" t="str">
        <f t="shared" si="130"/>
        <v>4Q26e</v>
      </c>
      <c r="X75" s="364" t="str">
        <f>+X49</f>
        <v>2026e</v>
      </c>
      <c r="Y75" s="355" t="str">
        <f>+Y49</f>
        <v>1Q27e</v>
      </c>
      <c r="Z75" s="355" t="str">
        <f t="shared" ref="Z75:AB75" si="131">+Z49</f>
        <v>2Q27e</v>
      </c>
      <c r="AA75" s="355" t="str">
        <f t="shared" si="131"/>
        <v>3Q27e</v>
      </c>
      <c r="AB75" s="355" t="str">
        <f t="shared" si="131"/>
        <v>4Q27e</v>
      </c>
      <c r="AC75" s="364" t="str">
        <f>+AC49</f>
        <v>2027e</v>
      </c>
      <c r="AD75" s="355" t="str">
        <f>+AD49</f>
        <v>2028e</v>
      </c>
      <c r="AE75" s="355" t="str">
        <f t="shared" ref="AE75:AF75" si="132">+AE49</f>
        <v>2029e</v>
      </c>
      <c r="AF75" s="355" t="str">
        <f t="shared" si="132"/>
        <v>2030e</v>
      </c>
    </row>
    <row r="76" spans="1:33" x14ac:dyDescent="0.2">
      <c r="E76" s="346"/>
      <c r="F76" s="346"/>
      <c r="G76" s="346"/>
      <c r="H76" s="346"/>
      <c r="J76" s="346"/>
      <c r="K76" s="346"/>
      <c r="L76" s="346"/>
      <c r="M76" s="346"/>
      <c r="O76" s="346"/>
      <c r="P76" s="346"/>
      <c r="Q76" s="346"/>
      <c r="R76" s="346"/>
      <c r="T76" s="345"/>
      <c r="U76" s="345"/>
      <c r="V76" s="345"/>
      <c r="W76" s="345"/>
      <c r="Y76" s="345"/>
      <c r="Z76" s="345"/>
      <c r="AA76" s="345"/>
      <c r="AB76" s="345"/>
    </row>
    <row r="77" spans="1:33" x14ac:dyDescent="0.2">
      <c r="B77" s="2" t="s">
        <v>519</v>
      </c>
      <c r="E77" s="348">
        <v>890626.22199999995</v>
      </c>
      <c r="F77" s="348">
        <v>892317.51699999999</v>
      </c>
      <c r="G77" s="348">
        <v>888553.853</v>
      </c>
      <c r="H77" s="348">
        <v>889207.01899999997</v>
      </c>
      <c r="I77" s="349">
        <f>+H77</f>
        <v>889207.01899999997</v>
      </c>
      <c r="J77" s="348">
        <v>890745.44</v>
      </c>
      <c r="K77" s="348">
        <v>894403.89500000002</v>
      </c>
      <c r="L77" s="348">
        <v>894445.71400000004</v>
      </c>
      <c r="M77" s="348">
        <v>895775.35400000005</v>
      </c>
      <c r="N77" s="349">
        <f>+M77</f>
        <v>895775.35400000005</v>
      </c>
      <c r="O77" s="348">
        <v>896224.05299999996</v>
      </c>
      <c r="P77" s="348">
        <v>900285.89500000002</v>
      </c>
      <c r="Q77" s="348">
        <v>900524.875</v>
      </c>
      <c r="R77" s="348">
        <v>901069.39599999995</v>
      </c>
      <c r="S77" s="349">
        <f>+R77</f>
        <v>901069.39599999995</v>
      </c>
      <c r="T77" s="445">
        <v>900520</v>
      </c>
      <c r="U77" s="445">
        <v>901070</v>
      </c>
      <c r="V77" s="445">
        <v>901560</v>
      </c>
      <c r="W77" s="445">
        <v>902840</v>
      </c>
      <c r="X77" s="349">
        <f>W77</f>
        <v>902840</v>
      </c>
      <c r="Y77" s="445">
        <v>904920</v>
      </c>
      <c r="Z77" s="445">
        <v>906930</v>
      </c>
      <c r="AA77" s="445">
        <v>910550</v>
      </c>
      <c r="AB77" s="445">
        <v>912030</v>
      </c>
      <c r="AC77" s="349">
        <f>AB77</f>
        <v>912030</v>
      </c>
      <c r="AD77" s="444">
        <v>911120</v>
      </c>
      <c r="AE77" s="444">
        <v>893130</v>
      </c>
      <c r="AF77" s="444">
        <v>893130</v>
      </c>
    </row>
    <row r="78" spans="1:33" x14ac:dyDescent="0.2">
      <c r="E78" s="346"/>
      <c r="F78" s="346"/>
      <c r="G78" s="346"/>
      <c r="H78" s="346"/>
      <c r="J78" s="346"/>
      <c r="K78" s="346"/>
      <c r="L78" s="346"/>
      <c r="M78" s="346"/>
      <c r="O78" s="346"/>
      <c r="P78" s="346"/>
      <c r="Q78" s="346"/>
      <c r="R78" s="346"/>
      <c r="T78" s="345"/>
      <c r="U78" s="345"/>
      <c r="V78" s="345"/>
      <c r="W78" s="345"/>
      <c r="Y78" s="345"/>
      <c r="Z78" s="345"/>
      <c r="AA78" s="345"/>
      <c r="AB78" s="345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6E31F-82F4-4DC4-8AE5-87D0B5090D8F}">
  <dimension ref="A1:AF22"/>
  <sheetViews>
    <sheetView showGridLines="0" zoomScale="80" zoomScaleNormal="80" workbookViewId="0"/>
  </sheetViews>
  <sheetFormatPr defaultRowHeight="12.75" outlineLevelCol="1" x14ac:dyDescent="0.2"/>
  <cols>
    <col min="1" max="1" width="2.7109375" style="2" customWidth="1"/>
    <col min="2" max="2" width="51.28515625" style="2" customWidth="1"/>
    <col min="3" max="4" width="2.7109375" style="2" customWidth="1"/>
    <col min="5" max="8" width="15.28515625" style="2" hidden="1" customWidth="1" outlineLevel="1"/>
    <col min="9" max="9" width="16.42578125" style="2" bestFit="1" customWidth="1" collapsed="1"/>
    <col min="10" max="13" width="15.28515625" style="2" hidden="1" customWidth="1" outlineLevel="1"/>
    <col min="14" max="14" width="16.42578125" style="2" bestFit="1" customWidth="1" collapsed="1"/>
    <col min="15" max="18" width="15.28515625" style="2" hidden="1" customWidth="1" outlineLevel="1"/>
    <col min="19" max="19" width="16.42578125" style="2" bestFit="1" customWidth="1" collapsed="1"/>
    <col min="20" max="23" width="15.28515625" style="2" hidden="1" customWidth="1" outlineLevel="1"/>
    <col min="24" max="24" width="16.42578125" style="2" bestFit="1" customWidth="1" collapsed="1"/>
    <col min="25" max="28" width="15.28515625" style="2" hidden="1" customWidth="1" outlineLevel="1"/>
    <col min="29" max="29" width="16.42578125" style="2" bestFit="1" customWidth="1" collapsed="1"/>
    <col min="30" max="32" width="16.42578125" style="2" bestFit="1" customWidth="1"/>
    <col min="33" max="16384" width="9.140625" style="2"/>
  </cols>
  <sheetData>
    <row r="1" spans="1:32" s="32" customFormat="1" x14ac:dyDescent="0.2">
      <c r="E1" s="24">
        <v>2023</v>
      </c>
      <c r="F1" s="24">
        <f>E1</f>
        <v>2023</v>
      </c>
      <c r="G1" s="24">
        <f t="shared" ref="G1:I1" si="0">F1</f>
        <v>2023</v>
      </c>
      <c r="H1" s="24">
        <f t="shared" si="0"/>
        <v>2023</v>
      </c>
      <c r="I1" s="24">
        <f t="shared" si="0"/>
        <v>2023</v>
      </c>
      <c r="J1" s="24">
        <f>I1+1</f>
        <v>2024</v>
      </c>
      <c r="K1" s="24">
        <f>J1</f>
        <v>2024</v>
      </c>
      <c r="L1" s="24">
        <f t="shared" ref="L1:N1" si="1">K1</f>
        <v>2024</v>
      </c>
      <c r="M1" s="24">
        <f t="shared" si="1"/>
        <v>2024</v>
      </c>
      <c r="N1" s="24">
        <f t="shared" si="1"/>
        <v>2024</v>
      </c>
      <c r="O1" s="24">
        <f>N1+1</f>
        <v>2025</v>
      </c>
      <c r="P1" s="24">
        <f>O1</f>
        <v>2025</v>
      </c>
      <c r="Q1" s="24">
        <f t="shared" ref="Q1:S1" si="2">P1</f>
        <v>2025</v>
      </c>
      <c r="R1" s="24">
        <f t="shared" si="2"/>
        <v>2025</v>
      </c>
      <c r="S1" s="24">
        <f t="shared" si="2"/>
        <v>2025</v>
      </c>
      <c r="T1" s="24">
        <f>S1+1</f>
        <v>2026</v>
      </c>
      <c r="U1" s="24">
        <f>T1</f>
        <v>2026</v>
      </c>
      <c r="V1" s="24">
        <f t="shared" ref="V1:X1" si="3">U1</f>
        <v>2026</v>
      </c>
      <c r="W1" s="24">
        <f t="shared" si="3"/>
        <v>2026</v>
      </c>
      <c r="X1" s="24">
        <f t="shared" si="3"/>
        <v>2026</v>
      </c>
      <c r="Y1" s="24">
        <f>X1+1</f>
        <v>2027</v>
      </c>
      <c r="Z1" s="24">
        <f>Y1</f>
        <v>2027</v>
      </c>
      <c r="AA1" s="24">
        <f t="shared" ref="AA1:AC1" si="4">Z1</f>
        <v>2027</v>
      </c>
      <c r="AB1" s="24">
        <f t="shared" si="4"/>
        <v>2027</v>
      </c>
      <c r="AC1" s="24">
        <f t="shared" si="4"/>
        <v>2027</v>
      </c>
      <c r="AD1" s="24">
        <f>AC1+1</f>
        <v>2028</v>
      </c>
      <c r="AE1" s="24">
        <f t="shared" ref="AE1:AF1" si="5">AD1+1</f>
        <v>2029</v>
      </c>
      <c r="AF1" s="24">
        <f t="shared" si="5"/>
        <v>2030</v>
      </c>
    </row>
    <row r="2" spans="1:32" x14ac:dyDescent="0.2">
      <c r="A2" s="341" t="s">
        <v>6</v>
      </c>
      <c r="B2" s="337" t="s">
        <v>487</v>
      </c>
      <c r="C2" s="338"/>
      <c r="D2" s="338"/>
      <c r="E2" s="14" t="str">
        <f>"1Q"&amp;RIGHT(E1,2)</f>
        <v>1Q23</v>
      </c>
      <c r="F2" s="14" t="str">
        <f>"2Q"&amp;RIGHT(F1,2)</f>
        <v>2Q23</v>
      </c>
      <c r="G2" s="14" t="str">
        <f>"3Q"&amp;RIGHT(G1,2)</f>
        <v>3Q23</v>
      </c>
      <c r="H2" s="14" t="str">
        <f>"4Q"&amp;RIGHT(H1,2)</f>
        <v>4Q23</v>
      </c>
      <c r="I2" s="339">
        <f>I1</f>
        <v>2023</v>
      </c>
      <c r="J2" s="14" t="str">
        <f>"1Q"&amp;RIGHT(J1,2)</f>
        <v>1Q24</v>
      </c>
      <c r="K2" s="14" t="str">
        <f>"2Q"&amp;RIGHT(K1,2)</f>
        <v>2Q24</v>
      </c>
      <c r="L2" s="14" t="str">
        <f>"3Q"&amp;RIGHT(L1,2)</f>
        <v>3Q24</v>
      </c>
      <c r="M2" s="14" t="str">
        <f>"4Q"&amp;RIGHT(M1,2)</f>
        <v>4Q24</v>
      </c>
      <c r="N2" s="339">
        <f>N1</f>
        <v>2024</v>
      </c>
      <c r="O2" s="14" t="str">
        <f>"1Q"&amp;RIGHT(O1,2)</f>
        <v>1Q25</v>
      </c>
      <c r="P2" s="14" t="str">
        <f>"2Q"&amp;RIGHT(P1,2)</f>
        <v>2Q25</v>
      </c>
      <c r="Q2" s="14" t="str">
        <f>"3Q"&amp;RIGHT(Q1,2)</f>
        <v>3Q25</v>
      </c>
      <c r="R2" s="14" t="str">
        <f>"4Q"&amp;RIGHT(R1,2)</f>
        <v>4Q25</v>
      </c>
      <c r="S2" s="339">
        <f>S1</f>
        <v>2025</v>
      </c>
      <c r="T2" s="14" t="str">
        <f>"1Q"&amp;RIGHT(T1,2)&amp;"e"</f>
        <v>1Q26e</v>
      </c>
      <c r="U2" s="14" t="str">
        <f>"2Q"&amp;RIGHT(U1,2)&amp;"e"</f>
        <v>2Q26e</v>
      </c>
      <c r="V2" s="14" t="str">
        <f>"3Q"&amp;RIGHT(V1,2)&amp;"e"</f>
        <v>3Q26e</v>
      </c>
      <c r="W2" s="14" t="str">
        <f>"4Q"&amp;RIGHT(W1,2)&amp;"e"</f>
        <v>4Q26e</v>
      </c>
      <c r="X2" s="339" t="str">
        <f>X1&amp;"e"</f>
        <v>2026e</v>
      </c>
      <c r="Y2" s="14" t="str">
        <f>"1Q"&amp;RIGHT(Y1,2)&amp;"e"</f>
        <v>1Q27e</v>
      </c>
      <c r="Z2" s="14" t="str">
        <f>"2Q"&amp;RIGHT(Z1,2)&amp;"e"</f>
        <v>2Q27e</v>
      </c>
      <c r="AA2" s="14" t="str">
        <f>"3Q"&amp;RIGHT(AA1,2)&amp;"e"</f>
        <v>3Q27e</v>
      </c>
      <c r="AB2" s="14" t="str">
        <f>"4Q"&amp;RIGHT(AB1,2)&amp;"e"</f>
        <v>4Q27e</v>
      </c>
      <c r="AC2" s="339" t="str">
        <f>AC1&amp;"e"</f>
        <v>2027e</v>
      </c>
      <c r="AD2" s="339" t="str">
        <f>AD1&amp;"e"</f>
        <v>2028e</v>
      </c>
      <c r="AE2" s="339" t="str">
        <f>AE1&amp;"e"</f>
        <v>2029e</v>
      </c>
      <c r="AF2" s="339" t="str">
        <f>AF1&amp;"e"</f>
        <v>2030e</v>
      </c>
    </row>
    <row r="3" spans="1:32" x14ac:dyDescent="0.2">
      <c r="B3" s="22" t="s">
        <v>41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340"/>
    </row>
    <row r="4" spans="1:32" x14ac:dyDescent="0.2">
      <c r="E4" s="346"/>
      <c r="F4" s="346"/>
      <c r="G4" s="346"/>
      <c r="H4" s="346"/>
      <c r="J4" s="346"/>
      <c r="K4" s="346"/>
      <c r="L4" s="346"/>
      <c r="M4" s="346"/>
      <c r="O4" s="346"/>
      <c r="P4" s="346"/>
      <c r="Q4" s="346"/>
      <c r="R4" s="346"/>
      <c r="T4" s="345"/>
      <c r="U4" s="345"/>
      <c r="V4" s="345"/>
      <c r="W4" s="345"/>
      <c r="Y4" s="345"/>
      <c r="Z4" s="345"/>
      <c r="AA4" s="345"/>
      <c r="AB4" s="345"/>
    </row>
    <row r="5" spans="1:32" x14ac:dyDescent="0.2">
      <c r="B5" s="88" t="s">
        <v>518</v>
      </c>
      <c r="E5" s="350"/>
      <c r="F5" s="350"/>
      <c r="G5" s="350"/>
      <c r="H5" s="350"/>
      <c r="I5" s="351"/>
      <c r="J5" s="350"/>
      <c r="K5" s="350"/>
      <c r="L5" s="350"/>
      <c r="M5" s="350"/>
      <c r="N5" s="351"/>
      <c r="O5" s="350"/>
      <c r="P5" s="350"/>
      <c r="Q5" s="350"/>
      <c r="R5" s="350"/>
      <c r="S5" s="351"/>
      <c r="T5" s="352"/>
      <c r="U5" s="352"/>
      <c r="V5" s="352"/>
      <c r="W5" s="352"/>
      <c r="X5" s="351"/>
      <c r="Y5" s="352"/>
      <c r="Z5" s="352"/>
      <c r="AA5" s="352"/>
      <c r="AB5" s="352"/>
      <c r="AC5" s="351"/>
      <c r="AD5" s="351"/>
      <c r="AE5" s="351"/>
      <c r="AF5" s="351"/>
    </row>
    <row r="6" spans="1:32" x14ac:dyDescent="0.2">
      <c r="B6" s="88" t="s">
        <v>498</v>
      </c>
      <c r="E6" s="350">
        <f>+SUM(E7:E11)</f>
        <v>548578</v>
      </c>
      <c r="F6" s="350">
        <f t="shared" ref="F6:H6" si="6">+SUM(F7:F11)</f>
        <v>602309</v>
      </c>
      <c r="G6" s="350">
        <f t="shared" si="6"/>
        <v>557525</v>
      </c>
      <c r="H6" s="350">
        <f t="shared" si="6"/>
        <v>675374</v>
      </c>
      <c r="I6" s="351">
        <f t="shared" ref="I6" si="7">+SUM(I7:I11)</f>
        <v>2383786</v>
      </c>
      <c r="J6" s="350">
        <f>+SUM(J7:J11)</f>
        <v>668741</v>
      </c>
      <c r="K6" s="350">
        <f t="shared" ref="K6" si="8">+SUM(K7:K11)</f>
        <v>755397</v>
      </c>
      <c r="L6" s="350">
        <f t="shared" ref="L6" si="9">+SUM(L7:L11)</f>
        <v>1000673</v>
      </c>
      <c r="M6" s="350">
        <f t="shared" ref="M6:N6" si="10">+SUM(M7:M11)</f>
        <v>842985</v>
      </c>
      <c r="N6" s="351">
        <f t="shared" si="10"/>
        <v>3267796</v>
      </c>
      <c r="O6" s="350">
        <f>+SUM(O7:O11)</f>
        <v>822603</v>
      </c>
      <c r="P6" s="350">
        <f t="shared" ref="P6" si="11">+SUM(P7:P11)</f>
        <v>886754</v>
      </c>
      <c r="Q6" s="350">
        <f t="shared" ref="Q6" si="12">+SUM(Q7:Q11)</f>
        <v>1032936</v>
      </c>
      <c r="R6" s="350">
        <f t="shared" ref="R6:S6" si="13">+SUM(R7:R11)</f>
        <v>972020</v>
      </c>
      <c r="S6" s="351">
        <f t="shared" si="13"/>
        <v>3714313</v>
      </c>
      <c r="T6" s="352">
        <f>+SUM(T7:T11)</f>
        <v>1034171.4549999998</v>
      </c>
      <c r="U6" s="352">
        <f t="shared" ref="U6:W6" si="14">+SUM(U7:U11)</f>
        <v>1114538.81463625</v>
      </c>
      <c r="V6" s="352">
        <f t="shared" si="14"/>
        <v>1174421.8666579183</v>
      </c>
      <c r="W6" s="352">
        <f t="shared" si="14"/>
        <v>1180505.5202947522</v>
      </c>
      <c r="X6" s="351">
        <f>SUM(T6:W6)</f>
        <v>4503637.6565889204</v>
      </c>
      <c r="Y6" s="352">
        <f>+SUM(Y7:Y11)</f>
        <v>1232755.9386615204</v>
      </c>
      <c r="Z6" s="352">
        <f t="shared" ref="Z6" si="15">+SUM(Z7:Z11)</f>
        <v>1336605.3130900976</v>
      </c>
      <c r="AA6" s="352">
        <f t="shared" ref="AA6" si="16">+SUM(AA7:AA11)</f>
        <v>1398143.110013261</v>
      </c>
      <c r="AB6" s="352">
        <f t="shared" ref="AB6" si="17">+SUM(AB7:AB11)</f>
        <v>1390318.4789712955</v>
      </c>
      <c r="AC6" s="351">
        <f>SUM(Y6:AB6)</f>
        <v>5357822.840736175</v>
      </c>
      <c r="AD6" s="351">
        <f>+SUM(AD7:AD11)</f>
        <v>5922057.9653619248</v>
      </c>
      <c r="AE6" s="351">
        <f t="shared" ref="AE6:AF6" si="18">+SUM(AE7:AE11)</f>
        <v>6585176.2010672279</v>
      </c>
      <c r="AF6" s="351">
        <f t="shared" si="18"/>
        <v>7117956.6091279425</v>
      </c>
    </row>
    <row r="7" spans="1:32" x14ac:dyDescent="0.2">
      <c r="B7" s="328" t="s">
        <v>493</v>
      </c>
      <c r="E7" s="348">
        <v>738156</v>
      </c>
      <c r="F7" s="348">
        <v>748888</v>
      </c>
      <c r="G7" s="348">
        <v>758700</v>
      </c>
      <c r="H7" s="348">
        <f>3030325-SUM(E7:G7)</f>
        <v>784581</v>
      </c>
      <c r="I7" s="349">
        <f>+SUM(E7:H7)</f>
        <v>3030325</v>
      </c>
      <c r="J7" s="348">
        <v>815327</v>
      </c>
      <c r="K7" s="348">
        <v>847307</v>
      </c>
      <c r="L7" s="348">
        <v>892629</v>
      </c>
      <c r="M7" s="348">
        <f>3461381-SUM(J7:L7)</f>
        <v>906118</v>
      </c>
      <c r="N7" s="349">
        <f>+SUM(J7:M7)</f>
        <v>3461381</v>
      </c>
      <c r="O7" s="348">
        <v>917334</v>
      </c>
      <c r="P7" s="348">
        <v>995763</v>
      </c>
      <c r="Q7" s="348">
        <v>1063553</v>
      </c>
      <c r="R7" s="348">
        <f>4100841-SUM(O7:Q7)</f>
        <v>1124191</v>
      </c>
      <c r="S7" s="349">
        <f>+SUM(O7:R7)</f>
        <v>4100841</v>
      </c>
      <c r="T7" s="388">
        <f>'Revenue Build'!R9</f>
        <v>1143864.3425</v>
      </c>
      <c r="U7" s="388">
        <f>'Revenue Build'!S9</f>
        <v>1185043.4588300001</v>
      </c>
      <c r="V7" s="388">
        <f>'Revenue Build'!T9</f>
        <v>1241925.5448538403</v>
      </c>
      <c r="W7" s="388">
        <f>'Revenue Build'!U9</f>
        <v>1291602.5666479939</v>
      </c>
      <c r="X7" s="349">
        <f>+SUM(T7:W7)</f>
        <v>4862435.9128318336</v>
      </c>
      <c r="Y7" s="388">
        <f>'Revenue Build'!W9</f>
        <v>1346495.6757305337</v>
      </c>
      <c r="Z7" s="388">
        <f>'Revenue Build'!X9</f>
        <v>1397662.5114082941</v>
      </c>
      <c r="AA7" s="388">
        <f>'Revenue Build'!Y9</f>
        <v>1453569.0118646258</v>
      </c>
      <c r="AB7" s="388">
        <f>'Revenue Build'!Z9</f>
        <v>1504443.9272798877</v>
      </c>
      <c r="AC7" s="349">
        <f>+SUM(Y7:AB7)</f>
        <v>5702171.1262833411</v>
      </c>
      <c r="AD7" s="386">
        <f>'Revenue Build'!AB9</f>
        <v>6295196.9234168092</v>
      </c>
      <c r="AE7" s="386">
        <f>'Revenue Build'!AC9</f>
        <v>7230033.6665442055</v>
      </c>
      <c r="AF7" s="386">
        <f>'Revenue Build'!AD9</f>
        <v>8014492.3193642525</v>
      </c>
    </row>
    <row r="8" spans="1:32" x14ac:dyDescent="0.2">
      <c r="B8" s="328" t="s">
        <v>494</v>
      </c>
      <c r="E8" s="348">
        <v>142179</v>
      </c>
      <c r="F8" s="348">
        <v>190228</v>
      </c>
      <c r="G8" s="348">
        <v>124014</v>
      </c>
      <c r="H8" s="348">
        <f>720654-SUM(E8:G8)</f>
        <v>264233</v>
      </c>
      <c r="I8" s="349">
        <f>+SUM(E8:H8)</f>
        <v>720654</v>
      </c>
      <c r="J8" s="348">
        <v>152084</v>
      </c>
      <c r="K8" s="348">
        <v>222858</v>
      </c>
      <c r="L8" s="348">
        <v>467145</v>
      </c>
      <c r="M8" s="348">
        <f>1165884-SUM(J8:L8)</f>
        <v>323797</v>
      </c>
      <c r="N8" s="349">
        <f>+SUM(J8:M8)</f>
        <v>1165884</v>
      </c>
      <c r="O8" s="348">
        <v>261509</v>
      </c>
      <c r="P8" s="348">
        <v>234249</v>
      </c>
      <c r="Q8" s="348">
        <v>328124</v>
      </c>
      <c r="R8" s="348">
        <f>1092577-SUM(O8:Q8)</f>
        <v>268695</v>
      </c>
      <c r="S8" s="349">
        <f>+SUM(O8:R8)</f>
        <v>1092577</v>
      </c>
      <c r="T8" s="388">
        <f>'Revenue Build'!R11</f>
        <v>297579.71249999997</v>
      </c>
      <c r="U8" s="388">
        <f>'Revenue Build'!S11</f>
        <v>331057.43015624996</v>
      </c>
      <c r="V8" s="388">
        <f>'Revenue Build'!T11</f>
        <v>335195.64803320309</v>
      </c>
      <c r="W8" s="388">
        <f>'Revenue Build'!U11</f>
        <v>355307.38691519527</v>
      </c>
      <c r="X8" s="349">
        <f>+SUM(T8:W8)</f>
        <v>1319140.1776046483</v>
      </c>
      <c r="Y8" s="388">
        <f>'Revenue Build'!W11</f>
        <v>353530.84998061927</v>
      </c>
      <c r="Z8" s="388">
        <f>'Revenue Build'!X11</f>
        <v>396838.37910324516</v>
      </c>
      <c r="AA8" s="388">
        <f>'Revenue Build'!Y11</f>
        <v>400806.76289427764</v>
      </c>
      <c r="AB8" s="388">
        <f>'Revenue Build'!Z11</f>
        <v>418843.06722452008</v>
      </c>
      <c r="AC8" s="349">
        <f>+SUM(Y8:AB8)</f>
        <v>1570019.0592026622</v>
      </c>
      <c r="AD8" s="386">
        <f>'Revenue Build'!AB11</f>
        <v>1703470.6792348884</v>
      </c>
      <c r="AE8" s="386">
        <f>'Revenue Build'!AC11</f>
        <v>1682177.2957444524</v>
      </c>
      <c r="AF8" s="386">
        <f>'Revenue Build'!AD11</f>
        <v>1593862.9877178688</v>
      </c>
    </row>
    <row r="9" spans="1:32" x14ac:dyDescent="0.2">
      <c r="B9" s="328" t="s">
        <v>495</v>
      </c>
      <c r="E9" s="348">
        <v>21741</v>
      </c>
      <c r="F9" s="348">
        <v>28352</v>
      </c>
      <c r="G9" s="348">
        <v>20436</v>
      </c>
      <c r="H9" s="348">
        <f>94427-SUM(E9:G9)</f>
        <v>23898</v>
      </c>
      <c r="I9" s="349">
        <f t="shared" ref="I9:I11" si="19">+SUM(E9:H9)</f>
        <v>94427</v>
      </c>
      <c r="J9" s="348">
        <v>19101</v>
      </c>
      <c r="K9" s="348">
        <v>37145</v>
      </c>
      <c r="L9" s="348">
        <v>56655</v>
      </c>
      <c r="M9" s="348">
        <f>137992-SUM(J9:L9)</f>
        <v>25091</v>
      </c>
      <c r="N9" s="349">
        <f t="shared" ref="N9:N11" si="20">+SUM(J9:M9)</f>
        <v>137992</v>
      </c>
      <c r="O9" s="348">
        <v>21277</v>
      </c>
      <c r="P9" s="348">
        <v>53737</v>
      </c>
      <c r="Q9" s="348">
        <v>73177</v>
      </c>
      <c r="R9" s="348">
        <f>181784-SUM(O9:Q9)</f>
        <v>33593</v>
      </c>
      <c r="S9" s="349">
        <f t="shared" ref="S9:S11" si="21">+SUM(O9:R9)</f>
        <v>181784</v>
      </c>
      <c r="T9" s="388">
        <f>+'Revenue Build'!R13</f>
        <v>38296.020000000004</v>
      </c>
      <c r="U9" s="388">
        <f>+'Revenue Build'!S13</f>
        <v>67018.035000000003</v>
      </c>
      <c r="V9" s="388">
        <f>+'Revenue Build'!T13</f>
        <v>83772.543750000012</v>
      </c>
      <c r="W9" s="388">
        <f>+'Revenue Build'!U13</f>
        <v>47750.34993750001</v>
      </c>
      <c r="X9" s="349">
        <f t="shared" ref="X9:X11" si="22">+SUM(T9:W9)</f>
        <v>236836.94868750003</v>
      </c>
      <c r="Y9" s="388">
        <f>+'Revenue Build'!W13</f>
        <v>41542.804445625006</v>
      </c>
      <c r="Z9" s="388">
        <f>+'Revenue Build'!X13</f>
        <v>82877.894869021897</v>
      </c>
      <c r="AA9" s="388">
        <f>+'Revenue Build'!Y13</f>
        <v>104011.75806062247</v>
      </c>
      <c r="AB9" s="388">
        <f>+'Revenue Build'!Z13</f>
        <v>55126.231772129911</v>
      </c>
      <c r="AC9" s="349">
        <f t="shared" ref="AC9:AC11" si="23">+SUM(Y9:AB9)</f>
        <v>283558.68914739927</v>
      </c>
      <c r="AD9" s="386">
        <f>+'Revenue Build'!AB13</f>
        <v>351612.77454277512</v>
      </c>
      <c r="AE9" s="386">
        <f>+'Revenue Build'!AC13</f>
        <v>502806.26759616839</v>
      </c>
      <c r="AF9" s="386">
        <f>+'Revenue Build'!AD13</f>
        <v>698900.71195867413</v>
      </c>
    </row>
    <row r="10" spans="1:32" x14ac:dyDescent="0.2">
      <c r="B10" s="328" t="s">
        <v>496</v>
      </c>
      <c r="E10" s="348">
        <v>-203094</v>
      </c>
      <c r="F10" s="348">
        <v>-217684</v>
      </c>
      <c r="G10" s="348">
        <v>-203209</v>
      </c>
      <c r="H10" s="348">
        <f>+-865336-SUM(E10:G10)</f>
        <v>-241349</v>
      </c>
      <c r="I10" s="349">
        <f t="shared" si="19"/>
        <v>-865336</v>
      </c>
      <c r="J10" s="348">
        <v>-172640</v>
      </c>
      <c r="K10" s="348">
        <v>-193779</v>
      </c>
      <c r="L10" s="348">
        <v>-247875</v>
      </c>
      <c r="M10" s="348">
        <f>+-833918-SUM(J10:L10)</f>
        <v>-219624</v>
      </c>
      <c r="N10" s="349">
        <f t="shared" si="20"/>
        <v>-833918</v>
      </c>
      <c r="O10" s="348">
        <v>-210021</v>
      </c>
      <c r="P10" s="348">
        <v>-224656</v>
      </c>
      <c r="Q10" s="348">
        <v>-256350</v>
      </c>
      <c r="R10" s="348">
        <f>+-940721-SUM(O10:Q10)</f>
        <v>-249694</v>
      </c>
      <c r="S10" s="349">
        <f t="shared" si="21"/>
        <v>-940721</v>
      </c>
      <c r="T10" s="388">
        <f>+'Revenue Build'!R15</f>
        <v>-257184.82</v>
      </c>
      <c r="U10" s="388">
        <f>+'Revenue Build'!S15</f>
        <v>-274544.79534999997</v>
      </c>
      <c r="V10" s="388">
        <f>+'Revenue Build'!T15</f>
        <v>-287585.67312912497</v>
      </c>
      <c r="W10" s="388">
        <f>+'Revenue Build'!U15</f>
        <v>-291899.45822606183</v>
      </c>
      <c r="X10" s="349">
        <f t="shared" si="22"/>
        <v>-1111214.7467051868</v>
      </c>
      <c r="Y10" s="388">
        <f>+'Revenue Build'!W15</f>
        <v>-302115.93926397397</v>
      </c>
      <c r="Z10" s="388">
        <f>+'Revenue Build'!X15</f>
        <v>-324774.63470877201</v>
      </c>
      <c r="AA10" s="388">
        <f>+'Revenue Build'!Y15</f>
        <v>-337765.62009712291</v>
      </c>
      <c r="AB10" s="388">
        <f>+'Revenue Build'!Z15</f>
        <v>-341143.27629809413</v>
      </c>
      <c r="AC10" s="349">
        <f t="shared" si="23"/>
        <v>-1305799.470367963</v>
      </c>
      <c r="AD10" s="386">
        <f>+'Revenue Build'!AB15</f>
        <v>-1462495.4068121186</v>
      </c>
      <c r="AE10" s="386">
        <f>+'Revenue Build'!AC15</f>
        <v>-1652619.8096976939</v>
      </c>
      <c r="AF10" s="386">
        <f>+'Revenue Build'!AD15</f>
        <v>-1801355.5925704865</v>
      </c>
    </row>
    <row r="11" spans="1:32" x14ac:dyDescent="0.2">
      <c r="B11" s="328" t="s">
        <v>497</v>
      </c>
      <c r="E11" s="348">
        <v>-150404</v>
      </c>
      <c r="F11" s="348">
        <v>-147475</v>
      </c>
      <c r="G11" s="348">
        <v>-142416</v>
      </c>
      <c r="H11" s="348">
        <f>+-596284-SUM(E11:G11)</f>
        <v>-155989</v>
      </c>
      <c r="I11" s="349">
        <f t="shared" si="19"/>
        <v>-596284</v>
      </c>
      <c r="J11" s="348">
        <v>-145131</v>
      </c>
      <c r="K11" s="348">
        <v>-158134</v>
      </c>
      <c r="L11" s="348">
        <v>-167881</v>
      </c>
      <c r="M11" s="348">
        <f>+-663543-SUM(J11:L11)</f>
        <v>-192397</v>
      </c>
      <c r="N11" s="349">
        <f t="shared" si="20"/>
        <v>-663543</v>
      </c>
      <c r="O11" s="348">
        <v>-167496</v>
      </c>
      <c r="P11" s="348">
        <v>-172339</v>
      </c>
      <c r="Q11" s="348">
        <v>-175568</v>
      </c>
      <c r="R11" s="348">
        <f>+-720168-SUM(O11:Q11)</f>
        <v>-204765</v>
      </c>
      <c r="S11" s="349">
        <f t="shared" si="21"/>
        <v>-720168</v>
      </c>
      <c r="T11" s="388">
        <f>+'Revenue Build'!R17</f>
        <v>-188383.80000000002</v>
      </c>
      <c r="U11" s="388">
        <f>+'Revenue Build'!S17</f>
        <v>-194035.31400000001</v>
      </c>
      <c r="V11" s="388">
        <f>+'Revenue Build'!T17</f>
        <v>-198886.19685000001</v>
      </c>
      <c r="W11" s="388">
        <f>+'Revenue Build'!U17</f>
        <v>-222255.324979875</v>
      </c>
      <c r="X11" s="349">
        <f t="shared" si="22"/>
        <v>-803560.63582987501</v>
      </c>
      <c r="Y11" s="388">
        <f>+'Revenue Build'!W17</f>
        <v>-206697.45223128374</v>
      </c>
      <c r="Z11" s="388">
        <f>+'Revenue Build'!X17</f>
        <v>-215998.83758169148</v>
      </c>
      <c r="AA11" s="388">
        <f>+'Revenue Build'!Y17</f>
        <v>-222478.80270914224</v>
      </c>
      <c r="AB11" s="388">
        <f>+'Revenue Build'!Z17</f>
        <v>-246951.47100714792</v>
      </c>
      <c r="AC11" s="349">
        <f t="shared" si="23"/>
        <v>-892126.56352926535</v>
      </c>
      <c r="AD11" s="386">
        <f>+'Revenue Build'!AB17</f>
        <v>-965727.00502042973</v>
      </c>
      <c r="AE11" s="386">
        <f>+'Revenue Build'!AC17</f>
        <v>-1177221.2191199039</v>
      </c>
      <c r="AF11" s="386">
        <f>+'Revenue Build'!AD17</f>
        <v>-1387943.8173423668</v>
      </c>
    </row>
    <row r="12" spans="1:32" x14ac:dyDescent="0.2">
      <c r="E12" s="346"/>
      <c r="F12" s="346"/>
      <c r="G12" s="346"/>
      <c r="H12" s="346"/>
      <c r="J12" s="346"/>
      <c r="K12" s="346"/>
      <c r="L12" s="346"/>
      <c r="M12" s="346"/>
      <c r="O12" s="346"/>
      <c r="P12" s="346"/>
      <c r="Q12" s="346"/>
      <c r="R12" s="346"/>
      <c r="T12" s="345"/>
      <c r="U12" s="345"/>
      <c r="V12" s="345"/>
      <c r="W12" s="345"/>
      <c r="Y12" s="345"/>
      <c r="Z12" s="345"/>
      <c r="AA12" s="345"/>
      <c r="AB12" s="345"/>
    </row>
    <row r="13" spans="1:32" x14ac:dyDescent="0.2">
      <c r="B13" s="2" t="s">
        <v>1</v>
      </c>
      <c r="E13" s="346"/>
      <c r="F13" s="346"/>
      <c r="G13" s="346"/>
      <c r="H13" s="346"/>
      <c r="J13" s="346"/>
      <c r="K13" s="346"/>
      <c r="L13" s="346"/>
      <c r="M13" s="346"/>
      <c r="O13" s="346"/>
      <c r="P13" s="346"/>
      <c r="Q13" s="346"/>
      <c r="R13" s="346"/>
      <c r="T13" s="345"/>
      <c r="U13" s="345"/>
      <c r="V13" s="345"/>
      <c r="W13" s="345"/>
      <c r="Y13" s="345"/>
      <c r="Z13" s="345"/>
      <c r="AA13" s="345"/>
      <c r="AB13" s="345"/>
    </row>
    <row r="14" spans="1:32" ht="5.0999999999999996" customHeight="1" x14ac:dyDescent="0.2">
      <c r="E14" s="346"/>
      <c r="F14" s="346"/>
      <c r="G14" s="346"/>
      <c r="H14" s="346"/>
      <c r="J14" s="346"/>
      <c r="K14" s="346"/>
      <c r="L14" s="346"/>
      <c r="M14" s="346"/>
      <c r="O14" s="346"/>
      <c r="P14" s="346"/>
      <c r="Q14" s="346"/>
      <c r="R14" s="346"/>
      <c r="T14" s="345"/>
      <c r="U14" s="345"/>
      <c r="V14" s="345"/>
      <c r="W14" s="345"/>
      <c r="Y14" s="345"/>
      <c r="Z14" s="345"/>
      <c r="AA14" s="345"/>
      <c r="AB14" s="345"/>
    </row>
    <row r="15" spans="1:32" x14ac:dyDescent="0.2">
      <c r="B15" s="365" t="str">
        <f>+B5</f>
        <v xml:space="preserve">Asset Management </v>
      </c>
      <c r="E15" s="346"/>
      <c r="F15" s="346"/>
      <c r="G15" s="346"/>
      <c r="H15" s="346"/>
      <c r="J15" s="346"/>
      <c r="K15" s="346"/>
      <c r="L15" s="346"/>
      <c r="M15" s="346"/>
      <c r="O15" s="346"/>
      <c r="P15" s="346"/>
      <c r="Q15" s="346"/>
      <c r="R15" s="346"/>
      <c r="T15" s="345"/>
      <c r="U15" s="345"/>
      <c r="V15" s="345"/>
      <c r="W15" s="345"/>
      <c r="Y15" s="345"/>
      <c r="Z15" s="345"/>
      <c r="AA15" s="345"/>
      <c r="AB15" s="345"/>
    </row>
    <row r="16" spans="1:32" x14ac:dyDescent="0.2">
      <c r="B16" s="344" t="str" cm="1">
        <f t="array" ref="B16:B20">+B7:B11</f>
        <v>Management Fees</v>
      </c>
      <c r="E16" s="358">
        <f>+E7/SUM(E$7:E$9)</f>
        <v>0.8182858207069027</v>
      </c>
      <c r="F16" s="358">
        <f t="shared" ref="F16:H16" si="24">+F7/SUM(F$7:F$9)</f>
        <v>0.77407004676123659</v>
      </c>
      <c r="G16" s="358">
        <f t="shared" si="24"/>
        <v>0.84005979073243642</v>
      </c>
      <c r="H16" s="358">
        <f t="shared" si="24"/>
        <v>0.73139948094176255</v>
      </c>
      <c r="I16" s="62">
        <f t="shared" ref="I16" si="25">+I7/SUM(I$7:I$9)</f>
        <v>0.78803772605545419</v>
      </c>
      <c r="J16" s="358">
        <f>+J7/SUM(J$7:J$9)</f>
        <v>0.82647448789269673</v>
      </c>
      <c r="K16" s="358">
        <f t="shared" ref="K16:N18" si="26">+K7/SUM(K$7:K$9)</f>
        <v>0.76519402877243048</v>
      </c>
      <c r="L16" s="358">
        <f t="shared" si="26"/>
        <v>0.63019678360157838</v>
      </c>
      <c r="M16" s="358">
        <f t="shared" si="26"/>
        <v>0.72200292269519029</v>
      </c>
      <c r="N16" s="62">
        <f t="shared" si="26"/>
        <v>0.7263786612138653</v>
      </c>
      <c r="O16" s="358">
        <f>+O7/SUM(O$7:O$9)</f>
        <v>0.76436856314368562</v>
      </c>
      <c r="P16" s="358">
        <f t="shared" ref="P16:X18" si="27">+P7/SUM(P$7:P$9)</f>
        <v>0.77566798494098144</v>
      </c>
      <c r="Q16" s="358">
        <f t="shared" si="27"/>
        <v>0.72604710093975233</v>
      </c>
      <c r="R16" s="358">
        <f t="shared" si="27"/>
        <v>0.78808801251192617</v>
      </c>
      <c r="S16" s="62">
        <f t="shared" si="27"/>
        <v>0.76291849124925915</v>
      </c>
      <c r="T16" s="369">
        <f>+T7/SUM(T$7:T$9)</f>
        <v>0.77301707362355521</v>
      </c>
      <c r="U16" s="369">
        <f t="shared" ref="U16:X16" si="28">+U7/SUM(U$7:U$9)</f>
        <v>0.74854986626405373</v>
      </c>
      <c r="V16" s="369">
        <f t="shared" si="28"/>
        <v>0.74774533581448466</v>
      </c>
      <c r="W16" s="369">
        <f t="shared" si="28"/>
        <v>0.76216015916576796</v>
      </c>
      <c r="X16" s="62">
        <f t="shared" si="28"/>
        <v>0.75757603681664643</v>
      </c>
      <c r="Y16" s="369">
        <f>+Y7/SUM(Y$7:Y$9)</f>
        <v>0.77315077408334965</v>
      </c>
      <c r="Z16" s="369">
        <f t="shared" ref="Z16:AC16" si="29">+Z7/SUM(Z$7:Z$9)</f>
        <v>0.74447550078444913</v>
      </c>
      <c r="AA16" s="369">
        <f t="shared" si="29"/>
        <v>0.74222746392380068</v>
      </c>
      <c r="AB16" s="369">
        <f t="shared" si="29"/>
        <v>0.76042957421555391</v>
      </c>
      <c r="AC16" s="62">
        <f t="shared" si="29"/>
        <v>0.75467981015449037</v>
      </c>
      <c r="AD16" s="62">
        <f t="shared" ref="AD16:AF16" si="30">+AD7/SUM(AD$7:AD$9)</f>
        <v>0.75389048499613009</v>
      </c>
      <c r="AE16" s="62">
        <f t="shared" si="30"/>
        <v>0.76792569678947376</v>
      </c>
      <c r="AF16" s="62">
        <f t="shared" si="30"/>
        <v>0.7775582855959845</v>
      </c>
    </row>
    <row r="17" spans="1:32" x14ac:dyDescent="0.2">
      <c r="B17" s="344" t="str">
        <v>Transaction and Monitoring Fees</v>
      </c>
      <c r="E17" s="358">
        <f t="shared" ref="E17:H18" si="31">+E8/SUM(E$7:E$9)</f>
        <v>0.15761310576935869</v>
      </c>
      <c r="F17" s="358">
        <f t="shared" si="31"/>
        <v>0.19662459120094927</v>
      </c>
      <c r="G17" s="358">
        <f t="shared" si="31"/>
        <v>0.13731273874771632</v>
      </c>
      <c r="H17" s="358">
        <f t="shared" si="31"/>
        <v>0.24632240526814281</v>
      </c>
      <c r="I17" s="62">
        <f t="shared" ref="I17" si="32">+I8/SUM(I$7:I$9)</f>
        <v>0.18740647931583818</v>
      </c>
      <c r="J17" s="358">
        <f t="shared" ref="J17:M17" si="33">+J8/SUM(J$7:J$9)</f>
        <v>0.15416335533678252</v>
      </c>
      <c r="K17" s="358">
        <f t="shared" si="33"/>
        <v>0.20126071289882688</v>
      </c>
      <c r="L17" s="358">
        <f t="shared" si="33"/>
        <v>0.32980474136013876</v>
      </c>
      <c r="M17" s="358">
        <f t="shared" si="33"/>
        <v>0.25800434420233848</v>
      </c>
      <c r="N17" s="62">
        <f t="shared" si="26"/>
        <v>0.24466340430327263</v>
      </c>
      <c r="O17" s="358">
        <f t="shared" ref="O17:R17" si="34">+O8/SUM(O$7:O$9)</f>
        <v>0.21790237642902377</v>
      </c>
      <c r="P17" s="358">
        <f t="shared" si="34"/>
        <v>0.18247258615196585</v>
      </c>
      <c r="Q17" s="358">
        <f t="shared" si="34"/>
        <v>0.22399774994641103</v>
      </c>
      <c r="R17" s="358">
        <f t="shared" si="34"/>
        <v>0.18836239439907632</v>
      </c>
      <c r="S17" s="62">
        <f t="shared" si="27"/>
        <v>0.20326250064648732</v>
      </c>
      <c r="T17" s="369">
        <f t="shared" si="27"/>
        <v>0.20110269197108821</v>
      </c>
      <c r="U17" s="369">
        <f t="shared" si="27"/>
        <v>0.20911722116406545</v>
      </c>
      <c r="V17" s="369">
        <f t="shared" si="27"/>
        <v>0.2018164321047432</v>
      </c>
      <c r="W17" s="369">
        <f t="shared" si="27"/>
        <v>0.20966289596872639</v>
      </c>
      <c r="X17" s="62">
        <f t="shared" si="27"/>
        <v>0.20552435151239368</v>
      </c>
      <c r="Y17" s="369">
        <f t="shared" ref="Y17:AC17" si="35">+Y8/SUM(Y$7:Y$9)</f>
        <v>0.20299556489594017</v>
      </c>
      <c r="Z17" s="369">
        <f t="shared" si="35"/>
        <v>0.21137896208984941</v>
      </c>
      <c r="AA17" s="369">
        <f t="shared" si="35"/>
        <v>0.20466161889686302</v>
      </c>
      <c r="AB17" s="369">
        <f t="shared" si="35"/>
        <v>0.21170656446368463</v>
      </c>
      <c r="AC17" s="62">
        <f t="shared" si="35"/>
        <v>0.20779132356735952</v>
      </c>
      <c r="AD17" s="62">
        <f t="shared" ref="AD17:AF17" si="36">+AD8/SUM(AD$7:AD$9)</f>
        <v>0.20400161459096067</v>
      </c>
      <c r="AE17" s="62">
        <f t="shared" si="36"/>
        <v>0.17866959291427983</v>
      </c>
      <c r="AF17" s="62">
        <f t="shared" si="36"/>
        <v>0.15463504397033453</v>
      </c>
    </row>
    <row r="18" spans="1:32" x14ac:dyDescent="0.2">
      <c r="B18" s="344" t="str">
        <v>Fee-Related Performance Revenues</v>
      </c>
      <c r="E18" s="358">
        <f t="shared" si="31"/>
        <v>2.4101073523738577E-2</v>
      </c>
      <c r="F18" s="358">
        <f t="shared" si="31"/>
        <v>2.930536203781417E-2</v>
      </c>
      <c r="G18" s="358">
        <f t="shared" si="31"/>
        <v>2.26274705198472E-2</v>
      </c>
      <c r="H18" s="358">
        <f t="shared" si="31"/>
        <v>2.2278113790094638E-2</v>
      </c>
      <c r="I18" s="62">
        <f t="shared" ref="I18" si="37">+I9/SUM(I$7:I$9)</f>
        <v>2.4555794628707606E-2</v>
      </c>
      <c r="J18" s="358">
        <f t="shared" ref="J18:M18" si="38">+J9/SUM(J$7:J$9)</f>
        <v>1.9362156770520784E-2</v>
      </c>
      <c r="K18" s="358">
        <f t="shared" si="38"/>
        <v>3.3545258328742632E-2</v>
      </c>
      <c r="L18" s="358">
        <f t="shared" si="38"/>
        <v>3.9998475038282896E-2</v>
      </c>
      <c r="M18" s="358">
        <f t="shared" si="38"/>
        <v>1.9992733102471225E-2</v>
      </c>
      <c r="N18" s="62">
        <f t="shared" si="26"/>
        <v>2.8957934482862099E-2</v>
      </c>
      <c r="O18" s="358">
        <f t="shared" ref="O18:R18" si="39">+O9/SUM(O$7:O$9)</f>
        <v>1.7729060427290604E-2</v>
      </c>
      <c r="P18" s="358">
        <f t="shared" si="39"/>
        <v>4.1859428907052701E-2</v>
      </c>
      <c r="Q18" s="358">
        <f t="shared" si="39"/>
        <v>4.9955149113836604E-2</v>
      </c>
      <c r="R18" s="358">
        <f t="shared" si="39"/>
        <v>2.3549593088997456E-2</v>
      </c>
      <c r="S18" s="62">
        <f t="shared" si="27"/>
        <v>3.3819008104253569E-2</v>
      </c>
      <c r="T18" s="369">
        <f t="shared" si="27"/>
        <v>2.5880234405356632E-2</v>
      </c>
      <c r="U18" s="369">
        <f t="shared" si="27"/>
        <v>4.2332912571880849E-2</v>
      </c>
      <c r="V18" s="369">
        <f t="shared" si="27"/>
        <v>5.0438232080772132E-2</v>
      </c>
      <c r="W18" s="369">
        <f t="shared" si="27"/>
        <v>2.8176944865505663E-2</v>
      </c>
      <c r="X18" s="62">
        <f t="shared" si="27"/>
        <v>3.6899611670959828E-2</v>
      </c>
      <c r="Y18" s="369">
        <f t="shared" ref="Y18:AC18" si="40">+Y9/SUM(Y$7:Y$9)</f>
        <v>2.385366102071014E-2</v>
      </c>
      <c r="Z18" s="369">
        <f t="shared" si="40"/>
        <v>4.4145537125701469E-2</v>
      </c>
      <c r="AA18" s="369">
        <f t="shared" si="40"/>
        <v>5.3110917179336234E-2</v>
      </c>
      <c r="AB18" s="369">
        <f t="shared" si="40"/>
        <v>2.7863861320761563E-2</v>
      </c>
      <c r="AC18" s="62">
        <f t="shared" si="40"/>
        <v>3.752886627814999E-2</v>
      </c>
      <c r="AD18" s="62">
        <f t="shared" ref="AD18:AF18" si="41">+AD9/SUM(AD$7:AD$9)</f>
        <v>4.2107900412909245E-2</v>
      </c>
      <c r="AE18" s="62">
        <f t="shared" si="41"/>
        <v>5.3404710296246501E-2</v>
      </c>
      <c r="AF18" s="62">
        <f t="shared" si="41"/>
        <v>6.7806670433681007E-2</v>
      </c>
    </row>
    <row r="19" spans="1:32" x14ac:dyDescent="0.2">
      <c r="B19" s="344" t="str">
        <v>Fee-Related Compensation</v>
      </c>
      <c r="E19" s="358">
        <f>+E10/SUM(E$10:E$11)</f>
        <v>0.57452658855212757</v>
      </c>
      <c r="F19" s="358">
        <f t="shared" ref="F19:H19" si="42">+F10/SUM(F$10:F$11)</f>
        <v>0.59613483441459747</v>
      </c>
      <c r="G19" s="358">
        <f t="shared" si="42"/>
        <v>0.58794647377938514</v>
      </c>
      <c r="H19" s="358">
        <f t="shared" si="42"/>
        <v>0.6074148457987909</v>
      </c>
      <c r="I19" s="62">
        <f t="shared" ref="I19" si="43">+I10/SUM(I$10:I$11)</f>
        <v>0.59203897045743759</v>
      </c>
      <c r="J19" s="358">
        <f>+J10/SUM(J$10:J$11)</f>
        <v>0.5432843148053158</v>
      </c>
      <c r="K19" s="358">
        <f t="shared" ref="K19:N20" si="44">+K10/SUM(K$10:K$11)</f>
        <v>0.55064461955085486</v>
      </c>
      <c r="L19" s="358">
        <f t="shared" si="44"/>
        <v>0.59620306141101997</v>
      </c>
      <c r="M19" s="358">
        <f t="shared" si="44"/>
        <v>0.5330407916101364</v>
      </c>
      <c r="N19" s="62">
        <f t="shared" si="44"/>
        <v>0.55688795901863219</v>
      </c>
      <c r="O19" s="358">
        <f>+O10/SUM(O$10:O$11)</f>
        <v>0.55632196695777936</v>
      </c>
      <c r="P19" s="358">
        <f t="shared" ref="P19:S20" si="45">+P10/SUM(P$10:P$11)</f>
        <v>0.56589125807629814</v>
      </c>
      <c r="Q19" s="358">
        <f t="shared" si="45"/>
        <v>0.59351543580031396</v>
      </c>
      <c r="R19" s="358">
        <f t="shared" si="45"/>
        <v>0.54943130183360878</v>
      </c>
      <c r="S19" s="62">
        <f t="shared" si="45"/>
        <v>0.56639606861144842</v>
      </c>
      <c r="T19" s="369">
        <f>+T10/SUM(T$10:T$11)</f>
        <v>0.57720586337520807</v>
      </c>
      <c r="U19" s="369">
        <f t="shared" ref="U19:X19" si="46">+U10/SUM(U$10:U$11)</f>
        <v>0.58590791600360526</v>
      </c>
      <c r="V19" s="369">
        <f t="shared" si="46"/>
        <v>0.59116608970928897</v>
      </c>
      <c r="W19" s="369">
        <f t="shared" si="46"/>
        <v>0.56772681643836032</v>
      </c>
      <c r="X19" s="62">
        <f t="shared" si="46"/>
        <v>0.58033686710239452</v>
      </c>
      <c r="Y19" s="369">
        <f>+Y10/SUM(Y$10:Y$11)</f>
        <v>0.59376569939745727</v>
      </c>
      <c r="Z19" s="369">
        <f t="shared" ref="Z19:AC19" si="47">+Z10/SUM(Z$10:Z$11)</f>
        <v>0.60057427250116124</v>
      </c>
      <c r="AA19" s="369">
        <f t="shared" si="47"/>
        <v>0.60288975016521251</v>
      </c>
      <c r="AB19" s="369">
        <f t="shared" si="47"/>
        <v>0.5800821684962757</v>
      </c>
      <c r="AC19" s="62">
        <f t="shared" si="47"/>
        <v>0.59410528390375306</v>
      </c>
      <c r="AD19" s="62">
        <f t="shared" ref="AD19:AF19" si="48">+AD10/SUM(AD$10:AD$11)</f>
        <v>0.60229054788617664</v>
      </c>
      <c r="AE19" s="62">
        <f t="shared" si="48"/>
        <v>0.5839974022810086</v>
      </c>
      <c r="AF19" s="62">
        <f t="shared" si="48"/>
        <v>0.56481231801930687</v>
      </c>
    </row>
    <row r="20" spans="1:32" x14ac:dyDescent="0.2">
      <c r="B20" s="344" t="str">
        <v>Other Operating Expenses</v>
      </c>
      <c r="E20" s="358">
        <f>+E11/SUM(E$10:E$11)</f>
        <v>0.42547341144787243</v>
      </c>
      <c r="F20" s="358">
        <f t="shared" ref="F20:H20" si="49">+F11/SUM(F$10:F$11)</f>
        <v>0.40386516558540253</v>
      </c>
      <c r="G20" s="358">
        <f t="shared" si="49"/>
        <v>0.41205352622061481</v>
      </c>
      <c r="H20" s="358">
        <f t="shared" si="49"/>
        <v>0.39258515420120904</v>
      </c>
      <c r="I20" s="62">
        <f t="shared" ref="I20" si="50">+I11/SUM(I$10:I$11)</f>
        <v>0.40796102954256236</v>
      </c>
      <c r="J20" s="358">
        <f>+J11/SUM(J$10:J$11)</f>
        <v>0.4567156851946842</v>
      </c>
      <c r="K20" s="358">
        <f t="shared" ref="K20:M20" si="51">+K11/SUM(K$10:K$11)</f>
        <v>0.44935538044914508</v>
      </c>
      <c r="L20" s="358">
        <f t="shared" si="51"/>
        <v>0.40379693858898008</v>
      </c>
      <c r="M20" s="358">
        <f t="shared" si="51"/>
        <v>0.4669592083898636</v>
      </c>
      <c r="N20" s="62">
        <f t="shared" si="44"/>
        <v>0.44311204098136781</v>
      </c>
      <c r="O20" s="358">
        <f>+O11/SUM(O$10:O$11)</f>
        <v>0.44367803304222059</v>
      </c>
      <c r="P20" s="358">
        <f t="shared" ref="P20:R20" si="52">+P11/SUM(P$10:P$11)</f>
        <v>0.4341087419237018</v>
      </c>
      <c r="Q20" s="358">
        <f t="shared" si="52"/>
        <v>0.40648456419968604</v>
      </c>
      <c r="R20" s="358">
        <f t="shared" si="52"/>
        <v>0.45056869816639122</v>
      </c>
      <c r="S20" s="62">
        <f t="shared" si="45"/>
        <v>0.43360393138855158</v>
      </c>
      <c r="T20" s="369">
        <f>+T11/SUM(T$10:T$11)</f>
        <v>0.42279413662479198</v>
      </c>
      <c r="U20" s="369">
        <f t="shared" ref="U20:X20" si="53">+U11/SUM(U$10:U$11)</f>
        <v>0.41409208399639469</v>
      </c>
      <c r="V20" s="369">
        <f t="shared" si="53"/>
        <v>0.40883391029071098</v>
      </c>
      <c r="W20" s="369">
        <f t="shared" si="53"/>
        <v>0.43227318356163968</v>
      </c>
      <c r="X20" s="62">
        <f t="shared" si="53"/>
        <v>0.41966313289760548</v>
      </c>
      <c r="Y20" s="369">
        <f>+Y11/SUM(Y$10:Y$11)</f>
        <v>0.40623430060254262</v>
      </c>
      <c r="Z20" s="369">
        <f t="shared" ref="Z20:AC20" si="54">+Z11/SUM(Z$10:Z$11)</f>
        <v>0.3994257274988387</v>
      </c>
      <c r="AA20" s="369">
        <f t="shared" si="54"/>
        <v>0.39711024983478743</v>
      </c>
      <c r="AB20" s="369">
        <f t="shared" si="54"/>
        <v>0.41991783150372419</v>
      </c>
      <c r="AC20" s="62">
        <f t="shared" si="54"/>
        <v>0.40589471609624683</v>
      </c>
      <c r="AD20" s="62">
        <f t="shared" ref="AD20:AF20" si="55">+AD11/SUM(AD$10:AD$11)</f>
        <v>0.39770945211382347</v>
      </c>
      <c r="AE20" s="62">
        <f t="shared" si="55"/>
        <v>0.4160025977189914</v>
      </c>
      <c r="AF20" s="62">
        <f t="shared" si="55"/>
        <v>0.43518768198069302</v>
      </c>
    </row>
    <row r="21" spans="1:32" x14ac:dyDescent="0.2">
      <c r="E21" s="346"/>
      <c r="F21" s="346"/>
      <c r="G21" s="346"/>
      <c r="H21" s="346"/>
      <c r="J21" s="346"/>
      <c r="K21" s="346"/>
      <c r="L21" s="346"/>
      <c r="M21" s="346"/>
      <c r="O21" s="346"/>
      <c r="P21" s="346"/>
      <c r="Q21" s="346"/>
      <c r="R21" s="346"/>
      <c r="T21" s="345"/>
      <c r="U21" s="345"/>
      <c r="V21" s="345"/>
      <c r="W21" s="345"/>
      <c r="Y21" s="345"/>
      <c r="Z21" s="345"/>
      <c r="AA21" s="345"/>
      <c r="AB21" s="345"/>
    </row>
    <row r="22" spans="1:32" x14ac:dyDescent="0.2">
      <c r="A22" s="341" t="s">
        <v>6</v>
      </c>
      <c r="B22" s="19" t="s">
        <v>488</v>
      </c>
      <c r="C22" s="342"/>
      <c r="D22" s="342"/>
      <c r="E22" s="342"/>
      <c r="F22" s="342"/>
      <c r="G22" s="342"/>
      <c r="H22" s="342"/>
      <c r="I22" s="342"/>
      <c r="J22" s="342"/>
      <c r="K22" s="342"/>
      <c r="L22" s="342"/>
      <c r="M22" s="342"/>
      <c r="N22" s="342"/>
      <c r="O22" s="342"/>
      <c r="P22" s="342"/>
      <c r="Q22" s="342"/>
      <c r="R22" s="342"/>
      <c r="S22" s="342"/>
      <c r="T22" s="342"/>
      <c r="U22" s="342"/>
      <c r="V22" s="342"/>
      <c r="W22" s="342"/>
      <c r="X22" s="342"/>
      <c r="Y22" s="342"/>
      <c r="Z22" s="342"/>
      <c r="AA22" s="342"/>
      <c r="AB22" s="342"/>
      <c r="AC22" s="342"/>
      <c r="AD22" s="342"/>
      <c r="AE22" s="342"/>
      <c r="AF22" s="3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902CE-88AE-4B14-A6A5-44DDB3C04D9D}">
  <dimension ref="A2:AF93"/>
  <sheetViews>
    <sheetView showGridLines="0" zoomScale="80" zoomScaleNormal="80" workbookViewId="0"/>
  </sheetViews>
  <sheetFormatPr defaultRowHeight="12.75" outlineLevelCol="1" x14ac:dyDescent="0.2"/>
  <cols>
    <col min="1" max="1" width="2.7109375" style="2" customWidth="1"/>
    <col min="2" max="2" width="51.28515625" style="2" customWidth="1"/>
    <col min="3" max="4" width="2.7109375" style="2" customWidth="1"/>
    <col min="5" max="8" width="15.28515625" style="2" hidden="1" customWidth="1" outlineLevel="1"/>
    <col min="9" max="9" width="16.42578125" style="2" bestFit="1" customWidth="1" collapsed="1"/>
    <col min="10" max="13" width="15.28515625" style="2" hidden="1" customWidth="1" outlineLevel="1"/>
    <col min="14" max="14" width="16.42578125" style="2" bestFit="1" customWidth="1" collapsed="1"/>
    <col min="15" max="18" width="15.28515625" style="2" hidden="1" customWidth="1" outlineLevel="1"/>
    <col min="19" max="19" width="16.42578125" style="2" bestFit="1" customWidth="1" collapsed="1"/>
    <col min="20" max="23" width="15.28515625" style="2" hidden="1" customWidth="1" outlineLevel="1"/>
    <col min="24" max="24" width="15.28515625" style="2" customWidth="1" collapsed="1"/>
    <col min="25" max="28" width="15.28515625" style="2" hidden="1" customWidth="1" outlineLevel="1"/>
    <col min="29" max="29" width="15.28515625" style="2" customWidth="1" collapsed="1"/>
    <col min="30" max="32" width="15.28515625" style="2" customWidth="1"/>
    <col min="33" max="16384" width="9.140625" style="2"/>
  </cols>
  <sheetData>
    <row r="2" spans="1:32" x14ac:dyDescent="0.2">
      <c r="B2" s="337" t="s">
        <v>41</v>
      </c>
      <c r="C2" s="338"/>
      <c r="D2" s="338"/>
      <c r="E2" s="354" t="str">
        <f>Model!E2</f>
        <v>1Q23</v>
      </c>
      <c r="F2" s="354" t="str">
        <f>Model!F2</f>
        <v>2Q23</v>
      </c>
      <c r="G2" s="354" t="str">
        <f>Model!G2</f>
        <v>3Q23</v>
      </c>
      <c r="H2" s="354" t="str">
        <f>Model!H2</f>
        <v>4Q23</v>
      </c>
      <c r="I2" s="405">
        <f>Model!I2</f>
        <v>2023</v>
      </c>
      <c r="J2" s="354" t="str">
        <f>Model!J2</f>
        <v>1Q24</v>
      </c>
      <c r="K2" s="354" t="str">
        <f>Model!K2</f>
        <v>2Q24</v>
      </c>
      <c r="L2" s="354" t="str">
        <f>Model!L2</f>
        <v>3Q24</v>
      </c>
      <c r="M2" s="354" t="str">
        <f>Model!M2</f>
        <v>4Q24</v>
      </c>
      <c r="N2" s="405">
        <f>Model!N2</f>
        <v>2024</v>
      </c>
      <c r="O2" s="354" t="str">
        <f>Model!O2</f>
        <v>1Q25</v>
      </c>
      <c r="P2" s="354" t="str">
        <f>Model!P2</f>
        <v>2Q25</v>
      </c>
      <c r="Q2" s="354" t="str">
        <f>Model!Q2</f>
        <v>3Q25</v>
      </c>
      <c r="R2" s="354" t="str">
        <f>Model!R2</f>
        <v>4Q25</v>
      </c>
      <c r="S2" s="405">
        <f>Model!S2</f>
        <v>2025</v>
      </c>
      <c r="T2" s="354" t="str">
        <f>Model!T2</f>
        <v>1Q26e</v>
      </c>
      <c r="U2" s="354" t="str">
        <f>Model!U2</f>
        <v>2Q26e</v>
      </c>
      <c r="V2" s="354" t="str">
        <f>Model!V2</f>
        <v>3Q26e</v>
      </c>
      <c r="W2" s="354" t="str">
        <f>Model!W2</f>
        <v>4Q26e</v>
      </c>
      <c r="X2" s="354" t="str">
        <f>Model!X2</f>
        <v>2026e</v>
      </c>
      <c r="Y2" s="354" t="str">
        <f>Model!Y2</f>
        <v>1Q27e</v>
      </c>
      <c r="Z2" s="354" t="str">
        <f>Model!Z2</f>
        <v>2Q27e</v>
      </c>
      <c r="AA2" s="354" t="str">
        <f>Model!AA2</f>
        <v>3Q27e</v>
      </c>
      <c r="AB2" s="354" t="str">
        <f>Model!AB2</f>
        <v>4Q27e</v>
      </c>
      <c r="AC2" s="354" t="str">
        <f>Model!AC2</f>
        <v>2027e</v>
      </c>
      <c r="AD2" s="354" t="str">
        <f>Model!AD2</f>
        <v>2028e</v>
      </c>
      <c r="AE2" s="354" t="str">
        <f>Model!AE2</f>
        <v>2029e</v>
      </c>
      <c r="AF2" s="354" t="str">
        <f>Model!AF2</f>
        <v>2030e</v>
      </c>
    </row>
    <row r="3" spans="1:32" x14ac:dyDescent="0.2">
      <c r="A3" s="341" t="s">
        <v>6</v>
      </c>
      <c r="B3" s="22" t="s">
        <v>40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340"/>
    </row>
    <row r="4" spans="1:32" x14ac:dyDescent="0.2">
      <c r="E4" s="346"/>
      <c r="F4" s="346"/>
      <c r="G4" s="346"/>
      <c r="H4" s="346"/>
      <c r="J4" s="346"/>
      <c r="K4" s="346"/>
      <c r="L4" s="346"/>
      <c r="M4" s="346"/>
      <c r="O4" s="346"/>
      <c r="P4" s="346"/>
      <c r="Q4" s="346"/>
      <c r="R4" s="346"/>
      <c r="T4" s="345"/>
      <c r="U4" s="345"/>
      <c r="V4" s="345"/>
      <c r="W4" s="345"/>
      <c r="Y4" s="345"/>
      <c r="Z4" s="345"/>
      <c r="AA4" s="345"/>
      <c r="AB4" s="345"/>
    </row>
    <row r="5" spans="1:32" x14ac:dyDescent="0.2">
      <c r="B5" s="2" t="str">
        <f>+Model!B36</f>
        <v>Total Segment Earnings</v>
      </c>
      <c r="E5" s="413">
        <f>+Model!E36</f>
        <v>983459</v>
      </c>
      <c r="F5" s="413">
        <f>+Model!F36</f>
        <v>922274</v>
      </c>
      <c r="G5" s="413">
        <f>+Model!G36</f>
        <v>1079519</v>
      </c>
      <c r="H5" s="413">
        <f>+Model!H36</f>
        <v>1201257</v>
      </c>
      <c r="I5" s="408">
        <f>+SUM(E5:H5)</f>
        <v>4186509</v>
      </c>
      <c r="J5" s="413">
        <f>+Model!J36</f>
        <v>1154841</v>
      </c>
      <c r="K5" s="413">
        <f>+Model!K36</f>
        <v>1290065</v>
      </c>
      <c r="L5" s="413">
        <f>+Model!L36</f>
        <v>1476761</v>
      </c>
      <c r="M5" s="413">
        <f>+Model!M36</f>
        <v>1500144</v>
      </c>
      <c r="N5" s="408">
        <f>+SUM(J5:M5)</f>
        <v>5421811</v>
      </c>
      <c r="O5" s="413">
        <f>+Model!O36</f>
        <v>1386113</v>
      </c>
      <c r="P5" s="413">
        <f>+Model!P36</f>
        <v>1434019</v>
      </c>
      <c r="Q5" s="413">
        <f>+Model!Q36</f>
        <v>1631688</v>
      </c>
      <c r="R5" s="413">
        <f>+Model!R36</f>
        <v>1368655</v>
      </c>
      <c r="S5" s="408">
        <f>+SUM(O5:R5)</f>
        <v>5820475</v>
      </c>
      <c r="T5" s="414">
        <f>+Model!T36</f>
        <v>1705959.2770874996</v>
      </c>
      <c r="U5" s="414">
        <f>+Model!U36</f>
        <v>1789606.4993775999</v>
      </c>
      <c r="V5" s="414">
        <f>+Model!V36</f>
        <v>1898850.6284876857</v>
      </c>
      <c r="W5" s="414">
        <f>+Model!W36</f>
        <v>2121665.6072896691</v>
      </c>
      <c r="X5" s="408">
        <f>+SUM(T5:W5)</f>
        <v>7516082.0122424541</v>
      </c>
      <c r="Y5" s="414">
        <f>+Model!Y36</f>
        <v>2041802.2204596973</v>
      </c>
      <c r="Z5" s="414">
        <f>+Model!Z36</f>
        <v>2210426.3664228623</v>
      </c>
      <c r="AA5" s="414">
        <f>+Model!AA36</f>
        <v>2315947.0139319412</v>
      </c>
      <c r="AB5" s="414">
        <f>+Model!AB36</f>
        <v>2512711.6266244724</v>
      </c>
      <c r="AC5" s="408">
        <f>+SUM(Y5:AB5)</f>
        <v>9080887.2274389733</v>
      </c>
      <c r="AD5" s="441">
        <f>+Model!AD36</f>
        <v>10338710.390436558</v>
      </c>
      <c r="AE5" s="441">
        <f>+Model!AE36</f>
        <v>11351667.573667917</v>
      </c>
      <c r="AF5" s="441">
        <f>+Model!AF36</f>
        <v>12236992.025696289</v>
      </c>
    </row>
    <row r="6" spans="1:32" x14ac:dyDescent="0.2">
      <c r="E6" s="346"/>
      <c r="F6" s="346"/>
      <c r="G6" s="346"/>
      <c r="H6" s="346"/>
      <c r="J6" s="346"/>
      <c r="K6" s="346"/>
      <c r="L6" s="346"/>
      <c r="M6" s="346"/>
      <c r="O6" s="346"/>
      <c r="P6" s="346"/>
      <c r="Q6" s="346"/>
      <c r="R6" s="346"/>
      <c r="T6" s="345"/>
      <c r="U6" s="345"/>
      <c r="V6" s="345"/>
      <c r="W6" s="345"/>
      <c r="Y6" s="345"/>
      <c r="Z6" s="345"/>
      <c r="AA6" s="345"/>
      <c r="AB6" s="345"/>
    </row>
    <row r="7" spans="1:32" x14ac:dyDescent="0.2">
      <c r="A7" s="341" t="s">
        <v>6</v>
      </c>
      <c r="B7" s="22" t="s">
        <v>516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340"/>
    </row>
    <row r="8" spans="1:32" x14ac:dyDescent="0.2">
      <c r="E8" s="346"/>
      <c r="F8" s="346"/>
      <c r="G8" s="346"/>
      <c r="H8" s="346"/>
      <c r="J8" s="346"/>
      <c r="K8" s="346"/>
      <c r="L8" s="346"/>
      <c r="M8" s="346"/>
      <c r="O8" s="346"/>
      <c r="P8" s="346"/>
      <c r="Q8" s="346"/>
      <c r="R8" s="346"/>
      <c r="T8" s="345"/>
      <c r="U8" s="345"/>
      <c r="V8" s="345"/>
      <c r="W8" s="345"/>
      <c r="Y8" s="345"/>
      <c r="Z8" s="345"/>
      <c r="AA8" s="345"/>
      <c r="AB8" s="345"/>
    </row>
    <row r="9" spans="1:32" x14ac:dyDescent="0.2">
      <c r="B9" s="88" t="str">
        <f>+Model!B14</f>
        <v>Realized Performance Income (Loss)</v>
      </c>
      <c r="E9" s="346"/>
      <c r="F9" s="346"/>
      <c r="G9" s="346"/>
      <c r="H9" s="346"/>
      <c r="J9" s="346"/>
      <c r="K9" s="346"/>
      <c r="L9" s="346"/>
      <c r="M9" s="346"/>
      <c r="O9" s="346"/>
      <c r="P9" s="346"/>
      <c r="Q9" s="346"/>
      <c r="R9" s="346"/>
      <c r="T9" s="345"/>
      <c r="U9" s="345"/>
      <c r="V9" s="345"/>
      <c r="W9" s="345"/>
      <c r="Y9" s="345"/>
      <c r="Z9" s="345"/>
      <c r="AA9" s="345"/>
      <c r="AB9" s="345"/>
    </row>
    <row r="10" spans="1:32" x14ac:dyDescent="0.2">
      <c r="B10" s="328" t="str">
        <f>+Model!B15</f>
        <v xml:space="preserve">Realized Performance Income </v>
      </c>
      <c r="E10" s="359">
        <f>+Model!E15</f>
        <v>175398</v>
      </c>
      <c r="F10" s="359">
        <f>+Model!F15</f>
        <v>149334</v>
      </c>
      <c r="G10" s="359">
        <f>+Model!G15</f>
        <v>329266</v>
      </c>
      <c r="H10" s="359">
        <f>+Model!H15</f>
        <v>411391</v>
      </c>
      <c r="I10" s="349">
        <f>+SUM(E10:H10)</f>
        <v>1065389</v>
      </c>
      <c r="J10" s="359">
        <f>+Model!J15</f>
        <v>271545</v>
      </c>
      <c r="K10" s="359">
        <f>+Model!K15</f>
        <v>482309</v>
      </c>
      <c r="L10" s="359">
        <f>+Model!L15</f>
        <v>391920</v>
      </c>
      <c r="M10" s="359">
        <f>+Model!M15</f>
        <v>676341</v>
      </c>
      <c r="N10" s="349">
        <f>+SUM(J10:M10)</f>
        <v>1822115</v>
      </c>
      <c r="O10" s="359">
        <f>+Model!O15</f>
        <v>347920</v>
      </c>
      <c r="P10" s="359">
        <f>+Model!P15</f>
        <v>418850</v>
      </c>
      <c r="Q10" s="359">
        <f>+Model!Q15</f>
        <v>930659</v>
      </c>
      <c r="R10" s="359">
        <f>+Model!R15</f>
        <v>182083</v>
      </c>
      <c r="S10" s="349">
        <f>+SUM(O10:R10)</f>
        <v>1879512</v>
      </c>
      <c r="T10" s="353">
        <f>+R10*(1+T11)</f>
        <v>682811.25</v>
      </c>
      <c r="U10" s="353">
        <f>+T10*(1+U11)</f>
        <v>792061.04999999993</v>
      </c>
      <c r="V10" s="353">
        <f t="shared" ref="V10:W10" si="0">+U10*(1+V11)</f>
        <v>891068.68124999991</v>
      </c>
      <c r="W10" s="353">
        <f t="shared" si="0"/>
        <v>1118291.1949687498</v>
      </c>
      <c r="X10" s="349">
        <f>SUM(T10:W10)</f>
        <v>3484232.1762187495</v>
      </c>
      <c r="Y10" s="353">
        <f>+W10*(1+Y11)</f>
        <v>944956.05974859348</v>
      </c>
      <c r="Z10" s="353">
        <f>+Y10*(1+Z11)</f>
        <v>1055988.3967690531</v>
      </c>
      <c r="AA10" s="353">
        <f t="shared" ref="AA10" si="1">+Z10*(1+AA11)</f>
        <v>1108787.8166075058</v>
      </c>
      <c r="AB10" s="353">
        <f t="shared" ref="AB10" si="2">+AA10*(1+AB11)</f>
        <v>1333317.3494705257</v>
      </c>
      <c r="AC10" s="349">
        <f>SUM(Y10:AB10)</f>
        <v>4443049.6225956781</v>
      </c>
      <c r="AD10" s="349">
        <f>AC10*(1+AD11)</f>
        <v>5049525.8960799882</v>
      </c>
      <c r="AE10" s="349">
        <f t="shared" ref="AE10:AF10" si="3">AD10*(1+AE11)</f>
        <v>4584464.5610510213</v>
      </c>
      <c r="AF10" s="349">
        <f t="shared" si="3"/>
        <v>4721998.4978825524</v>
      </c>
    </row>
    <row r="11" spans="1:32" x14ac:dyDescent="0.2">
      <c r="B11" s="328" t="s">
        <v>15</v>
      </c>
      <c r="E11" s="358"/>
      <c r="F11" s="358">
        <f>+F10/E10-1</f>
        <v>-0.14859918585160603</v>
      </c>
      <c r="G11" s="358">
        <f t="shared" ref="G11:H11" si="4">+G10/F10-1</f>
        <v>1.2048964067124701</v>
      </c>
      <c r="H11" s="358">
        <f t="shared" si="4"/>
        <v>0.24941840335777155</v>
      </c>
      <c r="I11" s="62"/>
      <c r="J11" s="358">
        <f>+J10/I10-1</f>
        <v>-0.74512126556591074</v>
      </c>
      <c r="K11" s="358">
        <f>+K10/J10-1</f>
        <v>0.77616601299968702</v>
      </c>
      <c r="L11" s="358">
        <f t="shared" ref="L11" si="5">+L10/K10-1</f>
        <v>-0.18740890176214831</v>
      </c>
      <c r="M11" s="358">
        <f t="shared" ref="M11" si="6">+M10/L10-1</f>
        <v>0.72571187997550513</v>
      </c>
      <c r="N11" s="62">
        <f>+N10/I10-1</f>
        <v>0.71028140895015812</v>
      </c>
      <c r="O11" s="358">
        <f>+O10/N10-1</f>
        <v>-0.80905705732075095</v>
      </c>
      <c r="P11" s="358">
        <f>+P10/O10-1</f>
        <v>0.20386870544952873</v>
      </c>
      <c r="Q11" s="358">
        <f t="shared" ref="Q11" si="7">+Q10/P10-1</f>
        <v>1.2219386415184434</v>
      </c>
      <c r="R11" s="358">
        <f t="shared" ref="R11" si="8">+R10/Q10-1</f>
        <v>-0.80435046563779</v>
      </c>
      <c r="S11" s="62">
        <f>+S10/N10-1</f>
        <v>3.1500207176824668E-2</v>
      </c>
      <c r="T11" s="392">
        <f t="shared" ref="T11" si="9">IF(Case_Scenario="Bull",T12,IF(Case_Scenario="Base",T13,IF(Case_Scenario="Bear",T14,"N/A")))</f>
        <v>2.75</v>
      </c>
      <c r="U11" s="392">
        <f t="shared" ref="U11:W11" si="10">IF(Case_Scenario="Bull",U12,IF(Case_Scenario="Base",U13,IF(Case_Scenario="Bear",U14,"N/A")))</f>
        <v>0.16</v>
      </c>
      <c r="V11" s="392">
        <f t="shared" si="10"/>
        <v>0.125</v>
      </c>
      <c r="W11" s="392">
        <f t="shared" si="10"/>
        <v>0.255</v>
      </c>
      <c r="X11" s="62">
        <f>+X10/S10</f>
        <v>1.8537961855091905</v>
      </c>
      <c r="Y11" s="392">
        <f t="shared" ref="Y11:AB11" si="11">IF(Case_Scenario="Bull",Y12,IF(Case_Scenario="Base",Y13,IF(Case_Scenario="Bear",Y14,"N/A")))</f>
        <v>-0.155</v>
      </c>
      <c r="Z11" s="392">
        <f t="shared" si="11"/>
        <v>0.11749999999999999</v>
      </c>
      <c r="AA11" s="392">
        <f t="shared" si="11"/>
        <v>0.05</v>
      </c>
      <c r="AB11" s="392">
        <f t="shared" si="11"/>
        <v>0.20250000000000001</v>
      </c>
      <c r="AC11" s="62">
        <f>+AC10/X10</f>
        <v>1.2751875873603469</v>
      </c>
      <c r="AD11" s="393">
        <f t="shared" ref="AD11:AF11" si="12">IF(Case_Scenario="Bull",AD12,IF(Case_Scenario="Base",AD13,IF(Case_Scenario="Bear",AD14,"N/A")))</f>
        <v>0.13650000000000001</v>
      </c>
      <c r="AE11" s="393">
        <f t="shared" si="12"/>
        <v>-9.2100000000000001E-2</v>
      </c>
      <c r="AF11" s="393">
        <f t="shared" si="12"/>
        <v>0.03</v>
      </c>
    </row>
    <row r="12" spans="1:32" x14ac:dyDescent="0.2">
      <c r="B12" s="328" t="s">
        <v>17</v>
      </c>
      <c r="E12" s="346"/>
      <c r="F12" s="346"/>
      <c r="G12" s="346"/>
      <c r="H12" s="346"/>
      <c r="J12" s="346"/>
      <c r="K12" s="346"/>
      <c r="L12" s="346"/>
      <c r="M12" s="346"/>
      <c r="O12" s="346"/>
      <c r="P12" s="346"/>
      <c r="Q12" s="346"/>
      <c r="R12" s="346"/>
      <c r="T12" s="389">
        <f>+T13+5%</f>
        <v>2.8</v>
      </c>
      <c r="U12" s="389">
        <f>+U13+2%</f>
        <v>0.18</v>
      </c>
      <c r="V12" s="389">
        <f t="shared" ref="V12:W12" si="13">+V13+2%</f>
        <v>0.14499999999999999</v>
      </c>
      <c r="W12" s="389">
        <f t="shared" si="13"/>
        <v>0.27500000000000002</v>
      </c>
      <c r="Y12" s="389">
        <f>+Y13+2%</f>
        <v>-0.13500000000000001</v>
      </c>
      <c r="Z12" s="389">
        <f t="shared" ref="Z12:AF12" si="14">+Z13+2%</f>
        <v>0.13749999999999998</v>
      </c>
      <c r="AA12" s="389">
        <f t="shared" si="14"/>
        <v>7.0000000000000007E-2</v>
      </c>
      <c r="AB12" s="389">
        <f t="shared" si="14"/>
        <v>0.2225</v>
      </c>
      <c r="AD12" s="447">
        <f t="shared" si="14"/>
        <v>0.1565</v>
      </c>
      <c r="AE12" s="447">
        <f t="shared" si="14"/>
        <v>-7.2099999999999997E-2</v>
      </c>
      <c r="AF12" s="447">
        <f t="shared" si="14"/>
        <v>0.05</v>
      </c>
    </row>
    <row r="13" spans="1:32" x14ac:dyDescent="0.2">
      <c r="B13" s="328" t="s">
        <v>26</v>
      </c>
      <c r="E13" s="346"/>
      <c r="F13" s="346"/>
      <c r="G13" s="346"/>
      <c r="H13" s="346"/>
      <c r="J13" s="346"/>
      <c r="K13" s="346"/>
      <c r="L13" s="346"/>
      <c r="M13" s="346"/>
      <c r="O13" s="346"/>
      <c r="P13" s="346"/>
      <c r="Q13" s="346"/>
      <c r="R13" s="346"/>
      <c r="T13" s="389">
        <v>2.75</v>
      </c>
      <c r="U13" s="389">
        <v>0.16</v>
      </c>
      <c r="V13" s="389">
        <v>0.125</v>
      </c>
      <c r="W13" s="389">
        <v>0.255</v>
      </c>
      <c r="Y13" s="389">
        <v>-0.155</v>
      </c>
      <c r="Z13" s="389">
        <v>0.11749999999999999</v>
      </c>
      <c r="AA13" s="389">
        <v>0.05</v>
      </c>
      <c r="AB13" s="389">
        <v>0.20250000000000001</v>
      </c>
      <c r="AD13" s="448">
        <v>0.13650000000000001</v>
      </c>
      <c r="AE13" s="448">
        <v>-9.2100000000000001E-2</v>
      </c>
      <c r="AF13" s="448">
        <v>0.03</v>
      </c>
    </row>
    <row r="14" spans="1:32" x14ac:dyDescent="0.2">
      <c r="B14" s="328" t="s">
        <v>34</v>
      </c>
      <c r="E14" s="346"/>
      <c r="F14" s="346"/>
      <c r="G14" s="346"/>
      <c r="H14" s="346"/>
      <c r="J14" s="346"/>
      <c r="K14" s="346"/>
      <c r="L14" s="346"/>
      <c r="M14" s="346"/>
      <c r="O14" s="346"/>
      <c r="P14" s="346"/>
      <c r="Q14" s="346"/>
      <c r="R14" s="346"/>
      <c r="T14" s="389">
        <f>+T13-25%</f>
        <v>2.5</v>
      </c>
      <c r="U14" s="389">
        <f>+U13-2%</f>
        <v>0.14000000000000001</v>
      </c>
      <c r="V14" s="389">
        <f t="shared" ref="V14:W14" si="15">+V13-2%</f>
        <v>0.105</v>
      </c>
      <c r="W14" s="389">
        <f t="shared" si="15"/>
        <v>0.23500000000000001</v>
      </c>
      <c r="Y14" s="389">
        <f>+Y13-2%</f>
        <v>-0.17499999999999999</v>
      </c>
      <c r="Z14" s="389">
        <f t="shared" ref="Z14:AD14" si="16">+Z13-2%</f>
        <v>9.7499999999999989E-2</v>
      </c>
      <c r="AA14" s="389">
        <f t="shared" si="16"/>
        <v>3.0000000000000002E-2</v>
      </c>
      <c r="AB14" s="389">
        <f t="shared" si="16"/>
        <v>0.18250000000000002</v>
      </c>
      <c r="AD14" s="447">
        <f t="shared" si="16"/>
        <v>0.11650000000000001</v>
      </c>
      <c r="AE14" s="447">
        <f t="shared" ref="AE14:AF14" si="17">+AE13-2%</f>
        <v>-0.11210000000000001</v>
      </c>
      <c r="AF14" s="447">
        <f t="shared" si="17"/>
        <v>9.9999999999999985E-3</v>
      </c>
    </row>
    <row r="15" spans="1:32" x14ac:dyDescent="0.2">
      <c r="E15" s="346"/>
      <c r="F15" s="346"/>
      <c r="G15" s="346"/>
      <c r="H15" s="346"/>
      <c r="J15" s="346"/>
      <c r="K15" s="346"/>
      <c r="L15" s="346"/>
      <c r="M15" s="346"/>
      <c r="O15" s="346"/>
      <c r="P15" s="346"/>
      <c r="Q15" s="346"/>
      <c r="R15" s="346"/>
      <c r="T15" s="345"/>
      <c r="U15" s="345"/>
      <c r="V15" s="345"/>
      <c r="W15" s="345"/>
      <c r="Y15" s="345"/>
      <c r="Z15" s="345"/>
      <c r="AA15" s="345"/>
      <c r="AB15" s="345"/>
    </row>
    <row r="16" spans="1:32" x14ac:dyDescent="0.2">
      <c r="B16" s="328" t="str">
        <f>+Model!B16</f>
        <v>Realized Performance Income Compensation</v>
      </c>
      <c r="E16" s="359">
        <f>+Model!E16</f>
        <v>-114009</v>
      </c>
      <c r="F16" s="359">
        <f>+Model!F16</f>
        <v>-97085</v>
      </c>
      <c r="G16" s="359">
        <f>+Model!G16</f>
        <v>-213816</v>
      </c>
      <c r="H16" s="359">
        <f>+Model!H16</f>
        <v>-241530</v>
      </c>
      <c r="I16" s="349">
        <f>+SUM(E16:H16)</f>
        <v>-666440</v>
      </c>
      <c r="J16" s="359">
        <f>+Model!J16</f>
        <v>-193547</v>
      </c>
      <c r="K16" s="359">
        <f>+Model!K16</f>
        <v>-359470</v>
      </c>
      <c r="L16" s="359">
        <f>+Model!L16</f>
        <v>-289994</v>
      </c>
      <c r="M16" s="359">
        <f>+Model!M16</f>
        <v>-370316</v>
      </c>
      <c r="N16" s="349">
        <f>+SUM(J16:M16)</f>
        <v>-1213327</v>
      </c>
      <c r="O16" s="359">
        <f>+Model!O16</f>
        <v>-259931</v>
      </c>
      <c r="P16" s="359">
        <f>+Model!P16</f>
        <v>-309536</v>
      </c>
      <c r="Q16" s="359">
        <f>+Model!Q16</f>
        <v>-697994</v>
      </c>
      <c r="R16" s="359">
        <f>+Model!R16</f>
        <v>-120315</v>
      </c>
      <c r="S16" s="349">
        <f>+SUM(O16:R16)</f>
        <v>-1387776</v>
      </c>
      <c r="T16" s="353">
        <f>+T17*T10</f>
        <v>-491624.1</v>
      </c>
      <c r="U16" s="353">
        <f t="shared" ref="U16:W16" si="18">+U17*U10</f>
        <v>-572264.10862499999</v>
      </c>
      <c r="V16" s="353">
        <f t="shared" si="18"/>
        <v>-648252.46560937492</v>
      </c>
      <c r="W16" s="353">
        <f t="shared" si="18"/>
        <v>-735276.46069195296</v>
      </c>
      <c r="X16" s="349">
        <f>SUM(T16:W16)</f>
        <v>-2447417.134926328</v>
      </c>
      <c r="Y16" s="353">
        <f>+Y17*Y10</f>
        <v>-685093.14331773028</v>
      </c>
      <c r="Z16" s="353">
        <f t="shared" ref="Z16" si="19">+Z17*Z10</f>
        <v>-768231.55864948616</v>
      </c>
      <c r="AA16" s="353">
        <f t="shared" ref="AA16" si="20">+AA17*AA10</f>
        <v>-807197.53049026418</v>
      </c>
      <c r="AB16" s="353">
        <f t="shared" ref="AB16" si="21">+AB17*AB10</f>
        <v>-879989.45065054705</v>
      </c>
      <c r="AC16" s="349">
        <f>SUM(Y16:AB16)</f>
        <v>-3140511.683108028</v>
      </c>
      <c r="AD16" s="349">
        <f t="shared" ref="AD16" si="22">+AD17*AD10</f>
        <v>-3634143.7874087677</v>
      </c>
      <c r="AE16" s="349">
        <f t="shared" ref="AE16" si="23">+AE17*AE10</f>
        <v>-3295771.5729395794</v>
      </c>
      <c r="AF16" s="349">
        <f t="shared" ref="AF16" si="24">+AF17*AF10</f>
        <v>-3398422.3189260731</v>
      </c>
    </row>
    <row r="17" spans="2:32" x14ac:dyDescent="0.2">
      <c r="B17" s="328" t="s">
        <v>515</v>
      </c>
      <c r="E17" s="358"/>
      <c r="F17" s="358">
        <f>+F16/F10</f>
        <v>-0.65011986553631462</v>
      </c>
      <c r="G17" s="358">
        <f t="shared" ref="G17:H17" si="25">+G16/G10</f>
        <v>-0.64937163266173858</v>
      </c>
      <c r="H17" s="358">
        <f t="shared" si="25"/>
        <v>-0.58710569749945918</v>
      </c>
      <c r="I17" s="62"/>
      <c r="J17" s="358">
        <f>+J16/J10</f>
        <v>-0.71276215728516457</v>
      </c>
      <c r="K17" s="358">
        <f t="shared" ref="K17" si="26">+K16/K10</f>
        <v>-0.74531057890273666</v>
      </c>
      <c r="L17" s="358">
        <f t="shared" ref="L17:N17" si="27">+L16/L10</f>
        <v>-0.73993161869769342</v>
      </c>
      <c r="M17" s="358">
        <f t="shared" si="27"/>
        <v>-0.54752853959762904</v>
      </c>
      <c r="N17" s="62">
        <f t="shared" si="27"/>
        <v>-0.66588936483152816</v>
      </c>
      <c r="O17" s="358">
        <f>+O16/O10</f>
        <v>-0.74709990802483328</v>
      </c>
      <c r="P17" s="358">
        <f t="shared" ref="P17" si="28">+P16/P10</f>
        <v>-0.7390139668138952</v>
      </c>
      <c r="Q17" s="358">
        <f t="shared" ref="Q17" si="29">+Q16/Q10</f>
        <v>-0.74999973137314524</v>
      </c>
      <c r="R17" s="358">
        <f t="shared" ref="R17:S17" si="30">+R16/R10</f>
        <v>-0.66077008836629447</v>
      </c>
      <c r="S17" s="62">
        <f t="shared" si="30"/>
        <v>-0.73837038550432244</v>
      </c>
      <c r="T17" s="392">
        <f t="shared" ref="T17" si="31">IF(Case_Scenario="Bull",T18,IF(Case_Scenario="Base",T19,IF(Case_Scenario="Bear",T20,"N/A")))</f>
        <v>-0.72</v>
      </c>
      <c r="U17" s="392">
        <f t="shared" ref="U17:W17" si="32">IF(Case_Scenario="Bull",U18,IF(Case_Scenario="Base",U19,IF(Case_Scenario="Bear",U20,"N/A")))</f>
        <v>-0.72250000000000003</v>
      </c>
      <c r="V17" s="392">
        <f t="shared" si="32"/>
        <v>-0.72750000000000004</v>
      </c>
      <c r="W17" s="392">
        <f t="shared" si="32"/>
        <v>-0.65749999999999997</v>
      </c>
      <c r="X17" s="62">
        <f t="shared" ref="X17" si="33">+X16/X10</f>
        <v>-0.70242653507160324</v>
      </c>
      <c r="Y17" s="392">
        <f t="shared" ref="Y17:AB17" si="34">IF(Case_Scenario="Bull",Y18,IF(Case_Scenario="Base",Y19,IF(Case_Scenario="Bear",Y20,"N/A")))</f>
        <v>-0.72499999999999998</v>
      </c>
      <c r="Z17" s="392">
        <f t="shared" si="34"/>
        <v>-0.72750000000000004</v>
      </c>
      <c r="AA17" s="392">
        <f t="shared" si="34"/>
        <v>-0.72799999999999998</v>
      </c>
      <c r="AB17" s="392">
        <f t="shared" si="34"/>
        <v>-0.66</v>
      </c>
      <c r="AC17" s="62">
        <f t="shared" ref="AC17" si="35">+AC16/AC10</f>
        <v>-0.7068369588168828</v>
      </c>
      <c r="AD17" s="393">
        <f t="shared" ref="AD17:AF17" si="36">IF(Case_Scenario="Bull",AD18,IF(Case_Scenario="Base",AD19,IF(Case_Scenario="Bear",AD20,"N/A")))</f>
        <v>-0.71970000000000001</v>
      </c>
      <c r="AE17" s="393">
        <f t="shared" si="36"/>
        <v>-0.71889999999999998</v>
      </c>
      <c r="AF17" s="393">
        <f t="shared" si="36"/>
        <v>-0.71970000000000001</v>
      </c>
    </row>
    <row r="18" spans="2:32" x14ac:dyDescent="0.2">
      <c r="B18" s="328" t="s">
        <v>17</v>
      </c>
      <c r="E18" s="346"/>
      <c r="F18" s="346"/>
      <c r="G18" s="346"/>
      <c r="H18" s="346"/>
      <c r="J18" s="346"/>
      <c r="K18" s="346"/>
      <c r="L18" s="346"/>
      <c r="M18" s="346"/>
      <c r="O18" s="346"/>
      <c r="P18" s="346"/>
      <c r="Q18" s="346"/>
      <c r="R18" s="346"/>
      <c r="T18" s="389">
        <f>+T19+3%</f>
        <v>-0.69</v>
      </c>
      <c r="U18" s="389">
        <f t="shared" ref="U18:W18" si="37">+U19-3%</f>
        <v>-0.75250000000000006</v>
      </c>
      <c r="V18" s="389">
        <f t="shared" si="37"/>
        <v>-0.75750000000000006</v>
      </c>
      <c r="W18" s="389">
        <f t="shared" si="37"/>
        <v>-0.6875</v>
      </c>
      <c r="Y18" s="389">
        <f>+Y19+3%</f>
        <v>-0.69499999999999995</v>
      </c>
      <c r="Z18" s="389">
        <f t="shared" ref="Z18:AF18" si="38">+Z19+3%</f>
        <v>-0.69750000000000001</v>
      </c>
      <c r="AA18" s="389">
        <f t="shared" si="38"/>
        <v>-0.69799999999999995</v>
      </c>
      <c r="AB18" s="389">
        <f t="shared" si="38"/>
        <v>-0.63</v>
      </c>
      <c r="AD18" s="447">
        <f t="shared" si="38"/>
        <v>-0.68969999999999998</v>
      </c>
      <c r="AE18" s="447">
        <f t="shared" si="38"/>
        <v>-0.68889999999999996</v>
      </c>
      <c r="AF18" s="447">
        <f t="shared" si="38"/>
        <v>-0.68969999999999998</v>
      </c>
    </row>
    <row r="19" spans="2:32" x14ac:dyDescent="0.2">
      <c r="B19" s="328" t="s">
        <v>26</v>
      </c>
      <c r="E19" s="346"/>
      <c r="F19" s="346"/>
      <c r="G19" s="346"/>
      <c r="H19" s="346"/>
      <c r="J19" s="346"/>
      <c r="K19" s="346"/>
      <c r="L19" s="346"/>
      <c r="M19" s="346"/>
      <c r="O19" s="346"/>
      <c r="P19" s="346"/>
      <c r="Q19" s="346"/>
      <c r="R19" s="346"/>
      <c r="T19" s="389">
        <v>-0.72</v>
      </c>
      <c r="U19" s="389">
        <v>-0.72250000000000003</v>
      </c>
      <c r="V19" s="389">
        <v>-0.72750000000000004</v>
      </c>
      <c r="W19" s="389">
        <v>-0.65749999999999997</v>
      </c>
      <c r="Y19" s="389">
        <v>-0.72499999999999998</v>
      </c>
      <c r="Z19" s="389">
        <v>-0.72750000000000004</v>
      </c>
      <c r="AA19" s="389">
        <v>-0.72799999999999998</v>
      </c>
      <c r="AB19" s="389">
        <v>-0.66</v>
      </c>
      <c r="AD19" s="391">
        <v>-0.71970000000000001</v>
      </c>
      <c r="AE19" s="391">
        <v>-0.71889999999999998</v>
      </c>
      <c r="AF19" s="391">
        <v>-0.71970000000000001</v>
      </c>
    </row>
    <row r="20" spans="2:32" x14ac:dyDescent="0.2">
      <c r="B20" s="328" t="s">
        <v>34</v>
      </c>
      <c r="E20" s="346"/>
      <c r="F20" s="346"/>
      <c r="G20" s="346"/>
      <c r="H20" s="346"/>
      <c r="J20" s="346"/>
      <c r="K20" s="346"/>
      <c r="L20" s="346"/>
      <c r="M20" s="346"/>
      <c r="O20" s="346"/>
      <c r="P20" s="346"/>
      <c r="Q20" s="346"/>
      <c r="R20" s="346"/>
      <c r="T20" s="389">
        <f>+T19-2%</f>
        <v>-0.74</v>
      </c>
      <c r="U20" s="389">
        <f t="shared" ref="U20:W20" si="39">+U19+2%</f>
        <v>-0.70250000000000001</v>
      </c>
      <c r="V20" s="389">
        <f t="shared" si="39"/>
        <v>-0.70750000000000002</v>
      </c>
      <c r="W20" s="389">
        <f t="shared" si="39"/>
        <v>-0.63749999999999996</v>
      </c>
      <c r="Y20" s="389">
        <f>+Y19-2%</f>
        <v>-0.745</v>
      </c>
      <c r="Z20" s="389">
        <f t="shared" ref="Z20:AD20" si="40">+Z19-2%</f>
        <v>-0.74750000000000005</v>
      </c>
      <c r="AA20" s="389">
        <f t="shared" si="40"/>
        <v>-0.748</v>
      </c>
      <c r="AB20" s="389">
        <f t="shared" si="40"/>
        <v>-0.68</v>
      </c>
      <c r="AD20" s="447">
        <f t="shared" si="40"/>
        <v>-0.73970000000000002</v>
      </c>
      <c r="AE20" s="447">
        <f t="shared" ref="AE20:AF20" si="41">+AE19-2%</f>
        <v>-0.7389</v>
      </c>
      <c r="AF20" s="447">
        <f t="shared" si="41"/>
        <v>-0.73970000000000002</v>
      </c>
    </row>
    <row r="21" spans="2:32" x14ac:dyDescent="0.2">
      <c r="E21" s="346"/>
      <c r="F21" s="346"/>
      <c r="G21" s="346"/>
      <c r="H21" s="346"/>
      <c r="J21" s="346"/>
      <c r="K21" s="346"/>
      <c r="L21" s="346"/>
      <c r="M21" s="346"/>
      <c r="O21" s="346"/>
      <c r="P21" s="346"/>
      <c r="Q21" s="346"/>
      <c r="R21" s="346"/>
      <c r="T21" s="345"/>
      <c r="U21" s="345"/>
      <c r="V21" s="345"/>
      <c r="W21" s="345"/>
      <c r="Y21" s="345"/>
      <c r="Z21" s="345"/>
      <c r="AA21" s="345"/>
      <c r="AB21" s="345"/>
    </row>
    <row r="22" spans="2:32" x14ac:dyDescent="0.2">
      <c r="B22" s="328" t="str">
        <f>+Model!B20</f>
        <v xml:space="preserve">Realized Performance Income </v>
      </c>
      <c r="E22" s="359">
        <f>+Model!E20</f>
        <v>198094</v>
      </c>
      <c r="F22" s="359">
        <f>+Model!F20</f>
        <v>114675</v>
      </c>
      <c r="G22" s="359">
        <f>+Model!G20</f>
        <v>231196</v>
      </c>
      <c r="H22" s="359">
        <f>+Model!H20</f>
        <v>146762</v>
      </c>
      <c r="I22" s="349">
        <f>+SUM(E22:H22)</f>
        <v>690727</v>
      </c>
      <c r="J22" s="359">
        <f>+Model!J20</f>
        <v>134753</v>
      </c>
      <c r="K22" s="359">
        <f>+Model!K20</f>
        <v>138546</v>
      </c>
      <c r="L22" s="359">
        <f>+Model!L20</f>
        <v>151546</v>
      </c>
      <c r="M22" s="359">
        <f>+Model!M20</f>
        <v>109823</v>
      </c>
      <c r="N22" s="349">
        <f>+SUM(J22:M22)</f>
        <v>534668</v>
      </c>
      <c r="O22" s="359">
        <f>+Model!O20</f>
        <v>217957</v>
      </c>
      <c r="P22" s="359">
        <f>+Model!P20</f>
        <v>153998</v>
      </c>
      <c r="Q22" s="359">
        <f>+Model!Q20</f>
        <v>4436</v>
      </c>
      <c r="R22" s="359">
        <f>+Model!R20</f>
        <v>27064</v>
      </c>
      <c r="S22" s="349">
        <f>+SUM(O22:R22)</f>
        <v>403455</v>
      </c>
      <c r="T22" s="353">
        <f>+R22*(1+T23)</f>
        <v>198920.4</v>
      </c>
      <c r="U22" s="353">
        <f>+T22*(1+U23)</f>
        <v>208866.42</v>
      </c>
      <c r="V22" s="353">
        <f>+U22*(1+V23)</f>
        <v>221398.40520000004</v>
      </c>
      <c r="W22" s="353">
        <f>+V22*(1+W23)</f>
        <v>270106.05434400006</v>
      </c>
      <c r="X22" s="349">
        <f>SUM(T22:W22)</f>
        <v>899291.27954400005</v>
      </c>
      <c r="Y22" s="353">
        <f>+W22*(1+Y23)</f>
        <v>251198.63053992004</v>
      </c>
      <c r="Z22" s="353">
        <f>+Y22*(1+Z23)</f>
        <v>268782.53467771446</v>
      </c>
      <c r="AA22" s="353">
        <f>+Z22*(1+AA23)</f>
        <v>275233.31550997961</v>
      </c>
      <c r="AB22" s="353">
        <f>+AA22*(1+AB23)</f>
        <v>297251.98075077799</v>
      </c>
      <c r="AC22" s="349">
        <f>SUM(Y22:AB22)</f>
        <v>1092466.4614783921</v>
      </c>
      <c r="AD22" s="349">
        <f>+AC22*(1+AD23)</f>
        <v>1398357.070692342</v>
      </c>
      <c r="AE22" s="349">
        <f>+AD22*(1+AE23)</f>
        <v>1514420.7075598063</v>
      </c>
      <c r="AF22" s="349">
        <f>+AE22*(1+AF23)</f>
        <v>1590141.7429377967</v>
      </c>
    </row>
    <row r="23" spans="2:32" x14ac:dyDescent="0.2">
      <c r="B23" s="328" t="s">
        <v>15</v>
      </c>
      <c r="E23" s="358"/>
      <c r="F23" s="358">
        <f>+F22/E22-1</f>
        <v>-0.42110816077215862</v>
      </c>
      <c r="G23" s="358">
        <f t="shared" ref="G23:H23" si="42">+G22/F22-1</f>
        <v>1.0160976673206887</v>
      </c>
      <c r="H23" s="358">
        <f t="shared" si="42"/>
        <v>-0.36520528036817246</v>
      </c>
      <c r="I23" s="62"/>
      <c r="J23" s="358">
        <f>+J22/I22-1</f>
        <v>-0.80491134703001332</v>
      </c>
      <c r="K23" s="358">
        <f>+K22/J22-1</f>
        <v>2.8147796338485964E-2</v>
      </c>
      <c r="L23" s="358">
        <f t="shared" ref="L23" si="43">+L22/K22-1</f>
        <v>9.3831651581424147E-2</v>
      </c>
      <c r="M23" s="358">
        <f t="shared" ref="M23" si="44">+M22/L22-1</f>
        <v>-0.27531574571417261</v>
      </c>
      <c r="N23" s="62">
        <f>+N22/I22-1</f>
        <v>-0.22593441403043457</v>
      </c>
      <c r="O23" s="358">
        <f>+O22/N22-1</f>
        <v>-0.5923507672050693</v>
      </c>
      <c r="P23" s="358">
        <f>+P22/O22-1</f>
        <v>-0.29344779016044453</v>
      </c>
      <c r="Q23" s="358">
        <f t="shared" ref="Q23" si="45">+Q22/P22-1</f>
        <v>-0.97119443109650772</v>
      </c>
      <c r="R23" s="358">
        <f t="shared" ref="R23" si="46">+R22/Q22-1</f>
        <v>5.1009918845807034</v>
      </c>
      <c r="S23" s="62">
        <f>+S22/N22-1</f>
        <v>-0.24541023588469857</v>
      </c>
      <c r="T23" s="392">
        <f t="shared" ref="T23" si="47">IF(Case_Scenario="Bull",T24,IF(Case_Scenario="Base",T25,IF(Case_Scenario="Bear",T26,"N/A")))</f>
        <v>6.35</v>
      </c>
      <c r="U23" s="392">
        <f t="shared" ref="U23:W23" si="48">IF(Case_Scenario="Bull",U24,IF(Case_Scenario="Base",U25,IF(Case_Scenario="Bear",U26,"N/A")))</f>
        <v>0.05</v>
      </c>
      <c r="V23" s="392">
        <f t="shared" si="48"/>
        <v>0.06</v>
      </c>
      <c r="W23" s="392">
        <f t="shared" si="48"/>
        <v>0.22</v>
      </c>
      <c r="X23" s="62">
        <f>+X22/S22-1</f>
        <v>1.2289754236383241</v>
      </c>
      <c r="Y23" s="392">
        <f t="shared" ref="Y23:AB23" si="49">IF(Case_Scenario="Bull",Y24,IF(Case_Scenario="Base",Y25,IF(Case_Scenario="Bear",Y26,"N/A")))</f>
        <v>-7.0000000000000007E-2</v>
      </c>
      <c r="Z23" s="392">
        <f t="shared" si="49"/>
        <v>7.0000000000000007E-2</v>
      </c>
      <c r="AA23" s="392">
        <f t="shared" si="49"/>
        <v>2.4E-2</v>
      </c>
      <c r="AB23" s="392">
        <f t="shared" si="49"/>
        <v>0.08</v>
      </c>
      <c r="AC23" s="62">
        <f>+AC22/X22-1</f>
        <v>0.21480824548009037</v>
      </c>
      <c r="AD23" s="393">
        <f t="shared" ref="AD23:AF23" si="50">IF(Case_Scenario="Bull",AD24,IF(Case_Scenario="Base",AD25,IF(Case_Scenario="Bear",AD26,"N/A")))</f>
        <v>0.28000000000000003</v>
      </c>
      <c r="AE23" s="393">
        <f t="shared" si="50"/>
        <v>8.3000000000000004E-2</v>
      </c>
      <c r="AF23" s="393">
        <f t="shared" si="50"/>
        <v>0.05</v>
      </c>
    </row>
    <row r="24" spans="2:32" x14ac:dyDescent="0.2">
      <c r="B24" s="328" t="s">
        <v>17</v>
      </c>
      <c r="E24" s="358"/>
      <c r="F24" s="358"/>
      <c r="G24" s="358"/>
      <c r="H24" s="358"/>
      <c r="J24" s="358"/>
      <c r="K24" s="358"/>
      <c r="L24" s="358"/>
      <c r="M24" s="358"/>
      <c r="O24" s="358"/>
      <c r="P24" s="358"/>
      <c r="Q24" s="358"/>
      <c r="R24" s="358"/>
      <c r="T24" s="389">
        <f>+T25+5%</f>
        <v>6.3999999999999995</v>
      </c>
      <c r="U24" s="389">
        <f>+U25+2%</f>
        <v>7.0000000000000007E-2</v>
      </c>
      <c r="V24" s="389">
        <f t="shared" ref="V24:W24" si="51">+V25+2%</f>
        <v>0.08</v>
      </c>
      <c r="W24" s="389">
        <f t="shared" si="51"/>
        <v>0.24</v>
      </c>
      <c r="Y24" s="389">
        <f>+Y25+3%</f>
        <v>-4.0000000000000008E-2</v>
      </c>
      <c r="Z24" s="389">
        <f>+Z25+2%</f>
        <v>9.0000000000000011E-2</v>
      </c>
      <c r="AA24" s="389">
        <f t="shared" ref="AA24" si="52">+AA25+2%</f>
        <v>4.3999999999999997E-2</v>
      </c>
      <c r="AB24" s="389">
        <f t="shared" ref="AB24:AF24" si="53">+AB25+2%</f>
        <v>0.1</v>
      </c>
      <c r="AD24" s="447">
        <f t="shared" si="53"/>
        <v>0.30000000000000004</v>
      </c>
      <c r="AE24" s="447">
        <f t="shared" si="53"/>
        <v>0.10300000000000001</v>
      </c>
      <c r="AF24" s="447">
        <f t="shared" si="53"/>
        <v>7.0000000000000007E-2</v>
      </c>
    </row>
    <row r="25" spans="2:32" x14ac:dyDescent="0.2">
      <c r="B25" s="328" t="s">
        <v>26</v>
      </c>
      <c r="E25" s="346"/>
      <c r="F25" s="346"/>
      <c r="G25" s="346"/>
      <c r="H25" s="346"/>
      <c r="J25" s="346"/>
      <c r="K25" s="346"/>
      <c r="L25" s="346"/>
      <c r="M25" s="346"/>
      <c r="O25" s="346"/>
      <c r="P25" s="346"/>
      <c r="Q25" s="346"/>
      <c r="R25" s="346"/>
      <c r="T25" s="389">
        <v>6.35</v>
      </c>
      <c r="U25" s="389">
        <v>0.05</v>
      </c>
      <c r="V25" s="389">
        <v>0.06</v>
      </c>
      <c r="W25" s="389">
        <v>0.22</v>
      </c>
      <c r="Y25" s="389">
        <v>-7.0000000000000007E-2</v>
      </c>
      <c r="Z25" s="389">
        <v>7.0000000000000007E-2</v>
      </c>
      <c r="AA25" s="389">
        <v>2.4E-2</v>
      </c>
      <c r="AB25" s="389">
        <v>0.08</v>
      </c>
      <c r="AD25" s="448">
        <v>0.28000000000000003</v>
      </c>
      <c r="AE25" s="448">
        <v>8.3000000000000004E-2</v>
      </c>
      <c r="AF25" s="448">
        <v>0.05</v>
      </c>
    </row>
    <row r="26" spans="2:32" x14ac:dyDescent="0.2">
      <c r="B26" s="328" t="s">
        <v>34</v>
      </c>
      <c r="E26" s="346"/>
      <c r="F26" s="346"/>
      <c r="G26" s="346"/>
      <c r="H26" s="346"/>
      <c r="J26" s="346"/>
      <c r="K26" s="346"/>
      <c r="L26" s="346"/>
      <c r="M26" s="346"/>
      <c r="O26" s="346"/>
      <c r="P26" s="346"/>
      <c r="Q26" s="346"/>
      <c r="R26" s="346"/>
      <c r="T26" s="389">
        <f>+T25-25%</f>
        <v>6.1</v>
      </c>
      <c r="U26" s="389">
        <f>+U25-2%</f>
        <v>3.0000000000000002E-2</v>
      </c>
      <c r="V26" s="389">
        <f t="shared" ref="V26:W26" si="54">+V25-2%</f>
        <v>3.9999999999999994E-2</v>
      </c>
      <c r="W26" s="389">
        <f t="shared" si="54"/>
        <v>0.2</v>
      </c>
      <c r="Y26" s="389">
        <f>+Y25-2%</f>
        <v>-9.0000000000000011E-2</v>
      </c>
      <c r="Z26" s="389">
        <f>+Z25-2%</f>
        <v>0.05</v>
      </c>
      <c r="AA26" s="389">
        <f t="shared" ref="AA26" si="55">+AA25-2%</f>
        <v>4.0000000000000001E-3</v>
      </c>
      <c r="AB26" s="389">
        <f t="shared" ref="AB26:AD26" si="56">+AB25-2%</f>
        <v>0.06</v>
      </c>
      <c r="AD26" s="447">
        <f t="shared" si="56"/>
        <v>0.26</v>
      </c>
      <c r="AE26" s="447">
        <f t="shared" ref="AE26:AF26" si="57">+AE25-2%</f>
        <v>6.3E-2</v>
      </c>
      <c r="AF26" s="447">
        <f t="shared" ref="AF26" si="58">+AF25-2%</f>
        <v>3.0000000000000002E-2</v>
      </c>
    </row>
    <row r="27" spans="2:32" x14ac:dyDescent="0.2">
      <c r="E27" s="346"/>
      <c r="F27" s="346"/>
      <c r="G27" s="346"/>
      <c r="H27" s="346"/>
      <c r="J27" s="346"/>
      <c r="K27" s="346"/>
      <c r="L27" s="346"/>
      <c r="M27" s="346"/>
      <c r="O27" s="346"/>
      <c r="P27" s="346"/>
      <c r="Q27" s="346"/>
      <c r="R27" s="346"/>
      <c r="T27" s="345"/>
      <c r="U27" s="345"/>
      <c r="V27" s="345"/>
      <c r="W27" s="345"/>
      <c r="Y27" s="345"/>
      <c r="Z27" s="345"/>
      <c r="AA27" s="345"/>
      <c r="AB27" s="345"/>
    </row>
    <row r="28" spans="2:32" x14ac:dyDescent="0.2">
      <c r="B28" s="328" t="str">
        <f>+Model!B21</f>
        <v>Realized Performance Income Compensation</v>
      </c>
      <c r="E28" s="359">
        <f>+Model!E21</f>
        <v>-29714</v>
      </c>
      <c r="F28" s="359">
        <f>+Model!F21</f>
        <v>-17183</v>
      </c>
      <c r="G28" s="359">
        <f>+Model!G21</f>
        <v>-34679</v>
      </c>
      <c r="H28" s="359">
        <f>+Model!H21</f>
        <v>-22014</v>
      </c>
      <c r="I28" s="349">
        <f>+SUM(E28:H28)</f>
        <v>-103590</v>
      </c>
      <c r="J28" s="359">
        <f>+Model!J21</f>
        <v>-20211</v>
      </c>
      <c r="K28" s="359">
        <f>+Model!K21</f>
        <v>-20782</v>
      </c>
      <c r="L28" s="359">
        <f>+Model!L21</f>
        <v>-22732</v>
      </c>
      <c r="M28" s="359">
        <f>+Model!M21</f>
        <v>-16473</v>
      </c>
      <c r="N28" s="349">
        <f>+SUM(J28:M28)</f>
        <v>-80198</v>
      </c>
      <c r="O28" s="359">
        <f>+Model!O21</f>
        <v>-32694</v>
      </c>
      <c r="P28" s="359">
        <f>+Model!P21</f>
        <v>-23100</v>
      </c>
      <c r="Q28" s="359">
        <f>+Model!Q21</f>
        <v>-665</v>
      </c>
      <c r="R28" s="359">
        <f>+Model!R21</f>
        <v>-4061</v>
      </c>
      <c r="S28" s="349">
        <f>+SUM(O28:R28)</f>
        <v>-60520</v>
      </c>
      <c r="T28" s="353">
        <f>+T29*T22</f>
        <v>-29838.059999999998</v>
      </c>
      <c r="U28" s="353">
        <f t="shared" ref="U28:W28" si="59">+U29*U22</f>
        <v>-31329.963</v>
      </c>
      <c r="V28" s="353">
        <f t="shared" si="59"/>
        <v>-33209.760780000004</v>
      </c>
      <c r="W28" s="353">
        <f t="shared" si="59"/>
        <v>-40515.908151600008</v>
      </c>
      <c r="X28" s="349">
        <f>SUM(T28:W28)</f>
        <v>-134893.69193160001</v>
      </c>
      <c r="Y28" s="353">
        <f>+Y29*Y22</f>
        <v>-37679.794580988004</v>
      </c>
      <c r="Z28" s="353">
        <f t="shared" ref="Z28" si="60">+Z29*Z22</f>
        <v>-40317.380201657164</v>
      </c>
      <c r="AA28" s="353">
        <f t="shared" ref="AA28" si="61">+AA29*AA22</f>
        <v>-41284.997326496938</v>
      </c>
      <c r="AB28" s="353">
        <f t="shared" ref="AB28" si="62">+AB29*AB22</f>
        <v>-44587.797112616696</v>
      </c>
      <c r="AC28" s="349">
        <f>SUM(Y28:AB28)</f>
        <v>-163869.96922175877</v>
      </c>
      <c r="AD28" s="349">
        <f t="shared" ref="AD28" si="63">+AD29*AD22</f>
        <v>-209753.56060385131</v>
      </c>
      <c r="AE28" s="349">
        <f t="shared" ref="AE28" si="64">+AE29*AE22</f>
        <v>-221105.42330373172</v>
      </c>
      <c r="AF28" s="349">
        <f t="shared" ref="AF28" si="65">+AF29*AF22</f>
        <v>-232160.69446891831</v>
      </c>
    </row>
    <row r="29" spans="2:32" x14ac:dyDescent="0.2">
      <c r="B29" s="328" t="s">
        <v>515</v>
      </c>
      <c r="E29" s="358"/>
      <c r="F29" s="358">
        <f>+F28/F22</f>
        <v>-0.14984085458905602</v>
      </c>
      <c r="G29" s="358">
        <f t="shared" ref="G29:H29" si="66">+G28/G22</f>
        <v>-0.14999826986626066</v>
      </c>
      <c r="H29" s="358">
        <f t="shared" si="66"/>
        <v>-0.14999795587413636</v>
      </c>
      <c r="I29" s="62"/>
      <c r="J29" s="358">
        <f>+J28/J22</f>
        <v>-0.14998552907912996</v>
      </c>
      <c r="K29" s="358">
        <f t="shared" ref="K29:M29" si="67">+K28/K22</f>
        <v>-0.15000072178193524</v>
      </c>
      <c r="L29" s="358">
        <f t="shared" si="67"/>
        <v>-0.15000065986565136</v>
      </c>
      <c r="M29" s="358">
        <f t="shared" si="67"/>
        <v>-0.14999590249765532</v>
      </c>
      <c r="N29" s="62">
        <f>+N28/N22</f>
        <v>-0.14999588529704413</v>
      </c>
      <c r="O29" s="358">
        <f>+O28/O22</f>
        <v>-0.15000206462742652</v>
      </c>
      <c r="P29" s="358">
        <f t="shared" ref="P29" si="68">+P28/P22</f>
        <v>-0.15000194807724776</v>
      </c>
      <c r="Q29" s="358">
        <f t="shared" ref="Q29" si="69">+Q28/Q22</f>
        <v>-0.14990982867448152</v>
      </c>
      <c r="R29" s="358">
        <f t="shared" ref="R29" si="70">+R28/R22</f>
        <v>-0.15005172923440732</v>
      </c>
      <c r="S29" s="62">
        <f>+S28/S22</f>
        <v>-0.15000433753454537</v>
      </c>
      <c r="T29" s="392">
        <f t="shared" ref="T29" si="71">IF(Case_Scenario="Bull",T30,IF(Case_Scenario="Base",T31,IF(Case_Scenario="Bear",T32,"N/A")))</f>
        <v>-0.15</v>
      </c>
      <c r="U29" s="392">
        <f t="shared" ref="U29:W29" si="72">IF(Case_Scenario="Bull",U30,IF(Case_Scenario="Base",U31,IF(Case_Scenario="Bear",U32,"N/A")))</f>
        <v>-0.15</v>
      </c>
      <c r="V29" s="392">
        <f t="shared" si="72"/>
        <v>-0.15</v>
      </c>
      <c r="W29" s="392">
        <f t="shared" si="72"/>
        <v>-0.15</v>
      </c>
      <c r="X29" s="62">
        <f>+X28/X22</f>
        <v>-0.15</v>
      </c>
      <c r="Y29" s="392">
        <f t="shared" ref="Y29:AB29" si="73">IF(Case_Scenario="Bull",Y30,IF(Case_Scenario="Base",Y31,IF(Case_Scenario="Bear",Y32,"N/A")))</f>
        <v>-0.15</v>
      </c>
      <c r="Z29" s="392">
        <f t="shared" si="73"/>
        <v>-0.15</v>
      </c>
      <c r="AA29" s="392">
        <f t="shared" si="73"/>
        <v>-0.15</v>
      </c>
      <c r="AB29" s="392">
        <f t="shared" si="73"/>
        <v>-0.15</v>
      </c>
      <c r="AC29" s="62">
        <f>+AC28/AC22</f>
        <v>-0.14999999999999997</v>
      </c>
      <c r="AD29" s="393">
        <f t="shared" ref="AD29:AF29" si="74">IF(Case_Scenario="Bull",AD30,IF(Case_Scenario="Base",AD31,IF(Case_Scenario="Bear",AD32,"N/A")))</f>
        <v>-0.15</v>
      </c>
      <c r="AE29" s="393">
        <f t="shared" si="74"/>
        <v>-0.14599999999999999</v>
      </c>
      <c r="AF29" s="393">
        <f t="shared" si="74"/>
        <v>-0.14599999999999999</v>
      </c>
    </row>
    <row r="30" spans="2:32" x14ac:dyDescent="0.2">
      <c r="B30" s="328" t="s">
        <v>17</v>
      </c>
      <c r="E30" s="346"/>
      <c r="F30" s="346"/>
      <c r="G30" s="346"/>
      <c r="H30" s="346"/>
      <c r="J30" s="346"/>
      <c r="K30" s="346"/>
      <c r="L30" s="346"/>
      <c r="M30" s="346"/>
      <c r="O30" s="346"/>
      <c r="P30" s="346"/>
      <c r="Q30" s="346"/>
      <c r="R30" s="346"/>
      <c r="T30" s="389">
        <v>-0.15</v>
      </c>
      <c r="U30" s="389">
        <v>-0.15</v>
      </c>
      <c r="V30" s="389">
        <v>-0.15</v>
      </c>
      <c r="W30" s="389">
        <v>-0.15</v>
      </c>
      <c r="Y30" s="389">
        <v>-0.15</v>
      </c>
      <c r="Z30" s="389">
        <v>-0.15</v>
      </c>
      <c r="AA30" s="389">
        <v>-0.15</v>
      </c>
      <c r="AB30" s="389">
        <v>-0.15</v>
      </c>
      <c r="AD30" s="391">
        <v>-0.15</v>
      </c>
      <c r="AE30" s="391">
        <f>AE29+0.004</f>
        <v>-0.14199999999999999</v>
      </c>
      <c r="AF30" s="391">
        <f>AF29+0.004</f>
        <v>-0.14199999999999999</v>
      </c>
    </row>
    <row r="31" spans="2:32" x14ac:dyDescent="0.2">
      <c r="B31" s="328" t="s">
        <v>26</v>
      </c>
      <c r="E31" s="346"/>
      <c r="F31" s="346"/>
      <c r="G31" s="346"/>
      <c r="H31" s="346"/>
      <c r="J31" s="346"/>
      <c r="K31" s="346"/>
      <c r="L31" s="346"/>
      <c r="M31" s="346"/>
      <c r="O31" s="346"/>
      <c r="P31" s="346"/>
      <c r="Q31" s="346"/>
      <c r="R31" s="346"/>
      <c r="T31" s="389">
        <v>-0.15</v>
      </c>
      <c r="U31" s="389">
        <v>-0.15</v>
      </c>
      <c r="V31" s="389">
        <v>-0.15</v>
      </c>
      <c r="W31" s="389">
        <v>-0.15</v>
      </c>
      <c r="Y31" s="389">
        <v>-0.15</v>
      </c>
      <c r="Z31" s="389">
        <v>-0.15</v>
      </c>
      <c r="AA31" s="389">
        <v>-0.15</v>
      </c>
      <c r="AB31" s="389">
        <v>-0.15</v>
      </c>
      <c r="AD31" s="391">
        <v>-0.15</v>
      </c>
      <c r="AE31" s="391">
        <v>-0.14599999999999999</v>
      </c>
      <c r="AF31" s="391">
        <v>-0.14599999999999999</v>
      </c>
    </row>
    <row r="32" spans="2:32" x14ac:dyDescent="0.2">
      <c r="B32" s="328" t="s">
        <v>34</v>
      </c>
      <c r="E32" s="346"/>
      <c r="F32" s="346"/>
      <c r="G32" s="346"/>
      <c r="H32" s="346"/>
      <c r="J32" s="346"/>
      <c r="K32" s="346"/>
      <c r="L32" s="346"/>
      <c r="M32" s="346"/>
      <c r="O32" s="346"/>
      <c r="P32" s="346"/>
      <c r="Q32" s="346"/>
      <c r="R32" s="346"/>
      <c r="T32" s="389">
        <v>-0.15</v>
      </c>
      <c r="U32" s="389">
        <v>-0.15</v>
      </c>
      <c r="V32" s="389">
        <v>-0.15</v>
      </c>
      <c r="W32" s="389">
        <v>-0.15</v>
      </c>
      <c r="Y32" s="389">
        <v>-0.15</v>
      </c>
      <c r="Z32" s="389">
        <v>-0.15</v>
      </c>
      <c r="AA32" s="389">
        <v>-0.15</v>
      </c>
      <c r="AB32" s="389">
        <v>-0.15</v>
      </c>
      <c r="AD32" s="391">
        <v>-0.15</v>
      </c>
      <c r="AE32" s="391">
        <f>AE31-0.004</f>
        <v>-0.15</v>
      </c>
      <c r="AF32" s="391">
        <f>AF31-0.004</f>
        <v>-0.15</v>
      </c>
    </row>
    <row r="33" spans="2:32" x14ac:dyDescent="0.2">
      <c r="E33" s="346"/>
      <c r="F33" s="346"/>
      <c r="G33" s="346"/>
      <c r="H33" s="346"/>
      <c r="J33" s="346"/>
      <c r="K33" s="346"/>
      <c r="L33" s="346"/>
      <c r="M33" s="346"/>
      <c r="O33" s="346"/>
      <c r="P33" s="346"/>
      <c r="Q33" s="346"/>
      <c r="R33" s="346"/>
      <c r="T33" s="345"/>
      <c r="U33" s="345"/>
      <c r="V33" s="345"/>
      <c r="W33" s="345"/>
      <c r="Y33" s="345"/>
      <c r="Z33" s="345"/>
      <c r="AA33" s="345"/>
      <c r="AB33" s="345"/>
    </row>
    <row r="34" spans="2:32" x14ac:dyDescent="0.2">
      <c r="B34" s="88" t="s">
        <v>5</v>
      </c>
      <c r="E34" s="346"/>
      <c r="F34" s="346"/>
      <c r="G34" s="346"/>
      <c r="H34" s="346"/>
      <c r="J34" s="346"/>
      <c r="K34" s="346"/>
      <c r="L34" s="346"/>
      <c r="M34" s="346"/>
      <c r="O34" s="346"/>
      <c r="P34" s="346"/>
      <c r="Q34" s="346"/>
      <c r="R34" s="346"/>
      <c r="T34" s="345"/>
      <c r="U34" s="345"/>
      <c r="V34" s="345"/>
      <c r="W34" s="345"/>
      <c r="Y34" s="345"/>
      <c r="Z34" s="345"/>
      <c r="AA34" s="345"/>
      <c r="AB34" s="345"/>
    </row>
    <row r="35" spans="2:32" x14ac:dyDescent="0.2">
      <c r="B35" s="328" t="str">
        <f>+Model!B27</f>
        <v>Net Investment Income</v>
      </c>
      <c r="E35" s="359">
        <f>+Model!E27</f>
        <v>1271255</v>
      </c>
      <c r="F35" s="359">
        <f>+Model!F27</f>
        <v>1283794</v>
      </c>
      <c r="G35" s="359">
        <f>+Model!G27</f>
        <v>1356407</v>
      </c>
      <c r="H35" s="359">
        <f>+Model!H27</f>
        <v>1466361</v>
      </c>
      <c r="I35" s="349">
        <f>+SUM(E35:H35)</f>
        <v>5377817</v>
      </c>
      <c r="J35" s="359">
        <f>+Model!J27</f>
        <v>1486419</v>
      </c>
      <c r="K35" s="359">
        <f>+Model!K27</f>
        <v>1538046</v>
      </c>
      <c r="L35" s="359">
        <f>+Model!L27</f>
        <v>1636300</v>
      </c>
      <c r="M35" s="359">
        <f>+Model!M27</f>
        <v>1668057</v>
      </c>
      <c r="N35" s="349">
        <f>+SUM(J35:M35)</f>
        <v>6328822</v>
      </c>
      <c r="O35" s="359">
        <f>+Model!O27</f>
        <v>1729343</v>
      </c>
      <c r="P35" s="359">
        <f>+Model!P27</f>
        <v>1788525</v>
      </c>
      <c r="Q35" s="359">
        <f>+Model!Q27</f>
        <v>1835025</v>
      </c>
      <c r="R35" s="359">
        <f>+Model!R27</f>
        <v>1871225</v>
      </c>
      <c r="S35" s="349">
        <f>+SUM(O35:R35)</f>
        <v>7224118</v>
      </c>
      <c r="T35" s="353">
        <f>+R35*(1+T36)</f>
        <v>1981627.2749999999</v>
      </c>
      <c r="U35" s="353">
        <f>+T35*(1+U36)</f>
        <v>1985590.5295499999</v>
      </c>
      <c r="V35" s="353">
        <f>+U35*(1+V36)</f>
        <v>2033244.7022591999</v>
      </c>
      <c r="W35" s="353">
        <f>+V35*(1+W36)</f>
        <v>2092208.7986247165</v>
      </c>
      <c r="X35" s="349">
        <f>SUM(T35:W35)</f>
        <v>8092671.3054339159</v>
      </c>
      <c r="Y35" s="353">
        <f>+W35*(1+Y36)</f>
        <v>2160205.5845800196</v>
      </c>
      <c r="Z35" s="353">
        <f>+Y35*(1+Z36)</f>
        <v>2225011.7521174201</v>
      </c>
      <c r="AA35" s="353">
        <f>+Z35*(1+AA36)</f>
        <v>2291762.1046809428</v>
      </c>
      <c r="AB35" s="353">
        <f>+AA35*(1+AB36)</f>
        <v>2360514.9678213713</v>
      </c>
      <c r="AC35" s="349">
        <f>SUM(Y35:AB35)</f>
        <v>9037494.4091997538</v>
      </c>
      <c r="AD35" s="349">
        <f>+AC35*(1+AD36)</f>
        <v>9728862.7315035351</v>
      </c>
      <c r="AE35" s="349">
        <f>+AD35*(1+AE36)</f>
        <v>10830656.435846312</v>
      </c>
      <c r="AF35" s="349">
        <f>+AE35*(1+AF36)</f>
        <v>11697108.950714018</v>
      </c>
    </row>
    <row r="36" spans="2:32" x14ac:dyDescent="0.2">
      <c r="B36" s="328" t="s">
        <v>15</v>
      </c>
      <c r="E36" s="358"/>
      <c r="F36" s="358">
        <f>+F35/E35-1</f>
        <v>9.8634813629052687E-3</v>
      </c>
      <c r="G36" s="358">
        <f t="shared" ref="G36:H36" si="75">+G35/F35-1</f>
        <v>5.6561255154643275E-2</v>
      </c>
      <c r="H36" s="358">
        <f t="shared" si="75"/>
        <v>8.1062689885852857E-2</v>
      </c>
      <c r="I36" s="62"/>
      <c r="J36" s="358">
        <f>+J35/I35-1</f>
        <v>-0.7236017886067897</v>
      </c>
      <c r="K36" s="358">
        <f>+K35/J35-1</f>
        <v>3.4732467763127328E-2</v>
      </c>
      <c r="L36" s="358">
        <f t="shared" ref="L36" si="76">+L35/K35-1</f>
        <v>6.388235462398395E-2</v>
      </c>
      <c r="M36" s="358">
        <f t="shared" ref="M36" si="77">+M35/L35-1</f>
        <v>1.9407810303734063E-2</v>
      </c>
      <c r="N36" s="62">
        <f>+N35/I35-1</f>
        <v>0.17683848297552696</v>
      </c>
      <c r="O36" s="358">
        <f>+O35/N35-1</f>
        <v>-0.72675120267247206</v>
      </c>
      <c r="P36" s="358">
        <f>+P35/O35-1</f>
        <v>3.4222245095391735E-2</v>
      </c>
      <c r="Q36" s="358">
        <f t="shared" ref="Q36" si="78">+Q35/P35-1</f>
        <v>2.5999077452090402E-2</v>
      </c>
      <c r="R36" s="358">
        <f t="shared" ref="R36" si="79">+R35/Q35-1</f>
        <v>1.9727251672320589E-2</v>
      </c>
      <c r="S36" s="62">
        <f>+S35/N35-1</f>
        <v>0.14146329285291959</v>
      </c>
      <c r="T36" s="392">
        <f t="shared" ref="T36" si="80">IF(Case_Scenario="Bull",T37,IF(Case_Scenario="Base",T38,IF(Case_Scenario="Bear",T39,"N/A")))</f>
        <v>5.8999999999999997E-2</v>
      </c>
      <c r="U36" s="392">
        <f t="shared" ref="U36:W36" si="81">IF(Case_Scenario="Bull",U37,IF(Case_Scenario="Base",U38,IF(Case_Scenario="Bear",U39,"N/A")))</f>
        <v>2E-3</v>
      </c>
      <c r="V36" s="392">
        <f t="shared" si="81"/>
        <v>2.4E-2</v>
      </c>
      <c r="W36" s="392">
        <f t="shared" si="81"/>
        <v>2.9000000000000001E-2</v>
      </c>
      <c r="X36" s="62">
        <f>+X35/S35-1</f>
        <v>0.12022966754334807</v>
      </c>
      <c r="Y36" s="392">
        <f t="shared" ref="Y36:AB36" si="82">IF(Case_Scenario="Bull",Y37,IF(Case_Scenario="Base",Y38,IF(Case_Scenario="Bear",Y39,"N/A")))</f>
        <v>3.2500000000000001E-2</v>
      </c>
      <c r="Z36" s="392">
        <f t="shared" si="82"/>
        <v>0.03</v>
      </c>
      <c r="AA36" s="392">
        <f t="shared" si="82"/>
        <v>0.03</v>
      </c>
      <c r="AB36" s="392">
        <f t="shared" si="82"/>
        <v>0.03</v>
      </c>
      <c r="AC36" s="62">
        <f>+AC35/X35-1</f>
        <v>0.1167504607695391</v>
      </c>
      <c r="AD36" s="393">
        <f t="shared" ref="AD36:AF36" si="83">IF(Case_Scenario="Bull",AD37,IF(Case_Scenario="Base",AD38,IF(Case_Scenario="Bear",AD39,"N/A")))</f>
        <v>7.6499999999999999E-2</v>
      </c>
      <c r="AE36" s="393">
        <f t="shared" si="83"/>
        <v>0.11325</v>
      </c>
      <c r="AF36" s="393">
        <f t="shared" si="83"/>
        <v>0.08</v>
      </c>
    </row>
    <row r="37" spans="2:32" x14ac:dyDescent="0.2">
      <c r="B37" s="328" t="s">
        <v>17</v>
      </c>
      <c r="E37" s="346"/>
      <c r="F37" s="346"/>
      <c r="G37" s="346"/>
      <c r="H37" s="346"/>
      <c r="J37" s="346"/>
      <c r="K37" s="346"/>
      <c r="L37" s="346"/>
      <c r="M37" s="346"/>
      <c r="O37" s="346"/>
      <c r="P37" s="346"/>
      <c r="Q37" s="346"/>
      <c r="R37" s="346"/>
      <c r="T37" s="389">
        <f>+T38+2%</f>
        <v>7.9000000000000001E-2</v>
      </c>
      <c r="U37" s="389">
        <f>+U38+1%</f>
        <v>1.2E-2</v>
      </c>
      <c r="V37" s="389">
        <f t="shared" ref="V37:W37" si="84">+V38+2%</f>
        <v>4.3999999999999997E-2</v>
      </c>
      <c r="W37" s="389">
        <f t="shared" si="84"/>
        <v>4.9000000000000002E-2</v>
      </c>
      <c r="Y37" s="389">
        <f t="shared" ref="Y37" si="85">+Y38+2%</f>
        <v>5.2500000000000005E-2</v>
      </c>
      <c r="Z37" s="389">
        <f t="shared" ref="Z37" si="86">+Z38+2%</f>
        <v>0.05</v>
      </c>
      <c r="AA37" s="389">
        <f t="shared" ref="AA37" si="87">+AA38+2%</f>
        <v>0.05</v>
      </c>
      <c r="AB37" s="389">
        <f t="shared" ref="AB37:AF37" si="88">+AB38+2%</f>
        <v>0.05</v>
      </c>
      <c r="AD37" s="447">
        <f t="shared" si="88"/>
        <v>9.6500000000000002E-2</v>
      </c>
      <c r="AE37" s="447">
        <f t="shared" si="88"/>
        <v>0.13325000000000001</v>
      </c>
      <c r="AF37" s="447">
        <f t="shared" si="88"/>
        <v>0.1</v>
      </c>
    </row>
    <row r="38" spans="2:32" x14ac:dyDescent="0.2">
      <c r="B38" s="328" t="s">
        <v>26</v>
      </c>
      <c r="E38" s="346"/>
      <c r="F38" s="346"/>
      <c r="G38" s="346"/>
      <c r="H38" s="346"/>
      <c r="J38" s="346"/>
      <c r="K38" s="346"/>
      <c r="L38" s="346"/>
      <c r="M38" s="346"/>
      <c r="O38" s="346"/>
      <c r="P38" s="346"/>
      <c r="Q38" s="346"/>
      <c r="R38" s="346"/>
      <c r="T38" s="389">
        <v>5.8999999999999997E-2</v>
      </c>
      <c r="U38" s="389">
        <v>2E-3</v>
      </c>
      <c r="V38" s="389">
        <v>2.4E-2</v>
      </c>
      <c r="W38" s="389">
        <v>2.9000000000000001E-2</v>
      </c>
      <c r="Y38" s="389">
        <v>3.2500000000000001E-2</v>
      </c>
      <c r="Z38" s="389">
        <v>0.03</v>
      </c>
      <c r="AA38" s="389">
        <v>0.03</v>
      </c>
      <c r="AB38" s="389">
        <v>0.03</v>
      </c>
      <c r="AD38" s="447">
        <v>7.6499999999999999E-2</v>
      </c>
      <c r="AE38" s="447">
        <v>0.11325</v>
      </c>
      <c r="AF38" s="447">
        <v>0.08</v>
      </c>
    </row>
    <row r="39" spans="2:32" x14ac:dyDescent="0.2">
      <c r="B39" s="328" t="s">
        <v>34</v>
      </c>
      <c r="E39" s="346"/>
      <c r="F39" s="346"/>
      <c r="G39" s="346"/>
      <c r="H39" s="346"/>
      <c r="J39" s="346"/>
      <c r="K39" s="346"/>
      <c r="L39" s="346"/>
      <c r="M39" s="346"/>
      <c r="O39" s="346"/>
      <c r="P39" s="346"/>
      <c r="Q39" s="346"/>
      <c r="R39" s="346"/>
      <c r="T39" s="389">
        <f>+T38-2%</f>
        <v>3.8999999999999993E-2</v>
      </c>
      <c r="U39" s="389">
        <f>+U38-1%</f>
        <v>-8.0000000000000002E-3</v>
      </c>
      <c r="V39" s="389">
        <f t="shared" ref="V39:W39" si="89">+V38-2%</f>
        <v>4.0000000000000001E-3</v>
      </c>
      <c r="W39" s="389">
        <f t="shared" si="89"/>
        <v>9.0000000000000011E-3</v>
      </c>
      <c r="Y39" s="389">
        <f>+Y38-1%</f>
        <v>2.2499999999999999E-2</v>
      </c>
      <c r="Z39" s="389">
        <f>+Z38-1%</f>
        <v>1.9999999999999997E-2</v>
      </c>
      <c r="AA39" s="389">
        <f t="shared" ref="AA39" si="90">+AA38-2%</f>
        <v>9.9999999999999985E-3</v>
      </c>
      <c r="AB39" s="389">
        <f t="shared" ref="AB39:AD39" si="91">+AB38-2%</f>
        <v>9.9999999999999985E-3</v>
      </c>
      <c r="AD39" s="447">
        <f t="shared" si="91"/>
        <v>5.6499999999999995E-2</v>
      </c>
      <c r="AE39" s="447">
        <f t="shared" ref="AE39:AF39" si="92">+AE38-2%</f>
        <v>9.325E-2</v>
      </c>
      <c r="AF39" s="447">
        <f t="shared" si="92"/>
        <v>0.06</v>
      </c>
    </row>
    <row r="40" spans="2:32" x14ac:dyDescent="0.2">
      <c r="E40" s="346"/>
      <c r="F40" s="346"/>
      <c r="G40" s="346"/>
      <c r="H40" s="346"/>
      <c r="J40" s="346"/>
      <c r="K40" s="346"/>
      <c r="L40" s="346"/>
      <c r="M40" s="346"/>
      <c r="O40" s="346"/>
      <c r="P40" s="346"/>
      <c r="Q40" s="346"/>
      <c r="R40" s="346"/>
      <c r="T40" s="345"/>
      <c r="U40" s="345"/>
      <c r="V40" s="345"/>
      <c r="W40" s="345"/>
      <c r="Y40" s="345"/>
      <c r="Z40" s="345"/>
      <c r="AA40" s="345"/>
      <c r="AB40" s="345"/>
    </row>
    <row r="41" spans="2:32" x14ac:dyDescent="0.2">
      <c r="B41" s="328" t="str">
        <f>+Model!B28</f>
        <v>Net Cost of Insurance</v>
      </c>
      <c r="E41" s="359">
        <f>+Model!E28</f>
        <v>-750612</v>
      </c>
      <c r="F41" s="359">
        <f>+Model!F28</f>
        <v>-811677</v>
      </c>
      <c r="G41" s="359">
        <f>+Model!G28</f>
        <v>-820014</v>
      </c>
      <c r="H41" s="359">
        <f>+Model!H28</f>
        <v>-900706</v>
      </c>
      <c r="I41" s="349">
        <f>+SUM(E41:H41)</f>
        <v>-3283009</v>
      </c>
      <c r="J41" s="359">
        <f>+Model!J28</f>
        <v>-1003327</v>
      </c>
      <c r="K41" s="359">
        <f>+Model!K28</f>
        <v>-1070616</v>
      </c>
      <c r="L41" s="359">
        <f>+Model!L28</f>
        <v>-1166891</v>
      </c>
      <c r="M41" s="359">
        <f>+Model!M28</f>
        <v>-1208052</v>
      </c>
      <c r="N41" s="349">
        <f>+SUM(J41:M41)</f>
        <v>-4448886</v>
      </c>
      <c r="O41" s="359">
        <f>+Model!O28</f>
        <v>-1241222</v>
      </c>
      <c r="P41" s="359">
        <f>+Model!P28</f>
        <v>-1277381</v>
      </c>
      <c r="Q41" s="359">
        <f>+Model!Q28</f>
        <v>-1305073</v>
      </c>
      <c r="R41" s="359">
        <f>+Model!R28</f>
        <v>-1405667</v>
      </c>
      <c r="S41" s="349">
        <f>+SUM(O41:R41)</f>
        <v>-5229343</v>
      </c>
      <c r="T41" s="353">
        <f>+T42*T35</f>
        <v>-1419835.9425375001</v>
      </c>
      <c r="U41" s="353">
        <f t="shared" ref="U41:W41" si="93">+U42*U35</f>
        <v>-1465365.8108078998</v>
      </c>
      <c r="V41" s="353">
        <f t="shared" si="93"/>
        <v>-1505617.7020229376</v>
      </c>
      <c r="W41" s="353">
        <f t="shared" si="93"/>
        <v>-1544050.0933850408</v>
      </c>
      <c r="X41" s="349">
        <f>SUM(T41:W41)</f>
        <v>-5934869.5487533789</v>
      </c>
      <c r="Y41" s="353">
        <f>+Y42*Y35</f>
        <v>-1588831.2074586046</v>
      </c>
      <c r="Z41" s="353">
        <f t="shared" ref="Z41" si="94">+Z42*Z35</f>
        <v>-1630933.6143020689</v>
      </c>
      <c r="AA41" s="353">
        <f t="shared" ref="AA41" si="95">+AA42*AA35</f>
        <v>-1675278.0985217693</v>
      </c>
      <c r="AB41" s="353">
        <f t="shared" ref="AB41" si="96">+AB42*AB35</f>
        <v>-1721995.6690256905</v>
      </c>
      <c r="AC41" s="349">
        <f>SUM(Y41:AB41)</f>
        <v>-6617038.5893081333</v>
      </c>
      <c r="AD41" s="349">
        <f t="shared" ref="AD41" si="97">+AD42*AD35</f>
        <v>-7199358.4213126162</v>
      </c>
      <c r="AE41" s="349">
        <f t="shared" ref="AE41" si="98">+AE42*AE35</f>
        <v>-8003855.1060904246</v>
      </c>
      <c r="AF41" s="349">
        <f t="shared" ref="AF41" si="99">+AF42*AF35</f>
        <v>-8655860.6235283725</v>
      </c>
    </row>
    <row r="42" spans="2:32" x14ac:dyDescent="0.2">
      <c r="B42" s="328" t="s">
        <v>517</v>
      </c>
      <c r="E42" s="358">
        <f>+E41/E$35</f>
        <v>-0.5904495950851717</v>
      </c>
      <c r="F42" s="358">
        <f>+F41/F$35</f>
        <v>-0.63224863178983548</v>
      </c>
      <c r="G42" s="358">
        <f t="shared" ref="G42:H42" si="100">+G41/G$35</f>
        <v>-0.60454863473868836</v>
      </c>
      <c r="H42" s="358">
        <f t="shared" si="100"/>
        <v>-0.61424574166934331</v>
      </c>
      <c r="I42" s="62">
        <f>+I41/I$35</f>
        <v>-0.61047242775274801</v>
      </c>
      <c r="J42" s="358">
        <f>+J41/J$35</f>
        <v>-0.67499608118572219</v>
      </c>
      <c r="K42" s="358">
        <f>+K41/K$35</f>
        <v>-0.69608841348048112</v>
      </c>
      <c r="L42" s="358">
        <f t="shared" ref="L42" si="101">+L41/L$35</f>
        <v>-0.71312778830287848</v>
      </c>
      <c r="M42" s="358">
        <f t="shared" ref="M42" si="102">+M41/M$35</f>
        <v>-0.72422704979506092</v>
      </c>
      <c r="N42" s="62">
        <f>+N41/N$35</f>
        <v>-0.70295641116150842</v>
      </c>
      <c r="O42" s="358">
        <f>+O41/O$35</f>
        <v>-0.71774194014721193</v>
      </c>
      <c r="P42" s="358">
        <f>+P41/P$35</f>
        <v>-0.71420919472749889</v>
      </c>
      <c r="Q42" s="358">
        <f t="shared" ref="Q42" si="103">+Q41/Q$35</f>
        <v>-0.71120175474448577</v>
      </c>
      <c r="R42" s="358">
        <f t="shared" ref="R42" si="104">+R41/R$35</f>
        <v>-0.75120148565779099</v>
      </c>
      <c r="S42" s="62">
        <f>+S41/S$35</f>
        <v>-0.72387286586404043</v>
      </c>
      <c r="T42" s="392">
        <f t="shared" ref="T42" si="105">IF(Case_Scenario="Bull",T43,IF(Case_Scenario="Base",T44,IF(Case_Scenario="Bear",T45,"N/A")))</f>
        <v>-0.71650000000000003</v>
      </c>
      <c r="U42" s="392">
        <f t="shared" ref="U42:W42" si="106">IF(Case_Scenario="Bull",U43,IF(Case_Scenario="Base",U44,IF(Case_Scenario="Bear",U45,"N/A")))</f>
        <v>-0.73799999999999999</v>
      </c>
      <c r="V42" s="392">
        <f t="shared" si="106"/>
        <v>-0.74050000000000005</v>
      </c>
      <c r="W42" s="392">
        <f t="shared" si="106"/>
        <v>-0.73799999999999999</v>
      </c>
      <c r="X42" s="62">
        <f>+X41/X$35</f>
        <v>-0.73336347477356989</v>
      </c>
      <c r="Y42" s="392">
        <f t="shared" ref="Y42:AB42" si="107">IF(Case_Scenario="Bull",Y43,IF(Case_Scenario="Base",Y44,IF(Case_Scenario="Bear",Y45,"N/A")))</f>
        <v>-0.73550000000000004</v>
      </c>
      <c r="Z42" s="392">
        <f t="shared" si="107"/>
        <v>-0.73299999999999998</v>
      </c>
      <c r="AA42" s="392">
        <f t="shared" si="107"/>
        <v>-0.73099999999999998</v>
      </c>
      <c r="AB42" s="392">
        <f t="shared" si="107"/>
        <v>-0.72950000000000004</v>
      </c>
      <c r="AC42" s="62">
        <f>+AC41/AC$35</f>
        <v>-0.73217623045744762</v>
      </c>
      <c r="AD42" s="393">
        <f t="shared" ref="AD42:AF42" si="108">IF(Case_Scenario="Bull",AD43,IF(Case_Scenario="Base",AD44,IF(Case_Scenario="Bear",AD45,"N/A")))</f>
        <v>-0.74</v>
      </c>
      <c r="AE42" s="393">
        <f t="shared" si="108"/>
        <v>-0.73899999999999999</v>
      </c>
      <c r="AF42" s="393">
        <f t="shared" si="108"/>
        <v>-0.74</v>
      </c>
    </row>
    <row r="43" spans="2:32" x14ac:dyDescent="0.2">
      <c r="B43" s="328" t="s">
        <v>17</v>
      </c>
      <c r="E43" s="346"/>
      <c r="F43" s="346"/>
      <c r="G43" s="346"/>
      <c r="H43" s="346"/>
      <c r="J43" s="346"/>
      <c r="K43" s="346"/>
      <c r="L43" s="346"/>
      <c r="M43" s="346"/>
      <c r="O43" s="346"/>
      <c r="P43" s="346"/>
      <c r="Q43" s="346"/>
      <c r="R43" s="346"/>
      <c r="T43" s="389">
        <f>+T44+3%</f>
        <v>-0.6865</v>
      </c>
      <c r="U43" s="389">
        <f t="shared" ref="U43:W43" si="109">+U44+3%</f>
        <v>-0.70799999999999996</v>
      </c>
      <c r="V43" s="389">
        <f t="shared" si="109"/>
        <v>-0.71050000000000002</v>
      </c>
      <c r="W43" s="389">
        <f t="shared" si="109"/>
        <v>-0.70799999999999996</v>
      </c>
      <c r="Y43" s="389">
        <f>+Y44+3%</f>
        <v>-0.70550000000000002</v>
      </c>
      <c r="Z43" s="389">
        <f t="shared" ref="Z43:AF43" si="110">+Z44+3%</f>
        <v>-0.70299999999999996</v>
      </c>
      <c r="AA43" s="389">
        <f t="shared" si="110"/>
        <v>-0.70099999999999996</v>
      </c>
      <c r="AB43" s="389">
        <f t="shared" si="110"/>
        <v>-0.69950000000000001</v>
      </c>
      <c r="AD43" s="447">
        <f t="shared" si="110"/>
        <v>-0.71</v>
      </c>
      <c r="AE43" s="447">
        <f t="shared" si="110"/>
        <v>-0.70899999999999996</v>
      </c>
      <c r="AF43" s="447">
        <f t="shared" si="110"/>
        <v>-0.71</v>
      </c>
    </row>
    <row r="44" spans="2:32" x14ac:dyDescent="0.2">
      <c r="B44" s="328" t="s">
        <v>26</v>
      </c>
      <c r="E44" s="346"/>
      <c r="F44" s="346"/>
      <c r="G44" s="346"/>
      <c r="H44" s="346"/>
      <c r="J44" s="346"/>
      <c r="K44" s="346"/>
      <c r="L44" s="346"/>
      <c r="M44" s="346"/>
      <c r="O44" s="346"/>
      <c r="P44" s="346"/>
      <c r="Q44" s="346"/>
      <c r="R44" s="346"/>
      <c r="T44" s="389">
        <v>-0.71650000000000003</v>
      </c>
      <c r="U44" s="389">
        <v>-0.73799999999999999</v>
      </c>
      <c r="V44" s="389">
        <v>-0.74050000000000005</v>
      </c>
      <c r="W44" s="389">
        <v>-0.73799999999999999</v>
      </c>
      <c r="Y44" s="389">
        <v>-0.73550000000000004</v>
      </c>
      <c r="Z44" s="389">
        <v>-0.73299999999999998</v>
      </c>
      <c r="AA44" s="389">
        <v>-0.73099999999999998</v>
      </c>
      <c r="AB44" s="389">
        <v>-0.72950000000000004</v>
      </c>
      <c r="AD44" s="447">
        <v>-0.74</v>
      </c>
      <c r="AE44" s="447">
        <v>-0.73899999999999999</v>
      </c>
      <c r="AF44" s="447">
        <v>-0.74</v>
      </c>
    </row>
    <row r="45" spans="2:32" x14ac:dyDescent="0.2">
      <c r="B45" s="328" t="s">
        <v>34</v>
      </c>
      <c r="E45" s="346"/>
      <c r="F45" s="346"/>
      <c r="G45" s="346"/>
      <c r="H45" s="346"/>
      <c r="J45" s="346"/>
      <c r="K45" s="346"/>
      <c r="L45" s="346"/>
      <c r="M45" s="346"/>
      <c r="O45" s="346"/>
      <c r="P45" s="346"/>
      <c r="Q45" s="346"/>
      <c r="R45" s="346"/>
      <c r="T45" s="389">
        <f>+T44-2%</f>
        <v>-0.73650000000000004</v>
      </c>
      <c r="U45" s="389">
        <f t="shared" ref="U45:W45" si="111">+U44-2%</f>
        <v>-0.75800000000000001</v>
      </c>
      <c r="V45" s="389">
        <f t="shared" si="111"/>
        <v>-0.76050000000000006</v>
      </c>
      <c r="W45" s="389">
        <f t="shared" si="111"/>
        <v>-0.75800000000000001</v>
      </c>
      <c r="Y45" s="389">
        <f>+Y44-2%</f>
        <v>-0.75550000000000006</v>
      </c>
      <c r="Z45" s="389">
        <f t="shared" ref="Z45:AB45" si="112">+Z44-2%</f>
        <v>-0.753</v>
      </c>
      <c r="AA45" s="389">
        <f t="shared" si="112"/>
        <v>-0.751</v>
      </c>
      <c r="AB45" s="389">
        <f t="shared" si="112"/>
        <v>-0.74950000000000006</v>
      </c>
      <c r="AD45" s="447">
        <f t="shared" ref="AD45:AF45" si="113">+AD44-2%</f>
        <v>-0.76</v>
      </c>
      <c r="AE45" s="447">
        <f t="shared" si="113"/>
        <v>-0.75900000000000001</v>
      </c>
      <c r="AF45" s="447">
        <f t="shared" si="113"/>
        <v>-0.76</v>
      </c>
    </row>
    <row r="46" spans="2:32" x14ac:dyDescent="0.2">
      <c r="E46" s="346"/>
      <c r="F46" s="346"/>
      <c r="G46" s="346"/>
      <c r="H46" s="346"/>
      <c r="J46" s="346"/>
      <c r="K46" s="346"/>
      <c r="L46" s="346"/>
      <c r="M46" s="346"/>
      <c r="O46" s="346"/>
      <c r="P46" s="346"/>
      <c r="Q46" s="346"/>
      <c r="R46" s="346"/>
      <c r="T46" s="345"/>
      <c r="U46" s="345"/>
      <c r="V46" s="345"/>
      <c r="W46" s="345"/>
      <c r="Y46" s="345"/>
      <c r="Z46" s="345"/>
      <c r="AA46" s="345"/>
      <c r="AB46" s="345"/>
    </row>
    <row r="47" spans="2:32" x14ac:dyDescent="0.2">
      <c r="B47" s="328" t="str">
        <f>+Model!B29</f>
        <v>General, Administrative, and Other</v>
      </c>
      <c r="E47" s="359">
        <f>+Model!E29</f>
        <v>-196714</v>
      </c>
      <c r="F47" s="359">
        <f>+Model!F29</f>
        <v>-203285</v>
      </c>
      <c r="G47" s="359">
        <f>+Model!G29</f>
        <v>-204701</v>
      </c>
      <c r="H47" s="359">
        <f>+Model!H29</f>
        <v>-200409</v>
      </c>
      <c r="I47" s="349">
        <f>+SUM(E47:H47)</f>
        <v>-805109</v>
      </c>
      <c r="J47" s="359">
        <f>+Model!J29</f>
        <v>-210252</v>
      </c>
      <c r="K47" s="359">
        <f>+Model!K29</f>
        <v>-214217</v>
      </c>
      <c r="L47" s="359">
        <f>+Model!L29</f>
        <v>-230889</v>
      </c>
      <c r="M47" s="359">
        <f>+Model!M29</f>
        <v>-210032</v>
      </c>
      <c r="N47" s="349">
        <f>+SUM(J47:M47)</f>
        <v>-865390</v>
      </c>
      <c r="O47" s="359">
        <f>+Model!O29</f>
        <v>-229349</v>
      </c>
      <c r="P47" s="359">
        <f>+Model!P29</f>
        <v>-233212</v>
      </c>
      <c r="Q47" s="359">
        <f>+Model!Q29</f>
        <v>-225299</v>
      </c>
      <c r="R47" s="359">
        <f>+Model!R29</f>
        <v>-197520</v>
      </c>
      <c r="S47" s="349">
        <f>+SUM(O47:R47)</f>
        <v>-885380</v>
      </c>
      <c r="T47" s="353">
        <f>+T48*T41</f>
        <v>234272.93051868753</v>
      </c>
      <c r="U47" s="353">
        <f t="shared" ref="U47:W47" si="114">+U48*U41</f>
        <v>241785.35878330347</v>
      </c>
      <c r="V47" s="353">
        <f t="shared" si="114"/>
        <v>244662.87657872736</v>
      </c>
      <c r="W47" s="353">
        <f t="shared" si="114"/>
        <v>240871.81456806636</v>
      </c>
      <c r="X47" s="349">
        <f>SUM(T47:W47)</f>
        <v>961592.98044878477</v>
      </c>
      <c r="Y47" s="353">
        <f>+Y48*Y41</f>
        <v>258185.07121202326</v>
      </c>
      <c r="Z47" s="353">
        <f t="shared" ref="Z47" si="115">+Z48*Z41</f>
        <v>264211.24551693519</v>
      </c>
      <c r="AA47" s="353">
        <f t="shared" ref="AA47" si="116">+AA48*AA41</f>
        <v>266369.2176649613</v>
      </c>
      <c r="AB47" s="353">
        <f t="shared" ref="AB47" si="117">+AB48*AB41</f>
        <v>261743.34169190496</v>
      </c>
      <c r="AC47" s="349">
        <f>SUM(Y47:AB47)</f>
        <v>1050508.8760858248</v>
      </c>
      <c r="AD47" s="349">
        <f t="shared" ref="AD47" si="118">+AD48*AD41</f>
        <v>1097902.159250174</v>
      </c>
      <c r="AE47" s="349">
        <f t="shared" ref="AE47" si="119">+AE48*AE41</f>
        <v>1214184.8195939173</v>
      </c>
      <c r="AF47" s="349">
        <f t="shared" ref="AF47" si="120">+AF48*AF41</f>
        <v>1298379.0935292558</v>
      </c>
    </row>
    <row r="48" spans="2:32" x14ac:dyDescent="0.2">
      <c r="B48" s="328" t="s">
        <v>517</v>
      </c>
      <c r="E48" s="358">
        <f>+E47/E$35</f>
        <v>-0.15474000102261151</v>
      </c>
      <c r="F48" s="358">
        <f>+F47/F$35</f>
        <v>-0.15834705568027269</v>
      </c>
      <c r="G48" s="358">
        <f t="shared" ref="G48:H48" si="121">+G47/G$35</f>
        <v>-0.15091414302639253</v>
      </c>
      <c r="H48" s="358">
        <f t="shared" si="121"/>
        <v>-0.13667098347541976</v>
      </c>
      <c r="I48" s="62">
        <f>+I47/I$35</f>
        <v>-0.14970925935188945</v>
      </c>
      <c r="J48" s="358">
        <f>+J47/J$35</f>
        <v>-0.14144867631535926</v>
      </c>
      <c r="K48" s="358">
        <f>+K47/K$35</f>
        <v>-0.13927866916854242</v>
      </c>
      <c r="L48" s="358">
        <f t="shared" ref="L48" si="122">+L47/L$35</f>
        <v>-0.1411043207235837</v>
      </c>
      <c r="M48" s="358">
        <f t="shared" ref="M48" si="123">+M47/M$35</f>
        <v>-0.12591416240572115</v>
      </c>
      <c r="N48" s="62">
        <f>+N47/N$35</f>
        <v>-0.13673792690014033</v>
      </c>
      <c r="O48" s="358">
        <f>+O47/O$35</f>
        <v>-0.13262204201248681</v>
      </c>
      <c r="P48" s="358">
        <f>+P47/P$35</f>
        <v>-0.13039348066143888</v>
      </c>
      <c r="Q48" s="358">
        <f t="shared" ref="Q48" si="124">+Q47/Q$35</f>
        <v>-0.12277707388182722</v>
      </c>
      <c r="R48" s="358">
        <f t="shared" ref="R48" si="125">+R47/R$35</f>
        <v>-0.10555652046119521</v>
      </c>
      <c r="S48" s="62">
        <f>+S47/S$35</f>
        <v>-0.12255890615297259</v>
      </c>
      <c r="T48" s="392">
        <f t="shared" ref="T48" si="126">IF(Case_Scenario="Bull",T49,IF(Case_Scenario="Base",T50,IF(Case_Scenario="Bear",T51,"N/A")))</f>
        <v>-0.16500000000000001</v>
      </c>
      <c r="U48" s="392">
        <f t="shared" ref="U48:W48" si="127">IF(Case_Scenario="Bull",U49,IF(Case_Scenario="Base",U50,IF(Case_Scenario="Bear",U51,"N/A")))</f>
        <v>-0.16500000000000001</v>
      </c>
      <c r="V48" s="392">
        <f t="shared" si="127"/>
        <v>-0.16250000000000001</v>
      </c>
      <c r="W48" s="392">
        <f t="shared" si="127"/>
        <v>-0.156</v>
      </c>
      <c r="X48" s="62">
        <f>+X47/X$35</f>
        <v>0.11882269082189366</v>
      </c>
      <c r="Y48" s="392">
        <f t="shared" ref="Y48:AB48" si="128">IF(Case_Scenario="Bull",Y49,IF(Case_Scenario="Base",Y50,IF(Case_Scenario="Bear",Y51,"N/A")))</f>
        <v>-0.16250000000000001</v>
      </c>
      <c r="Z48" s="392">
        <f t="shared" si="128"/>
        <v>-0.16200000000000001</v>
      </c>
      <c r="AA48" s="392">
        <f t="shared" si="128"/>
        <v>-0.159</v>
      </c>
      <c r="AB48" s="392">
        <f t="shared" si="128"/>
        <v>-0.152</v>
      </c>
      <c r="AC48" s="62">
        <f>+AC47/AC$35</f>
        <v>0.11623895169621959</v>
      </c>
      <c r="AD48" s="393">
        <f t="shared" ref="AD48:AF48" si="129">IF(Case_Scenario="Bull",AD49,IF(Case_Scenario="Base",AD50,IF(Case_Scenario="Bear",AD51,"N/A")))</f>
        <v>-0.1525</v>
      </c>
      <c r="AE48" s="393">
        <f t="shared" si="129"/>
        <v>-0.1517</v>
      </c>
      <c r="AF48" s="393">
        <f t="shared" si="129"/>
        <v>-0.15</v>
      </c>
    </row>
    <row r="49" spans="2:32" x14ac:dyDescent="0.2">
      <c r="B49" s="328" t="s">
        <v>17</v>
      </c>
      <c r="E49" s="346"/>
      <c r="F49" s="346"/>
      <c r="G49" s="346"/>
      <c r="H49" s="346"/>
      <c r="J49" s="346"/>
      <c r="K49" s="346"/>
      <c r="L49" s="346"/>
      <c r="M49" s="346"/>
      <c r="O49" s="346"/>
      <c r="P49" s="346"/>
      <c r="Q49" s="346"/>
      <c r="R49" s="346"/>
      <c r="T49" s="389">
        <f>+T50+3%</f>
        <v>-0.13500000000000001</v>
      </c>
      <c r="U49" s="389">
        <f t="shared" ref="U49:W49" si="130">+U50+3%</f>
        <v>-0.13500000000000001</v>
      </c>
      <c r="V49" s="389">
        <f t="shared" si="130"/>
        <v>-0.13250000000000001</v>
      </c>
      <c r="W49" s="389">
        <f t="shared" si="130"/>
        <v>-0.126</v>
      </c>
      <c r="Y49" s="389">
        <f>+Y50+3%</f>
        <v>-0.13250000000000001</v>
      </c>
      <c r="Z49" s="389">
        <f t="shared" ref="Z49" si="131">+Z50+3%</f>
        <v>-0.13200000000000001</v>
      </c>
      <c r="AA49" s="389">
        <f t="shared" ref="AA49" si="132">+AA50+3%</f>
        <v>-0.129</v>
      </c>
      <c r="AB49" s="389">
        <f t="shared" ref="AB49:AD49" si="133">+AB50+3%</f>
        <v>-0.122</v>
      </c>
      <c r="AD49" s="447">
        <f t="shared" si="133"/>
        <v>-0.1225</v>
      </c>
      <c r="AE49" s="447">
        <f t="shared" ref="AE49" si="134">+AE50+3%</f>
        <v>-0.1217</v>
      </c>
      <c r="AF49" s="447">
        <f t="shared" ref="AF49" si="135">+AF50+3%</f>
        <v>-0.12</v>
      </c>
    </row>
    <row r="50" spans="2:32" x14ac:dyDescent="0.2">
      <c r="B50" s="328" t="s">
        <v>26</v>
      </c>
      <c r="E50" s="346"/>
      <c r="F50" s="346"/>
      <c r="G50" s="346"/>
      <c r="H50" s="346"/>
      <c r="J50" s="346"/>
      <c r="K50" s="346"/>
      <c r="L50" s="346"/>
      <c r="M50" s="346"/>
      <c r="O50" s="346"/>
      <c r="P50" s="346"/>
      <c r="Q50" s="346"/>
      <c r="R50" s="346"/>
      <c r="T50" s="389">
        <v>-0.16500000000000001</v>
      </c>
      <c r="U50" s="389">
        <v>-0.16500000000000001</v>
      </c>
      <c r="V50" s="389">
        <v>-0.16250000000000001</v>
      </c>
      <c r="W50" s="389">
        <v>-0.156</v>
      </c>
      <c r="Y50" s="389">
        <v>-0.16250000000000001</v>
      </c>
      <c r="Z50" s="389">
        <v>-0.16200000000000001</v>
      </c>
      <c r="AA50" s="389">
        <v>-0.159</v>
      </c>
      <c r="AB50" s="389">
        <v>-0.152</v>
      </c>
      <c r="AD50" s="448">
        <v>-0.1525</v>
      </c>
      <c r="AE50" s="448">
        <v>-0.1517</v>
      </c>
      <c r="AF50" s="448">
        <v>-0.15</v>
      </c>
    </row>
    <row r="51" spans="2:32" x14ac:dyDescent="0.2">
      <c r="B51" s="328" t="s">
        <v>34</v>
      </c>
      <c r="E51" s="346"/>
      <c r="F51" s="346"/>
      <c r="G51" s="346"/>
      <c r="H51" s="346"/>
      <c r="J51" s="346"/>
      <c r="K51" s="346"/>
      <c r="L51" s="346"/>
      <c r="M51" s="346"/>
      <c r="O51" s="346"/>
      <c r="P51" s="346"/>
      <c r="Q51" s="346"/>
      <c r="R51" s="346"/>
      <c r="T51" s="389">
        <f>+T50-2%</f>
        <v>-0.185</v>
      </c>
      <c r="U51" s="389">
        <f t="shared" ref="U51:W51" si="136">+U50-2%</f>
        <v>-0.185</v>
      </c>
      <c r="V51" s="389">
        <f t="shared" si="136"/>
        <v>-0.1825</v>
      </c>
      <c r="W51" s="389">
        <f t="shared" si="136"/>
        <v>-0.17599999999999999</v>
      </c>
      <c r="Y51" s="389">
        <f>+Y50-2%</f>
        <v>-0.1825</v>
      </c>
      <c r="Z51" s="389">
        <f t="shared" ref="Z51" si="137">+Z50-2%</f>
        <v>-0.182</v>
      </c>
      <c r="AA51" s="389">
        <f t="shared" ref="AA51" si="138">+AA50-2%</f>
        <v>-0.17899999999999999</v>
      </c>
      <c r="AB51" s="389">
        <f t="shared" ref="AB51:AD51" si="139">+AB50-2%</f>
        <v>-0.17199999999999999</v>
      </c>
      <c r="AD51" s="447">
        <f t="shared" si="139"/>
        <v>-0.17249999999999999</v>
      </c>
      <c r="AE51" s="447">
        <f t="shared" ref="AE51" si="140">+AE50-2%</f>
        <v>-0.17169999999999999</v>
      </c>
      <c r="AF51" s="447">
        <f t="shared" ref="AF51" si="141">+AF50-2%</f>
        <v>-0.16999999999999998</v>
      </c>
    </row>
    <row r="52" spans="2:32" x14ac:dyDescent="0.2">
      <c r="E52" s="346"/>
      <c r="F52" s="346"/>
      <c r="G52" s="346"/>
      <c r="H52" s="346"/>
      <c r="J52" s="346"/>
      <c r="K52" s="346"/>
      <c r="L52" s="346"/>
      <c r="M52" s="346"/>
      <c r="O52" s="346"/>
      <c r="P52" s="346"/>
      <c r="Q52" s="346"/>
      <c r="R52" s="346"/>
      <c r="T52" s="345"/>
      <c r="U52" s="345"/>
      <c r="V52" s="345"/>
      <c r="W52" s="345"/>
      <c r="Y52" s="345"/>
      <c r="Z52" s="345"/>
      <c r="AA52" s="345"/>
      <c r="AB52" s="345"/>
    </row>
    <row r="53" spans="2:32" x14ac:dyDescent="0.2">
      <c r="B53" s="328" t="str">
        <f>+Model!B30</f>
        <v>Pre-Tax Operating Earnings Attributable to Non-Controlling Interest</v>
      </c>
      <c r="E53" s="359">
        <f>+Model!E30</f>
        <v>-118817</v>
      </c>
      <c r="F53" s="359">
        <f>+Model!F30</f>
        <v>-98608</v>
      </c>
      <c r="G53" s="359">
        <f>+Model!G30</f>
        <v>-121665</v>
      </c>
      <c r="H53" s="359">
        <f>+Model!H30</f>
        <v>-133972</v>
      </c>
      <c r="I53" s="349">
        <f>+SUM(E53:H53)</f>
        <v>-473062</v>
      </c>
      <c r="J53" s="359">
        <f>+Model!J30</f>
        <v>0</v>
      </c>
      <c r="K53" s="359">
        <f>+Model!K30</f>
        <v>0</v>
      </c>
      <c r="L53" s="359">
        <f>+Model!L30</f>
        <v>0</v>
      </c>
      <c r="M53" s="359">
        <f>+Model!M30</f>
        <v>0</v>
      </c>
      <c r="N53" s="349">
        <f>+SUM(J53:M53)</f>
        <v>0</v>
      </c>
      <c r="O53" s="359">
        <f>+Model!O30</f>
        <v>0</v>
      </c>
      <c r="P53" s="359">
        <f>+Model!P30</f>
        <v>0</v>
      </c>
      <c r="Q53" s="359">
        <f>+Model!Q30</f>
        <v>0</v>
      </c>
      <c r="R53" s="359">
        <f>+Model!R30</f>
        <v>0</v>
      </c>
      <c r="S53" s="349">
        <f>+SUM(O53:R53)</f>
        <v>0</v>
      </c>
      <c r="T53" s="353">
        <f>+T54*T47</f>
        <v>0</v>
      </c>
      <c r="U53" s="353">
        <f t="shared" ref="U53:W53" si="142">+U54*U47</f>
        <v>0</v>
      </c>
      <c r="V53" s="353">
        <f t="shared" si="142"/>
        <v>0</v>
      </c>
      <c r="W53" s="353">
        <f t="shared" si="142"/>
        <v>0</v>
      </c>
      <c r="X53" s="349">
        <f>SUM(T53:W53)</f>
        <v>0</v>
      </c>
      <c r="Y53" s="353">
        <f>+Y54*Y47</f>
        <v>0</v>
      </c>
      <c r="Z53" s="353">
        <f t="shared" ref="Z53" si="143">+Z54*Z47</f>
        <v>0</v>
      </c>
      <c r="AA53" s="353">
        <f t="shared" ref="AA53" si="144">+AA54*AA47</f>
        <v>0</v>
      </c>
      <c r="AB53" s="353">
        <f t="shared" ref="AB53" si="145">+AB54*AB47</f>
        <v>0</v>
      </c>
      <c r="AC53" s="349">
        <f>SUM(Y53:AB53)</f>
        <v>0</v>
      </c>
      <c r="AD53" s="349">
        <f t="shared" ref="AD53" si="146">+AD54*AD47</f>
        <v>0</v>
      </c>
      <c r="AE53" s="349">
        <f t="shared" ref="AE53" si="147">+AE54*AE47</f>
        <v>0</v>
      </c>
      <c r="AF53" s="349">
        <f t="shared" ref="AF53" si="148">+AF54*AF47</f>
        <v>0</v>
      </c>
    </row>
    <row r="54" spans="2:32" x14ac:dyDescent="0.2">
      <c r="B54" s="328" t="s">
        <v>517</v>
      </c>
      <c r="E54" s="358">
        <f>+E53/E$35</f>
        <v>-9.3464332490334354E-2</v>
      </c>
      <c r="F54" s="358">
        <f>+F53/F$35</f>
        <v>-7.6809830860714412E-2</v>
      </c>
      <c r="G54" s="358">
        <f t="shared" ref="G54:H54" si="149">+G53/G$35</f>
        <v>-8.9696529139115327E-2</v>
      </c>
      <c r="H54" s="358">
        <f t="shared" si="149"/>
        <v>-9.1363586456541052E-2</v>
      </c>
      <c r="I54" s="62">
        <f>+I53/I$35</f>
        <v>-8.7965432814095385E-2</v>
      </c>
      <c r="J54" s="358">
        <f>+J53/J$35</f>
        <v>0</v>
      </c>
      <c r="K54" s="358">
        <f>+K53/K$35</f>
        <v>0</v>
      </c>
      <c r="L54" s="358">
        <f t="shared" ref="L54" si="150">+L53/L$35</f>
        <v>0</v>
      </c>
      <c r="M54" s="358">
        <f t="shared" ref="M54" si="151">+M53/M$35</f>
        <v>0</v>
      </c>
      <c r="N54" s="62">
        <f>+N53/N$35</f>
        <v>0</v>
      </c>
      <c r="O54" s="358">
        <f>+O53/O$35</f>
        <v>0</v>
      </c>
      <c r="P54" s="358">
        <f>+P53/P$35</f>
        <v>0</v>
      </c>
      <c r="Q54" s="358">
        <f t="shared" ref="Q54" si="152">+Q53/Q$35</f>
        <v>0</v>
      </c>
      <c r="R54" s="358">
        <f t="shared" ref="R54" si="153">+R53/R$35</f>
        <v>0</v>
      </c>
      <c r="S54" s="62">
        <f>+S53/S$35</f>
        <v>0</v>
      </c>
      <c r="T54" s="392">
        <f t="shared" ref="T54" si="154">IF(Case_Scenario="Bull",T55,IF(Case_Scenario="Base",T56,IF(Case_Scenario="Bear",T57,"N/A")))</f>
        <v>0</v>
      </c>
      <c r="U54" s="392">
        <f t="shared" ref="U54:W54" si="155">IF(Case_Scenario="Bull",U55,IF(Case_Scenario="Base",U56,IF(Case_Scenario="Bear",U57,"N/A")))</f>
        <v>0</v>
      </c>
      <c r="V54" s="392">
        <f t="shared" si="155"/>
        <v>0</v>
      </c>
      <c r="W54" s="392">
        <f t="shared" si="155"/>
        <v>0</v>
      </c>
      <c r="X54" s="62">
        <f>+X53/X$35</f>
        <v>0</v>
      </c>
      <c r="Y54" s="392">
        <f t="shared" ref="Y54:AB54" si="156">IF(Case_Scenario="Bull",Y55,IF(Case_Scenario="Base",Y56,IF(Case_Scenario="Bear",Y57,"N/A")))</f>
        <v>0</v>
      </c>
      <c r="Z54" s="392">
        <f t="shared" si="156"/>
        <v>0</v>
      </c>
      <c r="AA54" s="392">
        <f t="shared" si="156"/>
        <v>0</v>
      </c>
      <c r="AB54" s="392">
        <f t="shared" si="156"/>
        <v>0</v>
      </c>
      <c r="AC54" s="62">
        <f>+AC53/AC$35</f>
        <v>0</v>
      </c>
      <c r="AD54" s="393">
        <f t="shared" ref="AD54:AF54" si="157">IF(Case_Scenario="Bull",AD55,IF(Case_Scenario="Base",AD56,IF(Case_Scenario="Bear",AD57,"N/A")))</f>
        <v>0</v>
      </c>
      <c r="AE54" s="393">
        <f t="shared" si="157"/>
        <v>0</v>
      </c>
      <c r="AF54" s="393">
        <f t="shared" si="157"/>
        <v>0</v>
      </c>
    </row>
    <row r="55" spans="2:32" x14ac:dyDescent="0.2">
      <c r="B55" s="328" t="s">
        <v>17</v>
      </c>
      <c r="E55" s="346"/>
      <c r="F55" s="346"/>
      <c r="G55" s="346"/>
      <c r="H55" s="346"/>
      <c r="J55" s="346"/>
      <c r="K55" s="346"/>
      <c r="L55" s="346"/>
      <c r="M55" s="346"/>
      <c r="O55" s="346"/>
      <c r="P55" s="346"/>
      <c r="Q55" s="346"/>
      <c r="R55" s="346"/>
      <c r="T55" s="389">
        <v>0</v>
      </c>
      <c r="U55" s="389">
        <v>0</v>
      </c>
      <c r="V55" s="389">
        <v>0</v>
      </c>
      <c r="W55" s="389">
        <v>0</v>
      </c>
      <c r="Y55" s="389">
        <v>0</v>
      </c>
      <c r="Z55" s="389">
        <v>0</v>
      </c>
      <c r="AA55" s="389">
        <v>0</v>
      </c>
      <c r="AB55" s="389">
        <v>0</v>
      </c>
      <c r="AD55" s="391">
        <v>0</v>
      </c>
      <c r="AE55" s="391">
        <v>0</v>
      </c>
      <c r="AF55" s="391">
        <v>0</v>
      </c>
    </row>
    <row r="56" spans="2:32" x14ac:dyDescent="0.2">
      <c r="B56" s="328" t="s">
        <v>26</v>
      </c>
      <c r="E56" s="346"/>
      <c r="F56" s="346"/>
      <c r="G56" s="346"/>
      <c r="H56" s="346"/>
      <c r="J56" s="346"/>
      <c r="K56" s="346"/>
      <c r="L56" s="346"/>
      <c r="M56" s="346"/>
      <c r="O56" s="346"/>
      <c r="P56" s="346"/>
      <c r="Q56" s="346"/>
      <c r="R56" s="346"/>
      <c r="T56" s="389">
        <v>0</v>
      </c>
      <c r="U56" s="389">
        <v>0</v>
      </c>
      <c r="V56" s="389">
        <v>0</v>
      </c>
      <c r="W56" s="389">
        <v>0</v>
      </c>
      <c r="Y56" s="389">
        <v>0</v>
      </c>
      <c r="Z56" s="389">
        <v>0</v>
      </c>
      <c r="AA56" s="389">
        <v>0</v>
      </c>
      <c r="AB56" s="389">
        <v>0</v>
      </c>
      <c r="AD56" s="391">
        <v>0</v>
      </c>
      <c r="AE56" s="391">
        <v>0</v>
      </c>
      <c r="AF56" s="391">
        <v>0</v>
      </c>
    </row>
    <row r="57" spans="2:32" x14ac:dyDescent="0.2">
      <c r="B57" s="328" t="s">
        <v>34</v>
      </c>
      <c r="E57" s="346"/>
      <c r="F57" s="346"/>
      <c r="G57" s="346"/>
      <c r="H57" s="346"/>
      <c r="J57" s="346"/>
      <c r="K57" s="346"/>
      <c r="L57" s="346"/>
      <c r="M57" s="346"/>
      <c r="O57" s="346"/>
      <c r="P57" s="346"/>
      <c r="Q57" s="346"/>
      <c r="R57" s="346"/>
      <c r="T57" s="389">
        <v>0</v>
      </c>
      <c r="U57" s="389">
        <v>0</v>
      </c>
      <c r="V57" s="389">
        <v>0</v>
      </c>
      <c r="W57" s="389">
        <v>0</v>
      </c>
      <c r="Y57" s="389">
        <v>0</v>
      </c>
      <c r="Z57" s="389">
        <v>0</v>
      </c>
      <c r="AA57" s="389">
        <v>0</v>
      </c>
      <c r="AB57" s="389">
        <v>0</v>
      </c>
      <c r="AD57" s="391">
        <v>0</v>
      </c>
      <c r="AE57" s="391">
        <v>0</v>
      </c>
      <c r="AF57" s="391">
        <v>0</v>
      </c>
    </row>
    <row r="58" spans="2:32" x14ac:dyDescent="0.2">
      <c r="B58" s="328"/>
      <c r="E58" s="346"/>
      <c r="F58" s="346"/>
      <c r="G58" s="346"/>
      <c r="H58" s="346"/>
      <c r="J58" s="346"/>
      <c r="K58" s="346"/>
      <c r="L58" s="346"/>
      <c r="M58" s="346"/>
      <c r="O58" s="346"/>
      <c r="P58" s="346"/>
      <c r="Q58" s="346"/>
      <c r="R58" s="346"/>
      <c r="T58" s="389"/>
      <c r="U58" s="389"/>
      <c r="V58" s="389"/>
      <c r="W58" s="389"/>
      <c r="Y58" s="389"/>
      <c r="Z58" s="389"/>
      <c r="AA58" s="389"/>
      <c r="AB58" s="389"/>
      <c r="AD58" s="391"/>
      <c r="AE58" s="391"/>
      <c r="AF58" s="391"/>
    </row>
    <row r="59" spans="2:32" x14ac:dyDescent="0.2">
      <c r="B59" s="88" t="str">
        <f>+Model!B33</f>
        <v>Strategic Holdings</v>
      </c>
      <c r="E59" s="346"/>
      <c r="F59" s="346"/>
      <c r="G59" s="346"/>
      <c r="H59" s="346"/>
      <c r="J59" s="346"/>
      <c r="K59" s="346"/>
      <c r="L59" s="346"/>
      <c r="M59" s="346"/>
      <c r="O59" s="346"/>
      <c r="P59" s="346"/>
      <c r="Q59" s="346"/>
      <c r="R59" s="346"/>
      <c r="T59" s="345"/>
      <c r="U59" s="345"/>
      <c r="V59" s="345"/>
      <c r="W59" s="345"/>
      <c r="Y59" s="345"/>
      <c r="Z59" s="345"/>
      <c r="AA59" s="345"/>
      <c r="AB59" s="345"/>
    </row>
    <row r="60" spans="2:32" x14ac:dyDescent="0.2">
      <c r="B60" s="328" t="str">
        <f>Model!B34</f>
        <v>Total Strategic Holdings Earnings</v>
      </c>
      <c r="E60" s="359">
        <f>Model!E34</f>
        <v>0</v>
      </c>
      <c r="F60" s="359">
        <f>Model!F34</f>
        <v>0</v>
      </c>
      <c r="G60" s="359">
        <f>Model!G34</f>
        <v>0</v>
      </c>
      <c r="H60" s="359">
        <f>Model!H34</f>
        <v>0</v>
      </c>
      <c r="I60" s="349">
        <f>+SUM(E60:H60)</f>
        <v>0</v>
      </c>
      <c r="J60" s="359">
        <f>Model!J34</f>
        <v>20720</v>
      </c>
      <c r="K60" s="359">
        <f>Model!K34</f>
        <v>40852</v>
      </c>
      <c r="L60" s="359">
        <f>Model!L34</f>
        <v>6828</v>
      </c>
      <c r="M60" s="359">
        <f>Model!M34</f>
        <v>7811</v>
      </c>
      <c r="N60" s="349">
        <f>+SUM(J60:M60)</f>
        <v>76211</v>
      </c>
      <c r="O60" s="359">
        <f>Model!O34</f>
        <v>31486</v>
      </c>
      <c r="P60" s="359">
        <f>Model!P34</f>
        <v>29121</v>
      </c>
      <c r="Q60" s="359">
        <f>Model!Q34</f>
        <v>57663</v>
      </c>
      <c r="R60" s="359">
        <f>Model!R34</f>
        <v>43826</v>
      </c>
      <c r="S60" s="349">
        <f>+SUM(O60:R60)</f>
        <v>162096</v>
      </c>
      <c r="T60" s="353">
        <f>+R60*(1+T61)</f>
        <v>76695.5</v>
      </c>
      <c r="U60" s="353">
        <f>+T60*(1+U61)</f>
        <v>85132.005000000005</v>
      </c>
      <c r="V60" s="353">
        <f t="shared" ref="V60:W60" si="158">+U60*(1+V61)</f>
        <v>96199.165649999995</v>
      </c>
      <c r="W60" s="353">
        <f t="shared" si="158"/>
        <v>106781.0738715</v>
      </c>
      <c r="X60" s="349">
        <f>SUM(T60:W60)</f>
        <v>364807.74452149996</v>
      </c>
      <c r="Y60" s="353">
        <f>+W60*(1+Y61)</f>
        <v>115323.55978122001</v>
      </c>
      <c r="Z60" s="353">
        <f t="shared" ref="Z60" si="159">+Y60*(1+Z61)</f>
        <v>123972.82676481151</v>
      </c>
      <c r="AA60" s="353">
        <f t="shared" ref="AA60:AB60" si="160">+Z60*(1+AA61)</f>
        <v>130171.4681030521</v>
      </c>
      <c r="AB60" s="353">
        <f t="shared" si="160"/>
        <v>136680.04150820471</v>
      </c>
      <c r="AC60" s="349">
        <f>SUM(Y60:AB60)</f>
        <v>506147.89615728834</v>
      </c>
      <c r="AD60" s="390">
        <f>+AC60*(1+AD61)</f>
        <v>766814.06267829193</v>
      </c>
      <c r="AE60" s="390">
        <f>+AD60*(1+AE61)</f>
        <v>1000692.3517951709</v>
      </c>
      <c r="AF60" s="390">
        <f>+AE60*(1+AF61)</f>
        <v>1150796.2045644466</v>
      </c>
    </row>
    <row r="61" spans="2:32" x14ac:dyDescent="0.2">
      <c r="B61" s="328" t="s">
        <v>15</v>
      </c>
      <c r="E61" s="358"/>
      <c r="F61" s="358" t="e">
        <f>+F60/E60-1</f>
        <v>#DIV/0!</v>
      </c>
      <c r="G61" s="358" t="e">
        <f t="shared" ref="G61:H61" si="161">+G60/F60-1</f>
        <v>#DIV/0!</v>
      </c>
      <c r="H61" s="358" t="e">
        <f t="shared" si="161"/>
        <v>#DIV/0!</v>
      </c>
      <c r="I61" s="62">
        <v>0</v>
      </c>
      <c r="J61" s="358" t="e">
        <f>+J60/I60-1</f>
        <v>#DIV/0!</v>
      </c>
      <c r="K61" s="358">
        <f>+K60/J60-1</f>
        <v>0.97162162162162158</v>
      </c>
      <c r="L61" s="358">
        <f t="shared" ref="L61" si="162">+L60/K60-1</f>
        <v>-0.83286008028982672</v>
      </c>
      <c r="M61" s="358">
        <f t="shared" ref="M61" si="163">+M60/L60-1</f>
        <v>0.14396602226127708</v>
      </c>
      <c r="N61" s="62">
        <v>0</v>
      </c>
      <c r="O61" s="358">
        <f>+O60/N60-1</f>
        <v>-0.58685754025009507</v>
      </c>
      <c r="P61" s="358">
        <f>+P60/O60-1</f>
        <v>-7.5112748523153194E-2</v>
      </c>
      <c r="Q61" s="358">
        <f t="shared" ref="Q61" si="164">+Q60/P60-1</f>
        <v>0.98011744102194287</v>
      </c>
      <c r="R61" s="358">
        <f t="shared" ref="R61" si="165">+R60/Q60-1</f>
        <v>-0.2399632346565389</v>
      </c>
      <c r="S61" s="62">
        <f>+S60/N60-1</f>
        <v>1.1269370563304508</v>
      </c>
      <c r="T61" s="392">
        <f t="shared" ref="T61" si="166">IF(Case_Scenario="Bull",T62,IF(Case_Scenario="Base",T63,IF(Case_Scenario="Bear",T64,"N/A")))</f>
        <v>0.75</v>
      </c>
      <c r="U61" s="392">
        <f t="shared" ref="U61:W61" si="167">IF(Case_Scenario="Bull",U62,IF(Case_Scenario="Base",U63,IF(Case_Scenario="Bear",U64,"N/A")))</f>
        <v>0.11</v>
      </c>
      <c r="V61" s="392">
        <f t="shared" si="167"/>
        <v>0.13</v>
      </c>
      <c r="W61" s="392">
        <f t="shared" si="167"/>
        <v>0.11</v>
      </c>
      <c r="X61" s="62">
        <f>+X60/S60-1</f>
        <v>1.2505659888060161</v>
      </c>
      <c r="Y61" s="392">
        <f t="shared" ref="Y61:AB61" si="168">IF(Case_Scenario="Bull",Y62,IF(Case_Scenario="Base",Y63,IF(Case_Scenario="Bear",Y64,"N/A")))</f>
        <v>0.08</v>
      </c>
      <c r="Z61" s="392">
        <f t="shared" si="168"/>
        <v>7.4999999999999997E-2</v>
      </c>
      <c r="AA61" s="392">
        <f t="shared" si="168"/>
        <v>0.05</v>
      </c>
      <c r="AB61" s="392">
        <f t="shared" si="168"/>
        <v>0.05</v>
      </c>
      <c r="AC61" s="62">
        <f>+AC60/X60-1</f>
        <v>0.38743736600542067</v>
      </c>
      <c r="AD61" s="393">
        <f t="shared" ref="AD61:AF61" si="169">IF(Case_Scenario="Bull",AD62,IF(Case_Scenario="Base",AD63,IF(Case_Scenario="Bear",AD64,"N/A")))</f>
        <v>0.51500000000000001</v>
      </c>
      <c r="AE61" s="393">
        <f t="shared" si="169"/>
        <v>0.30499999999999999</v>
      </c>
      <c r="AF61" s="393">
        <f t="shared" si="169"/>
        <v>0.15</v>
      </c>
    </row>
    <row r="62" spans="2:32" x14ac:dyDescent="0.2">
      <c r="B62" s="328" t="s">
        <v>17</v>
      </c>
      <c r="E62" s="346"/>
      <c r="F62" s="346"/>
      <c r="G62" s="346"/>
      <c r="H62" s="346"/>
      <c r="J62" s="346"/>
      <c r="K62" s="346"/>
      <c r="L62" s="346"/>
      <c r="M62" s="346"/>
      <c r="O62" s="346"/>
      <c r="P62" s="346"/>
      <c r="Q62" s="346"/>
      <c r="R62" s="346"/>
      <c r="T62" s="389">
        <f>+T63+2%</f>
        <v>0.77</v>
      </c>
      <c r="U62" s="389">
        <f t="shared" ref="U62:W62" si="170">+U63+2%</f>
        <v>0.13</v>
      </c>
      <c r="V62" s="389">
        <f t="shared" si="170"/>
        <v>0.15</v>
      </c>
      <c r="W62" s="389">
        <f t="shared" si="170"/>
        <v>0.13</v>
      </c>
      <c r="Y62" s="389">
        <f>+Y63+2%</f>
        <v>0.1</v>
      </c>
      <c r="Z62" s="389">
        <f t="shared" ref="Z62" si="171">+Z63+2%</f>
        <v>9.5000000000000001E-2</v>
      </c>
      <c r="AA62" s="389">
        <f t="shared" ref="AA62" si="172">+AA63+2%</f>
        <v>7.0000000000000007E-2</v>
      </c>
      <c r="AB62" s="389">
        <f t="shared" ref="AB62:AD62" si="173">+AB63+2%</f>
        <v>7.0000000000000007E-2</v>
      </c>
      <c r="AD62" s="447">
        <f t="shared" si="173"/>
        <v>0.53500000000000003</v>
      </c>
      <c r="AE62" s="447">
        <f t="shared" ref="AE62" si="174">+AE63+2%</f>
        <v>0.32500000000000001</v>
      </c>
      <c r="AF62" s="447">
        <f t="shared" ref="AF62" si="175">+AF63+2%</f>
        <v>0.16999999999999998</v>
      </c>
    </row>
    <row r="63" spans="2:32" x14ac:dyDescent="0.2">
      <c r="B63" s="328" t="s">
        <v>26</v>
      </c>
      <c r="E63" s="346"/>
      <c r="F63" s="346"/>
      <c r="G63" s="346"/>
      <c r="H63" s="346"/>
      <c r="J63" s="346"/>
      <c r="K63" s="346"/>
      <c r="L63" s="346"/>
      <c r="M63" s="346"/>
      <c r="O63" s="346"/>
      <c r="P63" s="346"/>
      <c r="Q63" s="346"/>
      <c r="R63" s="346"/>
      <c r="T63" s="389">
        <v>0.75</v>
      </c>
      <c r="U63" s="389">
        <v>0.11</v>
      </c>
      <c r="V63" s="389">
        <v>0.13</v>
      </c>
      <c r="W63" s="389">
        <v>0.11</v>
      </c>
      <c r="Y63" s="389">
        <v>0.08</v>
      </c>
      <c r="Z63" s="389">
        <v>7.4999999999999997E-2</v>
      </c>
      <c r="AA63" s="389">
        <v>0.05</v>
      </c>
      <c r="AB63" s="389">
        <v>0.05</v>
      </c>
      <c r="AD63" s="448">
        <v>0.51500000000000001</v>
      </c>
      <c r="AE63" s="448">
        <v>0.30499999999999999</v>
      </c>
      <c r="AF63" s="448">
        <v>0.15</v>
      </c>
    </row>
    <row r="64" spans="2:32" x14ac:dyDescent="0.2">
      <c r="B64" s="328" t="s">
        <v>34</v>
      </c>
      <c r="E64" s="346"/>
      <c r="F64" s="346"/>
      <c r="G64" s="346"/>
      <c r="H64" s="346"/>
      <c r="J64" s="346"/>
      <c r="K64" s="346"/>
      <c r="L64" s="346"/>
      <c r="M64" s="346"/>
      <c r="O64" s="346"/>
      <c r="P64" s="346"/>
      <c r="Q64" s="346"/>
      <c r="R64" s="346"/>
      <c r="T64" s="389">
        <f>+T63-2%</f>
        <v>0.73</v>
      </c>
      <c r="U64" s="389">
        <f t="shared" ref="U64:W64" si="176">+U63-2%</f>
        <v>0.09</v>
      </c>
      <c r="V64" s="389">
        <f t="shared" si="176"/>
        <v>0.11</v>
      </c>
      <c r="W64" s="389">
        <f t="shared" si="176"/>
        <v>0.09</v>
      </c>
      <c r="Y64" s="389">
        <f>+Y63-2%</f>
        <v>0.06</v>
      </c>
      <c r="Z64" s="389">
        <f t="shared" ref="Z64" si="177">+Z63-2%</f>
        <v>5.4999999999999993E-2</v>
      </c>
      <c r="AA64" s="389">
        <f t="shared" ref="AA64" si="178">+AA63-2%</f>
        <v>3.0000000000000002E-2</v>
      </c>
      <c r="AB64" s="389">
        <f t="shared" ref="AB64:AD64" si="179">+AB63-2%</f>
        <v>3.0000000000000002E-2</v>
      </c>
      <c r="AD64" s="447">
        <f t="shared" si="179"/>
        <v>0.495</v>
      </c>
      <c r="AE64" s="447">
        <f t="shared" ref="AE64" si="180">+AE63-2%</f>
        <v>0.28499999999999998</v>
      </c>
      <c r="AF64" s="447">
        <f t="shared" ref="AF64" si="181">+AF63-2%</f>
        <v>0.13</v>
      </c>
    </row>
    <row r="65" spans="2:32" x14ac:dyDescent="0.2">
      <c r="B65" s="328"/>
      <c r="E65" s="346"/>
      <c r="F65" s="346"/>
      <c r="G65" s="346"/>
      <c r="H65" s="346"/>
      <c r="J65" s="346"/>
      <c r="K65" s="346"/>
      <c r="L65" s="346"/>
      <c r="M65" s="346"/>
      <c r="O65" s="346"/>
      <c r="P65" s="346"/>
      <c r="Q65" s="346"/>
      <c r="R65" s="346"/>
      <c r="T65" s="389"/>
      <c r="U65" s="389"/>
      <c r="V65" s="389"/>
      <c r="W65" s="389"/>
      <c r="Y65" s="389"/>
      <c r="Z65" s="389"/>
      <c r="AA65" s="389"/>
      <c r="AB65" s="389"/>
      <c r="AD65" s="391"/>
      <c r="AE65" s="391"/>
      <c r="AF65" s="391"/>
    </row>
    <row r="66" spans="2:32" x14ac:dyDescent="0.2">
      <c r="B66" s="88" t="str">
        <f>+Model!B43</f>
        <v>Adjusted Net Income (ANI) [Formerly Distributable Earnings]</v>
      </c>
      <c r="E66" s="346"/>
      <c r="F66" s="346"/>
      <c r="G66" s="346"/>
      <c r="H66" s="346"/>
      <c r="J66" s="346"/>
      <c r="K66" s="346"/>
      <c r="L66" s="346"/>
      <c r="M66" s="346"/>
      <c r="O66" s="346"/>
      <c r="P66" s="346"/>
      <c r="Q66" s="346"/>
      <c r="R66" s="346"/>
      <c r="T66" s="345"/>
      <c r="U66" s="345"/>
      <c r="V66" s="345"/>
      <c r="W66" s="345"/>
      <c r="Y66" s="345"/>
      <c r="Z66" s="345"/>
      <c r="AA66" s="345"/>
      <c r="AB66" s="345"/>
    </row>
    <row r="67" spans="2:32" x14ac:dyDescent="0.2">
      <c r="B67" s="328" t="str">
        <f>+Model!B38</f>
        <v>Interest Expense</v>
      </c>
      <c r="E67" s="359">
        <f>+Model!E38</f>
        <v>-85500</v>
      </c>
      <c r="F67" s="359">
        <f>+Model!F38</f>
        <v>-92010</v>
      </c>
      <c r="G67" s="359">
        <f>+Model!G38</f>
        <v>-89429</v>
      </c>
      <c r="H67" s="359">
        <f>+Model!H38</f>
        <v>-90145</v>
      </c>
      <c r="I67" s="349">
        <f>+SUM(E67:H67)</f>
        <v>-357084</v>
      </c>
      <c r="J67" s="359">
        <f>+Model!J38</f>
        <v>-74730</v>
      </c>
      <c r="K67" s="359">
        <f>+Model!K38</f>
        <v>-79952</v>
      </c>
      <c r="L67" s="359">
        <f>+Model!L38</f>
        <v>-88101</v>
      </c>
      <c r="M67" s="359">
        <f>+Model!M38</f>
        <v>-75658</v>
      </c>
      <c r="N67" s="349">
        <f>+SUM(J67:M67)</f>
        <v>-318441</v>
      </c>
      <c r="O67" s="359">
        <f>+Model!O38</f>
        <v>-91470</v>
      </c>
      <c r="P67" s="359">
        <f>+Model!P38</f>
        <v>-93607</v>
      </c>
      <c r="Q67" s="359">
        <f>+Model!Q38</f>
        <v>-102789</v>
      </c>
      <c r="R67" s="359">
        <f>+Model!R38</f>
        <v>-116934</v>
      </c>
      <c r="S67" s="349">
        <f>+SUM(O67:R67)</f>
        <v>-404800</v>
      </c>
      <c r="T67" s="353">
        <f>+T68*T$5</f>
        <v>-110887.35301068748</v>
      </c>
      <c r="U67" s="353">
        <f t="shared" ref="U67:W67" si="182">+U68*U$5</f>
        <v>-111850.40621109999</v>
      </c>
      <c r="V67" s="353">
        <f t="shared" si="182"/>
        <v>-111082.76176652961</v>
      </c>
      <c r="W67" s="353">
        <f t="shared" si="182"/>
        <v>-111387.44438270762</v>
      </c>
      <c r="X67" s="349">
        <f>SUM(T67:W67)</f>
        <v>-445207.96537102468</v>
      </c>
      <c r="Y67" s="353">
        <f>+Y68*Y$5</f>
        <v>-104131.91324344455</v>
      </c>
      <c r="Z67" s="353">
        <f t="shared" ref="Z67" si="183">+Z68*Z$5</f>
        <v>-104995.25240508596</v>
      </c>
      <c r="AA67" s="353">
        <f t="shared" ref="AA67" si="184">+AA68*AA$5</f>
        <v>-105375.58913390333</v>
      </c>
      <c r="AB67" s="353">
        <f t="shared" ref="AB67" si="185">+AB68*AB$5</f>
        <v>-105533.88831822785</v>
      </c>
      <c r="AC67" s="349">
        <f>SUM(Y67:AB67)</f>
        <v>-420036.64310066169</v>
      </c>
      <c r="AD67" s="390">
        <f t="shared" ref="AD67" si="186">+AD68*AD$5</f>
        <v>-436810.51399594458</v>
      </c>
      <c r="AE67" s="390">
        <f t="shared" ref="AE67" si="187">+AE68*AE$5</f>
        <v>-465418.37052038463</v>
      </c>
      <c r="AF67" s="390">
        <f t="shared" ref="AF67" si="188">+AF68*AF$5</f>
        <v>-489479.68102785153</v>
      </c>
    </row>
    <row r="68" spans="2:32" x14ac:dyDescent="0.2">
      <c r="B68" s="328" t="s">
        <v>514</v>
      </c>
      <c r="E68" s="358">
        <f>+E67/E$5</f>
        <v>-8.6938042155290662E-2</v>
      </c>
      <c r="F68" s="358">
        <f>+F67/F$5</f>
        <v>-9.9764278294736705E-2</v>
      </c>
      <c r="G68" s="358">
        <f t="shared" ref="G68:I68" si="189">+G67/G$5</f>
        <v>-8.2841524790207496E-2</v>
      </c>
      <c r="H68" s="358">
        <f t="shared" si="189"/>
        <v>-7.504222660096882E-2</v>
      </c>
      <c r="I68" s="62">
        <f t="shared" si="189"/>
        <v>-8.529397643716996E-2</v>
      </c>
      <c r="J68" s="358">
        <f>+J67/J$5</f>
        <v>-6.4710206859645611E-2</v>
      </c>
      <c r="K68" s="358">
        <f>+K67/K$5</f>
        <v>-6.1975171793669313E-2</v>
      </c>
      <c r="L68" s="358">
        <f t="shared" ref="L68" si="190">+L67/L$5</f>
        <v>-5.965826562321188E-2</v>
      </c>
      <c r="M68" s="358">
        <f t="shared" ref="M68" si="191">+M67/M$5</f>
        <v>-5.0433825019464799E-2</v>
      </c>
      <c r="N68" s="62">
        <f t="shared" ref="N68" si="192">+N67/N$5</f>
        <v>-5.8733327295990213E-2</v>
      </c>
      <c r="O68" s="358">
        <f>+O67/O$5</f>
        <v>-6.5990290834874218E-2</v>
      </c>
      <c r="P68" s="358">
        <f>+P67/P$5</f>
        <v>-6.5275983093668916E-2</v>
      </c>
      <c r="Q68" s="358">
        <f t="shared" ref="Q68" si="193">+Q67/Q$5</f>
        <v>-6.2995499139541389E-2</v>
      </c>
      <c r="R68" s="358">
        <f t="shared" ref="R68" si="194">+R67/R$5</f>
        <v>-8.5437162761981655E-2</v>
      </c>
      <c r="S68" s="62">
        <f t="shared" ref="S68" si="195">+S67/S$5</f>
        <v>-6.9547588470013189E-2</v>
      </c>
      <c r="T68" s="392">
        <f t="shared" ref="T68" si="196">IF(Case_Scenario="Bull",T69,IF(Case_Scenario="Base",T70,IF(Case_Scenario="Bear",T71,"N/A")))</f>
        <v>-6.5000000000000002E-2</v>
      </c>
      <c r="U68" s="392">
        <f t="shared" ref="U68:W68" si="197">IF(Case_Scenario="Bull",U69,IF(Case_Scenario="Base",U70,IF(Case_Scenario="Bear",U71,"N/A")))</f>
        <v>-6.25E-2</v>
      </c>
      <c r="V68" s="392">
        <f t="shared" si="197"/>
        <v>-5.8500000000000003E-2</v>
      </c>
      <c r="W68" s="392">
        <f t="shared" si="197"/>
        <v>-5.2499999999999998E-2</v>
      </c>
      <c r="X68" s="62">
        <f t="shared" ref="X68" si="198">+X67/X$5</f>
        <v>-5.9234048357356205E-2</v>
      </c>
      <c r="Y68" s="392">
        <f t="shared" ref="Y68:AB68" si="199">IF(Case_Scenario="Bull",Y69,IF(Case_Scenario="Base",Y70,IF(Case_Scenario="Bear",Y71,"N/A")))</f>
        <v>-5.0999999999999997E-2</v>
      </c>
      <c r="Z68" s="392">
        <f t="shared" si="199"/>
        <v>-4.7500000000000001E-2</v>
      </c>
      <c r="AA68" s="392">
        <f t="shared" si="199"/>
        <v>-4.5499999999999999E-2</v>
      </c>
      <c r="AB68" s="392">
        <f t="shared" si="199"/>
        <v>-4.2000000000000003E-2</v>
      </c>
      <c r="AC68" s="62">
        <f t="shared" ref="AC68" si="200">+AC67/AC$5</f>
        <v>-4.6255022508315195E-2</v>
      </c>
      <c r="AD68" s="393">
        <f t="shared" ref="AD68:AF68" si="201">IF(Case_Scenario="Bull",AD69,IF(Case_Scenario="Base",AD70,IF(Case_Scenario="Bear",AD71,"N/A")))</f>
        <v>-4.2250000000000003E-2</v>
      </c>
      <c r="AE68" s="393">
        <f t="shared" si="201"/>
        <v>-4.1000000000000002E-2</v>
      </c>
      <c r="AF68" s="393">
        <f t="shared" si="201"/>
        <v>-0.04</v>
      </c>
    </row>
    <row r="69" spans="2:32" x14ac:dyDescent="0.2">
      <c r="B69" s="328" t="s">
        <v>17</v>
      </c>
      <c r="E69" s="346"/>
      <c r="F69" s="346"/>
      <c r="G69" s="346"/>
      <c r="H69" s="346"/>
      <c r="J69" s="346"/>
      <c r="K69" s="346"/>
      <c r="L69" s="346"/>
      <c r="M69" s="346"/>
      <c r="O69" s="346"/>
      <c r="P69" s="346"/>
      <c r="Q69" s="346"/>
      <c r="R69" s="346"/>
      <c r="T69" s="389">
        <f>+T70+3%</f>
        <v>-3.5000000000000003E-2</v>
      </c>
      <c r="U69" s="389">
        <f t="shared" ref="U69:W69" si="202">+U70+3%</f>
        <v>-3.2500000000000001E-2</v>
      </c>
      <c r="V69" s="389">
        <f t="shared" si="202"/>
        <v>-2.8500000000000004E-2</v>
      </c>
      <c r="W69" s="389">
        <f t="shared" si="202"/>
        <v>-2.2499999999999999E-2</v>
      </c>
      <c r="Y69" s="389">
        <f>+Y70+3%</f>
        <v>-2.0999999999999998E-2</v>
      </c>
      <c r="Z69" s="389">
        <f t="shared" ref="Z69" si="203">+Z70+3%</f>
        <v>-1.7500000000000002E-2</v>
      </c>
      <c r="AA69" s="389">
        <f t="shared" ref="AA69" si="204">+AA70+3%</f>
        <v>-1.55E-2</v>
      </c>
      <c r="AB69" s="389">
        <f t="shared" ref="AB69:AD69" si="205">+AB70+3%</f>
        <v>-1.2000000000000004E-2</v>
      </c>
      <c r="AD69" s="447">
        <f t="shared" si="205"/>
        <v>-1.2250000000000004E-2</v>
      </c>
      <c r="AE69" s="447">
        <f t="shared" ref="AE69" si="206">+AE70+3%</f>
        <v>-1.1000000000000003E-2</v>
      </c>
      <c r="AF69" s="447">
        <f t="shared" ref="AF69" si="207">+AF70+3%</f>
        <v>-1.0000000000000002E-2</v>
      </c>
    </row>
    <row r="70" spans="2:32" x14ac:dyDescent="0.2">
      <c r="B70" s="328" t="s">
        <v>26</v>
      </c>
      <c r="E70" s="346"/>
      <c r="F70" s="346"/>
      <c r="G70" s="346"/>
      <c r="H70" s="346"/>
      <c r="J70" s="346"/>
      <c r="K70" s="346"/>
      <c r="L70" s="346"/>
      <c r="M70" s="346"/>
      <c r="O70" s="346"/>
      <c r="P70" s="346"/>
      <c r="Q70" s="346"/>
      <c r="R70" s="346"/>
      <c r="T70" s="389">
        <v>-6.5000000000000002E-2</v>
      </c>
      <c r="U70" s="389">
        <v>-6.25E-2</v>
      </c>
      <c r="V70" s="389">
        <v>-5.8500000000000003E-2</v>
      </c>
      <c r="W70" s="389">
        <v>-5.2499999999999998E-2</v>
      </c>
      <c r="Y70" s="389">
        <v>-5.0999999999999997E-2</v>
      </c>
      <c r="Z70" s="389">
        <v>-4.7500000000000001E-2</v>
      </c>
      <c r="AA70" s="389">
        <v>-4.5499999999999999E-2</v>
      </c>
      <c r="AB70" s="389">
        <v>-4.2000000000000003E-2</v>
      </c>
      <c r="AD70" s="447">
        <v>-4.2250000000000003E-2</v>
      </c>
      <c r="AE70" s="447">
        <v>-4.1000000000000002E-2</v>
      </c>
      <c r="AF70" s="447">
        <v>-0.04</v>
      </c>
    </row>
    <row r="71" spans="2:32" x14ac:dyDescent="0.2">
      <c r="B71" s="328" t="s">
        <v>34</v>
      </c>
      <c r="E71" s="346"/>
      <c r="F71" s="346"/>
      <c r="G71" s="346"/>
      <c r="H71" s="346"/>
      <c r="J71" s="346"/>
      <c r="K71" s="346"/>
      <c r="L71" s="346"/>
      <c r="M71" s="346"/>
      <c r="O71" s="346"/>
      <c r="P71" s="346"/>
      <c r="Q71" s="346"/>
      <c r="R71" s="346"/>
      <c r="T71" s="389">
        <f>+T70-2%</f>
        <v>-8.5000000000000006E-2</v>
      </c>
      <c r="U71" s="389">
        <f t="shared" ref="U71:W71" si="208">+U70-2%</f>
        <v>-8.2500000000000004E-2</v>
      </c>
      <c r="V71" s="389">
        <f t="shared" si="208"/>
        <v>-7.85E-2</v>
      </c>
      <c r="W71" s="389">
        <f t="shared" si="208"/>
        <v>-7.2499999999999995E-2</v>
      </c>
      <c r="Y71" s="389">
        <f>+Y70-2%</f>
        <v>-7.0999999999999994E-2</v>
      </c>
      <c r="Z71" s="389">
        <f t="shared" ref="Z71" si="209">+Z70-2%</f>
        <v>-6.7500000000000004E-2</v>
      </c>
      <c r="AA71" s="389">
        <f t="shared" ref="AA71" si="210">+AA70-2%</f>
        <v>-6.5500000000000003E-2</v>
      </c>
      <c r="AB71" s="389">
        <f t="shared" ref="AB71:AD71" si="211">+AB70-2%</f>
        <v>-6.2E-2</v>
      </c>
      <c r="AD71" s="447">
        <f t="shared" si="211"/>
        <v>-6.225E-2</v>
      </c>
      <c r="AE71" s="447">
        <f t="shared" ref="AE71" si="212">+AE70-2%</f>
        <v>-6.0999999999999999E-2</v>
      </c>
      <c r="AF71" s="447">
        <f t="shared" ref="AF71" si="213">+AF70-2%</f>
        <v>-0.06</v>
      </c>
    </row>
    <row r="72" spans="2:32" x14ac:dyDescent="0.2">
      <c r="E72" s="346"/>
      <c r="F72" s="346"/>
      <c r="G72" s="346"/>
      <c r="H72" s="346"/>
      <c r="J72" s="346"/>
      <c r="K72" s="346"/>
      <c r="L72" s="346"/>
      <c r="M72" s="346"/>
      <c r="O72" s="346"/>
      <c r="P72" s="346"/>
      <c r="Q72" s="346"/>
      <c r="R72" s="346"/>
      <c r="T72" s="345"/>
      <c r="U72" s="345"/>
      <c r="V72" s="345"/>
      <c r="W72" s="345"/>
      <c r="Y72" s="345"/>
      <c r="Z72" s="345"/>
      <c r="AA72" s="345"/>
      <c r="AB72" s="345"/>
    </row>
    <row r="73" spans="2:32" x14ac:dyDescent="0.2">
      <c r="B73" s="328" t="str">
        <f>+Model!B40</f>
        <v>Non-Controlling Interest</v>
      </c>
      <c r="E73" s="359">
        <f>+Model!E40</f>
        <v>-5626</v>
      </c>
      <c r="F73" s="359">
        <f>+Model!F40</f>
        <v>-6118</v>
      </c>
      <c r="G73" s="359">
        <f>+Model!G40</f>
        <v>-5719</v>
      </c>
      <c r="H73" s="359">
        <f>+Model!H40</f>
        <v>-8127</v>
      </c>
      <c r="I73" s="349">
        <f>+SUM(E73:H73)</f>
        <v>-25590</v>
      </c>
      <c r="J73" s="359">
        <f>+Model!J40</f>
        <v>0</v>
      </c>
      <c r="K73" s="359">
        <f>+Model!K40</f>
        <v>0</v>
      </c>
      <c r="L73" s="359">
        <f>+Model!L40</f>
        <v>0</v>
      </c>
      <c r="M73" s="359">
        <f>+Model!M40</f>
        <v>0</v>
      </c>
      <c r="N73" s="349">
        <f>+SUM(J73:M73)</f>
        <v>0</v>
      </c>
      <c r="O73" s="359">
        <f>+Model!O40</f>
        <v>0</v>
      </c>
      <c r="P73" s="359">
        <f>+Model!P40</f>
        <v>0</v>
      </c>
      <c r="Q73" s="359">
        <f>+Model!Q40</f>
        <v>0</v>
      </c>
      <c r="R73" s="359">
        <f>+Model!R40</f>
        <v>0</v>
      </c>
      <c r="S73" s="349">
        <f>+SUM(O73:R73)</f>
        <v>0</v>
      </c>
      <c r="T73" s="353">
        <f>+T74*T$5</f>
        <v>0</v>
      </c>
      <c r="U73" s="353">
        <f t="shared" ref="U73:W73" si="214">+U74*U$5</f>
        <v>0</v>
      </c>
      <c r="V73" s="353">
        <f t="shared" si="214"/>
        <v>0</v>
      </c>
      <c r="W73" s="353">
        <f t="shared" si="214"/>
        <v>0</v>
      </c>
      <c r="X73" s="349">
        <f>SUM(T73:W73)</f>
        <v>0</v>
      </c>
      <c r="Y73" s="353">
        <f>+Y74*Y$5</f>
        <v>0</v>
      </c>
      <c r="Z73" s="353">
        <f t="shared" ref="Z73" si="215">+Z74*Z$5</f>
        <v>0</v>
      </c>
      <c r="AA73" s="353">
        <f t="shared" ref="AA73" si="216">+AA74*AA$5</f>
        <v>0</v>
      </c>
      <c r="AB73" s="353">
        <f t="shared" ref="AB73" si="217">+AB74*AB$5</f>
        <v>0</v>
      </c>
      <c r="AC73" s="349">
        <f>SUM(Y73:AB73)</f>
        <v>0</v>
      </c>
      <c r="AD73" s="390">
        <f t="shared" ref="AD73" si="218">+AD74*AD$5</f>
        <v>0</v>
      </c>
      <c r="AE73" s="390">
        <f t="shared" ref="AE73" si="219">+AE74*AE$5</f>
        <v>0</v>
      </c>
      <c r="AF73" s="390">
        <f t="shared" ref="AF73" si="220">+AF74*AF$5</f>
        <v>0</v>
      </c>
    </row>
    <row r="74" spans="2:32" x14ac:dyDescent="0.2">
      <c r="B74" s="328" t="s">
        <v>514</v>
      </c>
      <c r="E74" s="358">
        <f>+E73/E$5</f>
        <v>-5.7206248557387747E-3</v>
      </c>
      <c r="F74" s="358">
        <f>+F73/F$5</f>
        <v>-6.6336034627453447E-3</v>
      </c>
      <c r="G74" s="358">
        <f t="shared" ref="G74:I74" si="221">+G73/G$5</f>
        <v>-5.2977298222634337E-3</v>
      </c>
      <c r="H74" s="358">
        <f t="shared" si="221"/>
        <v>-6.7654132296419501E-3</v>
      </c>
      <c r="I74" s="62">
        <f t="shared" si="221"/>
        <v>-6.1124913382486455E-3</v>
      </c>
      <c r="J74" s="358">
        <f>+J73/J$5</f>
        <v>0</v>
      </c>
      <c r="K74" s="358">
        <f>+K73/K$5</f>
        <v>0</v>
      </c>
      <c r="L74" s="358">
        <f t="shared" ref="L74" si="222">+L73/L$5</f>
        <v>0</v>
      </c>
      <c r="M74" s="358">
        <f t="shared" ref="M74" si="223">+M73/M$5</f>
        <v>0</v>
      </c>
      <c r="N74" s="62">
        <f t="shared" ref="N74" si="224">+N73/N$5</f>
        <v>0</v>
      </c>
      <c r="O74" s="358">
        <f>+O73/O$5</f>
        <v>0</v>
      </c>
      <c r="P74" s="358">
        <f>+P73/P$5</f>
        <v>0</v>
      </c>
      <c r="Q74" s="358">
        <f t="shared" ref="Q74" si="225">+Q73/Q$5</f>
        <v>0</v>
      </c>
      <c r="R74" s="358">
        <f t="shared" ref="R74" si="226">+R73/R$5</f>
        <v>0</v>
      </c>
      <c r="S74" s="62">
        <f t="shared" ref="S74" si="227">+S73/S$5</f>
        <v>0</v>
      </c>
      <c r="T74" s="392">
        <f t="shared" ref="T74" si="228">IF(Case_Scenario="Bull",T75,IF(Case_Scenario="Base",T76,IF(Case_Scenario="Bear",T77,"N/A")))</f>
        <v>0</v>
      </c>
      <c r="U74" s="392">
        <f t="shared" ref="U74:W74" si="229">IF(Case_Scenario="Bull",U75,IF(Case_Scenario="Base",U76,IF(Case_Scenario="Bear",U77,"N/A")))</f>
        <v>0</v>
      </c>
      <c r="V74" s="392">
        <f t="shared" si="229"/>
        <v>0</v>
      </c>
      <c r="W74" s="392">
        <f t="shared" si="229"/>
        <v>0</v>
      </c>
      <c r="X74" s="62">
        <f t="shared" ref="X74" si="230">+X73/X$5</f>
        <v>0</v>
      </c>
      <c r="Y74" s="392">
        <f t="shared" ref="Y74:AB74" si="231">IF(Case_Scenario="Bull",Y75,IF(Case_Scenario="Base",Y76,IF(Case_Scenario="Bear",Y77,"N/A")))</f>
        <v>0</v>
      </c>
      <c r="Z74" s="392">
        <f t="shared" si="231"/>
        <v>0</v>
      </c>
      <c r="AA74" s="392">
        <f t="shared" si="231"/>
        <v>0</v>
      </c>
      <c r="AB74" s="392">
        <f t="shared" si="231"/>
        <v>0</v>
      </c>
      <c r="AC74" s="62">
        <f t="shared" ref="AC74" si="232">+AC73/AC$5</f>
        <v>0</v>
      </c>
      <c r="AD74" s="393">
        <f t="shared" ref="AD74:AF74" si="233">IF(Case_Scenario="Bull",AD75,IF(Case_Scenario="Base",AD76,IF(Case_Scenario="Bear",AD77,"N/A")))</f>
        <v>0</v>
      </c>
      <c r="AE74" s="393">
        <f t="shared" si="233"/>
        <v>0</v>
      </c>
      <c r="AF74" s="393">
        <f t="shared" si="233"/>
        <v>0</v>
      </c>
    </row>
    <row r="75" spans="2:32" x14ac:dyDescent="0.2">
      <c r="B75" s="328" t="s">
        <v>17</v>
      </c>
      <c r="E75" s="346"/>
      <c r="F75" s="346"/>
      <c r="G75" s="346"/>
      <c r="H75" s="346"/>
      <c r="J75" s="346"/>
      <c r="K75" s="346"/>
      <c r="L75" s="346"/>
      <c r="M75" s="346"/>
      <c r="O75" s="346"/>
      <c r="P75" s="346"/>
      <c r="Q75" s="346"/>
      <c r="R75" s="346"/>
      <c r="T75" s="389">
        <v>0</v>
      </c>
      <c r="U75" s="389">
        <v>0</v>
      </c>
      <c r="V75" s="389">
        <v>0</v>
      </c>
      <c r="W75" s="389">
        <v>0</v>
      </c>
      <c r="Y75" s="389">
        <v>0</v>
      </c>
      <c r="Z75" s="389">
        <v>0</v>
      </c>
      <c r="AA75" s="389">
        <v>0</v>
      </c>
      <c r="AB75" s="389">
        <v>0</v>
      </c>
      <c r="AD75" s="391">
        <v>0</v>
      </c>
      <c r="AE75" s="391">
        <v>0</v>
      </c>
      <c r="AF75" s="391">
        <v>0</v>
      </c>
    </row>
    <row r="76" spans="2:32" x14ac:dyDescent="0.2">
      <c r="B76" s="328" t="s">
        <v>26</v>
      </c>
      <c r="E76" s="346"/>
      <c r="F76" s="346"/>
      <c r="G76" s="346"/>
      <c r="H76" s="346"/>
      <c r="J76" s="346"/>
      <c r="K76" s="346"/>
      <c r="L76" s="346"/>
      <c r="M76" s="346"/>
      <c r="O76" s="346"/>
      <c r="P76" s="346"/>
      <c r="Q76" s="346"/>
      <c r="R76" s="346"/>
      <c r="T76" s="389">
        <v>0</v>
      </c>
      <c r="U76" s="389">
        <v>0</v>
      </c>
      <c r="V76" s="389">
        <v>0</v>
      </c>
      <c r="W76" s="389">
        <v>0</v>
      </c>
      <c r="Y76" s="389">
        <v>0</v>
      </c>
      <c r="Z76" s="389">
        <v>0</v>
      </c>
      <c r="AA76" s="389">
        <v>0</v>
      </c>
      <c r="AB76" s="389">
        <v>0</v>
      </c>
      <c r="AD76" s="391">
        <v>0</v>
      </c>
      <c r="AE76" s="391">
        <v>0</v>
      </c>
      <c r="AF76" s="391">
        <v>0</v>
      </c>
    </row>
    <row r="77" spans="2:32" x14ac:dyDescent="0.2">
      <c r="B77" s="328" t="s">
        <v>34</v>
      </c>
      <c r="E77" s="346"/>
      <c r="F77" s="346"/>
      <c r="G77" s="346"/>
      <c r="H77" s="346"/>
      <c r="J77" s="346"/>
      <c r="K77" s="346"/>
      <c r="L77" s="346"/>
      <c r="M77" s="346"/>
      <c r="O77" s="346"/>
      <c r="P77" s="346"/>
      <c r="Q77" s="346"/>
      <c r="R77" s="346"/>
      <c r="T77" s="389">
        <v>0</v>
      </c>
      <c r="U77" s="389">
        <v>0</v>
      </c>
      <c r="V77" s="389">
        <v>0</v>
      </c>
      <c r="W77" s="389">
        <v>0</v>
      </c>
      <c r="Y77" s="389">
        <v>0</v>
      </c>
      <c r="Z77" s="389">
        <v>0</v>
      </c>
      <c r="AA77" s="389">
        <v>0</v>
      </c>
      <c r="AB77" s="389">
        <v>0</v>
      </c>
      <c r="AD77" s="391">
        <v>0</v>
      </c>
      <c r="AE77" s="391">
        <v>0</v>
      </c>
      <c r="AF77" s="391">
        <v>0</v>
      </c>
    </row>
    <row r="78" spans="2:32" x14ac:dyDescent="0.2">
      <c r="E78" s="346"/>
      <c r="F78" s="346"/>
      <c r="G78" s="346"/>
      <c r="H78" s="346"/>
      <c r="J78" s="346"/>
      <c r="K78" s="346"/>
      <c r="L78" s="346"/>
      <c r="M78" s="346"/>
      <c r="O78" s="346"/>
      <c r="P78" s="346"/>
      <c r="Q78" s="346"/>
      <c r="R78" s="346"/>
      <c r="T78" s="345"/>
      <c r="U78" s="345"/>
      <c r="V78" s="345"/>
      <c r="W78" s="345"/>
      <c r="Y78" s="345"/>
      <c r="Z78" s="345"/>
      <c r="AA78" s="345"/>
      <c r="AB78" s="345"/>
    </row>
    <row r="79" spans="2:32" x14ac:dyDescent="0.2">
      <c r="B79" s="328" t="str">
        <f>+Model!B41</f>
        <v>Preferred Stock Dividends</v>
      </c>
      <c r="E79" s="359">
        <f>+Model!E41</f>
        <v>0</v>
      </c>
      <c r="F79" s="359">
        <f>+Model!F41</f>
        <v>0</v>
      </c>
      <c r="G79" s="359">
        <f>+Model!G41</f>
        <v>0</v>
      </c>
      <c r="H79" s="359">
        <f>+Model!H41</f>
        <v>0</v>
      </c>
      <c r="I79" s="349">
        <f>+SUM(E79:H79)</f>
        <v>0</v>
      </c>
      <c r="J79" s="359">
        <f>+Model!J41</f>
        <v>0</v>
      </c>
      <c r="K79" s="359">
        <f>+Model!K41</f>
        <v>0</v>
      </c>
      <c r="L79" s="359">
        <f>+Model!L41</f>
        <v>0</v>
      </c>
      <c r="M79" s="359">
        <f>+Model!M41</f>
        <v>0</v>
      </c>
      <c r="N79" s="349">
        <f>+SUM(J79:M79)</f>
        <v>0</v>
      </c>
      <c r="O79" s="359">
        <f>+Model!O41</f>
        <v>0</v>
      </c>
      <c r="P79" s="359">
        <f>+Model!P41</f>
        <v>0</v>
      </c>
      <c r="Q79" s="359">
        <f>+Model!Q41</f>
        <v>0</v>
      </c>
      <c r="R79" s="359">
        <f>+Model!R41</f>
        <v>0</v>
      </c>
      <c r="S79" s="349">
        <f>+SUM(O79:R79)</f>
        <v>0</v>
      </c>
      <c r="T79" s="353">
        <f>+T80*T$5</f>
        <v>0</v>
      </c>
      <c r="U79" s="353">
        <f t="shared" ref="U79:W79" si="234">+U80*U$5</f>
        <v>0</v>
      </c>
      <c r="V79" s="353">
        <f t="shared" si="234"/>
        <v>0</v>
      </c>
      <c r="W79" s="353">
        <f t="shared" si="234"/>
        <v>0</v>
      </c>
      <c r="X79" s="349">
        <f>SUM(T79:W79)</f>
        <v>0</v>
      </c>
      <c r="Y79" s="353">
        <f>+Y80*Y$5</f>
        <v>0</v>
      </c>
      <c r="Z79" s="353">
        <f t="shared" ref="Z79" si="235">+Z80*Z$5</f>
        <v>0</v>
      </c>
      <c r="AA79" s="353">
        <f t="shared" ref="AA79" si="236">+AA80*AA$5</f>
        <v>0</v>
      </c>
      <c r="AB79" s="353">
        <f t="shared" ref="AB79" si="237">+AB80*AB$5</f>
        <v>0</v>
      </c>
      <c r="AC79" s="349">
        <f>SUM(Y79:AB79)</f>
        <v>0</v>
      </c>
      <c r="AD79" s="390">
        <f t="shared" ref="AD79" si="238">+AD80*AD$5</f>
        <v>0</v>
      </c>
      <c r="AE79" s="390">
        <f t="shared" ref="AE79" si="239">+AE80*AE$5</f>
        <v>0</v>
      </c>
      <c r="AF79" s="390">
        <f t="shared" ref="AF79" si="240">+AF80*AF$5</f>
        <v>0</v>
      </c>
    </row>
    <row r="80" spans="2:32" x14ac:dyDescent="0.2">
      <c r="B80" s="328" t="s">
        <v>514</v>
      </c>
      <c r="E80" s="358">
        <f>+E79/E$5</f>
        <v>0</v>
      </c>
      <c r="F80" s="358">
        <f>+F79/F$5</f>
        <v>0</v>
      </c>
      <c r="G80" s="358">
        <f t="shared" ref="G80:I80" si="241">+G79/G$5</f>
        <v>0</v>
      </c>
      <c r="H80" s="358">
        <f t="shared" si="241"/>
        <v>0</v>
      </c>
      <c r="I80" s="62">
        <f t="shared" si="241"/>
        <v>0</v>
      </c>
      <c r="J80" s="358">
        <f>+J79/J$5</f>
        <v>0</v>
      </c>
      <c r="K80" s="358">
        <f>+K79/K$5</f>
        <v>0</v>
      </c>
      <c r="L80" s="358">
        <f t="shared" ref="L80" si="242">+L79/L$5</f>
        <v>0</v>
      </c>
      <c r="M80" s="358">
        <f t="shared" ref="M80" si="243">+M79/M$5</f>
        <v>0</v>
      </c>
      <c r="N80" s="62">
        <f t="shared" ref="N80" si="244">+N79/N$5</f>
        <v>0</v>
      </c>
      <c r="O80" s="358">
        <f>+O79/O$5</f>
        <v>0</v>
      </c>
      <c r="P80" s="358">
        <f>+P79/P$5</f>
        <v>0</v>
      </c>
      <c r="Q80" s="358">
        <f t="shared" ref="Q80" si="245">+Q79/Q$5</f>
        <v>0</v>
      </c>
      <c r="R80" s="358">
        <f t="shared" ref="R80" si="246">+R79/R$5</f>
        <v>0</v>
      </c>
      <c r="S80" s="62">
        <f t="shared" ref="S80" si="247">+S79/S$5</f>
        <v>0</v>
      </c>
      <c r="T80" s="392">
        <f t="shared" ref="T80" si="248">IF(Case_Scenario="Bull",T81,IF(Case_Scenario="Base",T82,IF(Case_Scenario="Bear",T83,"N/A")))</f>
        <v>0</v>
      </c>
      <c r="U80" s="392">
        <f t="shared" ref="U80:W80" si="249">IF(Case_Scenario="Bull",U81,IF(Case_Scenario="Base",U82,IF(Case_Scenario="Bear",U83,"N/A")))</f>
        <v>0</v>
      </c>
      <c r="V80" s="392">
        <f t="shared" si="249"/>
        <v>0</v>
      </c>
      <c r="W80" s="392">
        <f t="shared" si="249"/>
        <v>0</v>
      </c>
      <c r="X80" s="62">
        <f t="shared" ref="X80" si="250">+X79/X$5</f>
        <v>0</v>
      </c>
      <c r="Y80" s="392">
        <f t="shared" ref="Y80:AB80" si="251">IF(Case_Scenario="Bull",Y81,IF(Case_Scenario="Base",Y82,IF(Case_Scenario="Bear",Y83,"N/A")))</f>
        <v>0</v>
      </c>
      <c r="Z80" s="392">
        <f t="shared" si="251"/>
        <v>0</v>
      </c>
      <c r="AA80" s="392">
        <f t="shared" si="251"/>
        <v>0</v>
      </c>
      <c r="AB80" s="392">
        <f t="shared" si="251"/>
        <v>0</v>
      </c>
      <c r="AC80" s="62">
        <f t="shared" ref="AC80" si="252">+AC79/AC$5</f>
        <v>0</v>
      </c>
      <c r="AD80" s="393">
        <f t="shared" ref="AD80:AF80" si="253">IF(Case_Scenario="Bull",AD81,IF(Case_Scenario="Base",AD82,IF(Case_Scenario="Bear",AD83,"N/A")))</f>
        <v>0</v>
      </c>
      <c r="AE80" s="393">
        <f t="shared" si="253"/>
        <v>0</v>
      </c>
      <c r="AF80" s="393">
        <f t="shared" si="253"/>
        <v>0</v>
      </c>
    </row>
    <row r="81" spans="1:32" x14ac:dyDescent="0.2">
      <c r="B81" s="328" t="s">
        <v>17</v>
      </c>
      <c r="E81" s="346"/>
      <c r="F81" s="346"/>
      <c r="G81" s="346"/>
      <c r="H81" s="346"/>
      <c r="J81" s="346"/>
      <c r="K81" s="346"/>
      <c r="L81" s="346"/>
      <c r="M81" s="346"/>
      <c r="O81" s="346"/>
      <c r="P81" s="346"/>
      <c r="Q81" s="346"/>
      <c r="R81" s="346"/>
      <c r="T81" s="389">
        <v>0</v>
      </c>
      <c r="U81" s="389">
        <v>0</v>
      </c>
      <c r="V81" s="389">
        <v>0</v>
      </c>
      <c r="W81" s="389">
        <v>0</v>
      </c>
      <c r="Y81" s="389">
        <v>0</v>
      </c>
      <c r="Z81" s="389">
        <v>0</v>
      </c>
      <c r="AA81" s="389">
        <v>0</v>
      </c>
      <c r="AB81" s="389">
        <v>0</v>
      </c>
      <c r="AD81" s="391">
        <v>0</v>
      </c>
      <c r="AE81" s="391">
        <v>0</v>
      </c>
      <c r="AF81" s="391">
        <v>0</v>
      </c>
    </row>
    <row r="82" spans="1:32" x14ac:dyDescent="0.2">
      <c r="B82" s="328" t="s">
        <v>26</v>
      </c>
      <c r="E82" s="346"/>
      <c r="F82" s="346"/>
      <c r="G82" s="346"/>
      <c r="H82" s="346"/>
      <c r="J82" s="346"/>
      <c r="K82" s="346"/>
      <c r="L82" s="346"/>
      <c r="M82" s="346"/>
      <c r="O82" s="346"/>
      <c r="P82" s="346"/>
      <c r="Q82" s="346"/>
      <c r="R82" s="346"/>
      <c r="T82" s="389">
        <v>0</v>
      </c>
      <c r="U82" s="389">
        <v>0</v>
      </c>
      <c r="V82" s="389">
        <v>0</v>
      </c>
      <c r="W82" s="389">
        <v>0</v>
      </c>
      <c r="Y82" s="389">
        <v>0</v>
      </c>
      <c r="Z82" s="389">
        <v>0</v>
      </c>
      <c r="AA82" s="389">
        <v>0</v>
      </c>
      <c r="AB82" s="389">
        <v>0</v>
      </c>
      <c r="AD82" s="391">
        <v>0</v>
      </c>
      <c r="AE82" s="391">
        <v>0</v>
      </c>
      <c r="AF82" s="391">
        <v>0</v>
      </c>
    </row>
    <row r="83" spans="1:32" x14ac:dyDescent="0.2">
      <c r="B83" s="328" t="s">
        <v>34</v>
      </c>
      <c r="E83" s="346"/>
      <c r="F83" s="346"/>
      <c r="G83" s="346"/>
      <c r="H83" s="346"/>
      <c r="J83" s="346"/>
      <c r="K83" s="346"/>
      <c r="L83" s="346"/>
      <c r="M83" s="346"/>
      <c r="O83" s="346"/>
      <c r="P83" s="346"/>
      <c r="Q83" s="346"/>
      <c r="R83" s="346"/>
      <c r="T83" s="389">
        <v>0</v>
      </c>
      <c r="U83" s="389">
        <v>0</v>
      </c>
      <c r="V83" s="389">
        <v>0</v>
      </c>
      <c r="W83" s="389">
        <v>0</v>
      </c>
      <c r="Y83" s="389">
        <v>0</v>
      </c>
      <c r="Z83" s="389">
        <v>0</v>
      </c>
      <c r="AA83" s="389">
        <v>0</v>
      </c>
      <c r="AB83" s="389">
        <v>0</v>
      </c>
      <c r="AD83" s="391">
        <v>0</v>
      </c>
      <c r="AE83" s="391">
        <v>0</v>
      </c>
      <c r="AF83" s="391">
        <v>0</v>
      </c>
    </row>
    <row r="84" spans="1:32" x14ac:dyDescent="0.2">
      <c r="E84" s="346"/>
      <c r="F84" s="346"/>
      <c r="G84" s="346"/>
      <c r="H84" s="346"/>
      <c r="J84" s="346"/>
      <c r="K84" s="346"/>
      <c r="L84" s="346"/>
      <c r="M84" s="346"/>
      <c r="O84" s="346"/>
      <c r="P84" s="346"/>
      <c r="Q84" s="346"/>
      <c r="R84" s="346"/>
      <c r="T84" s="345"/>
      <c r="U84" s="345"/>
      <c r="V84" s="345"/>
      <c r="W84" s="345"/>
      <c r="Y84" s="345"/>
      <c r="Z84" s="345"/>
      <c r="AA84" s="345"/>
      <c r="AB84" s="345"/>
    </row>
    <row r="85" spans="1:32" x14ac:dyDescent="0.2">
      <c r="A85" s="341" t="s">
        <v>6</v>
      </c>
      <c r="B85" s="22" t="s">
        <v>47</v>
      </c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340"/>
    </row>
    <row r="86" spans="1:32" x14ac:dyDescent="0.2">
      <c r="E86" s="346"/>
      <c r="F86" s="346"/>
      <c r="G86" s="346"/>
      <c r="H86" s="346"/>
      <c r="J86" s="346"/>
      <c r="K86" s="346"/>
      <c r="L86" s="346"/>
      <c r="M86" s="346"/>
      <c r="O86" s="346"/>
      <c r="P86" s="346"/>
      <c r="Q86" s="346"/>
      <c r="R86" s="346"/>
      <c r="T86" s="345"/>
      <c r="U86" s="345"/>
      <c r="V86" s="345"/>
      <c r="W86" s="345"/>
      <c r="Y86" s="345"/>
      <c r="Z86" s="345"/>
      <c r="AA86" s="345"/>
      <c r="AB86" s="345"/>
    </row>
    <row r="87" spans="1:32" x14ac:dyDescent="0.2">
      <c r="B87" s="328" t="s">
        <v>520</v>
      </c>
      <c r="E87" s="359">
        <f>Model!E39</f>
        <v>-173057</v>
      </c>
      <c r="F87" s="359">
        <f>Model!F39</f>
        <v>-171542</v>
      </c>
      <c r="G87" s="359">
        <f>Model!G39</f>
        <v>-204640</v>
      </c>
      <c r="H87" s="359">
        <f>Model!H39</f>
        <v>-214143</v>
      </c>
      <c r="I87" s="349">
        <f>+SUM(E87:H87)</f>
        <v>-763382</v>
      </c>
      <c r="J87" s="359">
        <f>Model!J39</f>
        <v>-216366</v>
      </c>
      <c r="K87" s="359">
        <f>Model!K39</f>
        <v>-238244</v>
      </c>
      <c r="L87" s="359">
        <f>Model!L39</f>
        <v>-294850</v>
      </c>
      <c r="M87" s="359">
        <f>Model!M39</f>
        <v>-239297</v>
      </c>
      <c r="N87" s="349">
        <f>+SUM(J87:M87)</f>
        <v>-988757</v>
      </c>
      <c r="O87" s="359">
        <f>Model!O39</f>
        <v>-260655</v>
      </c>
      <c r="P87" s="359">
        <f>Model!P39</f>
        <v>-277062</v>
      </c>
      <c r="Q87" s="359">
        <f>Model!Q39</f>
        <v>-325158</v>
      </c>
      <c r="R87" s="359">
        <f>Model!R39</f>
        <v>-245189</v>
      </c>
      <c r="S87" s="349">
        <f>+SUM(O87:R87)</f>
        <v>-1108064</v>
      </c>
      <c r="T87" s="395">
        <f>T88*T5</f>
        <v>-326691.2015622562</v>
      </c>
      <c r="U87" s="395">
        <f t="shared" ref="U87:W87" si="254">U88*U5</f>
        <v>-352552.48037738714</v>
      </c>
      <c r="V87" s="395">
        <f t="shared" si="254"/>
        <v>-377871.27506904944</v>
      </c>
      <c r="W87" s="395">
        <f t="shared" si="254"/>
        <v>-424333.1214579338</v>
      </c>
      <c r="X87" s="349">
        <f>+SUM(T87:W87)</f>
        <v>-1481448.0784666268</v>
      </c>
      <c r="Y87" s="395">
        <f>Y88*Y5</f>
        <v>-416527.6529737782</v>
      </c>
      <c r="Z87" s="395">
        <f t="shared" ref="Z87" si="255">Z88*Z5</f>
        <v>-445400.91283420671</v>
      </c>
      <c r="AA87" s="395">
        <f t="shared" ref="AA87" si="256">AA88*AA5</f>
        <v>-470137.24382818403</v>
      </c>
      <c r="AB87" s="395">
        <f t="shared" ref="AB87" si="257">AB88*AB5</f>
        <v>-505055.03695151891</v>
      </c>
      <c r="AC87" s="349">
        <f>+SUM(Y87:AB87)</f>
        <v>-1837120.8465876877</v>
      </c>
      <c r="AD87" s="442">
        <f t="shared" ref="AD87" si="258">AD88*AD5</f>
        <v>-2016048.5261351289</v>
      </c>
      <c r="AE87" s="442">
        <f t="shared" ref="AE87" si="259">AE88*AE5</f>
        <v>-2156816.8389969044</v>
      </c>
      <c r="AF87" s="442">
        <f t="shared" ref="AF87" si="260">AF88*AF5</f>
        <v>-2325028.4848822947</v>
      </c>
    </row>
    <row r="88" spans="1:32" x14ac:dyDescent="0.2">
      <c r="B88" s="328" t="s">
        <v>514</v>
      </c>
      <c r="E88" s="358">
        <f>E87/E5</f>
        <v>-0.17596768141834077</v>
      </c>
      <c r="F88" s="358">
        <f t="shared" ref="F88:H88" si="261">F87/F5</f>
        <v>-0.18599895475747988</v>
      </c>
      <c r="G88" s="358">
        <f t="shared" si="261"/>
        <v>-0.18956590852036878</v>
      </c>
      <c r="H88" s="358">
        <f t="shared" si="261"/>
        <v>-0.17826576660947657</v>
      </c>
      <c r="I88" s="62">
        <f>Model!I$73</f>
        <v>-0.18234333187866072</v>
      </c>
      <c r="J88" s="358">
        <f>J87/J5</f>
        <v>-0.18735566194826819</v>
      </c>
      <c r="K88" s="358">
        <f t="shared" ref="K88" si="262">K87/K5</f>
        <v>-0.1846759659397007</v>
      </c>
      <c r="L88" s="358">
        <f t="shared" ref="L88" si="263">L87/L5</f>
        <v>-0.19965993143101693</v>
      </c>
      <c r="M88" s="358">
        <f t="shared" ref="M88" si="264">M87/M5</f>
        <v>-0.15951601979543298</v>
      </c>
      <c r="N88" s="62">
        <f>Model!N$73</f>
        <v>-0.18236655611934832</v>
      </c>
      <c r="O88" s="358">
        <f>O87/O5</f>
        <v>-0.18804743913375027</v>
      </c>
      <c r="P88" s="358">
        <f t="shared" ref="P88" si="265">P87/P5</f>
        <v>-0.19320664510023927</v>
      </c>
      <c r="Q88" s="358">
        <f t="shared" ref="Q88" si="266">Q87/Q5</f>
        <v>-0.19927706767470252</v>
      </c>
      <c r="R88" s="358">
        <f t="shared" ref="R88" si="267">R87/R5</f>
        <v>-0.17914594985588042</v>
      </c>
      <c r="S88" s="62">
        <f>Model!S$73</f>
        <v>-0.19037346608309461</v>
      </c>
      <c r="T88" s="392">
        <f>IF(Case_Scenario="Bull",T89,IF(Case_Scenario="Base",T90,IF(Case_Scenario="Bear",T91,"N/A")))</f>
        <v>-0.1915</v>
      </c>
      <c r="U88" s="392">
        <f>IF(Case_Scenario="Bull",U89,IF(Case_Scenario="Base",U90,IF(Case_Scenario="Bear",U91,"N/A")))</f>
        <v>-0.19699999999999998</v>
      </c>
      <c r="V88" s="392">
        <f>IF(Case_Scenario="Bull",V89,IF(Case_Scenario="Base",V90,IF(Case_Scenario="Bear",V91,"N/A")))</f>
        <v>-0.19899999999999998</v>
      </c>
      <c r="W88" s="392">
        <f>IF(Case_Scenario="Bull",W89,IF(Case_Scenario="Base",W90,IF(Case_Scenario="Bear",W91,"N/A")))</f>
        <v>-0.19999999999999998</v>
      </c>
      <c r="X88" s="62">
        <f>Model!X$73</f>
        <v>-0.19710376710280608</v>
      </c>
      <c r="Y88" s="392">
        <f>IF(Case_Scenario="Bull",Y89,IF(Case_Scenario="Base",Y90,IF(Case_Scenario="Bear",Y91,"N/A")))</f>
        <v>-0.20399999999999999</v>
      </c>
      <c r="Z88" s="392">
        <f>IF(Case_Scenario="Bull",Z89,IF(Case_Scenario="Base",Z90,IF(Case_Scenario="Bear",Z91,"N/A")))</f>
        <v>-0.20149999999999998</v>
      </c>
      <c r="AA88" s="392">
        <f>IF(Case_Scenario="Bull",AA89,IF(Case_Scenario="Base",AA90,IF(Case_Scenario="Bear",AA91,"N/A")))</f>
        <v>-0.20299999999999999</v>
      </c>
      <c r="AB88" s="392">
        <f>IF(Case_Scenario="Bull",AB89,IF(Case_Scenario="Base",AB90,IF(Case_Scenario="Bear",AB91,"N/A")))</f>
        <v>-0.20099999999999998</v>
      </c>
      <c r="AC88" s="62">
        <f>Model!AC$73</f>
        <v>-0.20230631661591503</v>
      </c>
      <c r="AD88" s="393">
        <f>IF(Case_Scenario="Bull",AD89,IF(Case_Scenario="Base",AD90,IF(Case_Scenario="Bear",AD91,"N/A")))</f>
        <v>-0.19500000000000001</v>
      </c>
      <c r="AE88" s="393">
        <f>IF(Case_Scenario="Bull",AE89,IF(Case_Scenario="Base",AE90,IF(Case_Scenario="Bear",AE91,"N/A")))</f>
        <v>-0.19</v>
      </c>
      <c r="AF88" s="393">
        <f>IF(Case_Scenario="Bull",AF89,IF(Case_Scenario="Base",AF90,IF(Case_Scenario="Bear",AF91,"N/A")))</f>
        <v>-0.19</v>
      </c>
    </row>
    <row r="89" spans="1:32" x14ac:dyDescent="0.2">
      <c r="B89" s="328" t="s">
        <v>17</v>
      </c>
      <c r="E89" s="346"/>
      <c r="F89" s="346"/>
      <c r="G89" s="346"/>
      <c r="H89" s="346"/>
      <c r="J89" s="346"/>
      <c r="K89" s="346"/>
      <c r="L89" s="346"/>
      <c r="M89" s="346"/>
      <c r="O89" s="346"/>
      <c r="P89" s="346"/>
      <c r="Q89" s="346"/>
      <c r="R89" s="346"/>
      <c r="T89" s="389">
        <f>+T90+3%</f>
        <v>-0.1615</v>
      </c>
      <c r="U89" s="389">
        <f t="shared" ref="U89:W89" si="268">+U90+3%</f>
        <v>-0.16699999999999998</v>
      </c>
      <c r="V89" s="389">
        <f t="shared" si="268"/>
        <v>-0.16899999999999998</v>
      </c>
      <c r="W89" s="389">
        <f t="shared" si="268"/>
        <v>-0.16999999999999998</v>
      </c>
      <c r="Y89" s="389">
        <f>+Y90+3%</f>
        <v>-0.17399999999999999</v>
      </c>
      <c r="Z89" s="389">
        <f t="shared" ref="Z89" si="269">+Z90+3%</f>
        <v>-0.17149999999999999</v>
      </c>
      <c r="AA89" s="389">
        <f t="shared" ref="AA89" si="270">+AA90+3%</f>
        <v>-0.17299999999999999</v>
      </c>
      <c r="AB89" s="389">
        <f t="shared" ref="AB89" si="271">+AB90+3%</f>
        <v>-0.17099999999999999</v>
      </c>
      <c r="AD89" s="447">
        <f t="shared" ref="AD89" si="272">+AD90+3%</f>
        <v>-0.16500000000000001</v>
      </c>
      <c r="AE89" s="447">
        <f t="shared" ref="AE89" si="273">+AE90+3%</f>
        <v>-0.16</v>
      </c>
      <c r="AF89" s="447">
        <f t="shared" ref="AF89" si="274">+AF90+3%</f>
        <v>-0.16</v>
      </c>
    </row>
    <row r="90" spans="1:32" x14ac:dyDescent="0.2">
      <c r="B90" s="328" t="s">
        <v>26</v>
      </c>
      <c r="E90" s="346"/>
      <c r="F90" s="346"/>
      <c r="G90" s="346"/>
      <c r="H90" s="346"/>
      <c r="J90" s="346"/>
      <c r="K90" s="346"/>
      <c r="L90" s="346"/>
      <c r="M90" s="346"/>
      <c r="O90" s="346"/>
      <c r="P90" s="346"/>
      <c r="Q90" s="346"/>
      <c r="R90" s="346"/>
      <c r="T90" s="389">
        <v>-0.1915</v>
      </c>
      <c r="U90" s="389">
        <v>-0.19699999999999998</v>
      </c>
      <c r="V90" s="389">
        <v>-0.19899999999999998</v>
      </c>
      <c r="W90" s="389">
        <v>-0.19999999999999998</v>
      </c>
      <c r="Y90" s="389">
        <v>-0.20399999999999999</v>
      </c>
      <c r="Z90" s="389">
        <v>-0.20149999999999998</v>
      </c>
      <c r="AA90" s="389">
        <v>-0.20299999999999999</v>
      </c>
      <c r="AB90" s="389">
        <v>-0.20099999999999998</v>
      </c>
      <c r="AD90" s="448">
        <v>-0.19500000000000001</v>
      </c>
      <c r="AE90" s="448">
        <v>-0.19</v>
      </c>
      <c r="AF90" s="448">
        <v>-0.19</v>
      </c>
    </row>
    <row r="91" spans="1:32" x14ac:dyDescent="0.2">
      <c r="B91" s="328" t="s">
        <v>34</v>
      </c>
      <c r="E91" s="346"/>
      <c r="F91" s="346"/>
      <c r="G91" s="346"/>
      <c r="H91" s="346"/>
      <c r="J91" s="346"/>
      <c r="K91" s="346"/>
      <c r="L91" s="346"/>
      <c r="M91" s="346"/>
      <c r="O91" s="346"/>
      <c r="P91" s="346"/>
      <c r="Q91" s="346"/>
      <c r="R91" s="346"/>
      <c r="T91" s="389">
        <f>+T90-2%</f>
        <v>-0.21149999999999999</v>
      </c>
      <c r="U91" s="389">
        <f t="shared" ref="U91:W91" si="275">+U90-2%</f>
        <v>-0.21699999999999997</v>
      </c>
      <c r="V91" s="389">
        <f t="shared" si="275"/>
        <v>-0.21899999999999997</v>
      </c>
      <c r="W91" s="389">
        <f t="shared" si="275"/>
        <v>-0.21999999999999997</v>
      </c>
      <c r="Y91" s="389">
        <f>+Y90-2%</f>
        <v>-0.22399999999999998</v>
      </c>
      <c r="Z91" s="389">
        <f t="shared" ref="Z91" si="276">+Z90-2%</f>
        <v>-0.22149999999999997</v>
      </c>
      <c r="AA91" s="389">
        <f t="shared" ref="AA91" si="277">+AA90-2%</f>
        <v>-0.22299999999999998</v>
      </c>
      <c r="AB91" s="389">
        <f t="shared" ref="AB91" si="278">+AB90-2%</f>
        <v>-0.22099999999999997</v>
      </c>
      <c r="AD91" s="447">
        <f t="shared" ref="AD91" si="279">+AD90-2%</f>
        <v>-0.215</v>
      </c>
      <c r="AE91" s="447">
        <f t="shared" ref="AE91" si="280">+AE90-2%</f>
        <v>-0.21</v>
      </c>
      <c r="AF91" s="447">
        <f t="shared" ref="AF91" si="281">+AF90-2%</f>
        <v>-0.21</v>
      </c>
    </row>
    <row r="92" spans="1:32" x14ac:dyDescent="0.2">
      <c r="E92" s="346"/>
      <c r="F92" s="346"/>
      <c r="G92" s="346"/>
      <c r="H92" s="346"/>
      <c r="J92" s="346"/>
      <c r="K92" s="346"/>
      <c r="L92" s="346"/>
      <c r="M92" s="346"/>
      <c r="O92" s="346"/>
      <c r="P92" s="346"/>
      <c r="Q92" s="346"/>
      <c r="R92" s="346"/>
      <c r="T92" s="345"/>
      <c r="U92" s="345"/>
      <c r="V92" s="345"/>
      <c r="W92" s="345"/>
      <c r="Y92" s="345"/>
      <c r="Z92" s="345"/>
      <c r="AA92" s="345"/>
      <c r="AB92" s="345"/>
    </row>
    <row r="93" spans="1:32" x14ac:dyDescent="0.2">
      <c r="A93" s="341" t="s">
        <v>6</v>
      </c>
      <c r="B93" s="19" t="s">
        <v>488</v>
      </c>
      <c r="C93" s="342"/>
      <c r="D93" s="342"/>
      <c r="E93" s="342"/>
      <c r="F93" s="342"/>
      <c r="G93" s="342"/>
      <c r="H93" s="342"/>
      <c r="I93" s="342"/>
      <c r="J93" s="342"/>
      <c r="K93" s="342"/>
      <c r="L93" s="342"/>
      <c r="M93" s="342"/>
      <c r="N93" s="342"/>
      <c r="O93" s="342"/>
      <c r="P93" s="342"/>
      <c r="Q93" s="342"/>
      <c r="R93" s="342"/>
      <c r="S93" s="342"/>
      <c r="T93" s="342"/>
      <c r="U93" s="342"/>
      <c r="V93" s="342"/>
      <c r="W93" s="342"/>
      <c r="X93" s="342"/>
      <c r="Y93" s="342"/>
      <c r="Z93" s="342"/>
      <c r="AA93" s="342"/>
      <c r="AB93" s="342"/>
      <c r="AC93" s="342"/>
      <c r="AD93" s="342"/>
      <c r="AE93" s="342"/>
      <c r="AF93" s="34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9470B-46D9-4BDD-847F-58C6EE63698F}">
  <sheetPr codeName="Sheet6"/>
  <dimension ref="A1:R86"/>
  <sheetViews>
    <sheetView showGridLines="0" zoomScale="80" zoomScaleNormal="80" workbookViewId="0"/>
  </sheetViews>
  <sheetFormatPr defaultRowHeight="15" x14ac:dyDescent="0.25"/>
  <cols>
    <col min="1" max="1" width="4.28515625" customWidth="1"/>
    <col min="2" max="2" width="40.7109375" bestFit="1" customWidth="1"/>
    <col min="3" max="3" width="13.28515625" customWidth="1"/>
    <col min="4" max="4" width="12.140625" bestFit="1" customWidth="1"/>
    <col min="5" max="5" width="19.7109375" bestFit="1" customWidth="1"/>
    <col min="6" max="6" width="27.28515625" bestFit="1" customWidth="1"/>
    <col min="7" max="7" width="47.85546875" bestFit="1" customWidth="1"/>
    <col min="8" max="9" width="13.140625" bestFit="1" customWidth="1"/>
    <col min="10" max="10" width="23.140625" bestFit="1" customWidth="1"/>
    <col min="11" max="11" width="25" bestFit="1" customWidth="1"/>
    <col min="12" max="12" width="35.85546875" bestFit="1" customWidth="1"/>
    <col min="13" max="13" width="14.85546875" bestFit="1" customWidth="1"/>
    <col min="14" max="14" width="20" bestFit="1" customWidth="1"/>
  </cols>
  <sheetData>
    <row r="1" spans="2:18" s="2" customFormat="1" ht="12.75" x14ac:dyDescent="0.2"/>
    <row r="2" spans="2:18" s="2" customFormat="1" ht="12.75" x14ac:dyDescent="0.2">
      <c r="B2" s="6"/>
      <c r="C2" s="92" t="s">
        <v>59</v>
      </c>
      <c r="D2" s="92"/>
      <c r="E2" s="92" t="s">
        <v>66</v>
      </c>
      <c r="F2" s="92"/>
      <c r="G2" s="92"/>
      <c r="H2" s="92"/>
      <c r="I2" s="92"/>
      <c r="J2" s="92"/>
      <c r="K2" s="92"/>
      <c r="L2" s="93"/>
    </row>
    <row r="3" spans="2:18" s="2" customFormat="1" ht="12.75" x14ac:dyDescent="0.2">
      <c r="B3" s="6" t="s">
        <v>65</v>
      </c>
      <c r="C3" s="94" t="s">
        <v>60</v>
      </c>
      <c r="D3" s="94" t="s">
        <v>61</v>
      </c>
      <c r="E3" s="94" t="s">
        <v>67</v>
      </c>
      <c r="F3" s="94" t="s">
        <v>62</v>
      </c>
      <c r="G3" s="94" t="s">
        <v>68</v>
      </c>
      <c r="H3" s="94" t="s">
        <v>69</v>
      </c>
      <c r="I3" s="94" t="s">
        <v>63</v>
      </c>
      <c r="J3" s="94" t="s">
        <v>70</v>
      </c>
      <c r="K3" s="94" t="s">
        <v>64</v>
      </c>
      <c r="L3" s="94" t="s">
        <v>71</v>
      </c>
      <c r="M3" s="27"/>
      <c r="N3" s="27"/>
      <c r="O3" s="109"/>
    </row>
    <row r="4" spans="2:18" s="2" customFormat="1" ht="12.75" x14ac:dyDescent="0.2">
      <c r="B4" s="11"/>
      <c r="C4" s="95"/>
      <c r="D4" s="95"/>
      <c r="E4" s="95"/>
      <c r="F4" s="95"/>
      <c r="G4" s="95"/>
      <c r="H4" s="95"/>
      <c r="I4" s="95"/>
      <c r="J4" s="95"/>
      <c r="K4" s="95"/>
      <c r="L4" s="95"/>
      <c r="R4" s="67"/>
    </row>
    <row r="5" spans="2:18" s="2" customFormat="1" ht="12.75" x14ac:dyDescent="0.2">
      <c r="B5" s="105" t="s">
        <v>72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</row>
    <row r="6" spans="2:18" s="2" customFormat="1" ht="12.75" x14ac:dyDescent="0.2">
      <c r="B6" s="11" t="s">
        <v>73</v>
      </c>
      <c r="C6" s="95" t="s">
        <v>74</v>
      </c>
      <c r="D6" s="95" t="s">
        <v>75</v>
      </c>
      <c r="E6" s="97">
        <v>18400</v>
      </c>
      <c r="F6" s="97">
        <v>15335</v>
      </c>
      <c r="G6" s="98">
        <v>0.03</v>
      </c>
      <c r="H6" s="97">
        <v>3065</v>
      </c>
      <c r="I6" s="97">
        <v>0</v>
      </c>
      <c r="J6" s="97">
        <v>3065</v>
      </c>
      <c r="K6" s="97">
        <v>3096</v>
      </c>
      <c r="L6" s="97">
        <v>0</v>
      </c>
    </row>
    <row r="7" spans="2:18" s="2" customFormat="1" ht="12.75" x14ac:dyDescent="0.2">
      <c r="B7" s="101" t="s">
        <v>76</v>
      </c>
      <c r="C7" s="102" t="s">
        <v>77</v>
      </c>
      <c r="D7" s="102" t="s">
        <v>74</v>
      </c>
      <c r="E7" s="103">
        <v>13500</v>
      </c>
      <c r="F7" s="103">
        <v>1706</v>
      </c>
      <c r="G7" s="104">
        <v>0.04</v>
      </c>
      <c r="H7" s="103">
        <v>12292</v>
      </c>
      <c r="I7" s="103">
        <v>4948</v>
      </c>
      <c r="J7" s="103">
        <v>11219</v>
      </c>
      <c r="K7" s="103">
        <v>20105</v>
      </c>
      <c r="L7" s="103">
        <v>1687</v>
      </c>
    </row>
    <row r="8" spans="2:18" s="2" customFormat="1" ht="12.75" x14ac:dyDescent="0.2">
      <c r="B8" s="11" t="s">
        <v>78</v>
      </c>
      <c r="C8" s="95" t="s">
        <v>79</v>
      </c>
      <c r="D8" s="95" t="s">
        <v>77</v>
      </c>
      <c r="E8" s="99">
        <v>8718</v>
      </c>
      <c r="F8" s="99">
        <v>408</v>
      </c>
      <c r="G8" s="98">
        <v>0.03</v>
      </c>
      <c r="H8" s="99">
        <v>9769</v>
      </c>
      <c r="I8" s="99">
        <v>20199</v>
      </c>
      <c r="J8" s="99">
        <v>2957</v>
      </c>
      <c r="K8" s="99">
        <v>6197</v>
      </c>
      <c r="L8" s="99">
        <v>667</v>
      </c>
    </row>
    <row r="9" spans="2:18" s="2" customFormat="1" ht="12.75" x14ac:dyDescent="0.2">
      <c r="B9" s="101" t="s">
        <v>80</v>
      </c>
      <c r="C9" s="102" t="s">
        <v>81</v>
      </c>
      <c r="D9" s="102" t="s">
        <v>79</v>
      </c>
      <c r="E9" s="103">
        <v>17642</v>
      </c>
      <c r="F9" s="103">
        <v>247</v>
      </c>
      <c r="G9" s="104">
        <v>0.02</v>
      </c>
      <c r="H9" s="103">
        <v>17309</v>
      </c>
      <c r="I9" s="103">
        <v>35557</v>
      </c>
      <c r="J9" s="103">
        <v>1274</v>
      </c>
      <c r="K9" s="103">
        <v>1708</v>
      </c>
      <c r="L9" s="103">
        <v>141</v>
      </c>
    </row>
    <row r="10" spans="2:18" s="2" customFormat="1" ht="12.75" x14ac:dyDescent="0.2">
      <c r="B10" s="11" t="s">
        <v>82</v>
      </c>
      <c r="C10" s="95" t="s">
        <v>83</v>
      </c>
      <c r="D10" s="95" t="s">
        <v>84</v>
      </c>
      <c r="E10" s="99">
        <v>6000</v>
      </c>
      <c r="F10" s="99">
        <v>0</v>
      </c>
      <c r="G10" s="98">
        <v>0.03</v>
      </c>
      <c r="H10" s="99">
        <v>6000</v>
      </c>
      <c r="I10" s="99">
        <v>14123</v>
      </c>
      <c r="J10" s="99">
        <v>0</v>
      </c>
      <c r="K10" s="99">
        <v>6</v>
      </c>
      <c r="L10" s="99">
        <v>1</v>
      </c>
    </row>
    <row r="11" spans="2:18" s="2" customFormat="1" ht="12.75" x14ac:dyDescent="0.2">
      <c r="B11" s="101" t="s">
        <v>85</v>
      </c>
      <c r="C11" s="102" t="s">
        <v>86</v>
      </c>
      <c r="D11" s="102" t="s">
        <v>87</v>
      </c>
      <c r="E11" s="103">
        <v>7120</v>
      </c>
      <c r="F11" s="103">
        <v>7120</v>
      </c>
      <c r="G11" s="104">
        <v>0.11</v>
      </c>
      <c r="H11" s="103">
        <v>0</v>
      </c>
      <c r="I11" s="103">
        <v>0</v>
      </c>
      <c r="J11" s="103">
        <v>0</v>
      </c>
      <c r="K11" s="103">
        <v>0</v>
      </c>
      <c r="L11" s="103">
        <v>0</v>
      </c>
    </row>
    <row r="12" spans="2:18" s="2" customFormat="1" ht="12.75" x14ac:dyDescent="0.2">
      <c r="B12" s="11" t="s">
        <v>88</v>
      </c>
      <c r="C12" s="95" t="s">
        <v>89</v>
      </c>
      <c r="D12" s="95" t="s">
        <v>90</v>
      </c>
      <c r="E12" s="99">
        <v>6328</v>
      </c>
      <c r="F12" s="99">
        <v>1604</v>
      </c>
      <c r="G12" s="98">
        <v>0.02</v>
      </c>
      <c r="H12" s="99">
        <v>4793</v>
      </c>
      <c r="I12" s="99">
        <v>782</v>
      </c>
      <c r="J12" s="99">
        <v>4640</v>
      </c>
      <c r="K12" s="99">
        <v>5395</v>
      </c>
      <c r="L12" s="99">
        <v>212</v>
      </c>
    </row>
    <row r="13" spans="2:18" s="2" customFormat="1" ht="12.75" x14ac:dyDescent="0.2">
      <c r="B13" s="101" t="s">
        <v>91</v>
      </c>
      <c r="C13" s="102" t="s">
        <v>92</v>
      </c>
      <c r="D13" s="102" t="s">
        <v>89</v>
      </c>
      <c r="E13" s="103">
        <v>3513</v>
      </c>
      <c r="F13" s="103">
        <v>64</v>
      </c>
      <c r="G13" s="104">
        <v>0.06</v>
      </c>
      <c r="H13" s="103">
        <v>3577</v>
      </c>
      <c r="I13" s="103">
        <v>5122</v>
      </c>
      <c r="J13" s="103">
        <v>1799</v>
      </c>
      <c r="K13" s="103">
        <v>2473</v>
      </c>
      <c r="L13" s="103">
        <v>135</v>
      </c>
    </row>
    <row r="14" spans="2:18" s="2" customFormat="1" ht="12.75" x14ac:dyDescent="0.2">
      <c r="B14" s="11" t="s">
        <v>93</v>
      </c>
      <c r="C14" s="95" t="s">
        <v>94</v>
      </c>
      <c r="D14" s="95" t="s">
        <v>95</v>
      </c>
      <c r="E14" s="99">
        <v>5509</v>
      </c>
      <c r="F14" s="99">
        <v>145</v>
      </c>
      <c r="G14" s="98">
        <v>0.05</v>
      </c>
      <c r="H14" s="99">
        <v>5360</v>
      </c>
      <c r="I14" s="99">
        <v>10604</v>
      </c>
      <c r="J14" s="99">
        <v>669</v>
      </c>
      <c r="K14" s="99">
        <v>129</v>
      </c>
      <c r="L14" s="99">
        <v>-25</v>
      </c>
    </row>
    <row r="15" spans="2:18" s="2" customFormat="1" ht="12.75" x14ac:dyDescent="0.2">
      <c r="B15" s="101" t="s">
        <v>96</v>
      </c>
      <c r="C15" s="102" t="s">
        <v>97</v>
      </c>
      <c r="D15" s="102" t="s">
        <v>98</v>
      </c>
      <c r="E15" s="103">
        <v>5751</v>
      </c>
      <c r="F15" s="103">
        <v>0</v>
      </c>
      <c r="G15" s="104">
        <v>0.02</v>
      </c>
      <c r="H15" s="103">
        <v>5751</v>
      </c>
      <c r="I15" s="103">
        <v>8507</v>
      </c>
      <c r="J15" s="103">
        <v>0</v>
      </c>
      <c r="K15" s="103">
        <v>34</v>
      </c>
      <c r="L15" s="103">
        <v>0</v>
      </c>
    </row>
    <row r="16" spans="2:18" s="2" customFormat="1" ht="12.75" x14ac:dyDescent="0.2">
      <c r="B16" s="11" t="s">
        <v>99</v>
      </c>
      <c r="C16" s="95" t="s">
        <v>100</v>
      </c>
      <c r="D16" s="95" t="s">
        <v>101</v>
      </c>
      <c r="E16" s="99">
        <v>14735</v>
      </c>
      <c r="F16" s="99">
        <v>11353</v>
      </c>
      <c r="G16" s="98">
        <v>0.04</v>
      </c>
      <c r="H16" s="99">
        <v>3423</v>
      </c>
      <c r="I16" s="99">
        <v>41</v>
      </c>
      <c r="J16" s="99">
        <v>3402</v>
      </c>
      <c r="K16" s="99">
        <v>3635</v>
      </c>
      <c r="L16" s="99">
        <v>0</v>
      </c>
    </row>
    <row r="17" spans="2:12" s="2" customFormat="1" ht="12.75" x14ac:dyDescent="0.2">
      <c r="B17" s="101" t="s">
        <v>102</v>
      </c>
      <c r="C17" s="102" t="s">
        <v>103</v>
      </c>
      <c r="D17" s="102" t="s">
        <v>100</v>
      </c>
      <c r="E17" s="103">
        <v>9000</v>
      </c>
      <c r="F17" s="103">
        <v>2000</v>
      </c>
      <c r="G17" s="104">
        <v>0.06</v>
      </c>
      <c r="H17" s="103">
        <v>7404</v>
      </c>
      <c r="I17" s="103">
        <v>4199</v>
      </c>
      <c r="J17" s="103">
        <v>6438</v>
      </c>
      <c r="K17" s="103">
        <v>11949</v>
      </c>
      <c r="L17" s="103">
        <v>981</v>
      </c>
    </row>
    <row r="18" spans="2:12" s="2" customFormat="1" ht="12.75" x14ac:dyDescent="0.2">
      <c r="B18" s="11" t="s">
        <v>104</v>
      </c>
      <c r="C18" s="95" t="s">
        <v>105</v>
      </c>
      <c r="D18" s="95" t="s">
        <v>103</v>
      </c>
      <c r="E18" s="99">
        <v>5825</v>
      </c>
      <c r="F18" s="99">
        <v>34</v>
      </c>
      <c r="G18" s="98">
        <v>0.01</v>
      </c>
      <c r="H18" s="99">
        <v>6839</v>
      </c>
      <c r="I18" s="99">
        <v>5946</v>
      </c>
      <c r="J18" s="99">
        <v>3794</v>
      </c>
      <c r="K18" s="99">
        <v>2778</v>
      </c>
      <c r="L18" s="99">
        <v>-346</v>
      </c>
    </row>
    <row r="19" spans="2:12" s="2" customFormat="1" ht="12.75" x14ac:dyDescent="0.2">
      <c r="B19" s="101" t="s">
        <v>106</v>
      </c>
      <c r="C19" s="102" t="s">
        <v>107</v>
      </c>
      <c r="D19" s="102" t="s">
        <v>105</v>
      </c>
      <c r="E19" s="103">
        <v>3983</v>
      </c>
      <c r="F19" s="103">
        <v>0</v>
      </c>
      <c r="G19" s="104">
        <v>0.03</v>
      </c>
      <c r="H19" s="103">
        <v>3974</v>
      </c>
      <c r="I19" s="103">
        <v>8728</v>
      </c>
      <c r="J19" s="103">
        <v>110</v>
      </c>
      <c r="K19" s="103">
        <v>22</v>
      </c>
      <c r="L19" s="103">
        <v>4</v>
      </c>
    </row>
    <row r="20" spans="2:12" s="2" customFormat="1" ht="12.75" x14ac:dyDescent="0.2">
      <c r="B20" s="11" t="s">
        <v>108</v>
      </c>
      <c r="C20" s="95" t="s">
        <v>109</v>
      </c>
      <c r="D20" s="95" t="s">
        <v>110</v>
      </c>
      <c r="E20" s="99">
        <v>1010</v>
      </c>
      <c r="F20" s="99">
        <v>0</v>
      </c>
      <c r="G20" s="98">
        <v>0.01</v>
      </c>
      <c r="H20" s="99">
        <v>1010</v>
      </c>
      <c r="I20" s="99">
        <v>1056</v>
      </c>
      <c r="J20" s="99">
        <v>330</v>
      </c>
      <c r="K20" s="99">
        <v>243</v>
      </c>
      <c r="L20" s="99">
        <v>-4</v>
      </c>
    </row>
    <row r="21" spans="2:12" s="2" customFormat="1" ht="12.75" x14ac:dyDescent="0.2">
      <c r="B21" s="101" t="s">
        <v>111</v>
      </c>
      <c r="C21" s="102" t="s">
        <v>112</v>
      </c>
      <c r="D21" s="102" t="s">
        <v>113</v>
      </c>
      <c r="E21" s="103">
        <v>2088</v>
      </c>
      <c r="F21" s="103">
        <v>597</v>
      </c>
      <c r="G21" s="104">
        <v>7.0000000000000007E-2</v>
      </c>
      <c r="H21" s="103">
        <v>1688</v>
      </c>
      <c r="I21" s="103">
        <v>259</v>
      </c>
      <c r="J21" s="103">
        <v>1544</v>
      </c>
      <c r="K21" s="103">
        <v>2210</v>
      </c>
      <c r="L21" s="103">
        <v>119</v>
      </c>
    </row>
    <row r="22" spans="2:12" s="2" customFormat="1" ht="12.75" x14ac:dyDescent="0.2">
      <c r="B22" s="11" t="s">
        <v>114</v>
      </c>
      <c r="C22" s="95" t="s">
        <v>115</v>
      </c>
      <c r="D22" s="95" t="s">
        <v>112</v>
      </c>
      <c r="E22" s="99">
        <v>659</v>
      </c>
      <c r="F22" s="99">
        <v>4</v>
      </c>
      <c r="G22" s="98">
        <v>0.22</v>
      </c>
      <c r="H22" s="99">
        <v>666</v>
      </c>
      <c r="I22" s="99">
        <v>834</v>
      </c>
      <c r="J22" s="99">
        <v>359</v>
      </c>
      <c r="K22" s="99">
        <v>1050</v>
      </c>
      <c r="L22" s="99">
        <v>78</v>
      </c>
    </row>
    <row r="23" spans="2:12" s="2" customFormat="1" ht="12.75" x14ac:dyDescent="0.2">
      <c r="B23" s="101" t="s">
        <v>116</v>
      </c>
      <c r="C23" s="102" t="s">
        <v>117</v>
      </c>
      <c r="D23" s="102" t="s">
        <v>118</v>
      </c>
      <c r="E23" s="103">
        <v>3789</v>
      </c>
      <c r="F23" s="103">
        <v>3657</v>
      </c>
      <c r="G23" s="104">
        <v>0.04</v>
      </c>
      <c r="H23" s="103">
        <v>132</v>
      </c>
      <c r="I23" s="103">
        <v>0</v>
      </c>
      <c r="J23" s="103">
        <v>132</v>
      </c>
      <c r="K23" s="103">
        <v>154</v>
      </c>
      <c r="L23" s="103">
        <v>0</v>
      </c>
    </row>
    <row r="24" spans="2:12" s="2" customFormat="1" ht="12.75" x14ac:dyDescent="0.2">
      <c r="B24" s="11" t="s">
        <v>119</v>
      </c>
      <c r="C24" s="95" t="s">
        <v>120</v>
      </c>
      <c r="D24" s="95" t="s">
        <v>117</v>
      </c>
      <c r="E24" s="99">
        <v>1331</v>
      </c>
      <c r="F24" s="99">
        <v>380</v>
      </c>
      <c r="G24" s="98">
        <v>0.11</v>
      </c>
      <c r="H24" s="99">
        <v>1081</v>
      </c>
      <c r="I24" s="99">
        <v>196</v>
      </c>
      <c r="J24" s="99">
        <v>972</v>
      </c>
      <c r="K24" s="99">
        <v>1472</v>
      </c>
      <c r="L24" s="99">
        <v>71</v>
      </c>
    </row>
    <row r="25" spans="2:12" s="2" customFormat="1" ht="12.75" x14ac:dyDescent="0.2">
      <c r="B25" s="101" t="s">
        <v>121</v>
      </c>
      <c r="C25" s="102" t="s">
        <v>122</v>
      </c>
      <c r="D25" s="102" t="s">
        <v>87</v>
      </c>
      <c r="E25" s="103">
        <v>1312</v>
      </c>
      <c r="F25" s="103">
        <v>1312</v>
      </c>
      <c r="G25" s="104">
        <v>0.11</v>
      </c>
      <c r="H25" s="103">
        <v>0</v>
      </c>
      <c r="I25" s="103">
        <v>0</v>
      </c>
      <c r="J25" s="103">
        <v>0</v>
      </c>
      <c r="K25" s="103">
        <v>0</v>
      </c>
      <c r="L25" s="103">
        <v>3</v>
      </c>
    </row>
    <row r="26" spans="2:12" s="2" customFormat="1" ht="12.75" x14ac:dyDescent="0.2">
      <c r="B26" s="11" t="s">
        <v>123</v>
      </c>
      <c r="C26" s="95" t="s">
        <v>124</v>
      </c>
      <c r="D26" s="95" t="s">
        <v>86</v>
      </c>
      <c r="E26" s="99">
        <v>1242</v>
      </c>
      <c r="F26" s="99">
        <v>350</v>
      </c>
      <c r="G26" s="98">
        <v>0.08</v>
      </c>
      <c r="H26" s="99">
        <v>1042</v>
      </c>
      <c r="I26" s="99">
        <v>168</v>
      </c>
      <c r="J26" s="99">
        <v>939</v>
      </c>
      <c r="K26" s="99">
        <v>1466</v>
      </c>
      <c r="L26" s="99">
        <v>100</v>
      </c>
    </row>
    <row r="27" spans="2:12" s="2" customFormat="1" ht="12.75" x14ac:dyDescent="0.2">
      <c r="B27" s="101" t="s">
        <v>125</v>
      </c>
      <c r="C27" s="102" t="s">
        <v>126</v>
      </c>
      <c r="D27" s="102" t="s">
        <v>126</v>
      </c>
      <c r="E27" s="103">
        <v>18161</v>
      </c>
      <c r="F27" s="103">
        <v>6550</v>
      </c>
      <c r="G27" s="111" t="s">
        <v>126</v>
      </c>
      <c r="H27" s="103">
        <v>11746</v>
      </c>
      <c r="I27" s="103">
        <v>7648</v>
      </c>
      <c r="J27" s="103">
        <v>8302</v>
      </c>
      <c r="K27" s="103">
        <v>10723</v>
      </c>
      <c r="L27" s="103">
        <v>1164</v>
      </c>
    </row>
    <row r="28" spans="2:12" s="2" customFormat="1" ht="12.75" x14ac:dyDescent="0.2">
      <c r="B28" s="11" t="s">
        <v>127</v>
      </c>
      <c r="C28" s="95" t="s">
        <v>126</v>
      </c>
      <c r="D28" s="95" t="s">
        <v>126</v>
      </c>
      <c r="E28" s="99">
        <v>24657</v>
      </c>
      <c r="F28" s="99">
        <v>13729</v>
      </c>
      <c r="G28" s="112">
        <v>0.31</v>
      </c>
      <c r="H28" s="99">
        <v>11627</v>
      </c>
      <c r="I28" s="99">
        <v>712</v>
      </c>
      <c r="J28" s="99">
        <v>11323</v>
      </c>
      <c r="K28" s="99">
        <v>18525</v>
      </c>
      <c r="L28" s="99">
        <v>108</v>
      </c>
    </row>
    <row r="29" spans="2:12" s="2" customFormat="1" ht="12.75" x14ac:dyDescent="0.2">
      <c r="B29" s="101" t="s">
        <v>128</v>
      </c>
      <c r="C29" s="102"/>
      <c r="D29" s="102"/>
      <c r="E29" s="103">
        <v>4320</v>
      </c>
      <c r="F29" s="103">
        <v>4320</v>
      </c>
      <c r="G29" s="111" t="s">
        <v>126</v>
      </c>
      <c r="H29" s="103">
        <v>0</v>
      </c>
      <c r="I29" s="103">
        <v>0</v>
      </c>
      <c r="J29" s="103">
        <v>0</v>
      </c>
      <c r="K29" s="103">
        <v>0</v>
      </c>
      <c r="L29" s="103">
        <v>0</v>
      </c>
    </row>
    <row r="30" spans="2:12" s="2" customFormat="1" ht="12.75" x14ac:dyDescent="0.2">
      <c r="B30" s="96" t="s">
        <v>129</v>
      </c>
      <c r="C30" s="95"/>
      <c r="D30" s="95"/>
      <c r="E30" s="100">
        <f>SUM(E6:E29)</f>
        <v>184593</v>
      </c>
      <c r="F30" s="100">
        <f>SUM(F6:F29)</f>
        <v>70915</v>
      </c>
      <c r="G30" s="95"/>
      <c r="H30" s="100">
        <f>SUM(H6:H29)</f>
        <v>118548</v>
      </c>
      <c r="I30" s="100">
        <f>SUM(I6:I29)</f>
        <v>129629</v>
      </c>
      <c r="J30" s="100">
        <f>SUM(J6:J29)</f>
        <v>63268</v>
      </c>
      <c r="K30" s="100">
        <f>SUM(K6:K29)</f>
        <v>93370</v>
      </c>
      <c r="L30" s="100">
        <f>SUM(L6:L29)</f>
        <v>5096</v>
      </c>
    </row>
    <row r="31" spans="2:12" s="2" customFormat="1" ht="12.75" x14ac:dyDescent="0.2">
      <c r="B31" s="11"/>
      <c r="C31" s="95"/>
      <c r="D31" s="95"/>
      <c r="E31" s="95"/>
      <c r="F31" s="95"/>
      <c r="G31" s="95"/>
      <c r="H31" s="95"/>
      <c r="I31" s="95"/>
      <c r="J31" s="95"/>
      <c r="K31" s="95"/>
      <c r="L31" s="95"/>
    </row>
    <row r="32" spans="2:12" s="2" customFormat="1" ht="12.75" x14ac:dyDescent="0.2">
      <c r="B32" s="105" t="s">
        <v>130</v>
      </c>
      <c r="C32" s="106"/>
      <c r="D32" s="106"/>
      <c r="E32" s="106"/>
      <c r="F32" s="106"/>
      <c r="G32" s="106"/>
      <c r="H32" s="106"/>
      <c r="I32" s="106"/>
      <c r="J32" s="106"/>
      <c r="K32" s="106"/>
      <c r="L32" s="106"/>
    </row>
    <row r="33" spans="2:12" s="2" customFormat="1" ht="12.75" x14ac:dyDescent="0.2">
      <c r="B33" s="101" t="s">
        <v>131</v>
      </c>
      <c r="C33" s="102" t="s">
        <v>132</v>
      </c>
      <c r="D33" s="102" t="s">
        <v>86</v>
      </c>
      <c r="E33" s="103">
        <v>994</v>
      </c>
      <c r="F33" s="103">
        <v>0</v>
      </c>
      <c r="G33" s="104">
        <v>0.2</v>
      </c>
      <c r="H33" s="103">
        <v>1187</v>
      </c>
      <c r="I33" s="103">
        <v>193</v>
      </c>
      <c r="J33" s="103">
        <v>1024</v>
      </c>
      <c r="K33" s="103">
        <v>1835</v>
      </c>
      <c r="L33" s="103">
        <v>52</v>
      </c>
    </row>
    <row r="34" spans="2:12" s="2" customFormat="1" ht="12.75" x14ac:dyDescent="0.2">
      <c r="B34" s="11" t="s">
        <v>133</v>
      </c>
      <c r="C34" s="95" t="s">
        <v>134</v>
      </c>
      <c r="D34" s="95" t="s">
        <v>132</v>
      </c>
      <c r="E34" s="99">
        <v>1974</v>
      </c>
      <c r="F34" s="99">
        <v>0</v>
      </c>
      <c r="G34" s="98">
        <v>0.13</v>
      </c>
      <c r="H34" s="99">
        <v>1974</v>
      </c>
      <c r="I34" s="99">
        <v>956</v>
      </c>
      <c r="J34" s="99">
        <v>1134</v>
      </c>
      <c r="K34" s="99">
        <v>716</v>
      </c>
      <c r="L34" s="99">
        <v>0</v>
      </c>
    </row>
    <row r="35" spans="2:12" s="2" customFormat="1" ht="12.75" x14ac:dyDescent="0.2">
      <c r="B35" s="101" t="s">
        <v>135</v>
      </c>
      <c r="C35" s="102" t="s">
        <v>126</v>
      </c>
      <c r="D35" s="102" t="s">
        <v>126</v>
      </c>
      <c r="E35" s="103">
        <v>887</v>
      </c>
      <c r="F35" s="103">
        <v>0</v>
      </c>
      <c r="G35" s="111" t="s">
        <v>126</v>
      </c>
      <c r="H35" s="103">
        <v>887</v>
      </c>
      <c r="I35" s="103">
        <v>123</v>
      </c>
      <c r="J35" s="103">
        <v>191</v>
      </c>
      <c r="K35" s="103">
        <v>48</v>
      </c>
      <c r="L35" s="103">
        <v>0</v>
      </c>
    </row>
    <row r="36" spans="2:12" s="2" customFormat="1" ht="12.75" x14ac:dyDescent="0.2">
      <c r="B36" s="11" t="s">
        <v>136</v>
      </c>
      <c r="C36" s="95" t="s">
        <v>126</v>
      </c>
      <c r="D36" s="95" t="s">
        <v>126</v>
      </c>
      <c r="E36" s="99">
        <v>915</v>
      </c>
      <c r="F36" s="99">
        <v>62</v>
      </c>
      <c r="G36" s="95" t="s">
        <v>126</v>
      </c>
      <c r="H36" s="99">
        <v>519</v>
      </c>
      <c r="I36" s="99">
        <v>169</v>
      </c>
      <c r="J36" s="99">
        <v>323</v>
      </c>
      <c r="K36" s="99">
        <v>213</v>
      </c>
      <c r="L36" s="99">
        <v>0</v>
      </c>
    </row>
    <row r="37" spans="2:12" s="2" customFormat="1" ht="12.75" x14ac:dyDescent="0.2">
      <c r="B37" s="101" t="s">
        <v>137</v>
      </c>
      <c r="C37" s="102" t="s">
        <v>138</v>
      </c>
      <c r="D37" s="102" t="s">
        <v>75</v>
      </c>
      <c r="E37" s="103">
        <v>16603</v>
      </c>
      <c r="F37" s="103">
        <v>13717</v>
      </c>
      <c r="G37" s="104">
        <v>0.02</v>
      </c>
      <c r="H37" s="103">
        <v>2886</v>
      </c>
      <c r="I37" s="103">
        <v>0</v>
      </c>
      <c r="J37" s="103">
        <v>2886</v>
      </c>
      <c r="K37" s="103">
        <v>3053</v>
      </c>
      <c r="L37" s="103">
        <v>15</v>
      </c>
    </row>
    <row r="38" spans="2:12" s="2" customFormat="1" ht="12.75" x14ac:dyDescent="0.2">
      <c r="B38" s="11" t="s">
        <v>139</v>
      </c>
      <c r="C38" s="95" t="s">
        <v>132</v>
      </c>
      <c r="D38" s="95" t="s">
        <v>74</v>
      </c>
      <c r="E38" s="99">
        <v>7164</v>
      </c>
      <c r="F38" s="99">
        <v>1667</v>
      </c>
      <c r="G38" s="98">
        <v>0.04</v>
      </c>
      <c r="H38" s="99">
        <v>5764</v>
      </c>
      <c r="I38" s="99">
        <v>1241</v>
      </c>
      <c r="J38" s="99">
        <v>5137</v>
      </c>
      <c r="K38" s="99">
        <v>5634</v>
      </c>
      <c r="L38" s="99">
        <v>121</v>
      </c>
    </row>
    <row r="39" spans="2:12" s="2" customFormat="1" ht="12.75" x14ac:dyDescent="0.2">
      <c r="B39" s="101" t="s">
        <v>140</v>
      </c>
      <c r="C39" s="102" t="s">
        <v>141</v>
      </c>
      <c r="D39" s="102" t="s">
        <v>132</v>
      </c>
      <c r="E39" s="103">
        <v>3039</v>
      </c>
      <c r="F39" s="103">
        <v>123</v>
      </c>
      <c r="G39" s="104">
        <v>0.04</v>
      </c>
      <c r="H39" s="103">
        <v>3163</v>
      </c>
      <c r="I39" s="103">
        <v>4246</v>
      </c>
      <c r="J39" s="103">
        <v>1281</v>
      </c>
      <c r="K39" s="103">
        <v>1767</v>
      </c>
      <c r="L39" s="103">
        <v>48</v>
      </c>
    </row>
    <row r="40" spans="2:12" s="2" customFormat="1" ht="12.75" x14ac:dyDescent="0.2">
      <c r="B40" s="11" t="s">
        <v>142</v>
      </c>
      <c r="C40" s="95" t="s">
        <v>143</v>
      </c>
      <c r="D40" s="95" t="s">
        <v>141</v>
      </c>
      <c r="E40" s="99">
        <v>1040</v>
      </c>
      <c r="F40" s="99">
        <v>0</v>
      </c>
      <c r="G40" s="98">
        <v>0.05</v>
      </c>
      <c r="H40" s="99">
        <v>1050</v>
      </c>
      <c r="I40" s="99">
        <v>2228</v>
      </c>
      <c r="J40" s="99">
        <v>0</v>
      </c>
      <c r="K40" s="99">
        <v>0</v>
      </c>
      <c r="L40" s="99">
        <v>0</v>
      </c>
    </row>
    <row r="41" spans="2:12" s="2" customFormat="1" ht="12.75" x14ac:dyDescent="0.2">
      <c r="B41" s="101" t="s">
        <v>144</v>
      </c>
      <c r="C41" s="102">
        <v>-6</v>
      </c>
      <c r="D41" s="102">
        <v>-7</v>
      </c>
      <c r="E41" s="103">
        <v>4122</v>
      </c>
      <c r="F41" s="103">
        <v>4122</v>
      </c>
      <c r="G41" s="104">
        <v>0.09</v>
      </c>
      <c r="H41" s="103">
        <v>0</v>
      </c>
      <c r="I41" s="103">
        <v>0</v>
      </c>
      <c r="J41" s="103">
        <v>0</v>
      </c>
      <c r="K41" s="103">
        <v>0</v>
      </c>
      <c r="L41" s="103">
        <v>0</v>
      </c>
    </row>
    <row r="42" spans="2:12" s="2" customFormat="1" ht="12.75" x14ac:dyDescent="0.2">
      <c r="B42" s="11" t="s">
        <v>145</v>
      </c>
      <c r="C42" s="95" t="s">
        <v>146</v>
      </c>
      <c r="D42" s="95" t="s">
        <v>147</v>
      </c>
      <c r="E42" s="99">
        <v>3792</v>
      </c>
      <c r="F42" s="99">
        <v>2036</v>
      </c>
      <c r="G42" s="98">
        <v>7.0000000000000007E-2</v>
      </c>
      <c r="H42" s="99">
        <v>2041</v>
      </c>
      <c r="I42" s="99">
        <v>323</v>
      </c>
      <c r="J42" s="99">
        <v>1848</v>
      </c>
      <c r="K42" s="99">
        <v>1952</v>
      </c>
      <c r="L42" s="99">
        <v>32</v>
      </c>
    </row>
    <row r="43" spans="2:12" s="2" customFormat="1" ht="12.75" x14ac:dyDescent="0.2">
      <c r="B43" s="101" t="s">
        <v>148</v>
      </c>
      <c r="C43" s="102" t="s">
        <v>149</v>
      </c>
      <c r="D43" s="102">
        <v>-8</v>
      </c>
      <c r="E43" s="103">
        <v>7636</v>
      </c>
      <c r="F43" s="103">
        <v>3127</v>
      </c>
      <c r="G43" s="104">
        <v>7.0000000000000007E-2</v>
      </c>
      <c r="H43" s="103">
        <v>4519</v>
      </c>
      <c r="I43" s="103">
        <v>100</v>
      </c>
      <c r="J43" s="103">
        <v>4509</v>
      </c>
      <c r="K43" s="103">
        <v>4609</v>
      </c>
      <c r="L43" s="103">
        <v>0</v>
      </c>
    </row>
    <row r="44" spans="2:12" s="2" customFormat="1" ht="12.75" x14ac:dyDescent="0.2">
      <c r="B44" s="11" t="s">
        <v>150</v>
      </c>
      <c r="C44" s="95" t="s">
        <v>149</v>
      </c>
      <c r="D44" s="95" t="s">
        <v>151</v>
      </c>
      <c r="E44" s="99">
        <v>4253</v>
      </c>
      <c r="F44" s="99">
        <v>2065</v>
      </c>
      <c r="G44" s="98">
        <v>0.05</v>
      </c>
      <c r="H44" s="99">
        <v>2214</v>
      </c>
      <c r="I44" s="99">
        <v>92</v>
      </c>
      <c r="J44" s="99">
        <v>2173</v>
      </c>
      <c r="K44" s="99">
        <v>2490</v>
      </c>
      <c r="L44" s="99">
        <v>51</v>
      </c>
    </row>
    <row r="45" spans="2:12" s="2" customFormat="1" ht="12.75" x14ac:dyDescent="0.2">
      <c r="B45" s="101" t="s">
        <v>152</v>
      </c>
      <c r="C45" s="102" t="s">
        <v>153</v>
      </c>
      <c r="D45" s="102" t="s">
        <v>149</v>
      </c>
      <c r="E45" s="103">
        <v>1921</v>
      </c>
      <c r="F45" s="103">
        <v>265</v>
      </c>
      <c r="G45" s="104">
        <v>0.08</v>
      </c>
      <c r="H45" s="103">
        <v>1892</v>
      </c>
      <c r="I45" s="103">
        <v>2446</v>
      </c>
      <c r="J45" s="103">
        <v>588</v>
      </c>
      <c r="K45" s="103">
        <v>820</v>
      </c>
      <c r="L45" s="103">
        <v>80</v>
      </c>
    </row>
    <row r="46" spans="2:12" s="2" customFormat="1" ht="12.75" x14ac:dyDescent="0.2">
      <c r="B46" s="11" t="s">
        <v>154</v>
      </c>
      <c r="C46" s="95" t="s">
        <v>155</v>
      </c>
      <c r="D46" s="95" t="s">
        <v>153</v>
      </c>
      <c r="E46" s="99">
        <v>1229</v>
      </c>
      <c r="F46" s="99">
        <v>139</v>
      </c>
      <c r="G46" s="98">
        <v>0.16</v>
      </c>
      <c r="H46" s="99">
        <v>1020</v>
      </c>
      <c r="I46" s="99">
        <v>1405</v>
      </c>
      <c r="J46" s="99">
        <v>111</v>
      </c>
      <c r="K46" s="99">
        <v>61</v>
      </c>
      <c r="L46" s="99">
        <v>1</v>
      </c>
    </row>
    <row r="47" spans="2:12" s="2" customFormat="1" ht="12.75" x14ac:dyDescent="0.2">
      <c r="B47" s="101" t="s">
        <v>156</v>
      </c>
      <c r="C47" s="102" t="s">
        <v>112</v>
      </c>
      <c r="D47" s="102" t="s">
        <v>157</v>
      </c>
      <c r="E47" s="103">
        <v>2065</v>
      </c>
      <c r="F47" s="103">
        <v>806</v>
      </c>
      <c r="G47" s="104">
        <v>0.1</v>
      </c>
      <c r="H47" s="103">
        <v>1326</v>
      </c>
      <c r="I47" s="103">
        <v>184</v>
      </c>
      <c r="J47" s="103">
        <v>1237</v>
      </c>
      <c r="K47" s="103">
        <v>1432</v>
      </c>
      <c r="L47" s="103">
        <v>43</v>
      </c>
    </row>
    <row r="48" spans="2:12" s="2" customFormat="1" ht="12.75" x14ac:dyDescent="0.2">
      <c r="B48" s="11" t="s">
        <v>158</v>
      </c>
      <c r="C48" s="95" t="s">
        <v>159</v>
      </c>
      <c r="D48" s="95" t="s">
        <v>112</v>
      </c>
      <c r="E48" s="99">
        <v>707</v>
      </c>
      <c r="F48" s="99">
        <v>131</v>
      </c>
      <c r="G48" s="98">
        <v>0.09</v>
      </c>
      <c r="H48" s="99">
        <v>654</v>
      </c>
      <c r="I48" s="99">
        <v>609</v>
      </c>
      <c r="J48" s="99">
        <v>285</v>
      </c>
      <c r="K48" s="99">
        <v>334</v>
      </c>
      <c r="L48" s="99">
        <v>12</v>
      </c>
    </row>
    <row r="49" spans="2:12" s="2" customFormat="1" ht="12.75" x14ac:dyDescent="0.2">
      <c r="B49" s="101" t="s">
        <v>160</v>
      </c>
      <c r="C49" s="102" t="s">
        <v>161</v>
      </c>
      <c r="D49" s="102" t="s">
        <v>162</v>
      </c>
      <c r="E49" s="103">
        <v>1682</v>
      </c>
      <c r="F49" s="103">
        <v>1280</v>
      </c>
      <c r="G49" s="104">
        <v>0.15</v>
      </c>
      <c r="H49" s="103">
        <v>405</v>
      </c>
      <c r="I49" s="103">
        <v>7</v>
      </c>
      <c r="J49" s="103">
        <v>388</v>
      </c>
      <c r="K49" s="103">
        <v>561</v>
      </c>
      <c r="L49" s="103">
        <v>16</v>
      </c>
    </row>
    <row r="50" spans="2:12" s="2" customFormat="1" ht="12.75" x14ac:dyDescent="0.2">
      <c r="B50" s="11" t="s">
        <v>163</v>
      </c>
      <c r="C50" s="95" t="s">
        <v>164</v>
      </c>
      <c r="D50" s="95" t="s">
        <v>122</v>
      </c>
      <c r="E50" s="99">
        <v>950</v>
      </c>
      <c r="F50" s="99">
        <v>413</v>
      </c>
      <c r="G50" s="98">
        <v>0.05</v>
      </c>
      <c r="H50" s="99">
        <v>560</v>
      </c>
      <c r="I50" s="99">
        <v>102</v>
      </c>
      <c r="J50" s="99">
        <v>560</v>
      </c>
      <c r="K50" s="99">
        <v>564</v>
      </c>
      <c r="L50" s="99">
        <v>11</v>
      </c>
    </row>
    <row r="51" spans="2:12" s="2" customFormat="1" ht="12.75" x14ac:dyDescent="0.2">
      <c r="B51" s="101" t="s">
        <v>165</v>
      </c>
      <c r="C51" s="102" t="s">
        <v>166</v>
      </c>
      <c r="D51" s="102" t="s">
        <v>164</v>
      </c>
      <c r="E51" s="103">
        <v>1130</v>
      </c>
      <c r="F51" s="103">
        <v>122</v>
      </c>
      <c r="G51" s="104">
        <v>0.04</v>
      </c>
      <c r="H51" s="103">
        <v>1008</v>
      </c>
      <c r="I51" s="103">
        <v>371</v>
      </c>
      <c r="J51" s="103">
        <v>1008</v>
      </c>
      <c r="K51" s="103">
        <v>1039</v>
      </c>
      <c r="L51" s="103">
        <v>11</v>
      </c>
    </row>
    <row r="52" spans="2:12" s="2" customFormat="1" ht="12.75" x14ac:dyDescent="0.2">
      <c r="B52" s="11" t="s">
        <v>167</v>
      </c>
      <c r="C52" s="95" t="s">
        <v>112</v>
      </c>
      <c r="D52" s="99">
        <v>-8</v>
      </c>
      <c r="E52" s="99">
        <v>2488</v>
      </c>
      <c r="F52" s="99">
        <v>266</v>
      </c>
      <c r="G52" s="98">
        <v>0.2</v>
      </c>
      <c r="H52" s="99">
        <v>2222</v>
      </c>
      <c r="I52" s="99">
        <v>110</v>
      </c>
      <c r="J52" s="99">
        <v>2222</v>
      </c>
      <c r="K52" s="99">
        <v>3117</v>
      </c>
      <c r="L52" s="99">
        <v>38</v>
      </c>
    </row>
    <row r="53" spans="2:12" s="2" customFormat="1" ht="12.75" x14ac:dyDescent="0.2">
      <c r="B53" s="101" t="s">
        <v>125</v>
      </c>
      <c r="C53" s="102" t="s">
        <v>126</v>
      </c>
      <c r="D53" s="102" t="s">
        <v>126</v>
      </c>
      <c r="E53" s="103">
        <v>5681</v>
      </c>
      <c r="F53" s="103">
        <v>1422</v>
      </c>
      <c r="G53" s="111" t="s">
        <v>126</v>
      </c>
      <c r="H53" s="103">
        <v>4320</v>
      </c>
      <c r="I53" s="103">
        <v>1670</v>
      </c>
      <c r="J53" s="103">
        <v>3737</v>
      </c>
      <c r="K53" s="103">
        <v>3858</v>
      </c>
      <c r="L53" s="103">
        <v>19</v>
      </c>
    </row>
    <row r="54" spans="2:12" s="2" customFormat="1" ht="12.75" x14ac:dyDescent="0.2">
      <c r="B54" s="96" t="s">
        <v>168</v>
      </c>
      <c r="C54" s="95"/>
      <c r="D54" s="95"/>
      <c r="E54" s="100">
        <f>SUM(E33:E53)</f>
        <v>70272</v>
      </c>
      <c r="F54" s="100">
        <f>SUM(F33:F53)</f>
        <v>31763</v>
      </c>
      <c r="G54" s="95"/>
      <c r="H54" s="100">
        <f>SUM(H33:H53)</f>
        <v>39611</v>
      </c>
      <c r="I54" s="100">
        <f>SUM(I33:I53)</f>
        <v>16575</v>
      </c>
      <c r="J54" s="100">
        <f>SUM(J33:J53)</f>
        <v>30642</v>
      </c>
      <c r="K54" s="100">
        <f>SUM(K33:K53)</f>
        <v>34103</v>
      </c>
      <c r="L54" s="100">
        <f>SUM(L33:L53)</f>
        <v>550</v>
      </c>
    </row>
    <row r="55" spans="2:12" s="2" customFormat="1" ht="12.75" x14ac:dyDescent="0.2"/>
    <row r="56" spans="2:12" s="2" customFormat="1" ht="12.75" x14ac:dyDescent="0.2">
      <c r="B56" s="105" t="s">
        <v>182</v>
      </c>
      <c r="C56" s="106"/>
      <c r="D56" s="106"/>
      <c r="E56" s="106"/>
      <c r="F56" s="106"/>
      <c r="G56" s="106"/>
      <c r="H56" s="106"/>
      <c r="I56" s="106"/>
      <c r="J56" s="106"/>
      <c r="K56" s="106"/>
      <c r="L56" s="106"/>
    </row>
    <row r="57" spans="2:12" s="2" customFormat="1" ht="12.75" x14ac:dyDescent="0.2">
      <c r="B57" s="11" t="s">
        <v>169</v>
      </c>
      <c r="C57" s="107">
        <v>43952</v>
      </c>
      <c r="D57" s="107">
        <v>44501</v>
      </c>
      <c r="E57" s="97">
        <v>2967</v>
      </c>
      <c r="F57" s="97">
        <v>681</v>
      </c>
      <c r="G57" s="113">
        <v>0.14000000000000001</v>
      </c>
      <c r="H57" s="97">
        <v>2286</v>
      </c>
      <c r="I57" s="97">
        <v>538</v>
      </c>
      <c r="J57" s="97">
        <v>2034</v>
      </c>
      <c r="K57" s="97">
        <v>2080</v>
      </c>
      <c r="L57" s="97">
        <v>38</v>
      </c>
    </row>
    <row r="58" spans="2:12" s="2" customFormat="1" ht="12.75" x14ac:dyDescent="0.2">
      <c r="B58" s="110" t="s">
        <v>170</v>
      </c>
      <c r="C58" s="108">
        <v>42036</v>
      </c>
      <c r="D58" s="108">
        <v>43525</v>
      </c>
      <c r="E58" s="103">
        <v>3525</v>
      </c>
      <c r="F58" s="103">
        <v>284</v>
      </c>
      <c r="G58" s="114">
        <v>0.09</v>
      </c>
      <c r="H58" s="103">
        <v>3241</v>
      </c>
      <c r="I58" s="103">
        <v>2068</v>
      </c>
      <c r="J58" s="103">
        <v>1616</v>
      </c>
      <c r="K58" s="103">
        <v>1863</v>
      </c>
      <c r="L58" s="103">
        <v>0</v>
      </c>
    </row>
    <row r="59" spans="2:12" s="2" customFormat="1" ht="12.75" x14ac:dyDescent="0.2">
      <c r="B59" s="11" t="s">
        <v>171</v>
      </c>
      <c r="C59" s="107">
        <v>41275</v>
      </c>
      <c r="D59" s="107">
        <v>42370</v>
      </c>
      <c r="E59" s="97">
        <v>2274</v>
      </c>
      <c r="F59" s="99">
        <v>1</v>
      </c>
      <c r="G59" s="113">
        <v>0.12</v>
      </c>
      <c r="H59" s="99">
        <v>2273</v>
      </c>
      <c r="I59" s="99">
        <v>1700</v>
      </c>
      <c r="J59" s="99">
        <v>652</v>
      </c>
      <c r="K59" s="99">
        <v>390</v>
      </c>
      <c r="L59" s="99">
        <v>0</v>
      </c>
    </row>
    <row r="60" spans="2:12" s="2" customFormat="1" ht="12.75" x14ac:dyDescent="0.2">
      <c r="B60" s="110" t="s">
        <v>172</v>
      </c>
      <c r="C60" s="108">
        <v>40360</v>
      </c>
      <c r="D60" s="108">
        <v>42064</v>
      </c>
      <c r="E60" s="103">
        <v>1023</v>
      </c>
      <c r="F60" s="103">
        <v>33</v>
      </c>
      <c r="G60" s="114">
        <v>0.04</v>
      </c>
      <c r="H60" s="103">
        <v>990</v>
      </c>
      <c r="I60" s="103">
        <v>1157</v>
      </c>
      <c r="J60" s="103">
        <v>265</v>
      </c>
      <c r="K60" s="103">
        <v>131</v>
      </c>
      <c r="L60" s="103">
        <v>-20</v>
      </c>
    </row>
    <row r="61" spans="2:12" s="2" customFormat="1" ht="12.75" x14ac:dyDescent="0.2">
      <c r="B61" s="11" t="s">
        <v>173</v>
      </c>
      <c r="C61" s="107">
        <v>44044</v>
      </c>
      <c r="D61" s="107">
        <v>45839</v>
      </c>
      <c r="E61" s="97">
        <v>1959</v>
      </c>
      <c r="F61" s="99">
        <v>1959</v>
      </c>
      <c r="G61" s="113">
        <v>7.0000000000000007E-2</v>
      </c>
      <c r="H61" s="99">
        <v>0</v>
      </c>
      <c r="I61" s="99">
        <v>0</v>
      </c>
      <c r="J61" s="99">
        <v>0</v>
      </c>
      <c r="K61" s="99">
        <v>0</v>
      </c>
      <c r="L61" s="99">
        <v>0</v>
      </c>
    </row>
    <row r="62" spans="2:12" s="2" customFormat="1" ht="12.75" x14ac:dyDescent="0.2">
      <c r="B62" s="110" t="s">
        <v>174</v>
      </c>
      <c r="C62" s="108">
        <v>42339</v>
      </c>
      <c r="D62" s="108">
        <v>44166</v>
      </c>
      <c r="E62" s="103">
        <v>2245</v>
      </c>
      <c r="F62" s="103">
        <v>507</v>
      </c>
      <c r="G62" s="114">
        <v>0.02</v>
      </c>
      <c r="H62" s="103">
        <v>1738</v>
      </c>
      <c r="I62" s="103">
        <v>674</v>
      </c>
      <c r="J62" s="103">
        <v>1354</v>
      </c>
      <c r="K62" s="103">
        <v>1375</v>
      </c>
      <c r="L62" s="103">
        <v>0</v>
      </c>
    </row>
    <row r="63" spans="2:12" s="2" customFormat="1" ht="12.75" x14ac:dyDescent="0.2">
      <c r="B63" s="11" t="s">
        <v>175</v>
      </c>
      <c r="C63" s="107">
        <v>42826</v>
      </c>
      <c r="D63" s="107">
        <v>44501</v>
      </c>
      <c r="E63" s="97">
        <v>1498</v>
      </c>
      <c r="F63" s="99">
        <v>757</v>
      </c>
      <c r="G63" s="113">
        <v>0.02</v>
      </c>
      <c r="H63" s="99">
        <v>741</v>
      </c>
      <c r="I63" s="99">
        <v>356</v>
      </c>
      <c r="J63" s="99">
        <v>741</v>
      </c>
      <c r="K63" s="99">
        <v>796</v>
      </c>
      <c r="L63" s="99">
        <v>31</v>
      </c>
    </row>
    <row r="64" spans="2:12" s="2" customFormat="1" ht="12.75" x14ac:dyDescent="0.2">
      <c r="B64" s="110" t="s">
        <v>176</v>
      </c>
      <c r="C64" s="108">
        <v>41791</v>
      </c>
      <c r="D64" s="108">
        <v>42887</v>
      </c>
      <c r="E64" s="103">
        <v>1336</v>
      </c>
      <c r="F64" s="103">
        <v>157</v>
      </c>
      <c r="G64" s="114">
        <v>0.04</v>
      </c>
      <c r="H64" s="103">
        <v>1179</v>
      </c>
      <c r="I64" s="103">
        <v>1149</v>
      </c>
      <c r="J64" s="103">
        <v>333</v>
      </c>
      <c r="K64" s="103">
        <v>131</v>
      </c>
      <c r="L64" s="103">
        <v>0</v>
      </c>
    </row>
    <row r="65" spans="1:14" s="2" customFormat="1" ht="12.75" x14ac:dyDescent="0.2">
      <c r="B65" s="11" t="s">
        <v>177</v>
      </c>
      <c r="C65" s="107">
        <v>40878</v>
      </c>
      <c r="D65" s="107">
        <v>41974</v>
      </c>
      <c r="E65" s="97">
        <v>460</v>
      </c>
      <c r="F65" s="99">
        <v>41</v>
      </c>
      <c r="G65" s="113">
        <v>0.15</v>
      </c>
      <c r="H65" s="99">
        <v>419</v>
      </c>
      <c r="I65" s="99">
        <v>451</v>
      </c>
      <c r="J65" s="99">
        <v>86</v>
      </c>
      <c r="K65" s="99">
        <v>19</v>
      </c>
      <c r="L65" s="99">
        <v>0</v>
      </c>
    </row>
    <row r="66" spans="1:14" s="2" customFormat="1" ht="12.75" x14ac:dyDescent="0.2">
      <c r="B66" s="110" t="s">
        <v>178</v>
      </c>
      <c r="C66" s="108">
        <v>43617</v>
      </c>
      <c r="D66" s="108">
        <v>45170</v>
      </c>
      <c r="E66" s="103">
        <v>837</v>
      </c>
      <c r="F66" s="103">
        <v>286</v>
      </c>
      <c r="G66" s="114">
        <v>7.0000000000000007E-2</v>
      </c>
      <c r="H66" s="103">
        <v>551</v>
      </c>
      <c r="I66" s="103">
        <v>52</v>
      </c>
      <c r="J66" s="103">
        <v>551</v>
      </c>
      <c r="K66" s="103">
        <v>552</v>
      </c>
      <c r="L66" s="103">
        <v>2</v>
      </c>
    </row>
    <row r="67" spans="1:14" s="2" customFormat="1" ht="12.75" x14ac:dyDescent="0.2">
      <c r="B67" s="11" t="s">
        <v>179</v>
      </c>
      <c r="C67" s="107">
        <v>42064</v>
      </c>
      <c r="D67" s="107">
        <v>43525</v>
      </c>
      <c r="E67" s="97">
        <v>848</v>
      </c>
      <c r="F67" s="99">
        <v>184</v>
      </c>
      <c r="G67" s="113">
        <v>0.05</v>
      </c>
      <c r="H67" s="99">
        <v>662</v>
      </c>
      <c r="I67" s="99">
        <v>379</v>
      </c>
      <c r="J67" s="99">
        <v>314</v>
      </c>
      <c r="K67" s="99">
        <v>249</v>
      </c>
      <c r="L67" s="99">
        <v>0</v>
      </c>
    </row>
    <row r="68" spans="1:14" s="2" customFormat="1" ht="12.75" x14ac:dyDescent="0.2">
      <c r="B68" s="110" t="s">
        <v>180</v>
      </c>
      <c r="C68" s="108">
        <v>44166</v>
      </c>
      <c r="D68" s="108">
        <v>45778</v>
      </c>
      <c r="E68" s="103">
        <v>1084</v>
      </c>
      <c r="F68" s="103">
        <v>813</v>
      </c>
      <c r="G68" s="115">
        <v>0.09</v>
      </c>
      <c r="H68" s="103">
        <v>271</v>
      </c>
      <c r="I68" s="103">
        <v>0</v>
      </c>
      <c r="J68" s="103">
        <v>271</v>
      </c>
      <c r="K68" s="103">
        <v>280</v>
      </c>
      <c r="L68" s="103">
        <v>0</v>
      </c>
    </row>
    <row r="69" spans="1:14" s="2" customFormat="1" ht="12.75" x14ac:dyDescent="0.2">
      <c r="B69" s="11" t="s">
        <v>181</v>
      </c>
      <c r="C69" s="107" t="s">
        <v>126</v>
      </c>
      <c r="D69" s="107" t="s">
        <v>126</v>
      </c>
      <c r="E69" s="99">
        <v>13056</v>
      </c>
      <c r="F69" s="99">
        <v>5651</v>
      </c>
      <c r="G69" s="116" t="s">
        <v>126</v>
      </c>
      <c r="H69" s="99">
        <v>6654</v>
      </c>
      <c r="I69" s="99">
        <v>4800</v>
      </c>
      <c r="J69" s="99">
        <v>3877</v>
      </c>
      <c r="K69" s="99">
        <v>3947</v>
      </c>
      <c r="L69" s="99">
        <v>63</v>
      </c>
    </row>
    <row r="70" spans="1:14" s="2" customFormat="1" ht="12.75" x14ac:dyDescent="0.2">
      <c r="B70" s="96" t="s">
        <v>183</v>
      </c>
      <c r="C70" s="95"/>
      <c r="D70" s="95"/>
      <c r="E70" s="100">
        <f>SUM(E57:E69)</f>
        <v>33112</v>
      </c>
      <c r="F70" s="100">
        <f>SUM(F57:F69)</f>
        <v>11354</v>
      </c>
      <c r="G70" s="95"/>
      <c r="H70" s="100">
        <f>SUM(H57:H69)</f>
        <v>21005</v>
      </c>
      <c r="I70" s="100">
        <f>SUM(I57:I69)</f>
        <v>13324</v>
      </c>
      <c r="J70" s="100">
        <f>SUM(J57:J69)</f>
        <v>12094</v>
      </c>
      <c r="K70" s="100">
        <f>SUM(K57:K69)</f>
        <v>11813</v>
      </c>
      <c r="L70" s="100">
        <f>SUM(L57:L69)</f>
        <v>114</v>
      </c>
    </row>
    <row r="71" spans="1:14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x14ac:dyDescent="0.25">
      <c r="A72" s="2"/>
      <c r="B72" s="125" t="s">
        <v>54</v>
      </c>
      <c r="C72" s="64"/>
      <c r="D72" s="64"/>
      <c r="E72" s="126">
        <f>SUM(E70,E54,E30)</f>
        <v>287977</v>
      </c>
      <c r="F72" s="126">
        <f>SUM(F70,F54,F30)</f>
        <v>114032</v>
      </c>
      <c r="G72" s="29"/>
      <c r="H72" s="126">
        <f>SUM(H70,H54,H30)</f>
        <v>179164</v>
      </c>
      <c r="I72" s="126">
        <f>SUM(I70,I54,I30)</f>
        <v>159528</v>
      </c>
      <c r="J72" s="126">
        <f>SUM(J70,J54,J30)</f>
        <v>106004</v>
      </c>
      <c r="K72" s="126">
        <f>SUM(K70,K54,K30)</f>
        <v>139286</v>
      </c>
      <c r="L72" s="126">
        <f>SUM(L70,L54,L30)</f>
        <v>5760</v>
      </c>
      <c r="M72" s="2"/>
      <c r="N72" s="2"/>
    </row>
    <row r="73" spans="1:14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2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x14ac:dyDescent="0.25">
      <c r="B76" s="6"/>
      <c r="C76" s="92"/>
      <c r="D76" s="92"/>
      <c r="E76" s="92"/>
      <c r="F76" s="92"/>
      <c r="G76" s="92"/>
      <c r="H76" s="92"/>
      <c r="I76" s="92"/>
      <c r="J76" s="92"/>
      <c r="K76" s="92"/>
      <c r="L76" s="93"/>
      <c r="M76" s="2"/>
      <c r="N76" s="2"/>
    </row>
    <row r="77" spans="1:14" x14ac:dyDescent="0.25">
      <c r="B77" s="6" t="s">
        <v>65</v>
      </c>
      <c r="C77" s="94"/>
      <c r="D77" s="94"/>
      <c r="E77" s="94"/>
      <c r="F77" s="94" t="s">
        <v>62</v>
      </c>
      <c r="G77" s="94"/>
      <c r="H77" s="94"/>
      <c r="I77" s="94"/>
      <c r="J77" s="94"/>
      <c r="K77" s="94" t="s">
        <v>64</v>
      </c>
      <c r="L77" s="94" t="s">
        <v>54</v>
      </c>
      <c r="M77" s="2"/>
      <c r="N77" s="2"/>
    </row>
    <row r="78" spans="1:14" x14ac:dyDescent="0.25">
      <c r="B78" s="4" t="s">
        <v>184</v>
      </c>
      <c r="F78" s="117">
        <f>SUM(F30,F54,F70)</f>
        <v>114032</v>
      </c>
      <c r="G78" s="46"/>
      <c r="H78" s="46"/>
      <c r="I78" s="46"/>
      <c r="J78" s="46"/>
      <c r="K78" s="117">
        <f>SUM(K70,K54,K30)</f>
        <v>139286</v>
      </c>
      <c r="L78" s="117">
        <f>SUM(F78:K78)</f>
        <v>253318</v>
      </c>
    </row>
    <row r="79" spans="1:14" x14ac:dyDescent="0.25">
      <c r="B79" s="4" t="s">
        <v>185</v>
      </c>
      <c r="F79" s="117">
        <v>0</v>
      </c>
      <c r="G79" s="46"/>
      <c r="H79" s="46"/>
      <c r="I79" s="46"/>
      <c r="J79" s="46"/>
      <c r="K79" s="117">
        <v>67593</v>
      </c>
      <c r="L79" s="117">
        <f>SUM(F79:K79)</f>
        <v>67593</v>
      </c>
    </row>
    <row r="80" spans="1:14" x14ac:dyDescent="0.25">
      <c r="B80" s="118" t="s">
        <v>186</v>
      </c>
      <c r="C80" s="41"/>
      <c r="D80" s="41"/>
      <c r="E80" s="41"/>
      <c r="F80" s="119">
        <f>SUM(F78:F79)</f>
        <v>114032</v>
      </c>
      <c r="G80" s="120"/>
      <c r="H80" s="120"/>
      <c r="I80" s="120"/>
      <c r="J80" s="120"/>
      <c r="K80" s="119">
        <f>SUM(K78:K79)</f>
        <v>206879</v>
      </c>
      <c r="L80" s="119">
        <f>SUM(L78:L79)</f>
        <v>320911</v>
      </c>
    </row>
    <row r="81" spans="2:12" x14ac:dyDescent="0.25">
      <c r="B81" s="4" t="s">
        <v>187</v>
      </c>
      <c r="F81" s="117">
        <v>169</v>
      </c>
      <c r="G81" s="46"/>
      <c r="H81" s="46"/>
      <c r="I81" s="46"/>
      <c r="J81" s="46"/>
      <c r="K81" s="117">
        <v>37710</v>
      </c>
      <c r="L81" s="117">
        <f>SUM(F81:K81)</f>
        <v>37879</v>
      </c>
    </row>
    <row r="82" spans="2:12" x14ac:dyDescent="0.25">
      <c r="B82" s="4" t="s">
        <v>188</v>
      </c>
      <c r="F82" s="117">
        <v>1099</v>
      </c>
      <c r="G82" s="46"/>
      <c r="H82" s="46"/>
      <c r="I82" s="46"/>
      <c r="J82" s="46"/>
      <c r="K82" s="117">
        <v>130803</v>
      </c>
      <c r="L82" s="117">
        <f>SUM(F82:K82)</f>
        <v>131902</v>
      </c>
    </row>
    <row r="83" spans="2:12" x14ac:dyDescent="0.25">
      <c r="B83" s="118" t="s">
        <v>189</v>
      </c>
      <c r="C83" s="41"/>
      <c r="D83" s="41"/>
      <c r="E83" s="41"/>
      <c r="F83" s="119">
        <f>SUM(F80:F82)</f>
        <v>115300</v>
      </c>
      <c r="G83" s="120"/>
      <c r="H83" s="120"/>
      <c r="I83" s="120"/>
      <c r="J83" s="120"/>
      <c r="K83" s="119">
        <f>SUM(K80:K82)</f>
        <v>375392</v>
      </c>
      <c r="L83" s="119">
        <f>SUM(L80:L82)</f>
        <v>490692</v>
      </c>
    </row>
    <row r="84" spans="2:12" x14ac:dyDescent="0.25">
      <c r="F84" s="46"/>
      <c r="G84" s="46"/>
      <c r="H84" s="46"/>
      <c r="I84" s="46"/>
      <c r="J84" s="46"/>
      <c r="K84" s="46"/>
      <c r="L84" s="46"/>
    </row>
    <row r="85" spans="2:12" x14ac:dyDescent="0.25">
      <c r="B85" s="121"/>
      <c r="C85" s="122"/>
      <c r="D85" s="122"/>
      <c r="E85" s="122"/>
      <c r="F85" s="122"/>
      <c r="G85" s="122"/>
      <c r="H85" s="122"/>
      <c r="I85" s="122"/>
      <c r="J85" s="122"/>
      <c r="K85" s="122"/>
      <c r="L85" s="123"/>
    </row>
    <row r="86" spans="2:12" x14ac:dyDescent="0.25">
      <c r="B86" s="121"/>
      <c r="C86" s="124"/>
      <c r="D86" s="124"/>
      <c r="E86" s="124"/>
      <c r="F86" s="124"/>
      <c r="G86" s="124"/>
      <c r="H86" s="124"/>
      <c r="I86" s="124"/>
      <c r="J86" s="124"/>
      <c r="K86" s="124"/>
      <c r="L86" s="124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E3CAF-D9E6-4112-AD8F-E46EBD758347}">
  <sheetPr codeName="Sheet7"/>
  <dimension ref="A1:XFD1048576"/>
  <sheetViews>
    <sheetView showGridLines="0" zoomScale="80" zoomScaleNormal="80" workbookViewId="0"/>
  </sheetViews>
  <sheetFormatPr defaultRowHeight="15" outlineLevelRow="1" x14ac:dyDescent="0.25"/>
  <cols>
    <col min="1" max="1" width="3.7109375" style="33" customWidth="1"/>
    <col min="2" max="2" width="27" style="33" customWidth="1"/>
    <col min="3" max="3" width="12.5703125" style="33" customWidth="1"/>
    <col min="4" max="4" width="12.42578125" style="33" customWidth="1"/>
    <col min="5" max="5" width="9.140625" style="33"/>
    <col min="6" max="6" width="20.28515625" style="33" bestFit="1" customWidth="1"/>
    <col min="7" max="7" width="35" style="33" customWidth="1"/>
    <col min="8" max="8" width="8.140625" style="33" bestFit="1" customWidth="1"/>
    <col min="9" max="9" width="20.7109375" style="33" customWidth="1"/>
    <col min="10" max="10" width="12.28515625" style="33" customWidth="1"/>
    <col min="11" max="11" width="10.85546875" style="33" bestFit="1" customWidth="1"/>
    <col min="12" max="12" width="10.7109375" style="33" customWidth="1"/>
    <col min="13" max="13" width="13.140625" style="33" bestFit="1" customWidth="1"/>
    <col min="14" max="17" width="9.140625" style="33"/>
    <col min="18" max="18" width="28.140625" style="33" bestFit="1" customWidth="1"/>
    <col min="19" max="19" width="18.42578125" style="33" bestFit="1" customWidth="1"/>
    <col min="20" max="21" width="9.140625" style="33"/>
    <col min="22" max="22" width="19.140625" style="33" bestFit="1" customWidth="1"/>
    <col min="23" max="16384" width="9.140625" style="33"/>
  </cols>
  <sheetData>
    <row r="1" spans="1:224 16384:16384" customFormat="1" x14ac:dyDescent="0.25">
      <c r="A1" s="335"/>
      <c r="B1" s="2"/>
      <c r="C1" s="2"/>
      <c r="D1" s="2"/>
      <c r="E1" s="2"/>
      <c r="F1" s="2"/>
      <c r="G1" s="2"/>
      <c r="H1" s="2"/>
      <c r="I1" s="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 spans="1:224 16384:16384" customFormat="1" x14ac:dyDescent="0.25">
      <c r="A2" s="2"/>
      <c r="B2" s="13" t="s">
        <v>483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</row>
    <row r="3" spans="1:224 16384:16384" customForma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</row>
    <row r="4" spans="1:224 16384:16384" customForma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</row>
    <row r="5" spans="1:224 16384:16384" customFormat="1" x14ac:dyDescent="0.25">
      <c r="A5" s="2"/>
      <c r="B5" s="6" t="s">
        <v>42</v>
      </c>
      <c r="C5" s="29"/>
      <c r="D5" s="29"/>
      <c r="E5" s="29"/>
      <c r="F5" s="7"/>
      <c r="G5" s="7"/>
      <c r="H5" s="7"/>
      <c r="I5" s="7"/>
      <c r="J5" s="7"/>
      <c r="K5" s="7"/>
      <c r="L5" s="7"/>
      <c r="M5" s="7"/>
      <c r="N5" s="5"/>
      <c r="O5" s="5"/>
      <c r="P5" s="5"/>
      <c r="Q5" s="5"/>
      <c r="R5" s="314" t="s">
        <v>6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</row>
    <row r="6" spans="1:224 16384:16384" customForma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</row>
    <row r="7" spans="1:224 16384:16384" customForma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</row>
    <row r="8" spans="1:224 16384:16384" customFormat="1" x14ac:dyDescent="0.25">
      <c r="A8" s="2"/>
      <c r="B8" s="75"/>
      <c r="C8" s="3" t="s">
        <v>0</v>
      </c>
      <c r="D8" s="76"/>
      <c r="E8" s="76"/>
      <c r="F8" s="77"/>
      <c r="G8" s="32"/>
      <c r="H8" s="2"/>
      <c r="I8" s="435" t="s">
        <v>476</v>
      </c>
      <c r="J8" s="436"/>
      <c r="K8" s="436"/>
      <c r="L8" s="437"/>
      <c r="M8" s="31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</row>
    <row r="9" spans="1:224 16384:16384" customFormat="1" x14ac:dyDescent="0.25">
      <c r="A9" s="2"/>
      <c r="B9" s="78"/>
      <c r="C9" s="2"/>
      <c r="D9" s="2"/>
      <c r="E9" s="2"/>
      <c r="F9" s="79"/>
      <c r="G9" s="2"/>
      <c r="H9" s="2"/>
      <c r="I9" s="305" t="s">
        <v>480</v>
      </c>
      <c r="J9" s="134"/>
      <c r="K9" s="134"/>
      <c r="L9" s="134" t="s">
        <v>474</v>
      </c>
      <c r="M9" s="312"/>
      <c r="N9" s="27"/>
      <c r="O9" s="27"/>
      <c r="P9" s="27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XFD9" s="303"/>
    </row>
    <row r="10" spans="1:224 16384:16384" customFormat="1" x14ac:dyDescent="0.25">
      <c r="A10" s="2"/>
      <c r="B10" s="80" t="s">
        <v>46</v>
      </c>
      <c r="C10" s="65"/>
      <c r="D10" s="65"/>
      <c r="E10" s="65"/>
      <c r="F10" s="81" t="s">
        <v>521</v>
      </c>
      <c r="G10" s="2"/>
      <c r="H10" s="2"/>
      <c r="I10" s="306" t="s">
        <v>0</v>
      </c>
      <c r="J10" s="2"/>
      <c r="K10" s="2"/>
      <c r="L10" s="2"/>
      <c r="M10" s="7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</row>
    <row r="11" spans="1:224 16384:16384" customFormat="1" x14ac:dyDescent="0.25">
      <c r="A11" s="2"/>
      <c r="B11" s="78" t="s">
        <v>522</v>
      </c>
      <c r="C11" s="2"/>
      <c r="D11" s="2"/>
      <c r="E11" s="2"/>
      <c r="F11" s="331">
        <f>Model!X11</f>
        <v>4503637.6565889204</v>
      </c>
      <c r="G11" s="2"/>
      <c r="H11" s="2"/>
      <c r="I11" s="90" t="s">
        <v>53</v>
      </c>
      <c r="J11" s="2"/>
      <c r="K11" s="2"/>
      <c r="L11" s="63">
        <f>F19</f>
        <v>113.45876399251733</v>
      </c>
      <c r="M11" s="31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</row>
    <row r="12" spans="1:224 16384:16384" customFormat="1" x14ac:dyDescent="0.25">
      <c r="A12" s="2"/>
      <c r="B12" s="78" t="s">
        <v>48</v>
      </c>
      <c r="C12" s="2"/>
      <c r="D12" s="2"/>
      <c r="E12" s="2"/>
      <c r="F12" s="446">
        <f>Model!X73</f>
        <v>-0.19710376710280608</v>
      </c>
      <c r="G12" s="2"/>
      <c r="H12" s="2"/>
      <c r="I12" s="36"/>
      <c r="J12" s="2"/>
      <c r="K12" s="63"/>
      <c r="L12" s="2"/>
      <c r="M12" s="7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</row>
    <row r="13" spans="1:224 16384:16384" customFormat="1" x14ac:dyDescent="0.25">
      <c r="A13" s="2"/>
      <c r="B13" s="78" t="s">
        <v>50</v>
      </c>
      <c r="C13" s="2"/>
      <c r="D13" s="2"/>
      <c r="E13" s="2"/>
      <c r="F13" s="82">
        <f>F11*(1-F12)</f>
        <v>5391321.6043686494</v>
      </c>
      <c r="G13" s="2"/>
      <c r="H13" s="2"/>
      <c r="I13" s="307" t="s">
        <v>10</v>
      </c>
      <c r="J13" s="2"/>
      <c r="K13" s="63"/>
      <c r="L13" s="2"/>
      <c r="M13" s="78"/>
      <c r="N13" s="2"/>
      <c r="O13" s="2"/>
      <c r="P13" s="2"/>
      <c r="Q13" s="2"/>
      <c r="R13" s="2"/>
      <c r="S13" s="2"/>
      <c r="T13" s="2"/>
      <c r="U13" s="2"/>
      <c r="V13" s="63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</row>
    <row r="14" spans="1:224 16384:16384" customFormat="1" x14ac:dyDescent="0.25">
      <c r="A14" s="2"/>
      <c r="B14" s="36" t="s">
        <v>51</v>
      </c>
      <c r="C14" s="32"/>
      <c r="D14" s="32"/>
      <c r="E14" s="32"/>
      <c r="F14" s="331">
        <f>F13/Model!X77</f>
        <v>5.9715138943430173</v>
      </c>
      <c r="G14" s="32"/>
      <c r="H14" s="32"/>
      <c r="I14" s="90" t="s">
        <v>53</v>
      </c>
      <c r="J14" s="2"/>
      <c r="K14" s="2"/>
      <c r="L14" s="63">
        <v>0</v>
      </c>
      <c r="M14" s="78"/>
      <c r="N14" s="2"/>
      <c r="O14" s="2"/>
      <c r="P14" s="2"/>
      <c r="Q14" s="2"/>
      <c r="R14" s="2"/>
      <c r="S14" s="2"/>
      <c r="T14" s="2"/>
      <c r="U14" s="2"/>
      <c r="V14" s="67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</row>
    <row r="15" spans="1:224 16384:16384" customFormat="1" x14ac:dyDescent="0.25">
      <c r="A15" s="2"/>
      <c r="B15" s="36"/>
      <c r="C15" s="32"/>
      <c r="D15" s="32"/>
      <c r="E15" s="32"/>
      <c r="F15" s="83"/>
      <c r="G15" s="32"/>
      <c r="H15" s="32"/>
      <c r="I15" s="308"/>
      <c r="J15" s="65"/>
      <c r="K15" s="65"/>
      <c r="L15" s="65"/>
      <c r="M15" s="78"/>
      <c r="N15" s="2"/>
      <c r="O15" s="2"/>
      <c r="P15" s="2"/>
      <c r="Q15" s="2"/>
      <c r="R15" s="2"/>
      <c r="S15" s="2"/>
      <c r="T15" s="2"/>
      <c r="U15" s="2"/>
      <c r="V15" s="63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</row>
    <row r="16" spans="1:224 16384:16384" customFormat="1" x14ac:dyDescent="0.25">
      <c r="A16" s="2"/>
      <c r="B16" s="78" t="s">
        <v>49</v>
      </c>
      <c r="C16" s="88"/>
      <c r="D16" s="2"/>
      <c r="E16" s="2"/>
      <c r="F16" s="89">
        <f>_xlfn.IFS(Case_Scenario="Base",Valuation!C45,Case_Scenario="Bull",Valuation!C46,Case_Scenario="Bear",Valuation!C44)</f>
        <v>19</v>
      </c>
      <c r="G16" s="2"/>
      <c r="H16" s="2"/>
      <c r="I16" s="309" t="s">
        <v>479</v>
      </c>
      <c r="J16" s="85"/>
      <c r="K16" s="85"/>
      <c r="L16" s="310">
        <f>SUM(L11:L14)</f>
        <v>113.45876399251733</v>
      </c>
      <c r="M16" s="78"/>
      <c r="N16" s="2"/>
      <c r="O16" s="2"/>
      <c r="P16" s="2"/>
      <c r="Q16" s="2"/>
      <c r="R16" s="2"/>
      <c r="S16" s="2"/>
      <c r="T16" s="2"/>
      <c r="U16" s="2"/>
      <c r="V16" s="63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</row>
    <row r="17" spans="1:224" customFormat="1" x14ac:dyDescent="0.25">
      <c r="A17" s="2"/>
      <c r="B17" s="36"/>
      <c r="C17" s="32"/>
      <c r="D17" s="32"/>
      <c r="E17" s="32"/>
      <c r="F17" s="83"/>
      <c r="G17" s="2"/>
      <c r="H17" s="2"/>
      <c r="I17" s="78" t="s">
        <v>475</v>
      </c>
      <c r="J17" s="2"/>
      <c r="K17" s="2"/>
      <c r="L17" s="334">
        <f>L16/Share_Price-1</f>
        <v>0.26121347257133554</v>
      </c>
      <c r="M17" s="7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</row>
    <row r="18" spans="1:224" customFormat="1" x14ac:dyDescent="0.25">
      <c r="A18" s="2"/>
      <c r="B18" s="78"/>
      <c r="C18" s="2"/>
      <c r="D18" s="2"/>
      <c r="E18" s="2"/>
      <c r="F18" s="79"/>
      <c r="G18" s="63"/>
      <c r="H18" s="2"/>
      <c r="I18" s="80"/>
      <c r="J18" s="65"/>
      <c r="K18" s="65"/>
      <c r="L18" s="65"/>
      <c r="M18" s="78"/>
      <c r="N18" s="2"/>
      <c r="O18" s="2"/>
      <c r="P18" s="2"/>
      <c r="Q18" s="2"/>
      <c r="R18" s="2"/>
      <c r="S18" s="2"/>
      <c r="T18" s="2"/>
      <c r="U18" s="2"/>
      <c r="V18" s="317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</row>
    <row r="19" spans="1:224" customFormat="1" x14ac:dyDescent="0.25">
      <c r="A19" s="2"/>
      <c r="B19" s="84" t="s">
        <v>53</v>
      </c>
      <c r="C19" s="85"/>
      <c r="D19" s="85"/>
      <c r="E19" s="85"/>
      <c r="F19" s="86">
        <f>PRODUCT(F14,F16)</f>
        <v>113.45876399251733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</row>
    <row r="20" spans="1:224" customFormat="1" x14ac:dyDescent="0.25">
      <c r="A20" s="2"/>
      <c r="B20" s="87"/>
      <c r="C20" s="87"/>
      <c r="D20" s="87"/>
      <c r="E20" s="87"/>
      <c r="F20" s="87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</row>
    <row r="21" spans="1:224" customFormat="1" hidden="1" outlineLevel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63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</row>
    <row r="22" spans="1:224" customFormat="1" hidden="1" outlineLevel="1" x14ac:dyDescent="0.25">
      <c r="A22" s="2"/>
      <c r="B22" s="75"/>
      <c r="C22" s="3" t="s">
        <v>10</v>
      </c>
      <c r="D22" s="76"/>
      <c r="E22" s="76"/>
      <c r="F22" s="7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67"/>
      <c r="S22" s="67"/>
      <c r="T22" s="67"/>
      <c r="U22" s="67"/>
      <c r="V22" s="67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</row>
    <row r="23" spans="1:224" customFormat="1" hidden="1" outlineLevel="1" x14ac:dyDescent="0.25">
      <c r="A23" s="2"/>
      <c r="B23" s="78"/>
      <c r="C23" s="2"/>
      <c r="D23" s="2"/>
      <c r="E23" s="2"/>
      <c r="F23" s="79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</row>
    <row r="24" spans="1:224" customFormat="1" hidden="1" outlineLevel="1" x14ac:dyDescent="0.25">
      <c r="A24" s="2"/>
      <c r="B24" s="80" t="s">
        <v>9</v>
      </c>
      <c r="C24" s="65"/>
      <c r="D24" s="65"/>
      <c r="E24" s="65"/>
      <c r="F24" s="81" t="s">
        <v>486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</row>
    <row r="25" spans="1:224" customFormat="1" hidden="1" outlineLevel="1" x14ac:dyDescent="0.25">
      <c r="A25" s="2"/>
      <c r="B25" s="78" t="s">
        <v>12</v>
      </c>
      <c r="C25" s="2"/>
      <c r="D25" s="2"/>
      <c r="E25" s="2"/>
      <c r="F25" s="331" t="e">
        <f>#REF!</f>
        <v>#REF!</v>
      </c>
      <c r="G25" s="2"/>
      <c r="H25" s="6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</row>
    <row r="26" spans="1:224" customFormat="1" hidden="1" outlineLevel="1" x14ac:dyDescent="0.25">
      <c r="A26" s="2"/>
      <c r="B26" s="36" t="s">
        <v>57</v>
      </c>
      <c r="C26" s="32"/>
      <c r="D26" s="32"/>
      <c r="E26" s="32"/>
      <c r="F26" s="331" t="e">
        <f>#REF!</f>
        <v>#REF!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</row>
    <row r="27" spans="1:224" customFormat="1" hidden="1" outlineLevel="1" x14ac:dyDescent="0.25">
      <c r="A27" s="2"/>
      <c r="B27" s="36"/>
      <c r="C27" s="32"/>
      <c r="D27" s="32"/>
      <c r="E27" s="32"/>
      <c r="F27" s="83"/>
      <c r="G27" s="2"/>
      <c r="H27" s="6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63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</row>
    <row r="28" spans="1:224" customFormat="1" hidden="1" outlineLevel="1" x14ac:dyDescent="0.25">
      <c r="A28" s="2"/>
      <c r="B28" s="90" t="s">
        <v>56</v>
      </c>
      <c r="C28" s="2"/>
      <c r="D28" s="2"/>
      <c r="E28" s="2"/>
      <c r="F28" s="89">
        <f>_xlfn.IFS(Case_Scenario="Base",Valuation!H45,Case_Scenario="Bull",Valuation!H46,Case_Scenario="Bear",Valuation!H44)</f>
        <v>1.3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63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</row>
    <row r="29" spans="1:224" customFormat="1" hidden="1" outlineLevel="1" x14ac:dyDescent="0.25">
      <c r="A29" s="2"/>
      <c r="B29" s="78"/>
      <c r="C29" s="2"/>
      <c r="D29" s="2"/>
      <c r="E29" s="2"/>
      <c r="F29" s="79"/>
      <c r="G29" s="63"/>
      <c r="H29" s="6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</row>
    <row r="30" spans="1:224" customFormat="1" hidden="1" outlineLevel="1" x14ac:dyDescent="0.25">
      <c r="A30" s="2"/>
      <c r="B30" s="78"/>
      <c r="C30" s="2"/>
      <c r="D30" s="2"/>
      <c r="E30" s="2"/>
      <c r="F30" s="79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317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</row>
    <row r="31" spans="1:224" customFormat="1" hidden="1" outlineLevel="1" x14ac:dyDescent="0.25">
      <c r="A31" s="2"/>
      <c r="B31" s="78"/>
      <c r="C31" s="2"/>
      <c r="D31" s="2"/>
      <c r="E31" s="2"/>
      <c r="F31" s="79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</row>
    <row r="32" spans="1:224" customFormat="1" hidden="1" outlineLevel="1" x14ac:dyDescent="0.25">
      <c r="A32" s="2"/>
      <c r="B32" s="78"/>
      <c r="C32" s="2"/>
      <c r="D32" s="2"/>
      <c r="E32" s="2"/>
      <c r="F32" s="79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</row>
    <row r="33" spans="1:224" customFormat="1" hidden="1" outlineLevel="1" x14ac:dyDescent="0.25">
      <c r="A33" s="2"/>
      <c r="B33" s="73" t="s">
        <v>58</v>
      </c>
      <c r="C33" s="74"/>
      <c r="D33" s="74"/>
      <c r="E33" s="74"/>
      <c r="F33" s="91" t="e">
        <f>PRODUCT(F26,F28)</f>
        <v>#REF!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</row>
    <row r="34" spans="1:224" customFormat="1" hidden="1" outlineLevel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</row>
    <row r="35" spans="1:224" customFormat="1" hidden="1" outlineLevel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63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</row>
    <row r="36" spans="1:224" customFormat="1" hidden="1" outlineLevel="1" x14ac:dyDescent="0.25">
      <c r="A36" s="2"/>
      <c r="B36" s="26"/>
      <c r="C36" s="5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</row>
    <row r="37" spans="1:224" customFormat="1" hidden="1" outlineLevel="1" x14ac:dyDescent="0.25">
      <c r="A37" s="2"/>
      <c r="B37" s="26"/>
      <c r="C37" s="5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</row>
    <row r="38" spans="1:224" customFormat="1" hidden="1" outlineLevel="1" x14ac:dyDescent="0.25">
      <c r="A38" s="2"/>
      <c r="B38" s="26"/>
      <c r="C38" s="5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</row>
    <row r="39" spans="1:224" customFormat="1" collapsed="1" x14ac:dyDescent="0.25">
      <c r="A39" s="2"/>
      <c r="B39" s="22" t="s">
        <v>41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78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</row>
    <row r="40" spans="1:224" customForma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</row>
    <row r="41" spans="1:224" customFormat="1" x14ac:dyDescent="0.25">
      <c r="A41" s="2"/>
      <c r="B41" s="60" t="s">
        <v>43</v>
      </c>
      <c r="C41" s="32"/>
      <c r="D41" s="32"/>
      <c r="E41" s="32"/>
      <c r="F41" s="32"/>
      <c r="G41" s="60" t="s">
        <v>43</v>
      </c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</row>
    <row r="42" spans="1:224" customFormat="1" x14ac:dyDescent="0.25">
      <c r="A42" s="2"/>
      <c r="B42" s="32"/>
      <c r="C42" s="68"/>
      <c r="D42" s="32"/>
      <c r="E42" s="32"/>
      <c r="F42" s="32"/>
      <c r="G42" s="32"/>
      <c r="H42" s="68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</row>
    <row r="43" spans="1:224" customFormat="1" x14ac:dyDescent="0.25">
      <c r="A43" s="2"/>
      <c r="B43" s="71" t="s">
        <v>44</v>
      </c>
      <c r="C43" s="72"/>
      <c r="D43" s="70"/>
      <c r="E43" s="32"/>
      <c r="F43" s="32"/>
      <c r="G43" s="71" t="s">
        <v>55</v>
      </c>
      <c r="H43" s="72"/>
      <c r="I43" s="70"/>
      <c r="J43" s="70"/>
      <c r="K43" s="70"/>
      <c r="L43" s="70"/>
      <c r="M43" s="70"/>
      <c r="N43" s="70"/>
      <c r="O43" s="70"/>
      <c r="P43" s="70"/>
      <c r="Q43" s="70"/>
      <c r="R43" s="32"/>
      <c r="S43" s="32"/>
      <c r="T43" s="3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</row>
    <row r="44" spans="1:224" customFormat="1" x14ac:dyDescent="0.25">
      <c r="A44" s="2"/>
      <c r="B44" s="70" t="s">
        <v>34</v>
      </c>
      <c r="C44" s="332">
        <v>13</v>
      </c>
      <c r="D44" s="70"/>
      <c r="E44" s="32"/>
      <c r="F44" s="32"/>
      <c r="G44" s="70" t="s">
        <v>34</v>
      </c>
      <c r="H44" s="332">
        <v>0.8</v>
      </c>
      <c r="I44" s="70"/>
      <c r="J44" s="70"/>
      <c r="K44" s="70"/>
      <c r="L44" s="70"/>
      <c r="M44" s="70"/>
      <c r="N44" s="70"/>
      <c r="O44" s="70"/>
      <c r="P44" s="70"/>
      <c r="Q44" s="70"/>
      <c r="R44" s="32"/>
      <c r="S44" s="32"/>
      <c r="T44" s="3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</row>
    <row r="45" spans="1:224" customFormat="1" x14ac:dyDescent="0.25">
      <c r="A45" s="2"/>
      <c r="B45" s="70" t="s">
        <v>45</v>
      </c>
      <c r="C45" s="333">
        <v>19</v>
      </c>
      <c r="D45" s="70"/>
      <c r="E45" s="32"/>
      <c r="F45" s="32"/>
      <c r="G45" s="70" t="s">
        <v>45</v>
      </c>
      <c r="H45" s="333">
        <v>1.3</v>
      </c>
      <c r="I45" s="70"/>
      <c r="J45" s="70"/>
      <c r="K45" s="70"/>
      <c r="L45" s="70"/>
      <c r="M45" s="70"/>
      <c r="N45" s="70"/>
      <c r="O45" s="70"/>
      <c r="P45" s="70"/>
      <c r="Q45" s="70"/>
      <c r="R45" s="32"/>
      <c r="S45" s="32"/>
      <c r="T45" s="3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</row>
    <row r="46" spans="1:224" customFormat="1" x14ac:dyDescent="0.25">
      <c r="A46" s="2"/>
      <c r="B46" s="70" t="s">
        <v>17</v>
      </c>
      <c r="C46" s="333">
        <v>21</v>
      </c>
      <c r="D46" s="70"/>
      <c r="E46" s="32"/>
      <c r="F46" s="32"/>
      <c r="G46" s="70" t="s">
        <v>17</v>
      </c>
      <c r="H46" s="333">
        <v>1.3</v>
      </c>
      <c r="I46" s="70"/>
      <c r="J46" s="70"/>
      <c r="K46" s="70"/>
      <c r="L46" s="70"/>
      <c r="M46" s="70"/>
      <c r="N46" s="70"/>
      <c r="O46" s="70"/>
      <c r="P46" s="70"/>
      <c r="Q46" s="70"/>
      <c r="R46" s="32"/>
      <c r="S46" s="32"/>
      <c r="T46" s="3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</row>
    <row r="47" spans="1:224" customFormat="1" x14ac:dyDescent="0.25">
      <c r="A47" s="2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32"/>
      <c r="S47" s="32"/>
      <c r="T47" s="3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</row>
    <row r="48" spans="1:224" customFormat="1" x14ac:dyDescent="0.25">
      <c r="A48" s="2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32"/>
      <c r="S48" s="32"/>
      <c r="T48" s="3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</row>
    <row r="49" spans="1:224" customFormat="1" x14ac:dyDescent="0.25">
      <c r="A49" s="2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32"/>
      <c r="S49" s="32"/>
      <c r="T49" s="3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</row>
    <row r="50" spans="1:224" x14ac:dyDescent="0.25">
      <c r="A50" s="32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  <c r="EW50" s="32"/>
      <c r="EX50" s="32"/>
      <c r="EY50" s="32"/>
      <c r="EZ50" s="32"/>
      <c r="FA50" s="32"/>
      <c r="FB50" s="32"/>
      <c r="FC50" s="32"/>
      <c r="FD50" s="32"/>
      <c r="FE50" s="32"/>
      <c r="FF50" s="32"/>
      <c r="FG50" s="32"/>
      <c r="FH50" s="32"/>
      <c r="FI50" s="32"/>
      <c r="FJ50" s="32"/>
      <c r="FK50" s="32"/>
      <c r="FL50" s="32"/>
      <c r="FM50" s="32"/>
      <c r="FN50" s="32"/>
      <c r="FO50" s="32"/>
      <c r="FP50" s="32"/>
      <c r="FQ50" s="32"/>
      <c r="FR50" s="32"/>
      <c r="FS50" s="32"/>
      <c r="FT50" s="32"/>
      <c r="FU50" s="32"/>
      <c r="FV50" s="32"/>
      <c r="FW50" s="32"/>
      <c r="FX50" s="32"/>
      <c r="FY50" s="32"/>
      <c r="FZ50" s="32"/>
      <c r="GA50" s="32"/>
      <c r="GB50" s="32"/>
      <c r="GC50" s="32"/>
      <c r="GD50" s="32"/>
      <c r="GE50" s="32"/>
      <c r="GF50" s="32"/>
      <c r="GG50" s="32"/>
      <c r="GH50" s="32"/>
      <c r="GI50" s="32"/>
      <c r="GJ50" s="32"/>
      <c r="GK50" s="32"/>
      <c r="GL50" s="32"/>
      <c r="GM50" s="32"/>
      <c r="GN50" s="32"/>
      <c r="GO50" s="32"/>
      <c r="GP50" s="32"/>
      <c r="GQ50" s="32"/>
      <c r="GR50" s="32"/>
      <c r="GS50" s="32"/>
      <c r="GT50" s="32"/>
      <c r="GU50" s="32"/>
      <c r="GV50" s="32"/>
      <c r="GW50" s="32"/>
      <c r="GX50" s="32"/>
      <c r="GY50" s="32"/>
      <c r="GZ50" s="32"/>
      <c r="HA50" s="32"/>
      <c r="HB50" s="32"/>
      <c r="HC50" s="32"/>
      <c r="HD50" s="32"/>
      <c r="HE50" s="32"/>
      <c r="HF50" s="32"/>
      <c r="HG50" s="32"/>
      <c r="HH50" s="32"/>
      <c r="HI50" s="32"/>
      <c r="HJ50" s="32"/>
      <c r="HK50" s="32"/>
      <c r="HL50" s="32"/>
      <c r="HM50" s="32"/>
      <c r="HN50" s="32"/>
      <c r="HO50" s="32"/>
      <c r="HP50" s="32"/>
    </row>
    <row r="51" spans="1:224" ht="3" customHeight="1" x14ac:dyDescent="0.25">
      <c r="A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  <c r="EW51" s="32"/>
      <c r="EX51" s="32"/>
      <c r="EY51" s="32"/>
      <c r="EZ51" s="32"/>
      <c r="FA51" s="32"/>
      <c r="FB51" s="32"/>
      <c r="FC51" s="32"/>
      <c r="FD51" s="32"/>
      <c r="FE51" s="32"/>
      <c r="FF51" s="32"/>
      <c r="FG51" s="32"/>
      <c r="FH51" s="32"/>
      <c r="FI51" s="32"/>
      <c r="FJ51" s="32"/>
      <c r="FK51" s="32"/>
      <c r="FL51" s="32"/>
      <c r="FM51" s="32"/>
      <c r="FN51" s="32"/>
      <c r="FO51" s="32"/>
      <c r="FP51" s="32"/>
      <c r="FQ51" s="32"/>
      <c r="FR51" s="32"/>
      <c r="FS51" s="32"/>
      <c r="FT51" s="32"/>
      <c r="FU51" s="32"/>
      <c r="FV51" s="32"/>
      <c r="FW51" s="32"/>
      <c r="FX51" s="32"/>
      <c r="FY51" s="32"/>
      <c r="FZ51" s="32"/>
      <c r="GA51" s="32"/>
      <c r="GB51" s="32"/>
      <c r="GC51" s="32"/>
      <c r="GD51" s="32"/>
      <c r="GE51" s="32"/>
      <c r="GF51" s="32"/>
      <c r="GG51" s="32"/>
      <c r="GH51" s="32"/>
      <c r="GI51" s="32"/>
      <c r="GJ51" s="32"/>
      <c r="GK51" s="32"/>
      <c r="GL51" s="32"/>
      <c r="GM51" s="32"/>
      <c r="GN51" s="32"/>
      <c r="GO51" s="32"/>
      <c r="GP51" s="32"/>
      <c r="GQ51" s="32"/>
      <c r="GR51" s="32"/>
      <c r="GS51" s="32"/>
      <c r="GT51" s="32"/>
      <c r="GU51" s="32"/>
      <c r="GV51" s="32"/>
      <c r="GW51" s="32"/>
      <c r="GX51" s="32"/>
      <c r="GY51" s="32"/>
      <c r="GZ51" s="32"/>
      <c r="HA51" s="32"/>
      <c r="HB51" s="32"/>
      <c r="HC51" s="32"/>
      <c r="HD51" s="32"/>
      <c r="HE51" s="32"/>
      <c r="HF51" s="32"/>
      <c r="HG51" s="32"/>
      <c r="HH51" s="32"/>
      <c r="HI51" s="32"/>
      <c r="HJ51" s="32"/>
      <c r="HK51" s="32"/>
      <c r="HL51" s="32"/>
      <c r="HM51" s="32"/>
      <c r="HN51" s="32"/>
      <c r="HO51" s="32"/>
      <c r="HP51" s="32"/>
    </row>
    <row r="52" spans="1:224" x14ac:dyDescent="0.25">
      <c r="A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32"/>
      <c r="EY52" s="32"/>
      <c r="EZ52" s="32"/>
      <c r="FA52" s="32"/>
      <c r="FB52" s="32"/>
      <c r="FC52" s="32"/>
      <c r="FD52" s="32"/>
      <c r="FE52" s="32"/>
      <c r="FF52" s="32"/>
      <c r="FG52" s="32"/>
      <c r="FH52" s="32"/>
      <c r="FI52" s="32"/>
      <c r="FJ52" s="32"/>
      <c r="FK52" s="32"/>
      <c r="FL52" s="32"/>
      <c r="FM52" s="32"/>
      <c r="FN52" s="32"/>
      <c r="FO52" s="32"/>
      <c r="FP52" s="32"/>
      <c r="FQ52" s="32"/>
      <c r="FR52" s="32"/>
      <c r="FS52" s="32"/>
      <c r="FT52" s="32"/>
      <c r="FU52" s="32"/>
      <c r="FV52" s="32"/>
      <c r="FW52" s="32"/>
      <c r="FX52" s="32"/>
      <c r="FY52" s="32"/>
      <c r="FZ52" s="32"/>
      <c r="GA52" s="32"/>
      <c r="GB52" s="32"/>
      <c r="GC52" s="32"/>
      <c r="GD52" s="32"/>
      <c r="GE52" s="32"/>
      <c r="GF52" s="32"/>
      <c r="GG52" s="32"/>
      <c r="GH52" s="32"/>
      <c r="GI52" s="32"/>
      <c r="GJ52" s="32"/>
      <c r="GK52" s="32"/>
      <c r="GL52" s="32"/>
      <c r="GM52" s="32"/>
      <c r="GN52" s="32"/>
      <c r="GO52" s="32"/>
      <c r="GP52" s="32"/>
      <c r="GQ52" s="32"/>
      <c r="GR52" s="32"/>
      <c r="GS52" s="32"/>
      <c r="GT52" s="32"/>
      <c r="GU52" s="32"/>
      <c r="GV52" s="32"/>
      <c r="GW52" s="32"/>
      <c r="GX52" s="32"/>
      <c r="GY52" s="32"/>
      <c r="GZ52" s="32"/>
      <c r="HA52" s="32"/>
      <c r="HB52" s="32"/>
      <c r="HC52" s="32"/>
      <c r="HD52" s="32"/>
      <c r="HE52" s="32"/>
      <c r="HF52" s="32"/>
      <c r="HG52" s="32"/>
      <c r="HH52" s="32"/>
      <c r="HI52" s="32"/>
      <c r="HJ52" s="32"/>
      <c r="HK52" s="32"/>
      <c r="HL52" s="32"/>
      <c r="HM52" s="32"/>
      <c r="HN52" s="32"/>
      <c r="HO52" s="32"/>
      <c r="HP52" s="32"/>
    </row>
    <row r="53" spans="1:224" x14ac:dyDescent="0.25">
      <c r="A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  <c r="EW53" s="32"/>
      <c r="EX53" s="32"/>
      <c r="EY53" s="32"/>
      <c r="EZ53" s="32"/>
      <c r="FA53" s="32"/>
      <c r="FB53" s="32"/>
      <c r="FC53" s="32"/>
      <c r="FD53" s="32"/>
      <c r="FE53" s="32"/>
      <c r="FF53" s="32"/>
      <c r="FG53" s="32"/>
      <c r="FH53" s="32"/>
      <c r="FI53" s="32"/>
      <c r="FJ53" s="32"/>
      <c r="FK53" s="32"/>
      <c r="FL53" s="32"/>
      <c r="FM53" s="32"/>
      <c r="FN53" s="32"/>
      <c r="FO53" s="32"/>
      <c r="FP53" s="32"/>
      <c r="FQ53" s="32"/>
      <c r="FR53" s="32"/>
      <c r="FS53" s="32"/>
      <c r="FT53" s="32"/>
      <c r="FU53" s="32"/>
      <c r="FV53" s="32"/>
      <c r="FW53" s="32"/>
      <c r="FX53" s="32"/>
      <c r="FY53" s="32"/>
      <c r="FZ53" s="32"/>
      <c r="GA53" s="32"/>
      <c r="GB53" s="32"/>
      <c r="GC53" s="32"/>
      <c r="GD53" s="32"/>
      <c r="GE53" s="32"/>
      <c r="GF53" s="32"/>
      <c r="GG53" s="32"/>
      <c r="GH53" s="32"/>
      <c r="GI53" s="32"/>
      <c r="GJ53" s="32"/>
      <c r="GK53" s="32"/>
      <c r="GL53" s="32"/>
      <c r="GM53" s="32"/>
      <c r="GN53" s="32"/>
      <c r="GO53" s="32"/>
      <c r="GP53" s="32"/>
      <c r="GQ53" s="32"/>
      <c r="GR53" s="32"/>
      <c r="GS53" s="32"/>
      <c r="GT53" s="32"/>
      <c r="GU53" s="32"/>
      <c r="GV53" s="32"/>
      <c r="GW53" s="32"/>
      <c r="GX53" s="32"/>
      <c r="GY53" s="32"/>
      <c r="GZ53" s="32"/>
      <c r="HA53" s="32"/>
      <c r="HB53" s="32"/>
      <c r="HC53" s="32"/>
      <c r="HD53" s="32"/>
      <c r="HE53" s="32"/>
      <c r="HF53" s="32"/>
      <c r="HG53" s="32"/>
      <c r="HH53" s="32"/>
      <c r="HI53" s="32"/>
      <c r="HJ53" s="32"/>
      <c r="HK53" s="32"/>
      <c r="HL53" s="32"/>
      <c r="HM53" s="32"/>
      <c r="HN53" s="32"/>
      <c r="HO53" s="32"/>
      <c r="HP53" s="32"/>
    </row>
    <row r="54" spans="1:224" x14ac:dyDescent="0.25">
      <c r="A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32"/>
      <c r="EX54" s="32"/>
      <c r="EY54" s="32"/>
      <c r="EZ54" s="32"/>
      <c r="FA54" s="32"/>
      <c r="FB54" s="32"/>
      <c r="FC54" s="32"/>
      <c r="FD54" s="32"/>
      <c r="FE54" s="32"/>
      <c r="FF54" s="32"/>
      <c r="FG54" s="32"/>
      <c r="FH54" s="32"/>
      <c r="FI54" s="32"/>
      <c r="FJ54" s="32"/>
      <c r="FK54" s="32"/>
      <c r="FL54" s="32"/>
      <c r="FM54" s="32"/>
      <c r="FN54" s="32"/>
      <c r="FO54" s="32"/>
      <c r="FP54" s="32"/>
      <c r="FQ54" s="32"/>
      <c r="FR54" s="32"/>
      <c r="FS54" s="32"/>
      <c r="FT54" s="32"/>
      <c r="FU54" s="32"/>
      <c r="FV54" s="32"/>
      <c r="FW54" s="32"/>
      <c r="FX54" s="32"/>
      <c r="FY54" s="32"/>
      <c r="FZ54" s="32"/>
      <c r="GA54" s="32"/>
      <c r="GB54" s="32"/>
      <c r="GC54" s="32"/>
      <c r="GD54" s="32"/>
      <c r="GE54" s="32"/>
      <c r="GF54" s="32"/>
      <c r="GG54" s="32"/>
      <c r="GH54" s="32"/>
      <c r="GI54" s="32"/>
      <c r="GJ54" s="32"/>
      <c r="GK54" s="32"/>
      <c r="GL54" s="32"/>
      <c r="GM54" s="32"/>
      <c r="GN54" s="32"/>
      <c r="GO54" s="32"/>
      <c r="GP54" s="32"/>
      <c r="GQ54" s="32"/>
      <c r="GR54" s="32"/>
      <c r="GS54" s="32"/>
      <c r="GT54" s="32"/>
      <c r="GU54" s="32"/>
      <c r="GV54" s="32"/>
      <c r="GW54" s="32"/>
      <c r="GX54" s="32"/>
      <c r="GY54" s="32"/>
      <c r="GZ54" s="32"/>
      <c r="HA54" s="32"/>
      <c r="HB54" s="32"/>
      <c r="HC54" s="32"/>
      <c r="HD54" s="32"/>
      <c r="HE54" s="32"/>
      <c r="HF54" s="32"/>
      <c r="HG54" s="32"/>
      <c r="HH54" s="32"/>
      <c r="HI54" s="32"/>
      <c r="HJ54" s="32"/>
      <c r="HK54" s="32"/>
      <c r="HL54" s="32"/>
      <c r="HM54" s="32"/>
      <c r="HN54" s="32"/>
      <c r="HO54" s="32"/>
      <c r="HP54" s="32"/>
    </row>
    <row r="55" spans="1:224" x14ac:dyDescent="0.25">
      <c r="A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  <c r="EW55" s="32"/>
      <c r="EX55" s="32"/>
      <c r="EY55" s="32"/>
      <c r="EZ55" s="32"/>
      <c r="FA55" s="32"/>
      <c r="FB55" s="32"/>
      <c r="FC55" s="32"/>
      <c r="FD55" s="32"/>
      <c r="FE55" s="32"/>
      <c r="FF55" s="32"/>
      <c r="FG55" s="32"/>
      <c r="FH55" s="32"/>
      <c r="FI55" s="32"/>
      <c r="FJ55" s="32"/>
      <c r="FK55" s="32"/>
      <c r="FL55" s="32"/>
      <c r="FM55" s="32"/>
      <c r="FN55" s="32"/>
      <c r="FO55" s="32"/>
      <c r="FP55" s="32"/>
      <c r="FQ55" s="32"/>
      <c r="FR55" s="32"/>
      <c r="FS55" s="32"/>
      <c r="FT55" s="32"/>
      <c r="FU55" s="32"/>
      <c r="FV55" s="32"/>
      <c r="FW55" s="32"/>
      <c r="FX55" s="32"/>
      <c r="FY55" s="32"/>
      <c r="FZ55" s="32"/>
      <c r="GA55" s="32"/>
      <c r="GB55" s="32"/>
      <c r="GC55" s="32"/>
      <c r="GD55" s="32"/>
      <c r="GE55" s="32"/>
      <c r="GF55" s="32"/>
      <c r="GG55" s="32"/>
      <c r="GH55" s="32"/>
      <c r="GI55" s="32"/>
      <c r="GJ55" s="32"/>
      <c r="GK55" s="32"/>
      <c r="GL55" s="32"/>
      <c r="GM55" s="32"/>
      <c r="GN55" s="32"/>
      <c r="GO55" s="32"/>
      <c r="GP55" s="32"/>
      <c r="GQ55" s="32"/>
      <c r="GR55" s="32"/>
      <c r="GS55" s="32"/>
      <c r="GT55" s="32"/>
      <c r="GU55" s="32"/>
      <c r="GV55" s="32"/>
      <c r="GW55" s="32"/>
      <c r="GX55" s="32"/>
      <c r="GY55" s="32"/>
      <c r="GZ55" s="32"/>
      <c r="HA55" s="32"/>
      <c r="HB55" s="32"/>
      <c r="HC55" s="32"/>
      <c r="HD55" s="32"/>
      <c r="HE55" s="32"/>
      <c r="HF55" s="32"/>
      <c r="HG55" s="32"/>
      <c r="HH55" s="32"/>
      <c r="HI55" s="32"/>
      <c r="HJ55" s="32"/>
      <c r="HK55" s="32"/>
      <c r="HL55" s="32"/>
      <c r="HM55" s="32"/>
      <c r="HN55" s="32"/>
      <c r="HO55" s="32"/>
      <c r="HP55" s="32"/>
    </row>
    <row r="56" spans="1:224" x14ac:dyDescent="0.25">
      <c r="A56" s="32"/>
      <c r="B56" s="2"/>
      <c r="C56" s="318"/>
      <c r="D56" s="318"/>
      <c r="E56" s="318"/>
      <c r="F56" s="26"/>
      <c r="G56" s="26"/>
      <c r="H56" s="26"/>
      <c r="I56" s="26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  <c r="EW56" s="32"/>
      <c r="EX56" s="32"/>
      <c r="EY56" s="32"/>
      <c r="EZ56" s="32"/>
      <c r="FA56" s="32"/>
      <c r="FB56" s="32"/>
      <c r="FC56" s="32"/>
      <c r="FD56" s="32"/>
      <c r="FE56" s="32"/>
      <c r="FF56" s="32"/>
      <c r="FG56" s="32"/>
      <c r="FH56" s="32"/>
      <c r="FI56" s="32"/>
      <c r="FJ56" s="32"/>
      <c r="FK56" s="32"/>
      <c r="FL56" s="32"/>
      <c r="FM56" s="32"/>
      <c r="FN56" s="32"/>
      <c r="FO56" s="32"/>
      <c r="FP56" s="32"/>
      <c r="FQ56" s="32"/>
      <c r="FR56" s="32"/>
      <c r="FS56" s="32"/>
      <c r="FT56" s="32"/>
      <c r="FU56" s="32"/>
      <c r="FV56" s="32"/>
      <c r="FW56" s="32"/>
      <c r="FX56" s="32"/>
      <c r="FY56" s="32"/>
      <c r="FZ56" s="32"/>
      <c r="GA56" s="32"/>
      <c r="GB56" s="32"/>
      <c r="GC56" s="32"/>
      <c r="GD56" s="32"/>
      <c r="GE56" s="32"/>
      <c r="GF56" s="32"/>
      <c r="GG56" s="32"/>
      <c r="GH56" s="32"/>
      <c r="GI56" s="32"/>
      <c r="GJ56" s="32"/>
      <c r="GK56" s="32"/>
      <c r="GL56" s="32"/>
      <c r="GM56" s="32"/>
      <c r="GN56" s="32"/>
      <c r="GO56" s="32"/>
      <c r="GP56" s="32"/>
      <c r="GQ56" s="32"/>
      <c r="GR56" s="32"/>
      <c r="GS56" s="32"/>
      <c r="GT56" s="32"/>
      <c r="GU56" s="32"/>
      <c r="GV56" s="32"/>
      <c r="GW56" s="32"/>
      <c r="GX56" s="32"/>
      <c r="GY56" s="32"/>
      <c r="GZ56" s="32"/>
      <c r="HA56" s="32"/>
      <c r="HB56" s="32"/>
      <c r="HC56" s="32"/>
      <c r="HD56" s="32"/>
      <c r="HE56" s="32"/>
      <c r="HF56" s="32"/>
      <c r="HG56" s="32"/>
      <c r="HH56" s="32"/>
      <c r="HI56" s="32"/>
      <c r="HJ56" s="32"/>
      <c r="HK56" s="32"/>
      <c r="HL56" s="32"/>
      <c r="HM56" s="32"/>
      <c r="HN56" s="32"/>
      <c r="HO56" s="32"/>
      <c r="HP56" s="32"/>
    </row>
    <row r="57" spans="1:224" x14ac:dyDescent="0.25">
      <c r="A57" s="32"/>
      <c r="B57" s="67"/>
      <c r="C57" s="2"/>
      <c r="D57" s="319"/>
      <c r="E57" s="321"/>
      <c r="F57" s="321"/>
      <c r="G57" s="322"/>
      <c r="H57" s="321"/>
      <c r="I57" s="321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  <c r="EW57" s="32"/>
      <c r="EX57" s="32"/>
      <c r="EY57" s="32"/>
      <c r="EZ57" s="32"/>
      <c r="FA57" s="32"/>
      <c r="FB57" s="32"/>
      <c r="FC57" s="32"/>
      <c r="FD57" s="32"/>
      <c r="FE57" s="32"/>
      <c r="FF57" s="32"/>
      <c r="FG57" s="32"/>
      <c r="FH57" s="32"/>
      <c r="FI57" s="32"/>
      <c r="FJ57" s="32"/>
      <c r="FK57" s="32"/>
      <c r="FL57" s="32"/>
      <c r="FM57" s="32"/>
      <c r="FN57" s="32"/>
      <c r="FO57" s="32"/>
      <c r="FP57" s="32"/>
      <c r="FQ57" s="32"/>
      <c r="FR57" s="32"/>
      <c r="FS57" s="32"/>
      <c r="FT57" s="32"/>
      <c r="FU57" s="32"/>
      <c r="FV57" s="32"/>
      <c r="FW57" s="32"/>
      <c r="FX57" s="32"/>
      <c r="FY57" s="32"/>
      <c r="FZ57" s="32"/>
      <c r="GA57" s="32"/>
      <c r="GB57" s="32"/>
      <c r="GC57" s="32"/>
      <c r="GD57" s="32"/>
      <c r="GE57" s="32"/>
      <c r="GF57" s="32"/>
      <c r="GG57" s="32"/>
      <c r="GH57" s="32"/>
      <c r="GI57" s="32"/>
      <c r="GJ57" s="32"/>
      <c r="GK57" s="32"/>
      <c r="GL57" s="32"/>
      <c r="GM57" s="32"/>
      <c r="GN57" s="32"/>
      <c r="GO57" s="32"/>
      <c r="GP57" s="32"/>
      <c r="GQ57" s="32"/>
      <c r="GR57" s="32"/>
      <c r="GS57" s="32"/>
      <c r="GT57" s="32"/>
      <c r="GU57" s="32"/>
      <c r="GV57" s="32"/>
      <c r="GW57" s="32"/>
      <c r="GX57" s="32"/>
      <c r="GY57" s="32"/>
      <c r="GZ57" s="32"/>
      <c r="HA57" s="32"/>
      <c r="HB57" s="32"/>
      <c r="HC57" s="32"/>
      <c r="HD57" s="32"/>
      <c r="HE57" s="32"/>
      <c r="HF57" s="32"/>
      <c r="HG57" s="32"/>
      <c r="HH57" s="32"/>
      <c r="HI57" s="32"/>
      <c r="HJ57" s="32"/>
      <c r="HK57" s="32"/>
      <c r="HL57" s="32"/>
      <c r="HM57" s="32"/>
      <c r="HN57" s="32"/>
      <c r="HO57" s="32"/>
      <c r="HP57" s="32"/>
    </row>
    <row r="58" spans="1:224" x14ac:dyDescent="0.25">
      <c r="A58" s="32"/>
      <c r="B58" s="2"/>
      <c r="C58" s="336"/>
      <c r="D58" s="323"/>
      <c r="E58" s="325"/>
      <c r="F58" s="325"/>
      <c r="G58" s="325"/>
      <c r="H58" s="325"/>
      <c r="I58" s="325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  <c r="EW58" s="32"/>
      <c r="EX58" s="32"/>
      <c r="EY58" s="32"/>
      <c r="EZ58" s="32"/>
      <c r="FA58" s="32"/>
      <c r="FB58" s="32"/>
      <c r="FC58" s="32"/>
      <c r="FD58" s="32"/>
      <c r="FE58" s="32"/>
      <c r="FF58" s="32"/>
      <c r="FG58" s="32"/>
      <c r="FH58" s="32"/>
      <c r="FI58" s="32"/>
      <c r="FJ58" s="32"/>
      <c r="FK58" s="32"/>
      <c r="FL58" s="32"/>
      <c r="FM58" s="32"/>
      <c r="FN58" s="32"/>
      <c r="FO58" s="32"/>
      <c r="FP58" s="32"/>
      <c r="FQ58" s="32"/>
      <c r="FR58" s="32"/>
      <c r="FS58" s="32"/>
      <c r="FT58" s="32"/>
      <c r="FU58" s="32"/>
      <c r="FV58" s="32"/>
      <c r="FW58" s="32"/>
      <c r="FX58" s="32"/>
      <c r="FY58" s="32"/>
      <c r="FZ58" s="32"/>
      <c r="GA58" s="32"/>
      <c r="GB58" s="32"/>
      <c r="GC58" s="32"/>
      <c r="GD58" s="32"/>
      <c r="GE58" s="32"/>
      <c r="GF58" s="32"/>
      <c r="GG58" s="32"/>
      <c r="GH58" s="32"/>
      <c r="GI58" s="32"/>
      <c r="GJ58" s="32"/>
      <c r="GK58" s="32"/>
      <c r="GL58" s="32"/>
      <c r="GM58" s="32"/>
      <c r="GN58" s="32"/>
      <c r="GO58" s="32"/>
      <c r="GP58" s="32"/>
      <c r="GQ58" s="32"/>
      <c r="GR58" s="32"/>
      <c r="GS58" s="32"/>
      <c r="GT58" s="32"/>
      <c r="GU58" s="32"/>
      <c r="GV58" s="32"/>
      <c r="GW58" s="32"/>
      <c r="GX58" s="32"/>
      <c r="GY58" s="32"/>
      <c r="GZ58" s="32"/>
      <c r="HA58" s="32"/>
      <c r="HB58" s="32"/>
      <c r="HC58" s="32"/>
      <c r="HD58" s="32"/>
      <c r="HE58" s="32"/>
      <c r="HF58" s="32"/>
      <c r="HG58" s="32"/>
      <c r="HH58" s="32"/>
      <c r="HI58" s="32"/>
      <c r="HJ58" s="32"/>
      <c r="HK58" s="32"/>
      <c r="HL58" s="32"/>
      <c r="HM58" s="32"/>
      <c r="HN58" s="32"/>
      <c r="HO58" s="32"/>
      <c r="HP58" s="32"/>
    </row>
    <row r="59" spans="1:224" x14ac:dyDescent="0.25">
      <c r="A59" s="32"/>
      <c r="B59" s="2"/>
      <c r="C59" s="336"/>
      <c r="D59" s="323"/>
      <c r="E59" s="325"/>
      <c r="F59" s="320"/>
      <c r="G59" s="320"/>
      <c r="H59" s="320"/>
      <c r="I59" s="325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32"/>
      <c r="EY59" s="32"/>
      <c r="EZ59" s="32"/>
      <c r="FA59" s="32"/>
      <c r="FB59" s="32"/>
      <c r="FC59" s="32"/>
      <c r="FD59" s="32"/>
      <c r="FE59" s="32"/>
      <c r="FF59" s="32"/>
      <c r="FG59" s="32"/>
      <c r="FH59" s="32"/>
      <c r="FI59" s="32"/>
      <c r="FJ59" s="32"/>
      <c r="FK59" s="32"/>
      <c r="FL59" s="32"/>
      <c r="FM59" s="32"/>
      <c r="FN59" s="32"/>
      <c r="FO59" s="32"/>
      <c r="FP59" s="32"/>
      <c r="FQ59" s="32"/>
      <c r="FR59" s="32"/>
      <c r="FS59" s="32"/>
      <c r="FT59" s="32"/>
      <c r="FU59" s="32"/>
      <c r="FV59" s="32"/>
      <c r="FW59" s="32"/>
      <c r="FX59" s="32"/>
      <c r="FY59" s="32"/>
      <c r="FZ59" s="32"/>
      <c r="GA59" s="32"/>
      <c r="GB59" s="32"/>
      <c r="GC59" s="32"/>
      <c r="GD59" s="32"/>
      <c r="GE59" s="32"/>
      <c r="GF59" s="32"/>
      <c r="GG59" s="32"/>
      <c r="GH59" s="32"/>
      <c r="GI59" s="32"/>
      <c r="GJ59" s="32"/>
      <c r="GK59" s="32"/>
      <c r="GL59" s="32"/>
      <c r="GM59" s="32"/>
      <c r="GN59" s="32"/>
      <c r="GO59" s="32"/>
      <c r="GP59" s="32"/>
      <c r="GQ59" s="32"/>
      <c r="GR59" s="32"/>
      <c r="GS59" s="32"/>
      <c r="GT59" s="32"/>
      <c r="GU59" s="32"/>
      <c r="GV59" s="32"/>
      <c r="GW59" s="32"/>
      <c r="GX59" s="32"/>
      <c r="GY59" s="32"/>
      <c r="GZ59" s="32"/>
      <c r="HA59" s="32"/>
      <c r="HB59" s="32"/>
      <c r="HC59" s="32"/>
      <c r="HD59" s="32"/>
      <c r="HE59" s="32"/>
      <c r="HF59" s="32"/>
      <c r="HG59" s="32"/>
      <c r="HH59" s="32"/>
      <c r="HI59" s="32"/>
      <c r="HJ59" s="32"/>
      <c r="HK59" s="32"/>
      <c r="HL59" s="32"/>
      <c r="HM59" s="32"/>
      <c r="HN59" s="32"/>
      <c r="HO59" s="32"/>
      <c r="HP59" s="32"/>
    </row>
    <row r="60" spans="1:224" x14ac:dyDescent="0.25">
      <c r="A60" s="32"/>
      <c r="B60" s="2"/>
      <c r="C60" s="336"/>
      <c r="D60" s="324"/>
      <c r="E60" s="325"/>
      <c r="F60" s="320"/>
      <c r="G60" s="320"/>
      <c r="H60" s="320"/>
      <c r="I60" s="325"/>
      <c r="J60" s="70"/>
      <c r="K60" s="70"/>
      <c r="L60" s="70"/>
      <c r="M60" s="70"/>
      <c r="N60" s="70"/>
      <c r="O60" s="70"/>
      <c r="P60" s="70"/>
      <c r="Q60" s="70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/>
      <c r="FD60" s="32"/>
      <c r="FE60" s="32"/>
      <c r="FF60" s="32"/>
      <c r="FG60" s="32"/>
      <c r="FH60" s="32"/>
      <c r="FI60" s="32"/>
      <c r="FJ60" s="32"/>
      <c r="FK60" s="32"/>
      <c r="FL60" s="32"/>
      <c r="FM60" s="32"/>
      <c r="FN60" s="32"/>
      <c r="FO60" s="32"/>
      <c r="FP60" s="32"/>
      <c r="FQ60" s="32"/>
      <c r="FR60" s="32"/>
      <c r="FS60" s="32"/>
      <c r="FT60" s="32"/>
      <c r="FU60" s="32"/>
      <c r="FV60" s="32"/>
      <c r="FW60" s="32"/>
      <c r="FX60" s="32"/>
      <c r="FY60" s="32"/>
      <c r="FZ60" s="32"/>
      <c r="GA60" s="32"/>
      <c r="GB60" s="32"/>
      <c r="GC60" s="32"/>
      <c r="GD60" s="32"/>
      <c r="GE60" s="32"/>
      <c r="GF60" s="32"/>
      <c r="GG60" s="32"/>
      <c r="GH60" s="32"/>
      <c r="GI60" s="32"/>
      <c r="GJ60" s="32"/>
      <c r="GK60" s="32"/>
      <c r="GL60" s="32"/>
      <c r="GM60" s="32"/>
      <c r="GN60" s="32"/>
      <c r="GO60" s="32"/>
      <c r="GP60" s="32"/>
      <c r="GQ60" s="32"/>
      <c r="GR60" s="32"/>
      <c r="GS60" s="32"/>
      <c r="GT60" s="32"/>
      <c r="GU60" s="32"/>
      <c r="GV60" s="32"/>
      <c r="GW60" s="32"/>
      <c r="GX60" s="32"/>
      <c r="GY60" s="32"/>
      <c r="GZ60" s="32"/>
      <c r="HA60" s="32"/>
      <c r="HB60" s="32"/>
      <c r="HC60" s="32"/>
      <c r="HD60" s="32"/>
      <c r="HE60" s="32"/>
      <c r="HF60" s="32"/>
      <c r="HG60" s="32"/>
      <c r="HH60" s="32"/>
      <c r="HI60" s="32"/>
      <c r="HJ60" s="32"/>
      <c r="HK60" s="32"/>
      <c r="HL60" s="32"/>
      <c r="HM60" s="32"/>
      <c r="HN60" s="32"/>
      <c r="HO60" s="32"/>
      <c r="HP60" s="32"/>
    </row>
    <row r="61" spans="1:224" x14ac:dyDescent="0.25">
      <c r="A61" s="32"/>
      <c r="B61" s="2"/>
      <c r="C61" s="336"/>
      <c r="D61" s="323"/>
      <c r="E61" s="325"/>
      <c r="F61" s="320"/>
      <c r="G61" s="320"/>
      <c r="H61" s="320"/>
      <c r="I61" s="325"/>
      <c r="J61" s="70"/>
      <c r="K61" s="70"/>
      <c r="L61" s="70"/>
      <c r="M61" s="70"/>
      <c r="N61" s="70"/>
      <c r="O61" s="70"/>
      <c r="P61" s="70"/>
      <c r="Q61" s="70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  <c r="EW61" s="32"/>
      <c r="EX61" s="32"/>
      <c r="EY61" s="32"/>
      <c r="EZ61" s="32"/>
      <c r="FA61" s="32"/>
      <c r="FB61" s="32"/>
      <c r="FC61" s="32"/>
      <c r="FD61" s="32"/>
      <c r="FE61" s="32"/>
      <c r="FF61" s="32"/>
      <c r="FG61" s="32"/>
      <c r="FH61" s="32"/>
      <c r="FI61" s="32"/>
      <c r="FJ61" s="32"/>
      <c r="FK61" s="32"/>
      <c r="FL61" s="32"/>
      <c r="FM61" s="32"/>
      <c r="FN61" s="32"/>
      <c r="FO61" s="32"/>
      <c r="FP61" s="32"/>
      <c r="FQ61" s="32"/>
      <c r="FR61" s="32"/>
      <c r="FS61" s="32"/>
      <c r="FT61" s="32"/>
      <c r="FU61" s="32"/>
      <c r="FV61" s="32"/>
      <c r="FW61" s="32"/>
      <c r="FX61" s="32"/>
      <c r="FY61" s="32"/>
      <c r="FZ61" s="32"/>
      <c r="GA61" s="32"/>
      <c r="GB61" s="32"/>
      <c r="GC61" s="32"/>
      <c r="GD61" s="32"/>
      <c r="GE61" s="32"/>
      <c r="GF61" s="32"/>
      <c r="GG61" s="32"/>
      <c r="GH61" s="32"/>
      <c r="GI61" s="32"/>
      <c r="GJ61" s="32"/>
      <c r="GK61" s="32"/>
      <c r="GL61" s="32"/>
      <c r="GM61" s="32"/>
      <c r="GN61" s="32"/>
      <c r="GO61" s="32"/>
      <c r="GP61" s="32"/>
      <c r="GQ61" s="32"/>
      <c r="GR61" s="32"/>
      <c r="GS61" s="32"/>
      <c r="GT61" s="32"/>
      <c r="GU61" s="32"/>
      <c r="GV61" s="32"/>
      <c r="GW61" s="32"/>
      <c r="GX61" s="32"/>
      <c r="GY61" s="32"/>
      <c r="GZ61" s="32"/>
      <c r="HA61" s="32"/>
      <c r="HB61" s="32"/>
      <c r="HC61" s="32"/>
      <c r="HD61" s="32"/>
      <c r="HE61" s="32"/>
      <c r="HF61" s="32"/>
      <c r="HG61" s="32"/>
      <c r="HH61" s="32"/>
      <c r="HI61" s="32"/>
      <c r="HJ61" s="32"/>
      <c r="HK61" s="32"/>
      <c r="HL61" s="32"/>
      <c r="HM61" s="32"/>
      <c r="HN61" s="32"/>
      <c r="HO61" s="32"/>
      <c r="HP61" s="32"/>
    </row>
    <row r="62" spans="1:224" x14ac:dyDescent="0.25">
      <c r="A62" s="32"/>
      <c r="B62" s="2"/>
      <c r="C62" s="336"/>
      <c r="D62" s="323"/>
      <c r="E62" s="325"/>
      <c r="F62" s="325"/>
      <c r="G62" s="325"/>
      <c r="H62" s="325"/>
      <c r="I62" s="325"/>
      <c r="J62" s="70"/>
      <c r="K62" s="70"/>
      <c r="L62" s="70"/>
      <c r="M62" s="70"/>
      <c r="N62" s="70"/>
      <c r="O62" s="70"/>
      <c r="P62" s="70"/>
      <c r="Q62" s="70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  <c r="EW62" s="32"/>
      <c r="EX62" s="32"/>
      <c r="EY62" s="32"/>
      <c r="EZ62" s="32"/>
      <c r="FA62" s="32"/>
      <c r="FB62" s="32"/>
      <c r="FC62" s="32"/>
      <c r="FD62" s="32"/>
      <c r="FE62" s="32"/>
      <c r="FF62" s="32"/>
      <c r="FG62" s="32"/>
      <c r="FH62" s="32"/>
      <c r="FI62" s="32"/>
      <c r="FJ62" s="32"/>
      <c r="FK62" s="32"/>
      <c r="FL62" s="32"/>
      <c r="FM62" s="32"/>
      <c r="FN62" s="32"/>
      <c r="FO62" s="32"/>
      <c r="FP62" s="32"/>
      <c r="FQ62" s="32"/>
      <c r="FR62" s="32"/>
      <c r="FS62" s="32"/>
      <c r="FT62" s="32"/>
      <c r="FU62" s="32"/>
      <c r="FV62" s="32"/>
      <c r="FW62" s="32"/>
      <c r="FX62" s="32"/>
      <c r="FY62" s="32"/>
      <c r="FZ62" s="32"/>
      <c r="GA62" s="32"/>
      <c r="GB62" s="32"/>
      <c r="GC62" s="32"/>
      <c r="GD62" s="32"/>
      <c r="GE62" s="32"/>
      <c r="GF62" s="32"/>
      <c r="GG62" s="32"/>
      <c r="GH62" s="32"/>
      <c r="GI62" s="32"/>
      <c r="GJ62" s="32"/>
      <c r="GK62" s="32"/>
      <c r="GL62" s="32"/>
      <c r="GM62" s="32"/>
      <c r="GN62" s="32"/>
      <c r="GO62" s="32"/>
      <c r="GP62" s="32"/>
      <c r="GQ62" s="32"/>
      <c r="GR62" s="32"/>
      <c r="GS62" s="32"/>
      <c r="GT62" s="32"/>
      <c r="GU62" s="32"/>
      <c r="GV62" s="32"/>
      <c r="GW62" s="32"/>
      <c r="GX62" s="32"/>
      <c r="GY62" s="32"/>
      <c r="GZ62" s="32"/>
      <c r="HA62" s="32"/>
      <c r="HB62" s="32"/>
      <c r="HC62" s="32"/>
      <c r="HD62" s="32"/>
      <c r="HE62" s="32"/>
      <c r="HF62" s="32"/>
      <c r="HG62" s="32"/>
      <c r="HH62" s="32"/>
      <c r="HI62" s="32"/>
      <c r="HJ62" s="32"/>
      <c r="HK62" s="32"/>
      <c r="HL62" s="32"/>
      <c r="HM62" s="32"/>
      <c r="HN62" s="32"/>
      <c r="HO62" s="32"/>
      <c r="HP62" s="32"/>
    </row>
    <row r="63" spans="1:224" x14ac:dyDescent="0.25">
      <c r="A63" s="32"/>
      <c r="B63" s="2"/>
      <c r="C63" s="2"/>
      <c r="D63" s="2"/>
      <c r="E63" s="2"/>
      <c r="F63" s="2"/>
      <c r="G63" s="2"/>
      <c r="H63" s="2"/>
      <c r="I63" s="2"/>
      <c r="J63" s="70"/>
      <c r="K63" s="70"/>
      <c r="L63" s="70"/>
      <c r="M63" s="70"/>
      <c r="N63" s="70"/>
      <c r="O63" s="70"/>
      <c r="P63" s="70"/>
      <c r="Q63" s="70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  <c r="EW63" s="32"/>
      <c r="EX63" s="32"/>
      <c r="EY63" s="32"/>
      <c r="EZ63" s="32"/>
      <c r="FA63" s="32"/>
      <c r="FB63" s="32"/>
      <c r="FC63" s="32"/>
      <c r="FD63" s="32"/>
      <c r="FE63" s="32"/>
      <c r="FF63" s="32"/>
      <c r="FG63" s="32"/>
      <c r="FH63" s="32"/>
      <c r="FI63" s="32"/>
      <c r="FJ63" s="32"/>
      <c r="FK63" s="32"/>
      <c r="FL63" s="32"/>
      <c r="FM63" s="32"/>
      <c r="FN63" s="32"/>
      <c r="FO63" s="32"/>
      <c r="FP63" s="32"/>
      <c r="FQ63" s="32"/>
      <c r="FR63" s="32"/>
      <c r="FS63" s="32"/>
      <c r="FT63" s="32"/>
      <c r="FU63" s="32"/>
      <c r="FV63" s="32"/>
      <c r="FW63" s="32"/>
      <c r="FX63" s="32"/>
      <c r="FY63" s="32"/>
      <c r="FZ63" s="32"/>
      <c r="GA63" s="32"/>
      <c r="GB63" s="32"/>
      <c r="GC63" s="32"/>
      <c r="GD63" s="32"/>
      <c r="GE63" s="32"/>
      <c r="GF63" s="32"/>
      <c r="GG63" s="32"/>
      <c r="GH63" s="32"/>
      <c r="GI63" s="32"/>
      <c r="GJ63" s="32"/>
      <c r="GK63" s="32"/>
      <c r="GL63" s="32"/>
      <c r="GM63" s="32"/>
      <c r="GN63" s="32"/>
      <c r="GO63" s="32"/>
      <c r="GP63" s="32"/>
      <c r="GQ63" s="32"/>
      <c r="GR63" s="32"/>
      <c r="GS63" s="32"/>
      <c r="GT63" s="32"/>
      <c r="GU63" s="32"/>
      <c r="GV63" s="32"/>
      <c r="GW63" s="32"/>
      <c r="GX63" s="32"/>
      <c r="GY63" s="32"/>
      <c r="GZ63" s="32"/>
      <c r="HA63" s="32"/>
      <c r="HB63" s="32"/>
      <c r="HC63" s="32"/>
      <c r="HD63" s="32"/>
      <c r="HE63" s="32"/>
      <c r="HF63" s="32"/>
      <c r="HG63" s="32"/>
      <c r="HH63" s="32"/>
      <c r="HI63" s="32"/>
      <c r="HJ63" s="32"/>
      <c r="HK63" s="32"/>
      <c r="HL63" s="32"/>
      <c r="HM63" s="32"/>
      <c r="HN63" s="32"/>
      <c r="HO63" s="32"/>
      <c r="HP63" s="32"/>
    </row>
    <row r="64" spans="1:224" x14ac:dyDescent="0.25">
      <c r="A64" s="32"/>
      <c r="B64" s="2"/>
      <c r="C64" s="318"/>
      <c r="D64" s="318"/>
      <c r="E64" s="318"/>
      <c r="F64" s="26"/>
      <c r="G64" s="26"/>
      <c r="H64" s="26"/>
      <c r="I64" s="26"/>
      <c r="J64" s="70"/>
      <c r="K64" s="70"/>
      <c r="L64" s="70"/>
      <c r="M64" s="70"/>
      <c r="N64" s="70"/>
      <c r="O64" s="70"/>
      <c r="P64" s="70"/>
      <c r="Q64" s="70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  <c r="EW64" s="32"/>
      <c r="EX64" s="32"/>
      <c r="EY64" s="32"/>
      <c r="EZ64" s="32"/>
      <c r="FA64" s="32"/>
      <c r="FB64" s="32"/>
      <c r="FC64" s="32"/>
      <c r="FD64" s="32"/>
      <c r="FE64" s="32"/>
      <c r="FF64" s="32"/>
      <c r="FG64" s="32"/>
      <c r="FH64" s="32"/>
      <c r="FI64" s="32"/>
      <c r="FJ64" s="32"/>
      <c r="FK64" s="32"/>
      <c r="FL64" s="32"/>
      <c r="FM64" s="32"/>
      <c r="FN64" s="32"/>
      <c r="FO64" s="32"/>
      <c r="FP64" s="32"/>
      <c r="FQ64" s="32"/>
      <c r="FR64" s="32"/>
      <c r="FS64" s="32"/>
      <c r="FT64" s="32"/>
      <c r="FU64" s="32"/>
      <c r="FV64" s="32"/>
      <c r="FW64" s="32"/>
      <c r="FX64" s="32"/>
      <c r="FY64" s="32"/>
      <c r="FZ64" s="32"/>
      <c r="GA64" s="32"/>
      <c r="GB64" s="32"/>
      <c r="GC64" s="32"/>
      <c r="GD64" s="32"/>
      <c r="GE64" s="32"/>
      <c r="GF64" s="32"/>
      <c r="GG64" s="32"/>
      <c r="GH64" s="32"/>
      <c r="GI64" s="32"/>
      <c r="GJ64" s="32"/>
      <c r="GK64" s="32"/>
      <c r="GL64" s="32"/>
      <c r="GM64" s="32"/>
      <c r="GN64" s="32"/>
      <c r="GO64" s="32"/>
      <c r="GP64" s="32"/>
      <c r="GQ64" s="32"/>
      <c r="GR64" s="32"/>
      <c r="GS64" s="32"/>
      <c r="GT64" s="32"/>
      <c r="GU64" s="32"/>
      <c r="GV64" s="32"/>
      <c r="GW64" s="32"/>
      <c r="GX64" s="32"/>
      <c r="GY64" s="32"/>
      <c r="GZ64" s="32"/>
      <c r="HA64" s="32"/>
      <c r="HB64" s="32"/>
      <c r="HC64" s="32"/>
      <c r="HD64" s="32"/>
      <c r="HE64" s="32"/>
      <c r="HF64" s="32"/>
      <c r="HG64" s="32"/>
      <c r="HH64" s="32"/>
      <c r="HI64" s="32"/>
      <c r="HJ64" s="32"/>
      <c r="HK64" s="32"/>
      <c r="HL64" s="32"/>
      <c r="HM64" s="32"/>
      <c r="HN64" s="32"/>
      <c r="HO64" s="32"/>
      <c r="HP64" s="32"/>
    </row>
    <row r="65" spans="1:224" x14ac:dyDescent="0.25">
      <c r="A65" s="32"/>
      <c r="B65" s="2"/>
      <c r="C65" s="2"/>
      <c r="D65" s="319"/>
      <c r="E65" s="321"/>
      <c r="F65" s="321"/>
      <c r="G65" s="322"/>
      <c r="H65" s="321"/>
      <c r="I65" s="321"/>
      <c r="J65" s="70"/>
      <c r="K65" s="70"/>
      <c r="L65" s="70"/>
      <c r="M65" s="70"/>
      <c r="N65" s="70"/>
      <c r="O65" s="70"/>
      <c r="P65" s="70"/>
      <c r="Q65" s="70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  <c r="EW65" s="32"/>
      <c r="EX65" s="32"/>
      <c r="EY65" s="32"/>
      <c r="EZ65" s="32"/>
      <c r="FA65" s="32"/>
      <c r="FB65" s="32"/>
      <c r="FC65" s="32"/>
      <c r="FD65" s="32"/>
      <c r="FE65" s="32"/>
      <c r="FF65" s="32"/>
      <c r="FG65" s="32"/>
      <c r="FH65" s="32"/>
      <c r="FI65" s="32"/>
      <c r="FJ65" s="32"/>
      <c r="FK65" s="32"/>
      <c r="FL65" s="32"/>
      <c r="FM65" s="32"/>
      <c r="FN65" s="32"/>
      <c r="FO65" s="32"/>
      <c r="FP65" s="32"/>
      <c r="FQ65" s="32"/>
      <c r="FR65" s="32"/>
      <c r="FS65" s="32"/>
      <c r="FT65" s="32"/>
      <c r="FU65" s="32"/>
      <c r="FV65" s="32"/>
      <c r="FW65" s="32"/>
      <c r="FX65" s="32"/>
      <c r="FY65" s="32"/>
      <c r="FZ65" s="32"/>
      <c r="GA65" s="32"/>
      <c r="GB65" s="32"/>
      <c r="GC65" s="32"/>
      <c r="GD65" s="32"/>
      <c r="GE65" s="32"/>
      <c r="GF65" s="32"/>
      <c r="GG65" s="32"/>
      <c r="GH65" s="32"/>
      <c r="GI65" s="32"/>
      <c r="GJ65" s="32"/>
      <c r="GK65" s="32"/>
      <c r="GL65" s="32"/>
      <c r="GM65" s="32"/>
      <c r="GN65" s="32"/>
      <c r="GO65" s="32"/>
      <c r="GP65" s="32"/>
      <c r="GQ65" s="32"/>
      <c r="GR65" s="32"/>
      <c r="GS65" s="32"/>
      <c r="GT65" s="32"/>
      <c r="GU65" s="32"/>
      <c r="GV65" s="32"/>
      <c r="GW65" s="32"/>
      <c r="GX65" s="32"/>
      <c r="GY65" s="32"/>
      <c r="GZ65" s="32"/>
      <c r="HA65" s="32"/>
      <c r="HB65" s="32"/>
      <c r="HC65" s="32"/>
      <c r="HD65" s="32"/>
      <c r="HE65" s="32"/>
      <c r="HF65" s="32"/>
      <c r="HG65" s="32"/>
      <c r="HH65" s="32"/>
      <c r="HI65" s="32"/>
      <c r="HJ65" s="32"/>
      <c r="HK65" s="32"/>
      <c r="HL65" s="32"/>
      <c r="HM65" s="32"/>
      <c r="HN65" s="32"/>
      <c r="HO65" s="32"/>
      <c r="HP65" s="32"/>
    </row>
    <row r="66" spans="1:224" x14ac:dyDescent="0.25">
      <c r="A66" s="32"/>
      <c r="B66" s="2"/>
      <c r="C66" s="336"/>
      <c r="D66" s="323"/>
      <c r="E66" s="325"/>
      <c r="F66" s="325"/>
      <c r="G66" s="325"/>
      <c r="H66" s="325"/>
      <c r="I66" s="325"/>
      <c r="J66" s="70"/>
      <c r="K66" s="70"/>
      <c r="L66" s="70"/>
      <c r="M66" s="70"/>
      <c r="N66" s="70"/>
      <c r="O66" s="70"/>
      <c r="P66" s="70"/>
      <c r="Q66" s="70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  <c r="EW66" s="32"/>
      <c r="EX66" s="32"/>
      <c r="EY66" s="32"/>
      <c r="EZ66" s="32"/>
      <c r="FA66" s="32"/>
      <c r="FB66" s="32"/>
      <c r="FC66" s="32"/>
      <c r="FD66" s="32"/>
      <c r="FE66" s="32"/>
      <c r="FF66" s="32"/>
      <c r="FG66" s="32"/>
      <c r="FH66" s="32"/>
      <c r="FI66" s="32"/>
      <c r="FJ66" s="32"/>
      <c r="FK66" s="32"/>
      <c r="FL66" s="32"/>
      <c r="FM66" s="32"/>
      <c r="FN66" s="32"/>
      <c r="FO66" s="32"/>
      <c r="FP66" s="32"/>
      <c r="FQ66" s="32"/>
      <c r="FR66" s="32"/>
      <c r="FS66" s="32"/>
      <c r="FT66" s="32"/>
      <c r="FU66" s="32"/>
      <c r="FV66" s="32"/>
      <c r="FW66" s="32"/>
      <c r="FX66" s="32"/>
      <c r="FY66" s="32"/>
      <c r="FZ66" s="32"/>
      <c r="GA66" s="32"/>
      <c r="GB66" s="32"/>
      <c r="GC66" s="32"/>
      <c r="GD66" s="32"/>
      <c r="GE66" s="32"/>
      <c r="GF66" s="32"/>
      <c r="GG66" s="32"/>
      <c r="GH66" s="32"/>
      <c r="GI66" s="32"/>
      <c r="GJ66" s="32"/>
      <c r="GK66" s="32"/>
      <c r="GL66" s="32"/>
      <c r="GM66" s="32"/>
      <c r="GN66" s="32"/>
      <c r="GO66" s="32"/>
      <c r="GP66" s="32"/>
      <c r="GQ66" s="32"/>
      <c r="GR66" s="32"/>
      <c r="GS66" s="32"/>
      <c r="GT66" s="32"/>
      <c r="GU66" s="32"/>
      <c r="GV66" s="32"/>
      <c r="GW66" s="32"/>
      <c r="GX66" s="32"/>
      <c r="GY66" s="32"/>
      <c r="GZ66" s="32"/>
      <c r="HA66" s="32"/>
      <c r="HB66" s="32"/>
      <c r="HC66" s="32"/>
      <c r="HD66" s="32"/>
      <c r="HE66" s="32"/>
      <c r="HF66" s="32"/>
      <c r="HG66" s="32"/>
      <c r="HH66" s="32"/>
      <c r="HI66" s="32"/>
      <c r="HJ66" s="32"/>
      <c r="HK66" s="32"/>
      <c r="HL66" s="32"/>
      <c r="HM66" s="32"/>
      <c r="HN66" s="32"/>
      <c r="HO66" s="32"/>
      <c r="HP66" s="32"/>
    </row>
    <row r="67" spans="1:224" x14ac:dyDescent="0.25">
      <c r="A67" s="32"/>
      <c r="B67" s="2"/>
      <c r="C67" s="336"/>
      <c r="D67" s="323"/>
      <c r="E67" s="325"/>
      <c r="F67" s="320"/>
      <c r="G67" s="320"/>
      <c r="H67" s="320"/>
      <c r="I67" s="325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  <c r="EW67" s="32"/>
      <c r="EX67" s="32"/>
      <c r="EY67" s="32"/>
      <c r="EZ67" s="32"/>
      <c r="FA67" s="32"/>
      <c r="FB67" s="32"/>
      <c r="FC67" s="32"/>
      <c r="FD67" s="32"/>
      <c r="FE67" s="32"/>
      <c r="FF67" s="32"/>
      <c r="FG67" s="32"/>
      <c r="FH67" s="32"/>
      <c r="FI67" s="32"/>
      <c r="FJ67" s="32"/>
      <c r="FK67" s="32"/>
      <c r="FL67" s="32"/>
      <c r="FM67" s="32"/>
      <c r="FN67" s="32"/>
      <c r="FO67" s="32"/>
      <c r="FP67" s="32"/>
      <c r="FQ67" s="32"/>
      <c r="FR67" s="32"/>
      <c r="FS67" s="32"/>
      <c r="FT67" s="32"/>
      <c r="FU67" s="32"/>
      <c r="FV67" s="32"/>
      <c r="FW67" s="32"/>
      <c r="FX67" s="32"/>
      <c r="FY67" s="32"/>
      <c r="FZ67" s="32"/>
      <c r="GA67" s="32"/>
      <c r="GB67" s="32"/>
      <c r="GC67" s="32"/>
      <c r="GD67" s="32"/>
      <c r="GE67" s="32"/>
      <c r="GF67" s="32"/>
      <c r="GG67" s="32"/>
      <c r="GH67" s="32"/>
      <c r="GI67" s="32"/>
      <c r="GJ67" s="32"/>
      <c r="GK67" s="32"/>
      <c r="GL67" s="32"/>
      <c r="GM67" s="32"/>
      <c r="GN67" s="32"/>
      <c r="GO67" s="32"/>
      <c r="GP67" s="32"/>
      <c r="GQ67" s="32"/>
      <c r="GR67" s="32"/>
      <c r="GS67" s="32"/>
      <c r="GT67" s="32"/>
      <c r="GU67" s="32"/>
      <c r="GV67" s="32"/>
      <c r="GW67" s="32"/>
      <c r="GX67" s="32"/>
      <c r="GY67" s="32"/>
      <c r="GZ67" s="32"/>
      <c r="HA67" s="32"/>
      <c r="HB67" s="32"/>
      <c r="HC67" s="32"/>
      <c r="HD67" s="32"/>
      <c r="HE67" s="32"/>
      <c r="HF67" s="32"/>
      <c r="HG67" s="32"/>
      <c r="HH67" s="32"/>
      <c r="HI67" s="32"/>
      <c r="HJ67" s="32"/>
      <c r="HK67" s="32"/>
      <c r="HL67" s="32"/>
      <c r="HM67" s="32"/>
      <c r="HN67" s="32"/>
      <c r="HO67" s="32"/>
      <c r="HP67" s="32"/>
    </row>
    <row r="68" spans="1:224" x14ac:dyDescent="0.25">
      <c r="A68" s="32"/>
      <c r="B68" s="2"/>
      <c r="C68" s="336"/>
      <c r="D68" s="324"/>
      <c r="E68" s="325"/>
      <c r="F68" s="320"/>
      <c r="G68" s="320"/>
      <c r="H68" s="320"/>
      <c r="I68" s="325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  <c r="EW68" s="32"/>
      <c r="EX68" s="32"/>
      <c r="EY68" s="32"/>
      <c r="EZ68" s="32"/>
      <c r="FA68" s="32"/>
      <c r="FB68" s="32"/>
      <c r="FC68" s="32"/>
      <c r="FD68" s="32"/>
      <c r="FE68" s="32"/>
      <c r="FF68" s="32"/>
      <c r="FG68" s="32"/>
      <c r="FH68" s="32"/>
      <c r="FI68" s="32"/>
      <c r="FJ68" s="32"/>
      <c r="FK68" s="32"/>
      <c r="FL68" s="32"/>
      <c r="FM68" s="32"/>
      <c r="FN68" s="32"/>
      <c r="FO68" s="32"/>
      <c r="FP68" s="32"/>
      <c r="FQ68" s="32"/>
      <c r="FR68" s="32"/>
      <c r="FS68" s="32"/>
      <c r="FT68" s="32"/>
      <c r="FU68" s="32"/>
      <c r="FV68" s="32"/>
      <c r="FW68" s="32"/>
      <c r="FX68" s="32"/>
      <c r="FY68" s="32"/>
      <c r="FZ68" s="32"/>
      <c r="GA68" s="32"/>
      <c r="GB68" s="32"/>
      <c r="GC68" s="32"/>
      <c r="GD68" s="32"/>
      <c r="GE68" s="32"/>
      <c r="GF68" s="32"/>
      <c r="GG68" s="32"/>
      <c r="GH68" s="32"/>
      <c r="GI68" s="32"/>
      <c r="GJ68" s="32"/>
      <c r="GK68" s="32"/>
      <c r="GL68" s="32"/>
      <c r="GM68" s="32"/>
      <c r="GN68" s="32"/>
      <c r="GO68" s="32"/>
      <c r="GP68" s="32"/>
      <c r="GQ68" s="32"/>
      <c r="GR68" s="32"/>
      <c r="GS68" s="32"/>
      <c r="GT68" s="32"/>
      <c r="GU68" s="32"/>
      <c r="GV68" s="32"/>
      <c r="GW68" s="32"/>
      <c r="GX68" s="32"/>
      <c r="GY68" s="32"/>
      <c r="GZ68" s="32"/>
      <c r="HA68" s="32"/>
      <c r="HB68" s="32"/>
      <c r="HC68" s="32"/>
      <c r="HD68" s="32"/>
      <c r="HE68" s="32"/>
      <c r="HF68" s="32"/>
      <c r="HG68" s="32"/>
      <c r="HH68" s="32"/>
      <c r="HI68" s="32"/>
      <c r="HJ68" s="32"/>
      <c r="HK68" s="32"/>
      <c r="HL68" s="32"/>
      <c r="HM68" s="32"/>
      <c r="HN68" s="32"/>
      <c r="HO68" s="32"/>
      <c r="HP68" s="32"/>
    </row>
    <row r="69" spans="1:224" x14ac:dyDescent="0.25">
      <c r="A69" s="32"/>
      <c r="B69" s="2"/>
      <c r="C69" s="336"/>
      <c r="D69" s="323"/>
      <c r="E69" s="325"/>
      <c r="F69" s="320"/>
      <c r="G69" s="320"/>
      <c r="H69" s="320"/>
      <c r="I69" s="325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  <c r="EW69" s="32"/>
      <c r="EX69" s="32"/>
      <c r="EY69" s="32"/>
      <c r="EZ69" s="32"/>
      <c r="FA69" s="32"/>
      <c r="FB69" s="32"/>
      <c r="FC69" s="32"/>
      <c r="FD69" s="32"/>
      <c r="FE69" s="32"/>
      <c r="FF69" s="32"/>
      <c r="FG69" s="32"/>
      <c r="FH69" s="32"/>
      <c r="FI69" s="32"/>
      <c r="FJ69" s="32"/>
      <c r="FK69" s="32"/>
      <c r="FL69" s="32"/>
      <c r="FM69" s="32"/>
      <c r="FN69" s="32"/>
      <c r="FO69" s="32"/>
      <c r="FP69" s="32"/>
      <c r="FQ69" s="32"/>
      <c r="FR69" s="32"/>
      <c r="FS69" s="32"/>
      <c r="FT69" s="32"/>
      <c r="FU69" s="32"/>
      <c r="FV69" s="32"/>
      <c r="FW69" s="32"/>
      <c r="FX69" s="32"/>
      <c r="FY69" s="32"/>
      <c r="FZ69" s="32"/>
      <c r="GA69" s="32"/>
      <c r="GB69" s="32"/>
      <c r="GC69" s="32"/>
      <c r="GD69" s="32"/>
      <c r="GE69" s="32"/>
      <c r="GF69" s="32"/>
      <c r="GG69" s="32"/>
      <c r="GH69" s="32"/>
      <c r="GI69" s="32"/>
      <c r="GJ69" s="32"/>
      <c r="GK69" s="32"/>
      <c r="GL69" s="32"/>
      <c r="GM69" s="32"/>
      <c r="GN69" s="32"/>
      <c r="GO69" s="32"/>
      <c r="GP69" s="32"/>
      <c r="GQ69" s="32"/>
      <c r="GR69" s="32"/>
      <c r="GS69" s="32"/>
      <c r="GT69" s="32"/>
      <c r="GU69" s="32"/>
      <c r="GV69" s="32"/>
      <c r="GW69" s="32"/>
      <c r="GX69" s="32"/>
      <c r="GY69" s="32"/>
      <c r="GZ69" s="32"/>
      <c r="HA69" s="32"/>
      <c r="HB69" s="32"/>
      <c r="HC69" s="32"/>
      <c r="HD69" s="32"/>
      <c r="HE69" s="32"/>
      <c r="HF69" s="32"/>
      <c r="HG69" s="32"/>
      <c r="HH69" s="32"/>
      <c r="HI69" s="32"/>
      <c r="HJ69" s="32"/>
      <c r="HK69" s="32"/>
      <c r="HL69" s="32"/>
      <c r="HM69" s="32"/>
      <c r="HN69" s="32"/>
      <c r="HO69" s="32"/>
      <c r="HP69" s="32"/>
    </row>
    <row r="70" spans="1:224" x14ac:dyDescent="0.25">
      <c r="A70" s="32"/>
      <c r="B70" s="2"/>
      <c r="C70" s="336"/>
      <c r="D70" s="323"/>
      <c r="E70" s="325"/>
      <c r="F70" s="325"/>
      <c r="G70" s="325"/>
      <c r="H70" s="325"/>
      <c r="I70" s="325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  <c r="EW70" s="32"/>
      <c r="EX70" s="32"/>
      <c r="EY70" s="32"/>
      <c r="EZ70" s="32"/>
      <c r="FA70" s="32"/>
      <c r="FB70" s="32"/>
      <c r="FC70" s="32"/>
      <c r="FD70" s="32"/>
      <c r="FE70" s="32"/>
      <c r="FF70" s="32"/>
      <c r="FG70" s="32"/>
      <c r="FH70" s="32"/>
      <c r="FI70" s="32"/>
      <c r="FJ70" s="32"/>
      <c r="FK70" s="32"/>
      <c r="FL70" s="32"/>
      <c r="FM70" s="32"/>
      <c r="FN70" s="32"/>
      <c r="FO70" s="32"/>
      <c r="FP70" s="32"/>
      <c r="FQ70" s="32"/>
      <c r="FR70" s="32"/>
      <c r="FS70" s="32"/>
      <c r="FT70" s="32"/>
      <c r="FU70" s="32"/>
      <c r="FV70" s="32"/>
      <c r="FW70" s="32"/>
      <c r="FX70" s="32"/>
      <c r="FY70" s="32"/>
      <c r="FZ70" s="32"/>
      <c r="GA70" s="32"/>
      <c r="GB70" s="32"/>
      <c r="GC70" s="32"/>
      <c r="GD70" s="32"/>
      <c r="GE70" s="32"/>
      <c r="GF70" s="32"/>
      <c r="GG70" s="32"/>
      <c r="GH70" s="32"/>
      <c r="GI70" s="32"/>
      <c r="GJ70" s="32"/>
      <c r="GK70" s="32"/>
      <c r="GL70" s="32"/>
      <c r="GM70" s="32"/>
      <c r="GN70" s="32"/>
      <c r="GO70" s="32"/>
      <c r="GP70" s="32"/>
      <c r="GQ70" s="32"/>
      <c r="GR70" s="32"/>
      <c r="GS70" s="32"/>
      <c r="GT70" s="32"/>
      <c r="GU70" s="32"/>
      <c r="GV70" s="32"/>
      <c r="GW70" s="32"/>
      <c r="GX70" s="32"/>
      <c r="GY70" s="32"/>
      <c r="GZ70" s="32"/>
      <c r="HA70" s="32"/>
      <c r="HB70" s="32"/>
      <c r="HC70" s="32"/>
      <c r="HD70" s="32"/>
      <c r="HE70" s="32"/>
      <c r="HF70" s="32"/>
      <c r="HG70" s="32"/>
      <c r="HH70" s="32"/>
      <c r="HI70" s="32"/>
      <c r="HJ70" s="32"/>
      <c r="HK70" s="32"/>
      <c r="HL70" s="32"/>
      <c r="HM70" s="32"/>
      <c r="HN70" s="32"/>
      <c r="HO70" s="32"/>
      <c r="HP70" s="32"/>
    </row>
    <row r="71" spans="1:224" x14ac:dyDescent="0.25">
      <c r="A71" s="32"/>
      <c r="B71" s="2"/>
      <c r="C71" s="2"/>
      <c r="D71" s="2"/>
      <c r="E71" s="2"/>
      <c r="F71" s="2"/>
      <c r="G71" s="2"/>
      <c r="H71" s="2"/>
      <c r="I71" s="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  <c r="EW71" s="32"/>
      <c r="EX71" s="32"/>
      <c r="EY71" s="32"/>
      <c r="EZ71" s="32"/>
      <c r="FA71" s="32"/>
      <c r="FB71" s="32"/>
      <c r="FC71" s="32"/>
      <c r="FD71" s="32"/>
      <c r="FE71" s="32"/>
      <c r="FF71" s="32"/>
      <c r="FG71" s="32"/>
      <c r="FH71" s="32"/>
      <c r="FI71" s="32"/>
      <c r="FJ71" s="32"/>
      <c r="FK71" s="32"/>
      <c r="FL71" s="32"/>
      <c r="FM71" s="32"/>
      <c r="FN71" s="32"/>
      <c r="FO71" s="32"/>
      <c r="FP71" s="32"/>
      <c r="FQ71" s="32"/>
      <c r="FR71" s="32"/>
      <c r="FS71" s="32"/>
      <c r="FT71" s="32"/>
      <c r="FU71" s="32"/>
      <c r="FV71" s="32"/>
      <c r="FW71" s="32"/>
      <c r="FX71" s="32"/>
      <c r="FY71" s="32"/>
      <c r="FZ71" s="32"/>
      <c r="GA71" s="32"/>
      <c r="GB71" s="32"/>
      <c r="GC71" s="32"/>
      <c r="GD71" s="32"/>
      <c r="GE71" s="32"/>
      <c r="GF71" s="32"/>
      <c r="GG71" s="32"/>
      <c r="GH71" s="32"/>
      <c r="GI71" s="32"/>
      <c r="GJ71" s="32"/>
      <c r="GK71" s="32"/>
      <c r="GL71" s="32"/>
      <c r="GM71" s="32"/>
      <c r="GN71" s="32"/>
      <c r="GO71" s="32"/>
      <c r="GP71" s="32"/>
      <c r="GQ71" s="32"/>
      <c r="GR71" s="32"/>
      <c r="GS71" s="32"/>
      <c r="GT71" s="32"/>
      <c r="GU71" s="32"/>
      <c r="GV71" s="32"/>
      <c r="GW71" s="32"/>
      <c r="GX71" s="32"/>
      <c r="GY71" s="32"/>
      <c r="GZ71" s="32"/>
      <c r="HA71" s="32"/>
      <c r="HB71" s="32"/>
      <c r="HC71" s="32"/>
      <c r="HD71" s="32"/>
      <c r="HE71" s="32"/>
      <c r="HF71" s="32"/>
      <c r="HG71" s="32"/>
      <c r="HH71" s="32"/>
      <c r="HI71" s="32"/>
      <c r="HJ71" s="32"/>
      <c r="HK71" s="32"/>
      <c r="HL71" s="32"/>
      <c r="HM71" s="32"/>
      <c r="HN71" s="32"/>
      <c r="HO71" s="32"/>
      <c r="HP71" s="32"/>
    </row>
    <row r="72" spans="1:224" x14ac:dyDescent="0.25">
      <c r="A72" s="32"/>
      <c r="B72" s="2"/>
      <c r="C72" s="32"/>
      <c r="D72" s="38"/>
      <c r="E72" s="318"/>
      <c r="F72" s="26"/>
      <c r="G72" s="26"/>
      <c r="H72" s="26"/>
      <c r="I72" s="2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  <c r="EW72" s="32"/>
      <c r="EX72" s="32"/>
      <c r="EY72" s="32"/>
      <c r="EZ72" s="32"/>
      <c r="FA72" s="32"/>
      <c r="FB72" s="32"/>
      <c r="FC72" s="32"/>
      <c r="FD72" s="32"/>
      <c r="FE72" s="32"/>
      <c r="FF72" s="32"/>
      <c r="FG72" s="32"/>
      <c r="FH72" s="32"/>
      <c r="FI72" s="32"/>
      <c r="FJ72" s="32"/>
      <c r="FK72" s="32"/>
      <c r="FL72" s="32"/>
      <c r="FM72" s="32"/>
      <c r="FN72" s="32"/>
      <c r="FO72" s="32"/>
      <c r="FP72" s="32"/>
      <c r="FQ72" s="32"/>
      <c r="FR72" s="32"/>
      <c r="FS72" s="32"/>
      <c r="FT72" s="32"/>
      <c r="FU72" s="32"/>
      <c r="FV72" s="32"/>
      <c r="FW72" s="32"/>
      <c r="FX72" s="32"/>
      <c r="FY72" s="32"/>
      <c r="FZ72" s="32"/>
      <c r="GA72" s="32"/>
      <c r="GB72" s="32"/>
      <c r="GC72" s="32"/>
      <c r="GD72" s="32"/>
      <c r="GE72" s="32"/>
      <c r="GF72" s="32"/>
      <c r="GG72" s="32"/>
      <c r="GH72" s="32"/>
      <c r="GI72" s="32"/>
      <c r="GJ72" s="32"/>
      <c r="GK72" s="32"/>
      <c r="GL72" s="32"/>
      <c r="GM72" s="32"/>
      <c r="GN72" s="32"/>
      <c r="GO72" s="32"/>
      <c r="GP72" s="32"/>
      <c r="GQ72" s="32"/>
      <c r="GR72" s="32"/>
      <c r="GS72" s="32"/>
      <c r="GT72" s="32"/>
      <c r="GU72" s="32"/>
      <c r="GV72" s="32"/>
      <c r="GW72" s="32"/>
      <c r="GX72" s="32"/>
      <c r="GY72" s="32"/>
      <c r="GZ72" s="32"/>
      <c r="HA72" s="32"/>
      <c r="HB72" s="32"/>
      <c r="HC72" s="32"/>
      <c r="HD72" s="32"/>
      <c r="HE72" s="32"/>
      <c r="HF72" s="32"/>
      <c r="HG72" s="32"/>
      <c r="HH72" s="32"/>
      <c r="HI72" s="32"/>
      <c r="HJ72" s="32"/>
      <c r="HK72" s="32"/>
      <c r="HL72" s="32"/>
      <c r="HM72" s="32"/>
      <c r="HN72" s="32"/>
      <c r="HO72" s="32"/>
      <c r="HP72" s="32"/>
    </row>
    <row r="73" spans="1:224" x14ac:dyDescent="0.25">
      <c r="A73" s="32"/>
      <c r="B73" s="2"/>
      <c r="C73" s="132"/>
      <c r="D73" s="132"/>
      <c r="E73" s="132"/>
      <c r="F73" s="132"/>
      <c r="G73" s="132"/>
      <c r="H73" s="132"/>
      <c r="I73" s="1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  <c r="EW73" s="32"/>
      <c r="EX73" s="32"/>
      <c r="EY73" s="32"/>
      <c r="EZ73" s="32"/>
      <c r="FA73" s="32"/>
      <c r="FB73" s="32"/>
      <c r="FC73" s="32"/>
      <c r="FD73" s="32"/>
      <c r="FE73" s="32"/>
      <c r="FF73" s="32"/>
      <c r="FG73" s="32"/>
      <c r="FH73" s="32"/>
      <c r="FI73" s="32"/>
      <c r="FJ73" s="32"/>
      <c r="FK73" s="32"/>
      <c r="FL73" s="32"/>
      <c r="FM73" s="32"/>
      <c r="FN73" s="32"/>
      <c r="FO73" s="32"/>
      <c r="FP73" s="32"/>
      <c r="FQ73" s="32"/>
      <c r="FR73" s="32"/>
      <c r="FS73" s="32"/>
      <c r="FT73" s="32"/>
      <c r="FU73" s="32"/>
      <c r="FV73" s="32"/>
      <c r="FW73" s="32"/>
      <c r="FX73" s="32"/>
      <c r="FY73" s="32"/>
      <c r="FZ73" s="32"/>
      <c r="GA73" s="32"/>
      <c r="GB73" s="32"/>
      <c r="GC73" s="32"/>
      <c r="GD73" s="32"/>
      <c r="GE73" s="32"/>
      <c r="GF73" s="32"/>
      <c r="GG73" s="32"/>
      <c r="GH73" s="32"/>
      <c r="GI73" s="32"/>
      <c r="GJ73" s="32"/>
      <c r="GK73" s="32"/>
      <c r="GL73" s="32"/>
      <c r="GM73" s="32"/>
      <c r="GN73" s="32"/>
      <c r="GO73" s="32"/>
      <c r="GP73" s="32"/>
      <c r="GQ73" s="32"/>
      <c r="GR73" s="32"/>
      <c r="GS73" s="32"/>
      <c r="GT73" s="32"/>
      <c r="GU73" s="32"/>
      <c r="GV73" s="32"/>
      <c r="GW73" s="32"/>
      <c r="GX73" s="32"/>
      <c r="GY73" s="32"/>
      <c r="GZ73" s="32"/>
      <c r="HA73" s="32"/>
      <c r="HB73" s="32"/>
      <c r="HC73" s="32"/>
      <c r="HD73" s="32"/>
      <c r="HE73" s="32"/>
      <c r="HF73" s="32"/>
      <c r="HG73" s="32"/>
      <c r="HH73" s="32"/>
      <c r="HI73" s="32"/>
      <c r="HJ73" s="32"/>
      <c r="HK73" s="32"/>
      <c r="HL73" s="32"/>
      <c r="HM73" s="32"/>
      <c r="HN73" s="32"/>
      <c r="HO73" s="32"/>
      <c r="HP73" s="32"/>
    </row>
    <row r="74" spans="1:224" x14ac:dyDescent="0.25">
      <c r="A74" s="32"/>
      <c r="B74" s="2"/>
      <c r="C74" s="2"/>
      <c r="D74" s="319"/>
      <c r="E74" s="321"/>
      <c r="F74" s="321"/>
      <c r="G74" s="322"/>
      <c r="H74" s="321"/>
      <c r="I74" s="32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  <c r="EW74" s="32"/>
      <c r="EX74" s="32"/>
      <c r="EY74" s="32"/>
      <c r="EZ74" s="32"/>
      <c r="FA74" s="32"/>
      <c r="FB74" s="32"/>
      <c r="FC74" s="32"/>
      <c r="FD74" s="32"/>
      <c r="FE74" s="32"/>
      <c r="FF74" s="32"/>
      <c r="FG74" s="32"/>
      <c r="FH74" s="32"/>
      <c r="FI74" s="32"/>
      <c r="FJ74" s="32"/>
      <c r="FK74" s="32"/>
      <c r="FL74" s="32"/>
      <c r="FM74" s="32"/>
      <c r="FN74" s="32"/>
      <c r="FO74" s="32"/>
      <c r="FP74" s="32"/>
      <c r="FQ74" s="32"/>
      <c r="FR74" s="32"/>
      <c r="FS74" s="32"/>
      <c r="FT74" s="32"/>
      <c r="FU74" s="32"/>
      <c r="FV74" s="32"/>
      <c r="FW74" s="32"/>
      <c r="FX74" s="32"/>
      <c r="FY74" s="32"/>
      <c r="FZ74" s="32"/>
      <c r="GA74" s="32"/>
      <c r="GB74" s="32"/>
      <c r="GC74" s="32"/>
      <c r="GD74" s="32"/>
      <c r="GE74" s="32"/>
      <c r="GF74" s="32"/>
      <c r="GG74" s="32"/>
      <c r="GH74" s="32"/>
      <c r="GI74" s="32"/>
      <c r="GJ74" s="32"/>
      <c r="GK74" s="32"/>
      <c r="GL74" s="32"/>
      <c r="GM74" s="32"/>
      <c r="GN74" s="32"/>
      <c r="GO74" s="32"/>
      <c r="GP74" s="32"/>
      <c r="GQ74" s="32"/>
      <c r="GR74" s="32"/>
      <c r="GS74" s="32"/>
      <c r="GT74" s="32"/>
      <c r="GU74" s="32"/>
      <c r="GV74" s="32"/>
      <c r="GW74" s="32"/>
      <c r="GX74" s="32"/>
      <c r="GY74" s="32"/>
      <c r="GZ74" s="32"/>
      <c r="HA74" s="32"/>
      <c r="HB74" s="32"/>
      <c r="HC74" s="32"/>
      <c r="HD74" s="32"/>
      <c r="HE74" s="32"/>
      <c r="HF74" s="32"/>
      <c r="HG74" s="32"/>
      <c r="HH74" s="32"/>
      <c r="HI74" s="32"/>
      <c r="HJ74" s="32"/>
      <c r="HK74" s="32"/>
      <c r="HL74" s="32"/>
      <c r="HM74" s="32"/>
      <c r="HN74" s="32"/>
      <c r="HO74" s="32"/>
      <c r="HP74" s="32"/>
    </row>
    <row r="75" spans="1:224" x14ac:dyDescent="0.25">
      <c r="A75" s="32"/>
      <c r="B75" s="2"/>
      <c r="C75" s="336"/>
      <c r="D75" s="323"/>
      <c r="E75" s="325"/>
      <c r="F75" s="325"/>
      <c r="G75" s="325"/>
      <c r="H75" s="325"/>
      <c r="I75" s="325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  <c r="EW75" s="32"/>
      <c r="EX75" s="32"/>
      <c r="EY75" s="32"/>
      <c r="EZ75" s="32"/>
      <c r="FA75" s="32"/>
      <c r="FB75" s="32"/>
      <c r="FC75" s="32"/>
      <c r="FD75" s="32"/>
      <c r="FE75" s="32"/>
      <c r="FF75" s="32"/>
      <c r="FG75" s="32"/>
      <c r="FH75" s="32"/>
      <c r="FI75" s="32"/>
      <c r="FJ75" s="32"/>
      <c r="FK75" s="32"/>
      <c r="FL75" s="32"/>
      <c r="FM75" s="32"/>
      <c r="FN75" s="32"/>
      <c r="FO75" s="32"/>
      <c r="FP75" s="32"/>
      <c r="FQ75" s="32"/>
      <c r="FR75" s="32"/>
      <c r="FS75" s="32"/>
      <c r="FT75" s="32"/>
      <c r="FU75" s="32"/>
      <c r="FV75" s="32"/>
      <c r="FW75" s="32"/>
      <c r="FX75" s="32"/>
      <c r="FY75" s="32"/>
      <c r="FZ75" s="32"/>
      <c r="GA75" s="32"/>
      <c r="GB75" s="32"/>
      <c r="GC75" s="32"/>
      <c r="GD75" s="32"/>
      <c r="GE75" s="32"/>
      <c r="GF75" s="32"/>
      <c r="GG75" s="32"/>
      <c r="GH75" s="32"/>
      <c r="GI75" s="32"/>
      <c r="GJ75" s="32"/>
      <c r="GK75" s="32"/>
      <c r="GL75" s="32"/>
      <c r="GM75" s="32"/>
      <c r="GN75" s="32"/>
      <c r="GO75" s="32"/>
      <c r="GP75" s="32"/>
      <c r="GQ75" s="32"/>
      <c r="GR75" s="32"/>
      <c r="GS75" s="32"/>
      <c r="GT75" s="32"/>
      <c r="GU75" s="32"/>
      <c r="GV75" s="32"/>
      <c r="GW75" s="32"/>
      <c r="GX75" s="32"/>
      <c r="GY75" s="32"/>
      <c r="GZ75" s="32"/>
      <c r="HA75" s="32"/>
      <c r="HB75" s="32"/>
      <c r="HC75" s="32"/>
      <c r="HD75" s="32"/>
      <c r="HE75" s="32"/>
      <c r="HF75" s="32"/>
      <c r="HG75" s="32"/>
      <c r="HH75" s="32"/>
      <c r="HI75" s="32"/>
      <c r="HJ75" s="32"/>
      <c r="HK75" s="32"/>
      <c r="HL75" s="32"/>
      <c r="HM75" s="32"/>
      <c r="HN75" s="32"/>
      <c r="HO75" s="32"/>
      <c r="HP75" s="32"/>
    </row>
    <row r="76" spans="1:224" x14ac:dyDescent="0.25">
      <c r="A76" s="32"/>
      <c r="B76" s="2"/>
      <c r="C76" s="336"/>
      <c r="D76" s="323"/>
      <c r="E76" s="325"/>
      <c r="F76" s="320"/>
      <c r="G76" s="320"/>
      <c r="H76" s="320"/>
      <c r="I76" s="325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  <c r="EW76" s="32"/>
      <c r="EX76" s="32"/>
      <c r="EY76" s="32"/>
      <c r="EZ76" s="32"/>
      <c r="FA76" s="32"/>
      <c r="FB76" s="32"/>
      <c r="FC76" s="32"/>
      <c r="FD76" s="32"/>
      <c r="FE76" s="32"/>
      <c r="FF76" s="32"/>
      <c r="FG76" s="32"/>
      <c r="FH76" s="32"/>
      <c r="FI76" s="32"/>
      <c r="FJ76" s="32"/>
      <c r="FK76" s="32"/>
      <c r="FL76" s="32"/>
      <c r="FM76" s="32"/>
      <c r="FN76" s="32"/>
      <c r="FO76" s="32"/>
      <c r="FP76" s="32"/>
      <c r="FQ76" s="32"/>
      <c r="FR76" s="32"/>
      <c r="FS76" s="32"/>
      <c r="FT76" s="32"/>
      <c r="FU76" s="32"/>
      <c r="FV76" s="32"/>
      <c r="FW76" s="32"/>
      <c r="FX76" s="32"/>
      <c r="FY76" s="32"/>
      <c r="FZ76" s="32"/>
      <c r="GA76" s="32"/>
      <c r="GB76" s="32"/>
      <c r="GC76" s="32"/>
      <c r="GD76" s="32"/>
      <c r="GE76" s="32"/>
      <c r="GF76" s="32"/>
      <c r="GG76" s="32"/>
      <c r="GH76" s="32"/>
      <c r="GI76" s="32"/>
      <c r="GJ76" s="32"/>
      <c r="GK76" s="32"/>
      <c r="GL76" s="32"/>
      <c r="GM76" s="32"/>
      <c r="GN76" s="32"/>
      <c r="GO76" s="32"/>
      <c r="GP76" s="32"/>
      <c r="GQ76" s="32"/>
      <c r="GR76" s="32"/>
      <c r="GS76" s="32"/>
      <c r="GT76" s="32"/>
      <c r="GU76" s="32"/>
      <c r="GV76" s="32"/>
      <c r="GW76" s="32"/>
      <c r="GX76" s="32"/>
      <c r="GY76" s="32"/>
      <c r="GZ76" s="32"/>
      <c r="HA76" s="32"/>
      <c r="HB76" s="32"/>
      <c r="HC76" s="32"/>
      <c r="HD76" s="32"/>
      <c r="HE76" s="32"/>
      <c r="HF76" s="32"/>
      <c r="HG76" s="32"/>
      <c r="HH76" s="32"/>
      <c r="HI76" s="32"/>
      <c r="HJ76" s="32"/>
      <c r="HK76" s="32"/>
      <c r="HL76" s="32"/>
      <c r="HM76" s="32"/>
      <c r="HN76" s="32"/>
      <c r="HO76" s="32"/>
      <c r="HP76" s="32"/>
    </row>
    <row r="77" spans="1:224" x14ac:dyDescent="0.25">
      <c r="A77" s="32"/>
      <c r="B77" s="2"/>
      <c r="C77" s="336"/>
      <c r="D77" s="324"/>
      <c r="E77" s="325"/>
      <c r="F77" s="320"/>
      <c r="G77" s="320"/>
      <c r="H77" s="320"/>
      <c r="I77" s="325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  <c r="EW77" s="32"/>
      <c r="EX77" s="32"/>
      <c r="EY77" s="32"/>
      <c r="EZ77" s="32"/>
      <c r="FA77" s="32"/>
      <c r="FB77" s="32"/>
      <c r="FC77" s="32"/>
      <c r="FD77" s="32"/>
      <c r="FE77" s="32"/>
      <c r="FF77" s="32"/>
      <c r="FG77" s="32"/>
      <c r="FH77" s="32"/>
      <c r="FI77" s="32"/>
      <c r="FJ77" s="32"/>
      <c r="FK77" s="32"/>
      <c r="FL77" s="32"/>
      <c r="FM77" s="32"/>
      <c r="FN77" s="32"/>
      <c r="FO77" s="32"/>
      <c r="FP77" s="32"/>
      <c r="FQ77" s="32"/>
      <c r="FR77" s="32"/>
      <c r="FS77" s="32"/>
      <c r="FT77" s="32"/>
      <c r="FU77" s="32"/>
      <c r="FV77" s="32"/>
      <c r="FW77" s="32"/>
      <c r="FX77" s="32"/>
      <c r="FY77" s="32"/>
      <c r="FZ77" s="32"/>
      <c r="GA77" s="32"/>
      <c r="GB77" s="32"/>
      <c r="GC77" s="32"/>
      <c r="GD77" s="32"/>
      <c r="GE77" s="32"/>
      <c r="GF77" s="32"/>
      <c r="GG77" s="32"/>
      <c r="GH77" s="32"/>
      <c r="GI77" s="32"/>
      <c r="GJ77" s="32"/>
      <c r="GK77" s="32"/>
      <c r="GL77" s="32"/>
      <c r="GM77" s="32"/>
      <c r="GN77" s="32"/>
      <c r="GO77" s="32"/>
      <c r="GP77" s="32"/>
      <c r="GQ77" s="32"/>
      <c r="GR77" s="32"/>
      <c r="GS77" s="32"/>
      <c r="GT77" s="32"/>
      <c r="GU77" s="32"/>
      <c r="GV77" s="32"/>
      <c r="GW77" s="32"/>
      <c r="GX77" s="32"/>
      <c r="GY77" s="32"/>
      <c r="GZ77" s="32"/>
      <c r="HA77" s="32"/>
      <c r="HB77" s="32"/>
      <c r="HC77" s="32"/>
      <c r="HD77" s="32"/>
      <c r="HE77" s="32"/>
      <c r="HF77" s="32"/>
      <c r="HG77" s="32"/>
      <c r="HH77" s="32"/>
      <c r="HI77" s="32"/>
      <c r="HJ77" s="32"/>
      <c r="HK77" s="32"/>
      <c r="HL77" s="32"/>
      <c r="HM77" s="32"/>
      <c r="HN77" s="32"/>
      <c r="HO77" s="32"/>
      <c r="HP77" s="32"/>
    </row>
    <row r="78" spans="1:224" x14ac:dyDescent="0.25">
      <c r="A78" s="32"/>
      <c r="B78" s="2"/>
      <c r="C78" s="336"/>
      <c r="D78" s="323"/>
      <c r="E78" s="325"/>
      <c r="F78" s="320"/>
      <c r="G78" s="320"/>
      <c r="H78" s="320"/>
      <c r="I78" s="325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  <c r="EW78" s="32"/>
      <c r="EX78" s="32"/>
      <c r="EY78" s="32"/>
      <c r="EZ78" s="32"/>
      <c r="FA78" s="32"/>
      <c r="FB78" s="32"/>
      <c r="FC78" s="32"/>
      <c r="FD78" s="32"/>
      <c r="FE78" s="32"/>
      <c r="FF78" s="32"/>
      <c r="FG78" s="32"/>
      <c r="FH78" s="32"/>
      <c r="FI78" s="32"/>
      <c r="FJ78" s="32"/>
      <c r="FK78" s="32"/>
      <c r="FL78" s="32"/>
      <c r="FM78" s="32"/>
      <c r="FN78" s="32"/>
      <c r="FO78" s="32"/>
      <c r="FP78" s="32"/>
      <c r="FQ78" s="32"/>
      <c r="FR78" s="32"/>
      <c r="FS78" s="32"/>
      <c r="FT78" s="32"/>
      <c r="FU78" s="32"/>
      <c r="FV78" s="32"/>
      <c r="FW78" s="32"/>
      <c r="FX78" s="32"/>
      <c r="FY78" s="32"/>
      <c r="FZ78" s="32"/>
      <c r="GA78" s="32"/>
      <c r="GB78" s="32"/>
      <c r="GC78" s="32"/>
      <c r="GD78" s="32"/>
      <c r="GE78" s="32"/>
      <c r="GF78" s="32"/>
      <c r="GG78" s="32"/>
      <c r="GH78" s="32"/>
      <c r="GI78" s="32"/>
      <c r="GJ78" s="32"/>
      <c r="GK78" s="32"/>
      <c r="GL78" s="32"/>
      <c r="GM78" s="32"/>
      <c r="GN78" s="32"/>
      <c r="GO78" s="32"/>
      <c r="GP78" s="32"/>
      <c r="GQ78" s="32"/>
      <c r="GR78" s="32"/>
      <c r="GS78" s="32"/>
      <c r="GT78" s="32"/>
      <c r="GU78" s="32"/>
      <c r="GV78" s="32"/>
      <c r="GW78" s="32"/>
      <c r="GX78" s="32"/>
      <c r="GY78" s="32"/>
      <c r="GZ78" s="32"/>
      <c r="HA78" s="32"/>
      <c r="HB78" s="32"/>
      <c r="HC78" s="32"/>
      <c r="HD78" s="32"/>
      <c r="HE78" s="32"/>
      <c r="HF78" s="32"/>
      <c r="HG78" s="32"/>
      <c r="HH78" s="32"/>
      <c r="HI78" s="32"/>
      <c r="HJ78" s="32"/>
      <c r="HK78" s="32"/>
      <c r="HL78" s="32"/>
      <c r="HM78" s="32"/>
      <c r="HN78" s="32"/>
      <c r="HO78" s="32"/>
      <c r="HP78" s="32"/>
    </row>
    <row r="79" spans="1:224" x14ac:dyDescent="0.25">
      <c r="A79" s="32"/>
      <c r="B79" s="2"/>
      <c r="C79" s="336"/>
      <c r="D79" s="323"/>
      <c r="E79" s="325"/>
      <c r="F79" s="325"/>
      <c r="G79" s="325"/>
      <c r="H79" s="325"/>
      <c r="I79" s="325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  <c r="EW79" s="32"/>
      <c r="EX79" s="32"/>
      <c r="EY79" s="32"/>
      <c r="EZ79" s="32"/>
      <c r="FA79" s="32"/>
      <c r="FB79" s="32"/>
      <c r="FC79" s="32"/>
      <c r="FD79" s="32"/>
      <c r="FE79" s="32"/>
      <c r="FF79" s="32"/>
      <c r="FG79" s="32"/>
      <c r="FH79" s="32"/>
      <c r="FI79" s="32"/>
      <c r="FJ79" s="32"/>
      <c r="FK79" s="32"/>
      <c r="FL79" s="32"/>
      <c r="FM79" s="32"/>
      <c r="FN79" s="32"/>
      <c r="FO79" s="32"/>
      <c r="FP79" s="32"/>
      <c r="FQ79" s="32"/>
      <c r="FR79" s="32"/>
      <c r="FS79" s="32"/>
      <c r="FT79" s="32"/>
      <c r="FU79" s="32"/>
      <c r="FV79" s="32"/>
      <c r="FW79" s="32"/>
      <c r="FX79" s="32"/>
      <c r="FY79" s="32"/>
      <c r="FZ79" s="32"/>
      <c r="GA79" s="32"/>
      <c r="GB79" s="32"/>
      <c r="GC79" s="32"/>
      <c r="GD79" s="32"/>
      <c r="GE79" s="32"/>
      <c r="GF79" s="32"/>
      <c r="GG79" s="32"/>
      <c r="GH79" s="32"/>
      <c r="GI79" s="32"/>
      <c r="GJ79" s="32"/>
      <c r="GK79" s="32"/>
      <c r="GL79" s="32"/>
      <c r="GM79" s="32"/>
      <c r="GN79" s="32"/>
      <c r="GO79" s="32"/>
      <c r="GP79" s="32"/>
      <c r="GQ79" s="32"/>
      <c r="GR79" s="32"/>
      <c r="GS79" s="32"/>
      <c r="GT79" s="32"/>
      <c r="GU79" s="32"/>
      <c r="GV79" s="32"/>
      <c r="GW79" s="32"/>
      <c r="GX79" s="32"/>
      <c r="GY79" s="32"/>
      <c r="GZ79" s="32"/>
      <c r="HA79" s="32"/>
      <c r="HB79" s="32"/>
      <c r="HC79" s="32"/>
      <c r="HD79" s="32"/>
      <c r="HE79" s="32"/>
      <c r="HF79" s="32"/>
      <c r="HG79" s="32"/>
      <c r="HH79" s="32"/>
      <c r="HI79" s="32"/>
      <c r="HJ79" s="32"/>
      <c r="HK79" s="32"/>
      <c r="HL79" s="32"/>
      <c r="HM79" s="32"/>
      <c r="HN79" s="32"/>
      <c r="HO79" s="32"/>
      <c r="HP79" s="32"/>
    </row>
    <row r="80" spans="1:224" x14ac:dyDescent="0.25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  <c r="EW80" s="32"/>
      <c r="EX80" s="32"/>
      <c r="EY80" s="32"/>
      <c r="EZ80" s="32"/>
      <c r="FA80" s="32"/>
      <c r="FB80" s="32"/>
      <c r="FC80" s="32"/>
      <c r="FD80" s="32"/>
      <c r="FE80" s="32"/>
      <c r="FF80" s="32"/>
      <c r="FG80" s="32"/>
      <c r="FH80" s="32"/>
      <c r="FI80" s="32"/>
      <c r="FJ80" s="32"/>
      <c r="FK80" s="32"/>
      <c r="FL80" s="32"/>
      <c r="FM80" s="32"/>
      <c r="FN80" s="32"/>
      <c r="FO80" s="32"/>
      <c r="FP80" s="32"/>
      <c r="FQ80" s="32"/>
      <c r="FR80" s="32"/>
      <c r="FS80" s="32"/>
      <c r="FT80" s="32"/>
      <c r="FU80" s="32"/>
      <c r="FV80" s="32"/>
      <c r="FW80" s="32"/>
      <c r="FX80" s="32"/>
      <c r="FY80" s="32"/>
      <c r="FZ80" s="32"/>
      <c r="GA80" s="32"/>
      <c r="GB80" s="32"/>
      <c r="GC80" s="32"/>
      <c r="GD80" s="32"/>
      <c r="GE80" s="32"/>
      <c r="GF80" s="32"/>
      <c r="GG80" s="32"/>
      <c r="GH80" s="32"/>
      <c r="GI80" s="32"/>
      <c r="GJ80" s="32"/>
      <c r="GK80" s="32"/>
      <c r="GL80" s="32"/>
      <c r="GM80" s="32"/>
      <c r="GN80" s="32"/>
      <c r="GO80" s="32"/>
      <c r="GP80" s="32"/>
      <c r="GQ80" s="32"/>
      <c r="GR80" s="32"/>
      <c r="GS80" s="32"/>
      <c r="GT80" s="32"/>
      <c r="GU80" s="32"/>
      <c r="GV80" s="32"/>
      <c r="GW80" s="32"/>
      <c r="GX80" s="32"/>
      <c r="GY80" s="32"/>
      <c r="GZ80" s="32"/>
      <c r="HA80" s="32"/>
      <c r="HB80" s="32"/>
      <c r="HC80" s="32"/>
      <c r="HD80" s="32"/>
      <c r="HE80" s="32"/>
      <c r="HF80" s="32"/>
      <c r="HG80" s="32"/>
      <c r="HH80" s="32"/>
      <c r="HI80" s="32"/>
      <c r="HJ80" s="32"/>
      <c r="HK80" s="32"/>
      <c r="HL80" s="32"/>
      <c r="HM80" s="32"/>
      <c r="HN80" s="32"/>
      <c r="HO80" s="32"/>
      <c r="HP80" s="32"/>
    </row>
    <row r="81" spans="1:224" x14ac:dyDescent="0.25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  <c r="EW81" s="32"/>
      <c r="EX81" s="32"/>
      <c r="EY81" s="32"/>
      <c r="EZ81" s="32"/>
      <c r="FA81" s="32"/>
      <c r="FB81" s="32"/>
      <c r="FC81" s="32"/>
      <c r="FD81" s="32"/>
      <c r="FE81" s="32"/>
      <c r="FF81" s="32"/>
      <c r="FG81" s="32"/>
      <c r="FH81" s="32"/>
      <c r="FI81" s="32"/>
      <c r="FJ81" s="32"/>
      <c r="FK81" s="32"/>
      <c r="FL81" s="32"/>
      <c r="FM81" s="32"/>
      <c r="FN81" s="32"/>
      <c r="FO81" s="32"/>
      <c r="FP81" s="32"/>
      <c r="FQ81" s="32"/>
      <c r="FR81" s="32"/>
      <c r="FS81" s="32"/>
      <c r="FT81" s="32"/>
      <c r="FU81" s="32"/>
      <c r="FV81" s="32"/>
      <c r="FW81" s="32"/>
      <c r="FX81" s="32"/>
      <c r="FY81" s="32"/>
      <c r="FZ81" s="32"/>
      <c r="GA81" s="32"/>
      <c r="GB81" s="32"/>
      <c r="GC81" s="32"/>
      <c r="GD81" s="32"/>
      <c r="GE81" s="32"/>
      <c r="GF81" s="32"/>
      <c r="GG81" s="32"/>
      <c r="GH81" s="32"/>
      <c r="GI81" s="32"/>
      <c r="GJ81" s="32"/>
      <c r="GK81" s="32"/>
      <c r="GL81" s="32"/>
      <c r="GM81" s="32"/>
      <c r="GN81" s="32"/>
      <c r="GO81" s="32"/>
      <c r="GP81" s="32"/>
      <c r="GQ81" s="32"/>
      <c r="GR81" s="32"/>
      <c r="GS81" s="32"/>
      <c r="GT81" s="32"/>
      <c r="GU81" s="32"/>
      <c r="GV81" s="32"/>
      <c r="GW81" s="32"/>
      <c r="GX81" s="32"/>
      <c r="GY81" s="32"/>
      <c r="GZ81" s="32"/>
      <c r="HA81" s="32"/>
      <c r="HB81" s="32"/>
      <c r="HC81" s="32"/>
      <c r="HD81" s="32"/>
      <c r="HE81" s="32"/>
      <c r="HF81" s="32"/>
      <c r="HG81" s="32"/>
      <c r="HH81" s="32"/>
      <c r="HI81" s="32"/>
      <c r="HJ81" s="32"/>
      <c r="HK81" s="32"/>
      <c r="HL81" s="32"/>
      <c r="HM81" s="32"/>
      <c r="HN81" s="32"/>
      <c r="HO81" s="32"/>
      <c r="HP81" s="32"/>
    </row>
    <row r="82" spans="1:224" x14ac:dyDescent="0.25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  <c r="EW82" s="32"/>
      <c r="EX82" s="32"/>
      <c r="EY82" s="32"/>
      <c r="EZ82" s="32"/>
      <c r="FA82" s="32"/>
      <c r="FB82" s="32"/>
      <c r="FC82" s="32"/>
      <c r="FD82" s="32"/>
      <c r="FE82" s="32"/>
      <c r="FF82" s="32"/>
      <c r="FG82" s="32"/>
      <c r="FH82" s="32"/>
      <c r="FI82" s="32"/>
      <c r="FJ82" s="32"/>
      <c r="FK82" s="32"/>
      <c r="FL82" s="32"/>
      <c r="FM82" s="32"/>
      <c r="FN82" s="32"/>
      <c r="FO82" s="32"/>
      <c r="FP82" s="32"/>
      <c r="FQ82" s="32"/>
      <c r="FR82" s="32"/>
      <c r="FS82" s="32"/>
      <c r="FT82" s="32"/>
      <c r="FU82" s="32"/>
      <c r="FV82" s="32"/>
      <c r="FW82" s="32"/>
      <c r="FX82" s="32"/>
      <c r="FY82" s="32"/>
      <c r="FZ82" s="32"/>
      <c r="GA82" s="32"/>
      <c r="GB82" s="32"/>
      <c r="GC82" s="32"/>
      <c r="GD82" s="32"/>
      <c r="GE82" s="32"/>
      <c r="GF82" s="32"/>
      <c r="GG82" s="32"/>
      <c r="GH82" s="32"/>
      <c r="GI82" s="32"/>
      <c r="GJ82" s="32"/>
      <c r="GK82" s="32"/>
      <c r="GL82" s="32"/>
      <c r="GM82" s="32"/>
      <c r="GN82" s="32"/>
      <c r="GO82" s="32"/>
      <c r="GP82" s="32"/>
      <c r="GQ82" s="32"/>
      <c r="GR82" s="32"/>
      <c r="GS82" s="32"/>
      <c r="GT82" s="32"/>
      <c r="GU82" s="32"/>
      <c r="GV82" s="32"/>
      <c r="GW82" s="32"/>
      <c r="GX82" s="32"/>
      <c r="GY82" s="32"/>
      <c r="GZ82" s="32"/>
      <c r="HA82" s="32"/>
      <c r="HB82" s="32"/>
      <c r="HC82" s="32"/>
      <c r="HD82" s="32"/>
      <c r="HE82" s="32"/>
      <c r="HF82" s="32"/>
      <c r="HG82" s="32"/>
      <c r="HH82" s="32"/>
      <c r="HI82" s="32"/>
      <c r="HJ82" s="32"/>
      <c r="HK82" s="32"/>
      <c r="HL82" s="32"/>
      <c r="HM82" s="32"/>
      <c r="HN82" s="32"/>
      <c r="HO82" s="32"/>
      <c r="HP82" s="32"/>
    </row>
    <row r="83" spans="1:224" x14ac:dyDescent="0.25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  <c r="EW83" s="32"/>
      <c r="EX83" s="32"/>
      <c r="EY83" s="32"/>
      <c r="EZ83" s="32"/>
      <c r="FA83" s="32"/>
      <c r="FB83" s="32"/>
      <c r="FC83" s="32"/>
      <c r="FD83" s="32"/>
      <c r="FE83" s="32"/>
      <c r="FF83" s="32"/>
      <c r="FG83" s="32"/>
      <c r="FH83" s="32"/>
      <c r="FI83" s="32"/>
      <c r="FJ83" s="32"/>
      <c r="FK83" s="32"/>
      <c r="FL83" s="32"/>
      <c r="FM83" s="32"/>
      <c r="FN83" s="32"/>
      <c r="FO83" s="32"/>
      <c r="FP83" s="32"/>
      <c r="FQ83" s="32"/>
      <c r="FR83" s="32"/>
      <c r="FS83" s="32"/>
      <c r="FT83" s="32"/>
      <c r="FU83" s="32"/>
      <c r="FV83" s="32"/>
      <c r="FW83" s="32"/>
      <c r="FX83" s="32"/>
      <c r="FY83" s="32"/>
      <c r="FZ83" s="32"/>
      <c r="GA83" s="32"/>
      <c r="GB83" s="32"/>
      <c r="GC83" s="32"/>
      <c r="GD83" s="32"/>
      <c r="GE83" s="32"/>
      <c r="GF83" s="32"/>
      <c r="GG83" s="32"/>
      <c r="GH83" s="32"/>
      <c r="GI83" s="32"/>
      <c r="GJ83" s="32"/>
      <c r="GK83" s="32"/>
      <c r="GL83" s="32"/>
      <c r="GM83" s="32"/>
      <c r="GN83" s="32"/>
      <c r="GO83" s="32"/>
      <c r="GP83" s="32"/>
      <c r="GQ83" s="32"/>
      <c r="GR83" s="32"/>
      <c r="GS83" s="32"/>
      <c r="GT83" s="32"/>
      <c r="GU83" s="32"/>
      <c r="GV83" s="32"/>
      <c r="GW83" s="32"/>
      <c r="GX83" s="32"/>
      <c r="GY83" s="32"/>
      <c r="GZ83" s="32"/>
      <c r="HA83" s="32"/>
      <c r="HB83" s="32"/>
      <c r="HC83" s="32"/>
      <c r="HD83" s="32"/>
      <c r="HE83" s="32"/>
      <c r="HF83" s="32"/>
      <c r="HG83" s="32"/>
      <c r="HH83" s="32"/>
      <c r="HI83" s="32"/>
      <c r="HJ83" s="32"/>
      <c r="HK83" s="32"/>
      <c r="HL83" s="32"/>
      <c r="HM83" s="32"/>
      <c r="HN83" s="32"/>
      <c r="HO83" s="32"/>
      <c r="HP83" s="32"/>
    </row>
    <row r="84" spans="1:224" x14ac:dyDescent="0.25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  <c r="EW84" s="32"/>
      <c r="EX84" s="32"/>
      <c r="EY84" s="32"/>
      <c r="EZ84" s="32"/>
      <c r="FA84" s="32"/>
      <c r="FB84" s="32"/>
      <c r="FC84" s="32"/>
      <c r="FD84" s="32"/>
      <c r="FE84" s="32"/>
      <c r="FF84" s="32"/>
      <c r="FG84" s="32"/>
      <c r="FH84" s="32"/>
      <c r="FI84" s="32"/>
      <c r="FJ84" s="32"/>
      <c r="FK84" s="32"/>
      <c r="FL84" s="32"/>
      <c r="FM84" s="32"/>
      <c r="FN84" s="32"/>
      <c r="FO84" s="32"/>
      <c r="FP84" s="32"/>
      <c r="FQ84" s="32"/>
      <c r="FR84" s="32"/>
      <c r="FS84" s="32"/>
      <c r="FT84" s="32"/>
      <c r="FU84" s="32"/>
      <c r="FV84" s="32"/>
      <c r="FW84" s="32"/>
      <c r="FX84" s="32"/>
      <c r="FY84" s="32"/>
      <c r="FZ84" s="32"/>
      <c r="GA84" s="32"/>
      <c r="GB84" s="32"/>
      <c r="GC84" s="32"/>
      <c r="GD84" s="32"/>
      <c r="GE84" s="32"/>
      <c r="GF84" s="32"/>
      <c r="GG84" s="32"/>
      <c r="GH84" s="32"/>
      <c r="GI84" s="32"/>
      <c r="GJ84" s="32"/>
      <c r="GK84" s="32"/>
      <c r="GL84" s="32"/>
      <c r="GM84" s="32"/>
      <c r="GN84" s="32"/>
      <c r="GO84" s="32"/>
      <c r="GP84" s="32"/>
      <c r="GQ84" s="32"/>
      <c r="GR84" s="32"/>
      <c r="GS84" s="32"/>
      <c r="GT84" s="32"/>
      <c r="GU84" s="32"/>
      <c r="GV84" s="32"/>
      <c r="GW84" s="32"/>
      <c r="GX84" s="32"/>
      <c r="GY84" s="32"/>
      <c r="GZ84" s="32"/>
      <c r="HA84" s="32"/>
      <c r="HB84" s="32"/>
      <c r="HC84" s="32"/>
      <c r="HD84" s="32"/>
      <c r="HE84" s="32"/>
      <c r="HF84" s="32"/>
      <c r="HG84" s="32"/>
      <c r="HH84" s="32"/>
      <c r="HI84" s="32"/>
      <c r="HJ84" s="32"/>
      <c r="HK84" s="32"/>
      <c r="HL84" s="32"/>
      <c r="HM84" s="32"/>
      <c r="HN84" s="32"/>
      <c r="HO84" s="32"/>
      <c r="HP84" s="32"/>
    </row>
    <row r="85" spans="1:224" x14ac:dyDescent="0.2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  <c r="EW85" s="32"/>
      <c r="EX85" s="32"/>
      <c r="EY85" s="32"/>
      <c r="EZ85" s="32"/>
      <c r="FA85" s="32"/>
      <c r="FB85" s="32"/>
      <c r="FC85" s="32"/>
      <c r="FD85" s="32"/>
      <c r="FE85" s="32"/>
      <c r="FF85" s="32"/>
      <c r="FG85" s="32"/>
      <c r="FH85" s="32"/>
      <c r="FI85" s="32"/>
      <c r="FJ85" s="32"/>
      <c r="FK85" s="32"/>
      <c r="FL85" s="32"/>
      <c r="FM85" s="32"/>
      <c r="FN85" s="32"/>
      <c r="FO85" s="32"/>
      <c r="FP85" s="32"/>
      <c r="FQ85" s="32"/>
      <c r="FR85" s="32"/>
      <c r="FS85" s="32"/>
      <c r="FT85" s="32"/>
      <c r="FU85" s="32"/>
      <c r="FV85" s="32"/>
      <c r="FW85" s="32"/>
      <c r="FX85" s="32"/>
      <c r="FY85" s="32"/>
      <c r="FZ85" s="32"/>
      <c r="GA85" s="32"/>
      <c r="GB85" s="32"/>
      <c r="GC85" s="32"/>
      <c r="GD85" s="32"/>
      <c r="GE85" s="32"/>
      <c r="GF85" s="32"/>
      <c r="GG85" s="32"/>
      <c r="GH85" s="32"/>
      <c r="GI85" s="32"/>
      <c r="GJ85" s="32"/>
      <c r="GK85" s="32"/>
      <c r="GL85" s="32"/>
      <c r="GM85" s="32"/>
      <c r="GN85" s="32"/>
      <c r="GO85" s="32"/>
      <c r="GP85" s="32"/>
      <c r="GQ85" s="32"/>
      <c r="GR85" s="32"/>
      <c r="GS85" s="32"/>
      <c r="GT85" s="32"/>
      <c r="GU85" s="32"/>
      <c r="GV85" s="32"/>
      <c r="GW85" s="32"/>
      <c r="GX85" s="32"/>
      <c r="GY85" s="32"/>
      <c r="GZ85" s="32"/>
      <c r="HA85" s="32"/>
      <c r="HB85" s="32"/>
      <c r="HC85" s="32"/>
      <c r="HD85" s="32"/>
      <c r="HE85" s="32"/>
      <c r="HF85" s="32"/>
      <c r="HG85" s="32"/>
      <c r="HH85" s="32"/>
      <c r="HI85" s="32"/>
      <c r="HJ85" s="32"/>
      <c r="HK85" s="32"/>
      <c r="HL85" s="32"/>
      <c r="HM85" s="32"/>
      <c r="HN85" s="32"/>
      <c r="HO85" s="32"/>
      <c r="HP85" s="32"/>
    </row>
    <row r="86" spans="1:224" x14ac:dyDescent="0.25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  <c r="EW86" s="32"/>
      <c r="EX86" s="32"/>
      <c r="EY86" s="32"/>
      <c r="EZ86" s="32"/>
      <c r="FA86" s="32"/>
      <c r="FB86" s="32"/>
      <c r="FC86" s="32"/>
      <c r="FD86" s="32"/>
      <c r="FE86" s="32"/>
      <c r="FF86" s="32"/>
      <c r="FG86" s="32"/>
      <c r="FH86" s="32"/>
      <c r="FI86" s="32"/>
      <c r="FJ86" s="32"/>
      <c r="FK86" s="32"/>
      <c r="FL86" s="32"/>
      <c r="FM86" s="32"/>
      <c r="FN86" s="32"/>
      <c r="FO86" s="32"/>
      <c r="FP86" s="32"/>
      <c r="FQ86" s="32"/>
      <c r="FR86" s="32"/>
      <c r="FS86" s="32"/>
      <c r="FT86" s="32"/>
      <c r="FU86" s="32"/>
      <c r="FV86" s="32"/>
      <c r="FW86" s="32"/>
      <c r="FX86" s="32"/>
      <c r="FY86" s="32"/>
      <c r="FZ86" s="32"/>
      <c r="GA86" s="32"/>
      <c r="GB86" s="32"/>
      <c r="GC86" s="32"/>
      <c r="GD86" s="32"/>
      <c r="GE86" s="32"/>
      <c r="GF86" s="32"/>
      <c r="GG86" s="32"/>
      <c r="GH86" s="32"/>
      <c r="GI86" s="32"/>
      <c r="GJ86" s="32"/>
      <c r="GK86" s="32"/>
      <c r="GL86" s="32"/>
      <c r="GM86" s="32"/>
      <c r="GN86" s="32"/>
      <c r="GO86" s="32"/>
      <c r="GP86" s="32"/>
      <c r="GQ86" s="32"/>
      <c r="GR86" s="32"/>
      <c r="GS86" s="32"/>
      <c r="GT86" s="32"/>
      <c r="GU86" s="32"/>
      <c r="GV86" s="32"/>
      <c r="GW86" s="32"/>
      <c r="GX86" s="32"/>
      <c r="GY86" s="32"/>
      <c r="GZ86" s="32"/>
      <c r="HA86" s="32"/>
      <c r="HB86" s="32"/>
      <c r="HC86" s="32"/>
      <c r="HD86" s="32"/>
      <c r="HE86" s="32"/>
      <c r="HF86" s="32"/>
      <c r="HG86" s="32"/>
      <c r="HH86" s="32"/>
      <c r="HI86" s="32"/>
      <c r="HJ86" s="32"/>
      <c r="HK86" s="32"/>
      <c r="HL86" s="32"/>
      <c r="HM86" s="32"/>
      <c r="HN86" s="32"/>
      <c r="HO86" s="32"/>
      <c r="HP86" s="32"/>
    </row>
    <row r="87" spans="1:224" x14ac:dyDescent="0.25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  <c r="EW87" s="32"/>
      <c r="EX87" s="32"/>
      <c r="EY87" s="32"/>
      <c r="EZ87" s="32"/>
      <c r="FA87" s="32"/>
      <c r="FB87" s="32"/>
      <c r="FC87" s="32"/>
      <c r="FD87" s="32"/>
      <c r="FE87" s="32"/>
      <c r="FF87" s="32"/>
      <c r="FG87" s="32"/>
      <c r="FH87" s="32"/>
      <c r="FI87" s="32"/>
      <c r="FJ87" s="32"/>
      <c r="FK87" s="32"/>
      <c r="FL87" s="32"/>
      <c r="FM87" s="32"/>
      <c r="FN87" s="32"/>
      <c r="FO87" s="32"/>
      <c r="FP87" s="32"/>
      <c r="FQ87" s="32"/>
      <c r="FR87" s="32"/>
      <c r="FS87" s="32"/>
      <c r="FT87" s="32"/>
      <c r="FU87" s="32"/>
      <c r="FV87" s="32"/>
      <c r="FW87" s="32"/>
      <c r="FX87" s="32"/>
      <c r="FY87" s="32"/>
      <c r="FZ87" s="32"/>
      <c r="GA87" s="32"/>
      <c r="GB87" s="32"/>
      <c r="GC87" s="32"/>
      <c r="GD87" s="32"/>
      <c r="GE87" s="32"/>
      <c r="GF87" s="32"/>
      <c r="GG87" s="32"/>
      <c r="GH87" s="32"/>
      <c r="GI87" s="32"/>
      <c r="GJ87" s="32"/>
      <c r="GK87" s="32"/>
      <c r="GL87" s="32"/>
      <c r="GM87" s="32"/>
      <c r="GN87" s="32"/>
      <c r="GO87" s="32"/>
      <c r="GP87" s="32"/>
      <c r="GQ87" s="32"/>
      <c r="GR87" s="32"/>
      <c r="GS87" s="32"/>
      <c r="GT87" s="32"/>
      <c r="GU87" s="32"/>
      <c r="GV87" s="32"/>
      <c r="GW87" s="32"/>
      <c r="GX87" s="32"/>
      <c r="GY87" s="32"/>
      <c r="GZ87" s="32"/>
      <c r="HA87" s="32"/>
      <c r="HB87" s="32"/>
      <c r="HC87" s="32"/>
      <c r="HD87" s="32"/>
      <c r="HE87" s="32"/>
      <c r="HF87" s="32"/>
      <c r="HG87" s="32"/>
      <c r="HH87" s="32"/>
      <c r="HI87" s="32"/>
      <c r="HJ87" s="32"/>
      <c r="HK87" s="32"/>
      <c r="HL87" s="32"/>
      <c r="HM87" s="32"/>
      <c r="HN87" s="32"/>
      <c r="HO87" s="32"/>
      <c r="HP87" s="32"/>
    </row>
    <row r="88" spans="1:224" x14ac:dyDescent="0.25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  <c r="EW88" s="32"/>
      <c r="EX88" s="32"/>
      <c r="EY88" s="32"/>
      <c r="EZ88" s="32"/>
      <c r="FA88" s="32"/>
      <c r="FB88" s="32"/>
      <c r="FC88" s="32"/>
      <c r="FD88" s="32"/>
      <c r="FE88" s="32"/>
      <c r="FF88" s="32"/>
      <c r="FG88" s="32"/>
      <c r="FH88" s="32"/>
      <c r="FI88" s="32"/>
      <c r="FJ88" s="32"/>
      <c r="FK88" s="32"/>
      <c r="FL88" s="32"/>
      <c r="FM88" s="32"/>
      <c r="FN88" s="32"/>
      <c r="FO88" s="32"/>
      <c r="FP88" s="32"/>
      <c r="FQ88" s="32"/>
      <c r="FR88" s="32"/>
      <c r="FS88" s="32"/>
      <c r="FT88" s="32"/>
      <c r="FU88" s="32"/>
      <c r="FV88" s="32"/>
      <c r="FW88" s="32"/>
      <c r="FX88" s="32"/>
      <c r="FY88" s="32"/>
      <c r="FZ88" s="32"/>
      <c r="GA88" s="32"/>
      <c r="GB88" s="32"/>
      <c r="GC88" s="32"/>
      <c r="GD88" s="32"/>
      <c r="GE88" s="32"/>
      <c r="GF88" s="32"/>
      <c r="GG88" s="32"/>
      <c r="GH88" s="32"/>
      <c r="GI88" s="32"/>
      <c r="GJ88" s="32"/>
      <c r="GK88" s="32"/>
      <c r="GL88" s="32"/>
      <c r="GM88" s="32"/>
      <c r="GN88" s="32"/>
      <c r="GO88" s="32"/>
      <c r="GP88" s="32"/>
      <c r="GQ88" s="32"/>
      <c r="GR88" s="32"/>
      <c r="GS88" s="32"/>
      <c r="GT88" s="32"/>
      <c r="GU88" s="32"/>
      <c r="GV88" s="32"/>
      <c r="GW88" s="32"/>
      <c r="GX88" s="32"/>
      <c r="GY88" s="32"/>
      <c r="GZ88" s="32"/>
      <c r="HA88" s="32"/>
      <c r="HB88" s="32"/>
      <c r="HC88" s="32"/>
      <c r="HD88" s="32"/>
      <c r="HE88" s="32"/>
      <c r="HF88" s="32"/>
      <c r="HG88" s="32"/>
      <c r="HH88" s="32"/>
      <c r="HI88" s="32"/>
      <c r="HJ88" s="32"/>
      <c r="HK88" s="32"/>
      <c r="HL88" s="32"/>
      <c r="HM88" s="32"/>
      <c r="HN88" s="32"/>
      <c r="HO88" s="32"/>
      <c r="HP88" s="32"/>
    </row>
    <row r="89" spans="1:224" x14ac:dyDescent="0.25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  <c r="EW89" s="32"/>
      <c r="EX89" s="32"/>
      <c r="EY89" s="32"/>
      <c r="EZ89" s="32"/>
      <c r="FA89" s="32"/>
      <c r="FB89" s="32"/>
      <c r="FC89" s="32"/>
      <c r="FD89" s="32"/>
      <c r="FE89" s="32"/>
      <c r="FF89" s="32"/>
      <c r="FG89" s="32"/>
      <c r="FH89" s="32"/>
      <c r="FI89" s="32"/>
      <c r="FJ89" s="32"/>
      <c r="FK89" s="32"/>
      <c r="FL89" s="32"/>
      <c r="FM89" s="32"/>
      <c r="FN89" s="32"/>
      <c r="FO89" s="32"/>
      <c r="FP89" s="32"/>
      <c r="FQ89" s="32"/>
      <c r="FR89" s="32"/>
      <c r="FS89" s="32"/>
      <c r="FT89" s="32"/>
      <c r="FU89" s="32"/>
      <c r="FV89" s="32"/>
      <c r="FW89" s="32"/>
      <c r="FX89" s="32"/>
      <c r="FY89" s="32"/>
      <c r="FZ89" s="32"/>
      <c r="GA89" s="32"/>
      <c r="GB89" s="32"/>
      <c r="GC89" s="32"/>
      <c r="GD89" s="32"/>
      <c r="GE89" s="32"/>
      <c r="GF89" s="32"/>
      <c r="GG89" s="32"/>
      <c r="GH89" s="32"/>
      <c r="GI89" s="32"/>
      <c r="GJ89" s="32"/>
      <c r="GK89" s="32"/>
      <c r="GL89" s="32"/>
      <c r="GM89" s="32"/>
      <c r="GN89" s="32"/>
      <c r="GO89" s="32"/>
      <c r="GP89" s="32"/>
      <c r="GQ89" s="32"/>
      <c r="GR89" s="32"/>
      <c r="GS89" s="32"/>
      <c r="GT89" s="32"/>
      <c r="GU89" s="32"/>
      <c r="GV89" s="32"/>
      <c r="GW89" s="32"/>
      <c r="GX89" s="32"/>
      <c r="GY89" s="32"/>
      <c r="GZ89" s="32"/>
      <c r="HA89" s="32"/>
      <c r="HB89" s="32"/>
      <c r="HC89" s="32"/>
      <c r="HD89" s="32"/>
      <c r="HE89" s="32"/>
      <c r="HF89" s="32"/>
      <c r="HG89" s="32"/>
      <c r="HH89" s="32"/>
      <c r="HI89" s="32"/>
      <c r="HJ89" s="32"/>
      <c r="HK89" s="32"/>
      <c r="HL89" s="32"/>
      <c r="HM89" s="32"/>
      <c r="HN89" s="32"/>
      <c r="HO89" s="32"/>
      <c r="HP89" s="32"/>
    </row>
    <row r="90" spans="1:224" x14ac:dyDescent="0.25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  <c r="EW90" s="32"/>
      <c r="EX90" s="32"/>
      <c r="EY90" s="32"/>
      <c r="EZ90" s="32"/>
      <c r="FA90" s="32"/>
      <c r="FB90" s="32"/>
      <c r="FC90" s="32"/>
      <c r="FD90" s="32"/>
      <c r="FE90" s="32"/>
      <c r="FF90" s="32"/>
      <c r="FG90" s="32"/>
      <c r="FH90" s="32"/>
      <c r="FI90" s="32"/>
      <c r="FJ90" s="32"/>
      <c r="FK90" s="32"/>
      <c r="FL90" s="32"/>
      <c r="FM90" s="32"/>
      <c r="FN90" s="32"/>
      <c r="FO90" s="32"/>
      <c r="FP90" s="32"/>
      <c r="FQ90" s="32"/>
      <c r="FR90" s="32"/>
      <c r="FS90" s="32"/>
      <c r="FT90" s="32"/>
      <c r="FU90" s="32"/>
      <c r="FV90" s="32"/>
      <c r="FW90" s="32"/>
      <c r="FX90" s="32"/>
      <c r="FY90" s="32"/>
      <c r="FZ90" s="32"/>
      <c r="GA90" s="32"/>
      <c r="GB90" s="32"/>
      <c r="GC90" s="32"/>
      <c r="GD90" s="32"/>
      <c r="GE90" s="32"/>
      <c r="GF90" s="32"/>
      <c r="GG90" s="32"/>
      <c r="GH90" s="32"/>
      <c r="GI90" s="32"/>
      <c r="GJ90" s="32"/>
      <c r="GK90" s="32"/>
      <c r="GL90" s="32"/>
      <c r="GM90" s="32"/>
      <c r="GN90" s="32"/>
      <c r="GO90" s="32"/>
      <c r="GP90" s="32"/>
      <c r="GQ90" s="32"/>
      <c r="GR90" s="32"/>
      <c r="GS90" s="32"/>
      <c r="GT90" s="32"/>
      <c r="GU90" s="32"/>
      <c r="GV90" s="32"/>
      <c r="GW90" s="32"/>
      <c r="GX90" s="32"/>
      <c r="GY90" s="32"/>
      <c r="GZ90" s="32"/>
      <c r="HA90" s="32"/>
      <c r="HB90" s="32"/>
      <c r="HC90" s="32"/>
      <c r="HD90" s="32"/>
      <c r="HE90" s="32"/>
      <c r="HF90" s="32"/>
      <c r="HG90" s="32"/>
      <c r="HH90" s="32"/>
      <c r="HI90" s="32"/>
      <c r="HJ90" s="32"/>
      <c r="HK90" s="32"/>
      <c r="HL90" s="32"/>
      <c r="HM90" s="32"/>
      <c r="HN90" s="32"/>
      <c r="HO90" s="32"/>
      <c r="HP90" s="32"/>
    </row>
    <row r="91" spans="1:224" x14ac:dyDescent="0.25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  <c r="EW91" s="32"/>
      <c r="EX91" s="32"/>
      <c r="EY91" s="32"/>
      <c r="EZ91" s="32"/>
      <c r="FA91" s="32"/>
      <c r="FB91" s="32"/>
      <c r="FC91" s="32"/>
      <c r="FD91" s="32"/>
      <c r="FE91" s="32"/>
      <c r="FF91" s="32"/>
      <c r="FG91" s="32"/>
      <c r="FH91" s="32"/>
      <c r="FI91" s="32"/>
      <c r="FJ91" s="32"/>
      <c r="FK91" s="32"/>
      <c r="FL91" s="32"/>
      <c r="FM91" s="32"/>
      <c r="FN91" s="32"/>
      <c r="FO91" s="32"/>
      <c r="FP91" s="32"/>
      <c r="FQ91" s="32"/>
      <c r="FR91" s="32"/>
      <c r="FS91" s="32"/>
      <c r="FT91" s="32"/>
      <c r="FU91" s="32"/>
      <c r="FV91" s="32"/>
      <c r="FW91" s="32"/>
      <c r="FX91" s="32"/>
      <c r="FY91" s="32"/>
      <c r="FZ91" s="32"/>
      <c r="GA91" s="32"/>
      <c r="GB91" s="32"/>
      <c r="GC91" s="32"/>
      <c r="GD91" s="32"/>
      <c r="GE91" s="32"/>
      <c r="GF91" s="32"/>
      <c r="GG91" s="32"/>
      <c r="GH91" s="32"/>
      <c r="GI91" s="32"/>
      <c r="GJ91" s="32"/>
      <c r="GK91" s="32"/>
      <c r="GL91" s="32"/>
      <c r="GM91" s="32"/>
      <c r="GN91" s="32"/>
      <c r="GO91" s="32"/>
      <c r="GP91" s="32"/>
      <c r="GQ91" s="32"/>
      <c r="GR91" s="32"/>
      <c r="GS91" s="32"/>
      <c r="GT91" s="32"/>
      <c r="GU91" s="32"/>
      <c r="GV91" s="32"/>
      <c r="GW91" s="32"/>
      <c r="GX91" s="32"/>
      <c r="GY91" s="32"/>
      <c r="GZ91" s="32"/>
      <c r="HA91" s="32"/>
      <c r="HB91" s="32"/>
      <c r="HC91" s="32"/>
      <c r="HD91" s="32"/>
      <c r="HE91" s="32"/>
      <c r="HF91" s="32"/>
      <c r="HG91" s="32"/>
      <c r="HH91" s="32"/>
      <c r="HI91" s="32"/>
      <c r="HJ91" s="32"/>
      <c r="HK91" s="32"/>
      <c r="HL91" s="32"/>
      <c r="HM91" s="32"/>
      <c r="HN91" s="32"/>
      <c r="HO91" s="32"/>
      <c r="HP91" s="32"/>
    </row>
    <row r="92" spans="1:224" x14ac:dyDescent="0.25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  <c r="EW92" s="32"/>
      <c r="EX92" s="32"/>
      <c r="EY92" s="32"/>
      <c r="EZ92" s="32"/>
      <c r="FA92" s="32"/>
      <c r="FB92" s="32"/>
      <c r="FC92" s="32"/>
      <c r="FD92" s="32"/>
      <c r="FE92" s="32"/>
      <c r="FF92" s="32"/>
      <c r="FG92" s="32"/>
      <c r="FH92" s="32"/>
      <c r="FI92" s="32"/>
      <c r="FJ92" s="32"/>
      <c r="FK92" s="32"/>
      <c r="FL92" s="32"/>
      <c r="FM92" s="32"/>
      <c r="FN92" s="32"/>
      <c r="FO92" s="32"/>
      <c r="FP92" s="32"/>
      <c r="FQ92" s="32"/>
      <c r="FR92" s="32"/>
      <c r="FS92" s="32"/>
      <c r="FT92" s="32"/>
      <c r="FU92" s="32"/>
      <c r="FV92" s="32"/>
      <c r="FW92" s="32"/>
      <c r="FX92" s="32"/>
      <c r="FY92" s="32"/>
      <c r="FZ92" s="32"/>
      <c r="GA92" s="32"/>
      <c r="GB92" s="32"/>
      <c r="GC92" s="32"/>
      <c r="GD92" s="32"/>
      <c r="GE92" s="32"/>
      <c r="GF92" s="32"/>
      <c r="GG92" s="32"/>
      <c r="GH92" s="32"/>
      <c r="GI92" s="32"/>
      <c r="GJ92" s="32"/>
      <c r="GK92" s="32"/>
      <c r="GL92" s="32"/>
      <c r="GM92" s="32"/>
      <c r="GN92" s="32"/>
      <c r="GO92" s="32"/>
      <c r="GP92" s="32"/>
      <c r="GQ92" s="32"/>
      <c r="GR92" s="32"/>
      <c r="GS92" s="32"/>
      <c r="GT92" s="32"/>
      <c r="GU92" s="32"/>
      <c r="GV92" s="32"/>
      <c r="GW92" s="32"/>
      <c r="GX92" s="32"/>
      <c r="GY92" s="32"/>
      <c r="GZ92" s="32"/>
      <c r="HA92" s="32"/>
      <c r="HB92" s="32"/>
      <c r="HC92" s="32"/>
      <c r="HD92" s="32"/>
      <c r="HE92" s="32"/>
      <c r="HF92" s="32"/>
      <c r="HG92" s="32"/>
      <c r="HH92" s="32"/>
      <c r="HI92" s="32"/>
      <c r="HJ92" s="32"/>
      <c r="HK92" s="32"/>
      <c r="HL92" s="32"/>
      <c r="HM92" s="32"/>
      <c r="HN92" s="32"/>
      <c r="HO92" s="32"/>
      <c r="HP92" s="32"/>
    </row>
    <row r="93" spans="1:224" x14ac:dyDescent="0.25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  <c r="EW93" s="32"/>
      <c r="EX93" s="32"/>
      <c r="EY93" s="32"/>
      <c r="EZ93" s="32"/>
      <c r="FA93" s="32"/>
      <c r="FB93" s="32"/>
      <c r="FC93" s="32"/>
      <c r="FD93" s="32"/>
      <c r="FE93" s="32"/>
      <c r="FF93" s="32"/>
      <c r="FG93" s="32"/>
      <c r="FH93" s="32"/>
      <c r="FI93" s="32"/>
      <c r="FJ93" s="32"/>
      <c r="FK93" s="32"/>
      <c r="FL93" s="32"/>
      <c r="FM93" s="32"/>
      <c r="FN93" s="32"/>
      <c r="FO93" s="32"/>
      <c r="FP93" s="32"/>
      <c r="FQ93" s="32"/>
      <c r="FR93" s="32"/>
      <c r="FS93" s="32"/>
      <c r="FT93" s="32"/>
      <c r="FU93" s="32"/>
      <c r="FV93" s="32"/>
      <c r="FW93" s="32"/>
      <c r="FX93" s="32"/>
      <c r="FY93" s="32"/>
      <c r="FZ93" s="32"/>
      <c r="GA93" s="32"/>
      <c r="GB93" s="32"/>
      <c r="GC93" s="32"/>
      <c r="GD93" s="32"/>
      <c r="GE93" s="32"/>
      <c r="GF93" s="32"/>
      <c r="GG93" s="32"/>
      <c r="GH93" s="32"/>
      <c r="GI93" s="32"/>
      <c r="GJ93" s="32"/>
      <c r="GK93" s="32"/>
      <c r="GL93" s="32"/>
      <c r="GM93" s="32"/>
      <c r="GN93" s="32"/>
      <c r="GO93" s="32"/>
      <c r="GP93" s="32"/>
      <c r="GQ93" s="32"/>
      <c r="GR93" s="32"/>
      <c r="GS93" s="32"/>
      <c r="GT93" s="32"/>
      <c r="GU93" s="32"/>
      <c r="GV93" s="32"/>
      <c r="GW93" s="32"/>
      <c r="GX93" s="32"/>
      <c r="GY93" s="32"/>
      <c r="GZ93" s="32"/>
      <c r="HA93" s="32"/>
      <c r="HB93" s="32"/>
      <c r="HC93" s="32"/>
      <c r="HD93" s="32"/>
      <c r="HE93" s="32"/>
      <c r="HF93" s="32"/>
      <c r="HG93" s="32"/>
      <c r="HH93" s="32"/>
      <c r="HI93" s="32"/>
      <c r="HJ93" s="32"/>
      <c r="HK93" s="32"/>
      <c r="HL93" s="32"/>
      <c r="HM93" s="32"/>
      <c r="HN93" s="32"/>
      <c r="HO93" s="32"/>
      <c r="HP93" s="32"/>
    </row>
    <row r="94" spans="1:224" x14ac:dyDescent="0.25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  <c r="EW94" s="32"/>
      <c r="EX94" s="32"/>
      <c r="EY94" s="32"/>
      <c r="EZ94" s="32"/>
      <c r="FA94" s="32"/>
      <c r="FB94" s="32"/>
      <c r="FC94" s="32"/>
      <c r="FD94" s="32"/>
      <c r="FE94" s="32"/>
      <c r="FF94" s="32"/>
      <c r="FG94" s="32"/>
      <c r="FH94" s="32"/>
      <c r="FI94" s="32"/>
      <c r="FJ94" s="32"/>
      <c r="FK94" s="32"/>
      <c r="FL94" s="32"/>
      <c r="FM94" s="32"/>
      <c r="FN94" s="32"/>
      <c r="FO94" s="32"/>
      <c r="FP94" s="32"/>
      <c r="FQ94" s="32"/>
      <c r="FR94" s="32"/>
      <c r="FS94" s="32"/>
      <c r="FT94" s="32"/>
      <c r="FU94" s="32"/>
      <c r="FV94" s="32"/>
      <c r="FW94" s="32"/>
      <c r="FX94" s="32"/>
      <c r="FY94" s="32"/>
      <c r="FZ94" s="32"/>
      <c r="GA94" s="32"/>
      <c r="GB94" s="32"/>
      <c r="GC94" s="32"/>
      <c r="GD94" s="32"/>
      <c r="GE94" s="32"/>
      <c r="GF94" s="32"/>
      <c r="GG94" s="32"/>
      <c r="GH94" s="32"/>
      <c r="GI94" s="32"/>
      <c r="GJ94" s="32"/>
      <c r="GK94" s="32"/>
      <c r="GL94" s="32"/>
      <c r="GM94" s="32"/>
      <c r="GN94" s="32"/>
      <c r="GO94" s="32"/>
      <c r="GP94" s="32"/>
      <c r="GQ94" s="32"/>
      <c r="GR94" s="32"/>
      <c r="GS94" s="32"/>
      <c r="GT94" s="32"/>
      <c r="GU94" s="32"/>
      <c r="GV94" s="32"/>
      <c r="GW94" s="32"/>
      <c r="GX94" s="32"/>
      <c r="GY94" s="32"/>
      <c r="GZ94" s="32"/>
      <c r="HA94" s="32"/>
      <c r="HB94" s="32"/>
      <c r="HC94" s="32"/>
      <c r="HD94" s="32"/>
      <c r="HE94" s="32"/>
      <c r="HF94" s="32"/>
      <c r="HG94" s="32"/>
      <c r="HH94" s="32"/>
      <c r="HI94" s="32"/>
      <c r="HJ94" s="32"/>
      <c r="HK94" s="32"/>
      <c r="HL94" s="32"/>
      <c r="HM94" s="32"/>
      <c r="HN94" s="32"/>
      <c r="HO94" s="32"/>
      <c r="HP94" s="32"/>
    </row>
    <row r="95" spans="1:224" x14ac:dyDescent="0.2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  <c r="EW95" s="32"/>
      <c r="EX95" s="32"/>
      <c r="EY95" s="32"/>
      <c r="EZ95" s="32"/>
      <c r="FA95" s="32"/>
      <c r="FB95" s="32"/>
      <c r="FC95" s="32"/>
      <c r="FD95" s="32"/>
      <c r="FE95" s="32"/>
      <c r="FF95" s="32"/>
      <c r="FG95" s="32"/>
      <c r="FH95" s="32"/>
      <c r="FI95" s="32"/>
      <c r="FJ95" s="32"/>
      <c r="FK95" s="32"/>
      <c r="FL95" s="32"/>
      <c r="FM95" s="32"/>
      <c r="FN95" s="32"/>
      <c r="FO95" s="32"/>
      <c r="FP95" s="32"/>
      <c r="FQ95" s="32"/>
      <c r="FR95" s="32"/>
      <c r="FS95" s="32"/>
      <c r="FT95" s="32"/>
      <c r="FU95" s="32"/>
      <c r="FV95" s="32"/>
      <c r="FW95" s="32"/>
      <c r="FX95" s="32"/>
      <c r="FY95" s="32"/>
      <c r="FZ95" s="32"/>
      <c r="GA95" s="32"/>
      <c r="GB95" s="32"/>
      <c r="GC95" s="32"/>
      <c r="GD95" s="32"/>
      <c r="GE95" s="32"/>
      <c r="GF95" s="32"/>
      <c r="GG95" s="32"/>
      <c r="GH95" s="32"/>
      <c r="GI95" s="32"/>
      <c r="GJ95" s="32"/>
      <c r="GK95" s="32"/>
      <c r="GL95" s="32"/>
      <c r="GM95" s="32"/>
      <c r="GN95" s="32"/>
      <c r="GO95" s="32"/>
      <c r="GP95" s="32"/>
      <c r="GQ95" s="32"/>
      <c r="GR95" s="32"/>
      <c r="GS95" s="32"/>
      <c r="GT95" s="32"/>
      <c r="GU95" s="32"/>
      <c r="GV95" s="32"/>
      <c r="GW95" s="32"/>
      <c r="GX95" s="32"/>
      <c r="GY95" s="32"/>
      <c r="GZ95" s="32"/>
      <c r="HA95" s="32"/>
      <c r="HB95" s="32"/>
      <c r="HC95" s="32"/>
      <c r="HD95" s="32"/>
      <c r="HE95" s="32"/>
      <c r="HF95" s="32"/>
      <c r="HG95" s="32"/>
      <c r="HH95" s="32"/>
      <c r="HI95" s="32"/>
      <c r="HJ95" s="32"/>
      <c r="HK95" s="32"/>
      <c r="HL95" s="32"/>
      <c r="HM95" s="32"/>
      <c r="HN95" s="32"/>
      <c r="HO95" s="32"/>
      <c r="HP95" s="32"/>
    </row>
    <row r="96" spans="1:224" x14ac:dyDescent="0.25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  <c r="EW96" s="32"/>
      <c r="EX96" s="32"/>
      <c r="EY96" s="32"/>
      <c r="EZ96" s="32"/>
      <c r="FA96" s="32"/>
      <c r="FB96" s="32"/>
      <c r="FC96" s="32"/>
      <c r="FD96" s="32"/>
      <c r="FE96" s="32"/>
      <c r="FF96" s="32"/>
      <c r="FG96" s="32"/>
      <c r="FH96" s="32"/>
      <c r="FI96" s="32"/>
      <c r="FJ96" s="32"/>
      <c r="FK96" s="32"/>
      <c r="FL96" s="32"/>
      <c r="FM96" s="32"/>
      <c r="FN96" s="32"/>
      <c r="FO96" s="32"/>
      <c r="FP96" s="32"/>
      <c r="FQ96" s="32"/>
      <c r="FR96" s="32"/>
      <c r="FS96" s="32"/>
      <c r="FT96" s="32"/>
      <c r="FU96" s="32"/>
      <c r="FV96" s="32"/>
      <c r="FW96" s="32"/>
      <c r="FX96" s="32"/>
      <c r="FY96" s="32"/>
      <c r="FZ96" s="32"/>
      <c r="GA96" s="32"/>
      <c r="GB96" s="32"/>
      <c r="GC96" s="32"/>
      <c r="GD96" s="32"/>
      <c r="GE96" s="32"/>
      <c r="GF96" s="32"/>
      <c r="GG96" s="32"/>
      <c r="GH96" s="32"/>
      <c r="GI96" s="32"/>
      <c r="GJ96" s="32"/>
      <c r="GK96" s="32"/>
      <c r="GL96" s="32"/>
      <c r="GM96" s="32"/>
      <c r="GN96" s="32"/>
      <c r="GO96" s="32"/>
      <c r="GP96" s="32"/>
      <c r="GQ96" s="32"/>
      <c r="GR96" s="32"/>
      <c r="GS96" s="32"/>
      <c r="GT96" s="32"/>
      <c r="GU96" s="32"/>
      <c r="GV96" s="32"/>
      <c r="GW96" s="32"/>
      <c r="GX96" s="32"/>
      <c r="GY96" s="32"/>
      <c r="GZ96" s="32"/>
      <c r="HA96" s="32"/>
      <c r="HB96" s="32"/>
      <c r="HC96" s="32"/>
      <c r="HD96" s="32"/>
      <c r="HE96" s="32"/>
      <c r="HF96" s="32"/>
      <c r="HG96" s="32"/>
      <c r="HH96" s="32"/>
      <c r="HI96" s="32"/>
      <c r="HJ96" s="32"/>
      <c r="HK96" s="32"/>
      <c r="HL96" s="32"/>
      <c r="HM96" s="32"/>
      <c r="HN96" s="32"/>
      <c r="HO96" s="32"/>
      <c r="HP96" s="32"/>
    </row>
    <row r="97" spans="1:224" x14ac:dyDescent="0.25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  <c r="EW97" s="32"/>
      <c r="EX97" s="32"/>
      <c r="EY97" s="32"/>
      <c r="EZ97" s="32"/>
      <c r="FA97" s="32"/>
      <c r="FB97" s="32"/>
      <c r="FC97" s="32"/>
      <c r="FD97" s="32"/>
      <c r="FE97" s="32"/>
      <c r="FF97" s="32"/>
      <c r="FG97" s="32"/>
      <c r="FH97" s="32"/>
      <c r="FI97" s="32"/>
      <c r="FJ97" s="32"/>
      <c r="FK97" s="32"/>
      <c r="FL97" s="32"/>
      <c r="FM97" s="32"/>
      <c r="FN97" s="32"/>
      <c r="FO97" s="32"/>
      <c r="FP97" s="32"/>
      <c r="FQ97" s="32"/>
      <c r="FR97" s="32"/>
      <c r="FS97" s="32"/>
      <c r="FT97" s="32"/>
      <c r="FU97" s="32"/>
      <c r="FV97" s="32"/>
      <c r="FW97" s="32"/>
      <c r="FX97" s="32"/>
      <c r="FY97" s="32"/>
      <c r="FZ97" s="32"/>
      <c r="GA97" s="32"/>
      <c r="GB97" s="32"/>
      <c r="GC97" s="32"/>
      <c r="GD97" s="32"/>
      <c r="GE97" s="32"/>
      <c r="GF97" s="32"/>
      <c r="GG97" s="32"/>
      <c r="GH97" s="32"/>
      <c r="GI97" s="32"/>
      <c r="GJ97" s="32"/>
      <c r="GK97" s="32"/>
      <c r="GL97" s="32"/>
      <c r="GM97" s="32"/>
      <c r="GN97" s="32"/>
      <c r="GO97" s="32"/>
      <c r="GP97" s="32"/>
      <c r="GQ97" s="32"/>
      <c r="GR97" s="32"/>
      <c r="GS97" s="32"/>
      <c r="GT97" s="32"/>
      <c r="GU97" s="32"/>
      <c r="GV97" s="32"/>
      <c r="GW97" s="32"/>
      <c r="GX97" s="32"/>
      <c r="GY97" s="32"/>
      <c r="GZ97" s="32"/>
      <c r="HA97" s="32"/>
      <c r="HB97" s="32"/>
      <c r="HC97" s="32"/>
      <c r="HD97" s="32"/>
      <c r="HE97" s="32"/>
      <c r="HF97" s="32"/>
      <c r="HG97" s="32"/>
      <c r="HH97" s="32"/>
      <c r="HI97" s="32"/>
      <c r="HJ97" s="32"/>
      <c r="HK97" s="32"/>
      <c r="HL97" s="32"/>
      <c r="HM97" s="32"/>
      <c r="HN97" s="32"/>
      <c r="HO97" s="32"/>
      <c r="HP97" s="32"/>
    </row>
    <row r="98" spans="1:224" x14ac:dyDescent="0.25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  <c r="EW98" s="32"/>
      <c r="EX98" s="32"/>
      <c r="EY98" s="32"/>
      <c r="EZ98" s="32"/>
      <c r="FA98" s="32"/>
      <c r="FB98" s="32"/>
      <c r="FC98" s="32"/>
      <c r="FD98" s="32"/>
      <c r="FE98" s="32"/>
      <c r="FF98" s="32"/>
      <c r="FG98" s="32"/>
      <c r="FH98" s="32"/>
      <c r="FI98" s="32"/>
      <c r="FJ98" s="32"/>
      <c r="FK98" s="32"/>
      <c r="FL98" s="32"/>
      <c r="FM98" s="32"/>
      <c r="FN98" s="32"/>
      <c r="FO98" s="32"/>
      <c r="FP98" s="32"/>
      <c r="FQ98" s="32"/>
      <c r="FR98" s="32"/>
      <c r="FS98" s="32"/>
      <c r="FT98" s="32"/>
      <c r="FU98" s="32"/>
      <c r="FV98" s="32"/>
      <c r="FW98" s="32"/>
      <c r="FX98" s="32"/>
      <c r="FY98" s="32"/>
      <c r="FZ98" s="32"/>
      <c r="GA98" s="32"/>
      <c r="GB98" s="32"/>
      <c r="GC98" s="32"/>
      <c r="GD98" s="32"/>
      <c r="GE98" s="32"/>
      <c r="GF98" s="32"/>
      <c r="GG98" s="32"/>
      <c r="GH98" s="32"/>
      <c r="GI98" s="32"/>
      <c r="GJ98" s="32"/>
      <c r="GK98" s="32"/>
      <c r="GL98" s="32"/>
      <c r="GM98" s="32"/>
      <c r="GN98" s="32"/>
      <c r="GO98" s="32"/>
      <c r="GP98" s="32"/>
      <c r="GQ98" s="32"/>
      <c r="GR98" s="32"/>
      <c r="GS98" s="32"/>
      <c r="GT98" s="32"/>
      <c r="GU98" s="32"/>
      <c r="GV98" s="32"/>
      <c r="GW98" s="32"/>
      <c r="GX98" s="32"/>
      <c r="GY98" s="32"/>
      <c r="GZ98" s="32"/>
      <c r="HA98" s="32"/>
      <c r="HB98" s="32"/>
      <c r="HC98" s="32"/>
      <c r="HD98" s="32"/>
      <c r="HE98" s="32"/>
      <c r="HF98" s="32"/>
      <c r="HG98" s="32"/>
      <c r="HH98" s="32"/>
      <c r="HI98" s="32"/>
      <c r="HJ98" s="32"/>
      <c r="HK98" s="32"/>
      <c r="HL98" s="32"/>
      <c r="HM98" s="32"/>
      <c r="HN98" s="32"/>
      <c r="HO98" s="32"/>
      <c r="HP98" s="32"/>
    </row>
    <row r="99" spans="1:224" x14ac:dyDescent="0.25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  <c r="EW99" s="32"/>
      <c r="EX99" s="32"/>
      <c r="EY99" s="32"/>
      <c r="EZ99" s="32"/>
      <c r="FA99" s="32"/>
      <c r="FB99" s="32"/>
      <c r="FC99" s="32"/>
      <c r="FD99" s="32"/>
      <c r="FE99" s="32"/>
      <c r="FF99" s="32"/>
      <c r="FG99" s="32"/>
      <c r="FH99" s="32"/>
      <c r="FI99" s="32"/>
      <c r="FJ99" s="32"/>
      <c r="FK99" s="32"/>
      <c r="FL99" s="32"/>
      <c r="FM99" s="32"/>
      <c r="FN99" s="32"/>
      <c r="FO99" s="32"/>
      <c r="FP99" s="32"/>
      <c r="FQ99" s="32"/>
      <c r="FR99" s="32"/>
      <c r="FS99" s="32"/>
      <c r="FT99" s="32"/>
      <c r="FU99" s="32"/>
      <c r="FV99" s="32"/>
      <c r="FW99" s="32"/>
      <c r="FX99" s="32"/>
      <c r="FY99" s="32"/>
      <c r="FZ99" s="32"/>
      <c r="GA99" s="32"/>
      <c r="GB99" s="32"/>
      <c r="GC99" s="32"/>
      <c r="GD99" s="32"/>
      <c r="GE99" s="32"/>
      <c r="GF99" s="32"/>
      <c r="GG99" s="32"/>
      <c r="GH99" s="32"/>
      <c r="GI99" s="32"/>
      <c r="GJ99" s="32"/>
      <c r="GK99" s="32"/>
      <c r="GL99" s="32"/>
      <c r="GM99" s="32"/>
      <c r="GN99" s="32"/>
      <c r="GO99" s="32"/>
      <c r="GP99" s="32"/>
      <c r="GQ99" s="32"/>
      <c r="GR99" s="32"/>
      <c r="GS99" s="32"/>
      <c r="GT99" s="32"/>
      <c r="GU99" s="32"/>
      <c r="GV99" s="32"/>
      <c r="GW99" s="32"/>
      <c r="GX99" s="32"/>
      <c r="GY99" s="32"/>
      <c r="GZ99" s="32"/>
      <c r="HA99" s="32"/>
      <c r="HB99" s="32"/>
      <c r="HC99" s="32"/>
      <c r="HD99" s="32"/>
      <c r="HE99" s="32"/>
      <c r="HF99" s="32"/>
      <c r="HG99" s="32"/>
      <c r="HH99" s="32"/>
      <c r="HI99" s="32"/>
      <c r="HJ99" s="32"/>
      <c r="HK99" s="32"/>
      <c r="HL99" s="32"/>
      <c r="HM99" s="32"/>
      <c r="HN99" s="32"/>
      <c r="HO99" s="32"/>
      <c r="HP99" s="32"/>
    </row>
    <row r="100" spans="1:224" x14ac:dyDescent="0.25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  <c r="EW100" s="32"/>
      <c r="EX100" s="32"/>
      <c r="EY100" s="32"/>
      <c r="EZ100" s="32"/>
      <c r="FA100" s="32"/>
      <c r="FB100" s="32"/>
      <c r="FC100" s="32"/>
      <c r="FD100" s="32"/>
      <c r="FE100" s="32"/>
      <c r="FF100" s="32"/>
      <c r="FG100" s="32"/>
      <c r="FH100" s="32"/>
      <c r="FI100" s="32"/>
      <c r="FJ100" s="32"/>
      <c r="FK100" s="32"/>
      <c r="FL100" s="32"/>
      <c r="FM100" s="32"/>
      <c r="FN100" s="32"/>
      <c r="FO100" s="32"/>
      <c r="FP100" s="32"/>
      <c r="FQ100" s="32"/>
      <c r="FR100" s="32"/>
      <c r="FS100" s="32"/>
      <c r="FT100" s="32"/>
      <c r="FU100" s="32"/>
      <c r="FV100" s="32"/>
      <c r="FW100" s="32"/>
      <c r="FX100" s="32"/>
      <c r="FY100" s="32"/>
      <c r="FZ100" s="32"/>
      <c r="GA100" s="32"/>
      <c r="GB100" s="32"/>
      <c r="GC100" s="32"/>
      <c r="GD100" s="32"/>
      <c r="GE100" s="32"/>
      <c r="GF100" s="32"/>
      <c r="GG100" s="32"/>
      <c r="GH100" s="32"/>
      <c r="GI100" s="32"/>
      <c r="GJ100" s="32"/>
      <c r="GK100" s="32"/>
      <c r="GL100" s="32"/>
      <c r="GM100" s="32"/>
      <c r="GN100" s="32"/>
      <c r="GO100" s="32"/>
      <c r="GP100" s="32"/>
      <c r="GQ100" s="32"/>
      <c r="GR100" s="32"/>
      <c r="GS100" s="32"/>
      <c r="GT100" s="32"/>
      <c r="GU100" s="32"/>
      <c r="GV100" s="32"/>
      <c r="GW100" s="32"/>
      <c r="GX100" s="32"/>
      <c r="GY100" s="32"/>
      <c r="GZ100" s="32"/>
      <c r="HA100" s="32"/>
      <c r="HB100" s="32"/>
      <c r="HC100" s="32"/>
      <c r="HD100" s="32"/>
      <c r="HE100" s="32"/>
      <c r="HF100" s="32"/>
      <c r="HG100" s="32"/>
      <c r="HH100" s="32"/>
      <c r="HI100" s="32"/>
      <c r="HJ100" s="32"/>
      <c r="HK100" s="32"/>
      <c r="HL100" s="32"/>
      <c r="HM100" s="32"/>
      <c r="HN100" s="32"/>
      <c r="HO100" s="32"/>
      <c r="HP100" s="32"/>
    </row>
    <row r="101" spans="1:224" x14ac:dyDescent="0.25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  <c r="EW101" s="32"/>
      <c r="EX101" s="32"/>
      <c r="EY101" s="32"/>
      <c r="EZ101" s="32"/>
      <c r="FA101" s="32"/>
      <c r="FB101" s="32"/>
      <c r="FC101" s="32"/>
      <c r="FD101" s="32"/>
      <c r="FE101" s="32"/>
      <c r="FF101" s="32"/>
      <c r="FG101" s="32"/>
      <c r="FH101" s="32"/>
      <c r="FI101" s="32"/>
      <c r="FJ101" s="32"/>
      <c r="FK101" s="32"/>
      <c r="FL101" s="32"/>
      <c r="FM101" s="32"/>
      <c r="FN101" s="32"/>
      <c r="FO101" s="32"/>
      <c r="FP101" s="32"/>
      <c r="FQ101" s="32"/>
      <c r="FR101" s="32"/>
      <c r="FS101" s="32"/>
      <c r="FT101" s="32"/>
      <c r="FU101" s="32"/>
      <c r="FV101" s="32"/>
      <c r="FW101" s="32"/>
      <c r="FX101" s="32"/>
      <c r="FY101" s="32"/>
      <c r="FZ101" s="32"/>
      <c r="GA101" s="32"/>
      <c r="GB101" s="32"/>
      <c r="GC101" s="32"/>
      <c r="GD101" s="32"/>
      <c r="GE101" s="32"/>
      <c r="GF101" s="32"/>
      <c r="GG101" s="32"/>
      <c r="GH101" s="32"/>
      <c r="GI101" s="32"/>
      <c r="GJ101" s="32"/>
      <c r="GK101" s="32"/>
      <c r="GL101" s="32"/>
      <c r="GM101" s="32"/>
      <c r="GN101" s="32"/>
      <c r="GO101" s="32"/>
      <c r="GP101" s="32"/>
      <c r="GQ101" s="32"/>
      <c r="GR101" s="32"/>
      <c r="GS101" s="32"/>
      <c r="GT101" s="32"/>
      <c r="GU101" s="32"/>
      <c r="GV101" s="32"/>
      <c r="GW101" s="32"/>
      <c r="GX101" s="32"/>
      <c r="GY101" s="32"/>
      <c r="GZ101" s="32"/>
      <c r="HA101" s="32"/>
      <c r="HB101" s="32"/>
      <c r="HC101" s="32"/>
      <c r="HD101" s="32"/>
      <c r="HE101" s="32"/>
      <c r="HF101" s="32"/>
      <c r="HG101" s="32"/>
      <c r="HH101" s="32"/>
      <c r="HI101" s="32"/>
      <c r="HJ101" s="32"/>
      <c r="HK101" s="32"/>
      <c r="HL101" s="32"/>
      <c r="HM101" s="32"/>
      <c r="HN101" s="32"/>
      <c r="HO101" s="32"/>
      <c r="HP101" s="32"/>
    </row>
    <row r="102" spans="1:224" x14ac:dyDescent="0.25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  <c r="EW102" s="32"/>
      <c r="EX102" s="32"/>
      <c r="EY102" s="32"/>
      <c r="EZ102" s="32"/>
      <c r="FA102" s="32"/>
      <c r="FB102" s="32"/>
      <c r="FC102" s="32"/>
      <c r="FD102" s="32"/>
      <c r="FE102" s="32"/>
      <c r="FF102" s="32"/>
      <c r="FG102" s="32"/>
      <c r="FH102" s="32"/>
      <c r="FI102" s="32"/>
      <c r="FJ102" s="32"/>
      <c r="FK102" s="32"/>
      <c r="FL102" s="32"/>
      <c r="FM102" s="32"/>
      <c r="FN102" s="32"/>
      <c r="FO102" s="32"/>
      <c r="FP102" s="32"/>
      <c r="FQ102" s="32"/>
      <c r="FR102" s="32"/>
      <c r="FS102" s="32"/>
      <c r="FT102" s="32"/>
      <c r="FU102" s="32"/>
      <c r="FV102" s="32"/>
      <c r="FW102" s="32"/>
      <c r="FX102" s="32"/>
      <c r="FY102" s="32"/>
      <c r="FZ102" s="32"/>
      <c r="GA102" s="32"/>
      <c r="GB102" s="32"/>
      <c r="GC102" s="32"/>
      <c r="GD102" s="32"/>
      <c r="GE102" s="32"/>
      <c r="GF102" s="32"/>
      <c r="GG102" s="32"/>
      <c r="GH102" s="32"/>
      <c r="GI102" s="32"/>
      <c r="GJ102" s="32"/>
      <c r="GK102" s="32"/>
      <c r="GL102" s="32"/>
      <c r="GM102" s="32"/>
      <c r="GN102" s="32"/>
      <c r="GO102" s="32"/>
      <c r="GP102" s="32"/>
      <c r="GQ102" s="32"/>
      <c r="GR102" s="32"/>
      <c r="GS102" s="32"/>
      <c r="GT102" s="32"/>
      <c r="GU102" s="32"/>
      <c r="GV102" s="32"/>
      <c r="GW102" s="32"/>
      <c r="GX102" s="32"/>
      <c r="GY102" s="32"/>
      <c r="GZ102" s="32"/>
      <c r="HA102" s="32"/>
      <c r="HB102" s="32"/>
      <c r="HC102" s="32"/>
      <c r="HD102" s="32"/>
      <c r="HE102" s="32"/>
      <c r="HF102" s="32"/>
      <c r="HG102" s="32"/>
      <c r="HH102" s="32"/>
      <c r="HI102" s="32"/>
      <c r="HJ102" s="32"/>
      <c r="HK102" s="32"/>
      <c r="HL102" s="32"/>
      <c r="HM102" s="32"/>
      <c r="HN102" s="32"/>
      <c r="HO102" s="32"/>
      <c r="HP102" s="32"/>
    </row>
    <row r="103" spans="1:224" x14ac:dyDescent="0.25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  <c r="EW103" s="32"/>
      <c r="EX103" s="32"/>
      <c r="EY103" s="32"/>
      <c r="EZ103" s="32"/>
      <c r="FA103" s="32"/>
      <c r="FB103" s="32"/>
      <c r="FC103" s="32"/>
      <c r="FD103" s="32"/>
      <c r="FE103" s="32"/>
      <c r="FF103" s="32"/>
      <c r="FG103" s="32"/>
      <c r="FH103" s="32"/>
      <c r="FI103" s="32"/>
      <c r="FJ103" s="32"/>
      <c r="FK103" s="32"/>
      <c r="FL103" s="32"/>
      <c r="FM103" s="32"/>
      <c r="FN103" s="32"/>
      <c r="FO103" s="32"/>
      <c r="FP103" s="32"/>
      <c r="FQ103" s="32"/>
      <c r="FR103" s="32"/>
      <c r="FS103" s="32"/>
      <c r="FT103" s="32"/>
      <c r="FU103" s="32"/>
      <c r="FV103" s="32"/>
      <c r="FW103" s="32"/>
      <c r="FX103" s="32"/>
      <c r="FY103" s="32"/>
      <c r="FZ103" s="32"/>
      <c r="GA103" s="32"/>
      <c r="GB103" s="32"/>
      <c r="GC103" s="32"/>
      <c r="GD103" s="32"/>
      <c r="GE103" s="32"/>
      <c r="GF103" s="32"/>
      <c r="GG103" s="32"/>
      <c r="GH103" s="32"/>
      <c r="GI103" s="32"/>
      <c r="GJ103" s="32"/>
      <c r="GK103" s="32"/>
      <c r="GL103" s="32"/>
      <c r="GM103" s="32"/>
      <c r="GN103" s="32"/>
      <c r="GO103" s="32"/>
      <c r="GP103" s="32"/>
      <c r="GQ103" s="32"/>
      <c r="GR103" s="32"/>
      <c r="GS103" s="32"/>
      <c r="GT103" s="32"/>
      <c r="GU103" s="32"/>
      <c r="GV103" s="32"/>
      <c r="GW103" s="32"/>
      <c r="GX103" s="32"/>
      <c r="GY103" s="32"/>
      <c r="GZ103" s="32"/>
      <c r="HA103" s="32"/>
      <c r="HB103" s="32"/>
      <c r="HC103" s="32"/>
      <c r="HD103" s="32"/>
      <c r="HE103" s="32"/>
      <c r="HF103" s="32"/>
      <c r="HG103" s="32"/>
      <c r="HH103" s="32"/>
      <c r="HI103" s="32"/>
      <c r="HJ103" s="32"/>
      <c r="HK103" s="32"/>
      <c r="HL103" s="32"/>
      <c r="HM103" s="32"/>
      <c r="HN103" s="32"/>
      <c r="HO103" s="32"/>
      <c r="HP103" s="32"/>
    </row>
    <row r="104" spans="1:224" x14ac:dyDescent="0.25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  <c r="EW104" s="32"/>
      <c r="EX104" s="32"/>
      <c r="EY104" s="32"/>
      <c r="EZ104" s="32"/>
      <c r="FA104" s="32"/>
      <c r="FB104" s="32"/>
      <c r="FC104" s="32"/>
      <c r="FD104" s="32"/>
      <c r="FE104" s="32"/>
      <c r="FF104" s="32"/>
      <c r="FG104" s="32"/>
      <c r="FH104" s="32"/>
      <c r="FI104" s="32"/>
      <c r="FJ104" s="32"/>
      <c r="FK104" s="32"/>
      <c r="FL104" s="32"/>
      <c r="FM104" s="32"/>
      <c r="FN104" s="32"/>
      <c r="FO104" s="32"/>
      <c r="FP104" s="32"/>
      <c r="FQ104" s="32"/>
      <c r="FR104" s="32"/>
      <c r="FS104" s="32"/>
      <c r="FT104" s="32"/>
      <c r="FU104" s="32"/>
      <c r="FV104" s="32"/>
      <c r="FW104" s="32"/>
      <c r="FX104" s="32"/>
      <c r="FY104" s="32"/>
      <c r="FZ104" s="32"/>
      <c r="GA104" s="32"/>
      <c r="GB104" s="32"/>
      <c r="GC104" s="32"/>
      <c r="GD104" s="32"/>
      <c r="GE104" s="32"/>
      <c r="GF104" s="32"/>
      <c r="GG104" s="32"/>
      <c r="GH104" s="32"/>
      <c r="GI104" s="32"/>
      <c r="GJ104" s="32"/>
      <c r="GK104" s="32"/>
      <c r="GL104" s="32"/>
      <c r="GM104" s="32"/>
      <c r="GN104" s="32"/>
      <c r="GO104" s="32"/>
      <c r="GP104" s="32"/>
      <c r="GQ104" s="32"/>
      <c r="GR104" s="32"/>
      <c r="GS104" s="32"/>
      <c r="GT104" s="32"/>
      <c r="GU104" s="32"/>
      <c r="GV104" s="32"/>
      <c r="GW104" s="32"/>
      <c r="GX104" s="32"/>
      <c r="GY104" s="32"/>
      <c r="GZ104" s="32"/>
      <c r="HA104" s="32"/>
      <c r="HB104" s="32"/>
      <c r="HC104" s="32"/>
      <c r="HD104" s="32"/>
      <c r="HE104" s="32"/>
      <c r="HF104" s="32"/>
      <c r="HG104" s="32"/>
      <c r="HH104" s="32"/>
      <c r="HI104" s="32"/>
      <c r="HJ104" s="32"/>
      <c r="HK104" s="32"/>
      <c r="HL104" s="32"/>
      <c r="HM104" s="32"/>
      <c r="HN104" s="32"/>
      <c r="HO104" s="32"/>
      <c r="HP104" s="32"/>
    </row>
    <row r="105" spans="1:224" x14ac:dyDescent="0.2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  <c r="EW105" s="32"/>
      <c r="EX105" s="32"/>
      <c r="EY105" s="32"/>
      <c r="EZ105" s="32"/>
      <c r="FA105" s="32"/>
      <c r="FB105" s="32"/>
      <c r="FC105" s="32"/>
      <c r="FD105" s="32"/>
      <c r="FE105" s="32"/>
      <c r="FF105" s="32"/>
      <c r="FG105" s="32"/>
      <c r="FH105" s="32"/>
      <c r="FI105" s="32"/>
      <c r="FJ105" s="32"/>
      <c r="FK105" s="32"/>
      <c r="FL105" s="32"/>
      <c r="FM105" s="32"/>
      <c r="FN105" s="32"/>
      <c r="FO105" s="32"/>
      <c r="FP105" s="32"/>
      <c r="FQ105" s="32"/>
      <c r="FR105" s="32"/>
      <c r="FS105" s="32"/>
      <c r="FT105" s="32"/>
      <c r="FU105" s="32"/>
      <c r="FV105" s="32"/>
      <c r="FW105" s="32"/>
      <c r="FX105" s="32"/>
      <c r="FY105" s="32"/>
      <c r="FZ105" s="32"/>
      <c r="GA105" s="32"/>
      <c r="GB105" s="32"/>
      <c r="GC105" s="32"/>
      <c r="GD105" s="32"/>
      <c r="GE105" s="32"/>
      <c r="GF105" s="32"/>
      <c r="GG105" s="32"/>
      <c r="GH105" s="32"/>
      <c r="GI105" s="32"/>
      <c r="GJ105" s="32"/>
      <c r="GK105" s="32"/>
      <c r="GL105" s="32"/>
      <c r="GM105" s="32"/>
      <c r="GN105" s="32"/>
      <c r="GO105" s="32"/>
      <c r="GP105" s="32"/>
      <c r="GQ105" s="32"/>
      <c r="GR105" s="32"/>
      <c r="GS105" s="32"/>
      <c r="GT105" s="32"/>
      <c r="GU105" s="32"/>
      <c r="GV105" s="32"/>
      <c r="GW105" s="32"/>
      <c r="GX105" s="32"/>
      <c r="GY105" s="32"/>
      <c r="GZ105" s="32"/>
      <c r="HA105" s="32"/>
      <c r="HB105" s="32"/>
      <c r="HC105" s="32"/>
      <c r="HD105" s="32"/>
      <c r="HE105" s="32"/>
      <c r="HF105" s="32"/>
      <c r="HG105" s="32"/>
      <c r="HH105" s="32"/>
      <c r="HI105" s="32"/>
      <c r="HJ105" s="32"/>
      <c r="HK105" s="32"/>
      <c r="HL105" s="32"/>
      <c r="HM105" s="32"/>
      <c r="HN105" s="32"/>
      <c r="HO105" s="32"/>
      <c r="HP105" s="32"/>
    </row>
    <row r="106" spans="1:224" x14ac:dyDescent="0.25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  <c r="EW106" s="32"/>
      <c r="EX106" s="32"/>
      <c r="EY106" s="32"/>
      <c r="EZ106" s="32"/>
      <c r="FA106" s="32"/>
      <c r="FB106" s="32"/>
      <c r="FC106" s="32"/>
      <c r="FD106" s="32"/>
      <c r="FE106" s="32"/>
      <c r="FF106" s="32"/>
      <c r="FG106" s="32"/>
      <c r="FH106" s="32"/>
      <c r="FI106" s="32"/>
      <c r="FJ106" s="32"/>
      <c r="FK106" s="32"/>
      <c r="FL106" s="32"/>
      <c r="FM106" s="32"/>
      <c r="FN106" s="32"/>
      <c r="FO106" s="32"/>
      <c r="FP106" s="32"/>
      <c r="FQ106" s="32"/>
      <c r="FR106" s="32"/>
      <c r="FS106" s="32"/>
      <c r="FT106" s="32"/>
      <c r="FU106" s="32"/>
      <c r="FV106" s="32"/>
      <c r="FW106" s="32"/>
      <c r="FX106" s="32"/>
      <c r="FY106" s="32"/>
      <c r="FZ106" s="32"/>
      <c r="GA106" s="32"/>
      <c r="GB106" s="32"/>
      <c r="GC106" s="32"/>
      <c r="GD106" s="32"/>
      <c r="GE106" s="32"/>
      <c r="GF106" s="32"/>
      <c r="GG106" s="32"/>
      <c r="GH106" s="32"/>
      <c r="GI106" s="32"/>
      <c r="GJ106" s="32"/>
      <c r="GK106" s="32"/>
      <c r="GL106" s="32"/>
      <c r="GM106" s="32"/>
      <c r="GN106" s="32"/>
      <c r="GO106" s="32"/>
      <c r="GP106" s="32"/>
      <c r="GQ106" s="32"/>
      <c r="GR106" s="32"/>
      <c r="GS106" s="32"/>
      <c r="GT106" s="32"/>
      <c r="GU106" s="32"/>
      <c r="GV106" s="32"/>
      <c r="GW106" s="32"/>
      <c r="GX106" s="32"/>
      <c r="GY106" s="32"/>
      <c r="GZ106" s="32"/>
      <c r="HA106" s="32"/>
      <c r="HB106" s="32"/>
      <c r="HC106" s="32"/>
      <c r="HD106" s="32"/>
      <c r="HE106" s="32"/>
      <c r="HF106" s="32"/>
      <c r="HG106" s="32"/>
      <c r="HH106" s="32"/>
      <c r="HI106" s="32"/>
      <c r="HJ106" s="32"/>
      <c r="HK106" s="32"/>
      <c r="HL106" s="32"/>
      <c r="HM106" s="32"/>
      <c r="HN106" s="32"/>
      <c r="HO106" s="32"/>
      <c r="HP106" s="32"/>
    </row>
    <row r="107" spans="1:224" x14ac:dyDescent="0.25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  <c r="EW107" s="32"/>
      <c r="EX107" s="32"/>
      <c r="EY107" s="32"/>
      <c r="EZ107" s="32"/>
      <c r="FA107" s="32"/>
      <c r="FB107" s="32"/>
      <c r="FC107" s="32"/>
      <c r="FD107" s="32"/>
      <c r="FE107" s="32"/>
      <c r="FF107" s="32"/>
      <c r="FG107" s="32"/>
      <c r="FH107" s="32"/>
      <c r="FI107" s="32"/>
      <c r="FJ107" s="32"/>
      <c r="FK107" s="32"/>
      <c r="FL107" s="32"/>
      <c r="FM107" s="32"/>
      <c r="FN107" s="32"/>
      <c r="FO107" s="32"/>
      <c r="FP107" s="32"/>
      <c r="FQ107" s="32"/>
      <c r="FR107" s="32"/>
      <c r="FS107" s="32"/>
      <c r="FT107" s="32"/>
      <c r="FU107" s="32"/>
      <c r="FV107" s="32"/>
      <c r="FW107" s="32"/>
      <c r="FX107" s="32"/>
      <c r="FY107" s="32"/>
      <c r="FZ107" s="32"/>
      <c r="GA107" s="32"/>
      <c r="GB107" s="32"/>
      <c r="GC107" s="32"/>
      <c r="GD107" s="32"/>
      <c r="GE107" s="32"/>
      <c r="GF107" s="32"/>
      <c r="GG107" s="32"/>
      <c r="GH107" s="32"/>
      <c r="GI107" s="32"/>
      <c r="GJ107" s="32"/>
      <c r="GK107" s="32"/>
      <c r="GL107" s="32"/>
      <c r="GM107" s="32"/>
      <c r="GN107" s="32"/>
      <c r="GO107" s="32"/>
      <c r="GP107" s="32"/>
      <c r="GQ107" s="32"/>
      <c r="GR107" s="32"/>
      <c r="GS107" s="32"/>
      <c r="GT107" s="32"/>
      <c r="GU107" s="32"/>
      <c r="GV107" s="32"/>
      <c r="GW107" s="32"/>
      <c r="GX107" s="32"/>
      <c r="GY107" s="32"/>
      <c r="GZ107" s="32"/>
      <c r="HA107" s="32"/>
      <c r="HB107" s="32"/>
      <c r="HC107" s="32"/>
      <c r="HD107" s="32"/>
      <c r="HE107" s="32"/>
      <c r="HF107" s="32"/>
      <c r="HG107" s="32"/>
      <c r="HH107" s="32"/>
      <c r="HI107" s="32"/>
      <c r="HJ107" s="32"/>
      <c r="HK107" s="32"/>
      <c r="HL107" s="32"/>
      <c r="HM107" s="32"/>
      <c r="HN107" s="32"/>
      <c r="HO107" s="32"/>
      <c r="HP107" s="32"/>
    </row>
    <row r="108" spans="1:224" x14ac:dyDescent="0.25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  <c r="EW108" s="32"/>
      <c r="EX108" s="32"/>
      <c r="EY108" s="32"/>
      <c r="EZ108" s="32"/>
      <c r="FA108" s="32"/>
      <c r="FB108" s="32"/>
      <c r="FC108" s="32"/>
      <c r="FD108" s="32"/>
      <c r="FE108" s="32"/>
      <c r="FF108" s="32"/>
      <c r="FG108" s="32"/>
      <c r="FH108" s="32"/>
      <c r="FI108" s="32"/>
      <c r="FJ108" s="32"/>
      <c r="FK108" s="32"/>
      <c r="FL108" s="32"/>
      <c r="FM108" s="32"/>
      <c r="FN108" s="32"/>
      <c r="FO108" s="32"/>
      <c r="FP108" s="32"/>
      <c r="FQ108" s="32"/>
      <c r="FR108" s="32"/>
      <c r="FS108" s="32"/>
      <c r="FT108" s="32"/>
      <c r="FU108" s="32"/>
      <c r="FV108" s="32"/>
      <c r="FW108" s="32"/>
      <c r="FX108" s="32"/>
      <c r="FY108" s="32"/>
      <c r="FZ108" s="32"/>
      <c r="GA108" s="32"/>
      <c r="GB108" s="32"/>
      <c r="GC108" s="32"/>
      <c r="GD108" s="32"/>
      <c r="GE108" s="32"/>
      <c r="GF108" s="32"/>
      <c r="GG108" s="32"/>
      <c r="GH108" s="32"/>
      <c r="GI108" s="32"/>
      <c r="GJ108" s="32"/>
      <c r="GK108" s="32"/>
      <c r="GL108" s="32"/>
      <c r="GM108" s="32"/>
      <c r="GN108" s="32"/>
      <c r="GO108" s="32"/>
      <c r="GP108" s="32"/>
      <c r="GQ108" s="32"/>
      <c r="GR108" s="32"/>
      <c r="GS108" s="32"/>
      <c r="GT108" s="32"/>
      <c r="GU108" s="32"/>
      <c r="GV108" s="32"/>
      <c r="GW108" s="32"/>
      <c r="GX108" s="32"/>
      <c r="GY108" s="32"/>
      <c r="GZ108" s="32"/>
      <c r="HA108" s="32"/>
      <c r="HB108" s="32"/>
      <c r="HC108" s="32"/>
      <c r="HD108" s="32"/>
      <c r="HE108" s="32"/>
      <c r="HF108" s="32"/>
      <c r="HG108" s="32"/>
      <c r="HH108" s="32"/>
      <c r="HI108" s="32"/>
      <c r="HJ108" s="32"/>
      <c r="HK108" s="32"/>
      <c r="HL108" s="32"/>
      <c r="HM108" s="32"/>
      <c r="HN108" s="32"/>
      <c r="HO108" s="32"/>
      <c r="HP108" s="32"/>
    </row>
    <row r="109" spans="1:224" x14ac:dyDescent="0.25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  <c r="EW109" s="32"/>
      <c r="EX109" s="32"/>
      <c r="EY109" s="32"/>
      <c r="EZ109" s="32"/>
      <c r="FA109" s="32"/>
      <c r="FB109" s="32"/>
      <c r="FC109" s="32"/>
      <c r="FD109" s="32"/>
      <c r="FE109" s="32"/>
      <c r="FF109" s="32"/>
      <c r="FG109" s="32"/>
      <c r="FH109" s="32"/>
      <c r="FI109" s="32"/>
      <c r="FJ109" s="32"/>
      <c r="FK109" s="32"/>
      <c r="FL109" s="32"/>
      <c r="FM109" s="32"/>
      <c r="FN109" s="32"/>
      <c r="FO109" s="32"/>
      <c r="FP109" s="32"/>
      <c r="FQ109" s="32"/>
      <c r="FR109" s="32"/>
      <c r="FS109" s="32"/>
      <c r="FT109" s="32"/>
      <c r="FU109" s="32"/>
      <c r="FV109" s="32"/>
      <c r="FW109" s="32"/>
      <c r="FX109" s="32"/>
      <c r="FY109" s="32"/>
      <c r="FZ109" s="32"/>
      <c r="GA109" s="32"/>
      <c r="GB109" s="32"/>
      <c r="GC109" s="32"/>
      <c r="GD109" s="32"/>
      <c r="GE109" s="32"/>
      <c r="GF109" s="32"/>
      <c r="GG109" s="32"/>
      <c r="GH109" s="32"/>
      <c r="GI109" s="32"/>
      <c r="GJ109" s="32"/>
      <c r="GK109" s="32"/>
      <c r="GL109" s="32"/>
      <c r="GM109" s="32"/>
      <c r="GN109" s="32"/>
      <c r="GO109" s="32"/>
      <c r="GP109" s="32"/>
      <c r="GQ109" s="32"/>
      <c r="GR109" s="32"/>
      <c r="GS109" s="32"/>
      <c r="GT109" s="32"/>
      <c r="GU109" s="32"/>
      <c r="GV109" s="32"/>
      <c r="GW109" s="32"/>
      <c r="GX109" s="32"/>
      <c r="GY109" s="32"/>
      <c r="GZ109" s="32"/>
      <c r="HA109" s="32"/>
      <c r="HB109" s="32"/>
      <c r="HC109" s="32"/>
      <c r="HD109" s="32"/>
      <c r="HE109" s="32"/>
      <c r="HF109" s="32"/>
      <c r="HG109" s="32"/>
      <c r="HH109" s="32"/>
      <c r="HI109" s="32"/>
      <c r="HJ109" s="32"/>
      <c r="HK109" s="32"/>
      <c r="HL109" s="32"/>
      <c r="HM109" s="32"/>
      <c r="HN109" s="32"/>
      <c r="HO109" s="32"/>
      <c r="HP109" s="32"/>
    </row>
    <row r="110" spans="1:224" x14ac:dyDescent="0.25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  <c r="EW110" s="32"/>
      <c r="EX110" s="32"/>
      <c r="EY110" s="32"/>
      <c r="EZ110" s="32"/>
      <c r="FA110" s="32"/>
      <c r="FB110" s="32"/>
      <c r="FC110" s="32"/>
      <c r="FD110" s="32"/>
      <c r="FE110" s="32"/>
      <c r="FF110" s="32"/>
      <c r="FG110" s="32"/>
      <c r="FH110" s="32"/>
      <c r="FI110" s="32"/>
      <c r="FJ110" s="32"/>
      <c r="FK110" s="32"/>
      <c r="FL110" s="32"/>
      <c r="FM110" s="32"/>
      <c r="FN110" s="32"/>
      <c r="FO110" s="32"/>
      <c r="FP110" s="32"/>
      <c r="FQ110" s="32"/>
      <c r="FR110" s="32"/>
      <c r="FS110" s="32"/>
      <c r="FT110" s="32"/>
      <c r="FU110" s="32"/>
      <c r="FV110" s="32"/>
      <c r="FW110" s="32"/>
      <c r="FX110" s="32"/>
      <c r="FY110" s="32"/>
      <c r="FZ110" s="32"/>
      <c r="GA110" s="32"/>
      <c r="GB110" s="32"/>
      <c r="GC110" s="32"/>
      <c r="GD110" s="32"/>
      <c r="GE110" s="32"/>
      <c r="GF110" s="32"/>
      <c r="GG110" s="32"/>
      <c r="GH110" s="32"/>
      <c r="GI110" s="32"/>
      <c r="GJ110" s="32"/>
      <c r="GK110" s="32"/>
      <c r="GL110" s="32"/>
      <c r="GM110" s="32"/>
      <c r="GN110" s="32"/>
      <c r="GO110" s="32"/>
      <c r="GP110" s="32"/>
      <c r="GQ110" s="32"/>
      <c r="GR110" s="32"/>
      <c r="GS110" s="32"/>
      <c r="GT110" s="32"/>
      <c r="GU110" s="32"/>
      <c r="GV110" s="32"/>
      <c r="GW110" s="32"/>
      <c r="GX110" s="32"/>
      <c r="GY110" s="32"/>
      <c r="GZ110" s="32"/>
      <c r="HA110" s="32"/>
      <c r="HB110" s="32"/>
      <c r="HC110" s="32"/>
      <c r="HD110" s="32"/>
      <c r="HE110" s="32"/>
      <c r="HF110" s="32"/>
      <c r="HG110" s="32"/>
      <c r="HH110" s="32"/>
      <c r="HI110" s="32"/>
      <c r="HJ110" s="32"/>
      <c r="HK110" s="32"/>
      <c r="HL110" s="32"/>
      <c r="HM110" s="32"/>
      <c r="HN110" s="32"/>
      <c r="HO110" s="32"/>
      <c r="HP110" s="32"/>
    </row>
    <row r="111" spans="1:224" x14ac:dyDescent="0.25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  <c r="EW111" s="32"/>
      <c r="EX111" s="32"/>
      <c r="EY111" s="32"/>
      <c r="EZ111" s="32"/>
      <c r="FA111" s="32"/>
      <c r="FB111" s="32"/>
      <c r="FC111" s="32"/>
      <c r="FD111" s="32"/>
      <c r="FE111" s="32"/>
      <c r="FF111" s="32"/>
      <c r="FG111" s="32"/>
      <c r="FH111" s="32"/>
      <c r="FI111" s="32"/>
      <c r="FJ111" s="32"/>
      <c r="FK111" s="32"/>
      <c r="FL111" s="32"/>
      <c r="FM111" s="32"/>
      <c r="FN111" s="32"/>
      <c r="FO111" s="32"/>
      <c r="FP111" s="32"/>
      <c r="FQ111" s="32"/>
      <c r="FR111" s="32"/>
      <c r="FS111" s="32"/>
      <c r="FT111" s="32"/>
      <c r="FU111" s="32"/>
      <c r="FV111" s="32"/>
      <c r="FW111" s="32"/>
      <c r="FX111" s="32"/>
      <c r="FY111" s="32"/>
      <c r="FZ111" s="32"/>
      <c r="GA111" s="32"/>
      <c r="GB111" s="32"/>
      <c r="GC111" s="32"/>
      <c r="GD111" s="32"/>
      <c r="GE111" s="32"/>
      <c r="GF111" s="32"/>
      <c r="GG111" s="32"/>
      <c r="GH111" s="32"/>
      <c r="GI111" s="32"/>
      <c r="GJ111" s="32"/>
      <c r="GK111" s="32"/>
      <c r="GL111" s="32"/>
      <c r="GM111" s="32"/>
      <c r="GN111" s="32"/>
      <c r="GO111" s="32"/>
      <c r="GP111" s="32"/>
      <c r="GQ111" s="32"/>
      <c r="GR111" s="32"/>
      <c r="GS111" s="32"/>
      <c r="GT111" s="32"/>
      <c r="GU111" s="32"/>
      <c r="GV111" s="32"/>
      <c r="GW111" s="32"/>
      <c r="GX111" s="32"/>
      <c r="GY111" s="32"/>
      <c r="GZ111" s="32"/>
      <c r="HA111" s="32"/>
      <c r="HB111" s="32"/>
      <c r="HC111" s="32"/>
      <c r="HD111" s="32"/>
      <c r="HE111" s="32"/>
      <c r="HF111" s="32"/>
      <c r="HG111" s="32"/>
      <c r="HH111" s="32"/>
      <c r="HI111" s="32"/>
      <c r="HJ111" s="32"/>
      <c r="HK111" s="32"/>
      <c r="HL111" s="32"/>
      <c r="HM111" s="32"/>
      <c r="HN111" s="32"/>
      <c r="HO111" s="32"/>
      <c r="HP111" s="32"/>
    </row>
    <row r="112" spans="1:224" x14ac:dyDescent="0.25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  <c r="EW112" s="32"/>
      <c r="EX112" s="32"/>
      <c r="EY112" s="32"/>
      <c r="EZ112" s="32"/>
      <c r="FA112" s="32"/>
      <c r="FB112" s="32"/>
      <c r="FC112" s="32"/>
      <c r="FD112" s="32"/>
      <c r="FE112" s="32"/>
      <c r="FF112" s="32"/>
      <c r="FG112" s="32"/>
      <c r="FH112" s="32"/>
      <c r="FI112" s="32"/>
      <c r="FJ112" s="32"/>
      <c r="FK112" s="32"/>
      <c r="FL112" s="32"/>
      <c r="FM112" s="32"/>
      <c r="FN112" s="32"/>
      <c r="FO112" s="32"/>
      <c r="FP112" s="32"/>
      <c r="FQ112" s="32"/>
      <c r="FR112" s="32"/>
      <c r="FS112" s="32"/>
      <c r="FT112" s="32"/>
      <c r="FU112" s="32"/>
      <c r="FV112" s="32"/>
      <c r="FW112" s="32"/>
      <c r="FX112" s="32"/>
      <c r="FY112" s="32"/>
      <c r="FZ112" s="32"/>
      <c r="GA112" s="32"/>
      <c r="GB112" s="32"/>
      <c r="GC112" s="32"/>
      <c r="GD112" s="32"/>
      <c r="GE112" s="32"/>
      <c r="GF112" s="32"/>
      <c r="GG112" s="32"/>
      <c r="GH112" s="32"/>
      <c r="GI112" s="32"/>
      <c r="GJ112" s="32"/>
      <c r="GK112" s="32"/>
      <c r="GL112" s="32"/>
      <c r="GM112" s="32"/>
      <c r="GN112" s="32"/>
      <c r="GO112" s="32"/>
      <c r="GP112" s="32"/>
      <c r="GQ112" s="32"/>
      <c r="GR112" s="32"/>
      <c r="GS112" s="32"/>
      <c r="GT112" s="32"/>
      <c r="GU112" s="32"/>
      <c r="GV112" s="32"/>
      <c r="GW112" s="32"/>
      <c r="GX112" s="32"/>
      <c r="GY112" s="32"/>
      <c r="GZ112" s="32"/>
      <c r="HA112" s="32"/>
      <c r="HB112" s="32"/>
      <c r="HC112" s="32"/>
      <c r="HD112" s="32"/>
      <c r="HE112" s="32"/>
      <c r="HF112" s="32"/>
      <c r="HG112" s="32"/>
      <c r="HH112" s="32"/>
      <c r="HI112" s="32"/>
      <c r="HJ112" s="32"/>
      <c r="HK112" s="32"/>
      <c r="HL112" s="32"/>
      <c r="HM112" s="32"/>
      <c r="HN112" s="32"/>
      <c r="HO112" s="32"/>
      <c r="HP112" s="32"/>
    </row>
    <row r="113" spans="1:224" x14ac:dyDescent="0.25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  <c r="EW113" s="32"/>
      <c r="EX113" s="32"/>
      <c r="EY113" s="32"/>
      <c r="EZ113" s="32"/>
      <c r="FA113" s="32"/>
      <c r="FB113" s="32"/>
      <c r="FC113" s="32"/>
      <c r="FD113" s="32"/>
      <c r="FE113" s="32"/>
      <c r="FF113" s="32"/>
      <c r="FG113" s="32"/>
      <c r="FH113" s="32"/>
      <c r="FI113" s="32"/>
      <c r="FJ113" s="32"/>
      <c r="FK113" s="32"/>
      <c r="FL113" s="32"/>
      <c r="FM113" s="32"/>
      <c r="FN113" s="32"/>
      <c r="FO113" s="32"/>
      <c r="FP113" s="32"/>
      <c r="FQ113" s="32"/>
      <c r="FR113" s="32"/>
      <c r="FS113" s="32"/>
      <c r="FT113" s="32"/>
      <c r="FU113" s="32"/>
      <c r="FV113" s="32"/>
      <c r="FW113" s="32"/>
      <c r="FX113" s="32"/>
      <c r="FY113" s="32"/>
      <c r="FZ113" s="32"/>
      <c r="GA113" s="32"/>
      <c r="GB113" s="32"/>
      <c r="GC113" s="32"/>
      <c r="GD113" s="32"/>
      <c r="GE113" s="32"/>
      <c r="GF113" s="32"/>
      <c r="GG113" s="32"/>
      <c r="GH113" s="32"/>
      <c r="GI113" s="32"/>
      <c r="GJ113" s="32"/>
      <c r="GK113" s="32"/>
      <c r="GL113" s="32"/>
      <c r="GM113" s="32"/>
      <c r="GN113" s="32"/>
      <c r="GO113" s="32"/>
      <c r="GP113" s="32"/>
      <c r="GQ113" s="32"/>
      <c r="GR113" s="32"/>
      <c r="GS113" s="32"/>
      <c r="GT113" s="32"/>
      <c r="GU113" s="32"/>
      <c r="GV113" s="32"/>
      <c r="GW113" s="32"/>
      <c r="GX113" s="32"/>
      <c r="GY113" s="32"/>
      <c r="GZ113" s="32"/>
      <c r="HA113" s="32"/>
      <c r="HB113" s="32"/>
      <c r="HC113" s="32"/>
      <c r="HD113" s="32"/>
      <c r="HE113" s="32"/>
      <c r="HF113" s="32"/>
      <c r="HG113" s="32"/>
      <c r="HH113" s="32"/>
      <c r="HI113" s="32"/>
      <c r="HJ113" s="32"/>
      <c r="HK113" s="32"/>
      <c r="HL113" s="32"/>
      <c r="HM113" s="32"/>
      <c r="HN113" s="32"/>
      <c r="HO113" s="32"/>
      <c r="HP113" s="32"/>
    </row>
    <row r="114" spans="1:224" x14ac:dyDescent="0.25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  <c r="EW114" s="32"/>
      <c r="EX114" s="32"/>
      <c r="EY114" s="32"/>
      <c r="EZ114" s="32"/>
      <c r="FA114" s="32"/>
      <c r="FB114" s="32"/>
      <c r="FC114" s="32"/>
      <c r="FD114" s="32"/>
      <c r="FE114" s="32"/>
      <c r="FF114" s="32"/>
      <c r="FG114" s="32"/>
      <c r="FH114" s="32"/>
      <c r="FI114" s="32"/>
      <c r="FJ114" s="32"/>
      <c r="FK114" s="32"/>
      <c r="FL114" s="32"/>
      <c r="FM114" s="32"/>
      <c r="FN114" s="32"/>
      <c r="FO114" s="32"/>
      <c r="FP114" s="32"/>
      <c r="FQ114" s="32"/>
      <c r="FR114" s="32"/>
      <c r="FS114" s="32"/>
      <c r="FT114" s="32"/>
      <c r="FU114" s="32"/>
      <c r="FV114" s="32"/>
      <c r="FW114" s="32"/>
      <c r="FX114" s="32"/>
      <c r="FY114" s="32"/>
      <c r="FZ114" s="32"/>
      <c r="GA114" s="32"/>
      <c r="GB114" s="32"/>
      <c r="GC114" s="32"/>
      <c r="GD114" s="32"/>
      <c r="GE114" s="32"/>
      <c r="GF114" s="32"/>
      <c r="GG114" s="32"/>
      <c r="GH114" s="32"/>
      <c r="GI114" s="32"/>
      <c r="GJ114" s="32"/>
      <c r="GK114" s="32"/>
      <c r="GL114" s="32"/>
      <c r="GM114" s="32"/>
      <c r="GN114" s="32"/>
      <c r="GO114" s="32"/>
      <c r="GP114" s="32"/>
      <c r="GQ114" s="32"/>
      <c r="GR114" s="32"/>
      <c r="GS114" s="32"/>
      <c r="GT114" s="32"/>
      <c r="GU114" s="32"/>
      <c r="GV114" s="32"/>
      <c r="GW114" s="32"/>
      <c r="GX114" s="32"/>
      <c r="GY114" s="32"/>
      <c r="GZ114" s="32"/>
      <c r="HA114" s="32"/>
      <c r="HB114" s="32"/>
      <c r="HC114" s="32"/>
      <c r="HD114" s="32"/>
      <c r="HE114" s="32"/>
      <c r="HF114" s="32"/>
      <c r="HG114" s="32"/>
      <c r="HH114" s="32"/>
      <c r="HI114" s="32"/>
      <c r="HJ114" s="32"/>
      <c r="HK114" s="32"/>
      <c r="HL114" s="32"/>
      <c r="HM114" s="32"/>
      <c r="HN114" s="32"/>
      <c r="HO114" s="32"/>
      <c r="HP114" s="32"/>
    </row>
    <row r="115" spans="1:224" x14ac:dyDescent="0.2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  <c r="EW115" s="32"/>
      <c r="EX115" s="32"/>
      <c r="EY115" s="32"/>
      <c r="EZ115" s="32"/>
      <c r="FA115" s="32"/>
      <c r="FB115" s="32"/>
      <c r="FC115" s="32"/>
      <c r="FD115" s="32"/>
      <c r="FE115" s="32"/>
      <c r="FF115" s="32"/>
      <c r="FG115" s="32"/>
      <c r="FH115" s="32"/>
      <c r="FI115" s="32"/>
      <c r="FJ115" s="32"/>
      <c r="FK115" s="32"/>
      <c r="FL115" s="32"/>
      <c r="FM115" s="32"/>
      <c r="FN115" s="32"/>
      <c r="FO115" s="32"/>
      <c r="FP115" s="32"/>
      <c r="FQ115" s="32"/>
      <c r="FR115" s="32"/>
      <c r="FS115" s="32"/>
      <c r="FT115" s="32"/>
      <c r="FU115" s="32"/>
      <c r="FV115" s="32"/>
      <c r="FW115" s="32"/>
      <c r="FX115" s="32"/>
      <c r="FY115" s="32"/>
      <c r="FZ115" s="32"/>
      <c r="GA115" s="32"/>
      <c r="GB115" s="32"/>
      <c r="GC115" s="32"/>
      <c r="GD115" s="32"/>
      <c r="GE115" s="32"/>
      <c r="GF115" s="32"/>
      <c r="GG115" s="32"/>
      <c r="GH115" s="32"/>
      <c r="GI115" s="32"/>
      <c r="GJ115" s="32"/>
      <c r="GK115" s="32"/>
      <c r="GL115" s="32"/>
      <c r="GM115" s="32"/>
      <c r="GN115" s="32"/>
      <c r="GO115" s="32"/>
      <c r="GP115" s="32"/>
      <c r="GQ115" s="32"/>
      <c r="GR115" s="32"/>
      <c r="GS115" s="32"/>
      <c r="GT115" s="32"/>
      <c r="GU115" s="32"/>
      <c r="GV115" s="32"/>
      <c r="GW115" s="32"/>
      <c r="GX115" s="32"/>
      <c r="GY115" s="32"/>
      <c r="GZ115" s="32"/>
      <c r="HA115" s="32"/>
      <c r="HB115" s="32"/>
      <c r="HC115" s="32"/>
      <c r="HD115" s="32"/>
      <c r="HE115" s="32"/>
      <c r="HF115" s="32"/>
      <c r="HG115" s="32"/>
      <c r="HH115" s="32"/>
      <c r="HI115" s="32"/>
      <c r="HJ115" s="32"/>
      <c r="HK115" s="32"/>
      <c r="HL115" s="32"/>
      <c r="HM115" s="32"/>
      <c r="HN115" s="32"/>
      <c r="HO115" s="32"/>
      <c r="HP115" s="32"/>
    </row>
    <row r="116" spans="1:224" x14ac:dyDescent="0.25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  <c r="EW116" s="32"/>
      <c r="EX116" s="32"/>
      <c r="EY116" s="32"/>
      <c r="EZ116" s="32"/>
      <c r="FA116" s="32"/>
      <c r="FB116" s="32"/>
      <c r="FC116" s="32"/>
      <c r="FD116" s="32"/>
      <c r="FE116" s="32"/>
      <c r="FF116" s="32"/>
      <c r="FG116" s="32"/>
      <c r="FH116" s="32"/>
      <c r="FI116" s="32"/>
      <c r="FJ116" s="32"/>
      <c r="FK116" s="32"/>
      <c r="FL116" s="32"/>
      <c r="FM116" s="32"/>
      <c r="FN116" s="32"/>
      <c r="FO116" s="32"/>
      <c r="FP116" s="32"/>
      <c r="FQ116" s="32"/>
      <c r="FR116" s="32"/>
      <c r="FS116" s="32"/>
      <c r="FT116" s="32"/>
      <c r="FU116" s="32"/>
      <c r="FV116" s="32"/>
      <c r="FW116" s="32"/>
      <c r="FX116" s="32"/>
      <c r="FY116" s="32"/>
      <c r="FZ116" s="32"/>
      <c r="GA116" s="32"/>
      <c r="GB116" s="32"/>
      <c r="GC116" s="32"/>
      <c r="GD116" s="32"/>
      <c r="GE116" s="32"/>
      <c r="GF116" s="32"/>
      <c r="GG116" s="32"/>
      <c r="GH116" s="32"/>
      <c r="GI116" s="32"/>
      <c r="GJ116" s="32"/>
      <c r="GK116" s="32"/>
      <c r="GL116" s="32"/>
      <c r="GM116" s="32"/>
      <c r="GN116" s="32"/>
      <c r="GO116" s="32"/>
      <c r="GP116" s="32"/>
      <c r="GQ116" s="32"/>
      <c r="GR116" s="32"/>
      <c r="GS116" s="32"/>
      <c r="GT116" s="32"/>
      <c r="GU116" s="32"/>
      <c r="GV116" s="32"/>
      <c r="GW116" s="32"/>
      <c r="GX116" s="32"/>
      <c r="GY116" s="32"/>
      <c r="GZ116" s="32"/>
      <c r="HA116" s="32"/>
      <c r="HB116" s="32"/>
      <c r="HC116" s="32"/>
      <c r="HD116" s="32"/>
      <c r="HE116" s="32"/>
      <c r="HF116" s="32"/>
      <c r="HG116" s="32"/>
      <c r="HH116" s="32"/>
      <c r="HI116" s="32"/>
      <c r="HJ116" s="32"/>
      <c r="HK116" s="32"/>
      <c r="HL116" s="32"/>
      <c r="HM116" s="32"/>
      <c r="HN116" s="32"/>
      <c r="HO116" s="32"/>
      <c r="HP116" s="32"/>
    </row>
    <row r="117" spans="1:224" x14ac:dyDescent="0.25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  <c r="EW117" s="32"/>
      <c r="EX117" s="32"/>
      <c r="EY117" s="32"/>
      <c r="EZ117" s="32"/>
      <c r="FA117" s="32"/>
      <c r="FB117" s="32"/>
      <c r="FC117" s="32"/>
      <c r="FD117" s="32"/>
      <c r="FE117" s="32"/>
      <c r="FF117" s="32"/>
      <c r="FG117" s="32"/>
      <c r="FH117" s="32"/>
      <c r="FI117" s="32"/>
      <c r="FJ117" s="32"/>
      <c r="FK117" s="32"/>
      <c r="FL117" s="32"/>
      <c r="FM117" s="32"/>
      <c r="FN117" s="32"/>
      <c r="FO117" s="32"/>
      <c r="FP117" s="32"/>
      <c r="FQ117" s="32"/>
      <c r="FR117" s="32"/>
      <c r="FS117" s="32"/>
      <c r="FT117" s="32"/>
      <c r="FU117" s="32"/>
      <c r="FV117" s="32"/>
      <c r="FW117" s="32"/>
      <c r="FX117" s="32"/>
      <c r="FY117" s="32"/>
      <c r="FZ117" s="32"/>
      <c r="GA117" s="32"/>
      <c r="GB117" s="32"/>
      <c r="GC117" s="32"/>
      <c r="GD117" s="32"/>
      <c r="GE117" s="32"/>
      <c r="GF117" s="32"/>
      <c r="GG117" s="32"/>
      <c r="GH117" s="32"/>
      <c r="GI117" s="32"/>
      <c r="GJ117" s="32"/>
      <c r="GK117" s="32"/>
      <c r="GL117" s="32"/>
      <c r="GM117" s="32"/>
      <c r="GN117" s="32"/>
      <c r="GO117" s="32"/>
      <c r="GP117" s="32"/>
      <c r="GQ117" s="32"/>
      <c r="GR117" s="32"/>
      <c r="GS117" s="32"/>
      <c r="GT117" s="32"/>
      <c r="GU117" s="32"/>
      <c r="GV117" s="32"/>
      <c r="GW117" s="32"/>
      <c r="GX117" s="32"/>
      <c r="GY117" s="32"/>
      <c r="GZ117" s="32"/>
      <c r="HA117" s="32"/>
      <c r="HB117" s="32"/>
      <c r="HC117" s="32"/>
      <c r="HD117" s="32"/>
      <c r="HE117" s="32"/>
      <c r="HF117" s="32"/>
      <c r="HG117" s="32"/>
      <c r="HH117" s="32"/>
      <c r="HI117" s="32"/>
      <c r="HJ117" s="32"/>
      <c r="HK117" s="32"/>
      <c r="HL117" s="32"/>
      <c r="HM117" s="32"/>
      <c r="HN117" s="32"/>
      <c r="HO117" s="32"/>
      <c r="HP117" s="32"/>
    </row>
    <row r="118" spans="1:224" x14ac:dyDescent="0.25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  <c r="EW118" s="32"/>
      <c r="EX118" s="32"/>
      <c r="EY118" s="32"/>
      <c r="EZ118" s="32"/>
      <c r="FA118" s="32"/>
      <c r="FB118" s="32"/>
      <c r="FC118" s="32"/>
      <c r="FD118" s="32"/>
      <c r="FE118" s="32"/>
      <c r="FF118" s="32"/>
      <c r="FG118" s="32"/>
      <c r="FH118" s="32"/>
      <c r="FI118" s="32"/>
      <c r="FJ118" s="32"/>
      <c r="FK118" s="32"/>
      <c r="FL118" s="32"/>
      <c r="FM118" s="32"/>
      <c r="FN118" s="32"/>
      <c r="FO118" s="32"/>
      <c r="FP118" s="32"/>
      <c r="FQ118" s="32"/>
      <c r="FR118" s="32"/>
      <c r="FS118" s="32"/>
      <c r="FT118" s="32"/>
      <c r="FU118" s="32"/>
      <c r="FV118" s="32"/>
      <c r="FW118" s="32"/>
      <c r="FX118" s="32"/>
      <c r="FY118" s="32"/>
      <c r="FZ118" s="32"/>
      <c r="GA118" s="32"/>
      <c r="GB118" s="32"/>
      <c r="GC118" s="32"/>
      <c r="GD118" s="32"/>
      <c r="GE118" s="32"/>
      <c r="GF118" s="32"/>
      <c r="GG118" s="32"/>
      <c r="GH118" s="32"/>
      <c r="GI118" s="32"/>
      <c r="GJ118" s="32"/>
      <c r="GK118" s="32"/>
      <c r="GL118" s="32"/>
      <c r="GM118" s="32"/>
      <c r="GN118" s="32"/>
      <c r="GO118" s="32"/>
      <c r="GP118" s="32"/>
      <c r="GQ118" s="32"/>
      <c r="GR118" s="32"/>
      <c r="GS118" s="32"/>
      <c r="GT118" s="32"/>
      <c r="GU118" s="32"/>
      <c r="GV118" s="32"/>
      <c r="GW118" s="32"/>
      <c r="GX118" s="32"/>
      <c r="GY118" s="32"/>
      <c r="GZ118" s="32"/>
      <c r="HA118" s="32"/>
      <c r="HB118" s="32"/>
      <c r="HC118" s="32"/>
      <c r="HD118" s="32"/>
      <c r="HE118" s="32"/>
      <c r="HF118" s="32"/>
      <c r="HG118" s="32"/>
      <c r="HH118" s="32"/>
      <c r="HI118" s="32"/>
      <c r="HJ118" s="32"/>
      <c r="HK118" s="32"/>
      <c r="HL118" s="32"/>
      <c r="HM118" s="32"/>
      <c r="HN118" s="32"/>
      <c r="HO118" s="32"/>
      <c r="HP118" s="32"/>
    </row>
    <row r="119" spans="1:224" x14ac:dyDescent="0.25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  <c r="EW119" s="32"/>
      <c r="EX119" s="32"/>
      <c r="EY119" s="32"/>
      <c r="EZ119" s="32"/>
      <c r="FA119" s="32"/>
      <c r="FB119" s="32"/>
      <c r="FC119" s="32"/>
      <c r="FD119" s="32"/>
      <c r="FE119" s="32"/>
      <c r="FF119" s="32"/>
      <c r="FG119" s="32"/>
      <c r="FH119" s="32"/>
      <c r="FI119" s="32"/>
      <c r="FJ119" s="32"/>
      <c r="FK119" s="32"/>
      <c r="FL119" s="32"/>
      <c r="FM119" s="32"/>
      <c r="FN119" s="32"/>
      <c r="FO119" s="32"/>
      <c r="FP119" s="32"/>
      <c r="FQ119" s="32"/>
      <c r="FR119" s="32"/>
      <c r="FS119" s="32"/>
      <c r="FT119" s="32"/>
      <c r="FU119" s="32"/>
      <c r="FV119" s="32"/>
      <c r="FW119" s="32"/>
      <c r="FX119" s="32"/>
      <c r="FY119" s="32"/>
      <c r="FZ119" s="32"/>
      <c r="GA119" s="32"/>
      <c r="GB119" s="32"/>
      <c r="GC119" s="32"/>
      <c r="GD119" s="32"/>
      <c r="GE119" s="32"/>
      <c r="GF119" s="32"/>
      <c r="GG119" s="32"/>
      <c r="GH119" s="32"/>
      <c r="GI119" s="32"/>
      <c r="GJ119" s="32"/>
      <c r="GK119" s="32"/>
      <c r="GL119" s="32"/>
      <c r="GM119" s="32"/>
      <c r="GN119" s="32"/>
      <c r="GO119" s="32"/>
      <c r="GP119" s="32"/>
      <c r="GQ119" s="32"/>
      <c r="GR119" s="32"/>
      <c r="GS119" s="32"/>
      <c r="GT119" s="32"/>
      <c r="GU119" s="32"/>
      <c r="GV119" s="32"/>
      <c r="GW119" s="32"/>
      <c r="GX119" s="32"/>
      <c r="GY119" s="32"/>
      <c r="GZ119" s="32"/>
      <c r="HA119" s="32"/>
      <c r="HB119" s="32"/>
      <c r="HC119" s="32"/>
      <c r="HD119" s="32"/>
      <c r="HE119" s="32"/>
      <c r="HF119" s="32"/>
      <c r="HG119" s="32"/>
      <c r="HH119" s="32"/>
      <c r="HI119" s="32"/>
      <c r="HJ119" s="32"/>
      <c r="HK119" s="32"/>
      <c r="HL119" s="32"/>
      <c r="HM119" s="32"/>
      <c r="HN119" s="32"/>
      <c r="HO119" s="32"/>
      <c r="HP119" s="32"/>
    </row>
    <row r="120" spans="1:224" x14ac:dyDescent="0.25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  <c r="EW120" s="32"/>
      <c r="EX120" s="32"/>
      <c r="EY120" s="32"/>
      <c r="EZ120" s="32"/>
      <c r="FA120" s="32"/>
      <c r="FB120" s="32"/>
      <c r="FC120" s="32"/>
      <c r="FD120" s="32"/>
      <c r="FE120" s="32"/>
      <c r="FF120" s="32"/>
      <c r="FG120" s="32"/>
      <c r="FH120" s="32"/>
      <c r="FI120" s="32"/>
      <c r="FJ120" s="32"/>
      <c r="FK120" s="32"/>
      <c r="FL120" s="32"/>
      <c r="FM120" s="32"/>
      <c r="FN120" s="32"/>
      <c r="FO120" s="32"/>
      <c r="FP120" s="32"/>
      <c r="FQ120" s="32"/>
      <c r="FR120" s="32"/>
      <c r="FS120" s="32"/>
      <c r="FT120" s="32"/>
      <c r="FU120" s="32"/>
      <c r="FV120" s="32"/>
      <c r="FW120" s="32"/>
      <c r="FX120" s="32"/>
      <c r="FY120" s="32"/>
      <c r="FZ120" s="32"/>
      <c r="GA120" s="32"/>
      <c r="GB120" s="32"/>
      <c r="GC120" s="32"/>
      <c r="GD120" s="32"/>
      <c r="GE120" s="32"/>
      <c r="GF120" s="32"/>
      <c r="GG120" s="32"/>
      <c r="GH120" s="32"/>
      <c r="GI120" s="32"/>
      <c r="GJ120" s="32"/>
      <c r="GK120" s="32"/>
      <c r="GL120" s="32"/>
      <c r="GM120" s="32"/>
      <c r="GN120" s="32"/>
      <c r="GO120" s="32"/>
      <c r="GP120" s="32"/>
      <c r="GQ120" s="32"/>
      <c r="GR120" s="32"/>
      <c r="GS120" s="32"/>
      <c r="GT120" s="32"/>
      <c r="GU120" s="32"/>
      <c r="GV120" s="32"/>
      <c r="GW120" s="32"/>
      <c r="GX120" s="32"/>
      <c r="GY120" s="32"/>
      <c r="GZ120" s="32"/>
      <c r="HA120" s="32"/>
      <c r="HB120" s="32"/>
      <c r="HC120" s="32"/>
      <c r="HD120" s="32"/>
      <c r="HE120" s="32"/>
      <c r="HF120" s="32"/>
      <c r="HG120" s="32"/>
      <c r="HH120" s="32"/>
      <c r="HI120" s="32"/>
      <c r="HJ120" s="32"/>
      <c r="HK120" s="32"/>
      <c r="HL120" s="32"/>
      <c r="HM120" s="32"/>
      <c r="HN120" s="32"/>
      <c r="HO120" s="32"/>
      <c r="HP120" s="32"/>
    </row>
    <row r="121" spans="1:224" x14ac:dyDescent="0.25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  <c r="EW121" s="32"/>
      <c r="EX121" s="32"/>
      <c r="EY121" s="32"/>
      <c r="EZ121" s="32"/>
      <c r="FA121" s="32"/>
      <c r="FB121" s="32"/>
      <c r="FC121" s="32"/>
      <c r="FD121" s="32"/>
      <c r="FE121" s="32"/>
      <c r="FF121" s="32"/>
      <c r="FG121" s="32"/>
      <c r="FH121" s="32"/>
      <c r="FI121" s="32"/>
      <c r="FJ121" s="32"/>
      <c r="FK121" s="32"/>
      <c r="FL121" s="32"/>
      <c r="FM121" s="32"/>
      <c r="FN121" s="32"/>
      <c r="FO121" s="32"/>
      <c r="FP121" s="32"/>
      <c r="FQ121" s="32"/>
      <c r="FR121" s="32"/>
      <c r="FS121" s="32"/>
      <c r="FT121" s="32"/>
      <c r="FU121" s="32"/>
      <c r="FV121" s="32"/>
      <c r="FW121" s="32"/>
      <c r="FX121" s="32"/>
      <c r="FY121" s="32"/>
      <c r="FZ121" s="32"/>
      <c r="GA121" s="32"/>
      <c r="GB121" s="32"/>
      <c r="GC121" s="32"/>
      <c r="GD121" s="32"/>
      <c r="GE121" s="32"/>
      <c r="GF121" s="32"/>
      <c r="GG121" s="32"/>
      <c r="GH121" s="32"/>
      <c r="GI121" s="32"/>
      <c r="GJ121" s="32"/>
      <c r="GK121" s="32"/>
      <c r="GL121" s="32"/>
      <c r="GM121" s="32"/>
      <c r="GN121" s="32"/>
      <c r="GO121" s="32"/>
      <c r="GP121" s="32"/>
      <c r="GQ121" s="32"/>
      <c r="GR121" s="32"/>
      <c r="GS121" s="32"/>
      <c r="GT121" s="32"/>
      <c r="GU121" s="32"/>
      <c r="GV121" s="32"/>
      <c r="GW121" s="32"/>
      <c r="GX121" s="32"/>
      <c r="GY121" s="32"/>
      <c r="GZ121" s="32"/>
      <c r="HA121" s="32"/>
      <c r="HB121" s="32"/>
      <c r="HC121" s="32"/>
      <c r="HD121" s="32"/>
      <c r="HE121" s="32"/>
      <c r="HF121" s="32"/>
      <c r="HG121" s="32"/>
      <c r="HH121" s="32"/>
      <c r="HI121" s="32"/>
      <c r="HJ121" s="32"/>
      <c r="HK121" s="32"/>
      <c r="HL121" s="32"/>
      <c r="HM121" s="32"/>
      <c r="HN121" s="32"/>
      <c r="HO121" s="32"/>
      <c r="HP121" s="32"/>
    </row>
    <row r="122" spans="1:224" x14ac:dyDescent="0.25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  <c r="EW122" s="32"/>
      <c r="EX122" s="32"/>
      <c r="EY122" s="32"/>
      <c r="EZ122" s="32"/>
      <c r="FA122" s="32"/>
      <c r="FB122" s="32"/>
      <c r="FC122" s="32"/>
      <c r="FD122" s="32"/>
      <c r="FE122" s="32"/>
      <c r="FF122" s="32"/>
      <c r="FG122" s="32"/>
      <c r="FH122" s="32"/>
      <c r="FI122" s="32"/>
      <c r="FJ122" s="32"/>
      <c r="FK122" s="32"/>
      <c r="FL122" s="32"/>
      <c r="FM122" s="32"/>
      <c r="FN122" s="32"/>
      <c r="FO122" s="32"/>
      <c r="FP122" s="32"/>
      <c r="FQ122" s="32"/>
      <c r="FR122" s="32"/>
      <c r="FS122" s="32"/>
      <c r="FT122" s="32"/>
      <c r="FU122" s="32"/>
      <c r="FV122" s="32"/>
      <c r="FW122" s="32"/>
      <c r="FX122" s="32"/>
      <c r="FY122" s="32"/>
      <c r="FZ122" s="32"/>
      <c r="GA122" s="32"/>
      <c r="GB122" s="32"/>
      <c r="GC122" s="32"/>
      <c r="GD122" s="32"/>
      <c r="GE122" s="32"/>
      <c r="GF122" s="32"/>
      <c r="GG122" s="32"/>
      <c r="GH122" s="32"/>
      <c r="GI122" s="32"/>
      <c r="GJ122" s="32"/>
      <c r="GK122" s="32"/>
      <c r="GL122" s="32"/>
      <c r="GM122" s="32"/>
      <c r="GN122" s="32"/>
      <c r="GO122" s="32"/>
      <c r="GP122" s="32"/>
      <c r="GQ122" s="32"/>
      <c r="GR122" s="32"/>
      <c r="GS122" s="32"/>
      <c r="GT122" s="32"/>
      <c r="GU122" s="32"/>
      <c r="GV122" s="32"/>
      <c r="GW122" s="32"/>
      <c r="GX122" s="32"/>
      <c r="GY122" s="32"/>
      <c r="GZ122" s="32"/>
      <c r="HA122" s="32"/>
      <c r="HB122" s="32"/>
      <c r="HC122" s="32"/>
      <c r="HD122" s="32"/>
      <c r="HE122" s="32"/>
      <c r="HF122" s="32"/>
      <c r="HG122" s="32"/>
      <c r="HH122" s="32"/>
      <c r="HI122" s="32"/>
      <c r="HJ122" s="32"/>
      <c r="HK122" s="32"/>
      <c r="HL122" s="32"/>
      <c r="HM122" s="32"/>
      <c r="HN122" s="32"/>
      <c r="HO122" s="32"/>
      <c r="HP122" s="32"/>
    </row>
    <row r="123" spans="1:224" x14ac:dyDescent="0.25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  <c r="EW123" s="32"/>
      <c r="EX123" s="32"/>
      <c r="EY123" s="32"/>
      <c r="EZ123" s="32"/>
      <c r="FA123" s="32"/>
      <c r="FB123" s="32"/>
      <c r="FC123" s="32"/>
      <c r="FD123" s="32"/>
      <c r="FE123" s="32"/>
      <c r="FF123" s="32"/>
      <c r="FG123" s="32"/>
      <c r="FH123" s="32"/>
      <c r="FI123" s="32"/>
      <c r="FJ123" s="32"/>
      <c r="FK123" s="32"/>
      <c r="FL123" s="32"/>
      <c r="FM123" s="32"/>
      <c r="FN123" s="32"/>
      <c r="FO123" s="32"/>
      <c r="FP123" s="32"/>
      <c r="FQ123" s="32"/>
      <c r="FR123" s="32"/>
      <c r="FS123" s="32"/>
      <c r="FT123" s="32"/>
      <c r="FU123" s="32"/>
      <c r="FV123" s="32"/>
      <c r="FW123" s="32"/>
      <c r="FX123" s="32"/>
      <c r="FY123" s="32"/>
      <c r="FZ123" s="32"/>
      <c r="GA123" s="32"/>
      <c r="GB123" s="32"/>
      <c r="GC123" s="32"/>
      <c r="GD123" s="32"/>
      <c r="GE123" s="32"/>
      <c r="GF123" s="32"/>
      <c r="GG123" s="32"/>
      <c r="GH123" s="32"/>
      <c r="GI123" s="32"/>
      <c r="GJ123" s="32"/>
      <c r="GK123" s="32"/>
      <c r="GL123" s="32"/>
      <c r="GM123" s="32"/>
      <c r="GN123" s="32"/>
      <c r="GO123" s="32"/>
      <c r="GP123" s="32"/>
      <c r="GQ123" s="32"/>
      <c r="GR123" s="32"/>
      <c r="GS123" s="32"/>
      <c r="GT123" s="32"/>
      <c r="GU123" s="32"/>
      <c r="GV123" s="32"/>
      <c r="GW123" s="32"/>
      <c r="GX123" s="32"/>
      <c r="GY123" s="32"/>
      <c r="GZ123" s="32"/>
      <c r="HA123" s="32"/>
      <c r="HB123" s="32"/>
      <c r="HC123" s="32"/>
      <c r="HD123" s="32"/>
      <c r="HE123" s="32"/>
      <c r="HF123" s="32"/>
      <c r="HG123" s="32"/>
      <c r="HH123" s="32"/>
      <c r="HI123" s="32"/>
      <c r="HJ123" s="32"/>
      <c r="HK123" s="32"/>
      <c r="HL123" s="32"/>
      <c r="HM123" s="32"/>
      <c r="HN123" s="32"/>
      <c r="HO123" s="32"/>
      <c r="HP123" s="32"/>
    </row>
    <row r="124" spans="1:224" x14ac:dyDescent="0.25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  <c r="EW124" s="32"/>
      <c r="EX124" s="32"/>
      <c r="EY124" s="32"/>
      <c r="EZ124" s="32"/>
      <c r="FA124" s="32"/>
      <c r="FB124" s="32"/>
      <c r="FC124" s="32"/>
      <c r="FD124" s="32"/>
      <c r="FE124" s="32"/>
      <c r="FF124" s="32"/>
      <c r="FG124" s="32"/>
      <c r="FH124" s="32"/>
      <c r="FI124" s="32"/>
      <c r="FJ124" s="32"/>
      <c r="FK124" s="32"/>
      <c r="FL124" s="32"/>
      <c r="FM124" s="32"/>
      <c r="FN124" s="32"/>
      <c r="FO124" s="32"/>
      <c r="FP124" s="32"/>
      <c r="FQ124" s="32"/>
      <c r="FR124" s="32"/>
      <c r="FS124" s="32"/>
      <c r="FT124" s="32"/>
      <c r="FU124" s="32"/>
      <c r="FV124" s="32"/>
      <c r="FW124" s="32"/>
      <c r="FX124" s="32"/>
      <c r="FY124" s="32"/>
      <c r="FZ124" s="32"/>
      <c r="GA124" s="32"/>
      <c r="GB124" s="32"/>
      <c r="GC124" s="32"/>
      <c r="GD124" s="32"/>
      <c r="GE124" s="32"/>
      <c r="GF124" s="32"/>
      <c r="GG124" s="32"/>
      <c r="GH124" s="32"/>
      <c r="GI124" s="32"/>
      <c r="GJ124" s="32"/>
      <c r="GK124" s="32"/>
      <c r="GL124" s="32"/>
      <c r="GM124" s="32"/>
      <c r="GN124" s="32"/>
      <c r="GO124" s="32"/>
      <c r="GP124" s="32"/>
      <c r="GQ124" s="32"/>
      <c r="GR124" s="32"/>
      <c r="GS124" s="32"/>
      <c r="GT124" s="32"/>
      <c r="GU124" s="32"/>
      <c r="GV124" s="32"/>
      <c r="GW124" s="32"/>
      <c r="GX124" s="32"/>
      <c r="GY124" s="32"/>
      <c r="GZ124" s="32"/>
      <c r="HA124" s="32"/>
      <c r="HB124" s="32"/>
      <c r="HC124" s="32"/>
      <c r="HD124" s="32"/>
      <c r="HE124" s="32"/>
      <c r="HF124" s="32"/>
      <c r="HG124" s="32"/>
      <c r="HH124" s="32"/>
      <c r="HI124" s="32"/>
      <c r="HJ124" s="32"/>
      <c r="HK124" s="32"/>
      <c r="HL124" s="32"/>
      <c r="HM124" s="32"/>
      <c r="HN124" s="32"/>
      <c r="HO124" s="32"/>
      <c r="HP124" s="32"/>
    </row>
    <row r="125" spans="1:224" x14ac:dyDescent="0.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  <c r="EW125" s="32"/>
      <c r="EX125" s="32"/>
      <c r="EY125" s="32"/>
      <c r="EZ125" s="32"/>
      <c r="FA125" s="32"/>
      <c r="FB125" s="32"/>
      <c r="FC125" s="32"/>
      <c r="FD125" s="32"/>
      <c r="FE125" s="32"/>
      <c r="FF125" s="32"/>
      <c r="FG125" s="32"/>
      <c r="FH125" s="32"/>
      <c r="FI125" s="32"/>
      <c r="FJ125" s="32"/>
      <c r="FK125" s="32"/>
      <c r="FL125" s="32"/>
      <c r="FM125" s="32"/>
      <c r="FN125" s="32"/>
      <c r="FO125" s="32"/>
      <c r="FP125" s="32"/>
      <c r="FQ125" s="32"/>
      <c r="FR125" s="32"/>
      <c r="FS125" s="32"/>
      <c r="FT125" s="32"/>
      <c r="FU125" s="32"/>
      <c r="FV125" s="32"/>
      <c r="FW125" s="32"/>
      <c r="FX125" s="32"/>
      <c r="FY125" s="32"/>
      <c r="FZ125" s="32"/>
      <c r="GA125" s="32"/>
      <c r="GB125" s="32"/>
      <c r="GC125" s="32"/>
      <c r="GD125" s="32"/>
      <c r="GE125" s="32"/>
      <c r="GF125" s="32"/>
      <c r="GG125" s="32"/>
      <c r="GH125" s="32"/>
      <c r="GI125" s="32"/>
      <c r="GJ125" s="32"/>
      <c r="GK125" s="32"/>
      <c r="GL125" s="32"/>
      <c r="GM125" s="32"/>
      <c r="GN125" s="32"/>
      <c r="GO125" s="32"/>
      <c r="GP125" s="32"/>
      <c r="GQ125" s="32"/>
      <c r="GR125" s="32"/>
      <c r="GS125" s="32"/>
      <c r="GT125" s="32"/>
      <c r="GU125" s="32"/>
      <c r="GV125" s="32"/>
      <c r="GW125" s="32"/>
      <c r="GX125" s="32"/>
      <c r="GY125" s="32"/>
      <c r="GZ125" s="32"/>
      <c r="HA125" s="32"/>
      <c r="HB125" s="32"/>
      <c r="HC125" s="32"/>
      <c r="HD125" s="32"/>
      <c r="HE125" s="32"/>
      <c r="HF125" s="32"/>
      <c r="HG125" s="32"/>
      <c r="HH125" s="32"/>
      <c r="HI125" s="32"/>
      <c r="HJ125" s="32"/>
      <c r="HK125" s="32"/>
      <c r="HL125" s="32"/>
      <c r="HM125" s="32"/>
      <c r="HN125" s="32"/>
      <c r="HO125" s="32"/>
      <c r="HP125" s="32"/>
    </row>
    <row r="126" spans="1:224" x14ac:dyDescent="0.25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  <c r="EW126" s="32"/>
      <c r="EX126" s="32"/>
      <c r="EY126" s="32"/>
      <c r="EZ126" s="32"/>
      <c r="FA126" s="32"/>
      <c r="FB126" s="32"/>
      <c r="FC126" s="32"/>
      <c r="FD126" s="32"/>
      <c r="FE126" s="32"/>
      <c r="FF126" s="32"/>
      <c r="FG126" s="32"/>
      <c r="FH126" s="32"/>
      <c r="FI126" s="32"/>
      <c r="FJ126" s="32"/>
      <c r="FK126" s="32"/>
      <c r="FL126" s="32"/>
      <c r="FM126" s="32"/>
      <c r="FN126" s="32"/>
      <c r="FO126" s="32"/>
      <c r="FP126" s="32"/>
      <c r="FQ126" s="32"/>
      <c r="FR126" s="32"/>
      <c r="FS126" s="32"/>
      <c r="FT126" s="32"/>
      <c r="FU126" s="32"/>
      <c r="FV126" s="32"/>
      <c r="FW126" s="32"/>
      <c r="FX126" s="32"/>
      <c r="FY126" s="32"/>
      <c r="FZ126" s="32"/>
      <c r="GA126" s="32"/>
      <c r="GB126" s="32"/>
      <c r="GC126" s="32"/>
      <c r="GD126" s="32"/>
      <c r="GE126" s="32"/>
      <c r="GF126" s="32"/>
      <c r="GG126" s="32"/>
      <c r="GH126" s="32"/>
      <c r="GI126" s="32"/>
      <c r="GJ126" s="32"/>
      <c r="GK126" s="32"/>
      <c r="GL126" s="32"/>
      <c r="GM126" s="32"/>
      <c r="GN126" s="32"/>
      <c r="GO126" s="32"/>
      <c r="GP126" s="32"/>
      <c r="GQ126" s="32"/>
      <c r="GR126" s="32"/>
      <c r="GS126" s="32"/>
      <c r="GT126" s="32"/>
      <c r="GU126" s="32"/>
      <c r="GV126" s="32"/>
      <c r="GW126" s="32"/>
      <c r="GX126" s="32"/>
      <c r="GY126" s="32"/>
      <c r="GZ126" s="32"/>
      <c r="HA126" s="32"/>
      <c r="HB126" s="32"/>
      <c r="HC126" s="32"/>
      <c r="HD126" s="32"/>
      <c r="HE126" s="32"/>
      <c r="HF126" s="32"/>
      <c r="HG126" s="32"/>
      <c r="HH126" s="32"/>
      <c r="HI126" s="32"/>
      <c r="HJ126" s="32"/>
      <c r="HK126" s="32"/>
      <c r="HL126" s="32"/>
      <c r="HM126" s="32"/>
      <c r="HN126" s="32"/>
      <c r="HO126" s="32"/>
      <c r="HP126" s="32"/>
    </row>
    <row r="127" spans="1:224" x14ac:dyDescent="0.25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  <c r="EW127" s="32"/>
      <c r="EX127" s="32"/>
      <c r="EY127" s="32"/>
      <c r="EZ127" s="32"/>
      <c r="FA127" s="32"/>
      <c r="FB127" s="32"/>
      <c r="FC127" s="32"/>
      <c r="FD127" s="32"/>
      <c r="FE127" s="32"/>
      <c r="FF127" s="32"/>
      <c r="FG127" s="32"/>
      <c r="FH127" s="32"/>
      <c r="FI127" s="32"/>
      <c r="FJ127" s="32"/>
      <c r="FK127" s="32"/>
      <c r="FL127" s="32"/>
      <c r="FM127" s="32"/>
      <c r="FN127" s="32"/>
      <c r="FO127" s="32"/>
      <c r="FP127" s="32"/>
      <c r="FQ127" s="32"/>
      <c r="FR127" s="32"/>
      <c r="FS127" s="32"/>
      <c r="FT127" s="32"/>
      <c r="FU127" s="32"/>
      <c r="FV127" s="32"/>
      <c r="FW127" s="32"/>
      <c r="FX127" s="32"/>
      <c r="FY127" s="32"/>
      <c r="FZ127" s="32"/>
      <c r="GA127" s="32"/>
      <c r="GB127" s="32"/>
      <c r="GC127" s="32"/>
      <c r="GD127" s="32"/>
      <c r="GE127" s="32"/>
      <c r="GF127" s="32"/>
      <c r="GG127" s="32"/>
      <c r="GH127" s="32"/>
      <c r="GI127" s="32"/>
      <c r="GJ127" s="32"/>
      <c r="GK127" s="32"/>
      <c r="GL127" s="32"/>
      <c r="GM127" s="32"/>
      <c r="GN127" s="32"/>
      <c r="GO127" s="32"/>
      <c r="GP127" s="32"/>
      <c r="GQ127" s="32"/>
      <c r="GR127" s="32"/>
      <c r="GS127" s="32"/>
      <c r="GT127" s="32"/>
      <c r="GU127" s="32"/>
      <c r="GV127" s="32"/>
      <c r="GW127" s="32"/>
      <c r="GX127" s="32"/>
      <c r="GY127" s="32"/>
      <c r="GZ127" s="32"/>
      <c r="HA127" s="32"/>
      <c r="HB127" s="32"/>
      <c r="HC127" s="32"/>
      <c r="HD127" s="32"/>
      <c r="HE127" s="32"/>
      <c r="HF127" s="32"/>
      <c r="HG127" s="32"/>
      <c r="HH127" s="32"/>
      <c r="HI127" s="32"/>
      <c r="HJ127" s="32"/>
      <c r="HK127" s="32"/>
      <c r="HL127" s="32"/>
      <c r="HM127" s="32"/>
      <c r="HN127" s="32"/>
      <c r="HO127" s="32"/>
      <c r="HP127" s="32"/>
    </row>
    <row r="128" spans="1:224" x14ac:dyDescent="0.25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  <c r="EW128" s="32"/>
      <c r="EX128" s="32"/>
      <c r="EY128" s="32"/>
      <c r="EZ128" s="32"/>
      <c r="FA128" s="32"/>
      <c r="FB128" s="32"/>
      <c r="FC128" s="32"/>
      <c r="FD128" s="32"/>
      <c r="FE128" s="32"/>
      <c r="FF128" s="32"/>
      <c r="FG128" s="32"/>
      <c r="FH128" s="32"/>
      <c r="FI128" s="32"/>
      <c r="FJ128" s="32"/>
      <c r="FK128" s="32"/>
      <c r="FL128" s="32"/>
      <c r="FM128" s="32"/>
      <c r="FN128" s="32"/>
      <c r="FO128" s="32"/>
      <c r="FP128" s="32"/>
      <c r="FQ128" s="32"/>
      <c r="FR128" s="32"/>
      <c r="FS128" s="32"/>
      <c r="FT128" s="32"/>
      <c r="FU128" s="32"/>
      <c r="FV128" s="32"/>
      <c r="FW128" s="32"/>
      <c r="FX128" s="32"/>
      <c r="FY128" s="32"/>
      <c r="FZ128" s="32"/>
      <c r="GA128" s="32"/>
      <c r="GB128" s="32"/>
      <c r="GC128" s="32"/>
      <c r="GD128" s="32"/>
      <c r="GE128" s="32"/>
      <c r="GF128" s="32"/>
      <c r="GG128" s="32"/>
      <c r="GH128" s="32"/>
      <c r="GI128" s="32"/>
      <c r="GJ128" s="32"/>
      <c r="GK128" s="32"/>
      <c r="GL128" s="32"/>
      <c r="GM128" s="32"/>
      <c r="GN128" s="32"/>
      <c r="GO128" s="32"/>
      <c r="GP128" s="32"/>
      <c r="GQ128" s="32"/>
      <c r="GR128" s="32"/>
      <c r="GS128" s="32"/>
      <c r="GT128" s="32"/>
      <c r="GU128" s="32"/>
      <c r="GV128" s="32"/>
      <c r="GW128" s="32"/>
      <c r="GX128" s="32"/>
      <c r="GY128" s="32"/>
      <c r="GZ128" s="32"/>
      <c r="HA128" s="32"/>
      <c r="HB128" s="32"/>
      <c r="HC128" s="32"/>
      <c r="HD128" s="32"/>
      <c r="HE128" s="32"/>
      <c r="HF128" s="32"/>
      <c r="HG128" s="32"/>
      <c r="HH128" s="32"/>
      <c r="HI128" s="32"/>
      <c r="HJ128" s="32"/>
      <c r="HK128" s="32"/>
      <c r="HL128" s="32"/>
      <c r="HM128" s="32"/>
      <c r="HN128" s="32"/>
      <c r="HO128" s="32"/>
      <c r="HP128" s="32"/>
    </row>
    <row r="129" spans="1:224" x14ac:dyDescent="0.25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  <c r="EW129" s="32"/>
      <c r="EX129" s="32"/>
      <c r="EY129" s="32"/>
      <c r="EZ129" s="32"/>
      <c r="FA129" s="32"/>
      <c r="FB129" s="32"/>
      <c r="FC129" s="32"/>
      <c r="FD129" s="32"/>
      <c r="FE129" s="32"/>
      <c r="FF129" s="32"/>
      <c r="FG129" s="32"/>
      <c r="FH129" s="32"/>
      <c r="FI129" s="32"/>
      <c r="FJ129" s="32"/>
      <c r="FK129" s="32"/>
      <c r="FL129" s="32"/>
      <c r="FM129" s="32"/>
      <c r="FN129" s="32"/>
      <c r="FO129" s="32"/>
      <c r="FP129" s="32"/>
      <c r="FQ129" s="32"/>
      <c r="FR129" s="32"/>
      <c r="FS129" s="32"/>
      <c r="FT129" s="32"/>
      <c r="FU129" s="32"/>
      <c r="FV129" s="32"/>
      <c r="FW129" s="32"/>
      <c r="FX129" s="32"/>
      <c r="FY129" s="32"/>
      <c r="FZ129" s="32"/>
      <c r="GA129" s="32"/>
      <c r="GB129" s="32"/>
      <c r="GC129" s="32"/>
      <c r="GD129" s="32"/>
      <c r="GE129" s="32"/>
      <c r="GF129" s="32"/>
      <c r="GG129" s="32"/>
      <c r="GH129" s="32"/>
      <c r="GI129" s="32"/>
      <c r="GJ129" s="32"/>
      <c r="GK129" s="32"/>
      <c r="GL129" s="32"/>
      <c r="GM129" s="32"/>
      <c r="GN129" s="32"/>
      <c r="GO129" s="32"/>
      <c r="GP129" s="32"/>
      <c r="GQ129" s="32"/>
      <c r="GR129" s="32"/>
      <c r="GS129" s="32"/>
      <c r="GT129" s="32"/>
      <c r="GU129" s="32"/>
      <c r="GV129" s="32"/>
      <c r="GW129" s="32"/>
      <c r="GX129" s="32"/>
      <c r="GY129" s="32"/>
      <c r="GZ129" s="32"/>
      <c r="HA129" s="32"/>
      <c r="HB129" s="32"/>
      <c r="HC129" s="32"/>
      <c r="HD129" s="32"/>
      <c r="HE129" s="32"/>
      <c r="HF129" s="32"/>
      <c r="HG129" s="32"/>
      <c r="HH129" s="32"/>
      <c r="HI129" s="32"/>
      <c r="HJ129" s="32"/>
      <c r="HK129" s="32"/>
      <c r="HL129" s="32"/>
      <c r="HM129" s="32"/>
      <c r="HN129" s="32"/>
      <c r="HO129" s="32"/>
      <c r="HP129" s="32"/>
    </row>
    <row r="130" spans="1:224" x14ac:dyDescent="0.25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  <c r="EW130" s="32"/>
      <c r="EX130" s="32"/>
      <c r="EY130" s="32"/>
      <c r="EZ130" s="32"/>
      <c r="FA130" s="32"/>
      <c r="FB130" s="32"/>
      <c r="FC130" s="32"/>
      <c r="FD130" s="32"/>
      <c r="FE130" s="32"/>
      <c r="FF130" s="32"/>
      <c r="FG130" s="32"/>
      <c r="FH130" s="32"/>
      <c r="FI130" s="32"/>
      <c r="FJ130" s="32"/>
      <c r="FK130" s="32"/>
      <c r="FL130" s="32"/>
      <c r="FM130" s="32"/>
      <c r="FN130" s="32"/>
      <c r="FO130" s="32"/>
      <c r="FP130" s="32"/>
      <c r="FQ130" s="32"/>
      <c r="FR130" s="32"/>
      <c r="FS130" s="32"/>
      <c r="FT130" s="32"/>
      <c r="FU130" s="32"/>
      <c r="FV130" s="32"/>
      <c r="FW130" s="32"/>
      <c r="FX130" s="32"/>
      <c r="FY130" s="32"/>
      <c r="FZ130" s="32"/>
      <c r="GA130" s="32"/>
      <c r="GB130" s="32"/>
      <c r="GC130" s="32"/>
      <c r="GD130" s="32"/>
      <c r="GE130" s="32"/>
      <c r="GF130" s="32"/>
      <c r="GG130" s="32"/>
      <c r="GH130" s="32"/>
      <c r="GI130" s="32"/>
      <c r="GJ130" s="32"/>
      <c r="GK130" s="32"/>
      <c r="GL130" s="32"/>
      <c r="GM130" s="32"/>
      <c r="GN130" s="32"/>
      <c r="GO130" s="32"/>
      <c r="GP130" s="32"/>
      <c r="GQ130" s="32"/>
      <c r="GR130" s="32"/>
      <c r="GS130" s="32"/>
      <c r="GT130" s="32"/>
      <c r="GU130" s="32"/>
      <c r="GV130" s="32"/>
      <c r="GW130" s="32"/>
      <c r="GX130" s="32"/>
      <c r="GY130" s="32"/>
      <c r="GZ130" s="32"/>
      <c r="HA130" s="32"/>
      <c r="HB130" s="32"/>
      <c r="HC130" s="32"/>
      <c r="HD130" s="32"/>
      <c r="HE130" s="32"/>
      <c r="HF130" s="32"/>
      <c r="HG130" s="32"/>
      <c r="HH130" s="32"/>
      <c r="HI130" s="32"/>
      <c r="HJ130" s="32"/>
      <c r="HK130" s="32"/>
      <c r="HL130" s="32"/>
      <c r="HM130" s="32"/>
      <c r="HN130" s="32"/>
      <c r="HO130" s="32"/>
      <c r="HP130" s="32"/>
    </row>
    <row r="131" spans="1:224" x14ac:dyDescent="0.25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  <c r="EW131" s="32"/>
      <c r="EX131" s="32"/>
      <c r="EY131" s="32"/>
      <c r="EZ131" s="32"/>
      <c r="FA131" s="32"/>
      <c r="FB131" s="32"/>
      <c r="FC131" s="32"/>
      <c r="FD131" s="32"/>
      <c r="FE131" s="32"/>
      <c r="FF131" s="32"/>
      <c r="FG131" s="32"/>
      <c r="FH131" s="32"/>
      <c r="FI131" s="32"/>
      <c r="FJ131" s="32"/>
      <c r="FK131" s="32"/>
      <c r="FL131" s="32"/>
      <c r="FM131" s="32"/>
      <c r="FN131" s="32"/>
      <c r="FO131" s="32"/>
      <c r="FP131" s="32"/>
      <c r="FQ131" s="32"/>
      <c r="FR131" s="32"/>
      <c r="FS131" s="32"/>
      <c r="FT131" s="32"/>
      <c r="FU131" s="32"/>
      <c r="FV131" s="32"/>
      <c r="FW131" s="32"/>
      <c r="FX131" s="32"/>
      <c r="FY131" s="32"/>
      <c r="FZ131" s="32"/>
      <c r="GA131" s="32"/>
      <c r="GB131" s="32"/>
      <c r="GC131" s="32"/>
      <c r="GD131" s="32"/>
      <c r="GE131" s="32"/>
      <c r="GF131" s="32"/>
      <c r="GG131" s="32"/>
      <c r="GH131" s="32"/>
      <c r="GI131" s="32"/>
      <c r="GJ131" s="32"/>
      <c r="GK131" s="32"/>
      <c r="GL131" s="32"/>
      <c r="GM131" s="32"/>
      <c r="GN131" s="32"/>
      <c r="GO131" s="32"/>
      <c r="GP131" s="32"/>
      <c r="GQ131" s="32"/>
      <c r="GR131" s="32"/>
      <c r="GS131" s="32"/>
      <c r="GT131" s="32"/>
      <c r="GU131" s="32"/>
      <c r="GV131" s="32"/>
      <c r="GW131" s="32"/>
      <c r="GX131" s="32"/>
      <c r="GY131" s="32"/>
      <c r="GZ131" s="32"/>
      <c r="HA131" s="32"/>
      <c r="HB131" s="32"/>
      <c r="HC131" s="32"/>
      <c r="HD131" s="32"/>
      <c r="HE131" s="32"/>
      <c r="HF131" s="32"/>
      <c r="HG131" s="32"/>
      <c r="HH131" s="32"/>
      <c r="HI131" s="32"/>
      <c r="HJ131" s="32"/>
      <c r="HK131" s="32"/>
      <c r="HL131" s="32"/>
      <c r="HM131" s="32"/>
      <c r="HN131" s="32"/>
      <c r="HO131" s="32"/>
      <c r="HP131" s="32"/>
    </row>
    <row r="132" spans="1:224" x14ac:dyDescent="0.25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  <c r="EW132" s="32"/>
      <c r="EX132" s="32"/>
      <c r="EY132" s="32"/>
      <c r="EZ132" s="32"/>
      <c r="FA132" s="32"/>
      <c r="FB132" s="32"/>
      <c r="FC132" s="32"/>
      <c r="FD132" s="32"/>
      <c r="FE132" s="32"/>
      <c r="FF132" s="32"/>
      <c r="FG132" s="32"/>
      <c r="FH132" s="32"/>
      <c r="FI132" s="32"/>
      <c r="FJ132" s="32"/>
      <c r="FK132" s="32"/>
      <c r="FL132" s="32"/>
      <c r="FM132" s="32"/>
      <c r="FN132" s="32"/>
      <c r="FO132" s="32"/>
      <c r="FP132" s="32"/>
      <c r="FQ132" s="32"/>
      <c r="FR132" s="32"/>
      <c r="FS132" s="32"/>
      <c r="FT132" s="32"/>
      <c r="FU132" s="32"/>
      <c r="FV132" s="32"/>
      <c r="FW132" s="32"/>
      <c r="FX132" s="32"/>
      <c r="FY132" s="32"/>
      <c r="FZ132" s="32"/>
      <c r="GA132" s="32"/>
      <c r="GB132" s="32"/>
      <c r="GC132" s="32"/>
      <c r="GD132" s="32"/>
      <c r="GE132" s="32"/>
      <c r="GF132" s="32"/>
      <c r="GG132" s="32"/>
      <c r="GH132" s="32"/>
      <c r="GI132" s="32"/>
      <c r="GJ132" s="32"/>
      <c r="GK132" s="32"/>
      <c r="GL132" s="32"/>
      <c r="GM132" s="32"/>
      <c r="GN132" s="32"/>
      <c r="GO132" s="32"/>
      <c r="GP132" s="32"/>
      <c r="GQ132" s="32"/>
      <c r="GR132" s="32"/>
      <c r="GS132" s="32"/>
      <c r="GT132" s="32"/>
      <c r="GU132" s="32"/>
      <c r="GV132" s="32"/>
      <c r="GW132" s="32"/>
      <c r="GX132" s="32"/>
      <c r="GY132" s="32"/>
      <c r="GZ132" s="32"/>
      <c r="HA132" s="32"/>
      <c r="HB132" s="32"/>
      <c r="HC132" s="32"/>
      <c r="HD132" s="32"/>
      <c r="HE132" s="32"/>
      <c r="HF132" s="32"/>
      <c r="HG132" s="32"/>
      <c r="HH132" s="32"/>
      <c r="HI132" s="32"/>
      <c r="HJ132" s="32"/>
      <c r="HK132" s="32"/>
      <c r="HL132" s="32"/>
      <c r="HM132" s="32"/>
      <c r="HN132" s="32"/>
      <c r="HO132" s="32"/>
      <c r="HP132" s="32"/>
    </row>
    <row r="133" spans="1:224" x14ac:dyDescent="0.25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  <c r="EW133" s="32"/>
      <c r="EX133" s="32"/>
      <c r="EY133" s="32"/>
      <c r="EZ133" s="32"/>
      <c r="FA133" s="32"/>
      <c r="FB133" s="32"/>
      <c r="FC133" s="32"/>
      <c r="FD133" s="32"/>
      <c r="FE133" s="32"/>
      <c r="FF133" s="32"/>
      <c r="FG133" s="32"/>
      <c r="FH133" s="32"/>
      <c r="FI133" s="32"/>
      <c r="FJ133" s="32"/>
      <c r="FK133" s="32"/>
      <c r="FL133" s="32"/>
      <c r="FM133" s="32"/>
      <c r="FN133" s="32"/>
      <c r="FO133" s="32"/>
      <c r="FP133" s="32"/>
      <c r="FQ133" s="32"/>
      <c r="FR133" s="32"/>
      <c r="FS133" s="32"/>
      <c r="FT133" s="32"/>
      <c r="FU133" s="32"/>
      <c r="FV133" s="32"/>
      <c r="FW133" s="32"/>
      <c r="FX133" s="32"/>
      <c r="FY133" s="32"/>
      <c r="FZ133" s="32"/>
      <c r="GA133" s="32"/>
      <c r="GB133" s="32"/>
      <c r="GC133" s="32"/>
      <c r="GD133" s="32"/>
      <c r="GE133" s="32"/>
      <c r="GF133" s="32"/>
      <c r="GG133" s="32"/>
      <c r="GH133" s="32"/>
      <c r="GI133" s="32"/>
      <c r="GJ133" s="32"/>
      <c r="GK133" s="32"/>
      <c r="GL133" s="32"/>
      <c r="GM133" s="32"/>
      <c r="GN133" s="32"/>
      <c r="GO133" s="32"/>
      <c r="GP133" s="32"/>
      <c r="GQ133" s="32"/>
      <c r="GR133" s="32"/>
      <c r="GS133" s="32"/>
      <c r="GT133" s="32"/>
      <c r="GU133" s="32"/>
      <c r="GV133" s="32"/>
      <c r="GW133" s="32"/>
      <c r="GX133" s="32"/>
      <c r="GY133" s="32"/>
      <c r="GZ133" s="32"/>
      <c r="HA133" s="32"/>
      <c r="HB133" s="32"/>
      <c r="HC133" s="32"/>
      <c r="HD133" s="32"/>
      <c r="HE133" s="32"/>
      <c r="HF133" s="32"/>
      <c r="HG133" s="32"/>
      <c r="HH133" s="32"/>
      <c r="HI133" s="32"/>
      <c r="HJ133" s="32"/>
      <c r="HK133" s="32"/>
      <c r="HL133" s="32"/>
      <c r="HM133" s="32"/>
      <c r="HN133" s="32"/>
      <c r="HO133" s="32"/>
      <c r="HP133" s="32"/>
    </row>
    <row r="134" spans="1:224" x14ac:dyDescent="0.25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  <c r="EW134" s="32"/>
      <c r="EX134" s="32"/>
      <c r="EY134" s="32"/>
      <c r="EZ134" s="32"/>
      <c r="FA134" s="32"/>
      <c r="FB134" s="32"/>
      <c r="FC134" s="32"/>
      <c r="FD134" s="32"/>
      <c r="FE134" s="32"/>
      <c r="FF134" s="32"/>
      <c r="FG134" s="32"/>
      <c r="FH134" s="32"/>
      <c r="FI134" s="32"/>
      <c r="FJ134" s="32"/>
      <c r="FK134" s="32"/>
      <c r="FL134" s="32"/>
      <c r="FM134" s="32"/>
      <c r="FN134" s="32"/>
      <c r="FO134" s="32"/>
      <c r="FP134" s="32"/>
      <c r="FQ134" s="32"/>
      <c r="FR134" s="32"/>
      <c r="FS134" s="32"/>
      <c r="FT134" s="32"/>
      <c r="FU134" s="32"/>
      <c r="FV134" s="32"/>
      <c r="FW134" s="32"/>
      <c r="FX134" s="32"/>
      <c r="FY134" s="32"/>
      <c r="FZ134" s="32"/>
      <c r="GA134" s="32"/>
      <c r="GB134" s="32"/>
      <c r="GC134" s="32"/>
      <c r="GD134" s="32"/>
      <c r="GE134" s="32"/>
      <c r="GF134" s="32"/>
      <c r="GG134" s="32"/>
      <c r="GH134" s="32"/>
      <c r="GI134" s="32"/>
      <c r="GJ134" s="32"/>
      <c r="GK134" s="32"/>
      <c r="GL134" s="32"/>
      <c r="GM134" s="32"/>
      <c r="GN134" s="32"/>
      <c r="GO134" s="32"/>
      <c r="GP134" s="32"/>
      <c r="GQ134" s="32"/>
      <c r="GR134" s="32"/>
      <c r="GS134" s="32"/>
      <c r="GT134" s="32"/>
      <c r="GU134" s="32"/>
      <c r="GV134" s="32"/>
      <c r="GW134" s="32"/>
      <c r="GX134" s="32"/>
      <c r="GY134" s="32"/>
      <c r="GZ134" s="32"/>
      <c r="HA134" s="32"/>
      <c r="HB134" s="32"/>
      <c r="HC134" s="32"/>
      <c r="HD134" s="32"/>
      <c r="HE134" s="32"/>
      <c r="HF134" s="32"/>
      <c r="HG134" s="32"/>
      <c r="HH134" s="32"/>
      <c r="HI134" s="32"/>
      <c r="HJ134" s="32"/>
      <c r="HK134" s="32"/>
      <c r="HL134" s="32"/>
      <c r="HM134" s="32"/>
      <c r="HN134" s="32"/>
      <c r="HO134" s="32"/>
      <c r="HP134" s="32"/>
    </row>
    <row r="135" spans="1:224" x14ac:dyDescent="0.2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  <c r="EW135" s="32"/>
      <c r="EX135" s="32"/>
      <c r="EY135" s="32"/>
      <c r="EZ135" s="32"/>
      <c r="FA135" s="32"/>
      <c r="FB135" s="32"/>
      <c r="FC135" s="32"/>
      <c r="FD135" s="32"/>
      <c r="FE135" s="32"/>
      <c r="FF135" s="32"/>
      <c r="FG135" s="32"/>
      <c r="FH135" s="32"/>
      <c r="FI135" s="32"/>
      <c r="FJ135" s="32"/>
      <c r="FK135" s="32"/>
      <c r="FL135" s="32"/>
      <c r="FM135" s="32"/>
      <c r="FN135" s="32"/>
      <c r="FO135" s="32"/>
      <c r="FP135" s="32"/>
      <c r="FQ135" s="32"/>
      <c r="FR135" s="32"/>
      <c r="FS135" s="32"/>
      <c r="FT135" s="32"/>
      <c r="FU135" s="32"/>
      <c r="FV135" s="32"/>
      <c r="FW135" s="32"/>
      <c r="FX135" s="32"/>
      <c r="FY135" s="32"/>
      <c r="FZ135" s="32"/>
      <c r="GA135" s="32"/>
      <c r="GB135" s="32"/>
      <c r="GC135" s="32"/>
      <c r="GD135" s="32"/>
      <c r="GE135" s="32"/>
      <c r="GF135" s="32"/>
      <c r="GG135" s="32"/>
      <c r="GH135" s="32"/>
      <c r="GI135" s="32"/>
      <c r="GJ135" s="32"/>
      <c r="GK135" s="32"/>
      <c r="GL135" s="32"/>
      <c r="GM135" s="32"/>
      <c r="GN135" s="32"/>
      <c r="GO135" s="32"/>
      <c r="GP135" s="32"/>
      <c r="GQ135" s="32"/>
      <c r="GR135" s="32"/>
      <c r="GS135" s="32"/>
      <c r="GT135" s="32"/>
      <c r="GU135" s="32"/>
      <c r="GV135" s="32"/>
      <c r="GW135" s="32"/>
      <c r="GX135" s="32"/>
      <c r="GY135" s="32"/>
      <c r="GZ135" s="32"/>
      <c r="HA135" s="32"/>
      <c r="HB135" s="32"/>
      <c r="HC135" s="32"/>
      <c r="HD135" s="32"/>
      <c r="HE135" s="32"/>
      <c r="HF135" s="32"/>
      <c r="HG135" s="32"/>
      <c r="HH135" s="32"/>
      <c r="HI135" s="32"/>
      <c r="HJ135" s="32"/>
      <c r="HK135" s="32"/>
      <c r="HL135" s="32"/>
      <c r="HM135" s="32"/>
      <c r="HN135" s="32"/>
      <c r="HO135" s="32"/>
      <c r="HP135" s="32"/>
    </row>
    <row r="136" spans="1:224" x14ac:dyDescent="0.25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  <c r="EW136" s="32"/>
      <c r="EX136" s="32"/>
      <c r="EY136" s="32"/>
      <c r="EZ136" s="32"/>
      <c r="FA136" s="32"/>
      <c r="FB136" s="32"/>
      <c r="FC136" s="32"/>
      <c r="FD136" s="32"/>
      <c r="FE136" s="32"/>
      <c r="FF136" s="32"/>
      <c r="FG136" s="32"/>
      <c r="FH136" s="32"/>
      <c r="FI136" s="32"/>
      <c r="FJ136" s="32"/>
      <c r="FK136" s="32"/>
      <c r="FL136" s="32"/>
      <c r="FM136" s="32"/>
      <c r="FN136" s="32"/>
      <c r="FO136" s="32"/>
      <c r="FP136" s="32"/>
      <c r="FQ136" s="32"/>
      <c r="FR136" s="32"/>
      <c r="FS136" s="32"/>
      <c r="FT136" s="32"/>
      <c r="FU136" s="32"/>
      <c r="FV136" s="32"/>
      <c r="FW136" s="32"/>
      <c r="FX136" s="32"/>
      <c r="FY136" s="32"/>
      <c r="FZ136" s="32"/>
      <c r="GA136" s="32"/>
      <c r="GB136" s="32"/>
      <c r="GC136" s="32"/>
      <c r="GD136" s="32"/>
      <c r="GE136" s="32"/>
      <c r="GF136" s="32"/>
      <c r="GG136" s="32"/>
      <c r="GH136" s="32"/>
      <c r="GI136" s="32"/>
      <c r="GJ136" s="32"/>
      <c r="GK136" s="32"/>
      <c r="GL136" s="32"/>
      <c r="GM136" s="32"/>
      <c r="GN136" s="32"/>
      <c r="GO136" s="32"/>
      <c r="GP136" s="32"/>
      <c r="GQ136" s="32"/>
      <c r="GR136" s="32"/>
      <c r="GS136" s="32"/>
      <c r="GT136" s="32"/>
      <c r="GU136" s="32"/>
      <c r="GV136" s="32"/>
      <c r="GW136" s="32"/>
      <c r="GX136" s="32"/>
      <c r="GY136" s="32"/>
      <c r="GZ136" s="32"/>
      <c r="HA136" s="32"/>
      <c r="HB136" s="32"/>
      <c r="HC136" s="32"/>
      <c r="HD136" s="32"/>
      <c r="HE136" s="32"/>
      <c r="HF136" s="32"/>
      <c r="HG136" s="32"/>
      <c r="HH136" s="32"/>
      <c r="HI136" s="32"/>
      <c r="HJ136" s="32"/>
      <c r="HK136" s="32"/>
      <c r="HL136" s="32"/>
      <c r="HM136" s="32"/>
      <c r="HN136" s="32"/>
      <c r="HO136" s="32"/>
      <c r="HP136" s="32"/>
    </row>
    <row r="137" spans="1:224" x14ac:dyDescent="0.25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  <c r="EW137" s="32"/>
      <c r="EX137" s="32"/>
      <c r="EY137" s="32"/>
      <c r="EZ137" s="32"/>
      <c r="FA137" s="32"/>
      <c r="FB137" s="32"/>
      <c r="FC137" s="32"/>
      <c r="FD137" s="32"/>
      <c r="FE137" s="32"/>
      <c r="FF137" s="32"/>
      <c r="FG137" s="32"/>
      <c r="FH137" s="32"/>
      <c r="FI137" s="32"/>
      <c r="FJ137" s="32"/>
      <c r="FK137" s="32"/>
      <c r="FL137" s="32"/>
      <c r="FM137" s="32"/>
      <c r="FN137" s="32"/>
      <c r="FO137" s="32"/>
      <c r="FP137" s="32"/>
      <c r="FQ137" s="32"/>
      <c r="FR137" s="32"/>
      <c r="FS137" s="32"/>
      <c r="FT137" s="32"/>
      <c r="FU137" s="32"/>
      <c r="FV137" s="32"/>
      <c r="FW137" s="32"/>
      <c r="FX137" s="32"/>
      <c r="FY137" s="32"/>
      <c r="FZ137" s="32"/>
      <c r="GA137" s="32"/>
      <c r="GB137" s="32"/>
      <c r="GC137" s="32"/>
      <c r="GD137" s="32"/>
      <c r="GE137" s="32"/>
      <c r="GF137" s="32"/>
      <c r="GG137" s="32"/>
      <c r="GH137" s="32"/>
      <c r="GI137" s="32"/>
      <c r="GJ137" s="32"/>
      <c r="GK137" s="32"/>
      <c r="GL137" s="32"/>
      <c r="GM137" s="32"/>
      <c r="GN137" s="32"/>
      <c r="GO137" s="32"/>
      <c r="GP137" s="32"/>
      <c r="GQ137" s="32"/>
      <c r="GR137" s="32"/>
      <c r="GS137" s="32"/>
      <c r="GT137" s="32"/>
      <c r="GU137" s="32"/>
      <c r="GV137" s="32"/>
      <c r="GW137" s="32"/>
      <c r="GX137" s="32"/>
      <c r="GY137" s="32"/>
      <c r="GZ137" s="32"/>
      <c r="HA137" s="32"/>
      <c r="HB137" s="32"/>
      <c r="HC137" s="32"/>
      <c r="HD137" s="32"/>
      <c r="HE137" s="32"/>
      <c r="HF137" s="32"/>
      <c r="HG137" s="32"/>
      <c r="HH137" s="32"/>
      <c r="HI137" s="32"/>
      <c r="HJ137" s="32"/>
      <c r="HK137" s="32"/>
      <c r="HL137" s="32"/>
      <c r="HM137" s="32"/>
      <c r="HN137" s="32"/>
      <c r="HO137" s="32"/>
      <c r="HP137" s="32"/>
    </row>
    <row r="138" spans="1:224" x14ac:dyDescent="0.25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  <c r="EW138" s="32"/>
      <c r="EX138" s="32"/>
      <c r="EY138" s="32"/>
      <c r="EZ138" s="32"/>
      <c r="FA138" s="32"/>
      <c r="FB138" s="32"/>
      <c r="FC138" s="32"/>
      <c r="FD138" s="32"/>
      <c r="FE138" s="32"/>
      <c r="FF138" s="32"/>
      <c r="FG138" s="32"/>
      <c r="FH138" s="32"/>
      <c r="FI138" s="32"/>
      <c r="FJ138" s="32"/>
      <c r="FK138" s="32"/>
      <c r="FL138" s="32"/>
      <c r="FM138" s="32"/>
      <c r="FN138" s="32"/>
      <c r="FO138" s="32"/>
      <c r="FP138" s="32"/>
      <c r="FQ138" s="32"/>
      <c r="FR138" s="32"/>
      <c r="FS138" s="32"/>
      <c r="FT138" s="32"/>
      <c r="FU138" s="32"/>
      <c r="FV138" s="32"/>
      <c r="FW138" s="32"/>
      <c r="FX138" s="32"/>
      <c r="FY138" s="32"/>
      <c r="FZ138" s="32"/>
      <c r="GA138" s="32"/>
      <c r="GB138" s="32"/>
      <c r="GC138" s="32"/>
      <c r="GD138" s="32"/>
      <c r="GE138" s="32"/>
      <c r="GF138" s="32"/>
      <c r="GG138" s="32"/>
      <c r="GH138" s="32"/>
      <c r="GI138" s="32"/>
      <c r="GJ138" s="32"/>
      <c r="GK138" s="32"/>
      <c r="GL138" s="32"/>
      <c r="GM138" s="32"/>
      <c r="GN138" s="32"/>
      <c r="GO138" s="32"/>
      <c r="GP138" s="32"/>
      <c r="GQ138" s="32"/>
      <c r="GR138" s="32"/>
      <c r="GS138" s="32"/>
      <c r="GT138" s="32"/>
      <c r="GU138" s="32"/>
      <c r="GV138" s="32"/>
      <c r="GW138" s="32"/>
      <c r="GX138" s="32"/>
      <c r="GY138" s="32"/>
      <c r="GZ138" s="32"/>
      <c r="HA138" s="32"/>
      <c r="HB138" s="32"/>
      <c r="HC138" s="32"/>
      <c r="HD138" s="32"/>
      <c r="HE138" s="32"/>
      <c r="HF138" s="32"/>
      <c r="HG138" s="32"/>
      <c r="HH138" s="32"/>
      <c r="HI138" s="32"/>
      <c r="HJ138" s="32"/>
      <c r="HK138" s="32"/>
      <c r="HL138" s="32"/>
      <c r="HM138" s="32"/>
      <c r="HN138" s="32"/>
      <c r="HO138" s="32"/>
      <c r="HP138" s="32"/>
    </row>
    <row r="139" spans="1:224" x14ac:dyDescent="0.25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  <c r="EW139" s="32"/>
      <c r="EX139" s="32"/>
      <c r="EY139" s="32"/>
      <c r="EZ139" s="32"/>
      <c r="FA139" s="32"/>
      <c r="FB139" s="32"/>
      <c r="FC139" s="32"/>
      <c r="FD139" s="32"/>
      <c r="FE139" s="32"/>
      <c r="FF139" s="32"/>
      <c r="FG139" s="32"/>
      <c r="FH139" s="32"/>
      <c r="FI139" s="32"/>
      <c r="FJ139" s="32"/>
      <c r="FK139" s="32"/>
      <c r="FL139" s="32"/>
      <c r="FM139" s="32"/>
      <c r="FN139" s="32"/>
      <c r="FO139" s="32"/>
      <c r="FP139" s="32"/>
      <c r="FQ139" s="32"/>
      <c r="FR139" s="32"/>
      <c r="FS139" s="32"/>
      <c r="FT139" s="32"/>
      <c r="FU139" s="32"/>
      <c r="FV139" s="32"/>
      <c r="FW139" s="32"/>
      <c r="FX139" s="32"/>
      <c r="FY139" s="32"/>
      <c r="FZ139" s="32"/>
      <c r="GA139" s="32"/>
      <c r="GB139" s="32"/>
      <c r="GC139" s="32"/>
      <c r="GD139" s="32"/>
      <c r="GE139" s="32"/>
      <c r="GF139" s="32"/>
      <c r="GG139" s="32"/>
      <c r="GH139" s="32"/>
      <c r="GI139" s="32"/>
      <c r="GJ139" s="32"/>
      <c r="GK139" s="32"/>
      <c r="GL139" s="32"/>
      <c r="GM139" s="32"/>
      <c r="GN139" s="32"/>
      <c r="GO139" s="32"/>
      <c r="GP139" s="32"/>
      <c r="GQ139" s="32"/>
      <c r="GR139" s="32"/>
      <c r="GS139" s="32"/>
      <c r="GT139" s="32"/>
      <c r="GU139" s="32"/>
      <c r="GV139" s="32"/>
      <c r="GW139" s="32"/>
      <c r="GX139" s="32"/>
      <c r="GY139" s="32"/>
      <c r="GZ139" s="32"/>
      <c r="HA139" s="32"/>
      <c r="HB139" s="32"/>
      <c r="HC139" s="32"/>
      <c r="HD139" s="32"/>
      <c r="HE139" s="32"/>
      <c r="HF139" s="32"/>
      <c r="HG139" s="32"/>
      <c r="HH139" s="32"/>
      <c r="HI139" s="32"/>
      <c r="HJ139" s="32"/>
      <c r="HK139" s="32"/>
      <c r="HL139" s="32"/>
      <c r="HM139" s="32"/>
      <c r="HN139" s="32"/>
      <c r="HO139" s="32"/>
      <c r="HP139" s="32"/>
    </row>
    <row r="140" spans="1:224" x14ac:dyDescent="0.25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  <c r="EW140" s="32"/>
      <c r="EX140" s="32"/>
      <c r="EY140" s="32"/>
      <c r="EZ140" s="32"/>
      <c r="FA140" s="32"/>
      <c r="FB140" s="32"/>
      <c r="FC140" s="32"/>
      <c r="FD140" s="32"/>
      <c r="FE140" s="32"/>
      <c r="FF140" s="32"/>
      <c r="FG140" s="32"/>
      <c r="FH140" s="32"/>
      <c r="FI140" s="32"/>
      <c r="FJ140" s="32"/>
      <c r="FK140" s="32"/>
      <c r="FL140" s="32"/>
      <c r="FM140" s="32"/>
      <c r="FN140" s="32"/>
      <c r="FO140" s="32"/>
      <c r="FP140" s="32"/>
      <c r="FQ140" s="32"/>
      <c r="FR140" s="32"/>
      <c r="FS140" s="32"/>
      <c r="FT140" s="32"/>
      <c r="FU140" s="32"/>
      <c r="FV140" s="32"/>
      <c r="FW140" s="32"/>
      <c r="FX140" s="32"/>
      <c r="FY140" s="32"/>
      <c r="FZ140" s="32"/>
      <c r="GA140" s="32"/>
      <c r="GB140" s="32"/>
      <c r="GC140" s="32"/>
      <c r="GD140" s="32"/>
      <c r="GE140" s="32"/>
      <c r="GF140" s="32"/>
      <c r="GG140" s="32"/>
      <c r="GH140" s="32"/>
      <c r="GI140" s="32"/>
      <c r="GJ140" s="32"/>
      <c r="GK140" s="32"/>
      <c r="GL140" s="32"/>
      <c r="GM140" s="32"/>
      <c r="GN140" s="32"/>
      <c r="GO140" s="32"/>
      <c r="GP140" s="32"/>
      <c r="GQ140" s="32"/>
      <c r="GR140" s="32"/>
      <c r="GS140" s="32"/>
      <c r="GT140" s="32"/>
      <c r="GU140" s="32"/>
      <c r="GV140" s="32"/>
      <c r="GW140" s="32"/>
      <c r="GX140" s="32"/>
      <c r="GY140" s="32"/>
      <c r="GZ140" s="32"/>
      <c r="HA140" s="32"/>
      <c r="HB140" s="32"/>
      <c r="HC140" s="32"/>
      <c r="HD140" s="32"/>
      <c r="HE140" s="32"/>
      <c r="HF140" s="32"/>
      <c r="HG140" s="32"/>
      <c r="HH140" s="32"/>
      <c r="HI140" s="32"/>
      <c r="HJ140" s="32"/>
      <c r="HK140" s="32"/>
      <c r="HL140" s="32"/>
      <c r="HM140" s="32"/>
      <c r="HN140" s="32"/>
      <c r="HO140" s="32"/>
      <c r="HP140" s="32"/>
    </row>
    <row r="141" spans="1:224" x14ac:dyDescent="0.25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  <c r="EW141" s="32"/>
      <c r="EX141" s="32"/>
      <c r="EY141" s="32"/>
      <c r="EZ141" s="32"/>
      <c r="FA141" s="32"/>
      <c r="FB141" s="32"/>
      <c r="FC141" s="32"/>
      <c r="FD141" s="32"/>
      <c r="FE141" s="32"/>
      <c r="FF141" s="32"/>
      <c r="FG141" s="32"/>
      <c r="FH141" s="32"/>
      <c r="FI141" s="32"/>
      <c r="FJ141" s="32"/>
      <c r="FK141" s="32"/>
      <c r="FL141" s="32"/>
      <c r="FM141" s="32"/>
      <c r="FN141" s="32"/>
      <c r="FO141" s="32"/>
      <c r="FP141" s="32"/>
      <c r="FQ141" s="32"/>
      <c r="FR141" s="32"/>
      <c r="FS141" s="32"/>
      <c r="FT141" s="32"/>
      <c r="FU141" s="32"/>
      <c r="FV141" s="32"/>
      <c r="FW141" s="32"/>
      <c r="FX141" s="32"/>
      <c r="FY141" s="32"/>
      <c r="FZ141" s="32"/>
      <c r="GA141" s="32"/>
      <c r="GB141" s="32"/>
      <c r="GC141" s="32"/>
      <c r="GD141" s="32"/>
      <c r="GE141" s="32"/>
      <c r="GF141" s="32"/>
      <c r="GG141" s="32"/>
      <c r="GH141" s="32"/>
      <c r="GI141" s="32"/>
      <c r="GJ141" s="32"/>
      <c r="GK141" s="32"/>
      <c r="GL141" s="32"/>
      <c r="GM141" s="32"/>
      <c r="GN141" s="32"/>
      <c r="GO141" s="32"/>
      <c r="GP141" s="32"/>
      <c r="GQ141" s="32"/>
      <c r="GR141" s="32"/>
      <c r="GS141" s="32"/>
      <c r="GT141" s="32"/>
      <c r="GU141" s="32"/>
      <c r="GV141" s="32"/>
      <c r="GW141" s="32"/>
      <c r="GX141" s="32"/>
      <c r="GY141" s="32"/>
      <c r="GZ141" s="32"/>
      <c r="HA141" s="32"/>
      <c r="HB141" s="32"/>
      <c r="HC141" s="32"/>
      <c r="HD141" s="32"/>
      <c r="HE141" s="32"/>
      <c r="HF141" s="32"/>
      <c r="HG141" s="32"/>
      <c r="HH141" s="32"/>
      <c r="HI141" s="32"/>
      <c r="HJ141" s="32"/>
      <c r="HK141" s="32"/>
      <c r="HL141" s="32"/>
      <c r="HM141" s="32"/>
      <c r="HN141" s="32"/>
      <c r="HO141" s="32"/>
      <c r="HP141" s="32"/>
    </row>
    <row r="142" spans="1:224" x14ac:dyDescent="0.25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  <c r="EW142" s="32"/>
      <c r="EX142" s="32"/>
      <c r="EY142" s="32"/>
      <c r="EZ142" s="32"/>
      <c r="FA142" s="32"/>
      <c r="FB142" s="32"/>
      <c r="FC142" s="32"/>
      <c r="FD142" s="32"/>
      <c r="FE142" s="32"/>
      <c r="FF142" s="32"/>
      <c r="FG142" s="32"/>
      <c r="FH142" s="32"/>
      <c r="FI142" s="32"/>
      <c r="FJ142" s="32"/>
      <c r="FK142" s="32"/>
      <c r="FL142" s="32"/>
      <c r="FM142" s="32"/>
      <c r="FN142" s="32"/>
      <c r="FO142" s="32"/>
      <c r="FP142" s="32"/>
      <c r="FQ142" s="32"/>
      <c r="FR142" s="32"/>
      <c r="FS142" s="32"/>
      <c r="FT142" s="32"/>
      <c r="FU142" s="32"/>
      <c r="FV142" s="32"/>
      <c r="FW142" s="32"/>
      <c r="FX142" s="32"/>
      <c r="FY142" s="32"/>
      <c r="FZ142" s="32"/>
      <c r="GA142" s="32"/>
      <c r="GB142" s="32"/>
      <c r="GC142" s="32"/>
      <c r="GD142" s="32"/>
      <c r="GE142" s="32"/>
      <c r="GF142" s="32"/>
      <c r="GG142" s="32"/>
      <c r="GH142" s="32"/>
      <c r="GI142" s="32"/>
      <c r="GJ142" s="32"/>
      <c r="GK142" s="32"/>
      <c r="GL142" s="32"/>
      <c r="GM142" s="32"/>
      <c r="GN142" s="32"/>
      <c r="GO142" s="32"/>
      <c r="GP142" s="32"/>
      <c r="GQ142" s="32"/>
      <c r="GR142" s="32"/>
      <c r="GS142" s="32"/>
      <c r="GT142" s="32"/>
      <c r="GU142" s="32"/>
      <c r="GV142" s="32"/>
      <c r="GW142" s="32"/>
      <c r="GX142" s="32"/>
      <c r="GY142" s="32"/>
      <c r="GZ142" s="32"/>
      <c r="HA142" s="32"/>
      <c r="HB142" s="32"/>
      <c r="HC142" s="32"/>
      <c r="HD142" s="32"/>
      <c r="HE142" s="32"/>
      <c r="HF142" s="32"/>
      <c r="HG142" s="32"/>
      <c r="HH142" s="32"/>
      <c r="HI142" s="32"/>
      <c r="HJ142" s="32"/>
      <c r="HK142" s="32"/>
      <c r="HL142" s="32"/>
      <c r="HM142" s="32"/>
      <c r="HN142" s="32"/>
      <c r="HO142" s="32"/>
      <c r="HP142" s="32"/>
    </row>
    <row r="143" spans="1:224" x14ac:dyDescent="0.25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  <c r="EW143" s="32"/>
      <c r="EX143" s="32"/>
      <c r="EY143" s="32"/>
      <c r="EZ143" s="32"/>
      <c r="FA143" s="32"/>
      <c r="FB143" s="32"/>
      <c r="FC143" s="32"/>
      <c r="FD143" s="32"/>
      <c r="FE143" s="32"/>
      <c r="FF143" s="32"/>
      <c r="FG143" s="32"/>
      <c r="FH143" s="32"/>
      <c r="FI143" s="32"/>
      <c r="FJ143" s="32"/>
      <c r="FK143" s="32"/>
      <c r="FL143" s="32"/>
      <c r="FM143" s="32"/>
      <c r="FN143" s="32"/>
      <c r="FO143" s="32"/>
      <c r="FP143" s="32"/>
      <c r="FQ143" s="32"/>
      <c r="FR143" s="32"/>
      <c r="FS143" s="32"/>
      <c r="FT143" s="32"/>
      <c r="FU143" s="32"/>
      <c r="FV143" s="32"/>
      <c r="FW143" s="32"/>
      <c r="FX143" s="32"/>
      <c r="FY143" s="32"/>
      <c r="FZ143" s="32"/>
      <c r="GA143" s="32"/>
      <c r="GB143" s="32"/>
      <c r="GC143" s="32"/>
      <c r="GD143" s="32"/>
      <c r="GE143" s="32"/>
      <c r="GF143" s="32"/>
      <c r="GG143" s="32"/>
      <c r="GH143" s="32"/>
      <c r="GI143" s="32"/>
      <c r="GJ143" s="32"/>
      <c r="GK143" s="32"/>
      <c r="GL143" s="32"/>
      <c r="GM143" s="32"/>
      <c r="GN143" s="32"/>
      <c r="GO143" s="32"/>
      <c r="GP143" s="32"/>
      <c r="GQ143" s="32"/>
      <c r="GR143" s="32"/>
      <c r="GS143" s="32"/>
      <c r="GT143" s="32"/>
      <c r="GU143" s="32"/>
      <c r="GV143" s="32"/>
      <c r="GW143" s="32"/>
      <c r="GX143" s="32"/>
      <c r="GY143" s="32"/>
      <c r="GZ143" s="32"/>
      <c r="HA143" s="32"/>
      <c r="HB143" s="32"/>
      <c r="HC143" s="32"/>
      <c r="HD143" s="32"/>
      <c r="HE143" s="32"/>
      <c r="HF143" s="32"/>
      <c r="HG143" s="32"/>
      <c r="HH143" s="32"/>
      <c r="HI143" s="32"/>
      <c r="HJ143" s="32"/>
      <c r="HK143" s="32"/>
      <c r="HL143" s="32"/>
      <c r="HM143" s="32"/>
      <c r="HN143" s="32"/>
      <c r="HO143" s="32"/>
      <c r="HP143" s="32"/>
    </row>
    <row r="144" spans="1:224" x14ac:dyDescent="0.25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  <c r="EW144" s="32"/>
      <c r="EX144" s="32"/>
      <c r="EY144" s="32"/>
      <c r="EZ144" s="32"/>
      <c r="FA144" s="32"/>
      <c r="FB144" s="32"/>
      <c r="FC144" s="32"/>
      <c r="FD144" s="32"/>
      <c r="FE144" s="32"/>
      <c r="FF144" s="32"/>
      <c r="FG144" s="32"/>
      <c r="FH144" s="32"/>
      <c r="FI144" s="32"/>
      <c r="FJ144" s="32"/>
      <c r="FK144" s="32"/>
      <c r="FL144" s="32"/>
      <c r="FM144" s="32"/>
      <c r="FN144" s="32"/>
      <c r="FO144" s="32"/>
      <c r="FP144" s="32"/>
      <c r="FQ144" s="32"/>
      <c r="FR144" s="32"/>
      <c r="FS144" s="32"/>
      <c r="FT144" s="32"/>
      <c r="FU144" s="32"/>
      <c r="FV144" s="32"/>
      <c r="FW144" s="32"/>
      <c r="FX144" s="32"/>
      <c r="FY144" s="32"/>
      <c r="FZ144" s="32"/>
      <c r="GA144" s="32"/>
      <c r="GB144" s="32"/>
      <c r="GC144" s="32"/>
      <c r="GD144" s="32"/>
      <c r="GE144" s="32"/>
      <c r="GF144" s="32"/>
      <c r="GG144" s="32"/>
      <c r="GH144" s="32"/>
      <c r="GI144" s="32"/>
      <c r="GJ144" s="32"/>
      <c r="GK144" s="32"/>
      <c r="GL144" s="32"/>
      <c r="GM144" s="32"/>
      <c r="GN144" s="32"/>
      <c r="GO144" s="32"/>
      <c r="GP144" s="32"/>
      <c r="GQ144" s="32"/>
      <c r="GR144" s="32"/>
      <c r="GS144" s="32"/>
      <c r="GT144" s="32"/>
      <c r="GU144" s="32"/>
      <c r="GV144" s="32"/>
      <c r="GW144" s="32"/>
      <c r="GX144" s="32"/>
      <c r="GY144" s="32"/>
      <c r="GZ144" s="32"/>
      <c r="HA144" s="32"/>
      <c r="HB144" s="32"/>
      <c r="HC144" s="32"/>
      <c r="HD144" s="32"/>
      <c r="HE144" s="32"/>
      <c r="HF144" s="32"/>
      <c r="HG144" s="32"/>
      <c r="HH144" s="32"/>
      <c r="HI144" s="32"/>
      <c r="HJ144" s="32"/>
      <c r="HK144" s="32"/>
      <c r="HL144" s="32"/>
      <c r="HM144" s="32"/>
      <c r="HN144" s="32"/>
      <c r="HO144" s="32"/>
      <c r="HP144" s="32"/>
    </row>
    <row r="145" spans="1:224" x14ac:dyDescent="0.2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  <c r="EW145" s="32"/>
      <c r="EX145" s="32"/>
      <c r="EY145" s="32"/>
      <c r="EZ145" s="32"/>
      <c r="FA145" s="32"/>
      <c r="FB145" s="32"/>
      <c r="FC145" s="32"/>
      <c r="FD145" s="32"/>
      <c r="FE145" s="32"/>
      <c r="FF145" s="32"/>
      <c r="FG145" s="32"/>
      <c r="FH145" s="32"/>
      <c r="FI145" s="32"/>
      <c r="FJ145" s="32"/>
      <c r="FK145" s="32"/>
      <c r="FL145" s="32"/>
      <c r="FM145" s="32"/>
      <c r="FN145" s="32"/>
      <c r="FO145" s="32"/>
      <c r="FP145" s="32"/>
      <c r="FQ145" s="32"/>
      <c r="FR145" s="32"/>
      <c r="FS145" s="32"/>
      <c r="FT145" s="32"/>
      <c r="FU145" s="32"/>
      <c r="FV145" s="32"/>
      <c r="FW145" s="32"/>
      <c r="FX145" s="32"/>
      <c r="FY145" s="32"/>
      <c r="FZ145" s="32"/>
      <c r="GA145" s="32"/>
      <c r="GB145" s="32"/>
      <c r="GC145" s="32"/>
      <c r="GD145" s="32"/>
      <c r="GE145" s="32"/>
      <c r="GF145" s="32"/>
      <c r="GG145" s="32"/>
      <c r="GH145" s="32"/>
      <c r="GI145" s="32"/>
      <c r="GJ145" s="32"/>
      <c r="GK145" s="32"/>
      <c r="GL145" s="32"/>
      <c r="GM145" s="32"/>
      <c r="GN145" s="32"/>
      <c r="GO145" s="32"/>
      <c r="GP145" s="32"/>
      <c r="GQ145" s="32"/>
      <c r="GR145" s="32"/>
      <c r="GS145" s="32"/>
      <c r="GT145" s="32"/>
      <c r="GU145" s="32"/>
      <c r="GV145" s="32"/>
      <c r="GW145" s="32"/>
      <c r="GX145" s="32"/>
      <c r="GY145" s="32"/>
      <c r="GZ145" s="32"/>
      <c r="HA145" s="32"/>
      <c r="HB145" s="32"/>
      <c r="HC145" s="32"/>
      <c r="HD145" s="32"/>
      <c r="HE145" s="32"/>
      <c r="HF145" s="32"/>
      <c r="HG145" s="32"/>
      <c r="HH145" s="32"/>
      <c r="HI145" s="32"/>
      <c r="HJ145" s="32"/>
      <c r="HK145" s="32"/>
      <c r="HL145" s="32"/>
      <c r="HM145" s="32"/>
      <c r="HN145" s="32"/>
      <c r="HO145" s="32"/>
      <c r="HP145" s="32"/>
    </row>
    <row r="146" spans="1:224" x14ac:dyDescent="0.25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  <c r="EW146" s="32"/>
      <c r="EX146" s="32"/>
      <c r="EY146" s="32"/>
      <c r="EZ146" s="32"/>
      <c r="FA146" s="32"/>
      <c r="FB146" s="32"/>
      <c r="FC146" s="32"/>
      <c r="FD146" s="32"/>
      <c r="FE146" s="32"/>
      <c r="FF146" s="32"/>
      <c r="FG146" s="32"/>
      <c r="FH146" s="32"/>
      <c r="FI146" s="32"/>
      <c r="FJ146" s="32"/>
      <c r="FK146" s="32"/>
      <c r="FL146" s="32"/>
      <c r="FM146" s="32"/>
      <c r="FN146" s="32"/>
      <c r="FO146" s="32"/>
      <c r="FP146" s="32"/>
      <c r="FQ146" s="32"/>
      <c r="FR146" s="32"/>
      <c r="FS146" s="32"/>
      <c r="FT146" s="32"/>
      <c r="FU146" s="32"/>
      <c r="FV146" s="32"/>
      <c r="FW146" s="32"/>
      <c r="FX146" s="32"/>
      <c r="FY146" s="32"/>
      <c r="FZ146" s="32"/>
      <c r="GA146" s="32"/>
      <c r="GB146" s="32"/>
      <c r="GC146" s="32"/>
      <c r="GD146" s="32"/>
      <c r="GE146" s="32"/>
      <c r="GF146" s="32"/>
      <c r="GG146" s="32"/>
      <c r="GH146" s="32"/>
      <c r="GI146" s="32"/>
      <c r="GJ146" s="32"/>
      <c r="GK146" s="32"/>
      <c r="GL146" s="32"/>
      <c r="GM146" s="32"/>
      <c r="GN146" s="32"/>
      <c r="GO146" s="32"/>
      <c r="GP146" s="32"/>
      <c r="GQ146" s="32"/>
      <c r="GR146" s="32"/>
      <c r="GS146" s="32"/>
      <c r="GT146" s="32"/>
      <c r="GU146" s="32"/>
      <c r="GV146" s="32"/>
      <c r="GW146" s="32"/>
      <c r="GX146" s="32"/>
      <c r="GY146" s="32"/>
      <c r="GZ146" s="32"/>
      <c r="HA146" s="32"/>
      <c r="HB146" s="32"/>
      <c r="HC146" s="32"/>
      <c r="HD146" s="32"/>
      <c r="HE146" s="32"/>
      <c r="HF146" s="32"/>
      <c r="HG146" s="32"/>
      <c r="HH146" s="32"/>
      <c r="HI146" s="32"/>
      <c r="HJ146" s="32"/>
      <c r="HK146" s="32"/>
      <c r="HL146" s="32"/>
      <c r="HM146" s="32"/>
      <c r="HN146" s="32"/>
      <c r="HO146" s="32"/>
      <c r="HP146" s="32"/>
    </row>
    <row r="147" spans="1:224" x14ac:dyDescent="0.25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  <c r="EW147" s="32"/>
      <c r="EX147" s="32"/>
      <c r="EY147" s="32"/>
      <c r="EZ147" s="32"/>
      <c r="FA147" s="32"/>
      <c r="FB147" s="32"/>
      <c r="FC147" s="32"/>
      <c r="FD147" s="32"/>
      <c r="FE147" s="32"/>
      <c r="FF147" s="32"/>
      <c r="FG147" s="32"/>
      <c r="FH147" s="32"/>
      <c r="FI147" s="32"/>
      <c r="FJ147" s="32"/>
      <c r="FK147" s="32"/>
      <c r="FL147" s="32"/>
      <c r="FM147" s="32"/>
      <c r="FN147" s="32"/>
      <c r="FO147" s="32"/>
      <c r="FP147" s="32"/>
      <c r="FQ147" s="32"/>
      <c r="FR147" s="32"/>
      <c r="FS147" s="32"/>
      <c r="FT147" s="32"/>
      <c r="FU147" s="32"/>
      <c r="FV147" s="32"/>
      <c r="FW147" s="32"/>
      <c r="FX147" s="32"/>
      <c r="FY147" s="32"/>
      <c r="FZ147" s="32"/>
      <c r="GA147" s="32"/>
      <c r="GB147" s="32"/>
      <c r="GC147" s="32"/>
      <c r="GD147" s="32"/>
      <c r="GE147" s="32"/>
      <c r="GF147" s="32"/>
      <c r="GG147" s="32"/>
      <c r="GH147" s="32"/>
      <c r="GI147" s="32"/>
      <c r="GJ147" s="32"/>
      <c r="GK147" s="32"/>
      <c r="GL147" s="32"/>
      <c r="GM147" s="32"/>
      <c r="GN147" s="32"/>
      <c r="GO147" s="32"/>
      <c r="GP147" s="32"/>
      <c r="GQ147" s="32"/>
      <c r="GR147" s="32"/>
      <c r="GS147" s="32"/>
      <c r="GT147" s="32"/>
      <c r="GU147" s="32"/>
      <c r="GV147" s="32"/>
      <c r="GW147" s="32"/>
      <c r="GX147" s="32"/>
      <c r="GY147" s="32"/>
      <c r="GZ147" s="32"/>
      <c r="HA147" s="32"/>
      <c r="HB147" s="32"/>
      <c r="HC147" s="32"/>
      <c r="HD147" s="32"/>
      <c r="HE147" s="32"/>
      <c r="HF147" s="32"/>
      <c r="HG147" s="32"/>
      <c r="HH147" s="32"/>
      <c r="HI147" s="32"/>
      <c r="HJ147" s="32"/>
      <c r="HK147" s="32"/>
      <c r="HL147" s="32"/>
      <c r="HM147" s="32"/>
      <c r="HN147" s="32"/>
      <c r="HO147" s="32"/>
      <c r="HP147" s="32"/>
    </row>
    <row r="148" spans="1:224" x14ac:dyDescent="0.25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  <c r="EW148" s="32"/>
      <c r="EX148" s="32"/>
      <c r="EY148" s="32"/>
      <c r="EZ148" s="32"/>
      <c r="FA148" s="32"/>
      <c r="FB148" s="32"/>
      <c r="FC148" s="32"/>
      <c r="FD148" s="32"/>
      <c r="FE148" s="32"/>
      <c r="FF148" s="32"/>
      <c r="FG148" s="32"/>
      <c r="FH148" s="32"/>
      <c r="FI148" s="32"/>
      <c r="FJ148" s="32"/>
      <c r="FK148" s="32"/>
      <c r="FL148" s="32"/>
      <c r="FM148" s="32"/>
      <c r="FN148" s="32"/>
      <c r="FO148" s="32"/>
      <c r="FP148" s="32"/>
      <c r="FQ148" s="32"/>
      <c r="FR148" s="32"/>
      <c r="FS148" s="32"/>
      <c r="FT148" s="32"/>
      <c r="FU148" s="32"/>
      <c r="FV148" s="32"/>
      <c r="FW148" s="32"/>
      <c r="FX148" s="32"/>
      <c r="FY148" s="32"/>
      <c r="FZ148" s="32"/>
      <c r="GA148" s="32"/>
      <c r="GB148" s="32"/>
      <c r="GC148" s="32"/>
      <c r="GD148" s="32"/>
      <c r="GE148" s="32"/>
      <c r="GF148" s="32"/>
      <c r="GG148" s="32"/>
      <c r="GH148" s="32"/>
      <c r="GI148" s="32"/>
      <c r="GJ148" s="32"/>
      <c r="GK148" s="32"/>
      <c r="GL148" s="32"/>
      <c r="GM148" s="32"/>
      <c r="GN148" s="32"/>
      <c r="GO148" s="32"/>
      <c r="GP148" s="32"/>
      <c r="GQ148" s="32"/>
      <c r="GR148" s="32"/>
      <c r="GS148" s="32"/>
      <c r="GT148" s="32"/>
      <c r="GU148" s="32"/>
      <c r="GV148" s="32"/>
      <c r="GW148" s="32"/>
      <c r="GX148" s="32"/>
      <c r="GY148" s="32"/>
      <c r="GZ148" s="32"/>
      <c r="HA148" s="32"/>
      <c r="HB148" s="32"/>
      <c r="HC148" s="32"/>
      <c r="HD148" s="32"/>
      <c r="HE148" s="32"/>
      <c r="HF148" s="32"/>
      <c r="HG148" s="32"/>
      <c r="HH148" s="32"/>
      <c r="HI148" s="32"/>
      <c r="HJ148" s="32"/>
      <c r="HK148" s="32"/>
      <c r="HL148" s="32"/>
      <c r="HM148" s="32"/>
      <c r="HN148" s="32"/>
      <c r="HO148" s="32"/>
      <c r="HP148" s="32"/>
    </row>
    <row r="149" spans="1:224" x14ac:dyDescent="0.25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  <c r="EW149" s="32"/>
      <c r="EX149" s="32"/>
      <c r="EY149" s="32"/>
      <c r="EZ149" s="32"/>
      <c r="FA149" s="32"/>
      <c r="FB149" s="32"/>
      <c r="FC149" s="32"/>
      <c r="FD149" s="32"/>
      <c r="FE149" s="32"/>
      <c r="FF149" s="32"/>
      <c r="FG149" s="32"/>
      <c r="FH149" s="32"/>
      <c r="FI149" s="32"/>
      <c r="FJ149" s="32"/>
      <c r="FK149" s="32"/>
      <c r="FL149" s="32"/>
      <c r="FM149" s="32"/>
      <c r="FN149" s="32"/>
      <c r="FO149" s="32"/>
      <c r="FP149" s="32"/>
      <c r="FQ149" s="32"/>
      <c r="FR149" s="32"/>
      <c r="FS149" s="32"/>
      <c r="FT149" s="32"/>
      <c r="FU149" s="32"/>
      <c r="FV149" s="32"/>
      <c r="FW149" s="32"/>
      <c r="FX149" s="32"/>
      <c r="FY149" s="32"/>
      <c r="FZ149" s="32"/>
      <c r="GA149" s="32"/>
      <c r="GB149" s="32"/>
      <c r="GC149" s="32"/>
      <c r="GD149" s="32"/>
      <c r="GE149" s="32"/>
      <c r="GF149" s="32"/>
      <c r="GG149" s="32"/>
      <c r="GH149" s="32"/>
      <c r="GI149" s="32"/>
      <c r="GJ149" s="32"/>
      <c r="GK149" s="32"/>
      <c r="GL149" s="32"/>
      <c r="GM149" s="32"/>
      <c r="GN149" s="32"/>
      <c r="GO149" s="32"/>
      <c r="GP149" s="32"/>
      <c r="GQ149" s="32"/>
      <c r="GR149" s="32"/>
      <c r="GS149" s="32"/>
      <c r="GT149" s="32"/>
      <c r="GU149" s="32"/>
      <c r="GV149" s="32"/>
      <c r="GW149" s="32"/>
      <c r="GX149" s="32"/>
      <c r="GY149" s="32"/>
      <c r="GZ149" s="32"/>
      <c r="HA149" s="32"/>
      <c r="HB149" s="32"/>
      <c r="HC149" s="32"/>
      <c r="HD149" s="32"/>
      <c r="HE149" s="32"/>
      <c r="HF149" s="32"/>
      <c r="HG149" s="32"/>
      <c r="HH149" s="32"/>
      <c r="HI149" s="32"/>
      <c r="HJ149" s="32"/>
      <c r="HK149" s="32"/>
      <c r="HL149" s="32"/>
      <c r="HM149" s="32"/>
      <c r="HN149" s="32"/>
      <c r="HO149" s="32"/>
      <c r="HP149" s="32"/>
    </row>
    <row r="150" spans="1:224" x14ac:dyDescent="0.25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  <c r="EW150" s="32"/>
      <c r="EX150" s="32"/>
      <c r="EY150" s="32"/>
      <c r="EZ150" s="32"/>
      <c r="FA150" s="32"/>
      <c r="FB150" s="32"/>
      <c r="FC150" s="32"/>
      <c r="FD150" s="32"/>
      <c r="FE150" s="32"/>
      <c r="FF150" s="32"/>
      <c r="FG150" s="32"/>
      <c r="FH150" s="32"/>
      <c r="FI150" s="32"/>
      <c r="FJ150" s="32"/>
      <c r="FK150" s="32"/>
      <c r="FL150" s="32"/>
      <c r="FM150" s="32"/>
      <c r="FN150" s="32"/>
      <c r="FO150" s="32"/>
      <c r="FP150" s="32"/>
      <c r="FQ150" s="32"/>
      <c r="FR150" s="32"/>
      <c r="FS150" s="32"/>
      <c r="FT150" s="32"/>
      <c r="FU150" s="32"/>
      <c r="FV150" s="32"/>
      <c r="FW150" s="32"/>
      <c r="FX150" s="32"/>
      <c r="FY150" s="32"/>
      <c r="FZ150" s="32"/>
      <c r="GA150" s="32"/>
      <c r="GB150" s="32"/>
      <c r="GC150" s="32"/>
      <c r="GD150" s="32"/>
      <c r="GE150" s="32"/>
      <c r="GF150" s="32"/>
      <c r="GG150" s="32"/>
      <c r="GH150" s="32"/>
      <c r="GI150" s="32"/>
      <c r="GJ150" s="32"/>
      <c r="GK150" s="32"/>
      <c r="GL150" s="32"/>
      <c r="GM150" s="32"/>
      <c r="GN150" s="32"/>
      <c r="GO150" s="32"/>
      <c r="GP150" s="32"/>
      <c r="GQ150" s="32"/>
      <c r="GR150" s="32"/>
      <c r="GS150" s="32"/>
      <c r="GT150" s="32"/>
      <c r="GU150" s="32"/>
      <c r="GV150" s="32"/>
      <c r="GW150" s="32"/>
      <c r="GX150" s="32"/>
      <c r="GY150" s="32"/>
      <c r="GZ150" s="32"/>
      <c r="HA150" s="32"/>
      <c r="HB150" s="32"/>
      <c r="HC150" s="32"/>
      <c r="HD150" s="32"/>
      <c r="HE150" s="32"/>
      <c r="HF150" s="32"/>
      <c r="HG150" s="32"/>
      <c r="HH150" s="32"/>
      <c r="HI150" s="32"/>
      <c r="HJ150" s="32"/>
      <c r="HK150" s="32"/>
      <c r="HL150" s="32"/>
      <c r="HM150" s="32"/>
      <c r="HN150" s="32"/>
      <c r="HO150" s="32"/>
      <c r="HP150" s="32"/>
    </row>
    <row r="151" spans="1:224" x14ac:dyDescent="0.25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  <c r="EW151" s="32"/>
      <c r="EX151" s="32"/>
      <c r="EY151" s="32"/>
      <c r="EZ151" s="32"/>
      <c r="FA151" s="32"/>
      <c r="FB151" s="32"/>
      <c r="FC151" s="32"/>
      <c r="FD151" s="32"/>
      <c r="FE151" s="32"/>
      <c r="FF151" s="32"/>
      <c r="FG151" s="32"/>
      <c r="FH151" s="32"/>
      <c r="FI151" s="32"/>
      <c r="FJ151" s="32"/>
      <c r="FK151" s="32"/>
      <c r="FL151" s="32"/>
      <c r="FM151" s="32"/>
      <c r="FN151" s="32"/>
      <c r="FO151" s="32"/>
      <c r="FP151" s="32"/>
      <c r="FQ151" s="32"/>
      <c r="FR151" s="32"/>
      <c r="FS151" s="32"/>
      <c r="FT151" s="32"/>
      <c r="FU151" s="32"/>
      <c r="FV151" s="32"/>
      <c r="FW151" s="32"/>
      <c r="FX151" s="32"/>
      <c r="FY151" s="32"/>
      <c r="FZ151" s="32"/>
      <c r="GA151" s="32"/>
      <c r="GB151" s="32"/>
      <c r="GC151" s="32"/>
      <c r="GD151" s="32"/>
      <c r="GE151" s="32"/>
      <c r="GF151" s="32"/>
      <c r="GG151" s="32"/>
      <c r="GH151" s="32"/>
      <c r="GI151" s="32"/>
      <c r="GJ151" s="32"/>
      <c r="GK151" s="32"/>
      <c r="GL151" s="32"/>
      <c r="GM151" s="32"/>
      <c r="GN151" s="32"/>
      <c r="GO151" s="32"/>
      <c r="GP151" s="32"/>
      <c r="GQ151" s="32"/>
      <c r="GR151" s="32"/>
      <c r="GS151" s="32"/>
      <c r="GT151" s="32"/>
      <c r="GU151" s="32"/>
      <c r="GV151" s="32"/>
      <c r="GW151" s="32"/>
      <c r="GX151" s="32"/>
      <c r="GY151" s="32"/>
      <c r="GZ151" s="32"/>
      <c r="HA151" s="32"/>
      <c r="HB151" s="32"/>
      <c r="HC151" s="32"/>
      <c r="HD151" s="32"/>
      <c r="HE151" s="32"/>
      <c r="HF151" s="32"/>
      <c r="HG151" s="32"/>
      <c r="HH151" s="32"/>
      <c r="HI151" s="32"/>
      <c r="HJ151" s="32"/>
      <c r="HK151" s="32"/>
      <c r="HL151" s="32"/>
      <c r="HM151" s="32"/>
      <c r="HN151" s="32"/>
      <c r="HO151" s="32"/>
      <c r="HP151" s="32"/>
    </row>
    <row r="152" spans="1:224" x14ac:dyDescent="0.25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  <c r="EW152" s="32"/>
      <c r="EX152" s="32"/>
      <c r="EY152" s="32"/>
      <c r="EZ152" s="32"/>
      <c r="FA152" s="32"/>
      <c r="FB152" s="32"/>
      <c r="FC152" s="32"/>
      <c r="FD152" s="32"/>
      <c r="FE152" s="32"/>
      <c r="FF152" s="32"/>
      <c r="FG152" s="32"/>
      <c r="FH152" s="32"/>
      <c r="FI152" s="32"/>
      <c r="FJ152" s="32"/>
      <c r="FK152" s="32"/>
      <c r="FL152" s="32"/>
      <c r="FM152" s="32"/>
      <c r="FN152" s="32"/>
      <c r="FO152" s="32"/>
      <c r="FP152" s="32"/>
      <c r="FQ152" s="32"/>
      <c r="FR152" s="32"/>
      <c r="FS152" s="32"/>
      <c r="FT152" s="32"/>
      <c r="FU152" s="32"/>
      <c r="FV152" s="32"/>
      <c r="FW152" s="32"/>
      <c r="FX152" s="32"/>
      <c r="FY152" s="32"/>
      <c r="FZ152" s="32"/>
      <c r="GA152" s="32"/>
      <c r="GB152" s="32"/>
      <c r="GC152" s="32"/>
      <c r="GD152" s="32"/>
      <c r="GE152" s="32"/>
      <c r="GF152" s="32"/>
      <c r="GG152" s="32"/>
      <c r="GH152" s="32"/>
      <c r="GI152" s="32"/>
      <c r="GJ152" s="32"/>
      <c r="GK152" s="32"/>
      <c r="GL152" s="32"/>
      <c r="GM152" s="32"/>
      <c r="GN152" s="32"/>
      <c r="GO152" s="32"/>
      <c r="GP152" s="32"/>
      <c r="GQ152" s="32"/>
      <c r="GR152" s="32"/>
      <c r="GS152" s="32"/>
      <c r="GT152" s="32"/>
      <c r="GU152" s="32"/>
      <c r="GV152" s="32"/>
      <c r="GW152" s="32"/>
      <c r="GX152" s="32"/>
      <c r="GY152" s="32"/>
      <c r="GZ152" s="32"/>
      <c r="HA152" s="32"/>
      <c r="HB152" s="32"/>
      <c r="HC152" s="32"/>
      <c r="HD152" s="32"/>
      <c r="HE152" s="32"/>
      <c r="HF152" s="32"/>
      <c r="HG152" s="32"/>
      <c r="HH152" s="32"/>
      <c r="HI152" s="32"/>
      <c r="HJ152" s="32"/>
      <c r="HK152" s="32"/>
      <c r="HL152" s="32"/>
      <c r="HM152" s="32"/>
      <c r="HN152" s="32"/>
      <c r="HO152" s="32"/>
      <c r="HP152" s="32"/>
    </row>
    <row r="153" spans="1:224" x14ac:dyDescent="0.25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  <c r="EW153" s="32"/>
      <c r="EX153" s="32"/>
      <c r="EY153" s="32"/>
      <c r="EZ153" s="32"/>
      <c r="FA153" s="32"/>
      <c r="FB153" s="32"/>
      <c r="FC153" s="32"/>
      <c r="FD153" s="32"/>
      <c r="FE153" s="32"/>
      <c r="FF153" s="32"/>
      <c r="FG153" s="32"/>
      <c r="FH153" s="32"/>
      <c r="FI153" s="32"/>
      <c r="FJ153" s="32"/>
      <c r="FK153" s="32"/>
      <c r="FL153" s="32"/>
      <c r="FM153" s="32"/>
      <c r="FN153" s="32"/>
      <c r="FO153" s="32"/>
      <c r="FP153" s="32"/>
      <c r="FQ153" s="32"/>
      <c r="FR153" s="32"/>
      <c r="FS153" s="32"/>
      <c r="FT153" s="32"/>
      <c r="FU153" s="32"/>
      <c r="FV153" s="32"/>
      <c r="FW153" s="32"/>
      <c r="FX153" s="32"/>
      <c r="FY153" s="32"/>
      <c r="FZ153" s="32"/>
      <c r="GA153" s="32"/>
      <c r="GB153" s="32"/>
      <c r="GC153" s="32"/>
      <c r="GD153" s="32"/>
      <c r="GE153" s="32"/>
      <c r="GF153" s="32"/>
      <c r="GG153" s="32"/>
      <c r="GH153" s="32"/>
      <c r="GI153" s="32"/>
      <c r="GJ153" s="32"/>
      <c r="GK153" s="32"/>
      <c r="GL153" s="32"/>
      <c r="GM153" s="32"/>
      <c r="GN153" s="32"/>
      <c r="GO153" s="32"/>
      <c r="GP153" s="32"/>
      <c r="GQ153" s="32"/>
      <c r="GR153" s="32"/>
      <c r="GS153" s="32"/>
      <c r="GT153" s="32"/>
      <c r="GU153" s="32"/>
      <c r="GV153" s="32"/>
      <c r="GW153" s="32"/>
      <c r="GX153" s="32"/>
      <c r="GY153" s="32"/>
      <c r="GZ153" s="32"/>
      <c r="HA153" s="32"/>
      <c r="HB153" s="32"/>
      <c r="HC153" s="32"/>
      <c r="HD153" s="32"/>
      <c r="HE153" s="32"/>
      <c r="HF153" s="32"/>
      <c r="HG153" s="32"/>
      <c r="HH153" s="32"/>
      <c r="HI153" s="32"/>
      <c r="HJ153" s="32"/>
      <c r="HK153" s="32"/>
      <c r="HL153" s="32"/>
      <c r="HM153" s="32"/>
      <c r="HN153" s="32"/>
      <c r="HO153" s="32"/>
      <c r="HP153" s="32"/>
    </row>
    <row r="154" spans="1:224" x14ac:dyDescent="0.25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  <c r="EW154" s="32"/>
      <c r="EX154" s="32"/>
      <c r="EY154" s="32"/>
      <c r="EZ154" s="32"/>
      <c r="FA154" s="32"/>
      <c r="FB154" s="32"/>
      <c r="FC154" s="32"/>
      <c r="FD154" s="32"/>
      <c r="FE154" s="32"/>
      <c r="FF154" s="32"/>
      <c r="FG154" s="32"/>
      <c r="FH154" s="32"/>
      <c r="FI154" s="32"/>
      <c r="FJ154" s="32"/>
      <c r="FK154" s="32"/>
      <c r="FL154" s="32"/>
      <c r="FM154" s="32"/>
      <c r="FN154" s="32"/>
      <c r="FO154" s="32"/>
      <c r="FP154" s="32"/>
      <c r="FQ154" s="32"/>
      <c r="FR154" s="32"/>
      <c r="FS154" s="32"/>
      <c r="FT154" s="32"/>
      <c r="FU154" s="32"/>
      <c r="FV154" s="32"/>
      <c r="FW154" s="32"/>
      <c r="FX154" s="32"/>
      <c r="FY154" s="32"/>
      <c r="FZ154" s="32"/>
      <c r="GA154" s="32"/>
      <c r="GB154" s="32"/>
      <c r="GC154" s="32"/>
      <c r="GD154" s="32"/>
      <c r="GE154" s="32"/>
      <c r="GF154" s="32"/>
      <c r="GG154" s="32"/>
      <c r="GH154" s="32"/>
      <c r="GI154" s="32"/>
      <c r="GJ154" s="32"/>
      <c r="GK154" s="32"/>
      <c r="GL154" s="32"/>
      <c r="GM154" s="32"/>
      <c r="GN154" s="32"/>
      <c r="GO154" s="32"/>
      <c r="GP154" s="32"/>
      <c r="GQ154" s="32"/>
      <c r="GR154" s="32"/>
      <c r="GS154" s="32"/>
      <c r="GT154" s="32"/>
      <c r="GU154" s="32"/>
      <c r="GV154" s="32"/>
      <c r="GW154" s="32"/>
      <c r="GX154" s="32"/>
      <c r="GY154" s="32"/>
      <c r="GZ154" s="32"/>
      <c r="HA154" s="32"/>
      <c r="HB154" s="32"/>
      <c r="HC154" s="32"/>
      <c r="HD154" s="32"/>
      <c r="HE154" s="32"/>
      <c r="HF154" s="32"/>
      <c r="HG154" s="32"/>
      <c r="HH154" s="32"/>
      <c r="HI154" s="32"/>
      <c r="HJ154" s="32"/>
      <c r="HK154" s="32"/>
      <c r="HL154" s="32"/>
      <c r="HM154" s="32"/>
      <c r="HN154" s="32"/>
      <c r="HO154" s="32"/>
      <c r="HP154" s="32"/>
    </row>
    <row r="155" spans="1:224" x14ac:dyDescent="0.2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  <c r="EW155" s="32"/>
      <c r="EX155" s="32"/>
      <c r="EY155" s="32"/>
      <c r="EZ155" s="32"/>
      <c r="FA155" s="32"/>
      <c r="FB155" s="32"/>
      <c r="FC155" s="32"/>
      <c r="FD155" s="32"/>
      <c r="FE155" s="32"/>
      <c r="FF155" s="32"/>
      <c r="FG155" s="32"/>
      <c r="FH155" s="32"/>
      <c r="FI155" s="32"/>
      <c r="FJ155" s="32"/>
      <c r="FK155" s="32"/>
      <c r="FL155" s="32"/>
      <c r="FM155" s="32"/>
      <c r="FN155" s="32"/>
      <c r="FO155" s="32"/>
      <c r="FP155" s="32"/>
      <c r="FQ155" s="32"/>
      <c r="FR155" s="32"/>
      <c r="FS155" s="32"/>
      <c r="FT155" s="32"/>
      <c r="FU155" s="32"/>
      <c r="FV155" s="32"/>
      <c r="FW155" s="32"/>
      <c r="FX155" s="32"/>
      <c r="FY155" s="32"/>
      <c r="FZ155" s="32"/>
      <c r="GA155" s="32"/>
      <c r="GB155" s="32"/>
      <c r="GC155" s="32"/>
      <c r="GD155" s="32"/>
      <c r="GE155" s="32"/>
      <c r="GF155" s="32"/>
      <c r="GG155" s="32"/>
      <c r="GH155" s="32"/>
      <c r="GI155" s="32"/>
      <c r="GJ155" s="32"/>
      <c r="GK155" s="32"/>
      <c r="GL155" s="32"/>
      <c r="GM155" s="32"/>
      <c r="GN155" s="32"/>
      <c r="GO155" s="32"/>
      <c r="GP155" s="32"/>
      <c r="GQ155" s="32"/>
      <c r="GR155" s="32"/>
      <c r="GS155" s="32"/>
      <c r="GT155" s="32"/>
      <c r="GU155" s="32"/>
      <c r="GV155" s="32"/>
      <c r="GW155" s="32"/>
      <c r="GX155" s="32"/>
      <c r="GY155" s="32"/>
      <c r="GZ155" s="32"/>
      <c r="HA155" s="32"/>
      <c r="HB155" s="32"/>
      <c r="HC155" s="32"/>
      <c r="HD155" s="32"/>
      <c r="HE155" s="32"/>
      <c r="HF155" s="32"/>
      <c r="HG155" s="32"/>
      <c r="HH155" s="32"/>
      <c r="HI155" s="32"/>
      <c r="HJ155" s="32"/>
      <c r="HK155" s="32"/>
      <c r="HL155" s="32"/>
      <c r="HM155" s="32"/>
      <c r="HN155" s="32"/>
      <c r="HO155" s="32"/>
      <c r="HP155" s="32"/>
    </row>
    <row r="156" spans="1:224" x14ac:dyDescent="0.25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  <c r="EW156" s="32"/>
      <c r="EX156" s="32"/>
      <c r="EY156" s="32"/>
      <c r="EZ156" s="32"/>
      <c r="FA156" s="32"/>
      <c r="FB156" s="32"/>
      <c r="FC156" s="32"/>
      <c r="FD156" s="32"/>
      <c r="FE156" s="32"/>
      <c r="FF156" s="32"/>
      <c r="FG156" s="32"/>
      <c r="FH156" s="32"/>
      <c r="FI156" s="32"/>
      <c r="FJ156" s="32"/>
      <c r="FK156" s="32"/>
      <c r="FL156" s="32"/>
      <c r="FM156" s="32"/>
      <c r="FN156" s="32"/>
      <c r="FO156" s="32"/>
      <c r="FP156" s="32"/>
      <c r="FQ156" s="32"/>
      <c r="FR156" s="32"/>
      <c r="FS156" s="32"/>
      <c r="FT156" s="32"/>
      <c r="FU156" s="32"/>
      <c r="FV156" s="32"/>
      <c r="FW156" s="32"/>
      <c r="FX156" s="32"/>
      <c r="FY156" s="32"/>
      <c r="FZ156" s="32"/>
      <c r="GA156" s="32"/>
      <c r="GB156" s="32"/>
      <c r="GC156" s="32"/>
      <c r="GD156" s="32"/>
      <c r="GE156" s="32"/>
      <c r="GF156" s="32"/>
      <c r="GG156" s="32"/>
      <c r="GH156" s="32"/>
      <c r="GI156" s="32"/>
      <c r="GJ156" s="32"/>
      <c r="GK156" s="32"/>
      <c r="GL156" s="32"/>
      <c r="GM156" s="32"/>
      <c r="GN156" s="32"/>
      <c r="GO156" s="32"/>
      <c r="GP156" s="32"/>
      <c r="GQ156" s="32"/>
      <c r="GR156" s="32"/>
      <c r="GS156" s="32"/>
      <c r="GT156" s="32"/>
      <c r="GU156" s="32"/>
      <c r="GV156" s="32"/>
      <c r="GW156" s="32"/>
      <c r="GX156" s="32"/>
      <c r="GY156" s="32"/>
      <c r="GZ156" s="32"/>
      <c r="HA156" s="32"/>
      <c r="HB156" s="32"/>
      <c r="HC156" s="32"/>
      <c r="HD156" s="32"/>
      <c r="HE156" s="32"/>
      <c r="HF156" s="32"/>
      <c r="HG156" s="32"/>
      <c r="HH156" s="32"/>
      <c r="HI156" s="32"/>
      <c r="HJ156" s="32"/>
      <c r="HK156" s="32"/>
      <c r="HL156" s="32"/>
      <c r="HM156" s="32"/>
      <c r="HN156" s="32"/>
      <c r="HO156" s="32"/>
      <c r="HP156" s="32"/>
    </row>
    <row r="157" spans="1:224" x14ac:dyDescent="0.25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  <c r="EW157" s="32"/>
      <c r="EX157" s="32"/>
      <c r="EY157" s="32"/>
      <c r="EZ157" s="32"/>
      <c r="FA157" s="32"/>
      <c r="FB157" s="32"/>
      <c r="FC157" s="32"/>
      <c r="FD157" s="32"/>
      <c r="FE157" s="32"/>
      <c r="FF157" s="32"/>
      <c r="FG157" s="32"/>
      <c r="FH157" s="32"/>
      <c r="FI157" s="32"/>
      <c r="FJ157" s="32"/>
      <c r="FK157" s="32"/>
      <c r="FL157" s="32"/>
      <c r="FM157" s="32"/>
      <c r="FN157" s="32"/>
      <c r="FO157" s="32"/>
      <c r="FP157" s="32"/>
      <c r="FQ157" s="32"/>
      <c r="FR157" s="32"/>
      <c r="FS157" s="32"/>
      <c r="FT157" s="32"/>
      <c r="FU157" s="32"/>
      <c r="FV157" s="32"/>
      <c r="FW157" s="32"/>
      <c r="FX157" s="32"/>
      <c r="FY157" s="32"/>
      <c r="FZ157" s="32"/>
      <c r="GA157" s="32"/>
      <c r="GB157" s="32"/>
      <c r="GC157" s="32"/>
      <c r="GD157" s="32"/>
      <c r="GE157" s="32"/>
      <c r="GF157" s="32"/>
      <c r="GG157" s="32"/>
      <c r="GH157" s="32"/>
      <c r="GI157" s="32"/>
      <c r="GJ157" s="32"/>
      <c r="GK157" s="32"/>
      <c r="GL157" s="32"/>
      <c r="GM157" s="32"/>
      <c r="GN157" s="32"/>
      <c r="GO157" s="32"/>
      <c r="GP157" s="32"/>
      <c r="GQ157" s="32"/>
      <c r="GR157" s="32"/>
      <c r="GS157" s="32"/>
      <c r="GT157" s="32"/>
      <c r="GU157" s="32"/>
      <c r="GV157" s="32"/>
      <c r="GW157" s="32"/>
      <c r="GX157" s="32"/>
      <c r="GY157" s="32"/>
      <c r="GZ157" s="32"/>
      <c r="HA157" s="32"/>
      <c r="HB157" s="32"/>
      <c r="HC157" s="32"/>
      <c r="HD157" s="32"/>
      <c r="HE157" s="32"/>
      <c r="HF157" s="32"/>
      <c r="HG157" s="32"/>
      <c r="HH157" s="32"/>
      <c r="HI157" s="32"/>
      <c r="HJ157" s="32"/>
      <c r="HK157" s="32"/>
      <c r="HL157" s="32"/>
      <c r="HM157" s="32"/>
      <c r="HN157" s="32"/>
      <c r="HO157" s="32"/>
      <c r="HP157" s="32"/>
    </row>
    <row r="158" spans="1:224" x14ac:dyDescent="0.25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  <c r="EW158" s="32"/>
      <c r="EX158" s="32"/>
      <c r="EY158" s="32"/>
      <c r="EZ158" s="32"/>
      <c r="FA158" s="32"/>
      <c r="FB158" s="32"/>
      <c r="FC158" s="32"/>
      <c r="FD158" s="32"/>
      <c r="FE158" s="32"/>
      <c r="FF158" s="32"/>
      <c r="FG158" s="32"/>
      <c r="FH158" s="32"/>
      <c r="FI158" s="32"/>
      <c r="FJ158" s="32"/>
      <c r="FK158" s="32"/>
      <c r="FL158" s="32"/>
      <c r="FM158" s="32"/>
      <c r="FN158" s="32"/>
      <c r="FO158" s="32"/>
      <c r="FP158" s="32"/>
      <c r="FQ158" s="32"/>
      <c r="FR158" s="32"/>
      <c r="FS158" s="32"/>
      <c r="FT158" s="32"/>
      <c r="FU158" s="32"/>
      <c r="FV158" s="32"/>
      <c r="FW158" s="32"/>
      <c r="FX158" s="32"/>
      <c r="FY158" s="32"/>
      <c r="FZ158" s="32"/>
      <c r="GA158" s="32"/>
      <c r="GB158" s="32"/>
      <c r="GC158" s="32"/>
      <c r="GD158" s="32"/>
      <c r="GE158" s="32"/>
      <c r="GF158" s="32"/>
      <c r="GG158" s="32"/>
      <c r="GH158" s="32"/>
      <c r="GI158" s="32"/>
      <c r="GJ158" s="32"/>
      <c r="GK158" s="32"/>
      <c r="GL158" s="32"/>
      <c r="GM158" s="32"/>
      <c r="GN158" s="32"/>
      <c r="GO158" s="32"/>
      <c r="GP158" s="32"/>
      <c r="GQ158" s="32"/>
      <c r="GR158" s="32"/>
      <c r="GS158" s="32"/>
      <c r="GT158" s="32"/>
      <c r="GU158" s="32"/>
      <c r="GV158" s="32"/>
      <c r="GW158" s="32"/>
      <c r="GX158" s="32"/>
      <c r="GY158" s="32"/>
      <c r="GZ158" s="32"/>
      <c r="HA158" s="32"/>
      <c r="HB158" s="32"/>
      <c r="HC158" s="32"/>
      <c r="HD158" s="32"/>
      <c r="HE158" s="32"/>
      <c r="HF158" s="32"/>
      <c r="HG158" s="32"/>
      <c r="HH158" s="32"/>
      <c r="HI158" s="32"/>
      <c r="HJ158" s="32"/>
      <c r="HK158" s="32"/>
      <c r="HL158" s="32"/>
      <c r="HM158" s="32"/>
      <c r="HN158" s="32"/>
      <c r="HO158" s="32"/>
      <c r="HP158" s="32"/>
    </row>
    <row r="159" spans="1:224" x14ac:dyDescent="0.25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  <c r="EW159" s="32"/>
      <c r="EX159" s="32"/>
      <c r="EY159" s="32"/>
      <c r="EZ159" s="32"/>
      <c r="FA159" s="32"/>
      <c r="FB159" s="32"/>
      <c r="FC159" s="32"/>
      <c r="FD159" s="32"/>
      <c r="FE159" s="32"/>
      <c r="FF159" s="32"/>
      <c r="FG159" s="32"/>
      <c r="FH159" s="32"/>
      <c r="FI159" s="32"/>
      <c r="FJ159" s="32"/>
      <c r="FK159" s="32"/>
      <c r="FL159" s="32"/>
      <c r="FM159" s="32"/>
      <c r="FN159" s="32"/>
      <c r="FO159" s="32"/>
      <c r="FP159" s="32"/>
      <c r="FQ159" s="32"/>
      <c r="FR159" s="32"/>
      <c r="FS159" s="32"/>
      <c r="FT159" s="32"/>
      <c r="FU159" s="32"/>
      <c r="FV159" s="32"/>
      <c r="FW159" s="32"/>
      <c r="FX159" s="32"/>
      <c r="FY159" s="32"/>
      <c r="FZ159" s="32"/>
      <c r="GA159" s="32"/>
      <c r="GB159" s="32"/>
      <c r="GC159" s="32"/>
      <c r="GD159" s="32"/>
      <c r="GE159" s="32"/>
      <c r="GF159" s="32"/>
      <c r="GG159" s="32"/>
      <c r="GH159" s="32"/>
      <c r="GI159" s="32"/>
      <c r="GJ159" s="32"/>
      <c r="GK159" s="32"/>
      <c r="GL159" s="32"/>
      <c r="GM159" s="32"/>
      <c r="GN159" s="32"/>
      <c r="GO159" s="32"/>
      <c r="GP159" s="32"/>
      <c r="GQ159" s="32"/>
      <c r="GR159" s="32"/>
      <c r="GS159" s="32"/>
      <c r="GT159" s="32"/>
      <c r="GU159" s="32"/>
      <c r="GV159" s="32"/>
      <c r="GW159" s="32"/>
      <c r="GX159" s="32"/>
      <c r="GY159" s="32"/>
      <c r="GZ159" s="32"/>
      <c r="HA159" s="32"/>
      <c r="HB159" s="32"/>
      <c r="HC159" s="32"/>
      <c r="HD159" s="32"/>
      <c r="HE159" s="32"/>
      <c r="HF159" s="32"/>
      <c r="HG159" s="32"/>
      <c r="HH159" s="32"/>
      <c r="HI159" s="32"/>
      <c r="HJ159" s="32"/>
      <c r="HK159" s="32"/>
      <c r="HL159" s="32"/>
      <c r="HM159" s="32"/>
      <c r="HN159" s="32"/>
      <c r="HO159" s="32"/>
      <c r="HP159" s="32"/>
    </row>
    <row r="160" spans="1:224" x14ac:dyDescent="0.2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  <c r="EW160" s="32"/>
      <c r="EX160" s="32"/>
      <c r="EY160" s="32"/>
      <c r="EZ160" s="32"/>
      <c r="FA160" s="32"/>
      <c r="FB160" s="32"/>
      <c r="FC160" s="32"/>
      <c r="FD160" s="32"/>
      <c r="FE160" s="32"/>
      <c r="FF160" s="32"/>
      <c r="FG160" s="32"/>
      <c r="FH160" s="32"/>
      <c r="FI160" s="32"/>
      <c r="FJ160" s="32"/>
      <c r="FK160" s="32"/>
      <c r="FL160" s="32"/>
      <c r="FM160" s="32"/>
      <c r="FN160" s="32"/>
      <c r="FO160" s="32"/>
      <c r="FP160" s="32"/>
      <c r="FQ160" s="32"/>
      <c r="FR160" s="32"/>
      <c r="FS160" s="32"/>
      <c r="FT160" s="32"/>
      <c r="FU160" s="32"/>
      <c r="FV160" s="32"/>
      <c r="FW160" s="32"/>
      <c r="FX160" s="32"/>
      <c r="FY160" s="32"/>
      <c r="FZ160" s="32"/>
      <c r="GA160" s="32"/>
      <c r="GB160" s="32"/>
      <c r="GC160" s="32"/>
      <c r="GD160" s="32"/>
      <c r="GE160" s="32"/>
      <c r="GF160" s="32"/>
      <c r="GG160" s="32"/>
      <c r="GH160" s="32"/>
      <c r="GI160" s="32"/>
      <c r="GJ160" s="32"/>
      <c r="GK160" s="32"/>
      <c r="GL160" s="32"/>
      <c r="GM160" s="32"/>
      <c r="GN160" s="32"/>
      <c r="GO160" s="32"/>
      <c r="GP160" s="32"/>
      <c r="GQ160" s="32"/>
      <c r="GR160" s="32"/>
      <c r="GS160" s="32"/>
      <c r="GT160" s="32"/>
      <c r="GU160" s="32"/>
      <c r="GV160" s="32"/>
      <c r="GW160" s="32"/>
      <c r="GX160" s="32"/>
      <c r="GY160" s="32"/>
      <c r="GZ160" s="32"/>
      <c r="HA160" s="32"/>
      <c r="HB160" s="32"/>
      <c r="HC160" s="32"/>
      <c r="HD160" s="32"/>
      <c r="HE160" s="32"/>
      <c r="HF160" s="32"/>
      <c r="HG160" s="32"/>
      <c r="HH160" s="32"/>
      <c r="HI160" s="32"/>
      <c r="HJ160" s="32"/>
      <c r="HK160" s="32"/>
      <c r="HL160" s="32"/>
      <c r="HM160" s="32"/>
      <c r="HN160" s="32"/>
      <c r="HO160" s="32"/>
      <c r="HP160" s="32"/>
    </row>
    <row r="161" spans="1:224" x14ac:dyDescent="0.25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  <c r="EW161" s="32"/>
      <c r="EX161" s="32"/>
      <c r="EY161" s="32"/>
      <c r="EZ161" s="32"/>
      <c r="FA161" s="32"/>
      <c r="FB161" s="32"/>
      <c r="FC161" s="32"/>
      <c r="FD161" s="32"/>
      <c r="FE161" s="32"/>
      <c r="FF161" s="32"/>
      <c r="FG161" s="32"/>
      <c r="FH161" s="32"/>
      <c r="FI161" s="32"/>
      <c r="FJ161" s="32"/>
      <c r="FK161" s="32"/>
      <c r="FL161" s="32"/>
      <c r="FM161" s="32"/>
      <c r="FN161" s="32"/>
      <c r="FO161" s="32"/>
      <c r="FP161" s="32"/>
      <c r="FQ161" s="32"/>
      <c r="FR161" s="32"/>
      <c r="FS161" s="32"/>
      <c r="FT161" s="32"/>
      <c r="FU161" s="32"/>
      <c r="FV161" s="32"/>
      <c r="FW161" s="32"/>
      <c r="FX161" s="32"/>
      <c r="FY161" s="32"/>
      <c r="FZ161" s="32"/>
      <c r="GA161" s="32"/>
      <c r="GB161" s="32"/>
      <c r="GC161" s="32"/>
      <c r="GD161" s="32"/>
      <c r="GE161" s="32"/>
      <c r="GF161" s="32"/>
      <c r="GG161" s="32"/>
      <c r="GH161" s="32"/>
      <c r="GI161" s="32"/>
      <c r="GJ161" s="32"/>
      <c r="GK161" s="32"/>
      <c r="GL161" s="32"/>
      <c r="GM161" s="32"/>
      <c r="GN161" s="32"/>
      <c r="GO161" s="32"/>
      <c r="GP161" s="32"/>
      <c r="GQ161" s="32"/>
      <c r="GR161" s="32"/>
      <c r="GS161" s="32"/>
      <c r="GT161" s="32"/>
      <c r="GU161" s="32"/>
      <c r="GV161" s="32"/>
      <c r="GW161" s="32"/>
      <c r="GX161" s="32"/>
      <c r="GY161" s="32"/>
      <c r="GZ161" s="32"/>
      <c r="HA161" s="32"/>
      <c r="HB161" s="32"/>
      <c r="HC161" s="32"/>
      <c r="HD161" s="32"/>
      <c r="HE161" s="32"/>
      <c r="HF161" s="32"/>
      <c r="HG161" s="32"/>
      <c r="HH161" s="32"/>
      <c r="HI161" s="32"/>
      <c r="HJ161" s="32"/>
      <c r="HK161" s="32"/>
      <c r="HL161" s="32"/>
      <c r="HM161" s="32"/>
      <c r="HN161" s="32"/>
      <c r="HO161" s="32"/>
      <c r="HP161" s="32"/>
    </row>
    <row r="162" spans="1:224" x14ac:dyDescent="0.25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  <c r="EW162" s="32"/>
      <c r="EX162" s="32"/>
      <c r="EY162" s="32"/>
      <c r="EZ162" s="32"/>
      <c r="FA162" s="32"/>
      <c r="FB162" s="32"/>
      <c r="FC162" s="32"/>
      <c r="FD162" s="32"/>
      <c r="FE162" s="32"/>
      <c r="FF162" s="32"/>
      <c r="FG162" s="32"/>
      <c r="FH162" s="32"/>
      <c r="FI162" s="32"/>
      <c r="FJ162" s="32"/>
      <c r="FK162" s="32"/>
      <c r="FL162" s="32"/>
      <c r="FM162" s="32"/>
      <c r="FN162" s="32"/>
      <c r="FO162" s="32"/>
      <c r="FP162" s="32"/>
      <c r="FQ162" s="32"/>
      <c r="FR162" s="32"/>
      <c r="FS162" s="32"/>
      <c r="FT162" s="32"/>
      <c r="FU162" s="32"/>
      <c r="FV162" s="32"/>
      <c r="FW162" s="32"/>
      <c r="FX162" s="32"/>
      <c r="FY162" s="32"/>
      <c r="FZ162" s="32"/>
      <c r="GA162" s="32"/>
      <c r="GB162" s="32"/>
      <c r="GC162" s="32"/>
      <c r="GD162" s="32"/>
      <c r="GE162" s="32"/>
      <c r="GF162" s="32"/>
      <c r="GG162" s="32"/>
      <c r="GH162" s="32"/>
      <c r="GI162" s="32"/>
      <c r="GJ162" s="32"/>
      <c r="GK162" s="32"/>
      <c r="GL162" s="32"/>
      <c r="GM162" s="32"/>
      <c r="GN162" s="32"/>
      <c r="GO162" s="32"/>
      <c r="GP162" s="32"/>
      <c r="GQ162" s="32"/>
      <c r="GR162" s="32"/>
      <c r="GS162" s="32"/>
      <c r="GT162" s="32"/>
      <c r="GU162" s="32"/>
      <c r="GV162" s="32"/>
      <c r="GW162" s="32"/>
      <c r="GX162" s="32"/>
      <c r="GY162" s="32"/>
      <c r="GZ162" s="32"/>
      <c r="HA162" s="32"/>
      <c r="HB162" s="32"/>
      <c r="HC162" s="32"/>
      <c r="HD162" s="32"/>
      <c r="HE162" s="32"/>
      <c r="HF162" s="32"/>
      <c r="HG162" s="32"/>
      <c r="HH162" s="32"/>
      <c r="HI162" s="32"/>
      <c r="HJ162" s="32"/>
      <c r="HK162" s="32"/>
      <c r="HL162" s="32"/>
      <c r="HM162" s="32"/>
      <c r="HN162" s="32"/>
      <c r="HO162" s="32"/>
      <c r="HP162" s="32"/>
    </row>
    <row r="163" spans="1:224" x14ac:dyDescent="0.25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  <c r="EW163" s="32"/>
      <c r="EX163" s="32"/>
      <c r="EY163" s="32"/>
      <c r="EZ163" s="32"/>
      <c r="FA163" s="32"/>
      <c r="FB163" s="32"/>
      <c r="FC163" s="32"/>
      <c r="FD163" s="32"/>
      <c r="FE163" s="32"/>
      <c r="FF163" s="32"/>
      <c r="FG163" s="32"/>
      <c r="FH163" s="32"/>
      <c r="FI163" s="32"/>
      <c r="FJ163" s="32"/>
      <c r="FK163" s="32"/>
      <c r="FL163" s="32"/>
      <c r="FM163" s="32"/>
      <c r="FN163" s="32"/>
      <c r="FO163" s="32"/>
      <c r="FP163" s="32"/>
      <c r="FQ163" s="32"/>
      <c r="FR163" s="32"/>
      <c r="FS163" s="32"/>
      <c r="FT163" s="32"/>
      <c r="FU163" s="32"/>
      <c r="FV163" s="32"/>
      <c r="FW163" s="32"/>
      <c r="FX163" s="32"/>
      <c r="FY163" s="32"/>
      <c r="FZ163" s="32"/>
      <c r="GA163" s="32"/>
      <c r="GB163" s="32"/>
      <c r="GC163" s="32"/>
      <c r="GD163" s="32"/>
      <c r="GE163" s="32"/>
      <c r="GF163" s="32"/>
      <c r="GG163" s="32"/>
      <c r="GH163" s="32"/>
      <c r="GI163" s="32"/>
      <c r="GJ163" s="32"/>
      <c r="GK163" s="32"/>
      <c r="GL163" s="32"/>
      <c r="GM163" s="32"/>
      <c r="GN163" s="32"/>
      <c r="GO163" s="32"/>
      <c r="GP163" s="32"/>
      <c r="GQ163" s="32"/>
      <c r="GR163" s="32"/>
      <c r="GS163" s="32"/>
      <c r="GT163" s="32"/>
      <c r="GU163" s="32"/>
      <c r="GV163" s="32"/>
      <c r="GW163" s="32"/>
      <c r="GX163" s="32"/>
      <c r="GY163" s="32"/>
      <c r="GZ163" s="32"/>
      <c r="HA163" s="32"/>
      <c r="HB163" s="32"/>
      <c r="HC163" s="32"/>
      <c r="HD163" s="32"/>
      <c r="HE163" s="32"/>
      <c r="HF163" s="32"/>
      <c r="HG163" s="32"/>
      <c r="HH163" s="32"/>
      <c r="HI163" s="32"/>
      <c r="HJ163" s="32"/>
      <c r="HK163" s="32"/>
      <c r="HL163" s="32"/>
      <c r="HM163" s="32"/>
      <c r="HN163" s="32"/>
      <c r="HO163" s="32"/>
      <c r="HP163" s="32"/>
    </row>
    <row r="164" spans="1:224" x14ac:dyDescent="0.25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  <c r="EW164" s="32"/>
      <c r="EX164" s="32"/>
      <c r="EY164" s="32"/>
      <c r="EZ164" s="32"/>
      <c r="FA164" s="32"/>
      <c r="FB164" s="32"/>
      <c r="FC164" s="32"/>
      <c r="FD164" s="32"/>
      <c r="FE164" s="32"/>
      <c r="FF164" s="32"/>
      <c r="FG164" s="32"/>
      <c r="FH164" s="32"/>
      <c r="FI164" s="32"/>
      <c r="FJ164" s="32"/>
      <c r="FK164" s="32"/>
      <c r="FL164" s="32"/>
      <c r="FM164" s="32"/>
      <c r="FN164" s="32"/>
      <c r="FO164" s="32"/>
      <c r="FP164" s="32"/>
      <c r="FQ164" s="32"/>
      <c r="FR164" s="32"/>
      <c r="FS164" s="32"/>
      <c r="FT164" s="32"/>
      <c r="FU164" s="32"/>
      <c r="FV164" s="32"/>
      <c r="FW164" s="32"/>
      <c r="FX164" s="32"/>
      <c r="FY164" s="32"/>
      <c r="FZ164" s="32"/>
      <c r="GA164" s="32"/>
      <c r="GB164" s="32"/>
      <c r="GC164" s="32"/>
      <c r="GD164" s="32"/>
      <c r="GE164" s="32"/>
      <c r="GF164" s="32"/>
      <c r="GG164" s="32"/>
      <c r="GH164" s="32"/>
      <c r="GI164" s="32"/>
      <c r="GJ164" s="32"/>
      <c r="GK164" s="32"/>
      <c r="GL164" s="32"/>
      <c r="GM164" s="32"/>
      <c r="GN164" s="32"/>
      <c r="GO164" s="32"/>
      <c r="GP164" s="32"/>
      <c r="GQ164" s="32"/>
      <c r="GR164" s="32"/>
      <c r="GS164" s="32"/>
      <c r="GT164" s="32"/>
      <c r="GU164" s="32"/>
      <c r="GV164" s="32"/>
      <c r="GW164" s="32"/>
      <c r="GX164" s="32"/>
      <c r="GY164" s="32"/>
      <c r="GZ164" s="32"/>
      <c r="HA164" s="32"/>
      <c r="HB164" s="32"/>
      <c r="HC164" s="32"/>
      <c r="HD164" s="32"/>
      <c r="HE164" s="32"/>
      <c r="HF164" s="32"/>
      <c r="HG164" s="32"/>
      <c r="HH164" s="32"/>
      <c r="HI164" s="32"/>
      <c r="HJ164" s="32"/>
      <c r="HK164" s="32"/>
      <c r="HL164" s="32"/>
      <c r="HM164" s="32"/>
      <c r="HN164" s="32"/>
      <c r="HO164" s="32"/>
      <c r="HP164" s="32"/>
    </row>
    <row r="165" spans="1:224" x14ac:dyDescent="0.2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  <c r="EW165" s="32"/>
      <c r="EX165" s="32"/>
      <c r="EY165" s="32"/>
      <c r="EZ165" s="32"/>
      <c r="FA165" s="32"/>
      <c r="FB165" s="32"/>
      <c r="FC165" s="32"/>
      <c r="FD165" s="32"/>
      <c r="FE165" s="32"/>
      <c r="FF165" s="32"/>
      <c r="FG165" s="32"/>
      <c r="FH165" s="32"/>
      <c r="FI165" s="32"/>
      <c r="FJ165" s="32"/>
      <c r="FK165" s="32"/>
      <c r="FL165" s="32"/>
      <c r="FM165" s="32"/>
      <c r="FN165" s="32"/>
      <c r="FO165" s="32"/>
      <c r="FP165" s="32"/>
      <c r="FQ165" s="32"/>
      <c r="FR165" s="32"/>
      <c r="FS165" s="32"/>
      <c r="FT165" s="32"/>
      <c r="FU165" s="32"/>
      <c r="FV165" s="32"/>
      <c r="FW165" s="32"/>
      <c r="FX165" s="32"/>
      <c r="FY165" s="32"/>
      <c r="FZ165" s="32"/>
      <c r="GA165" s="32"/>
      <c r="GB165" s="32"/>
      <c r="GC165" s="32"/>
      <c r="GD165" s="32"/>
      <c r="GE165" s="32"/>
      <c r="GF165" s="32"/>
      <c r="GG165" s="32"/>
      <c r="GH165" s="32"/>
      <c r="GI165" s="32"/>
      <c r="GJ165" s="32"/>
      <c r="GK165" s="32"/>
      <c r="GL165" s="32"/>
      <c r="GM165" s="32"/>
      <c r="GN165" s="32"/>
      <c r="GO165" s="32"/>
      <c r="GP165" s="32"/>
      <c r="GQ165" s="32"/>
      <c r="GR165" s="32"/>
      <c r="GS165" s="32"/>
      <c r="GT165" s="32"/>
      <c r="GU165" s="32"/>
      <c r="GV165" s="32"/>
      <c r="GW165" s="32"/>
      <c r="GX165" s="32"/>
      <c r="GY165" s="32"/>
      <c r="GZ165" s="32"/>
      <c r="HA165" s="32"/>
      <c r="HB165" s="32"/>
      <c r="HC165" s="32"/>
      <c r="HD165" s="32"/>
      <c r="HE165" s="32"/>
      <c r="HF165" s="32"/>
      <c r="HG165" s="32"/>
      <c r="HH165" s="32"/>
      <c r="HI165" s="32"/>
      <c r="HJ165" s="32"/>
      <c r="HK165" s="32"/>
      <c r="HL165" s="32"/>
      <c r="HM165" s="32"/>
      <c r="HN165" s="32"/>
      <c r="HO165" s="32"/>
      <c r="HP165" s="32"/>
    </row>
    <row r="166" spans="1:224" x14ac:dyDescent="0.25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  <c r="EW166" s="32"/>
      <c r="EX166" s="32"/>
      <c r="EY166" s="32"/>
      <c r="EZ166" s="32"/>
      <c r="FA166" s="32"/>
      <c r="FB166" s="32"/>
      <c r="FC166" s="32"/>
      <c r="FD166" s="32"/>
      <c r="FE166" s="32"/>
      <c r="FF166" s="32"/>
      <c r="FG166" s="32"/>
      <c r="FH166" s="32"/>
      <c r="FI166" s="32"/>
      <c r="FJ166" s="32"/>
      <c r="FK166" s="32"/>
      <c r="FL166" s="32"/>
      <c r="FM166" s="32"/>
      <c r="FN166" s="32"/>
      <c r="FO166" s="32"/>
      <c r="FP166" s="32"/>
      <c r="FQ166" s="32"/>
      <c r="FR166" s="32"/>
      <c r="FS166" s="32"/>
      <c r="FT166" s="32"/>
      <c r="FU166" s="32"/>
      <c r="FV166" s="32"/>
      <c r="FW166" s="32"/>
      <c r="FX166" s="32"/>
      <c r="FY166" s="32"/>
      <c r="FZ166" s="32"/>
      <c r="GA166" s="32"/>
      <c r="GB166" s="32"/>
      <c r="GC166" s="32"/>
      <c r="GD166" s="32"/>
      <c r="GE166" s="32"/>
      <c r="GF166" s="32"/>
      <c r="GG166" s="32"/>
      <c r="GH166" s="32"/>
      <c r="GI166" s="32"/>
      <c r="GJ166" s="32"/>
      <c r="GK166" s="32"/>
      <c r="GL166" s="32"/>
      <c r="GM166" s="32"/>
      <c r="GN166" s="32"/>
      <c r="GO166" s="32"/>
      <c r="GP166" s="32"/>
      <c r="GQ166" s="32"/>
      <c r="GR166" s="32"/>
      <c r="GS166" s="32"/>
      <c r="GT166" s="32"/>
      <c r="GU166" s="32"/>
      <c r="GV166" s="32"/>
      <c r="GW166" s="32"/>
      <c r="GX166" s="32"/>
      <c r="GY166" s="32"/>
      <c r="GZ166" s="32"/>
      <c r="HA166" s="32"/>
      <c r="HB166" s="32"/>
      <c r="HC166" s="32"/>
      <c r="HD166" s="32"/>
      <c r="HE166" s="32"/>
      <c r="HF166" s="32"/>
      <c r="HG166" s="32"/>
      <c r="HH166" s="32"/>
      <c r="HI166" s="32"/>
      <c r="HJ166" s="32"/>
      <c r="HK166" s="32"/>
      <c r="HL166" s="32"/>
      <c r="HM166" s="32"/>
      <c r="HN166" s="32"/>
      <c r="HO166" s="32"/>
      <c r="HP166" s="32"/>
    </row>
    <row r="167" spans="1:224" x14ac:dyDescent="0.25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  <c r="EW167" s="32"/>
      <c r="EX167" s="32"/>
      <c r="EY167" s="32"/>
      <c r="EZ167" s="32"/>
      <c r="FA167" s="32"/>
      <c r="FB167" s="32"/>
      <c r="FC167" s="32"/>
      <c r="FD167" s="32"/>
      <c r="FE167" s="32"/>
      <c r="FF167" s="32"/>
      <c r="FG167" s="32"/>
      <c r="FH167" s="32"/>
      <c r="FI167" s="32"/>
      <c r="FJ167" s="32"/>
      <c r="FK167" s="32"/>
      <c r="FL167" s="32"/>
      <c r="FM167" s="32"/>
      <c r="FN167" s="32"/>
      <c r="FO167" s="32"/>
      <c r="FP167" s="32"/>
      <c r="FQ167" s="32"/>
      <c r="FR167" s="32"/>
      <c r="FS167" s="32"/>
      <c r="FT167" s="32"/>
      <c r="FU167" s="32"/>
      <c r="FV167" s="32"/>
      <c r="FW167" s="32"/>
      <c r="FX167" s="32"/>
      <c r="FY167" s="32"/>
      <c r="FZ167" s="32"/>
      <c r="GA167" s="32"/>
      <c r="GB167" s="32"/>
      <c r="GC167" s="32"/>
      <c r="GD167" s="32"/>
      <c r="GE167" s="32"/>
      <c r="GF167" s="32"/>
      <c r="GG167" s="32"/>
      <c r="GH167" s="32"/>
      <c r="GI167" s="32"/>
      <c r="GJ167" s="32"/>
      <c r="GK167" s="32"/>
      <c r="GL167" s="32"/>
      <c r="GM167" s="32"/>
      <c r="GN167" s="32"/>
      <c r="GO167" s="32"/>
      <c r="GP167" s="32"/>
      <c r="GQ167" s="32"/>
      <c r="GR167" s="32"/>
      <c r="GS167" s="32"/>
      <c r="GT167" s="32"/>
      <c r="GU167" s="32"/>
      <c r="GV167" s="32"/>
      <c r="GW167" s="32"/>
      <c r="GX167" s="32"/>
      <c r="GY167" s="32"/>
      <c r="GZ167" s="32"/>
      <c r="HA167" s="32"/>
      <c r="HB167" s="32"/>
      <c r="HC167" s="32"/>
      <c r="HD167" s="32"/>
      <c r="HE167" s="32"/>
      <c r="HF167" s="32"/>
      <c r="HG167" s="32"/>
      <c r="HH167" s="32"/>
      <c r="HI167" s="32"/>
      <c r="HJ167" s="32"/>
      <c r="HK167" s="32"/>
      <c r="HL167" s="32"/>
      <c r="HM167" s="32"/>
      <c r="HN167" s="32"/>
      <c r="HO167" s="32"/>
      <c r="HP167" s="32"/>
    </row>
    <row r="168" spans="1:224" x14ac:dyDescent="0.25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  <c r="EW168" s="32"/>
      <c r="EX168" s="32"/>
      <c r="EY168" s="32"/>
      <c r="EZ168" s="32"/>
      <c r="FA168" s="32"/>
      <c r="FB168" s="32"/>
      <c r="FC168" s="32"/>
      <c r="FD168" s="32"/>
      <c r="FE168" s="32"/>
      <c r="FF168" s="32"/>
      <c r="FG168" s="32"/>
      <c r="FH168" s="32"/>
      <c r="FI168" s="32"/>
      <c r="FJ168" s="32"/>
      <c r="FK168" s="32"/>
      <c r="FL168" s="32"/>
      <c r="FM168" s="32"/>
      <c r="FN168" s="32"/>
      <c r="FO168" s="32"/>
      <c r="FP168" s="32"/>
      <c r="FQ168" s="32"/>
      <c r="FR168" s="32"/>
      <c r="FS168" s="32"/>
      <c r="FT168" s="32"/>
      <c r="FU168" s="32"/>
      <c r="FV168" s="32"/>
      <c r="FW168" s="32"/>
      <c r="FX168" s="32"/>
      <c r="FY168" s="32"/>
      <c r="FZ168" s="32"/>
      <c r="GA168" s="32"/>
      <c r="GB168" s="32"/>
      <c r="GC168" s="32"/>
      <c r="GD168" s="32"/>
      <c r="GE168" s="32"/>
      <c r="GF168" s="32"/>
      <c r="GG168" s="32"/>
      <c r="GH168" s="32"/>
      <c r="GI168" s="32"/>
      <c r="GJ168" s="32"/>
      <c r="GK168" s="32"/>
      <c r="GL168" s="32"/>
      <c r="GM168" s="32"/>
      <c r="GN168" s="32"/>
      <c r="GO168" s="32"/>
      <c r="GP168" s="32"/>
      <c r="GQ168" s="32"/>
      <c r="GR168" s="32"/>
      <c r="GS168" s="32"/>
      <c r="GT168" s="32"/>
      <c r="GU168" s="32"/>
      <c r="GV168" s="32"/>
      <c r="GW168" s="32"/>
      <c r="GX168" s="32"/>
      <c r="GY168" s="32"/>
      <c r="GZ168" s="32"/>
      <c r="HA168" s="32"/>
      <c r="HB168" s="32"/>
      <c r="HC168" s="32"/>
      <c r="HD168" s="32"/>
      <c r="HE168" s="32"/>
      <c r="HF168" s="32"/>
      <c r="HG168" s="32"/>
      <c r="HH168" s="32"/>
      <c r="HI168" s="32"/>
      <c r="HJ168" s="32"/>
      <c r="HK168" s="32"/>
      <c r="HL168" s="32"/>
      <c r="HM168" s="32"/>
      <c r="HN168" s="32"/>
      <c r="HO168" s="32"/>
      <c r="HP168" s="32"/>
    </row>
    <row r="169" spans="1:224" x14ac:dyDescent="0.25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  <c r="EW169" s="32"/>
      <c r="EX169" s="32"/>
      <c r="EY169" s="32"/>
      <c r="EZ169" s="32"/>
      <c r="FA169" s="32"/>
      <c r="FB169" s="32"/>
      <c r="FC169" s="32"/>
      <c r="FD169" s="32"/>
      <c r="FE169" s="32"/>
      <c r="FF169" s="32"/>
      <c r="FG169" s="32"/>
      <c r="FH169" s="32"/>
      <c r="FI169" s="32"/>
      <c r="FJ169" s="32"/>
      <c r="FK169" s="32"/>
      <c r="FL169" s="32"/>
      <c r="FM169" s="32"/>
      <c r="FN169" s="32"/>
      <c r="FO169" s="32"/>
      <c r="FP169" s="32"/>
      <c r="FQ169" s="32"/>
      <c r="FR169" s="32"/>
      <c r="FS169" s="32"/>
      <c r="FT169" s="32"/>
      <c r="FU169" s="32"/>
      <c r="FV169" s="32"/>
      <c r="FW169" s="32"/>
      <c r="FX169" s="32"/>
      <c r="FY169" s="32"/>
      <c r="FZ169" s="32"/>
      <c r="GA169" s="32"/>
      <c r="GB169" s="32"/>
      <c r="GC169" s="32"/>
      <c r="GD169" s="32"/>
      <c r="GE169" s="32"/>
      <c r="GF169" s="32"/>
      <c r="GG169" s="32"/>
      <c r="GH169" s="32"/>
      <c r="GI169" s="32"/>
      <c r="GJ169" s="32"/>
      <c r="GK169" s="32"/>
      <c r="GL169" s="32"/>
      <c r="GM169" s="32"/>
      <c r="GN169" s="32"/>
      <c r="GO169" s="32"/>
      <c r="GP169" s="32"/>
      <c r="GQ169" s="32"/>
      <c r="GR169" s="32"/>
      <c r="GS169" s="32"/>
      <c r="GT169" s="32"/>
      <c r="GU169" s="32"/>
      <c r="GV169" s="32"/>
      <c r="GW169" s="32"/>
      <c r="GX169" s="32"/>
      <c r="GY169" s="32"/>
      <c r="GZ169" s="32"/>
      <c r="HA169" s="32"/>
      <c r="HB169" s="32"/>
      <c r="HC169" s="32"/>
      <c r="HD169" s="32"/>
      <c r="HE169" s="32"/>
      <c r="HF169" s="32"/>
      <c r="HG169" s="32"/>
      <c r="HH169" s="32"/>
      <c r="HI169" s="32"/>
      <c r="HJ169" s="32"/>
      <c r="HK169" s="32"/>
      <c r="HL169" s="32"/>
      <c r="HM169" s="32"/>
      <c r="HN169" s="32"/>
      <c r="HO169" s="32"/>
      <c r="HP169" s="32"/>
    </row>
    <row r="170" spans="1:224" x14ac:dyDescent="0.25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  <c r="EW170" s="32"/>
      <c r="EX170" s="32"/>
      <c r="EY170" s="32"/>
      <c r="EZ170" s="32"/>
      <c r="FA170" s="32"/>
      <c r="FB170" s="32"/>
      <c r="FC170" s="32"/>
      <c r="FD170" s="32"/>
      <c r="FE170" s="32"/>
      <c r="FF170" s="32"/>
      <c r="FG170" s="32"/>
      <c r="FH170" s="32"/>
      <c r="FI170" s="32"/>
      <c r="FJ170" s="32"/>
      <c r="FK170" s="32"/>
      <c r="FL170" s="32"/>
      <c r="FM170" s="32"/>
      <c r="FN170" s="32"/>
      <c r="FO170" s="32"/>
      <c r="FP170" s="32"/>
      <c r="FQ170" s="32"/>
      <c r="FR170" s="32"/>
      <c r="FS170" s="32"/>
      <c r="FT170" s="32"/>
      <c r="FU170" s="32"/>
      <c r="FV170" s="32"/>
      <c r="FW170" s="32"/>
      <c r="FX170" s="32"/>
      <c r="FY170" s="32"/>
      <c r="FZ170" s="32"/>
      <c r="GA170" s="32"/>
      <c r="GB170" s="32"/>
      <c r="GC170" s="32"/>
      <c r="GD170" s="32"/>
      <c r="GE170" s="32"/>
      <c r="GF170" s="32"/>
      <c r="GG170" s="32"/>
      <c r="GH170" s="32"/>
      <c r="GI170" s="32"/>
      <c r="GJ170" s="32"/>
      <c r="GK170" s="32"/>
      <c r="GL170" s="32"/>
      <c r="GM170" s="32"/>
      <c r="GN170" s="32"/>
      <c r="GO170" s="32"/>
      <c r="GP170" s="32"/>
      <c r="GQ170" s="32"/>
      <c r="GR170" s="32"/>
      <c r="GS170" s="32"/>
      <c r="GT170" s="32"/>
      <c r="GU170" s="32"/>
      <c r="GV170" s="32"/>
      <c r="GW170" s="32"/>
      <c r="GX170" s="32"/>
      <c r="GY170" s="32"/>
      <c r="GZ170" s="32"/>
      <c r="HA170" s="32"/>
      <c r="HB170" s="32"/>
      <c r="HC170" s="32"/>
      <c r="HD170" s="32"/>
      <c r="HE170" s="32"/>
      <c r="HF170" s="32"/>
      <c r="HG170" s="32"/>
      <c r="HH170" s="32"/>
      <c r="HI170" s="32"/>
      <c r="HJ170" s="32"/>
      <c r="HK170" s="32"/>
      <c r="HL170" s="32"/>
      <c r="HM170" s="32"/>
      <c r="HN170" s="32"/>
      <c r="HO170" s="32"/>
      <c r="HP170" s="32"/>
    </row>
    <row r="171" spans="1:224" x14ac:dyDescent="0.25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  <c r="EW171" s="32"/>
      <c r="EX171" s="32"/>
      <c r="EY171" s="32"/>
      <c r="EZ171" s="32"/>
      <c r="FA171" s="32"/>
      <c r="FB171" s="32"/>
      <c r="FC171" s="32"/>
      <c r="FD171" s="32"/>
      <c r="FE171" s="32"/>
      <c r="FF171" s="32"/>
      <c r="FG171" s="32"/>
      <c r="FH171" s="32"/>
      <c r="FI171" s="32"/>
      <c r="FJ171" s="32"/>
      <c r="FK171" s="32"/>
      <c r="FL171" s="32"/>
      <c r="FM171" s="32"/>
      <c r="FN171" s="32"/>
      <c r="FO171" s="32"/>
      <c r="FP171" s="32"/>
      <c r="FQ171" s="32"/>
      <c r="FR171" s="32"/>
      <c r="FS171" s="32"/>
      <c r="FT171" s="32"/>
      <c r="FU171" s="32"/>
      <c r="FV171" s="32"/>
      <c r="FW171" s="32"/>
      <c r="FX171" s="32"/>
      <c r="FY171" s="32"/>
      <c r="FZ171" s="32"/>
      <c r="GA171" s="32"/>
      <c r="GB171" s="32"/>
      <c r="GC171" s="32"/>
      <c r="GD171" s="32"/>
      <c r="GE171" s="32"/>
      <c r="GF171" s="32"/>
      <c r="GG171" s="32"/>
      <c r="GH171" s="32"/>
      <c r="GI171" s="32"/>
      <c r="GJ171" s="32"/>
      <c r="GK171" s="32"/>
      <c r="GL171" s="32"/>
      <c r="GM171" s="32"/>
      <c r="GN171" s="32"/>
      <c r="GO171" s="32"/>
      <c r="GP171" s="32"/>
      <c r="GQ171" s="32"/>
      <c r="GR171" s="32"/>
      <c r="GS171" s="32"/>
      <c r="GT171" s="32"/>
      <c r="GU171" s="32"/>
      <c r="GV171" s="32"/>
      <c r="GW171" s="32"/>
      <c r="GX171" s="32"/>
      <c r="GY171" s="32"/>
      <c r="GZ171" s="32"/>
      <c r="HA171" s="32"/>
      <c r="HB171" s="32"/>
      <c r="HC171" s="32"/>
      <c r="HD171" s="32"/>
      <c r="HE171" s="32"/>
      <c r="HF171" s="32"/>
      <c r="HG171" s="32"/>
      <c r="HH171" s="32"/>
      <c r="HI171" s="32"/>
      <c r="HJ171" s="32"/>
      <c r="HK171" s="32"/>
      <c r="HL171" s="32"/>
      <c r="HM171" s="32"/>
      <c r="HN171" s="32"/>
      <c r="HO171" s="32"/>
      <c r="HP171" s="32"/>
    </row>
    <row r="172" spans="1:224" x14ac:dyDescent="0.25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  <c r="EW172" s="32"/>
      <c r="EX172" s="32"/>
      <c r="EY172" s="32"/>
      <c r="EZ172" s="32"/>
      <c r="FA172" s="32"/>
      <c r="FB172" s="32"/>
      <c r="FC172" s="32"/>
      <c r="FD172" s="32"/>
      <c r="FE172" s="32"/>
      <c r="FF172" s="32"/>
      <c r="FG172" s="32"/>
      <c r="FH172" s="32"/>
      <c r="FI172" s="32"/>
      <c r="FJ172" s="32"/>
      <c r="FK172" s="32"/>
      <c r="FL172" s="32"/>
      <c r="FM172" s="32"/>
      <c r="FN172" s="32"/>
      <c r="FO172" s="32"/>
      <c r="FP172" s="32"/>
      <c r="FQ172" s="32"/>
      <c r="FR172" s="32"/>
      <c r="FS172" s="32"/>
      <c r="FT172" s="32"/>
      <c r="FU172" s="32"/>
      <c r="FV172" s="32"/>
      <c r="FW172" s="32"/>
      <c r="FX172" s="32"/>
      <c r="FY172" s="32"/>
      <c r="FZ172" s="32"/>
      <c r="GA172" s="32"/>
      <c r="GB172" s="32"/>
      <c r="GC172" s="32"/>
      <c r="GD172" s="32"/>
      <c r="GE172" s="32"/>
      <c r="GF172" s="32"/>
      <c r="GG172" s="32"/>
      <c r="GH172" s="32"/>
      <c r="GI172" s="32"/>
      <c r="GJ172" s="32"/>
      <c r="GK172" s="32"/>
      <c r="GL172" s="32"/>
      <c r="GM172" s="32"/>
      <c r="GN172" s="32"/>
      <c r="GO172" s="32"/>
      <c r="GP172" s="32"/>
      <c r="GQ172" s="32"/>
      <c r="GR172" s="32"/>
      <c r="GS172" s="32"/>
      <c r="GT172" s="32"/>
      <c r="GU172" s="32"/>
      <c r="GV172" s="32"/>
      <c r="GW172" s="32"/>
      <c r="GX172" s="32"/>
      <c r="GY172" s="32"/>
      <c r="GZ172" s="32"/>
      <c r="HA172" s="32"/>
      <c r="HB172" s="32"/>
      <c r="HC172" s="32"/>
      <c r="HD172" s="32"/>
      <c r="HE172" s="32"/>
      <c r="HF172" s="32"/>
      <c r="HG172" s="32"/>
      <c r="HH172" s="32"/>
      <c r="HI172" s="32"/>
      <c r="HJ172" s="32"/>
      <c r="HK172" s="32"/>
      <c r="HL172" s="32"/>
      <c r="HM172" s="32"/>
      <c r="HN172" s="32"/>
      <c r="HO172" s="32"/>
      <c r="HP172" s="32"/>
    </row>
    <row r="173" spans="1:224" x14ac:dyDescent="0.25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  <c r="EW173" s="32"/>
      <c r="EX173" s="32"/>
      <c r="EY173" s="32"/>
      <c r="EZ173" s="32"/>
      <c r="FA173" s="32"/>
      <c r="FB173" s="32"/>
      <c r="FC173" s="32"/>
      <c r="FD173" s="32"/>
      <c r="FE173" s="32"/>
      <c r="FF173" s="32"/>
      <c r="FG173" s="32"/>
      <c r="FH173" s="32"/>
      <c r="FI173" s="32"/>
      <c r="FJ173" s="32"/>
      <c r="FK173" s="32"/>
      <c r="FL173" s="32"/>
      <c r="FM173" s="32"/>
      <c r="FN173" s="32"/>
      <c r="FO173" s="32"/>
      <c r="FP173" s="32"/>
      <c r="FQ173" s="32"/>
      <c r="FR173" s="32"/>
      <c r="FS173" s="32"/>
      <c r="FT173" s="32"/>
      <c r="FU173" s="32"/>
      <c r="FV173" s="32"/>
      <c r="FW173" s="32"/>
      <c r="FX173" s="32"/>
      <c r="FY173" s="32"/>
      <c r="FZ173" s="32"/>
      <c r="GA173" s="32"/>
      <c r="GB173" s="32"/>
      <c r="GC173" s="32"/>
      <c r="GD173" s="32"/>
      <c r="GE173" s="32"/>
      <c r="GF173" s="32"/>
      <c r="GG173" s="32"/>
      <c r="GH173" s="32"/>
      <c r="GI173" s="32"/>
      <c r="GJ173" s="32"/>
      <c r="GK173" s="32"/>
      <c r="GL173" s="32"/>
      <c r="GM173" s="32"/>
      <c r="GN173" s="32"/>
      <c r="GO173" s="32"/>
      <c r="GP173" s="32"/>
      <c r="GQ173" s="32"/>
      <c r="GR173" s="32"/>
      <c r="GS173" s="32"/>
      <c r="GT173" s="32"/>
      <c r="GU173" s="32"/>
      <c r="GV173" s="32"/>
      <c r="GW173" s="32"/>
      <c r="GX173" s="32"/>
      <c r="GY173" s="32"/>
      <c r="GZ173" s="32"/>
      <c r="HA173" s="32"/>
      <c r="HB173" s="32"/>
      <c r="HC173" s="32"/>
      <c r="HD173" s="32"/>
      <c r="HE173" s="32"/>
      <c r="HF173" s="32"/>
      <c r="HG173" s="32"/>
      <c r="HH173" s="32"/>
      <c r="HI173" s="32"/>
      <c r="HJ173" s="32"/>
      <c r="HK173" s="32"/>
      <c r="HL173" s="32"/>
      <c r="HM173" s="32"/>
      <c r="HN173" s="32"/>
      <c r="HO173" s="32"/>
      <c r="HP173" s="32"/>
    </row>
    <row r="174" spans="1:224" x14ac:dyDescent="0.25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  <c r="EW174" s="32"/>
      <c r="EX174" s="32"/>
      <c r="EY174" s="32"/>
      <c r="EZ174" s="32"/>
      <c r="FA174" s="32"/>
      <c r="FB174" s="32"/>
      <c r="FC174" s="32"/>
      <c r="FD174" s="32"/>
      <c r="FE174" s="32"/>
      <c r="FF174" s="32"/>
      <c r="FG174" s="32"/>
      <c r="FH174" s="32"/>
      <c r="FI174" s="32"/>
      <c r="FJ174" s="32"/>
      <c r="FK174" s="32"/>
      <c r="FL174" s="32"/>
      <c r="FM174" s="32"/>
      <c r="FN174" s="32"/>
      <c r="FO174" s="32"/>
      <c r="FP174" s="32"/>
      <c r="FQ174" s="32"/>
      <c r="FR174" s="32"/>
      <c r="FS174" s="32"/>
      <c r="FT174" s="32"/>
      <c r="FU174" s="32"/>
      <c r="FV174" s="32"/>
      <c r="FW174" s="32"/>
      <c r="FX174" s="32"/>
      <c r="FY174" s="32"/>
      <c r="FZ174" s="32"/>
      <c r="GA174" s="32"/>
      <c r="GB174" s="32"/>
      <c r="GC174" s="32"/>
      <c r="GD174" s="32"/>
      <c r="GE174" s="32"/>
      <c r="GF174" s="32"/>
      <c r="GG174" s="32"/>
      <c r="GH174" s="32"/>
      <c r="GI174" s="32"/>
      <c r="GJ174" s="32"/>
      <c r="GK174" s="32"/>
      <c r="GL174" s="32"/>
      <c r="GM174" s="32"/>
      <c r="GN174" s="32"/>
      <c r="GO174" s="32"/>
      <c r="GP174" s="32"/>
      <c r="GQ174" s="32"/>
      <c r="GR174" s="32"/>
      <c r="GS174" s="32"/>
      <c r="GT174" s="32"/>
      <c r="GU174" s="32"/>
      <c r="GV174" s="32"/>
      <c r="GW174" s="32"/>
      <c r="GX174" s="32"/>
      <c r="GY174" s="32"/>
      <c r="GZ174" s="32"/>
      <c r="HA174" s="32"/>
      <c r="HB174" s="32"/>
      <c r="HC174" s="32"/>
      <c r="HD174" s="32"/>
      <c r="HE174" s="32"/>
      <c r="HF174" s="32"/>
      <c r="HG174" s="32"/>
      <c r="HH174" s="32"/>
      <c r="HI174" s="32"/>
      <c r="HJ174" s="32"/>
      <c r="HK174" s="32"/>
      <c r="HL174" s="32"/>
      <c r="HM174" s="32"/>
      <c r="HN174" s="32"/>
      <c r="HO174" s="32"/>
      <c r="HP174" s="32"/>
    </row>
    <row r="175" spans="1:224" x14ac:dyDescent="0.2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  <c r="EW175" s="32"/>
      <c r="EX175" s="32"/>
      <c r="EY175" s="32"/>
      <c r="EZ175" s="32"/>
      <c r="FA175" s="32"/>
      <c r="FB175" s="32"/>
      <c r="FC175" s="32"/>
      <c r="FD175" s="32"/>
      <c r="FE175" s="32"/>
      <c r="FF175" s="32"/>
      <c r="FG175" s="32"/>
      <c r="FH175" s="32"/>
      <c r="FI175" s="32"/>
      <c r="FJ175" s="32"/>
      <c r="FK175" s="32"/>
      <c r="FL175" s="32"/>
      <c r="FM175" s="32"/>
      <c r="FN175" s="32"/>
      <c r="FO175" s="32"/>
      <c r="FP175" s="32"/>
      <c r="FQ175" s="32"/>
      <c r="FR175" s="32"/>
      <c r="FS175" s="32"/>
      <c r="FT175" s="32"/>
      <c r="FU175" s="32"/>
      <c r="FV175" s="32"/>
      <c r="FW175" s="32"/>
      <c r="FX175" s="32"/>
      <c r="FY175" s="32"/>
      <c r="FZ175" s="32"/>
      <c r="GA175" s="32"/>
      <c r="GB175" s="32"/>
      <c r="GC175" s="32"/>
      <c r="GD175" s="32"/>
      <c r="GE175" s="32"/>
      <c r="GF175" s="32"/>
      <c r="GG175" s="32"/>
      <c r="GH175" s="32"/>
      <c r="GI175" s="32"/>
      <c r="GJ175" s="32"/>
      <c r="GK175" s="32"/>
      <c r="GL175" s="32"/>
      <c r="GM175" s="32"/>
      <c r="GN175" s="32"/>
      <c r="GO175" s="32"/>
      <c r="GP175" s="32"/>
      <c r="GQ175" s="32"/>
      <c r="GR175" s="32"/>
      <c r="GS175" s="32"/>
      <c r="GT175" s="32"/>
      <c r="GU175" s="32"/>
      <c r="GV175" s="32"/>
      <c r="GW175" s="32"/>
      <c r="GX175" s="32"/>
      <c r="GY175" s="32"/>
      <c r="GZ175" s="32"/>
      <c r="HA175" s="32"/>
      <c r="HB175" s="32"/>
      <c r="HC175" s="32"/>
      <c r="HD175" s="32"/>
      <c r="HE175" s="32"/>
      <c r="HF175" s="32"/>
      <c r="HG175" s="32"/>
      <c r="HH175" s="32"/>
      <c r="HI175" s="32"/>
      <c r="HJ175" s="32"/>
      <c r="HK175" s="32"/>
      <c r="HL175" s="32"/>
      <c r="HM175" s="32"/>
      <c r="HN175" s="32"/>
      <c r="HO175" s="32"/>
      <c r="HP175" s="32"/>
    </row>
    <row r="176" spans="1:224" x14ac:dyDescent="0.25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  <c r="EW176" s="32"/>
      <c r="EX176" s="32"/>
      <c r="EY176" s="32"/>
      <c r="EZ176" s="32"/>
      <c r="FA176" s="32"/>
      <c r="FB176" s="32"/>
      <c r="FC176" s="32"/>
      <c r="FD176" s="32"/>
      <c r="FE176" s="32"/>
      <c r="FF176" s="32"/>
      <c r="FG176" s="32"/>
      <c r="FH176" s="32"/>
      <c r="FI176" s="32"/>
      <c r="FJ176" s="32"/>
      <c r="FK176" s="32"/>
      <c r="FL176" s="32"/>
      <c r="FM176" s="32"/>
      <c r="FN176" s="32"/>
      <c r="FO176" s="32"/>
      <c r="FP176" s="32"/>
      <c r="FQ176" s="32"/>
      <c r="FR176" s="32"/>
      <c r="FS176" s="32"/>
      <c r="FT176" s="32"/>
      <c r="FU176" s="32"/>
      <c r="FV176" s="32"/>
      <c r="FW176" s="32"/>
      <c r="FX176" s="32"/>
      <c r="FY176" s="32"/>
      <c r="FZ176" s="32"/>
      <c r="GA176" s="32"/>
      <c r="GB176" s="32"/>
      <c r="GC176" s="32"/>
      <c r="GD176" s="32"/>
      <c r="GE176" s="32"/>
      <c r="GF176" s="32"/>
      <c r="GG176" s="32"/>
      <c r="GH176" s="32"/>
      <c r="GI176" s="32"/>
      <c r="GJ176" s="32"/>
      <c r="GK176" s="32"/>
      <c r="GL176" s="32"/>
      <c r="GM176" s="32"/>
      <c r="GN176" s="32"/>
      <c r="GO176" s="32"/>
      <c r="GP176" s="32"/>
      <c r="GQ176" s="32"/>
      <c r="GR176" s="32"/>
      <c r="GS176" s="32"/>
      <c r="GT176" s="32"/>
      <c r="GU176" s="32"/>
      <c r="GV176" s="32"/>
      <c r="GW176" s="32"/>
      <c r="GX176" s="32"/>
      <c r="GY176" s="32"/>
      <c r="GZ176" s="32"/>
      <c r="HA176" s="32"/>
      <c r="HB176" s="32"/>
      <c r="HC176" s="32"/>
      <c r="HD176" s="32"/>
      <c r="HE176" s="32"/>
      <c r="HF176" s="32"/>
      <c r="HG176" s="32"/>
      <c r="HH176" s="32"/>
      <c r="HI176" s="32"/>
      <c r="HJ176" s="32"/>
      <c r="HK176" s="32"/>
      <c r="HL176" s="32"/>
      <c r="HM176" s="32"/>
      <c r="HN176" s="32"/>
      <c r="HO176" s="32"/>
      <c r="HP176" s="32"/>
    </row>
    <row r="177" spans="1:224" x14ac:dyDescent="0.25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  <c r="EW177" s="32"/>
      <c r="EX177" s="32"/>
      <c r="EY177" s="32"/>
      <c r="EZ177" s="32"/>
      <c r="FA177" s="32"/>
      <c r="FB177" s="32"/>
      <c r="FC177" s="32"/>
      <c r="FD177" s="32"/>
      <c r="FE177" s="32"/>
      <c r="FF177" s="32"/>
      <c r="FG177" s="32"/>
      <c r="FH177" s="32"/>
      <c r="FI177" s="32"/>
      <c r="FJ177" s="32"/>
      <c r="FK177" s="32"/>
      <c r="FL177" s="32"/>
      <c r="FM177" s="32"/>
      <c r="FN177" s="32"/>
      <c r="FO177" s="32"/>
      <c r="FP177" s="32"/>
      <c r="FQ177" s="32"/>
      <c r="FR177" s="32"/>
      <c r="FS177" s="32"/>
      <c r="FT177" s="32"/>
      <c r="FU177" s="32"/>
      <c r="FV177" s="32"/>
      <c r="FW177" s="32"/>
      <c r="FX177" s="32"/>
      <c r="FY177" s="32"/>
      <c r="FZ177" s="32"/>
      <c r="GA177" s="32"/>
      <c r="GB177" s="32"/>
      <c r="GC177" s="32"/>
      <c r="GD177" s="32"/>
      <c r="GE177" s="32"/>
      <c r="GF177" s="32"/>
      <c r="GG177" s="32"/>
      <c r="GH177" s="32"/>
      <c r="GI177" s="32"/>
      <c r="GJ177" s="32"/>
      <c r="GK177" s="32"/>
      <c r="GL177" s="32"/>
      <c r="GM177" s="32"/>
      <c r="GN177" s="32"/>
      <c r="GO177" s="32"/>
      <c r="GP177" s="32"/>
      <c r="GQ177" s="32"/>
      <c r="GR177" s="32"/>
      <c r="GS177" s="32"/>
      <c r="GT177" s="32"/>
      <c r="GU177" s="32"/>
      <c r="GV177" s="32"/>
      <c r="GW177" s="32"/>
      <c r="GX177" s="32"/>
      <c r="GY177" s="32"/>
      <c r="GZ177" s="32"/>
      <c r="HA177" s="32"/>
      <c r="HB177" s="32"/>
      <c r="HC177" s="32"/>
      <c r="HD177" s="32"/>
      <c r="HE177" s="32"/>
      <c r="HF177" s="32"/>
      <c r="HG177" s="32"/>
      <c r="HH177" s="32"/>
      <c r="HI177" s="32"/>
      <c r="HJ177" s="32"/>
      <c r="HK177" s="32"/>
      <c r="HL177" s="32"/>
      <c r="HM177" s="32"/>
      <c r="HN177" s="32"/>
      <c r="HO177" s="32"/>
      <c r="HP177" s="32"/>
    </row>
    <row r="178" spans="1:224" x14ac:dyDescent="0.25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  <c r="EW178" s="32"/>
      <c r="EX178" s="32"/>
      <c r="EY178" s="32"/>
      <c r="EZ178" s="32"/>
      <c r="FA178" s="32"/>
      <c r="FB178" s="32"/>
      <c r="FC178" s="32"/>
      <c r="FD178" s="32"/>
      <c r="FE178" s="32"/>
      <c r="FF178" s="32"/>
      <c r="FG178" s="32"/>
      <c r="FH178" s="32"/>
      <c r="FI178" s="32"/>
      <c r="FJ178" s="32"/>
      <c r="FK178" s="32"/>
      <c r="FL178" s="32"/>
      <c r="FM178" s="32"/>
      <c r="FN178" s="32"/>
      <c r="FO178" s="32"/>
      <c r="FP178" s="32"/>
      <c r="FQ178" s="32"/>
      <c r="FR178" s="32"/>
      <c r="FS178" s="32"/>
      <c r="FT178" s="32"/>
      <c r="FU178" s="32"/>
      <c r="FV178" s="32"/>
      <c r="FW178" s="32"/>
      <c r="FX178" s="32"/>
      <c r="FY178" s="32"/>
      <c r="FZ178" s="32"/>
      <c r="GA178" s="32"/>
      <c r="GB178" s="32"/>
      <c r="GC178" s="32"/>
      <c r="GD178" s="32"/>
      <c r="GE178" s="32"/>
      <c r="GF178" s="32"/>
      <c r="GG178" s="32"/>
      <c r="GH178" s="32"/>
      <c r="GI178" s="32"/>
      <c r="GJ178" s="32"/>
      <c r="GK178" s="32"/>
      <c r="GL178" s="32"/>
      <c r="GM178" s="32"/>
      <c r="GN178" s="32"/>
      <c r="GO178" s="32"/>
      <c r="GP178" s="32"/>
      <c r="GQ178" s="32"/>
      <c r="GR178" s="32"/>
      <c r="GS178" s="32"/>
      <c r="GT178" s="32"/>
      <c r="GU178" s="32"/>
      <c r="GV178" s="32"/>
      <c r="GW178" s="32"/>
      <c r="GX178" s="32"/>
      <c r="GY178" s="32"/>
      <c r="GZ178" s="32"/>
      <c r="HA178" s="32"/>
      <c r="HB178" s="32"/>
      <c r="HC178" s="32"/>
      <c r="HD178" s="32"/>
      <c r="HE178" s="32"/>
      <c r="HF178" s="32"/>
      <c r="HG178" s="32"/>
      <c r="HH178" s="32"/>
      <c r="HI178" s="32"/>
      <c r="HJ178" s="32"/>
      <c r="HK178" s="32"/>
      <c r="HL178" s="32"/>
      <c r="HM178" s="32"/>
      <c r="HN178" s="32"/>
      <c r="HO178" s="32"/>
      <c r="HP178" s="32"/>
    </row>
    <row r="179" spans="1:224" x14ac:dyDescent="0.25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  <c r="EW179" s="32"/>
      <c r="EX179" s="32"/>
      <c r="EY179" s="32"/>
      <c r="EZ179" s="32"/>
      <c r="FA179" s="32"/>
      <c r="FB179" s="32"/>
      <c r="FC179" s="32"/>
      <c r="FD179" s="32"/>
      <c r="FE179" s="32"/>
      <c r="FF179" s="32"/>
      <c r="FG179" s="32"/>
      <c r="FH179" s="32"/>
      <c r="FI179" s="32"/>
      <c r="FJ179" s="32"/>
      <c r="FK179" s="32"/>
      <c r="FL179" s="32"/>
      <c r="FM179" s="32"/>
      <c r="FN179" s="32"/>
      <c r="FO179" s="32"/>
      <c r="FP179" s="32"/>
      <c r="FQ179" s="32"/>
      <c r="FR179" s="32"/>
      <c r="FS179" s="32"/>
      <c r="FT179" s="32"/>
      <c r="FU179" s="32"/>
      <c r="FV179" s="32"/>
      <c r="FW179" s="32"/>
      <c r="FX179" s="32"/>
      <c r="FY179" s="32"/>
      <c r="FZ179" s="32"/>
      <c r="GA179" s="32"/>
      <c r="GB179" s="32"/>
      <c r="GC179" s="32"/>
      <c r="GD179" s="32"/>
      <c r="GE179" s="32"/>
      <c r="GF179" s="32"/>
      <c r="GG179" s="32"/>
      <c r="GH179" s="32"/>
      <c r="GI179" s="32"/>
      <c r="GJ179" s="32"/>
      <c r="GK179" s="32"/>
      <c r="GL179" s="32"/>
      <c r="GM179" s="32"/>
      <c r="GN179" s="32"/>
      <c r="GO179" s="32"/>
      <c r="GP179" s="32"/>
      <c r="GQ179" s="32"/>
      <c r="GR179" s="32"/>
      <c r="GS179" s="32"/>
      <c r="GT179" s="32"/>
      <c r="GU179" s="32"/>
      <c r="GV179" s="32"/>
      <c r="GW179" s="32"/>
      <c r="GX179" s="32"/>
      <c r="GY179" s="32"/>
      <c r="GZ179" s="32"/>
      <c r="HA179" s="32"/>
      <c r="HB179" s="32"/>
      <c r="HC179" s="32"/>
      <c r="HD179" s="32"/>
      <c r="HE179" s="32"/>
      <c r="HF179" s="32"/>
      <c r="HG179" s="32"/>
      <c r="HH179" s="32"/>
      <c r="HI179" s="32"/>
      <c r="HJ179" s="32"/>
      <c r="HK179" s="32"/>
      <c r="HL179" s="32"/>
      <c r="HM179" s="32"/>
      <c r="HN179" s="32"/>
      <c r="HO179" s="32"/>
      <c r="HP179" s="32"/>
    </row>
    <row r="180" spans="1:224" x14ac:dyDescent="0.25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  <c r="EW180" s="32"/>
      <c r="EX180" s="32"/>
      <c r="EY180" s="32"/>
      <c r="EZ180" s="32"/>
      <c r="FA180" s="32"/>
      <c r="FB180" s="32"/>
      <c r="FC180" s="32"/>
      <c r="FD180" s="32"/>
      <c r="FE180" s="32"/>
      <c r="FF180" s="32"/>
      <c r="FG180" s="32"/>
      <c r="FH180" s="32"/>
      <c r="FI180" s="32"/>
      <c r="FJ180" s="32"/>
      <c r="FK180" s="32"/>
      <c r="FL180" s="32"/>
      <c r="FM180" s="32"/>
      <c r="FN180" s="32"/>
      <c r="FO180" s="32"/>
      <c r="FP180" s="32"/>
      <c r="FQ180" s="32"/>
      <c r="FR180" s="32"/>
      <c r="FS180" s="32"/>
      <c r="FT180" s="32"/>
      <c r="FU180" s="32"/>
      <c r="FV180" s="32"/>
      <c r="FW180" s="32"/>
      <c r="FX180" s="32"/>
      <c r="FY180" s="32"/>
      <c r="FZ180" s="32"/>
      <c r="GA180" s="32"/>
      <c r="GB180" s="32"/>
      <c r="GC180" s="32"/>
      <c r="GD180" s="32"/>
      <c r="GE180" s="32"/>
      <c r="GF180" s="32"/>
      <c r="GG180" s="32"/>
      <c r="GH180" s="32"/>
      <c r="GI180" s="32"/>
      <c r="GJ180" s="32"/>
      <c r="GK180" s="32"/>
      <c r="GL180" s="32"/>
      <c r="GM180" s="32"/>
      <c r="GN180" s="32"/>
      <c r="GO180" s="32"/>
      <c r="GP180" s="32"/>
      <c r="GQ180" s="32"/>
      <c r="GR180" s="32"/>
      <c r="GS180" s="32"/>
      <c r="GT180" s="32"/>
      <c r="GU180" s="32"/>
      <c r="GV180" s="32"/>
      <c r="GW180" s="32"/>
      <c r="GX180" s="32"/>
      <c r="GY180" s="32"/>
      <c r="GZ180" s="32"/>
      <c r="HA180" s="32"/>
      <c r="HB180" s="32"/>
      <c r="HC180" s="32"/>
      <c r="HD180" s="32"/>
      <c r="HE180" s="32"/>
      <c r="HF180" s="32"/>
      <c r="HG180" s="32"/>
      <c r="HH180" s="32"/>
      <c r="HI180" s="32"/>
      <c r="HJ180" s="32"/>
      <c r="HK180" s="32"/>
      <c r="HL180" s="32"/>
      <c r="HM180" s="32"/>
      <c r="HN180" s="32"/>
      <c r="HO180" s="32"/>
      <c r="HP180" s="32"/>
    </row>
    <row r="181" spans="1:224" x14ac:dyDescent="0.25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  <c r="EW181" s="32"/>
      <c r="EX181" s="32"/>
      <c r="EY181" s="32"/>
      <c r="EZ181" s="32"/>
      <c r="FA181" s="32"/>
      <c r="FB181" s="32"/>
      <c r="FC181" s="32"/>
      <c r="FD181" s="32"/>
      <c r="FE181" s="32"/>
      <c r="FF181" s="32"/>
      <c r="FG181" s="32"/>
      <c r="FH181" s="32"/>
      <c r="FI181" s="32"/>
      <c r="FJ181" s="32"/>
      <c r="FK181" s="32"/>
      <c r="FL181" s="32"/>
      <c r="FM181" s="32"/>
      <c r="FN181" s="32"/>
      <c r="FO181" s="32"/>
      <c r="FP181" s="32"/>
      <c r="FQ181" s="32"/>
      <c r="FR181" s="32"/>
      <c r="FS181" s="32"/>
      <c r="FT181" s="32"/>
      <c r="FU181" s="32"/>
      <c r="FV181" s="32"/>
      <c r="FW181" s="32"/>
      <c r="FX181" s="32"/>
      <c r="FY181" s="32"/>
      <c r="FZ181" s="32"/>
      <c r="GA181" s="32"/>
      <c r="GB181" s="32"/>
      <c r="GC181" s="32"/>
      <c r="GD181" s="32"/>
      <c r="GE181" s="32"/>
      <c r="GF181" s="32"/>
      <c r="GG181" s="32"/>
      <c r="GH181" s="32"/>
      <c r="GI181" s="32"/>
      <c r="GJ181" s="32"/>
      <c r="GK181" s="32"/>
      <c r="GL181" s="32"/>
      <c r="GM181" s="32"/>
      <c r="GN181" s="32"/>
      <c r="GO181" s="32"/>
      <c r="GP181" s="32"/>
      <c r="GQ181" s="32"/>
      <c r="GR181" s="32"/>
      <c r="GS181" s="32"/>
      <c r="GT181" s="32"/>
      <c r="GU181" s="32"/>
      <c r="GV181" s="32"/>
      <c r="GW181" s="32"/>
      <c r="GX181" s="32"/>
      <c r="GY181" s="32"/>
      <c r="GZ181" s="32"/>
      <c r="HA181" s="32"/>
      <c r="HB181" s="32"/>
      <c r="HC181" s="32"/>
      <c r="HD181" s="32"/>
      <c r="HE181" s="32"/>
      <c r="HF181" s="32"/>
      <c r="HG181" s="32"/>
      <c r="HH181" s="32"/>
      <c r="HI181" s="32"/>
      <c r="HJ181" s="32"/>
      <c r="HK181" s="32"/>
      <c r="HL181" s="32"/>
      <c r="HM181" s="32"/>
      <c r="HN181" s="32"/>
      <c r="HO181" s="32"/>
      <c r="HP181" s="32"/>
    </row>
    <row r="182" spans="1:224" x14ac:dyDescent="0.25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  <c r="EW182" s="32"/>
      <c r="EX182" s="32"/>
      <c r="EY182" s="32"/>
      <c r="EZ182" s="32"/>
      <c r="FA182" s="32"/>
      <c r="FB182" s="32"/>
      <c r="FC182" s="32"/>
      <c r="FD182" s="32"/>
      <c r="FE182" s="32"/>
      <c r="FF182" s="32"/>
      <c r="FG182" s="32"/>
      <c r="FH182" s="32"/>
      <c r="FI182" s="32"/>
      <c r="FJ182" s="32"/>
      <c r="FK182" s="32"/>
      <c r="FL182" s="32"/>
      <c r="FM182" s="32"/>
      <c r="FN182" s="32"/>
      <c r="FO182" s="32"/>
      <c r="FP182" s="32"/>
      <c r="FQ182" s="32"/>
      <c r="FR182" s="32"/>
      <c r="FS182" s="32"/>
      <c r="FT182" s="32"/>
      <c r="FU182" s="32"/>
      <c r="FV182" s="32"/>
      <c r="FW182" s="32"/>
      <c r="FX182" s="32"/>
      <c r="FY182" s="32"/>
      <c r="FZ182" s="32"/>
      <c r="GA182" s="32"/>
      <c r="GB182" s="32"/>
      <c r="GC182" s="32"/>
      <c r="GD182" s="32"/>
      <c r="GE182" s="32"/>
      <c r="GF182" s="32"/>
      <c r="GG182" s="32"/>
      <c r="GH182" s="32"/>
      <c r="GI182" s="32"/>
      <c r="GJ182" s="32"/>
      <c r="GK182" s="32"/>
      <c r="GL182" s="32"/>
      <c r="GM182" s="32"/>
      <c r="GN182" s="32"/>
      <c r="GO182" s="32"/>
      <c r="GP182" s="32"/>
      <c r="GQ182" s="32"/>
      <c r="GR182" s="32"/>
      <c r="GS182" s="32"/>
      <c r="GT182" s="32"/>
      <c r="GU182" s="32"/>
      <c r="GV182" s="32"/>
      <c r="GW182" s="32"/>
      <c r="GX182" s="32"/>
      <c r="GY182" s="32"/>
      <c r="GZ182" s="32"/>
      <c r="HA182" s="32"/>
      <c r="HB182" s="32"/>
      <c r="HC182" s="32"/>
      <c r="HD182" s="32"/>
      <c r="HE182" s="32"/>
      <c r="HF182" s="32"/>
      <c r="HG182" s="32"/>
      <c r="HH182" s="32"/>
      <c r="HI182" s="32"/>
      <c r="HJ182" s="32"/>
      <c r="HK182" s="32"/>
      <c r="HL182" s="32"/>
      <c r="HM182" s="32"/>
      <c r="HN182" s="32"/>
      <c r="HO182" s="32"/>
      <c r="HP182" s="32"/>
    </row>
    <row r="183" spans="1:224" x14ac:dyDescent="0.25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  <c r="EW183" s="32"/>
      <c r="EX183" s="32"/>
      <c r="EY183" s="32"/>
      <c r="EZ183" s="32"/>
      <c r="FA183" s="32"/>
      <c r="FB183" s="32"/>
      <c r="FC183" s="32"/>
      <c r="FD183" s="32"/>
      <c r="FE183" s="32"/>
      <c r="FF183" s="32"/>
      <c r="FG183" s="32"/>
      <c r="FH183" s="32"/>
      <c r="FI183" s="32"/>
      <c r="FJ183" s="32"/>
      <c r="FK183" s="32"/>
      <c r="FL183" s="32"/>
      <c r="FM183" s="32"/>
      <c r="FN183" s="32"/>
      <c r="FO183" s="32"/>
      <c r="FP183" s="32"/>
      <c r="FQ183" s="32"/>
      <c r="FR183" s="32"/>
      <c r="FS183" s="32"/>
      <c r="FT183" s="32"/>
      <c r="FU183" s="32"/>
      <c r="FV183" s="32"/>
      <c r="FW183" s="32"/>
      <c r="FX183" s="32"/>
      <c r="FY183" s="32"/>
      <c r="FZ183" s="32"/>
      <c r="GA183" s="32"/>
      <c r="GB183" s="32"/>
      <c r="GC183" s="32"/>
      <c r="GD183" s="32"/>
      <c r="GE183" s="32"/>
      <c r="GF183" s="32"/>
      <c r="GG183" s="32"/>
      <c r="GH183" s="32"/>
      <c r="GI183" s="32"/>
      <c r="GJ183" s="32"/>
      <c r="GK183" s="32"/>
      <c r="GL183" s="32"/>
      <c r="GM183" s="32"/>
      <c r="GN183" s="32"/>
      <c r="GO183" s="32"/>
      <c r="GP183" s="32"/>
      <c r="GQ183" s="32"/>
      <c r="GR183" s="32"/>
      <c r="GS183" s="32"/>
      <c r="GT183" s="32"/>
      <c r="GU183" s="32"/>
      <c r="GV183" s="32"/>
      <c r="GW183" s="32"/>
      <c r="GX183" s="32"/>
      <c r="GY183" s="32"/>
      <c r="GZ183" s="32"/>
      <c r="HA183" s="32"/>
      <c r="HB183" s="32"/>
      <c r="HC183" s="32"/>
      <c r="HD183" s="32"/>
      <c r="HE183" s="32"/>
      <c r="HF183" s="32"/>
      <c r="HG183" s="32"/>
      <c r="HH183" s="32"/>
      <c r="HI183" s="32"/>
      <c r="HJ183" s="32"/>
      <c r="HK183" s="32"/>
      <c r="HL183" s="32"/>
      <c r="HM183" s="32"/>
      <c r="HN183" s="32"/>
      <c r="HO183" s="32"/>
      <c r="HP183" s="32"/>
    </row>
    <row r="184" spans="1:224" x14ac:dyDescent="0.25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  <c r="EW184" s="32"/>
      <c r="EX184" s="32"/>
      <c r="EY184" s="32"/>
      <c r="EZ184" s="32"/>
      <c r="FA184" s="32"/>
      <c r="FB184" s="32"/>
      <c r="FC184" s="32"/>
      <c r="FD184" s="32"/>
      <c r="FE184" s="32"/>
      <c r="FF184" s="32"/>
      <c r="FG184" s="32"/>
      <c r="FH184" s="32"/>
      <c r="FI184" s="32"/>
      <c r="FJ184" s="32"/>
      <c r="FK184" s="32"/>
      <c r="FL184" s="32"/>
      <c r="FM184" s="32"/>
      <c r="FN184" s="32"/>
      <c r="FO184" s="32"/>
      <c r="FP184" s="32"/>
      <c r="FQ184" s="32"/>
      <c r="FR184" s="32"/>
      <c r="FS184" s="32"/>
      <c r="FT184" s="32"/>
      <c r="FU184" s="32"/>
      <c r="FV184" s="32"/>
      <c r="FW184" s="32"/>
      <c r="FX184" s="32"/>
      <c r="FY184" s="32"/>
      <c r="FZ184" s="32"/>
      <c r="GA184" s="32"/>
      <c r="GB184" s="32"/>
      <c r="GC184" s="32"/>
      <c r="GD184" s="32"/>
      <c r="GE184" s="32"/>
      <c r="GF184" s="32"/>
      <c r="GG184" s="32"/>
      <c r="GH184" s="32"/>
      <c r="GI184" s="32"/>
      <c r="GJ184" s="32"/>
      <c r="GK184" s="32"/>
      <c r="GL184" s="32"/>
      <c r="GM184" s="32"/>
      <c r="GN184" s="32"/>
      <c r="GO184" s="32"/>
      <c r="GP184" s="32"/>
      <c r="GQ184" s="32"/>
      <c r="GR184" s="32"/>
      <c r="GS184" s="32"/>
      <c r="GT184" s="32"/>
      <c r="GU184" s="32"/>
      <c r="GV184" s="32"/>
      <c r="GW184" s="32"/>
      <c r="GX184" s="32"/>
      <c r="GY184" s="32"/>
      <c r="GZ184" s="32"/>
      <c r="HA184" s="32"/>
      <c r="HB184" s="32"/>
      <c r="HC184" s="32"/>
      <c r="HD184" s="32"/>
      <c r="HE184" s="32"/>
      <c r="HF184" s="32"/>
      <c r="HG184" s="32"/>
      <c r="HH184" s="32"/>
      <c r="HI184" s="32"/>
      <c r="HJ184" s="32"/>
      <c r="HK184" s="32"/>
      <c r="HL184" s="32"/>
      <c r="HM184" s="32"/>
      <c r="HN184" s="32"/>
      <c r="HO184" s="32"/>
      <c r="HP184" s="32"/>
    </row>
    <row r="185" spans="1:224" x14ac:dyDescent="0.2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  <c r="EW185" s="32"/>
      <c r="EX185" s="32"/>
      <c r="EY185" s="32"/>
      <c r="EZ185" s="32"/>
      <c r="FA185" s="32"/>
      <c r="FB185" s="32"/>
      <c r="FC185" s="32"/>
      <c r="FD185" s="32"/>
      <c r="FE185" s="32"/>
      <c r="FF185" s="32"/>
      <c r="FG185" s="32"/>
      <c r="FH185" s="32"/>
      <c r="FI185" s="32"/>
      <c r="FJ185" s="32"/>
      <c r="FK185" s="32"/>
      <c r="FL185" s="32"/>
      <c r="FM185" s="32"/>
      <c r="FN185" s="32"/>
      <c r="FO185" s="32"/>
      <c r="FP185" s="32"/>
      <c r="FQ185" s="32"/>
      <c r="FR185" s="32"/>
      <c r="FS185" s="32"/>
      <c r="FT185" s="32"/>
      <c r="FU185" s="32"/>
      <c r="FV185" s="32"/>
      <c r="FW185" s="32"/>
      <c r="FX185" s="32"/>
      <c r="FY185" s="32"/>
      <c r="FZ185" s="32"/>
      <c r="GA185" s="32"/>
      <c r="GB185" s="32"/>
      <c r="GC185" s="32"/>
      <c r="GD185" s="32"/>
      <c r="GE185" s="32"/>
      <c r="GF185" s="32"/>
      <c r="GG185" s="32"/>
      <c r="GH185" s="32"/>
      <c r="GI185" s="32"/>
      <c r="GJ185" s="32"/>
      <c r="GK185" s="32"/>
      <c r="GL185" s="32"/>
      <c r="GM185" s="32"/>
      <c r="GN185" s="32"/>
      <c r="GO185" s="32"/>
      <c r="GP185" s="32"/>
      <c r="GQ185" s="32"/>
      <c r="GR185" s="32"/>
      <c r="GS185" s="32"/>
      <c r="GT185" s="32"/>
      <c r="GU185" s="32"/>
      <c r="GV185" s="32"/>
      <c r="GW185" s="32"/>
      <c r="GX185" s="32"/>
      <c r="GY185" s="32"/>
      <c r="GZ185" s="32"/>
      <c r="HA185" s="32"/>
      <c r="HB185" s="32"/>
      <c r="HC185" s="32"/>
      <c r="HD185" s="32"/>
      <c r="HE185" s="32"/>
      <c r="HF185" s="32"/>
      <c r="HG185" s="32"/>
      <c r="HH185" s="32"/>
      <c r="HI185" s="32"/>
      <c r="HJ185" s="32"/>
      <c r="HK185" s="32"/>
      <c r="HL185" s="32"/>
      <c r="HM185" s="32"/>
      <c r="HN185" s="32"/>
      <c r="HO185" s="32"/>
      <c r="HP185" s="32"/>
    </row>
    <row r="186" spans="1:224" x14ac:dyDescent="0.25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  <c r="EW186" s="32"/>
      <c r="EX186" s="32"/>
      <c r="EY186" s="32"/>
      <c r="EZ186" s="32"/>
      <c r="FA186" s="32"/>
      <c r="FB186" s="32"/>
      <c r="FC186" s="32"/>
      <c r="FD186" s="32"/>
      <c r="FE186" s="32"/>
      <c r="FF186" s="32"/>
      <c r="FG186" s="32"/>
      <c r="FH186" s="32"/>
      <c r="FI186" s="32"/>
      <c r="FJ186" s="32"/>
      <c r="FK186" s="32"/>
      <c r="FL186" s="32"/>
      <c r="FM186" s="32"/>
      <c r="FN186" s="32"/>
      <c r="FO186" s="32"/>
      <c r="FP186" s="32"/>
      <c r="FQ186" s="32"/>
      <c r="FR186" s="32"/>
      <c r="FS186" s="32"/>
      <c r="FT186" s="32"/>
      <c r="FU186" s="32"/>
      <c r="FV186" s="32"/>
      <c r="FW186" s="32"/>
      <c r="FX186" s="32"/>
      <c r="FY186" s="32"/>
      <c r="FZ186" s="32"/>
      <c r="GA186" s="32"/>
      <c r="GB186" s="32"/>
      <c r="GC186" s="32"/>
      <c r="GD186" s="32"/>
      <c r="GE186" s="32"/>
      <c r="GF186" s="32"/>
      <c r="GG186" s="32"/>
      <c r="GH186" s="32"/>
      <c r="GI186" s="32"/>
      <c r="GJ186" s="32"/>
      <c r="GK186" s="32"/>
      <c r="GL186" s="32"/>
      <c r="GM186" s="32"/>
      <c r="GN186" s="32"/>
      <c r="GO186" s="32"/>
      <c r="GP186" s="32"/>
      <c r="GQ186" s="32"/>
      <c r="GR186" s="32"/>
      <c r="GS186" s="32"/>
      <c r="GT186" s="32"/>
      <c r="GU186" s="32"/>
      <c r="GV186" s="32"/>
      <c r="GW186" s="32"/>
      <c r="GX186" s="32"/>
      <c r="GY186" s="32"/>
      <c r="GZ186" s="32"/>
      <c r="HA186" s="32"/>
      <c r="HB186" s="32"/>
      <c r="HC186" s="32"/>
      <c r="HD186" s="32"/>
      <c r="HE186" s="32"/>
      <c r="HF186" s="32"/>
      <c r="HG186" s="32"/>
      <c r="HH186" s="32"/>
      <c r="HI186" s="32"/>
      <c r="HJ186" s="32"/>
      <c r="HK186" s="32"/>
      <c r="HL186" s="32"/>
      <c r="HM186" s="32"/>
      <c r="HN186" s="32"/>
      <c r="HO186" s="32"/>
      <c r="HP186" s="32"/>
    </row>
    <row r="187" spans="1:224" x14ac:dyDescent="0.25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  <c r="EW187" s="32"/>
      <c r="EX187" s="32"/>
      <c r="EY187" s="32"/>
      <c r="EZ187" s="32"/>
      <c r="FA187" s="32"/>
      <c r="FB187" s="32"/>
      <c r="FC187" s="32"/>
      <c r="FD187" s="32"/>
      <c r="FE187" s="32"/>
      <c r="FF187" s="32"/>
      <c r="FG187" s="32"/>
      <c r="FH187" s="32"/>
      <c r="FI187" s="32"/>
      <c r="FJ187" s="32"/>
      <c r="FK187" s="32"/>
      <c r="FL187" s="32"/>
      <c r="FM187" s="32"/>
      <c r="FN187" s="32"/>
      <c r="FO187" s="32"/>
      <c r="FP187" s="32"/>
      <c r="FQ187" s="32"/>
      <c r="FR187" s="32"/>
      <c r="FS187" s="32"/>
      <c r="FT187" s="32"/>
      <c r="FU187" s="32"/>
      <c r="FV187" s="32"/>
      <c r="FW187" s="32"/>
      <c r="FX187" s="32"/>
      <c r="FY187" s="32"/>
      <c r="FZ187" s="32"/>
      <c r="GA187" s="32"/>
      <c r="GB187" s="32"/>
      <c r="GC187" s="32"/>
      <c r="GD187" s="32"/>
      <c r="GE187" s="32"/>
      <c r="GF187" s="32"/>
      <c r="GG187" s="32"/>
      <c r="GH187" s="32"/>
      <c r="GI187" s="32"/>
      <c r="GJ187" s="32"/>
      <c r="GK187" s="32"/>
      <c r="GL187" s="32"/>
      <c r="GM187" s="32"/>
      <c r="GN187" s="32"/>
      <c r="GO187" s="32"/>
      <c r="GP187" s="32"/>
      <c r="GQ187" s="32"/>
      <c r="GR187" s="32"/>
      <c r="GS187" s="32"/>
      <c r="GT187" s="32"/>
      <c r="GU187" s="32"/>
      <c r="GV187" s="32"/>
      <c r="GW187" s="32"/>
      <c r="GX187" s="32"/>
      <c r="GY187" s="32"/>
      <c r="GZ187" s="32"/>
      <c r="HA187" s="32"/>
      <c r="HB187" s="32"/>
      <c r="HC187" s="32"/>
      <c r="HD187" s="32"/>
      <c r="HE187" s="32"/>
      <c r="HF187" s="32"/>
      <c r="HG187" s="32"/>
      <c r="HH187" s="32"/>
      <c r="HI187" s="32"/>
      <c r="HJ187" s="32"/>
      <c r="HK187" s="32"/>
      <c r="HL187" s="32"/>
      <c r="HM187" s="32"/>
      <c r="HN187" s="32"/>
      <c r="HO187" s="32"/>
      <c r="HP187" s="32"/>
    </row>
    <row r="188" spans="1:224" x14ac:dyDescent="0.25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  <c r="EW188" s="32"/>
      <c r="EX188" s="32"/>
      <c r="EY188" s="32"/>
      <c r="EZ188" s="32"/>
      <c r="FA188" s="32"/>
      <c r="FB188" s="32"/>
      <c r="FC188" s="32"/>
      <c r="FD188" s="32"/>
      <c r="FE188" s="32"/>
      <c r="FF188" s="32"/>
      <c r="FG188" s="32"/>
      <c r="FH188" s="32"/>
      <c r="FI188" s="32"/>
      <c r="FJ188" s="32"/>
      <c r="FK188" s="32"/>
      <c r="FL188" s="32"/>
      <c r="FM188" s="32"/>
      <c r="FN188" s="32"/>
      <c r="FO188" s="32"/>
      <c r="FP188" s="32"/>
      <c r="FQ188" s="32"/>
      <c r="FR188" s="32"/>
      <c r="FS188" s="32"/>
      <c r="FT188" s="32"/>
      <c r="FU188" s="32"/>
      <c r="FV188" s="32"/>
      <c r="FW188" s="32"/>
      <c r="FX188" s="32"/>
      <c r="FY188" s="32"/>
      <c r="FZ188" s="32"/>
      <c r="GA188" s="32"/>
      <c r="GB188" s="32"/>
      <c r="GC188" s="32"/>
      <c r="GD188" s="32"/>
      <c r="GE188" s="32"/>
      <c r="GF188" s="32"/>
      <c r="GG188" s="32"/>
      <c r="GH188" s="32"/>
      <c r="GI188" s="32"/>
      <c r="GJ188" s="32"/>
      <c r="GK188" s="32"/>
      <c r="GL188" s="32"/>
      <c r="GM188" s="32"/>
      <c r="GN188" s="32"/>
      <c r="GO188" s="32"/>
      <c r="GP188" s="32"/>
      <c r="GQ188" s="32"/>
      <c r="GR188" s="32"/>
      <c r="GS188" s="32"/>
      <c r="GT188" s="32"/>
      <c r="GU188" s="32"/>
      <c r="GV188" s="32"/>
      <c r="GW188" s="32"/>
      <c r="GX188" s="32"/>
      <c r="GY188" s="32"/>
      <c r="GZ188" s="32"/>
      <c r="HA188" s="32"/>
      <c r="HB188" s="32"/>
      <c r="HC188" s="32"/>
      <c r="HD188" s="32"/>
      <c r="HE188" s="32"/>
      <c r="HF188" s="32"/>
      <c r="HG188" s="32"/>
      <c r="HH188" s="32"/>
      <c r="HI188" s="32"/>
      <c r="HJ188" s="32"/>
      <c r="HK188" s="32"/>
      <c r="HL188" s="32"/>
      <c r="HM188" s="32"/>
      <c r="HN188" s="32"/>
      <c r="HO188" s="32"/>
      <c r="HP188" s="32"/>
    </row>
    <row r="189" spans="1:224" x14ac:dyDescent="0.25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  <c r="EW189" s="32"/>
      <c r="EX189" s="32"/>
      <c r="EY189" s="32"/>
      <c r="EZ189" s="32"/>
      <c r="FA189" s="32"/>
      <c r="FB189" s="32"/>
      <c r="FC189" s="32"/>
      <c r="FD189" s="32"/>
      <c r="FE189" s="32"/>
      <c r="FF189" s="32"/>
      <c r="FG189" s="32"/>
      <c r="FH189" s="32"/>
      <c r="FI189" s="32"/>
      <c r="FJ189" s="32"/>
      <c r="FK189" s="32"/>
      <c r="FL189" s="32"/>
      <c r="FM189" s="32"/>
      <c r="FN189" s="32"/>
      <c r="FO189" s="32"/>
      <c r="FP189" s="32"/>
      <c r="FQ189" s="32"/>
      <c r="FR189" s="32"/>
      <c r="FS189" s="32"/>
      <c r="FT189" s="32"/>
      <c r="FU189" s="32"/>
      <c r="FV189" s="32"/>
      <c r="FW189" s="32"/>
      <c r="FX189" s="32"/>
      <c r="FY189" s="32"/>
      <c r="FZ189" s="32"/>
      <c r="GA189" s="32"/>
      <c r="GB189" s="32"/>
      <c r="GC189" s="32"/>
      <c r="GD189" s="32"/>
      <c r="GE189" s="32"/>
      <c r="GF189" s="32"/>
      <c r="GG189" s="32"/>
      <c r="GH189" s="32"/>
      <c r="GI189" s="32"/>
      <c r="GJ189" s="32"/>
      <c r="GK189" s="32"/>
      <c r="GL189" s="32"/>
      <c r="GM189" s="32"/>
      <c r="GN189" s="32"/>
      <c r="GO189" s="32"/>
      <c r="GP189" s="32"/>
      <c r="GQ189" s="32"/>
      <c r="GR189" s="32"/>
      <c r="GS189" s="32"/>
      <c r="GT189" s="32"/>
      <c r="GU189" s="32"/>
      <c r="GV189" s="32"/>
      <c r="GW189" s="32"/>
      <c r="GX189" s="32"/>
      <c r="GY189" s="32"/>
      <c r="GZ189" s="32"/>
      <c r="HA189" s="32"/>
      <c r="HB189" s="32"/>
      <c r="HC189" s="32"/>
      <c r="HD189" s="32"/>
      <c r="HE189" s="32"/>
      <c r="HF189" s="32"/>
      <c r="HG189" s="32"/>
      <c r="HH189" s="32"/>
      <c r="HI189" s="32"/>
      <c r="HJ189" s="32"/>
      <c r="HK189" s="32"/>
      <c r="HL189" s="32"/>
      <c r="HM189" s="32"/>
      <c r="HN189" s="32"/>
      <c r="HO189" s="32"/>
      <c r="HP189" s="32"/>
    </row>
    <row r="190" spans="1:224" x14ac:dyDescent="0.25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  <c r="EW190" s="32"/>
      <c r="EX190" s="32"/>
      <c r="EY190" s="32"/>
      <c r="EZ190" s="32"/>
      <c r="FA190" s="32"/>
      <c r="FB190" s="32"/>
      <c r="FC190" s="32"/>
      <c r="FD190" s="32"/>
      <c r="FE190" s="32"/>
      <c r="FF190" s="32"/>
      <c r="FG190" s="32"/>
      <c r="FH190" s="32"/>
      <c r="FI190" s="32"/>
      <c r="FJ190" s="32"/>
      <c r="FK190" s="32"/>
      <c r="FL190" s="32"/>
      <c r="FM190" s="32"/>
      <c r="FN190" s="32"/>
      <c r="FO190" s="32"/>
      <c r="FP190" s="32"/>
      <c r="FQ190" s="32"/>
      <c r="FR190" s="32"/>
      <c r="FS190" s="32"/>
      <c r="FT190" s="32"/>
      <c r="FU190" s="32"/>
      <c r="FV190" s="32"/>
      <c r="FW190" s="32"/>
      <c r="FX190" s="32"/>
      <c r="FY190" s="32"/>
      <c r="FZ190" s="32"/>
      <c r="GA190" s="32"/>
      <c r="GB190" s="32"/>
      <c r="GC190" s="32"/>
      <c r="GD190" s="32"/>
      <c r="GE190" s="32"/>
      <c r="GF190" s="32"/>
      <c r="GG190" s="32"/>
      <c r="GH190" s="32"/>
      <c r="GI190" s="32"/>
      <c r="GJ190" s="32"/>
      <c r="GK190" s="32"/>
      <c r="GL190" s="32"/>
      <c r="GM190" s="32"/>
      <c r="GN190" s="32"/>
      <c r="GO190" s="32"/>
      <c r="GP190" s="32"/>
      <c r="GQ190" s="32"/>
      <c r="GR190" s="32"/>
      <c r="GS190" s="32"/>
      <c r="GT190" s="32"/>
      <c r="GU190" s="32"/>
      <c r="GV190" s="32"/>
      <c r="GW190" s="32"/>
      <c r="GX190" s="32"/>
      <c r="GY190" s="32"/>
      <c r="GZ190" s="32"/>
      <c r="HA190" s="32"/>
      <c r="HB190" s="32"/>
      <c r="HC190" s="32"/>
      <c r="HD190" s="32"/>
      <c r="HE190" s="32"/>
      <c r="HF190" s="32"/>
      <c r="HG190" s="32"/>
      <c r="HH190" s="32"/>
      <c r="HI190" s="32"/>
      <c r="HJ190" s="32"/>
      <c r="HK190" s="32"/>
      <c r="HL190" s="32"/>
      <c r="HM190" s="32"/>
      <c r="HN190" s="32"/>
      <c r="HO190" s="32"/>
      <c r="HP190" s="32"/>
    </row>
    <row r="191" spans="1:224" x14ac:dyDescent="0.25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  <c r="EW191" s="32"/>
      <c r="EX191" s="32"/>
      <c r="EY191" s="32"/>
      <c r="EZ191" s="32"/>
      <c r="FA191" s="32"/>
      <c r="FB191" s="32"/>
      <c r="FC191" s="32"/>
      <c r="FD191" s="32"/>
      <c r="FE191" s="32"/>
      <c r="FF191" s="32"/>
      <c r="FG191" s="32"/>
      <c r="FH191" s="32"/>
      <c r="FI191" s="32"/>
      <c r="FJ191" s="32"/>
      <c r="FK191" s="32"/>
      <c r="FL191" s="32"/>
      <c r="FM191" s="32"/>
      <c r="FN191" s="32"/>
      <c r="FO191" s="32"/>
      <c r="FP191" s="32"/>
      <c r="FQ191" s="32"/>
      <c r="FR191" s="32"/>
      <c r="FS191" s="32"/>
      <c r="FT191" s="32"/>
      <c r="FU191" s="32"/>
      <c r="FV191" s="32"/>
      <c r="FW191" s="32"/>
      <c r="FX191" s="32"/>
      <c r="FY191" s="32"/>
      <c r="FZ191" s="32"/>
      <c r="GA191" s="32"/>
      <c r="GB191" s="32"/>
      <c r="GC191" s="32"/>
      <c r="GD191" s="32"/>
      <c r="GE191" s="32"/>
      <c r="GF191" s="32"/>
      <c r="GG191" s="32"/>
      <c r="GH191" s="32"/>
      <c r="GI191" s="32"/>
      <c r="GJ191" s="32"/>
      <c r="GK191" s="32"/>
      <c r="GL191" s="32"/>
      <c r="GM191" s="32"/>
      <c r="GN191" s="32"/>
      <c r="GO191" s="32"/>
      <c r="GP191" s="32"/>
      <c r="GQ191" s="32"/>
      <c r="GR191" s="32"/>
      <c r="GS191" s="32"/>
      <c r="GT191" s="32"/>
      <c r="GU191" s="32"/>
      <c r="GV191" s="32"/>
      <c r="GW191" s="32"/>
      <c r="GX191" s="32"/>
      <c r="GY191" s="32"/>
      <c r="GZ191" s="32"/>
      <c r="HA191" s="32"/>
      <c r="HB191" s="32"/>
      <c r="HC191" s="32"/>
      <c r="HD191" s="32"/>
      <c r="HE191" s="32"/>
      <c r="HF191" s="32"/>
      <c r="HG191" s="32"/>
      <c r="HH191" s="32"/>
      <c r="HI191" s="32"/>
      <c r="HJ191" s="32"/>
      <c r="HK191" s="32"/>
      <c r="HL191" s="32"/>
      <c r="HM191" s="32"/>
      <c r="HN191" s="32"/>
      <c r="HO191" s="32"/>
      <c r="HP191" s="32"/>
    </row>
    <row r="192" spans="1:224" x14ac:dyDescent="0.25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  <c r="EW192" s="32"/>
      <c r="EX192" s="32"/>
      <c r="EY192" s="32"/>
      <c r="EZ192" s="32"/>
      <c r="FA192" s="32"/>
      <c r="FB192" s="32"/>
      <c r="FC192" s="32"/>
      <c r="FD192" s="32"/>
      <c r="FE192" s="32"/>
      <c r="FF192" s="32"/>
      <c r="FG192" s="32"/>
      <c r="FH192" s="32"/>
      <c r="FI192" s="32"/>
      <c r="FJ192" s="32"/>
      <c r="FK192" s="32"/>
      <c r="FL192" s="32"/>
      <c r="FM192" s="32"/>
      <c r="FN192" s="32"/>
      <c r="FO192" s="32"/>
      <c r="FP192" s="32"/>
      <c r="FQ192" s="32"/>
      <c r="FR192" s="32"/>
      <c r="FS192" s="32"/>
      <c r="FT192" s="32"/>
      <c r="FU192" s="32"/>
      <c r="FV192" s="32"/>
      <c r="FW192" s="32"/>
      <c r="FX192" s="32"/>
      <c r="FY192" s="32"/>
      <c r="FZ192" s="32"/>
      <c r="GA192" s="32"/>
      <c r="GB192" s="32"/>
      <c r="GC192" s="32"/>
      <c r="GD192" s="32"/>
      <c r="GE192" s="32"/>
      <c r="GF192" s="32"/>
      <c r="GG192" s="32"/>
      <c r="GH192" s="32"/>
      <c r="GI192" s="32"/>
      <c r="GJ192" s="32"/>
      <c r="GK192" s="32"/>
      <c r="GL192" s="32"/>
      <c r="GM192" s="32"/>
      <c r="GN192" s="32"/>
      <c r="GO192" s="32"/>
      <c r="GP192" s="32"/>
      <c r="GQ192" s="32"/>
      <c r="GR192" s="32"/>
      <c r="GS192" s="32"/>
      <c r="GT192" s="32"/>
      <c r="GU192" s="32"/>
      <c r="GV192" s="32"/>
      <c r="GW192" s="32"/>
      <c r="GX192" s="32"/>
      <c r="GY192" s="32"/>
      <c r="GZ192" s="32"/>
      <c r="HA192" s="32"/>
      <c r="HB192" s="32"/>
      <c r="HC192" s="32"/>
      <c r="HD192" s="32"/>
      <c r="HE192" s="32"/>
      <c r="HF192" s="32"/>
      <c r="HG192" s="32"/>
      <c r="HH192" s="32"/>
      <c r="HI192" s="32"/>
      <c r="HJ192" s="32"/>
      <c r="HK192" s="32"/>
      <c r="HL192" s="32"/>
      <c r="HM192" s="32"/>
      <c r="HN192" s="32"/>
      <c r="HO192" s="32"/>
      <c r="HP192" s="32"/>
    </row>
    <row r="193" spans="1:224" x14ac:dyDescent="0.25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  <c r="EW193" s="32"/>
      <c r="EX193" s="32"/>
      <c r="EY193" s="32"/>
      <c r="EZ193" s="32"/>
      <c r="FA193" s="32"/>
      <c r="FB193" s="32"/>
      <c r="FC193" s="32"/>
      <c r="FD193" s="32"/>
      <c r="FE193" s="32"/>
      <c r="FF193" s="32"/>
      <c r="FG193" s="32"/>
      <c r="FH193" s="32"/>
      <c r="FI193" s="32"/>
      <c r="FJ193" s="32"/>
      <c r="FK193" s="32"/>
      <c r="FL193" s="32"/>
      <c r="FM193" s="32"/>
      <c r="FN193" s="32"/>
      <c r="FO193" s="32"/>
      <c r="FP193" s="32"/>
      <c r="FQ193" s="32"/>
      <c r="FR193" s="32"/>
      <c r="FS193" s="32"/>
      <c r="FT193" s="32"/>
      <c r="FU193" s="32"/>
      <c r="FV193" s="32"/>
      <c r="FW193" s="32"/>
      <c r="FX193" s="32"/>
      <c r="FY193" s="32"/>
      <c r="FZ193" s="32"/>
      <c r="GA193" s="32"/>
      <c r="GB193" s="32"/>
      <c r="GC193" s="32"/>
      <c r="GD193" s="32"/>
      <c r="GE193" s="32"/>
      <c r="GF193" s="32"/>
      <c r="GG193" s="32"/>
      <c r="GH193" s="32"/>
      <c r="GI193" s="32"/>
      <c r="GJ193" s="32"/>
      <c r="GK193" s="32"/>
      <c r="GL193" s="32"/>
      <c r="GM193" s="32"/>
      <c r="GN193" s="32"/>
      <c r="GO193" s="32"/>
      <c r="GP193" s="32"/>
      <c r="GQ193" s="32"/>
      <c r="GR193" s="32"/>
      <c r="GS193" s="32"/>
      <c r="GT193" s="32"/>
      <c r="GU193" s="32"/>
      <c r="GV193" s="32"/>
      <c r="GW193" s="32"/>
      <c r="GX193" s="32"/>
      <c r="GY193" s="32"/>
      <c r="GZ193" s="32"/>
      <c r="HA193" s="32"/>
      <c r="HB193" s="32"/>
      <c r="HC193" s="32"/>
      <c r="HD193" s="32"/>
      <c r="HE193" s="32"/>
      <c r="HF193" s="32"/>
      <c r="HG193" s="32"/>
      <c r="HH193" s="32"/>
      <c r="HI193" s="32"/>
      <c r="HJ193" s="32"/>
      <c r="HK193" s="32"/>
      <c r="HL193" s="32"/>
      <c r="HM193" s="32"/>
      <c r="HN193" s="32"/>
      <c r="HO193" s="32"/>
      <c r="HP193" s="32"/>
    </row>
    <row r="194" spans="1:224" x14ac:dyDescent="0.25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  <c r="EW194" s="32"/>
      <c r="EX194" s="32"/>
      <c r="EY194" s="32"/>
      <c r="EZ194" s="32"/>
      <c r="FA194" s="32"/>
      <c r="FB194" s="32"/>
      <c r="FC194" s="32"/>
      <c r="FD194" s="32"/>
      <c r="FE194" s="32"/>
      <c r="FF194" s="32"/>
      <c r="FG194" s="32"/>
      <c r="FH194" s="32"/>
      <c r="FI194" s="32"/>
      <c r="FJ194" s="32"/>
      <c r="FK194" s="32"/>
      <c r="FL194" s="32"/>
      <c r="FM194" s="32"/>
      <c r="FN194" s="32"/>
      <c r="FO194" s="32"/>
      <c r="FP194" s="32"/>
      <c r="FQ194" s="32"/>
      <c r="FR194" s="32"/>
      <c r="FS194" s="32"/>
      <c r="FT194" s="32"/>
      <c r="FU194" s="32"/>
      <c r="FV194" s="32"/>
      <c r="FW194" s="32"/>
      <c r="FX194" s="32"/>
      <c r="FY194" s="32"/>
      <c r="FZ194" s="32"/>
      <c r="GA194" s="32"/>
      <c r="GB194" s="32"/>
      <c r="GC194" s="32"/>
      <c r="GD194" s="32"/>
      <c r="GE194" s="32"/>
      <c r="GF194" s="32"/>
      <c r="GG194" s="32"/>
      <c r="GH194" s="32"/>
      <c r="GI194" s="32"/>
      <c r="GJ194" s="32"/>
      <c r="GK194" s="32"/>
      <c r="GL194" s="32"/>
      <c r="GM194" s="32"/>
      <c r="GN194" s="32"/>
      <c r="GO194" s="32"/>
      <c r="GP194" s="32"/>
      <c r="GQ194" s="32"/>
      <c r="GR194" s="32"/>
      <c r="GS194" s="32"/>
      <c r="GT194" s="32"/>
      <c r="GU194" s="32"/>
      <c r="GV194" s="32"/>
      <c r="GW194" s="32"/>
      <c r="GX194" s="32"/>
      <c r="GY194" s="32"/>
      <c r="GZ194" s="32"/>
      <c r="HA194" s="32"/>
      <c r="HB194" s="32"/>
      <c r="HC194" s="32"/>
      <c r="HD194" s="32"/>
      <c r="HE194" s="32"/>
      <c r="HF194" s="32"/>
      <c r="HG194" s="32"/>
      <c r="HH194" s="32"/>
      <c r="HI194" s="32"/>
      <c r="HJ194" s="32"/>
      <c r="HK194" s="32"/>
      <c r="HL194" s="32"/>
      <c r="HM194" s="32"/>
      <c r="HN194" s="32"/>
      <c r="HO194" s="32"/>
      <c r="HP194" s="32"/>
    </row>
    <row r="195" spans="1:224" x14ac:dyDescent="0.2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  <c r="EW195" s="32"/>
      <c r="EX195" s="32"/>
      <c r="EY195" s="32"/>
      <c r="EZ195" s="32"/>
      <c r="FA195" s="32"/>
      <c r="FB195" s="32"/>
      <c r="FC195" s="32"/>
      <c r="FD195" s="32"/>
      <c r="FE195" s="32"/>
      <c r="FF195" s="32"/>
      <c r="FG195" s="32"/>
      <c r="FH195" s="32"/>
      <c r="FI195" s="32"/>
      <c r="FJ195" s="32"/>
      <c r="FK195" s="32"/>
      <c r="FL195" s="32"/>
      <c r="FM195" s="32"/>
      <c r="FN195" s="32"/>
      <c r="FO195" s="32"/>
      <c r="FP195" s="32"/>
      <c r="FQ195" s="32"/>
      <c r="FR195" s="32"/>
      <c r="FS195" s="32"/>
      <c r="FT195" s="32"/>
      <c r="FU195" s="32"/>
      <c r="FV195" s="32"/>
      <c r="FW195" s="32"/>
      <c r="FX195" s="32"/>
      <c r="FY195" s="32"/>
      <c r="FZ195" s="32"/>
      <c r="GA195" s="32"/>
      <c r="GB195" s="32"/>
      <c r="GC195" s="32"/>
      <c r="GD195" s="32"/>
      <c r="GE195" s="32"/>
      <c r="GF195" s="32"/>
      <c r="GG195" s="32"/>
      <c r="GH195" s="32"/>
      <c r="GI195" s="32"/>
      <c r="GJ195" s="32"/>
      <c r="GK195" s="32"/>
      <c r="GL195" s="32"/>
      <c r="GM195" s="32"/>
      <c r="GN195" s="32"/>
      <c r="GO195" s="32"/>
      <c r="GP195" s="32"/>
      <c r="GQ195" s="32"/>
      <c r="GR195" s="32"/>
      <c r="GS195" s="32"/>
      <c r="GT195" s="32"/>
      <c r="GU195" s="32"/>
      <c r="GV195" s="32"/>
      <c r="GW195" s="32"/>
      <c r="GX195" s="32"/>
      <c r="GY195" s="32"/>
      <c r="GZ195" s="32"/>
      <c r="HA195" s="32"/>
      <c r="HB195" s="32"/>
      <c r="HC195" s="32"/>
      <c r="HD195" s="32"/>
      <c r="HE195" s="32"/>
      <c r="HF195" s="32"/>
      <c r="HG195" s="32"/>
      <c r="HH195" s="32"/>
      <c r="HI195" s="32"/>
      <c r="HJ195" s="32"/>
      <c r="HK195" s="32"/>
      <c r="HL195" s="32"/>
      <c r="HM195" s="32"/>
      <c r="HN195" s="32"/>
      <c r="HO195" s="32"/>
      <c r="HP195" s="32"/>
    </row>
    <row r="196" spans="1:224" x14ac:dyDescent="0.25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  <c r="EW196" s="32"/>
      <c r="EX196" s="32"/>
      <c r="EY196" s="32"/>
      <c r="EZ196" s="32"/>
      <c r="FA196" s="32"/>
      <c r="FB196" s="32"/>
      <c r="FC196" s="32"/>
      <c r="FD196" s="32"/>
      <c r="FE196" s="32"/>
      <c r="FF196" s="32"/>
      <c r="FG196" s="32"/>
      <c r="FH196" s="32"/>
      <c r="FI196" s="32"/>
      <c r="FJ196" s="32"/>
      <c r="FK196" s="32"/>
      <c r="FL196" s="32"/>
      <c r="FM196" s="32"/>
      <c r="FN196" s="32"/>
      <c r="FO196" s="32"/>
      <c r="FP196" s="32"/>
      <c r="FQ196" s="32"/>
      <c r="FR196" s="32"/>
      <c r="FS196" s="32"/>
      <c r="FT196" s="32"/>
      <c r="FU196" s="32"/>
      <c r="FV196" s="32"/>
      <c r="FW196" s="32"/>
      <c r="FX196" s="32"/>
      <c r="FY196" s="32"/>
      <c r="FZ196" s="32"/>
      <c r="GA196" s="32"/>
      <c r="GB196" s="32"/>
      <c r="GC196" s="32"/>
      <c r="GD196" s="32"/>
      <c r="GE196" s="32"/>
      <c r="GF196" s="32"/>
      <c r="GG196" s="32"/>
      <c r="GH196" s="32"/>
      <c r="GI196" s="32"/>
      <c r="GJ196" s="32"/>
      <c r="GK196" s="32"/>
      <c r="GL196" s="32"/>
      <c r="GM196" s="32"/>
      <c r="GN196" s="32"/>
      <c r="GO196" s="32"/>
      <c r="GP196" s="32"/>
      <c r="GQ196" s="32"/>
      <c r="GR196" s="32"/>
      <c r="GS196" s="32"/>
      <c r="GT196" s="32"/>
      <c r="GU196" s="32"/>
      <c r="GV196" s="32"/>
      <c r="GW196" s="32"/>
      <c r="GX196" s="32"/>
      <c r="GY196" s="32"/>
      <c r="GZ196" s="32"/>
      <c r="HA196" s="32"/>
      <c r="HB196" s="32"/>
      <c r="HC196" s="32"/>
      <c r="HD196" s="32"/>
      <c r="HE196" s="32"/>
      <c r="HF196" s="32"/>
      <c r="HG196" s="32"/>
      <c r="HH196" s="32"/>
      <c r="HI196" s="32"/>
      <c r="HJ196" s="32"/>
      <c r="HK196" s="32"/>
      <c r="HL196" s="32"/>
      <c r="HM196" s="32"/>
      <c r="HN196" s="32"/>
      <c r="HO196" s="32"/>
      <c r="HP196" s="32"/>
    </row>
    <row r="197" spans="1:224" x14ac:dyDescent="0.25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  <c r="EW197" s="32"/>
      <c r="EX197" s="32"/>
      <c r="EY197" s="32"/>
      <c r="EZ197" s="32"/>
      <c r="FA197" s="32"/>
      <c r="FB197" s="32"/>
      <c r="FC197" s="32"/>
      <c r="FD197" s="32"/>
      <c r="FE197" s="32"/>
      <c r="FF197" s="32"/>
      <c r="FG197" s="32"/>
      <c r="FH197" s="32"/>
      <c r="FI197" s="32"/>
      <c r="FJ197" s="32"/>
      <c r="FK197" s="32"/>
      <c r="FL197" s="32"/>
      <c r="FM197" s="32"/>
      <c r="FN197" s="32"/>
      <c r="FO197" s="32"/>
      <c r="FP197" s="32"/>
      <c r="FQ197" s="32"/>
      <c r="FR197" s="32"/>
      <c r="FS197" s="32"/>
      <c r="FT197" s="32"/>
      <c r="FU197" s="32"/>
      <c r="FV197" s="32"/>
      <c r="FW197" s="32"/>
      <c r="FX197" s="32"/>
      <c r="FY197" s="32"/>
      <c r="FZ197" s="32"/>
      <c r="GA197" s="32"/>
      <c r="GB197" s="32"/>
      <c r="GC197" s="32"/>
      <c r="GD197" s="32"/>
      <c r="GE197" s="32"/>
      <c r="GF197" s="32"/>
      <c r="GG197" s="32"/>
      <c r="GH197" s="32"/>
      <c r="GI197" s="32"/>
      <c r="GJ197" s="32"/>
      <c r="GK197" s="32"/>
      <c r="GL197" s="32"/>
      <c r="GM197" s="32"/>
      <c r="GN197" s="32"/>
      <c r="GO197" s="32"/>
      <c r="GP197" s="32"/>
      <c r="GQ197" s="32"/>
      <c r="GR197" s="32"/>
      <c r="GS197" s="32"/>
      <c r="GT197" s="32"/>
      <c r="GU197" s="32"/>
      <c r="GV197" s="32"/>
      <c r="GW197" s="32"/>
      <c r="GX197" s="32"/>
      <c r="GY197" s="32"/>
      <c r="GZ197" s="32"/>
      <c r="HA197" s="32"/>
      <c r="HB197" s="32"/>
      <c r="HC197" s="32"/>
      <c r="HD197" s="32"/>
      <c r="HE197" s="32"/>
      <c r="HF197" s="32"/>
      <c r="HG197" s="32"/>
      <c r="HH197" s="32"/>
      <c r="HI197" s="32"/>
      <c r="HJ197" s="32"/>
      <c r="HK197" s="32"/>
      <c r="HL197" s="32"/>
      <c r="HM197" s="32"/>
      <c r="HN197" s="32"/>
      <c r="HO197" s="32"/>
      <c r="HP197" s="32"/>
    </row>
    <row r="198" spans="1:224" x14ac:dyDescent="0.25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  <c r="EW198" s="32"/>
      <c r="EX198" s="32"/>
      <c r="EY198" s="32"/>
      <c r="EZ198" s="32"/>
      <c r="FA198" s="32"/>
      <c r="FB198" s="32"/>
      <c r="FC198" s="32"/>
      <c r="FD198" s="32"/>
      <c r="FE198" s="32"/>
      <c r="FF198" s="32"/>
      <c r="FG198" s="32"/>
      <c r="FH198" s="32"/>
      <c r="FI198" s="32"/>
      <c r="FJ198" s="32"/>
      <c r="FK198" s="32"/>
      <c r="FL198" s="32"/>
      <c r="FM198" s="32"/>
      <c r="FN198" s="32"/>
      <c r="FO198" s="32"/>
      <c r="FP198" s="32"/>
      <c r="FQ198" s="32"/>
      <c r="FR198" s="32"/>
      <c r="FS198" s="32"/>
      <c r="FT198" s="32"/>
      <c r="FU198" s="32"/>
      <c r="FV198" s="32"/>
      <c r="FW198" s="32"/>
      <c r="FX198" s="32"/>
      <c r="FY198" s="32"/>
      <c r="FZ198" s="32"/>
      <c r="GA198" s="32"/>
      <c r="GB198" s="32"/>
      <c r="GC198" s="32"/>
      <c r="GD198" s="32"/>
      <c r="GE198" s="32"/>
      <c r="GF198" s="32"/>
      <c r="GG198" s="32"/>
      <c r="GH198" s="32"/>
      <c r="GI198" s="32"/>
      <c r="GJ198" s="32"/>
      <c r="GK198" s="32"/>
      <c r="GL198" s="32"/>
      <c r="GM198" s="32"/>
      <c r="GN198" s="32"/>
      <c r="GO198" s="32"/>
      <c r="GP198" s="32"/>
      <c r="GQ198" s="32"/>
      <c r="GR198" s="32"/>
      <c r="GS198" s="32"/>
      <c r="GT198" s="32"/>
      <c r="GU198" s="32"/>
      <c r="GV198" s="32"/>
      <c r="GW198" s="32"/>
      <c r="GX198" s="32"/>
      <c r="GY198" s="32"/>
      <c r="GZ198" s="32"/>
      <c r="HA198" s="32"/>
      <c r="HB198" s="32"/>
      <c r="HC198" s="32"/>
      <c r="HD198" s="32"/>
      <c r="HE198" s="32"/>
      <c r="HF198" s="32"/>
      <c r="HG198" s="32"/>
      <c r="HH198" s="32"/>
      <c r="HI198" s="32"/>
      <c r="HJ198" s="32"/>
      <c r="HK198" s="32"/>
      <c r="HL198" s="32"/>
      <c r="HM198" s="32"/>
      <c r="HN198" s="32"/>
      <c r="HO198" s="32"/>
      <c r="HP198" s="32"/>
    </row>
    <row r="199" spans="1:224" x14ac:dyDescent="0.25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  <c r="EW199" s="32"/>
      <c r="EX199" s="32"/>
      <c r="EY199" s="32"/>
      <c r="EZ199" s="32"/>
      <c r="FA199" s="32"/>
      <c r="FB199" s="32"/>
      <c r="FC199" s="32"/>
      <c r="FD199" s="32"/>
      <c r="FE199" s="32"/>
      <c r="FF199" s="32"/>
      <c r="FG199" s="32"/>
      <c r="FH199" s="32"/>
      <c r="FI199" s="32"/>
      <c r="FJ199" s="32"/>
      <c r="FK199" s="32"/>
      <c r="FL199" s="32"/>
      <c r="FM199" s="32"/>
      <c r="FN199" s="32"/>
      <c r="FO199" s="32"/>
      <c r="FP199" s="32"/>
      <c r="FQ199" s="32"/>
      <c r="FR199" s="32"/>
      <c r="FS199" s="32"/>
      <c r="FT199" s="32"/>
      <c r="FU199" s="32"/>
      <c r="FV199" s="32"/>
      <c r="FW199" s="32"/>
      <c r="FX199" s="32"/>
      <c r="FY199" s="32"/>
      <c r="FZ199" s="32"/>
      <c r="GA199" s="32"/>
      <c r="GB199" s="32"/>
      <c r="GC199" s="32"/>
      <c r="GD199" s="32"/>
      <c r="GE199" s="32"/>
      <c r="GF199" s="32"/>
      <c r="GG199" s="32"/>
      <c r="GH199" s="32"/>
      <c r="GI199" s="32"/>
      <c r="GJ199" s="32"/>
      <c r="GK199" s="32"/>
      <c r="GL199" s="32"/>
      <c r="GM199" s="32"/>
      <c r="GN199" s="32"/>
      <c r="GO199" s="32"/>
      <c r="GP199" s="32"/>
      <c r="GQ199" s="32"/>
      <c r="GR199" s="32"/>
      <c r="GS199" s="32"/>
      <c r="GT199" s="32"/>
      <c r="GU199" s="32"/>
      <c r="GV199" s="32"/>
      <c r="GW199" s="32"/>
      <c r="GX199" s="32"/>
      <c r="GY199" s="32"/>
      <c r="GZ199" s="32"/>
      <c r="HA199" s="32"/>
      <c r="HB199" s="32"/>
      <c r="HC199" s="32"/>
      <c r="HD199" s="32"/>
      <c r="HE199" s="32"/>
      <c r="HF199" s="32"/>
      <c r="HG199" s="32"/>
      <c r="HH199" s="32"/>
      <c r="HI199" s="32"/>
      <c r="HJ199" s="32"/>
      <c r="HK199" s="32"/>
      <c r="HL199" s="32"/>
      <c r="HM199" s="32"/>
      <c r="HN199" s="32"/>
      <c r="HO199" s="32"/>
      <c r="HP199" s="32"/>
    </row>
    <row r="200" spans="1:224" x14ac:dyDescent="0.25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  <c r="EW200" s="32"/>
      <c r="EX200" s="32"/>
      <c r="EY200" s="32"/>
      <c r="EZ200" s="32"/>
      <c r="FA200" s="32"/>
      <c r="FB200" s="32"/>
      <c r="FC200" s="32"/>
      <c r="FD200" s="32"/>
      <c r="FE200" s="32"/>
      <c r="FF200" s="32"/>
      <c r="FG200" s="32"/>
      <c r="FH200" s="32"/>
      <c r="FI200" s="32"/>
      <c r="FJ200" s="32"/>
      <c r="FK200" s="32"/>
      <c r="FL200" s="32"/>
      <c r="FM200" s="32"/>
      <c r="FN200" s="32"/>
      <c r="FO200" s="32"/>
      <c r="FP200" s="32"/>
      <c r="FQ200" s="32"/>
      <c r="FR200" s="32"/>
      <c r="FS200" s="32"/>
      <c r="FT200" s="32"/>
      <c r="FU200" s="32"/>
      <c r="FV200" s="32"/>
      <c r="FW200" s="32"/>
      <c r="FX200" s="32"/>
      <c r="FY200" s="32"/>
      <c r="FZ200" s="32"/>
      <c r="GA200" s="32"/>
      <c r="GB200" s="32"/>
      <c r="GC200" s="32"/>
      <c r="GD200" s="32"/>
      <c r="GE200" s="32"/>
      <c r="GF200" s="32"/>
      <c r="GG200" s="32"/>
      <c r="GH200" s="32"/>
      <c r="GI200" s="32"/>
      <c r="GJ200" s="32"/>
      <c r="GK200" s="32"/>
      <c r="GL200" s="32"/>
      <c r="GM200" s="32"/>
      <c r="GN200" s="32"/>
      <c r="GO200" s="32"/>
      <c r="GP200" s="32"/>
      <c r="GQ200" s="32"/>
      <c r="GR200" s="32"/>
      <c r="GS200" s="32"/>
      <c r="GT200" s="32"/>
      <c r="GU200" s="32"/>
      <c r="GV200" s="32"/>
      <c r="GW200" s="32"/>
      <c r="GX200" s="32"/>
      <c r="GY200" s="32"/>
      <c r="GZ200" s="32"/>
      <c r="HA200" s="32"/>
      <c r="HB200" s="32"/>
      <c r="HC200" s="32"/>
      <c r="HD200" s="32"/>
      <c r="HE200" s="32"/>
      <c r="HF200" s="32"/>
      <c r="HG200" s="32"/>
      <c r="HH200" s="32"/>
      <c r="HI200" s="32"/>
      <c r="HJ200" s="32"/>
      <c r="HK200" s="32"/>
      <c r="HL200" s="32"/>
      <c r="HM200" s="32"/>
      <c r="HN200" s="32"/>
      <c r="HO200" s="32"/>
      <c r="HP200" s="32"/>
    </row>
    <row r="201" spans="1:224" x14ac:dyDescent="0.25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  <c r="EW201" s="32"/>
      <c r="EX201" s="32"/>
      <c r="EY201" s="32"/>
      <c r="EZ201" s="32"/>
      <c r="FA201" s="32"/>
      <c r="FB201" s="32"/>
      <c r="FC201" s="32"/>
      <c r="FD201" s="32"/>
      <c r="FE201" s="32"/>
      <c r="FF201" s="32"/>
      <c r="FG201" s="32"/>
      <c r="FH201" s="32"/>
      <c r="FI201" s="32"/>
      <c r="FJ201" s="32"/>
      <c r="FK201" s="32"/>
      <c r="FL201" s="32"/>
      <c r="FM201" s="32"/>
      <c r="FN201" s="32"/>
      <c r="FO201" s="32"/>
      <c r="FP201" s="32"/>
      <c r="FQ201" s="32"/>
      <c r="FR201" s="32"/>
      <c r="FS201" s="32"/>
      <c r="FT201" s="32"/>
      <c r="FU201" s="32"/>
      <c r="FV201" s="32"/>
      <c r="FW201" s="32"/>
      <c r="FX201" s="32"/>
      <c r="FY201" s="32"/>
      <c r="FZ201" s="32"/>
      <c r="GA201" s="32"/>
      <c r="GB201" s="32"/>
      <c r="GC201" s="32"/>
      <c r="GD201" s="32"/>
      <c r="GE201" s="32"/>
      <c r="GF201" s="32"/>
      <c r="GG201" s="32"/>
      <c r="GH201" s="32"/>
      <c r="GI201" s="32"/>
      <c r="GJ201" s="32"/>
      <c r="GK201" s="32"/>
      <c r="GL201" s="32"/>
      <c r="GM201" s="32"/>
      <c r="GN201" s="32"/>
      <c r="GO201" s="32"/>
      <c r="GP201" s="32"/>
      <c r="GQ201" s="32"/>
      <c r="GR201" s="32"/>
      <c r="GS201" s="32"/>
      <c r="GT201" s="32"/>
      <c r="GU201" s="32"/>
      <c r="GV201" s="32"/>
      <c r="GW201" s="32"/>
      <c r="GX201" s="32"/>
      <c r="GY201" s="32"/>
      <c r="GZ201" s="32"/>
      <c r="HA201" s="32"/>
      <c r="HB201" s="32"/>
      <c r="HC201" s="32"/>
      <c r="HD201" s="32"/>
      <c r="HE201" s="32"/>
      <c r="HF201" s="32"/>
      <c r="HG201" s="32"/>
      <c r="HH201" s="32"/>
      <c r="HI201" s="32"/>
      <c r="HJ201" s="32"/>
      <c r="HK201" s="32"/>
      <c r="HL201" s="32"/>
      <c r="HM201" s="32"/>
      <c r="HN201" s="32"/>
      <c r="HO201" s="32"/>
      <c r="HP201" s="32"/>
    </row>
    <row r="202" spans="1:224" x14ac:dyDescent="0.25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  <c r="EW202" s="32"/>
      <c r="EX202" s="32"/>
      <c r="EY202" s="32"/>
      <c r="EZ202" s="32"/>
      <c r="FA202" s="32"/>
      <c r="FB202" s="32"/>
      <c r="FC202" s="32"/>
      <c r="FD202" s="32"/>
      <c r="FE202" s="32"/>
      <c r="FF202" s="32"/>
      <c r="FG202" s="32"/>
      <c r="FH202" s="32"/>
      <c r="FI202" s="32"/>
      <c r="FJ202" s="32"/>
      <c r="FK202" s="32"/>
      <c r="FL202" s="32"/>
      <c r="FM202" s="32"/>
      <c r="FN202" s="32"/>
      <c r="FO202" s="32"/>
      <c r="FP202" s="32"/>
      <c r="FQ202" s="32"/>
      <c r="FR202" s="32"/>
      <c r="FS202" s="32"/>
      <c r="FT202" s="32"/>
      <c r="FU202" s="32"/>
      <c r="FV202" s="32"/>
      <c r="FW202" s="32"/>
      <c r="FX202" s="32"/>
      <c r="FY202" s="32"/>
      <c r="FZ202" s="32"/>
      <c r="GA202" s="32"/>
      <c r="GB202" s="32"/>
      <c r="GC202" s="32"/>
      <c r="GD202" s="32"/>
      <c r="GE202" s="32"/>
      <c r="GF202" s="32"/>
      <c r="GG202" s="32"/>
      <c r="GH202" s="32"/>
      <c r="GI202" s="32"/>
      <c r="GJ202" s="32"/>
      <c r="GK202" s="32"/>
      <c r="GL202" s="32"/>
      <c r="GM202" s="32"/>
      <c r="GN202" s="32"/>
      <c r="GO202" s="32"/>
      <c r="GP202" s="32"/>
      <c r="GQ202" s="32"/>
      <c r="GR202" s="32"/>
      <c r="GS202" s="32"/>
      <c r="GT202" s="32"/>
      <c r="GU202" s="32"/>
      <c r="GV202" s="32"/>
      <c r="GW202" s="32"/>
      <c r="GX202" s="32"/>
      <c r="GY202" s="32"/>
      <c r="GZ202" s="32"/>
      <c r="HA202" s="32"/>
      <c r="HB202" s="32"/>
      <c r="HC202" s="32"/>
      <c r="HD202" s="32"/>
      <c r="HE202" s="32"/>
      <c r="HF202" s="32"/>
      <c r="HG202" s="32"/>
      <c r="HH202" s="32"/>
      <c r="HI202" s="32"/>
      <c r="HJ202" s="32"/>
      <c r="HK202" s="32"/>
      <c r="HL202" s="32"/>
      <c r="HM202" s="32"/>
      <c r="HN202" s="32"/>
      <c r="HO202" s="32"/>
      <c r="HP202" s="32"/>
    </row>
    <row r="203" spans="1:224" x14ac:dyDescent="0.25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  <c r="EW203" s="32"/>
      <c r="EX203" s="32"/>
      <c r="EY203" s="32"/>
      <c r="EZ203" s="32"/>
      <c r="FA203" s="32"/>
      <c r="FB203" s="32"/>
      <c r="FC203" s="32"/>
      <c r="FD203" s="32"/>
      <c r="FE203" s="32"/>
      <c r="FF203" s="32"/>
      <c r="FG203" s="32"/>
      <c r="FH203" s="32"/>
      <c r="FI203" s="32"/>
      <c r="FJ203" s="32"/>
      <c r="FK203" s="32"/>
      <c r="FL203" s="32"/>
      <c r="FM203" s="32"/>
      <c r="FN203" s="32"/>
      <c r="FO203" s="32"/>
      <c r="FP203" s="32"/>
      <c r="FQ203" s="32"/>
      <c r="FR203" s="32"/>
      <c r="FS203" s="32"/>
      <c r="FT203" s="32"/>
      <c r="FU203" s="32"/>
      <c r="FV203" s="32"/>
      <c r="FW203" s="32"/>
      <c r="FX203" s="32"/>
      <c r="FY203" s="32"/>
      <c r="FZ203" s="32"/>
      <c r="GA203" s="32"/>
      <c r="GB203" s="32"/>
      <c r="GC203" s="32"/>
      <c r="GD203" s="32"/>
      <c r="GE203" s="32"/>
      <c r="GF203" s="32"/>
      <c r="GG203" s="32"/>
      <c r="GH203" s="32"/>
      <c r="GI203" s="32"/>
      <c r="GJ203" s="32"/>
      <c r="GK203" s="32"/>
      <c r="GL203" s="32"/>
      <c r="GM203" s="32"/>
      <c r="GN203" s="32"/>
      <c r="GO203" s="32"/>
      <c r="GP203" s="32"/>
      <c r="GQ203" s="32"/>
      <c r="GR203" s="32"/>
      <c r="GS203" s="32"/>
      <c r="GT203" s="32"/>
      <c r="GU203" s="32"/>
      <c r="GV203" s="32"/>
      <c r="GW203" s="32"/>
      <c r="GX203" s="32"/>
      <c r="GY203" s="32"/>
      <c r="GZ203" s="32"/>
      <c r="HA203" s="32"/>
      <c r="HB203" s="32"/>
      <c r="HC203" s="32"/>
      <c r="HD203" s="32"/>
      <c r="HE203" s="32"/>
      <c r="HF203" s="32"/>
      <c r="HG203" s="32"/>
      <c r="HH203" s="32"/>
      <c r="HI203" s="32"/>
      <c r="HJ203" s="32"/>
      <c r="HK203" s="32"/>
      <c r="HL203" s="32"/>
      <c r="HM203" s="32"/>
      <c r="HN203" s="32"/>
      <c r="HO203" s="32"/>
      <c r="HP203" s="32"/>
    </row>
    <row r="204" spans="1:224" x14ac:dyDescent="0.25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  <c r="EW204" s="32"/>
      <c r="EX204" s="32"/>
      <c r="EY204" s="32"/>
      <c r="EZ204" s="32"/>
      <c r="FA204" s="32"/>
      <c r="FB204" s="32"/>
      <c r="FC204" s="32"/>
      <c r="FD204" s="32"/>
      <c r="FE204" s="32"/>
      <c r="FF204" s="32"/>
      <c r="FG204" s="32"/>
      <c r="FH204" s="32"/>
      <c r="FI204" s="32"/>
      <c r="FJ204" s="32"/>
      <c r="FK204" s="32"/>
      <c r="FL204" s="32"/>
      <c r="FM204" s="32"/>
      <c r="FN204" s="32"/>
      <c r="FO204" s="32"/>
      <c r="FP204" s="32"/>
      <c r="FQ204" s="32"/>
      <c r="FR204" s="32"/>
      <c r="FS204" s="32"/>
      <c r="FT204" s="32"/>
      <c r="FU204" s="32"/>
      <c r="FV204" s="32"/>
      <c r="FW204" s="32"/>
      <c r="FX204" s="32"/>
      <c r="FY204" s="32"/>
      <c r="FZ204" s="32"/>
      <c r="GA204" s="32"/>
      <c r="GB204" s="32"/>
      <c r="GC204" s="32"/>
      <c r="GD204" s="32"/>
      <c r="GE204" s="32"/>
      <c r="GF204" s="32"/>
      <c r="GG204" s="32"/>
      <c r="GH204" s="32"/>
      <c r="GI204" s="32"/>
      <c r="GJ204" s="32"/>
      <c r="GK204" s="32"/>
      <c r="GL204" s="32"/>
      <c r="GM204" s="32"/>
      <c r="GN204" s="32"/>
      <c r="GO204" s="32"/>
      <c r="GP204" s="32"/>
      <c r="GQ204" s="32"/>
      <c r="GR204" s="32"/>
      <c r="GS204" s="32"/>
      <c r="GT204" s="32"/>
      <c r="GU204" s="32"/>
      <c r="GV204" s="32"/>
      <c r="GW204" s="32"/>
      <c r="GX204" s="32"/>
      <c r="GY204" s="32"/>
      <c r="GZ204" s="32"/>
      <c r="HA204" s="32"/>
      <c r="HB204" s="32"/>
      <c r="HC204" s="32"/>
      <c r="HD204" s="32"/>
      <c r="HE204" s="32"/>
      <c r="HF204" s="32"/>
      <c r="HG204" s="32"/>
      <c r="HH204" s="32"/>
      <c r="HI204" s="32"/>
      <c r="HJ204" s="32"/>
      <c r="HK204" s="32"/>
      <c r="HL204" s="32"/>
      <c r="HM204" s="32"/>
      <c r="HN204" s="32"/>
      <c r="HO204" s="32"/>
      <c r="HP204" s="32"/>
    </row>
    <row r="205" spans="1:224" x14ac:dyDescent="0.2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  <c r="EW205" s="32"/>
      <c r="EX205" s="32"/>
      <c r="EY205" s="32"/>
      <c r="EZ205" s="32"/>
      <c r="FA205" s="32"/>
      <c r="FB205" s="32"/>
      <c r="FC205" s="32"/>
      <c r="FD205" s="32"/>
      <c r="FE205" s="32"/>
      <c r="FF205" s="32"/>
      <c r="FG205" s="32"/>
      <c r="FH205" s="32"/>
      <c r="FI205" s="32"/>
      <c r="FJ205" s="32"/>
      <c r="FK205" s="32"/>
      <c r="FL205" s="32"/>
      <c r="FM205" s="32"/>
      <c r="FN205" s="32"/>
      <c r="FO205" s="32"/>
      <c r="FP205" s="32"/>
      <c r="FQ205" s="32"/>
      <c r="FR205" s="32"/>
      <c r="FS205" s="32"/>
      <c r="FT205" s="32"/>
      <c r="FU205" s="32"/>
      <c r="FV205" s="32"/>
      <c r="FW205" s="32"/>
      <c r="FX205" s="32"/>
      <c r="FY205" s="32"/>
      <c r="FZ205" s="32"/>
      <c r="GA205" s="32"/>
      <c r="GB205" s="32"/>
      <c r="GC205" s="32"/>
      <c r="GD205" s="32"/>
      <c r="GE205" s="32"/>
      <c r="GF205" s="32"/>
      <c r="GG205" s="32"/>
      <c r="GH205" s="32"/>
      <c r="GI205" s="32"/>
      <c r="GJ205" s="32"/>
      <c r="GK205" s="32"/>
      <c r="GL205" s="32"/>
      <c r="GM205" s="32"/>
      <c r="GN205" s="32"/>
      <c r="GO205" s="32"/>
      <c r="GP205" s="32"/>
      <c r="GQ205" s="32"/>
      <c r="GR205" s="32"/>
      <c r="GS205" s="32"/>
      <c r="GT205" s="32"/>
      <c r="GU205" s="32"/>
      <c r="GV205" s="32"/>
      <c r="GW205" s="32"/>
      <c r="GX205" s="32"/>
      <c r="GY205" s="32"/>
      <c r="GZ205" s="32"/>
      <c r="HA205" s="32"/>
      <c r="HB205" s="32"/>
      <c r="HC205" s="32"/>
      <c r="HD205" s="32"/>
      <c r="HE205" s="32"/>
      <c r="HF205" s="32"/>
      <c r="HG205" s="32"/>
      <c r="HH205" s="32"/>
      <c r="HI205" s="32"/>
      <c r="HJ205" s="32"/>
      <c r="HK205" s="32"/>
      <c r="HL205" s="32"/>
      <c r="HM205" s="32"/>
      <c r="HN205" s="32"/>
      <c r="HO205" s="32"/>
      <c r="HP205" s="32"/>
    </row>
    <row r="206" spans="1:224" x14ac:dyDescent="0.25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  <c r="EW206" s="32"/>
      <c r="EX206" s="32"/>
      <c r="EY206" s="32"/>
      <c r="EZ206" s="32"/>
      <c r="FA206" s="32"/>
      <c r="FB206" s="32"/>
      <c r="FC206" s="32"/>
      <c r="FD206" s="32"/>
      <c r="FE206" s="32"/>
      <c r="FF206" s="32"/>
      <c r="FG206" s="32"/>
      <c r="FH206" s="32"/>
      <c r="FI206" s="32"/>
      <c r="FJ206" s="32"/>
      <c r="FK206" s="32"/>
      <c r="FL206" s="32"/>
      <c r="FM206" s="32"/>
      <c r="FN206" s="32"/>
      <c r="FO206" s="32"/>
      <c r="FP206" s="32"/>
      <c r="FQ206" s="32"/>
      <c r="FR206" s="32"/>
      <c r="FS206" s="32"/>
      <c r="FT206" s="32"/>
      <c r="FU206" s="32"/>
      <c r="FV206" s="32"/>
      <c r="FW206" s="32"/>
      <c r="FX206" s="32"/>
      <c r="FY206" s="32"/>
      <c r="FZ206" s="32"/>
      <c r="GA206" s="32"/>
      <c r="GB206" s="32"/>
      <c r="GC206" s="32"/>
      <c r="GD206" s="32"/>
      <c r="GE206" s="32"/>
      <c r="GF206" s="32"/>
      <c r="GG206" s="32"/>
      <c r="GH206" s="32"/>
      <c r="GI206" s="32"/>
      <c r="GJ206" s="32"/>
      <c r="GK206" s="32"/>
      <c r="GL206" s="32"/>
      <c r="GM206" s="32"/>
      <c r="GN206" s="32"/>
      <c r="GO206" s="32"/>
      <c r="GP206" s="32"/>
      <c r="GQ206" s="32"/>
      <c r="GR206" s="32"/>
      <c r="GS206" s="32"/>
      <c r="GT206" s="32"/>
      <c r="GU206" s="32"/>
      <c r="GV206" s="32"/>
      <c r="GW206" s="32"/>
      <c r="GX206" s="32"/>
      <c r="GY206" s="32"/>
      <c r="GZ206" s="32"/>
      <c r="HA206" s="32"/>
      <c r="HB206" s="32"/>
      <c r="HC206" s="32"/>
      <c r="HD206" s="32"/>
      <c r="HE206" s="32"/>
      <c r="HF206" s="32"/>
      <c r="HG206" s="32"/>
      <c r="HH206" s="32"/>
      <c r="HI206" s="32"/>
      <c r="HJ206" s="32"/>
      <c r="HK206" s="32"/>
      <c r="HL206" s="32"/>
      <c r="HM206" s="32"/>
      <c r="HN206" s="32"/>
      <c r="HO206" s="32"/>
      <c r="HP206" s="32"/>
    </row>
    <row r="207" spans="1:224" x14ac:dyDescent="0.25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  <c r="EW207" s="32"/>
      <c r="EX207" s="32"/>
      <c r="EY207" s="32"/>
      <c r="EZ207" s="32"/>
      <c r="FA207" s="32"/>
      <c r="FB207" s="32"/>
      <c r="FC207" s="32"/>
      <c r="FD207" s="32"/>
      <c r="FE207" s="32"/>
      <c r="FF207" s="32"/>
      <c r="FG207" s="32"/>
      <c r="FH207" s="32"/>
      <c r="FI207" s="32"/>
      <c r="FJ207" s="32"/>
      <c r="FK207" s="32"/>
      <c r="FL207" s="32"/>
      <c r="FM207" s="32"/>
      <c r="FN207" s="32"/>
      <c r="FO207" s="32"/>
      <c r="FP207" s="32"/>
      <c r="FQ207" s="32"/>
      <c r="FR207" s="32"/>
      <c r="FS207" s="32"/>
      <c r="FT207" s="32"/>
      <c r="FU207" s="32"/>
      <c r="FV207" s="32"/>
      <c r="FW207" s="32"/>
      <c r="FX207" s="32"/>
      <c r="FY207" s="32"/>
      <c r="FZ207" s="32"/>
      <c r="GA207" s="32"/>
      <c r="GB207" s="32"/>
      <c r="GC207" s="32"/>
      <c r="GD207" s="32"/>
      <c r="GE207" s="32"/>
      <c r="GF207" s="32"/>
      <c r="GG207" s="32"/>
      <c r="GH207" s="32"/>
      <c r="GI207" s="32"/>
      <c r="GJ207" s="32"/>
      <c r="GK207" s="32"/>
      <c r="GL207" s="32"/>
      <c r="GM207" s="32"/>
      <c r="GN207" s="32"/>
      <c r="GO207" s="32"/>
      <c r="GP207" s="32"/>
      <c r="GQ207" s="32"/>
      <c r="GR207" s="32"/>
      <c r="GS207" s="32"/>
      <c r="GT207" s="32"/>
      <c r="GU207" s="32"/>
      <c r="GV207" s="32"/>
      <c r="GW207" s="32"/>
      <c r="GX207" s="32"/>
      <c r="GY207" s="32"/>
      <c r="GZ207" s="32"/>
      <c r="HA207" s="32"/>
      <c r="HB207" s="32"/>
      <c r="HC207" s="32"/>
      <c r="HD207" s="32"/>
      <c r="HE207" s="32"/>
      <c r="HF207" s="32"/>
      <c r="HG207" s="32"/>
      <c r="HH207" s="32"/>
      <c r="HI207" s="32"/>
      <c r="HJ207" s="32"/>
      <c r="HK207" s="32"/>
      <c r="HL207" s="32"/>
      <c r="HM207" s="32"/>
      <c r="HN207" s="32"/>
      <c r="HO207" s="32"/>
      <c r="HP207" s="32"/>
    </row>
    <row r="208" spans="1:224" x14ac:dyDescent="0.25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  <c r="EW208" s="32"/>
      <c r="EX208" s="32"/>
      <c r="EY208" s="32"/>
      <c r="EZ208" s="32"/>
      <c r="FA208" s="32"/>
      <c r="FB208" s="32"/>
      <c r="FC208" s="32"/>
      <c r="FD208" s="32"/>
      <c r="FE208" s="32"/>
      <c r="FF208" s="32"/>
      <c r="FG208" s="32"/>
      <c r="FH208" s="32"/>
      <c r="FI208" s="32"/>
      <c r="FJ208" s="32"/>
      <c r="FK208" s="32"/>
      <c r="FL208" s="32"/>
      <c r="FM208" s="32"/>
      <c r="FN208" s="32"/>
      <c r="FO208" s="32"/>
      <c r="FP208" s="32"/>
      <c r="FQ208" s="32"/>
      <c r="FR208" s="32"/>
      <c r="FS208" s="32"/>
      <c r="FT208" s="32"/>
      <c r="FU208" s="32"/>
      <c r="FV208" s="32"/>
      <c r="FW208" s="32"/>
      <c r="FX208" s="32"/>
      <c r="FY208" s="32"/>
      <c r="FZ208" s="32"/>
      <c r="GA208" s="32"/>
      <c r="GB208" s="32"/>
      <c r="GC208" s="32"/>
      <c r="GD208" s="32"/>
      <c r="GE208" s="32"/>
      <c r="GF208" s="32"/>
      <c r="GG208" s="32"/>
      <c r="GH208" s="32"/>
      <c r="GI208" s="32"/>
      <c r="GJ208" s="32"/>
      <c r="GK208" s="32"/>
      <c r="GL208" s="32"/>
      <c r="GM208" s="32"/>
      <c r="GN208" s="32"/>
      <c r="GO208" s="32"/>
      <c r="GP208" s="32"/>
      <c r="GQ208" s="32"/>
      <c r="GR208" s="32"/>
      <c r="GS208" s="32"/>
      <c r="GT208" s="32"/>
      <c r="GU208" s="32"/>
      <c r="GV208" s="32"/>
      <c r="GW208" s="32"/>
      <c r="GX208" s="32"/>
      <c r="GY208" s="32"/>
      <c r="GZ208" s="32"/>
      <c r="HA208" s="32"/>
      <c r="HB208" s="32"/>
      <c r="HC208" s="32"/>
      <c r="HD208" s="32"/>
      <c r="HE208" s="32"/>
      <c r="HF208" s="32"/>
      <c r="HG208" s="32"/>
      <c r="HH208" s="32"/>
      <c r="HI208" s="32"/>
      <c r="HJ208" s="32"/>
      <c r="HK208" s="32"/>
      <c r="HL208" s="32"/>
      <c r="HM208" s="32"/>
      <c r="HN208" s="32"/>
      <c r="HO208" s="32"/>
      <c r="HP208" s="32"/>
    </row>
    <row r="209" spans="1:224" x14ac:dyDescent="0.25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  <c r="EW209" s="32"/>
      <c r="EX209" s="32"/>
      <c r="EY209" s="32"/>
      <c r="EZ209" s="32"/>
      <c r="FA209" s="32"/>
      <c r="FB209" s="32"/>
      <c r="FC209" s="32"/>
      <c r="FD209" s="32"/>
      <c r="FE209" s="32"/>
      <c r="FF209" s="32"/>
      <c r="FG209" s="32"/>
      <c r="FH209" s="32"/>
      <c r="FI209" s="32"/>
      <c r="FJ209" s="32"/>
      <c r="FK209" s="32"/>
      <c r="FL209" s="32"/>
      <c r="FM209" s="32"/>
      <c r="FN209" s="32"/>
      <c r="FO209" s="32"/>
      <c r="FP209" s="32"/>
      <c r="FQ209" s="32"/>
      <c r="FR209" s="32"/>
      <c r="FS209" s="32"/>
      <c r="FT209" s="32"/>
      <c r="FU209" s="32"/>
      <c r="FV209" s="32"/>
      <c r="FW209" s="32"/>
      <c r="FX209" s="32"/>
      <c r="FY209" s="32"/>
      <c r="FZ209" s="32"/>
      <c r="GA209" s="32"/>
      <c r="GB209" s="32"/>
      <c r="GC209" s="32"/>
      <c r="GD209" s="32"/>
      <c r="GE209" s="32"/>
      <c r="GF209" s="32"/>
      <c r="GG209" s="32"/>
      <c r="GH209" s="32"/>
      <c r="GI209" s="32"/>
      <c r="GJ209" s="32"/>
      <c r="GK209" s="32"/>
      <c r="GL209" s="32"/>
      <c r="GM209" s="32"/>
      <c r="GN209" s="32"/>
      <c r="GO209" s="32"/>
      <c r="GP209" s="32"/>
      <c r="GQ209" s="32"/>
      <c r="GR209" s="32"/>
      <c r="GS209" s="32"/>
      <c r="GT209" s="32"/>
      <c r="GU209" s="32"/>
      <c r="GV209" s="32"/>
      <c r="GW209" s="32"/>
      <c r="GX209" s="32"/>
      <c r="GY209" s="32"/>
      <c r="GZ209" s="32"/>
      <c r="HA209" s="32"/>
      <c r="HB209" s="32"/>
      <c r="HC209" s="32"/>
      <c r="HD209" s="32"/>
      <c r="HE209" s="32"/>
      <c r="HF209" s="32"/>
      <c r="HG209" s="32"/>
      <c r="HH209" s="32"/>
      <c r="HI209" s="32"/>
      <c r="HJ209" s="32"/>
      <c r="HK209" s="32"/>
      <c r="HL209" s="32"/>
      <c r="HM209" s="32"/>
      <c r="HN209" s="32"/>
      <c r="HO209" s="32"/>
      <c r="HP209" s="32"/>
    </row>
    <row r="210" spans="1:224" x14ac:dyDescent="0.25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  <c r="EW210" s="32"/>
      <c r="EX210" s="32"/>
      <c r="EY210" s="32"/>
      <c r="EZ210" s="32"/>
      <c r="FA210" s="32"/>
      <c r="FB210" s="32"/>
      <c r="FC210" s="32"/>
      <c r="FD210" s="32"/>
      <c r="FE210" s="32"/>
      <c r="FF210" s="32"/>
      <c r="FG210" s="32"/>
      <c r="FH210" s="32"/>
      <c r="FI210" s="32"/>
      <c r="FJ210" s="32"/>
      <c r="FK210" s="32"/>
      <c r="FL210" s="32"/>
      <c r="FM210" s="32"/>
      <c r="FN210" s="32"/>
      <c r="FO210" s="32"/>
      <c r="FP210" s="32"/>
      <c r="FQ210" s="32"/>
      <c r="FR210" s="32"/>
      <c r="FS210" s="32"/>
      <c r="FT210" s="32"/>
      <c r="FU210" s="32"/>
      <c r="FV210" s="32"/>
      <c r="FW210" s="32"/>
      <c r="FX210" s="32"/>
      <c r="FY210" s="32"/>
      <c r="FZ210" s="32"/>
      <c r="GA210" s="32"/>
      <c r="GB210" s="32"/>
      <c r="GC210" s="32"/>
      <c r="GD210" s="32"/>
      <c r="GE210" s="32"/>
      <c r="GF210" s="32"/>
      <c r="GG210" s="32"/>
      <c r="GH210" s="32"/>
      <c r="GI210" s="32"/>
      <c r="GJ210" s="32"/>
      <c r="GK210" s="32"/>
      <c r="GL210" s="32"/>
      <c r="GM210" s="32"/>
      <c r="GN210" s="32"/>
      <c r="GO210" s="32"/>
      <c r="GP210" s="32"/>
      <c r="GQ210" s="32"/>
      <c r="GR210" s="32"/>
      <c r="GS210" s="32"/>
      <c r="GT210" s="32"/>
      <c r="GU210" s="32"/>
      <c r="GV210" s="32"/>
      <c r="GW210" s="32"/>
      <c r="GX210" s="32"/>
      <c r="GY210" s="32"/>
      <c r="GZ210" s="32"/>
      <c r="HA210" s="32"/>
      <c r="HB210" s="32"/>
      <c r="HC210" s="32"/>
      <c r="HD210" s="32"/>
      <c r="HE210" s="32"/>
      <c r="HF210" s="32"/>
      <c r="HG210" s="32"/>
      <c r="HH210" s="32"/>
      <c r="HI210" s="32"/>
      <c r="HJ210" s="32"/>
      <c r="HK210" s="32"/>
      <c r="HL210" s="32"/>
      <c r="HM210" s="32"/>
      <c r="HN210" s="32"/>
      <c r="HO210" s="32"/>
      <c r="HP210" s="32"/>
    </row>
    <row r="211" spans="1:224" x14ac:dyDescent="0.25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  <c r="EW211" s="32"/>
      <c r="EX211" s="32"/>
      <c r="EY211" s="32"/>
      <c r="EZ211" s="32"/>
      <c r="FA211" s="32"/>
      <c r="FB211" s="32"/>
      <c r="FC211" s="32"/>
      <c r="FD211" s="32"/>
      <c r="FE211" s="32"/>
      <c r="FF211" s="32"/>
      <c r="FG211" s="32"/>
      <c r="FH211" s="32"/>
      <c r="FI211" s="32"/>
      <c r="FJ211" s="32"/>
      <c r="FK211" s="32"/>
      <c r="FL211" s="32"/>
      <c r="FM211" s="32"/>
      <c r="FN211" s="32"/>
      <c r="FO211" s="32"/>
      <c r="FP211" s="32"/>
      <c r="FQ211" s="32"/>
      <c r="FR211" s="32"/>
      <c r="FS211" s="32"/>
      <c r="FT211" s="32"/>
      <c r="FU211" s="32"/>
      <c r="FV211" s="32"/>
      <c r="FW211" s="32"/>
      <c r="FX211" s="32"/>
      <c r="FY211" s="32"/>
      <c r="FZ211" s="32"/>
      <c r="GA211" s="32"/>
      <c r="GB211" s="32"/>
      <c r="GC211" s="32"/>
      <c r="GD211" s="32"/>
      <c r="GE211" s="32"/>
      <c r="GF211" s="32"/>
      <c r="GG211" s="32"/>
      <c r="GH211" s="32"/>
      <c r="GI211" s="32"/>
      <c r="GJ211" s="32"/>
      <c r="GK211" s="32"/>
      <c r="GL211" s="32"/>
      <c r="GM211" s="32"/>
      <c r="GN211" s="32"/>
      <c r="GO211" s="32"/>
      <c r="GP211" s="32"/>
      <c r="GQ211" s="32"/>
      <c r="GR211" s="32"/>
      <c r="GS211" s="32"/>
      <c r="GT211" s="32"/>
      <c r="GU211" s="32"/>
      <c r="GV211" s="32"/>
      <c r="GW211" s="32"/>
      <c r="GX211" s="32"/>
      <c r="GY211" s="32"/>
      <c r="GZ211" s="32"/>
      <c r="HA211" s="32"/>
      <c r="HB211" s="32"/>
      <c r="HC211" s="32"/>
      <c r="HD211" s="32"/>
      <c r="HE211" s="32"/>
      <c r="HF211" s="32"/>
      <c r="HG211" s="32"/>
      <c r="HH211" s="32"/>
      <c r="HI211" s="32"/>
      <c r="HJ211" s="32"/>
      <c r="HK211" s="32"/>
      <c r="HL211" s="32"/>
      <c r="HM211" s="32"/>
      <c r="HN211" s="32"/>
      <c r="HO211" s="32"/>
      <c r="HP211" s="32"/>
    </row>
    <row r="212" spans="1:224" x14ac:dyDescent="0.25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  <c r="EW212" s="32"/>
      <c r="EX212" s="32"/>
      <c r="EY212" s="32"/>
      <c r="EZ212" s="32"/>
      <c r="FA212" s="32"/>
      <c r="FB212" s="32"/>
      <c r="FC212" s="32"/>
      <c r="FD212" s="32"/>
      <c r="FE212" s="32"/>
      <c r="FF212" s="32"/>
      <c r="FG212" s="32"/>
      <c r="FH212" s="32"/>
      <c r="FI212" s="32"/>
      <c r="FJ212" s="32"/>
      <c r="FK212" s="32"/>
      <c r="FL212" s="32"/>
      <c r="FM212" s="32"/>
      <c r="FN212" s="32"/>
      <c r="FO212" s="32"/>
      <c r="FP212" s="32"/>
      <c r="FQ212" s="32"/>
      <c r="FR212" s="32"/>
      <c r="FS212" s="32"/>
      <c r="FT212" s="32"/>
      <c r="FU212" s="32"/>
      <c r="FV212" s="32"/>
      <c r="FW212" s="32"/>
      <c r="FX212" s="32"/>
      <c r="FY212" s="32"/>
      <c r="FZ212" s="32"/>
      <c r="GA212" s="32"/>
      <c r="GB212" s="32"/>
      <c r="GC212" s="32"/>
      <c r="GD212" s="32"/>
      <c r="GE212" s="32"/>
      <c r="GF212" s="32"/>
      <c r="GG212" s="32"/>
      <c r="GH212" s="32"/>
      <c r="GI212" s="32"/>
      <c r="GJ212" s="32"/>
      <c r="GK212" s="32"/>
      <c r="GL212" s="32"/>
      <c r="GM212" s="32"/>
      <c r="GN212" s="32"/>
      <c r="GO212" s="32"/>
      <c r="GP212" s="32"/>
      <c r="GQ212" s="32"/>
      <c r="GR212" s="32"/>
      <c r="GS212" s="32"/>
      <c r="GT212" s="32"/>
      <c r="GU212" s="32"/>
      <c r="GV212" s="32"/>
      <c r="GW212" s="32"/>
      <c r="GX212" s="32"/>
      <c r="GY212" s="32"/>
      <c r="GZ212" s="32"/>
      <c r="HA212" s="32"/>
      <c r="HB212" s="32"/>
      <c r="HC212" s="32"/>
      <c r="HD212" s="32"/>
      <c r="HE212" s="32"/>
      <c r="HF212" s="32"/>
      <c r="HG212" s="32"/>
      <c r="HH212" s="32"/>
      <c r="HI212" s="32"/>
      <c r="HJ212" s="32"/>
      <c r="HK212" s="32"/>
      <c r="HL212" s="32"/>
      <c r="HM212" s="32"/>
      <c r="HN212" s="32"/>
      <c r="HO212" s="32"/>
      <c r="HP212" s="32"/>
    </row>
    <row r="213" spans="1:224" x14ac:dyDescent="0.25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  <c r="EW213" s="32"/>
      <c r="EX213" s="32"/>
      <c r="EY213" s="32"/>
      <c r="EZ213" s="32"/>
      <c r="FA213" s="32"/>
      <c r="FB213" s="32"/>
      <c r="FC213" s="32"/>
      <c r="FD213" s="32"/>
      <c r="FE213" s="32"/>
      <c r="FF213" s="32"/>
      <c r="FG213" s="32"/>
      <c r="FH213" s="32"/>
      <c r="FI213" s="32"/>
      <c r="FJ213" s="32"/>
      <c r="FK213" s="32"/>
      <c r="FL213" s="32"/>
      <c r="FM213" s="32"/>
      <c r="FN213" s="32"/>
      <c r="FO213" s="32"/>
      <c r="FP213" s="32"/>
      <c r="FQ213" s="32"/>
      <c r="FR213" s="32"/>
      <c r="FS213" s="32"/>
      <c r="FT213" s="32"/>
      <c r="FU213" s="32"/>
      <c r="FV213" s="32"/>
      <c r="FW213" s="32"/>
      <c r="FX213" s="32"/>
      <c r="FY213" s="32"/>
      <c r="FZ213" s="32"/>
      <c r="GA213" s="32"/>
      <c r="GB213" s="32"/>
      <c r="GC213" s="32"/>
      <c r="GD213" s="32"/>
      <c r="GE213" s="32"/>
      <c r="GF213" s="32"/>
      <c r="GG213" s="32"/>
      <c r="GH213" s="32"/>
      <c r="GI213" s="32"/>
      <c r="GJ213" s="32"/>
      <c r="GK213" s="32"/>
      <c r="GL213" s="32"/>
      <c r="GM213" s="32"/>
      <c r="GN213" s="32"/>
      <c r="GO213" s="32"/>
      <c r="GP213" s="32"/>
      <c r="GQ213" s="32"/>
      <c r="GR213" s="32"/>
      <c r="GS213" s="32"/>
      <c r="GT213" s="32"/>
      <c r="GU213" s="32"/>
      <c r="GV213" s="32"/>
      <c r="GW213" s="32"/>
      <c r="GX213" s="32"/>
      <c r="GY213" s="32"/>
      <c r="GZ213" s="32"/>
      <c r="HA213" s="32"/>
      <c r="HB213" s="32"/>
      <c r="HC213" s="32"/>
      <c r="HD213" s="32"/>
      <c r="HE213" s="32"/>
      <c r="HF213" s="32"/>
      <c r="HG213" s="32"/>
      <c r="HH213" s="32"/>
      <c r="HI213" s="32"/>
      <c r="HJ213" s="32"/>
      <c r="HK213" s="32"/>
      <c r="HL213" s="32"/>
      <c r="HM213" s="32"/>
      <c r="HN213" s="32"/>
      <c r="HO213" s="32"/>
      <c r="HP213" s="32"/>
    </row>
    <row r="214" spans="1:224" x14ac:dyDescent="0.25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  <c r="EW214" s="32"/>
      <c r="EX214" s="32"/>
      <c r="EY214" s="32"/>
      <c r="EZ214" s="32"/>
      <c r="FA214" s="32"/>
      <c r="FB214" s="32"/>
      <c r="FC214" s="32"/>
      <c r="FD214" s="32"/>
      <c r="FE214" s="32"/>
      <c r="FF214" s="32"/>
      <c r="FG214" s="32"/>
      <c r="FH214" s="32"/>
      <c r="FI214" s="32"/>
      <c r="FJ214" s="32"/>
      <c r="FK214" s="32"/>
      <c r="FL214" s="32"/>
      <c r="FM214" s="32"/>
      <c r="FN214" s="32"/>
      <c r="FO214" s="32"/>
      <c r="FP214" s="32"/>
      <c r="FQ214" s="32"/>
      <c r="FR214" s="32"/>
      <c r="FS214" s="32"/>
      <c r="FT214" s="32"/>
      <c r="FU214" s="32"/>
      <c r="FV214" s="32"/>
      <c r="FW214" s="32"/>
      <c r="FX214" s="32"/>
      <c r="FY214" s="32"/>
      <c r="FZ214" s="32"/>
      <c r="GA214" s="32"/>
      <c r="GB214" s="32"/>
      <c r="GC214" s="32"/>
      <c r="GD214" s="32"/>
      <c r="GE214" s="32"/>
      <c r="GF214" s="32"/>
      <c r="GG214" s="32"/>
      <c r="GH214" s="32"/>
      <c r="GI214" s="32"/>
      <c r="GJ214" s="32"/>
      <c r="GK214" s="32"/>
      <c r="GL214" s="32"/>
      <c r="GM214" s="32"/>
      <c r="GN214" s="32"/>
      <c r="GO214" s="32"/>
      <c r="GP214" s="32"/>
      <c r="GQ214" s="32"/>
      <c r="GR214" s="32"/>
      <c r="GS214" s="32"/>
      <c r="GT214" s="32"/>
      <c r="GU214" s="32"/>
      <c r="GV214" s="32"/>
      <c r="GW214" s="32"/>
      <c r="GX214" s="32"/>
      <c r="GY214" s="32"/>
      <c r="GZ214" s="32"/>
      <c r="HA214" s="32"/>
      <c r="HB214" s="32"/>
      <c r="HC214" s="32"/>
      <c r="HD214" s="32"/>
      <c r="HE214" s="32"/>
      <c r="HF214" s="32"/>
      <c r="HG214" s="32"/>
      <c r="HH214" s="32"/>
      <c r="HI214" s="32"/>
      <c r="HJ214" s="32"/>
      <c r="HK214" s="32"/>
      <c r="HL214" s="32"/>
      <c r="HM214" s="32"/>
      <c r="HN214" s="32"/>
      <c r="HO214" s="32"/>
      <c r="HP214" s="32"/>
    </row>
    <row r="215" spans="1:224" x14ac:dyDescent="0.2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  <c r="EW215" s="32"/>
      <c r="EX215" s="32"/>
      <c r="EY215" s="32"/>
      <c r="EZ215" s="32"/>
      <c r="FA215" s="32"/>
      <c r="FB215" s="32"/>
      <c r="FC215" s="32"/>
      <c r="FD215" s="32"/>
      <c r="FE215" s="32"/>
      <c r="FF215" s="32"/>
      <c r="FG215" s="32"/>
      <c r="FH215" s="32"/>
      <c r="FI215" s="32"/>
      <c r="FJ215" s="32"/>
      <c r="FK215" s="32"/>
      <c r="FL215" s="32"/>
      <c r="FM215" s="32"/>
      <c r="FN215" s="32"/>
      <c r="FO215" s="32"/>
      <c r="FP215" s="32"/>
      <c r="FQ215" s="32"/>
      <c r="FR215" s="32"/>
      <c r="FS215" s="32"/>
      <c r="FT215" s="32"/>
      <c r="FU215" s="32"/>
      <c r="FV215" s="32"/>
      <c r="FW215" s="32"/>
      <c r="FX215" s="32"/>
      <c r="FY215" s="32"/>
      <c r="FZ215" s="32"/>
      <c r="GA215" s="32"/>
      <c r="GB215" s="32"/>
      <c r="GC215" s="32"/>
      <c r="GD215" s="32"/>
      <c r="GE215" s="32"/>
      <c r="GF215" s="32"/>
      <c r="GG215" s="32"/>
      <c r="GH215" s="32"/>
      <c r="GI215" s="32"/>
      <c r="GJ215" s="32"/>
      <c r="GK215" s="32"/>
      <c r="GL215" s="32"/>
      <c r="GM215" s="32"/>
      <c r="GN215" s="32"/>
      <c r="GO215" s="32"/>
      <c r="GP215" s="32"/>
      <c r="GQ215" s="32"/>
      <c r="GR215" s="32"/>
      <c r="GS215" s="32"/>
      <c r="GT215" s="32"/>
      <c r="GU215" s="32"/>
      <c r="GV215" s="32"/>
      <c r="GW215" s="32"/>
      <c r="GX215" s="32"/>
      <c r="GY215" s="32"/>
      <c r="GZ215" s="32"/>
      <c r="HA215" s="32"/>
      <c r="HB215" s="32"/>
      <c r="HC215" s="32"/>
      <c r="HD215" s="32"/>
      <c r="HE215" s="32"/>
      <c r="HF215" s="32"/>
      <c r="HG215" s="32"/>
      <c r="HH215" s="32"/>
      <c r="HI215" s="32"/>
      <c r="HJ215" s="32"/>
      <c r="HK215" s="32"/>
      <c r="HL215" s="32"/>
      <c r="HM215" s="32"/>
      <c r="HN215" s="32"/>
      <c r="HO215" s="32"/>
      <c r="HP215" s="32"/>
    </row>
    <row r="216" spans="1:224" x14ac:dyDescent="0.25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  <c r="EW216" s="32"/>
      <c r="EX216" s="32"/>
      <c r="EY216" s="32"/>
      <c r="EZ216" s="32"/>
      <c r="FA216" s="32"/>
      <c r="FB216" s="32"/>
      <c r="FC216" s="32"/>
      <c r="FD216" s="32"/>
      <c r="FE216" s="32"/>
      <c r="FF216" s="32"/>
      <c r="FG216" s="32"/>
      <c r="FH216" s="32"/>
      <c r="FI216" s="32"/>
      <c r="FJ216" s="32"/>
      <c r="FK216" s="32"/>
      <c r="FL216" s="32"/>
      <c r="FM216" s="32"/>
      <c r="FN216" s="32"/>
      <c r="FO216" s="32"/>
      <c r="FP216" s="32"/>
      <c r="FQ216" s="32"/>
      <c r="FR216" s="32"/>
      <c r="FS216" s="32"/>
      <c r="FT216" s="32"/>
      <c r="FU216" s="32"/>
      <c r="FV216" s="32"/>
      <c r="FW216" s="32"/>
      <c r="FX216" s="32"/>
      <c r="FY216" s="32"/>
      <c r="FZ216" s="32"/>
      <c r="GA216" s="32"/>
      <c r="GB216" s="32"/>
      <c r="GC216" s="32"/>
      <c r="GD216" s="32"/>
      <c r="GE216" s="32"/>
      <c r="GF216" s="32"/>
      <c r="GG216" s="32"/>
      <c r="GH216" s="32"/>
      <c r="GI216" s="32"/>
      <c r="GJ216" s="32"/>
      <c r="GK216" s="32"/>
      <c r="GL216" s="32"/>
      <c r="GM216" s="32"/>
      <c r="GN216" s="32"/>
      <c r="GO216" s="32"/>
      <c r="GP216" s="32"/>
      <c r="GQ216" s="32"/>
      <c r="GR216" s="32"/>
      <c r="GS216" s="32"/>
      <c r="GT216" s="32"/>
      <c r="GU216" s="32"/>
      <c r="GV216" s="32"/>
      <c r="GW216" s="32"/>
      <c r="GX216" s="32"/>
      <c r="GY216" s="32"/>
      <c r="GZ216" s="32"/>
      <c r="HA216" s="32"/>
      <c r="HB216" s="32"/>
      <c r="HC216" s="32"/>
      <c r="HD216" s="32"/>
      <c r="HE216" s="32"/>
      <c r="HF216" s="32"/>
      <c r="HG216" s="32"/>
      <c r="HH216" s="32"/>
      <c r="HI216" s="32"/>
      <c r="HJ216" s="32"/>
      <c r="HK216" s="32"/>
      <c r="HL216" s="32"/>
      <c r="HM216" s="32"/>
      <c r="HN216" s="32"/>
      <c r="HO216" s="32"/>
      <c r="HP216" s="32"/>
    </row>
    <row r="217" spans="1:224" x14ac:dyDescent="0.25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  <c r="EW217" s="32"/>
      <c r="EX217" s="32"/>
      <c r="EY217" s="32"/>
      <c r="EZ217" s="32"/>
      <c r="FA217" s="32"/>
      <c r="FB217" s="32"/>
      <c r="FC217" s="32"/>
      <c r="FD217" s="32"/>
      <c r="FE217" s="32"/>
      <c r="FF217" s="32"/>
      <c r="FG217" s="32"/>
      <c r="FH217" s="32"/>
      <c r="FI217" s="32"/>
      <c r="FJ217" s="32"/>
      <c r="FK217" s="32"/>
      <c r="FL217" s="32"/>
      <c r="FM217" s="32"/>
      <c r="FN217" s="32"/>
      <c r="FO217" s="32"/>
      <c r="FP217" s="32"/>
      <c r="FQ217" s="32"/>
      <c r="FR217" s="32"/>
      <c r="FS217" s="32"/>
      <c r="FT217" s="32"/>
      <c r="FU217" s="32"/>
      <c r="FV217" s="32"/>
      <c r="FW217" s="32"/>
      <c r="FX217" s="32"/>
      <c r="FY217" s="32"/>
      <c r="FZ217" s="32"/>
      <c r="GA217" s="32"/>
      <c r="GB217" s="32"/>
      <c r="GC217" s="32"/>
      <c r="GD217" s="32"/>
      <c r="GE217" s="32"/>
      <c r="GF217" s="32"/>
      <c r="GG217" s="32"/>
      <c r="GH217" s="32"/>
      <c r="GI217" s="32"/>
      <c r="GJ217" s="32"/>
      <c r="GK217" s="32"/>
      <c r="GL217" s="32"/>
      <c r="GM217" s="32"/>
      <c r="GN217" s="32"/>
      <c r="GO217" s="32"/>
      <c r="GP217" s="32"/>
      <c r="GQ217" s="32"/>
      <c r="GR217" s="32"/>
      <c r="GS217" s="32"/>
      <c r="GT217" s="32"/>
      <c r="GU217" s="32"/>
      <c r="GV217" s="32"/>
      <c r="GW217" s="32"/>
      <c r="GX217" s="32"/>
      <c r="GY217" s="32"/>
      <c r="GZ217" s="32"/>
      <c r="HA217" s="32"/>
      <c r="HB217" s="32"/>
      <c r="HC217" s="32"/>
      <c r="HD217" s="32"/>
      <c r="HE217" s="32"/>
      <c r="HF217" s="32"/>
      <c r="HG217" s="32"/>
      <c r="HH217" s="32"/>
      <c r="HI217" s="32"/>
      <c r="HJ217" s="32"/>
      <c r="HK217" s="32"/>
      <c r="HL217" s="32"/>
      <c r="HM217" s="32"/>
      <c r="HN217" s="32"/>
      <c r="HO217" s="32"/>
      <c r="HP217" s="32"/>
    </row>
    <row r="218" spans="1:224" x14ac:dyDescent="0.25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  <c r="EW218" s="32"/>
      <c r="EX218" s="32"/>
      <c r="EY218" s="32"/>
      <c r="EZ218" s="32"/>
      <c r="FA218" s="32"/>
      <c r="FB218" s="32"/>
      <c r="FC218" s="32"/>
      <c r="FD218" s="32"/>
      <c r="FE218" s="32"/>
      <c r="FF218" s="32"/>
      <c r="FG218" s="32"/>
      <c r="FH218" s="32"/>
      <c r="FI218" s="32"/>
      <c r="FJ218" s="32"/>
      <c r="FK218" s="32"/>
      <c r="FL218" s="32"/>
      <c r="FM218" s="32"/>
      <c r="FN218" s="32"/>
      <c r="FO218" s="32"/>
      <c r="FP218" s="32"/>
      <c r="FQ218" s="32"/>
      <c r="FR218" s="32"/>
      <c r="FS218" s="32"/>
      <c r="FT218" s="32"/>
      <c r="FU218" s="32"/>
      <c r="FV218" s="32"/>
      <c r="FW218" s="32"/>
      <c r="FX218" s="32"/>
      <c r="FY218" s="32"/>
      <c r="FZ218" s="32"/>
      <c r="GA218" s="32"/>
      <c r="GB218" s="32"/>
      <c r="GC218" s="32"/>
      <c r="GD218" s="32"/>
      <c r="GE218" s="32"/>
      <c r="GF218" s="32"/>
      <c r="GG218" s="32"/>
      <c r="GH218" s="32"/>
      <c r="GI218" s="32"/>
      <c r="GJ218" s="32"/>
      <c r="GK218" s="32"/>
      <c r="GL218" s="32"/>
      <c r="GM218" s="32"/>
      <c r="GN218" s="32"/>
      <c r="GO218" s="32"/>
      <c r="GP218" s="32"/>
      <c r="GQ218" s="32"/>
      <c r="GR218" s="32"/>
      <c r="GS218" s="32"/>
      <c r="GT218" s="32"/>
      <c r="GU218" s="32"/>
      <c r="GV218" s="32"/>
      <c r="GW218" s="32"/>
      <c r="GX218" s="32"/>
      <c r="GY218" s="32"/>
      <c r="GZ218" s="32"/>
      <c r="HA218" s="32"/>
      <c r="HB218" s="32"/>
      <c r="HC218" s="32"/>
      <c r="HD218" s="32"/>
      <c r="HE218" s="32"/>
      <c r="HF218" s="32"/>
      <c r="HG218" s="32"/>
      <c r="HH218" s="32"/>
      <c r="HI218" s="32"/>
      <c r="HJ218" s="32"/>
      <c r="HK218" s="32"/>
      <c r="HL218" s="32"/>
      <c r="HM218" s="32"/>
      <c r="HN218" s="32"/>
      <c r="HO218" s="32"/>
      <c r="HP218" s="32"/>
    </row>
    <row r="219" spans="1:224" x14ac:dyDescent="0.25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  <c r="EW219" s="32"/>
      <c r="EX219" s="32"/>
      <c r="EY219" s="32"/>
      <c r="EZ219" s="32"/>
      <c r="FA219" s="32"/>
      <c r="FB219" s="32"/>
      <c r="FC219" s="32"/>
      <c r="FD219" s="32"/>
      <c r="FE219" s="32"/>
      <c r="FF219" s="32"/>
      <c r="FG219" s="32"/>
      <c r="FH219" s="32"/>
      <c r="FI219" s="32"/>
      <c r="FJ219" s="32"/>
      <c r="FK219" s="32"/>
      <c r="FL219" s="32"/>
      <c r="FM219" s="32"/>
      <c r="FN219" s="32"/>
      <c r="FO219" s="32"/>
      <c r="FP219" s="32"/>
      <c r="FQ219" s="32"/>
      <c r="FR219" s="32"/>
      <c r="FS219" s="32"/>
      <c r="FT219" s="32"/>
      <c r="FU219" s="32"/>
      <c r="FV219" s="32"/>
      <c r="FW219" s="32"/>
      <c r="FX219" s="32"/>
      <c r="FY219" s="32"/>
      <c r="FZ219" s="32"/>
      <c r="GA219" s="32"/>
      <c r="GB219" s="32"/>
      <c r="GC219" s="32"/>
      <c r="GD219" s="32"/>
      <c r="GE219" s="32"/>
      <c r="GF219" s="32"/>
      <c r="GG219" s="32"/>
      <c r="GH219" s="32"/>
      <c r="GI219" s="32"/>
      <c r="GJ219" s="32"/>
      <c r="GK219" s="32"/>
      <c r="GL219" s="32"/>
      <c r="GM219" s="32"/>
      <c r="GN219" s="32"/>
      <c r="GO219" s="32"/>
      <c r="GP219" s="32"/>
      <c r="GQ219" s="32"/>
      <c r="GR219" s="32"/>
      <c r="GS219" s="32"/>
      <c r="GT219" s="32"/>
      <c r="GU219" s="32"/>
      <c r="GV219" s="32"/>
      <c r="GW219" s="32"/>
      <c r="GX219" s="32"/>
      <c r="GY219" s="32"/>
      <c r="GZ219" s="32"/>
      <c r="HA219" s="32"/>
      <c r="HB219" s="32"/>
      <c r="HC219" s="32"/>
      <c r="HD219" s="32"/>
      <c r="HE219" s="32"/>
      <c r="HF219" s="32"/>
      <c r="HG219" s="32"/>
      <c r="HH219" s="32"/>
      <c r="HI219" s="32"/>
      <c r="HJ219" s="32"/>
      <c r="HK219" s="32"/>
      <c r="HL219" s="32"/>
      <c r="HM219" s="32"/>
      <c r="HN219" s="32"/>
      <c r="HO219" s="32"/>
      <c r="HP219" s="32"/>
    </row>
    <row r="220" spans="1:224" x14ac:dyDescent="0.25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  <c r="EW220" s="32"/>
      <c r="EX220" s="32"/>
      <c r="EY220" s="32"/>
      <c r="EZ220" s="32"/>
      <c r="FA220" s="32"/>
      <c r="FB220" s="32"/>
      <c r="FC220" s="32"/>
      <c r="FD220" s="32"/>
      <c r="FE220" s="32"/>
      <c r="FF220" s="32"/>
      <c r="FG220" s="32"/>
      <c r="FH220" s="32"/>
      <c r="FI220" s="32"/>
      <c r="FJ220" s="32"/>
      <c r="FK220" s="32"/>
      <c r="FL220" s="32"/>
      <c r="FM220" s="32"/>
      <c r="FN220" s="32"/>
      <c r="FO220" s="32"/>
      <c r="FP220" s="32"/>
      <c r="FQ220" s="32"/>
      <c r="FR220" s="32"/>
      <c r="FS220" s="32"/>
      <c r="FT220" s="32"/>
      <c r="FU220" s="32"/>
      <c r="FV220" s="32"/>
      <c r="FW220" s="32"/>
      <c r="FX220" s="32"/>
      <c r="FY220" s="32"/>
      <c r="FZ220" s="32"/>
      <c r="GA220" s="32"/>
      <c r="GB220" s="32"/>
      <c r="GC220" s="32"/>
      <c r="GD220" s="32"/>
      <c r="GE220" s="32"/>
      <c r="GF220" s="32"/>
      <c r="GG220" s="32"/>
      <c r="GH220" s="32"/>
      <c r="GI220" s="32"/>
      <c r="GJ220" s="32"/>
      <c r="GK220" s="32"/>
      <c r="GL220" s="32"/>
      <c r="GM220" s="32"/>
      <c r="GN220" s="32"/>
      <c r="GO220" s="32"/>
      <c r="GP220" s="32"/>
      <c r="GQ220" s="32"/>
      <c r="GR220" s="32"/>
      <c r="GS220" s="32"/>
      <c r="GT220" s="32"/>
      <c r="GU220" s="32"/>
      <c r="GV220" s="32"/>
      <c r="GW220" s="32"/>
      <c r="GX220" s="32"/>
      <c r="GY220" s="32"/>
      <c r="GZ220" s="32"/>
      <c r="HA220" s="32"/>
      <c r="HB220" s="32"/>
      <c r="HC220" s="32"/>
      <c r="HD220" s="32"/>
      <c r="HE220" s="32"/>
      <c r="HF220" s="32"/>
      <c r="HG220" s="32"/>
      <c r="HH220" s="32"/>
      <c r="HI220" s="32"/>
      <c r="HJ220" s="32"/>
      <c r="HK220" s="32"/>
      <c r="HL220" s="32"/>
      <c r="HM220" s="32"/>
      <c r="HN220" s="32"/>
      <c r="HO220" s="32"/>
      <c r="HP220" s="32"/>
    </row>
    <row r="221" spans="1:224" x14ac:dyDescent="0.25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  <c r="EW221" s="32"/>
      <c r="EX221" s="32"/>
      <c r="EY221" s="32"/>
      <c r="EZ221" s="32"/>
      <c r="FA221" s="32"/>
      <c r="FB221" s="32"/>
      <c r="FC221" s="32"/>
      <c r="FD221" s="32"/>
      <c r="FE221" s="32"/>
      <c r="FF221" s="32"/>
      <c r="FG221" s="32"/>
      <c r="FH221" s="32"/>
      <c r="FI221" s="32"/>
      <c r="FJ221" s="32"/>
      <c r="FK221" s="32"/>
      <c r="FL221" s="32"/>
      <c r="FM221" s="32"/>
      <c r="FN221" s="32"/>
      <c r="FO221" s="32"/>
      <c r="FP221" s="32"/>
      <c r="FQ221" s="32"/>
      <c r="FR221" s="32"/>
      <c r="FS221" s="32"/>
      <c r="FT221" s="32"/>
      <c r="FU221" s="32"/>
      <c r="FV221" s="32"/>
      <c r="FW221" s="32"/>
      <c r="FX221" s="32"/>
      <c r="FY221" s="32"/>
      <c r="FZ221" s="32"/>
      <c r="GA221" s="32"/>
      <c r="GB221" s="32"/>
      <c r="GC221" s="32"/>
      <c r="GD221" s="32"/>
      <c r="GE221" s="32"/>
      <c r="GF221" s="32"/>
      <c r="GG221" s="32"/>
      <c r="GH221" s="32"/>
      <c r="GI221" s="32"/>
      <c r="GJ221" s="32"/>
      <c r="GK221" s="32"/>
      <c r="GL221" s="32"/>
      <c r="GM221" s="32"/>
      <c r="GN221" s="32"/>
      <c r="GO221" s="32"/>
      <c r="GP221" s="32"/>
      <c r="GQ221" s="32"/>
      <c r="GR221" s="32"/>
      <c r="GS221" s="32"/>
      <c r="GT221" s="32"/>
      <c r="GU221" s="32"/>
      <c r="GV221" s="32"/>
      <c r="GW221" s="32"/>
      <c r="GX221" s="32"/>
      <c r="GY221" s="32"/>
      <c r="GZ221" s="32"/>
      <c r="HA221" s="32"/>
      <c r="HB221" s="32"/>
      <c r="HC221" s="32"/>
      <c r="HD221" s="32"/>
      <c r="HE221" s="32"/>
      <c r="HF221" s="32"/>
      <c r="HG221" s="32"/>
      <c r="HH221" s="32"/>
      <c r="HI221" s="32"/>
      <c r="HJ221" s="32"/>
      <c r="HK221" s="32"/>
      <c r="HL221" s="32"/>
      <c r="HM221" s="32"/>
      <c r="HN221" s="32"/>
      <c r="HO221" s="32"/>
      <c r="HP221" s="32"/>
    </row>
    <row r="222" spans="1:224" x14ac:dyDescent="0.25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  <c r="EW222" s="32"/>
      <c r="EX222" s="32"/>
      <c r="EY222" s="32"/>
      <c r="EZ222" s="32"/>
      <c r="FA222" s="32"/>
      <c r="FB222" s="32"/>
      <c r="FC222" s="32"/>
      <c r="FD222" s="32"/>
      <c r="FE222" s="32"/>
      <c r="FF222" s="32"/>
      <c r="FG222" s="32"/>
      <c r="FH222" s="32"/>
      <c r="FI222" s="32"/>
      <c r="FJ222" s="32"/>
      <c r="FK222" s="32"/>
      <c r="FL222" s="32"/>
      <c r="FM222" s="32"/>
      <c r="FN222" s="32"/>
      <c r="FO222" s="32"/>
      <c r="FP222" s="32"/>
      <c r="FQ222" s="32"/>
      <c r="FR222" s="32"/>
      <c r="FS222" s="32"/>
      <c r="FT222" s="32"/>
      <c r="FU222" s="32"/>
      <c r="FV222" s="32"/>
      <c r="FW222" s="32"/>
      <c r="FX222" s="32"/>
      <c r="FY222" s="32"/>
      <c r="FZ222" s="32"/>
      <c r="GA222" s="32"/>
      <c r="GB222" s="32"/>
      <c r="GC222" s="32"/>
      <c r="GD222" s="32"/>
      <c r="GE222" s="32"/>
      <c r="GF222" s="32"/>
      <c r="GG222" s="32"/>
      <c r="GH222" s="32"/>
      <c r="GI222" s="32"/>
      <c r="GJ222" s="32"/>
      <c r="GK222" s="32"/>
      <c r="GL222" s="32"/>
      <c r="GM222" s="32"/>
      <c r="GN222" s="32"/>
      <c r="GO222" s="32"/>
      <c r="GP222" s="32"/>
      <c r="GQ222" s="32"/>
      <c r="GR222" s="32"/>
      <c r="GS222" s="32"/>
      <c r="GT222" s="32"/>
      <c r="GU222" s="32"/>
      <c r="GV222" s="32"/>
      <c r="GW222" s="32"/>
      <c r="GX222" s="32"/>
      <c r="GY222" s="32"/>
      <c r="GZ222" s="32"/>
      <c r="HA222" s="32"/>
      <c r="HB222" s="32"/>
      <c r="HC222" s="32"/>
      <c r="HD222" s="32"/>
      <c r="HE222" s="32"/>
      <c r="HF222" s="32"/>
      <c r="HG222" s="32"/>
      <c r="HH222" s="32"/>
      <c r="HI222" s="32"/>
      <c r="HJ222" s="32"/>
      <c r="HK222" s="32"/>
      <c r="HL222" s="32"/>
      <c r="HM222" s="32"/>
      <c r="HN222" s="32"/>
      <c r="HO222" s="32"/>
      <c r="HP222" s="32"/>
    </row>
    <row r="223" spans="1:224" x14ac:dyDescent="0.25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  <c r="EW223" s="32"/>
      <c r="EX223" s="32"/>
      <c r="EY223" s="32"/>
      <c r="EZ223" s="32"/>
      <c r="FA223" s="32"/>
      <c r="FB223" s="32"/>
      <c r="FC223" s="32"/>
      <c r="FD223" s="32"/>
      <c r="FE223" s="32"/>
      <c r="FF223" s="32"/>
      <c r="FG223" s="32"/>
      <c r="FH223" s="32"/>
      <c r="FI223" s="32"/>
      <c r="FJ223" s="32"/>
      <c r="FK223" s="32"/>
      <c r="FL223" s="32"/>
      <c r="FM223" s="32"/>
      <c r="FN223" s="32"/>
      <c r="FO223" s="32"/>
      <c r="FP223" s="32"/>
      <c r="FQ223" s="32"/>
      <c r="FR223" s="32"/>
      <c r="FS223" s="32"/>
      <c r="FT223" s="32"/>
      <c r="FU223" s="32"/>
      <c r="FV223" s="32"/>
      <c r="FW223" s="32"/>
      <c r="FX223" s="32"/>
      <c r="FY223" s="32"/>
      <c r="FZ223" s="32"/>
      <c r="GA223" s="32"/>
      <c r="GB223" s="32"/>
      <c r="GC223" s="32"/>
      <c r="GD223" s="32"/>
      <c r="GE223" s="32"/>
      <c r="GF223" s="32"/>
      <c r="GG223" s="32"/>
      <c r="GH223" s="32"/>
      <c r="GI223" s="32"/>
      <c r="GJ223" s="32"/>
      <c r="GK223" s="32"/>
      <c r="GL223" s="32"/>
      <c r="GM223" s="32"/>
      <c r="GN223" s="32"/>
      <c r="GO223" s="32"/>
      <c r="GP223" s="32"/>
      <c r="GQ223" s="32"/>
      <c r="GR223" s="32"/>
      <c r="GS223" s="32"/>
      <c r="GT223" s="32"/>
      <c r="GU223" s="32"/>
      <c r="GV223" s="32"/>
      <c r="GW223" s="32"/>
      <c r="GX223" s="32"/>
      <c r="GY223" s="32"/>
      <c r="GZ223" s="32"/>
      <c r="HA223" s="32"/>
      <c r="HB223" s="32"/>
      <c r="HC223" s="32"/>
      <c r="HD223" s="32"/>
      <c r="HE223" s="32"/>
      <c r="HF223" s="32"/>
      <c r="HG223" s="32"/>
      <c r="HH223" s="32"/>
      <c r="HI223" s="32"/>
      <c r="HJ223" s="32"/>
      <c r="HK223" s="32"/>
      <c r="HL223" s="32"/>
      <c r="HM223" s="32"/>
      <c r="HN223" s="32"/>
      <c r="HO223" s="32"/>
      <c r="HP223" s="32"/>
    </row>
    <row r="224" spans="1:224" x14ac:dyDescent="0.25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  <c r="EW224" s="32"/>
      <c r="EX224" s="32"/>
      <c r="EY224" s="32"/>
      <c r="EZ224" s="32"/>
      <c r="FA224" s="32"/>
      <c r="FB224" s="32"/>
      <c r="FC224" s="32"/>
      <c r="FD224" s="32"/>
      <c r="FE224" s="32"/>
      <c r="FF224" s="32"/>
      <c r="FG224" s="32"/>
      <c r="FH224" s="32"/>
      <c r="FI224" s="32"/>
      <c r="FJ224" s="32"/>
      <c r="FK224" s="32"/>
      <c r="FL224" s="32"/>
      <c r="FM224" s="32"/>
      <c r="FN224" s="32"/>
      <c r="FO224" s="32"/>
      <c r="FP224" s="32"/>
      <c r="FQ224" s="32"/>
      <c r="FR224" s="32"/>
      <c r="FS224" s="32"/>
      <c r="FT224" s="32"/>
      <c r="FU224" s="32"/>
      <c r="FV224" s="32"/>
      <c r="FW224" s="32"/>
      <c r="FX224" s="32"/>
      <c r="FY224" s="32"/>
      <c r="FZ224" s="32"/>
      <c r="GA224" s="32"/>
      <c r="GB224" s="32"/>
      <c r="GC224" s="32"/>
      <c r="GD224" s="32"/>
      <c r="GE224" s="32"/>
      <c r="GF224" s="32"/>
      <c r="GG224" s="32"/>
      <c r="GH224" s="32"/>
      <c r="GI224" s="32"/>
      <c r="GJ224" s="32"/>
      <c r="GK224" s="32"/>
      <c r="GL224" s="32"/>
      <c r="GM224" s="32"/>
      <c r="GN224" s="32"/>
      <c r="GO224" s="32"/>
      <c r="GP224" s="32"/>
      <c r="GQ224" s="32"/>
      <c r="GR224" s="32"/>
      <c r="GS224" s="32"/>
      <c r="GT224" s="32"/>
      <c r="GU224" s="32"/>
      <c r="GV224" s="32"/>
      <c r="GW224" s="32"/>
      <c r="GX224" s="32"/>
      <c r="GY224" s="32"/>
      <c r="GZ224" s="32"/>
      <c r="HA224" s="32"/>
      <c r="HB224" s="32"/>
      <c r="HC224" s="32"/>
      <c r="HD224" s="32"/>
      <c r="HE224" s="32"/>
      <c r="HF224" s="32"/>
      <c r="HG224" s="32"/>
      <c r="HH224" s="32"/>
      <c r="HI224" s="32"/>
      <c r="HJ224" s="32"/>
      <c r="HK224" s="32"/>
      <c r="HL224" s="32"/>
      <c r="HM224" s="32"/>
      <c r="HN224" s="32"/>
      <c r="HO224" s="32"/>
      <c r="HP224" s="32"/>
    </row>
    <row r="225" spans="1:224" x14ac:dyDescent="0.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  <c r="EW225" s="32"/>
      <c r="EX225" s="32"/>
      <c r="EY225" s="32"/>
      <c r="EZ225" s="32"/>
      <c r="FA225" s="32"/>
      <c r="FB225" s="32"/>
      <c r="FC225" s="32"/>
      <c r="FD225" s="32"/>
      <c r="FE225" s="32"/>
      <c r="FF225" s="32"/>
      <c r="FG225" s="32"/>
      <c r="FH225" s="32"/>
      <c r="FI225" s="32"/>
      <c r="FJ225" s="32"/>
      <c r="FK225" s="32"/>
      <c r="FL225" s="32"/>
      <c r="FM225" s="32"/>
      <c r="FN225" s="32"/>
      <c r="FO225" s="32"/>
      <c r="FP225" s="32"/>
      <c r="FQ225" s="32"/>
      <c r="FR225" s="32"/>
      <c r="FS225" s="32"/>
      <c r="FT225" s="32"/>
      <c r="FU225" s="32"/>
      <c r="FV225" s="32"/>
      <c r="FW225" s="32"/>
      <c r="FX225" s="32"/>
      <c r="FY225" s="32"/>
      <c r="FZ225" s="32"/>
      <c r="GA225" s="32"/>
      <c r="GB225" s="32"/>
      <c r="GC225" s="32"/>
      <c r="GD225" s="32"/>
      <c r="GE225" s="32"/>
      <c r="GF225" s="32"/>
      <c r="GG225" s="32"/>
      <c r="GH225" s="32"/>
      <c r="GI225" s="32"/>
      <c r="GJ225" s="32"/>
      <c r="GK225" s="32"/>
      <c r="GL225" s="32"/>
      <c r="GM225" s="32"/>
      <c r="GN225" s="32"/>
      <c r="GO225" s="32"/>
      <c r="GP225" s="32"/>
      <c r="GQ225" s="32"/>
      <c r="GR225" s="32"/>
      <c r="GS225" s="32"/>
      <c r="GT225" s="32"/>
      <c r="GU225" s="32"/>
      <c r="GV225" s="32"/>
      <c r="GW225" s="32"/>
      <c r="GX225" s="32"/>
      <c r="GY225" s="32"/>
      <c r="GZ225" s="32"/>
      <c r="HA225" s="32"/>
      <c r="HB225" s="32"/>
      <c r="HC225" s="32"/>
      <c r="HD225" s="32"/>
      <c r="HE225" s="32"/>
      <c r="HF225" s="32"/>
      <c r="HG225" s="32"/>
      <c r="HH225" s="32"/>
      <c r="HI225" s="32"/>
      <c r="HJ225" s="32"/>
      <c r="HK225" s="32"/>
      <c r="HL225" s="32"/>
      <c r="HM225" s="32"/>
      <c r="HN225" s="32"/>
      <c r="HO225" s="32"/>
      <c r="HP225" s="32"/>
    </row>
    <row r="226" spans="1:224" x14ac:dyDescent="0.25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  <c r="EW226" s="32"/>
      <c r="EX226" s="32"/>
      <c r="EY226" s="32"/>
      <c r="EZ226" s="32"/>
      <c r="FA226" s="32"/>
      <c r="FB226" s="32"/>
      <c r="FC226" s="32"/>
      <c r="FD226" s="32"/>
      <c r="FE226" s="32"/>
      <c r="FF226" s="32"/>
      <c r="FG226" s="32"/>
      <c r="FH226" s="32"/>
      <c r="FI226" s="32"/>
      <c r="FJ226" s="32"/>
      <c r="FK226" s="32"/>
      <c r="FL226" s="32"/>
      <c r="FM226" s="32"/>
      <c r="FN226" s="32"/>
      <c r="FO226" s="32"/>
      <c r="FP226" s="32"/>
      <c r="FQ226" s="32"/>
      <c r="FR226" s="32"/>
      <c r="FS226" s="32"/>
      <c r="FT226" s="32"/>
      <c r="FU226" s="32"/>
      <c r="FV226" s="32"/>
      <c r="FW226" s="32"/>
      <c r="FX226" s="32"/>
      <c r="FY226" s="32"/>
      <c r="FZ226" s="32"/>
      <c r="GA226" s="32"/>
      <c r="GB226" s="32"/>
      <c r="GC226" s="32"/>
      <c r="GD226" s="32"/>
      <c r="GE226" s="32"/>
      <c r="GF226" s="32"/>
      <c r="GG226" s="32"/>
      <c r="GH226" s="32"/>
      <c r="GI226" s="32"/>
      <c r="GJ226" s="32"/>
      <c r="GK226" s="32"/>
      <c r="GL226" s="32"/>
      <c r="GM226" s="32"/>
      <c r="GN226" s="32"/>
      <c r="GO226" s="32"/>
      <c r="GP226" s="32"/>
      <c r="GQ226" s="32"/>
      <c r="GR226" s="32"/>
      <c r="GS226" s="32"/>
      <c r="GT226" s="32"/>
      <c r="GU226" s="32"/>
      <c r="GV226" s="32"/>
      <c r="GW226" s="32"/>
      <c r="GX226" s="32"/>
      <c r="GY226" s="32"/>
      <c r="GZ226" s="32"/>
      <c r="HA226" s="32"/>
      <c r="HB226" s="32"/>
      <c r="HC226" s="32"/>
      <c r="HD226" s="32"/>
      <c r="HE226" s="32"/>
      <c r="HF226" s="32"/>
      <c r="HG226" s="32"/>
      <c r="HH226" s="32"/>
      <c r="HI226" s="32"/>
      <c r="HJ226" s="32"/>
      <c r="HK226" s="32"/>
      <c r="HL226" s="32"/>
      <c r="HM226" s="32"/>
      <c r="HN226" s="32"/>
      <c r="HO226" s="32"/>
      <c r="HP226" s="32"/>
    </row>
    <row r="227" spans="1:224" x14ac:dyDescent="0.25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  <c r="EW227" s="32"/>
      <c r="EX227" s="32"/>
      <c r="EY227" s="32"/>
      <c r="EZ227" s="32"/>
      <c r="FA227" s="32"/>
      <c r="FB227" s="32"/>
      <c r="FC227" s="32"/>
      <c r="FD227" s="32"/>
      <c r="FE227" s="32"/>
      <c r="FF227" s="32"/>
      <c r="FG227" s="32"/>
      <c r="FH227" s="32"/>
      <c r="FI227" s="32"/>
      <c r="FJ227" s="32"/>
      <c r="FK227" s="32"/>
      <c r="FL227" s="32"/>
      <c r="FM227" s="32"/>
      <c r="FN227" s="32"/>
      <c r="FO227" s="32"/>
      <c r="FP227" s="32"/>
      <c r="FQ227" s="32"/>
      <c r="FR227" s="32"/>
      <c r="FS227" s="32"/>
      <c r="FT227" s="32"/>
      <c r="FU227" s="32"/>
      <c r="FV227" s="32"/>
      <c r="FW227" s="32"/>
      <c r="FX227" s="32"/>
      <c r="FY227" s="32"/>
      <c r="FZ227" s="32"/>
      <c r="GA227" s="32"/>
      <c r="GB227" s="32"/>
      <c r="GC227" s="32"/>
      <c r="GD227" s="32"/>
      <c r="GE227" s="32"/>
      <c r="GF227" s="32"/>
      <c r="GG227" s="32"/>
      <c r="GH227" s="32"/>
      <c r="GI227" s="32"/>
      <c r="GJ227" s="32"/>
      <c r="GK227" s="32"/>
      <c r="GL227" s="32"/>
      <c r="GM227" s="32"/>
      <c r="GN227" s="32"/>
      <c r="GO227" s="32"/>
      <c r="GP227" s="32"/>
      <c r="GQ227" s="32"/>
      <c r="GR227" s="32"/>
      <c r="GS227" s="32"/>
      <c r="GT227" s="32"/>
      <c r="GU227" s="32"/>
      <c r="GV227" s="32"/>
      <c r="GW227" s="32"/>
      <c r="GX227" s="32"/>
      <c r="GY227" s="32"/>
      <c r="GZ227" s="32"/>
      <c r="HA227" s="32"/>
      <c r="HB227" s="32"/>
      <c r="HC227" s="32"/>
      <c r="HD227" s="32"/>
      <c r="HE227" s="32"/>
      <c r="HF227" s="32"/>
      <c r="HG227" s="32"/>
      <c r="HH227" s="32"/>
      <c r="HI227" s="32"/>
      <c r="HJ227" s="32"/>
      <c r="HK227" s="32"/>
      <c r="HL227" s="32"/>
      <c r="HM227" s="32"/>
      <c r="HN227" s="32"/>
      <c r="HO227" s="32"/>
      <c r="HP227" s="32"/>
    </row>
    <row r="228" spans="1:224" x14ac:dyDescent="0.25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  <c r="EW228" s="32"/>
      <c r="EX228" s="32"/>
      <c r="EY228" s="32"/>
      <c r="EZ228" s="32"/>
      <c r="FA228" s="32"/>
      <c r="FB228" s="32"/>
      <c r="FC228" s="32"/>
      <c r="FD228" s="32"/>
      <c r="FE228" s="32"/>
      <c r="FF228" s="32"/>
      <c r="FG228" s="32"/>
      <c r="FH228" s="32"/>
      <c r="FI228" s="32"/>
      <c r="FJ228" s="32"/>
      <c r="FK228" s="32"/>
      <c r="FL228" s="32"/>
      <c r="FM228" s="32"/>
      <c r="FN228" s="32"/>
      <c r="FO228" s="32"/>
      <c r="FP228" s="32"/>
      <c r="FQ228" s="32"/>
      <c r="FR228" s="32"/>
      <c r="FS228" s="32"/>
      <c r="FT228" s="32"/>
      <c r="FU228" s="32"/>
      <c r="FV228" s="32"/>
      <c r="FW228" s="32"/>
      <c r="FX228" s="32"/>
      <c r="FY228" s="32"/>
      <c r="FZ228" s="32"/>
      <c r="GA228" s="32"/>
      <c r="GB228" s="32"/>
      <c r="GC228" s="32"/>
      <c r="GD228" s="32"/>
      <c r="GE228" s="32"/>
      <c r="GF228" s="32"/>
      <c r="GG228" s="32"/>
      <c r="GH228" s="32"/>
      <c r="GI228" s="32"/>
      <c r="GJ228" s="32"/>
      <c r="GK228" s="32"/>
      <c r="GL228" s="32"/>
      <c r="GM228" s="32"/>
      <c r="GN228" s="32"/>
      <c r="GO228" s="32"/>
      <c r="GP228" s="32"/>
      <c r="GQ228" s="32"/>
      <c r="GR228" s="32"/>
      <c r="GS228" s="32"/>
      <c r="GT228" s="32"/>
      <c r="GU228" s="32"/>
      <c r="GV228" s="32"/>
      <c r="GW228" s="32"/>
      <c r="GX228" s="32"/>
      <c r="GY228" s="32"/>
      <c r="GZ228" s="32"/>
      <c r="HA228" s="32"/>
      <c r="HB228" s="32"/>
      <c r="HC228" s="32"/>
      <c r="HD228" s="32"/>
      <c r="HE228" s="32"/>
      <c r="HF228" s="32"/>
      <c r="HG228" s="32"/>
      <c r="HH228" s="32"/>
      <c r="HI228" s="32"/>
      <c r="HJ228" s="32"/>
      <c r="HK228" s="32"/>
      <c r="HL228" s="32"/>
      <c r="HM228" s="32"/>
      <c r="HN228" s="32"/>
      <c r="HO228" s="32"/>
      <c r="HP228" s="32"/>
    </row>
    <row r="229" spans="1:224" x14ac:dyDescent="0.25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  <c r="EW229" s="32"/>
      <c r="EX229" s="32"/>
      <c r="EY229" s="32"/>
      <c r="EZ229" s="32"/>
      <c r="FA229" s="32"/>
      <c r="FB229" s="32"/>
      <c r="FC229" s="32"/>
      <c r="FD229" s="32"/>
      <c r="FE229" s="32"/>
      <c r="FF229" s="32"/>
      <c r="FG229" s="32"/>
      <c r="FH229" s="32"/>
      <c r="FI229" s="32"/>
      <c r="FJ229" s="32"/>
      <c r="FK229" s="32"/>
      <c r="FL229" s="32"/>
      <c r="FM229" s="32"/>
      <c r="FN229" s="32"/>
      <c r="FO229" s="32"/>
      <c r="FP229" s="32"/>
      <c r="FQ229" s="32"/>
      <c r="FR229" s="32"/>
      <c r="FS229" s="32"/>
      <c r="FT229" s="32"/>
      <c r="FU229" s="32"/>
      <c r="FV229" s="32"/>
      <c r="FW229" s="32"/>
      <c r="FX229" s="32"/>
      <c r="FY229" s="32"/>
      <c r="FZ229" s="32"/>
      <c r="GA229" s="32"/>
      <c r="GB229" s="32"/>
      <c r="GC229" s="32"/>
      <c r="GD229" s="32"/>
      <c r="GE229" s="32"/>
      <c r="GF229" s="32"/>
      <c r="GG229" s="32"/>
      <c r="GH229" s="32"/>
      <c r="GI229" s="32"/>
      <c r="GJ229" s="32"/>
      <c r="GK229" s="32"/>
      <c r="GL229" s="32"/>
      <c r="GM229" s="32"/>
      <c r="GN229" s="32"/>
      <c r="GO229" s="32"/>
      <c r="GP229" s="32"/>
      <c r="GQ229" s="32"/>
      <c r="GR229" s="32"/>
      <c r="GS229" s="32"/>
      <c r="GT229" s="32"/>
      <c r="GU229" s="32"/>
      <c r="GV229" s="32"/>
      <c r="GW229" s="32"/>
      <c r="GX229" s="32"/>
      <c r="GY229" s="32"/>
      <c r="GZ229" s="32"/>
      <c r="HA229" s="32"/>
      <c r="HB229" s="32"/>
      <c r="HC229" s="32"/>
      <c r="HD229" s="32"/>
      <c r="HE229" s="32"/>
      <c r="HF229" s="32"/>
      <c r="HG229" s="32"/>
      <c r="HH229" s="32"/>
      <c r="HI229" s="32"/>
      <c r="HJ229" s="32"/>
      <c r="HK229" s="32"/>
      <c r="HL229" s="32"/>
      <c r="HM229" s="32"/>
      <c r="HN229" s="32"/>
      <c r="HO229" s="32"/>
      <c r="HP229" s="32"/>
    </row>
    <row r="230" spans="1:224" x14ac:dyDescent="0.25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  <c r="EW230" s="32"/>
      <c r="EX230" s="32"/>
      <c r="EY230" s="32"/>
      <c r="EZ230" s="32"/>
      <c r="FA230" s="32"/>
      <c r="FB230" s="32"/>
      <c r="FC230" s="32"/>
      <c r="FD230" s="32"/>
      <c r="FE230" s="32"/>
      <c r="FF230" s="32"/>
      <c r="FG230" s="32"/>
      <c r="FH230" s="32"/>
      <c r="FI230" s="32"/>
      <c r="FJ230" s="32"/>
      <c r="FK230" s="32"/>
      <c r="FL230" s="32"/>
      <c r="FM230" s="32"/>
      <c r="FN230" s="32"/>
      <c r="FO230" s="32"/>
      <c r="FP230" s="32"/>
      <c r="FQ230" s="32"/>
      <c r="FR230" s="32"/>
      <c r="FS230" s="32"/>
      <c r="FT230" s="32"/>
      <c r="FU230" s="32"/>
      <c r="FV230" s="32"/>
      <c r="FW230" s="32"/>
      <c r="FX230" s="32"/>
      <c r="FY230" s="32"/>
      <c r="FZ230" s="32"/>
      <c r="GA230" s="32"/>
      <c r="GB230" s="32"/>
      <c r="GC230" s="32"/>
      <c r="GD230" s="32"/>
      <c r="GE230" s="32"/>
      <c r="GF230" s="32"/>
      <c r="GG230" s="32"/>
      <c r="GH230" s="32"/>
      <c r="GI230" s="32"/>
      <c r="GJ230" s="32"/>
      <c r="GK230" s="32"/>
      <c r="GL230" s="32"/>
      <c r="GM230" s="32"/>
      <c r="GN230" s="32"/>
      <c r="GO230" s="32"/>
      <c r="GP230" s="32"/>
      <c r="GQ230" s="32"/>
      <c r="GR230" s="32"/>
      <c r="GS230" s="32"/>
      <c r="GT230" s="32"/>
      <c r="GU230" s="32"/>
      <c r="GV230" s="32"/>
      <c r="GW230" s="32"/>
      <c r="GX230" s="32"/>
      <c r="GY230" s="32"/>
      <c r="GZ230" s="32"/>
      <c r="HA230" s="32"/>
      <c r="HB230" s="32"/>
      <c r="HC230" s="32"/>
      <c r="HD230" s="32"/>
      <c r="HE230" s="32"/>
      <c r="HF230" s="32"/>
      <c r="HG230" s="32"/>
      <c r="HH230" s="32"/>
      <c r="HI230" s="32"/>
      <c r="HJ230" s="32"/>
      <c r="HK230" s="32"/>
      <c r="HL230" s="32"/>
      <c r="HM230" s="32"/>
      <c r="HN230" s="32"/>
      <c r="HO230" s="32"/>
      <c r="HP230" s="32"/>
    </row>
    <row r="231" spans="1:224" x14ac:dyDescent="0.25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  <c r="EW231" s="32"/>
      <c r="EX231" s="32"/>
      <c r="EY231" s="32"/>
      <c r="EZ231" s="32"/>
      <c r="FA231" s="32"/>
      <c r="FB231" s="32"/>
      <c r="FC231" s="32"/>
      <c r="FD231" s="32"/>
      <c r="FE231" s="32"/>
      <c r="FF231" s="32"/>
      <c r="FG231" s="32"/>
      <c r="FH231" s="32"/>
      <c r="FI231" s="32"/>
      <c r="FJ231" s="32"/>
      <c r="FK231" s="32"/>
      <c r="FL231" s="32"/>
      <c r="FM231" s="32"/>
      <c r="FN231" s="32"/>
      <c r="FO231" s="32"/>
      <c r="FP231" s="32"/>
      <c r="FQ231" s="32"/>
      <c r="FR231" s="32"/>
      <c r="FS231" s="32"/>
      <c r="FT231" s="32"/>
      <c r="FU231" s="32"/>
      <c r="FV231" s="32"/>
      <c r="FW231" s="32"/>
      <c r="FX231" s="32"/>
      <c r="FY231" s="32"/>
      <c r="FZ231" s="32"/>
      <c r="GA231" s="32"/>
      <c r="GB231" s="32"/>
      <c r="GC231" s="32"/>
      <c r="GD231" s="32"/>
      <c r="GE231" s="32"/>
      <c r="GF231" s="32"/>
      <c r="GG231" s="32"/>
      <c r="GH231" s="32"/>
      <c r="GI231" s="32"/>
      <c r="GJ231" s="32"/>
      <c r="GK231" s="32"/>
      <c r="GL231" s="32"/>
      <c r="GM231" s="32"/>
      <c r="GN231" s="32"/>
      <c r="GO231" s="32"/>
      <c r="GP231" s="32"/>
      <c r="GQ231" s="32"/>
      <c r="GR231" s="32"/>
      <c r="GS231" s="32"/>
      <c r="GT231" s="32"/>
      <c r="GU231" s="32"/>
      <c r="GV231" s="32"/>
      <c r="GW231" s="32"/>
      <c r="GX231" s="32"/>
      <c r="GY231" s="32"/>
      <c r="GZ231" s="32"/>
      <c r="HA231" s="32"/>
      <c r="HB231" s="32"/>
      <c r="HC231" s="32"/>
      <c r="HD231" s="32"/>
      <c r="HE231" s="32"/>
      <c r="HF231" s="32"/>
      <c r="HG231" s="32"/>
      <c r="HH231" s="32"/>
      <c r="HI231" s="32"/>
      <c r="HJ231" s="32"/>
      <c r="HK231" s="32"/>
      <c r="HL231" s="32"/>
      <c r="HM231" s="32"/>
      <c r="HN231" s="32"/>
      <c r="HO231" s="32"/>
      <c r="HP231" s="32"/>
    </row>
    <row r="232" spans="1:224" x14ac:dyDescent="0.25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  <c r="EW232" s="32"/>
      <c r="EX232" s="32"/>
      <c r="EY232" s="32"/>
      <c r="EZ232" s="32"/>
      <c r="FA232" s="32"/>
      <c r="FB232" s="32"/>
      <c r="FC232" s="32"/>
      <c r="FD232" s="32"/>
      <c r="FE232" s="32"/>
      <c r="FF232" s="32"/>
      <c r="FG232" s="32"/>
      <c r="FH232" s="32"/>
      <c r="FI232" s="32"/>
      <c r="FJ232" s="32"/>
      <c r="FK232" s="32"/>
      <c r="FL232" s="32"/>
      <c r="FM232" s="32"/>
      <c r="FN232" s="32"/>
      <c r="FO232" s="32"/>
      <c r="FP232" s="32"/>
      <c r="FQ232" s="32"/>
      <c r="FR232" s="32"/>
      <c r="FS232" s="32"/>
      <c r="FT232" s="32"/>
      <c r="FU232" s="32"/>
      <c r="FV232" s="32"/>
      <c r="FW232" s="32"/>
      <c r="FX232" s="32"/>
      <c r="FY232" s="32"/>
      <c r="FZ232" s="32"/>
      <c r="GA232" s="32"/>
      <c r="GB232" s="32"/>
      <c r="GC232" s="32"/>
      <c r="GD232" s="32"/>
      <c r="GE232" s="32"/>
      <c r="GF232" s="32"/>
      <c r="GG232" s="32"/>
      <c r="GH232" s="32"/>
      <c r="GI232" s="32"/>
      <c r="GJ232" s="32"/>
      <c r="GK232" s="32"/>
      <c r="GL232" s="32"/>
      <c r="GM232" s="32"/>
      <c r="GN232" s="32"/>
      <c r="GO232" s="32"/>
      <c r="GP232" s="32"/>
      <c r="GQ232" s="32"/>
      <c r="GR232" s="32"/>
      <c r="GS232" s="32"/>
      <c r="GT232" s="32"/>
      <c r="GU232" s="32"/>
      <c r="GV232" s="32"/>
      <c r="GW232" s="32"/>
      <c r="GX232" s="32"/>
      <c r="GY232" s="32"/>
      <c r="GZ232" s="32"/>
      <c r="HA232" s="32"/>
      <c r="HB232" s="32"/>
      <c r="HC232" s="32"/>
      <c r="HD232" s="32"/>
      <c r="HE232" s="32"/>
      <c r="HF232" s="32"/>
      <c r="HG232" s="32"/>
      <c r="HH232" s="32"/>
      <c r="HI232" s="32"/>
      <c r="HJ232" s="32"/>
      <c r="HK232" s="32"/>
      <c r="HL232" s="32"/>
      <c r="HM232" s="32"/>
      <c r="HN232" s="32"/>
      <c r="HO232" s="32"/>
      <c r="HP232" s="32"/>
    </row>
    <row r="233" spans="1:224" x14ac:dyDescent="0.25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  <c r="EW233" s="32"/>
      <c r="EX233" s="32"/>
      <c r="EY233" s="32"/>
      <c r="EZ233" s="32"/>
      <c r="FA233" s="32"/>
      <c r="FB233" s="32"/>
      <c r="FC233" s="32"/>
      <c r="FD233" s="32"/>
      <c r="FE233" s="32"/>
      <c r="FF233" s="32"/>
      <c r="FG233" s="32"/>
      <c r="FH233" s="32"/>
      <c r="FI233" s="32"/>
      <c r="FJ233" s="32"/>
      <c r="FK233" s="32"/>
      <c r="FL233" s="32"/>
      <c r="FM233" s="32"/>
      <c r="FN233" s="32"/>
      <c r="FO233" s="32"/>
      <c r="FP233" s="32"/>
      <c r="FQ233" s="32"/>
      <c r="FR233" s="32"/>
      <c r="FS233" s="32"/>
      <c r="FT233" s="32"/>
      <c r="FU233" s="32"/>
      <c r="FV233" s="32"/>
      <c r="FW233" s="32"/>
      <c r="FX233" s="32"/>
      <c r="FY233" s="32"/>
      <c r="FZ233" s="32"/>
      <c r="GA233" s="32"/>
      <c r="GB233" s="32"/>
      <c r="GC233" s="32"/>
      <c r="GD233" s="32"/>
      <c r="GE233" s="32"/>
      <c r="GF233" s="32"/>
      <c r="GG233" s="32"/>
      <c r="GH233" s="32"/>
      <c r="GI233" s="32"/>
      <c r="GJ233" s="32"/>
      <c r="GK233" s="32"/>
      <c r="GL233" s="32"/>
      <c r="GM233" s="32"/>
      <c r="GN233" s="32"/>
      <c r="GO233" s="32"/>
      <c r="GP233" s="32"/>
      <c r="GQ233" s="32"/>
      <c r="GR233" s="32"/>
      <c r="GS233" s="32"/>
      <c r="GT233" s="32"/>
      <c r="GU233" s="32"/>
      <c r="GV233" s="32"/>
      <c r="GW233" s="32"/>
      <c r="GX233" s="32"/>
      <c r="GY233" s="32"/>
      <c r="GZ233" s="32"/>
      <c r="HA233" s="32"/>
      <c r="HB233" s="32"/>
      <c r="HC233" s="32"/>
      <c r="HD233" s="32"/>
      <c r="HE233" s="32"/>
      <c r="HF233" s="32"/>
      <c r="HG233" s="32"/>
      <c r="HH233" s="32"/>
      <c r="HI233" s="32"/>
      <c r="HJ233" s="32"/>
      <c r="HK233" s="32"/>
      <c r="HL233" s="32"/>
      <c r="HM233" s="32"/>
      <c r="HN233" s="32"/>
      <c r="HO233" s="32"/>
      <c r="HP233" s="32"/>
    </row>
    <row r="234" spans="1:224" x14ac:dyDescent="0.25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  <c r="EW234" s="32"/>
      <c r="EX234" s="32"/>
      <c r="EY234" s="32"/>
      <c r="EZ234" s="32"/>
      <c r="FA234" s="32"/>
      <c r="FB234" s="32"/>
      <c r="FC234" s="32"/>
      <c r="FD234" s="32"/>
      <c r="FE234" s="32"/>
      <c r="FF234" s="32"/>
      <c r="FG234" s="32"/>
      <c r="FH234" s="32"/>
      <c r="FI234" s="32"/>
      <c r="FJ234" s="32"/>
      <c r="FK234" s="32"/>
      <c r="FL234" s="32"/>
      <c r="FM234" s="32"/>
      <c r="FN234" s="32"/>
      <c r="FO234" s="32"/>
      <c r="FP234" s="32"/>
      <c r="FQ234" s="32"/>
      <c r="FR234" s="32"/>
      <c r="FS234" s="32"/>
      <c r="FT234" s="32"/>
      <c r="FU234" s="32"/>
      <c r="FV234" s="32"/>
      <c r="FW234" s="32"/>
      <c r="FX234" s="32"/>
      <c r="FY234" s="32"/>
      <c r="FZ234" s="32"/>
      <c r="GA234" s="32"/>
      <c r="GB234" s="32"/>
      <c r="GC234" s="32"/>
      <c r="GD234" s="32"/>
      <c r="GE234" s="32"/>
      <c r="GF234" s="32"/>
      <c r="GG234" s="32"/>
      <c r="GH234" s="32"/>
      <c r="GI234" s="32"/>
      <c r="GJ234" s="32"/>
      <c r="GK234" s="32"/>
      <c r="GL234" s="32"/>
      <c r="GM234" s="32"/>
      <c r="GN234" s="32"/>
      <c r="GO234" s="32"/>
      <c r="GP234" s="32"/>
      <c r="GQ234" s="32"/>
      <c r="GR234" s="32"/>
      <c r="GS234" s="32"/>
      <c r="GT234" s="32"/>
      <c r="GU234" s="32"/>
      <c r="GV234" s="32"/>
      <c r="GW234" s="32"/>
      <c r="GX234" s="32"/>
      <c r="GY234" s="32"/>
      <c r="GZ234" s="32"/>
      <c r="HA234" s="32"/>
      <c r="HB234" s="32"/>
      <c r="HC234" s="32"/>
      <c r="HD234" s="32"/>
      <c r="HE234" s="32"/>
      <c r="HF234" s="32"/>
      <c r="HG234" s="32"/>
      <c r="HH234" s="32"/>
      <c r="HI234" s="32"/>
      <c r="HJ234" s="32"/>
      <c r="HK234" s="32"/>
      <c r="HL234" s="32"/>
      <c r="HM234" s="32"/>
      <c r="HN234" s="32"/>
      <c r="HO234" s="32"/>
      <c r="HP234" s="32"/>
    </row>
    <row r="235" spans="1:224" x14ac:dyDescent="0.2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  <c r="EW235" s="32"/>
      <c r="EX235" s="32"/>
      <c r="EY235" s="32"/>
      <c r="EZ235" s="32"/>
      <c r="FA235" s="32"/>
      <c r="FB235" s="32"/>
      <c r="FC235" s="32"/>
      <c r="FD235" s="32"/>
      <c r="FE235" s="32"/>
      <c r="FF235" s="32"/>
      <c r="FG235" s="32"/>
      <c r="FH235" s="32"/>
      <c r="FI235" s="32"/>
      <c r="FJ235" s="32"/>
      <c r="FK235" s="32"/>
      <c r="FL235" s="32"/>
      <c r="FM235" s="32"/>
      <c r="FN235" s="32"/>
      <c r="FO235" s="32"/>
      <c r="FP235" s="32"/>
      <c r="FQ235" s="32"/>
      <c r="FR235" s="32"/>
      <c r="FS235" s="32"/>
      <c r="FT235" s="32"/>
      <c r="FU235" s="32"/>
      <c r="FV235" s="32"/>
      <c r="FW235" s="32"/>
      <c r="FX235" s="32"/>
      <c r="FY235" s="32"/>
      <c r="FZ235" s="32"/>
      <c r="GA235" s="32"/>
      <c r="GB235" s="32"/>
      <c r="GC235" s="32"/>
      <c r="GD235" s="32"/>
      <c r="GE235" s="32"/>
      <c r="GF235" s="32"/>
      <c r="GG235" s="32"/>
      <c r="GH235" s="32"/>
      <c r="GI235" s="32"/>
      <c r="GJ235" s="32"/>
      <c r="GK235" s="32"/>
      <c r="GL235" s="32"/>
      <c r="GM235" s="32"/>
      <c r="GN235" s="32"/>
      <c r="GO235" s="32"/>
      <c r="GP235" s="32"/>
      <c r="GQ235" s="32"/>
      <c r="GR235" s="32"/>
      <c r="GS235" s="32"/>
      <c r="GT235" s="32"/>
      <c r="GU235" s="32"/>
      <c r="GV235" s="32"/>
      <c r="GW235" s="32"/>
      <c r="GX235" s="32"/>
      <c r="GY235" s="32"/>
      <c r="GZ235" s="32"/>
      <c r="HA235" s="32"/>
      <c r="HB235" s="32"/>
      <c r="HC235" s="32"/>
      <c r="HD235" s="32"/>
      <c r="HE235" s="32"/>
      <c r="HF235" s="32"/>
      <c r="HG235" s="32"/>
      <c r="HH235" s="32"/>
      <c r="HI235" s="32"/>
      <c r="HJ235" s="32"/>
      <c r="HK235" s="32"/>
      <c r="HL235" s="32"/>
      <c r="HM235" s="32"/>
      <c r="HN235" s="32"/>
      <c r="HO235" s="32"/>
      <c r="HP235" s="32"/>
    </row>
    <row r="236" spans="1:224" x14ac:dyDescent="0.25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  <c r="EW236" s="32"/>
      <c r="EX236" s="32"/>
      <c r="EY236" s="32"/>
      <c r="EZ236" s="32"/>
      <c r="FA236" s="32"/>
      <c r="FB236" s="32"/>
      <c r="FC236" s="32"/>
      <c r="FD236" s="32"/>
      <c r="FE236" s="32"/>
      <c r="FF236" s="32"/>
      <c r="FG236" s="32"/>
      <c r="FH236" s="32"/>
      <c r="FI236" s="32"/>
      <c r="FJ236" s="32"/>
      <c r="FK236" s="32"/>
      <c r="FL236" s="32"/>
      <c r="FM236" s="32"/>
      <c r="FN236" s="32"/>
      <c r="FO236" s="32"/>
      <c r="FP236" s="32"/>
      <c r="FQ236" s="32"/>
      <c r="FR236" s="32"/>
      <c r="FS236" s="32"/>
      <c r="FT236" s="32"/>
      <c r="FU236" s="32"/>
      <c r="FV236" s="32"/>
      <c r="FW236" s="32"/>
      <c r="FX236" s="32"/>
      <c r="FY236" s="32"/>
      <c r="FZ236" s="32"/>
      <c r="GA236" s="32"/>
      <c r="GB236" s="32"/>
      <c r="GC236" s="32"/>
      <c r="GD236" s="32"/>
      <c r="GE236" s="32"/>
      <c r="GF236" s="32"/>
      <c r="GG236" s="32"/>
      <c r="GH236" s="32"/>
      <c r="GI236" s="32"/>
      <c r="GJ236" s="32"/>
      <c r="GK236" s="32"/>
      <c r="GL236" s="32"/>
      <c r="GM236" s="32"/>
      <c r="GN236" s="32"/>
      <c r="GO236" s="32"/>
      <c r="GP236" s="32"/>
      <c r="GQ236" s="32"/>
      <c r="GR236" s="32"/>
      <c r="GS236" s="32"/>
      <c r="GT236" s="32"/>
      <c r="GU236" s="32"/>
      <c r="GV236" s="32"/>
      <c r="GW236" s="32"/>
      <c r="GX236" s="32"/>
      <c r="GY236" s="32"/>
      <c r="GZ236" s="32"/>
      <c r="HA236" s="32"/>
      <c r="HB236" s="32"/>
      <c r="HC236" s="32"/>
      <c r="HD236" s="32"/>
      <c r="HE236" s="32"/>
      <c r="HF236" s="32"/>
      <c r="HG236" s="32"/>
      <c r="HH236" s="32"/>
      <c r="HI236" s="32"/>
      <c r="HJ236" s="32"/>
      <c r="HK236" s="32"/>
      <c r="HL236" s="32"/>
      <c r="HM236" s="32"/>
      <c r="HN236" s="32"/>
      <c r="HO236" s="32"/>
      <c r="HP236" s="32"/>
    </row>
    <row r="237" spans="1:224" x14ac:dyDescent="0.25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  <c r="EW237" s="32"/>
      <c r="EX237" s="32"/>
      <c r="EY237" s="32"/>
      <c r="EZ237" s="32"/>
      <c r="FA237" s="32"/>
      <c r="FB237" s="32"/>
      <c r="FC237" s="32"/>
      <c r="FD237" s="32"/>
      <c r="FE237" s="32"/>
      <c r="FF237" s="32"/>
      <c r="FG237" s="32"/>
      <c r="FH237" s="32"/>
      <c r="FI237" s="32"/>
      <c r="FJ237" s="32"/>
      <c r="FK237" s="32"/>
      <c r="FL237" s="32"/>
      <c r="FM237" s="32"/>
      <c r="FN237" s="32"/>
      <c r="FO237" s="32"/>
      <c r="FP237" s="32"/>
      <c r="FQ237" s="32"/>
      <c r="FR237" s="32"/>
      <c r="FS237" s="32"/>
      <c r="FT237" s="32"/>
      <c r="FU237" s="32"/>
      <c r="FV237" s="32"/>
      <c r="FW237" s="32"/>
      <c r="FX237" s="32"/>
      <c r="FY237" s="32"/>
      <c r="FZ237" s="32"/>
      <c r="GA237" s="32"/>
      <c r="GB237" s="32"/>
      <c r="GC237" s="32"/>
      <c r="GD237" s="32"/>
      <c r="GE237" s="32"/>
      <c r="GF237" s="32"/>
      <c r="GG237" s="32"/>
      <c r="GH237" s="32"/>
      <c r="GI237" s="32"/>
      <c r="GJ237" s="32"/>
      <c r="GK237" s="32"/>
      <c r="GL237" s="32"/>
      <c r="GM237" s="32"/>
      <c r="GN237" s="32"/>
      <c r="GO237" s="32"/>
      <c r="GP237" s="32"/>
      <c r="GQ237" s="32"/>
      <c r="GR237" s="32"/>
      <c r="GS237" s="32"/>
      <c r="GT237" s="32"/>
      <c r="GU237" s="32"/>
      <c r="GV237" s="32"/>
      <c r="GW237" s="32"/>
      <c r="GX237" s="32"/>
      <c r="GY237" s="32"/>
      <c r="GZ237" s="32"/>
      <c r="HA237" s="32"/>
      <c r="HB237" s="32"/>
      <c r="HC237" s="32"/>
      <c r="HD237" s="32"/>
      <c r="HE237" s="32"/>
      <c r="HF237" s="32"/>
      <c r="HG237" s="32"/>
      <c r="HH237" s="32"/>
      <c r="HI237" s="32"/>
      <c r="HJ237" s="32"/>
      <c r="HK237" s="32"/>
      <c r="HL237" s="32"/>
      <c r="HM237" s="32"/>
      <c r="HN237" s="32"/>
      <c r="HO237" s="32"/>
      <c r="HP237" s="32"/>
    </row>
    <row r="238" spans="1:224" x14ac:dyDescent="0.25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  <c r="EW238" s="32"/>
      <c r="EX238" s="32"/>
      <c r="EY238" s="32"/>
      <c r="EZ238" s="32"/>
      <c r="FA238" s="32"/>
      <c r="FB238" s="32"/>
      <c r="FC238" s="32"/>
      <c r="FD238" s="32"/>
      <c r="FE238" s="32"/>
      <c r="FF238" s="32"/>
      <c r="FG238" s="32"/>
      <c r="FH238" s="32"/>
      <c r="FI238" s="32"/>
      <c r="FJ238" s="32"/>
      <c r="FK238" s="32"/>
      <c r="FL238" s="32"/>
      <c r="FM238" s="32"/>
      <c r="FN238" s="32"/>
      <c r="FO238" s="32"/>
      <c r="FP238" s="32"/>
      <c r="FQ238" s="32"/>
      <c r="FR238" s="32"/>
      <c r="FS238" s="32"/>
      <c r="FT238" s="32"/>
      <c r="FU238" s="32"/>
      <c r="FV238" s="32"/>
      <c r="FW238" s="32"/>
      <c r="FX238" s="32"/>
      <c r="FY238" s="32"/>
      <c r="FZ238" s="32"/>
      <c r="GA238" s="32"/>
      <c r="GB238" s="32"/>
      <c r="GC238" s="32"/>
      <c r="GD238" s="32"/>
      <c r="GE238" s="32"/>
      <c r="GF238" s="32"/>
      <c r="GG238" s="32"/>
      <c r="GH238" s="32"/>
      <c r="GI238" s="32"/>
      <c r="GJ238" s="32"/>
      <c r="GK238" s="32"/>
      <c r="GL238" s="32"/>
      <c r="GM238" s="32"/>
      <c r="GN238" s="32"/>
      <c r="GO238" s="32"/>
      <c r="GP238" s="32"/>
      <c r="GQ238" s="32"/>
      <c r="GR238" s="32"/>
      <c r="GS238" s="32"/>
      <c r="GT238" s="32"/>
      <c r="GU238" s="32"/>
      <c r="GV238" s="32"/>
      <c r="GW238" s="32"/>
      <c r="GX238" s="32"/>
      <c r="GY238" s="32"/>
      <c r="GZ238" s="32"/>
      <c r="HA238" s="32"/>
      <c r="HB238" s="32"/>
      <c r="HC238" s="32"/>
      <c r="HD238" s="32"/>
      <c r="HE238" s="32"/>
      <c r="HF238" s="32"/>
      <c r="HG238" s="32"/>
      <c r="HH238" s="32"/>
      <c r="HI238" s="32"/>
      <c r="HJ238" s="32"/>
      <c r="HK238" s="32"/>
      <c r="HL238" s="32"/>
      <c r="HM238" s="32"/>
      <c r="HN238" s="32"/>
      <c r="HO238" s="32"/>
      <c r="HP238" s="32"/>
    </row>
    <row r="239" spans="1:224" x14ac:dyDescent="0.25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  <c r="EW239" s="32"/>
      <c r="EX239" s="32"/>
      <c r="EY239" s="32"/>
      <c r="EZ239" s="32"/>
      <c r="FA239" s="32"/>
      <c r="FB239" s="32"/>
      <c r="FC239" s="32"/>
      <c r="FD239" s="32"/>
      <c r="FE239" s="32"/>
      <c r="FF239" s="32"/>
      <c r="FG239" s="32"/>
      <c r="FH239" s="32"/>
      <c r="FI239" s="32"/>
      <c r="FJ239" s="32"/>
      <c r="FK239" s="32"/>
      <c r="FL239" s="32"/>
      <c r="FM239" s="32"/>
      <c r="FN239" s="32"/>
      <c r="FO239" s="32"/>
      <c r="FP239" s="32"/>
      <c r="FQ239" s="32"/>
      <c r="FR239" s="32"/>
      <c r="FS239" s="32"/>
      <c r="FT239" s="32"/>
      <c r="FU239" s="32"/>
      <c r="FV239" s="32"/>
      <c r="FW239" s="32"/>
      <c r="FX239" s="32"/>
      <c r="FY239" s="32"/>
      <c r="FZ239" s="32"/>
      <c r="GA239" s="32"/>
      <c r="GB239" s="32"/>
      <c r="GC239" s="32"/>
      <c r="GD239" s="32"/>
      <c r="GE239" s="32"/>
      <c r="GF239" s="32"/>
      <c r="GG239" s="32"/>
      <c r="GH239" s="32"/>
      <c r="GI239" s="32"/>
      <c r="GJ239" s="32"/>
      <c r="GK239" s="32"/>
      <c r="GL239" s="32"/>
      <c r="GM239" s="32"/>
      <c r="GN239" s="32"/>
      <c r="GO239" s="32"/>
      <c r="GP239" s="32"/>
      <c r="GQ239" s="32"/>
      <c r="GR239" s="32"/>
      <c r="GS239" s="32"/>
      <c r="GT239" s="32"/>
      <c r="GU239" s="32"/>
      <c r="GV239" s="32"/>
      <c r="GW239" s="32"/>
      <c r="GX239" s="32"/>
      <c r="GY239" s="32"/>
      <c r="GZ239" s="32"/>
      <c r="HA239" s="32"/>
      <c r="HB239" s="32"/>
      <c r="HC239" s="32"/>
      <c r="HD239" s="32"/>
      <c r="HE239" s="32"/>
      <c r="HF239" s="32"/>
      <c r="HG239" s="32"/>
      <c r="HH239" s="32"/>
      <c r="HI239" s="32"/>
      <c r="HJ239" s="32"/>
      <c r="HK239" s="32"/>
      <c r="HL239" s="32"/>
      <c r="HM239" s="32"/>
      <c r="HN239" s="32"/>
      <c r="HO239" s="32"/>
      <c r="HP239" s="32"/>
    </row>
    <row r="240" spans="1:224" x14ac:dyDescent="0.25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  <c r="EW240" s="32"/>
      <c r="EX240" s="32"/>
      <c r="EY240" s="32"/>
      <c r="EZ240" s="32"/>
      <c r="FA240" s="32"/>
      <c r="FB240" s="32"/>
      <c r="FC240" s="32"/>
      <c r="FD240" s="32"/>
      <c r="FE240" s="32"/>
      <c r="FF240" s="32"/>
      <c r="FG240" s="32"/>
      <c r="FH240" s="32"/>
      <c r="FI240" s="32"/>
      <c r="FJ240" s="32"/>
      <c r="FK240" s="32"/>
      <c r="FL240" s="32"/>
      <c r="FM240" s="32"/>
      <c r="FN240" s="32"/>
      <c r="FO240" s="32"/>
      <c r="FP240" s="32"/>
      <c r="FQ240" s="32"/>
      <c r="FR240" s="32"/>
      <c r="FS240" s="32"/>
      <c r="FT240" s="32"/>
      <c r="FU240" s="32"/>
      <c r="FV240" s="32"/>
      <c r="FW240" s="32"/>
      <c r="FX240" s="32"/>
      <c r="FY240" s="32"/>
      <c r="FZ240" s="32"/>
      <c r="GA240" s="32"/>
      <c r="GB240" s="32"/>
      <c r="GC240" s="32"/>
      <c r="GD240" s="32"/>
      <c r="GE240" s="32"/>
      <c r="GF240" s="32"/>
      <c r="GG240" s="32"/>
      <c r="GH240" s="32"/>
      <c r="GI240" s="32"/>
      <c r="GJ240" s="32"/>
      <c r="GK240" s="32"/>
      <c r="GL240" s="32"/>
      <c r="GM240" s="32"/>
      <c r="GN240" s="32"/>
      <c r="GO240" s="32"/>
      <c r="GP240" s="32"/>
      <c r="GQ240" s="32"/>
      <c r="GR240" s="32"/>
      <c r="GS240" s="32"/>
      <c r="GT240" s="32"/>
      <c r="GU240" s="32"/>
      <c r="GV240" s="32"/>
      <c r="GW240" s="32"/>
      <c r="GX240" s="32"/>
      <c r="GY240" s="32"/>
      <c r="GZ240" s="32"/>
      <c r="HA240" s="32"/>
      <c r="HB240" s="32"/>
      <c r="HC240" s="32"/>
      <c r="HD240" s="32"/>
      <c r="HE240" s="32"/>
      <c r="HF240" s="32"/>
      <c r="HG240" s="32"/>
      <c r="HH240" s="32"/>
      <c r="HI240" s="32"/>
      <c r="HJ240" s="32"/>
      <c r="HK240" s="32"/>
      <c r="HL240" s="32"/>
      <c r="HM240" s="32"/>
      <c r="HN240" s="32"/>
      <c r="HO240" s="32"/>
      <c r="HP240" s="32"/>
    </row>
    <row r="241" spans="1:224" x14ac:dyDescent="0.25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  <c r="EW241" s="32"/>
      <c r="EX241" s="32"/>
      <c r="EY241" s="32"/>
      <c r="EZ241" s="32"/>
      <c r="FA241" s="32"/>
      <c r="FB241" s="32"/>
      <c r="FC241" s="32"/>
      <c r="FD241" s="32"/>
      <c r="FE241" s="32"/>
      <c r="FF241" s="32"/>
      <c r="FG241" s="32"/>
      <c r="FH241" s="32"/>
      <c r="FI241" s="32"/>
      <c r="FJ241" s="32"/>
      <c r="FK241" s="32"/>
      <c r="FL241" s="32"/>
      <c r="FM241" s="32"/>
      <c r="FN241" s="32"/>
      <c r="FO241" s="32"/>
      <c r="FP241" s="32"/>
      <c r="FQ241" s="32"/>
      <c r="FR241" s="32"/>
      <c r="FS241" s="32"/>
      <c r="FT241" s="32"/>
      <c r="FU241" s="32"/>
      <c r="FV241" s="32"/>
      <c r="FW241" s="32"/>
      <c r="FX241" s="32"/>
      <c r="FY241" s="32"/>
      <c r="FZ241" s="32"/>
      <c r="GA241" s="32"/>
      <c r="GB241" s="32"/>
      <c r="GC241" s="32"/>
      <c r="GD241" s="32"/>
      <c r="GE241" s="32"/>
      <c r="GF241" s="32"/>
      <c r="GG241" s="32"/>
      <c r="GH241" s="32"/>
      <c r="GI241" s="32"/>
      <c r="GJ241" s="32"/>
      <c r="GK241" s="32"/>
      <c r="GL241" s="32"/>
      <c r="GM241" s="32"/>
      <c r="GN241" s="32"/>
      <c r="GO241" s="32"/>
      <c r="GP241" s="32"/>
      <c r="GQ241" s="32"/>
      <c r="GR241" s="32"/>
      <c r="GS241" s="32"/>
      <c r="GT241" s="32"/>
      <c r="GU241" s="32"/>
      <c r="GV241" s="32"/>
      <c r="GW241" s="32"/>
      <c r="GX241" s="32"/>
      <c r="GY241" s="32"/>
      <c r="GZ241" s="32"/>
      <c r="HA241" s="32"/>
      <c r="HB241" s="32"/>
      <c r="HC241" s="32"/>
      <c r="HD241" s="32"/>
      <c r="HE241" s="32"/>
      <c r="HF241" s="32"/>
      <c r="HG241" s="32"/>
      <c r="HH241" s="32"/>
      <c r="HI241" s="32"/>
      <c r="HJ241" s="32"/>
      <c r="HK241" s="32"/>
      <c r="HL241" s="32"/>
      <c r="HM241" s="32"/>
      <c r="HN241" s="32"/>
      <c r="HO241" s="32"/>
      <c r="HP241" s="32"/>
    </row>
    <row r="242" spans="1:224" x14ac:dyDescent="0.25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  <c r="EW242" s="32"/>
      <c r="EX242" s="32"/>
      <c r="EY242" s="32"/>
      <c r="EZ242" s="32"/>
      <c r="FA242" s="32"/>
      <c r="FB242" s="32"/>
      <c r="FC242" s="32"/>
      <c r="FD242" s="32"/>
      <c r="FE242" s="32"/>
      <c r="FF242" s="32"/>
      <c r="FG242" s="32"/>
      <c r="FH242" s="32"/>
      <c r="FI242" s="32"/>
      <c r="FJ242" s="32"/>
      <c r="FK242" s="32"/>
      <c r="FL242" s="32"/>
      <c r="FM242" s="32"/>
      <c r="FN242" s="32"/>
      <c r="FO242" s="32"/>
      <c r="FP242" s="32"/>
      <c r="FQ242" s="32"/>
      <c r="FR242" s="32"/>
      <c r="FS242" s="32"/>
      <c r="FT242" s="32"/>
      <c r="FU242" s="32"/>
      <c r="FV242" s="32"/>
      <c r="FW242" s="32"/>
      <c r="FX242" s="32"/>
      <c r="FY242" s="32"/>
      <c r="FZ242" s="32"/>
      <c r="GA242" s="32"/>
      <c r="GB242" s="32"/>
      <c r="GC242" s="32"/>
      <c r="GD242" s="32"/>
      <c r="GE242" s="32"/>
      <c r="GF242" s="32"/>
      <c r="GG242" s="32"/>
      <c r="GH242" s="32"/>
      <c r="GI242" s="32"/>
      <c r="GJ242" s="32"/>
      <c r="GK242" s="32"/>
      <c r="GL242" s="32"/>
      <c r="GM242" s="32"/>
      <c r="GN242" s="32"/>
      <c r="GO242" s="32"/>
      <c r="GP242" s="32"/>
      <c r="GQ242" s="32"/>
      <c r="GR242" s="32"/>
      <c r="GS242" s="32"/>
      <c r="GT242" s="32"/>
      <c r="GU242" s="32"/>
      <c r="GV242" s="32"/>
      <c r="GW242" s="32"/>
      <c r="GX242" s="32"/>
      <c r="GY242" s="32"/>
      <c r="GZ242" s="32"/>
      <c r="HA242" s="32"/>
      <c r="HB242" s="32"/>
      <c r="HC242" s="32"/>
      <c r="HD242" s="32"/>
      <c r="HE242" s="32"/>
      <c r="HF242" s="32"/>
      <c r="HG242" s="32"/>
      <c r="HH242" s="32"/>
      <c r="HI242" s="32"/>
      <c r="HJ242" s="32"/>
      <c r="HK242" s="32"/>
      <c r="HL242" s="32"/>
      <c r="HM242" s="32"/>
      <c r="HN242" s="32"/>
      <c r="HO242" s="32"/>
      <c r="HP242" s="32"/>
    </row>
    <row r="243" spans="1:224" x14ac:dyDescent="0.25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  <c r="EW243" s="32"/>
      <c r="EX243" s="32"/>
      <c r="EY243" s="32"/>
      <c r="EZ243" s="32"/>
      <c r="FA243" s="32"/>
      <c r="FB243" s="32"/>
      <c r="FC243" s="32"/>
      <c r="FD243" s="32"/>
      <c r="FE243" s="32"/>
      <c r="FF243" s="32"/>
      <c r="FG243" s="32"/>
      <c r="FH243" s="32"/>
      <c r="FI243" s="32"/>
      <c r="FJ243" s="32"/>
      <c r="FK243" s="32"/>
      <c r="FL243" s="32"/>
      <c r="FM243" s="32"/>
      <c r="FN243" s="32"/>
      <c r="FO243" s="32"/>
      <c r="FP243" s="32"/>
      <c r="FQ243" s="32"/>
      <c r="FR243" s="32"/>
      <c r="FS243" s="32"/>
      <c r="FT243" s="32"/>
      <c r="FU243" s="32"/>
      <c r="FV243" s="32"/>
      <c r="FW243" s="32"/>
      <c r="FX243" s="32"/>
      <c r="FY243" s="32"/>
      <c r="FZ243" s="32"/>
      <c r="GA243" s="32"/>
      <c r="GB243" s="32"/>
      <c r="GC243" s="32"/>
      <c r="GD243" s="32"/>
      <c r="GE243" s="32"/>
      <c r="GF243" s="32"/>
      <c r="GG243" s="32"/>
      <c r="GH243" s="32"/>
      <c r="GI243" s="32"/>
      <c r="GJ243" s="32"/>
      <c r="GK243" s="32"/>
      <c r="GL243" s="32"/>
      <c r="GM243" s="32"/>
      <c r="GN243" s="32"/>
      <c r="GO243" s="32"/>
      <c r="GP243" s="32"/>
      <c r="GQ243" s="32"/>
      <c r="GR243" s="32"/>
      <c r="GS243" s="32"/>
      <c r="GT243" s="32"/>
      <c r="GU243" s="32"/>
      <c r="GV243" s="32"/>
      <c r="GW243" s="32"/>
      <c r="GX243" s="32"/>
      <c r="GY243" s="32"/>
      <c r="GZ243" s="32"/>
      <c r="HA243" s="32"/>
      <c r="HB243" s="32"/>
      <c r="HC243" s="32"/>
      <c r="HD243" s="32"/>
      <c r="HE243" s="32"/>
      <c r="HF243" s="32"/>
      <c r="HG243" s="32"/>
      <c r="HH243" s="32"/>
      <c r="HI243" s="32"/>
      <c r="HJ243" s="32"/>
      <c r="HK243" s="32"/>
      <c r="HL243" s="32"/>
      <c r="HM243" s="32"/>
      <c r="HN243" s="32"/>
      <c r="HO243" s="32"/>
      <c r="HP243" s="32"/>
    </row>
    <row r="244" spans="1:224" x14ac:dyDescent="0.25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  <c r="EW244" s="32"/>
      <c r="EX244" s="32"/>
      <c r="EY244" s="32"/>
      <c r="EZ244" s="32"/>
      <c r="FA244" s="32"/>
      <c r="FB244" s="32"/>
      <c r="FC244" s="32"/>
      <c r="FD244" s="32"/>
      <c r="FE244" s="32"/>
      <c r="FF244" s="32"/>
      <c r="FG244" s="32"/>
      <c r="FH244" s="32"/>
      <c r="FI244" s="32"/>
      <c r="FJ244" s="32"/>
      <c r="FK244" s="32"/>
      <c r="FL244" s="32"/>
      <c r="FM244" s="32"/>
      <c r="FN244" s="32"/>
      <c r="FO244" s="32"/>
      <c r="FP244" s="32"/>
      <c r="FQ244" s="32"/>
      <c r="FR244" s="32"/>
      <c r="FS244" s="32"/>
      <c r="FT244" s="32"/>
      <c r="FU244" s="32"/>
      <c r="FV244" s="32"/>
      <c r="FW244" s="32"/>
      <c r="FX244" s="32"/>
      <c r="FY244" s="32"/>
      <c r="FZ244" s="32"/>
      <c r="GA244" s="32"/>
      <c r="GB244" s="32"/>
      <c r="GC244" s="32"/>
      <c r="GD244" s="32"/>
      <c r="GE244" s="32"/>
      <c r="GF244" s="32"/>
      <c r="GG244" s="32"/>
      <c r="GH244" s="32"/>
      <c r="GI244" s="32"/>
      <c r="GJ244" s="32"/>
      <c r="GK244" s="32"/>
      <c r="GL244" s="32"/>
      <c r="GM244" s="32"/>
      <c r="GN244" s="32"/>
      <c r="GO244" s="32"/>
      <c r="GP244" s="32"/>
      <c r="GQ244" s="32"/>
      <c r="GR244" s="32"/>
      <c r="GS244" s="32"/>
      <c r="GT244" s="32"/>
      <c r="GU244" s="32"/>
      <c r="GV244" s="32"/>
      <c r="GW244" s="32"/>
      <c r="GX244" s="32"/>
      <c r="GY244" s="32"/>
      <c r="GZ244" s="32"/>
      <c r="HA244" s="32"/>
      <c r="HB244" s="32"/>
      <c r="HC244" s="32"/>
      <c r="HD244" s="32"/>
      <c r="HE244" s="32"/>
      <c r="HF244" s="32"/>
      <c r="HG244" s="32"/>
      <c r="HH244" s="32"/>
      <c r="HI244" s="32"/>
      <c r="HJ244" s="32"/>
      <c r="HK244" s="32"/>
      <c r="HL244" s="32"/>
      <c r="HM244" s="32"/>
      <c r="HN244" s="32"/>
      <c r="HO244" s="32"/>
      <c r="HP244" s="32"/>
    </row>
    <row r="245" spans="1:224" x14ac:dyDescent="0.2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  <c r="EW245" s="32"/>
      <c r="EX245" s="32"/>
      <c r="EY245" s="32"/>
      <c r="EZ245" s="32"/>
      <c r="FA245" s="32"/>
      <c r="FB245" s="32"/>
      <c r="FC245" s="32"/>
      <c r="FD245" s="32"/>
      <c r="FE245" s="32"/>
      <c r="FF245" s="32"/>
      <c r="FG245" s="32"/>
      <c r="FH245" s="32"/>
      <c r="FI245" s="32"/>
      <c r="FJ245" s="32"/>
      <c r="FK245" s="32"/>
      <c r="FL245" s="32"/>
      <c r="FM245" s="32"/>
      <c r="FN245" s="32"/>
      <c r="FO245" s="32"/>
      <c r="FP245" s="32"/>
      <c r="FQ245" s="32"/>
      <c r="FR245" s="32"/>
      <c r="FS245" s="32"/>
      <c r="FT245" s="32"/>
      <c r="FU245" s="32"/>
      <c r="FV245" s="32"/>
      <c r="FW245" s="32"/>
      <c r="FX245" s="32"/>
      <c r="FY245" s="32"/>
      <c r="FZ245" s="32"/>
      <c r="GA245" s="32"/>
      <c r="GB245" s="32"/>
      <c r="GC245" s="32"/>
      <c r="GD245" s="32"/>
      <c r="GE245" s="32"/>
      <c r="GF245" s="32"/>
      <c r="GG245" s="32"/>
      <c r="GH245" s="32"/>
      <c r="GI245" s="32"/>
      <c r="GJ245" s="32"/>
      <c r="GK245" s="32"/>
      <c r="GL245" s="32"/>
      <c r="GM245" s="32"/>
      <c r="GN245" s="32"/>
      <c r="GO245" s="32"/>
      <c r="GP245" s="32"/>
      <c r="GQ245" s="32"/>
      <c r="GR245" s="32"/>
      <c r="GS245" s="32"/>
      <c r="GT245" s="32"/>
      <c r="GU245" s="32"/>
      <c r="GV245" s="32"/>
      <c r="GW245" s="32"/>
      <c r="GX245" s="32"/>
      <c r="GY245" s="32"/>
      <c r="GZ245" s="32"/>
      <c r="HA245" s="32"/>
      <c r="HB245" s="32"/>
      <c r="HC245" s="32"/>
      <c r="HD245" s="32"/>
      <c r="HE245" s="32"/>
      <c r="HF245" s="32"/>
      <c r="HG245" s="32"/>
      <c r="HH245" s="32"/>
      <c r="HI245" s="32"/>
      <c r="HJ245" s="32"/>
      <c r="HK245" s="32"/>
      <c r="HL245" s="32"/>
      <c r="HM245" s="32"/>
      <c r="HN245" s="32"/>
      <c r="HO245" s="32"/>
      <c r="HP245" s="32"/>
    </row>
    <row r="246" spans="1:224" x14ac:dyDescent="0.25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  <c r="EW246" s="32"/>
      <c r="EX246" s="32"/>
      <c r="EY246" s="32"/>
      <c r="EZ246" s="32"/>
      <c r="FA246" s="32"/>
      <c r="FB246" s="32"/>
      <c r="FC246" s="32"/>
      <c r="FD246" s="32"/>
      <c r="FE246" s="32"/>
      <c r="FF246" s="32"/>
      <c r="FG246" s="32"/>
      <c r="FH246" s="32"/>
      <c r="FI246" s="32"/>
      <c r="FJ246" s="32"/>
      <c r="FK246" s="32"/>
      <c r="FL246" s="32"/>
      <c r="FM246" s="32"/>
      <c r="FN246" s="32"/>
      <c r="FO246" s="32"/>
      <c r="FP246" s="32"/>
      <c r="FQ246" s="32"/>
      <c r="FR246" s="32"/>
      <c r="FS246" s="32"/>
      <c r="FT246" s="32"/>
      <c r="FU246" s="32"/>
      <c r="FV246" s="32"/>
      <c r="FW246" s="32"/>
      <c r="FX246" s="32"/>
      <c r="FY246" s="32"/>
      <c r="FZ246" s="32"/>
      <c r="GA246" s="32"/>
      <c r="GB246" s="32"/>
      <c r="GC246" s="32"/>
      <c r="GD246" s="32"/>
      <c r="GE246" s="32"/>
      <c r="GF246" s="32"/>
      <c r="GG246" s="32"/>
      <c r="GH246" s="32"/>
      <c r="GI246" s="32"/>
      <c r="GJ246" s="32"/>
      <c r="GK246" s="32"/>
      <c r="GL246" s="32"/>
      <c r="GM246" s="32"/>
      <c r="GN246" s="32"/>
      <c r="GO246" s="32"/>
      <c r="GP246" s="32"/>
      <c r="GQ246" s="32"/>
      <c r="GR246" s="32"/>
      <c r="GS246" s="32"/>
      <c r="GT246" s="32"/>
      <c r="GU246" s="32"/>
      <c r="GV246" s="32"/>
      <c r="GW246" s="32"/>
      <c r="GX246" s="32"/>
      <c r="GY246" s="32"/>
      <c r="GZ246" s="32"/>
      <c r="HA246" s="32"/>
      <c r="HB246" s="32"/>
      <c r="HC246" s="32"/>
      <c r="HD246" s="32"/>
      <c r="HE246" s="32"/>
      <c r="HF246" s="32"/>
      <c r="HG246" s="32"/>
      <c r="HH246" s="32"/>
      <c r="HI246" s="32"/>
      <c r="HJ246" s="32"/>
      <c r="HK246" s="32"/>
      <c r="HL246" s="32"/>
      <c r="HM246" s="32"/>
      <c r="HN246" s="32"/>
      <c r="HO246" s="32"/>
      <c r="HP246" s="32"/>
    </row>
    <row r="247" spans="1:224" x14ac:dyDescent="0.25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  <c r="EW247" s="32"/>
      <c r="EX247" s="32"/>
      <c r="EY247" s="32"/>
      <c r="EZ247" s="32"/>
      <c r="FA247" s="32"/>
      <c r="FB247" s="32"/>
      <c r="FC247" s="32"/>
      <c r="FD247" s="32"/>
      <c r="FE247" s="32"/>
      <c r="FF247" s="32"/>
      <c r="FG247" s="32"/>
      <c r="FH247" s="32"/>
      <c r="FI247" s="32"/>
      <c r="FJ247" s="32"/>
      <c r="FK247" s="32"/>
      <c r="FL247" s="32"/>
      <c r="FM247" s="32"/>
      <c r="FN247" s="32"/>
      <c r="FO247" s="32"/>
      <c r="FP247" s="32"/>
      <c r="FQ247" s="32"/>
      <c r="FR247" s="32"/>
      <c r="FS247" s="32"/>
      <c r="FT247" s="32"/>
      <c r="FU247" s="32"/>
      <c r="FV247" s="32"/>
      <c r="FW247" s="32"/>
      <c r="FX247" s="32"/>
      <c r="FY247" s="32"/>
      <c r="FZ247" s="32"/>
      <c r="GA247" s="32"/>
      <c r="GB247" s="32"/>
      <c r="GC247" s="32"/>
      <c r="GD247" s="32"/>
      <c r="GE247" s="32"/>
      <c r="GF247" s="32"/>
      <c r="GG247" s="32"/>
      <c r="GH247" s="32"/>
      <c r="GI247" s="32"/>
      <c r="GJ247" s="32"/>
      <c r="GK247" s="32"/>
      <c r="GL247" s="32"/>
      <c r="GM247" s="32"/>
      <c r="GN247" s="32"/>
      <c r="GO247" s="32"/>
      <c r="GP247" s="32"/>
      <c r="GQ247" s="32"/>
      <c r="GR247" s="32"/>
      <c r="GS247" s="32"/>
      <c r="GT247" s="32"/>
      <c r="GU247" s="32"/>
      <c r="GV247" s="32"/>
      <c r="GW247" s="32"/>
      <c r="GX247" s="32"/>
      <c r="GY247" s="32"/>
      <c r="GZ247" s="32"/>
      <c r="HA247" s="32"/>
      <c r="HB247" s="32"/>
      <c r="HC247" s="32"/>
      <c r="HD247" s="32"/>
      <c r="HE247" s="32"/>
      <c r="HF247" s="32"/>
      <c r="HG247" s="32"/>
      <c r="HH247" s="32"/>
      <c r="HI247" s="32"/>
      <c r="HJ247" s="32"/>
      <c r="HK247" s="32"/>
      <c r="HL247" s="32"/>
      <c r="HM247" s="32"/>
      <c r="HN247" s="32"/>
      <c r="HO247" s="32"/>
      <c r="HP247" s="32"/>
    </row>
    <row r="248" spans="1:224" x14ac:dyDescent="0.25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  <c r="EW248" s="32"/>
      <c r="EX248" s="32"/>
      <c r="EY248" s="32"/>
      <c r="EZ248" s="32"/>
      <c r="FA248" s="32"/>
      <c r="FB248" s="32"/>
      <c r="FC248" s="32"/>
      <c r="FD248" s="32"/>
      <c r="FE248" s="32"/>
      <c r="FF248" s="32"/>
      <c r="FG248" s="32"/>
      <c r="FH248" s="32"/>
      <c r="FI248" s="32"/>
      <c r="FJ248" s="32"/>
      <c r="FK248" s="32"/>
      <c r="FL248" s="32"/>
      <c r="FM248" s="32"/>
      <c r="FN248" s="32"/>
      <c r="FO248" s="32"/>
      <c r="FP248" s="32"/>
      <c r="FQ248" s="32"/>
      <c r="FR248" s="32"/>
      <c r="FS248" s="32"/>
      <c r="FT248" s="32"/>
      <c r="FU248" s="32"/>
      <c r="FV248" s="32"/>
      <c r="FW248" s="32"/>
      <c r="FX248" s="32"/>
      <c r="FY248" s="32"/>
      <c r="FZ248" s="32"/>
      <c r="GA248" s="32"/>
      <c r="GB248" s="32"/>
      <c r="GC248" s="32"/>
      <c r="GD248" s="32"/>
      <c r="GE248" s="32"/>
      <c r="GF248" s="32"/>
      <c r="GG248" s="32"/>
      <c r="GH248" s="32"/>
      <c r="GI248" s="32"/>
      <c r="GJ248" s="32"/>
      <c r="GK248" s="32"/>
      <c r="GL248" s="32"/>
      <c r="GM248" s="32"/>
      <c r="GN248" s="32"/>
      <c r="GO248" s="32"/>
      <c r="GP248" s="32"/>
      <c r="GQ248" s="32"/>
      <c r="GR248" s="32"/>
      <c r="GS248" s="32"/>
      <c r="GT248" s="32"/>
      <c r="GU248" s="32"/>
      <c r="GV248" s="32"/>
      <c r="GW248" s="32"/>
      <c r="GX248" s="32"/>
      <c r="GY248" s="32"/>
      <c r="GZ248" s="32"/>
      <c r="HA248" s="32"/>
      <c r="HB248" s="32"/>
      <c r="HC248" s="32"/>
      <c r="HD248" s="32"/>
      <c r="HE248" s="32"/>
      <c r="HF248" s="32"/>
      <c r="HG248" s="32"/>
      <c r="HH248" s="32"/>
      <c r="HI248" s="32"/>
      <c r="HJ248" s="32"/>
      <c r="HK248" s="32"/>
      <c r="HL248" s="32"/>
      <c r="HM248" s="32"/>
      <c r="HN248" s="32"/>
      <c r="HO248" s="32"/>
      <c r="HP248" s="32"/>
    </row>
    <row r="249" spans="1:224" x14ac:dyDescent="0.25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  <c r="EW249" s="32"/>
      <c r="EX249" s="32"/>
      <c r="EY249" s="32"/>
      <c r="EZ249" s="32"/>
      <c r="FA249" s="32"/>
      <c r="FB249" s="32"/>
      <c r="FC249" s="32"/>
      <c r="FD249" s="32"/>
      <c r="FE249" s="32"/>
      <c r="FF249" s="32"/>
      <c r="FG249" s="32"/>
      <c r="FH249" s="32"/>
      <c r="FI249" s="32"/>
      <c r="FJ249" s="32"/>
      <c r="FK249" s="32"/>
      <c r="FL249" s="32"/>
      <c r="FM249" s="32"/>
      <c r="FN249" s="32"/>
      <c r="FO249" s="32"/>
      <c r="FP249" s="32"/>
      <c r="FQ249" s="32"/>
      <c r="FR249" s="32"/>
      <c r="FS249" s="32"/>
      <c r="FT249" s="32"/>
      <c r="FU249" s="32"/>
      <c r="FV249" s="32"/>
      <c r="FW249" s="32"/>
      <c r="FX249" s="32"/>
      <c r="FY249" s="32"/>
      <c r="FZ249" s="32"/>
      <c r="GA249" s="32"/>
      <c r="GB249" s="32"/>
      <c r="GC249" s="32"/>
      <c r="GD249" s="32"/>
      <c r="GE249" s="32"/>
      <c r="GF249" s="32"/>
      <c r="GG249" s="32"/>
      <c r="GH249" s="32"/>
      <c r="GI249" s="32"/>
      <c r="GJ249" s="32"/>
      <c r="GK249" s="32"/>
      <c r="GL249" s="32"/>
      <c r="GM249" s="32"/>
      <c r="GN249" s="32"/>
      <c r="GO249" s="32"/>
      <c r="GP249" s="32"/>
      <c r="GQ249" s="32"/>
      <c r="GR249" s="32"/>
      <c r="GS249" s="32"/>
      <c r="GT249" s="32"/>
      <c r="GU249" s="32"/>
      <c r="GV249" s="32"/>
      <c r="GW249" s="32"/>
      <c r="GX249" s="32"/>
      <c r="GY249" s="32"/>
      <c r="GZ249" s="32"/>
      <c r="HA249" s="32"/>
      <c r="HB249" s="32"/>
      <c r="HC249" s="32"/>
      <c r="HD249" s="32"/>
      <c r="HE249" s="32"/>
      <c r="HF249" s="32"/>
      <c r="HG249" s="32"/>
      <c r="HH249" s="32"/>
      <c r="HI249" s="32"/>
      <c r="HJ249" s="32"/>
      <c r="HK249" s="32"/>
      <c r="HL249" s="32"/>
      <c r="HM249" s="32"/>
      <c r="HN249" s="32"/>
      <c r="HO249" s="32"/>
      <c r="HP249" s="32"/>
    </row>
    <row r="250" spans="1:224" x14ac:dyDescent="0.25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  <c r="EW250" s="32"/>
      <c r="EX250" s="32"/>
      <c r="EY250" s="32"/>
      <c r="EZ250" s="32"/>
      <c r="FA250" s="32"/>
      <c r="FB250" s="32"/>
      <c r="FC250" s="32"/>
      <c r="FD250" s="32"/>
      <c r="FE250" s="32"/>
      <c r="FF250" s="32"/>
      <c r="FG250" s="32"/>
      <c r="FH250" s="32"/>
      <c r="FI250" s="32"/>
      <c r="FJ250" s="32"/>
      <c r="FK250" s="32"/>
      <c r="FL250" s="32"/>
      <c r="FM250" s="32"/>
      <c r="FN250" s="32"/>
      <c r="FO250" s="32"/>
      <c r="FP250" s="32"/>
      <c r="FQ250" s="32"/>
      <c r="FR250" s="32"/>
      <c r="FS250" s="32"/>
      <c r="FT250" s="32"/>
      <c r="FU250" s="32"/>
      <c r="FV250" s="32"/>
      <c r="FW250" s="32"/>
      <c r="FX250" s="32"/>
      <c r="FY250" s="32"/>
      <c r="FZ250" s="32"/>
      <c r="GA250" s="32"/>
      <c r="GB250" s="32"/>
      <c r="GC250" s="32"/>
      <c r="GD250" s="32"/>
      <c r="GE250" s="32"/>
      <c r="GF250" s="32"/>
      <c r="GG250" s="32"/>
      <c r="GH250" s="32"/>
      <c r="GI250" s="32"/>
      <c r="GJ250" s="32"/>
      <c r="GK250" s="32"/>
      <c r="GL250" s="32"/>
      <c r="GM250" s="32"/>
      <c r="GN250" s="32"/>
      <c r="GO250" s="32"/>
      <c r="GP250" s="32"/>
      <c r="GQ250" s="32"/>
      <c r="GR250" s="32"/>
      <c r="GS250" s="32"/>
      <c r="GT250" s="32"/>
      <c r="GU250" s="32"/>
      <c r="GV250" s="32"/>
      <c r="GW250" s="32"/>
      <c r="GX250" s="32"/>
      <c r="GY250" s="32"/>
      <c r="GZ250" s="32"/>
      <c r="HA250" s="32"/>
      <c r="HB250" s="32"/>
      <c r="HC250" s="32"/>
      <c r="HD250" s="32"/>
      <c r="HE250" s="32"/>
      <c r="HF250" s="32"/>
      <c r="HG250" s="32"/>
      <c r="HH250" s="32"/>
      <c r="HI250" s="32"/>
      <c r="HJ250" s="32"/>
      <c r="HK250" s="32"/>
      <c r="HL250" s="32"/>
      <c r="HM250" s="32"/>
      <c r="HN250" s="32"/>
      <c r="HO250" s="32"/>
      <c r="HP250" s="32"/>
    </row>
    <row r="251" spans="1:224" x14ac:dyDescent="0.25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  <c r="EW251" s="32"/>
      <c r="EX251" s="32"/>
      <c r="EY251" s="32"/>
      <c r="EZ251" s="32"/>
      <c r="FA251" s="32"/>
      <c r="FB251" s="32"/>
      <c r="FC251" s="32"/>
      <c r="FD251" s="32"/>
      <c r="FE251" s="32"/>
      <c r="FF251" s="32"/>
      <c r="FG251" s="32"/>
      <c r="FH251" s="32"/>
      <c r="FI251" s="32"/>
      <c r="FJ251" s="32"/>
      <c r="FK251" s="32"/>
      <c r="FL251" s="32"/>
      <c r="FM251" s="32"/>
      <c r="FN251" s="32"/>
      <c r="FO251" s="32"/>
      <c r="FP251" s="32"/>
      <c r="FQ251" s="32"/>
      <c r="FR251" s="32"/>
      <c r="FS251" s="32"/>
      <c r="FT251" s="32"/>
      <c r="FU251" s="32"/>
      <c r="FV251" s="32"/>
      <c r="FW251" s="32"/>
      <c r="FX251" s="32"/>
      <c r="FY251" s="32"/>
      <c r="FZ251" s="32"/>
      <c r="GA251" s="32"/>
      <c r="GB251" s="32"/>
      <c r="GC251" s="32"/>
      <c r="GD251" s="32"/>
      <c r="GE251" s="32"/>
      <c r="GF251" s="32"/>
      <c r="GG251" s="32"/>
      <c r="GH251" s="32"/>
      <c r="GI251" s="32"/>
      <c r="GJ251" s="32"/>
      <c r="GK251" s="32"/>
      <c r="GL251" s="32"/>
      <c r="GM251" s="32"/>
      <c r="GN251" s="32"/>
      <c r="GO251" s="32"/>
      <c r="GP251" s="32"/>
      <c r="GQ251" s="32"/>
      <c r="GR251" s="32"/>
      <c r="GS251" s="32"/>
      <c r="GT251" s="32"/>
      <c r="GU251" s="32"/>
      <c r="GV251" s="32"/>
      <c r="GW251" s="32"/>
      <c r="GX251" s="32"/>
      <c r="GY251" s="32"/>
      <c r="GZ251" s="32"/>
      <c r="HA251" s="32"/>
      <c r="HB251" s="32"/>
      <c r="HC251" s="32"/>
      <c r="HD251" s="32"/>
      <c r="HE251" s="32"/>
      <c r="HF251" s="32"/>
      <c r="HG251" s="32"/>
      <c r="HH251" s="32"/>
      <c r="HI251" s="32"/>
      <c r="HJ251" s="32"/>
      <c r="HK251" s="32"/>
      <c r="HL251" s="32"/>
      <c r="HM251" s="32"/>
      <c r="HN251" s="32"/>
      <c r="HO251" s="32"/>
      <c r="HP251" s="32"/>
    </row>
    <row r="252" spans="1:224" x14ac:dyDescent="0.25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  <c r="EW252" s="32"/>
      <c r="EX252" s="32"/>
      <c r="EY252" s="32"/>
      <c r="EZ252" s="32"/>
      <c r="FA252" s="32"/>
      <c r="FB252" s="32"/>
      <c r="FC252" s="32"/>
      <c r="FD252" s="32"/>
      <c r="FE252" s="32"/>
      <c r="FF252" s="32"/>
      <c r="FG252" s="32"/>
      <c r="FH252" s="32"/>
      <c r="FI252" s="32"/>
      <c r="FJ252" s="32"/>
      <c r="FK252" s="32"/>
      <c r="FL252" s="32"/>
      <c r="FM252" s="32"/>
      <c r="FN252" s="32"/>
      <c r="FO252" s="32"/>
      <c r="FP252" s="32"/>
      <c r="FQ252" s="32"/>
      <c r="FR252" s="32"/>
      <c r="FS252" s="32"/>
      <c r="FT252" s="32"/>
      <c r="FU252" s="32"/>
      <c r="FV252" s="32"/>
      <c r="FW252" s="32"/>
      <c r="FX252" s="32"/>
      <c r="FY252" s="32"/>
      <c r="FZ252" s="32"/>
      <c r="GA252" s="32"/>
      <c r="GB252" s="32"/>
      <c r="GC252" s="32"/>
      <c r="GD252" s="32"/>
      <c r="GE252" s="32"/>
      <c r="GF252" s="32"/>
      <c r="GG252" s="32"/>
      <c r="GH252" s="32"/>
      <c r="GI252" s="32"/>
      <c r="GJ252" s="32"/>
      <c r="GK252" s="32"/>
      <c r="GL252" s="32"/>
      <c r="GM252" s="32"/>
      <c r="GN252" s="32"/>
      <c r="GO252" s="32"/>
      <c r="GP252" s="32"/>
      <c r="GQ252" s="32"/>
      <c r="GR252" s="32"/>
      <c r="GS252" s="32"/>
      <c r="GT252" s="32"/>
      <c r="GU252" s="32"/>
      <c r="GV252" s="32"/>
      <c r="GW252" s="32"/>
      <c r="GX252" s="32"/>
      <c r="GY252" s="32"/>
      <c r="GZ252" s="32"/>
      <c r="HA252" s="32"/>
      <c r="HB252" s="32"/>
      <c r="HC252" s="32"/>
      <c r="HD252" s="32"/>
      <c r="HE252" s="32"/>
      <c r="HF252" s="32"/>
      <c r="HG252" s="32"/>
      <c r="HH252" s="32"/>
      <c r="HI252" s="32"/>
      <c r="HJ252" s="32"/>
      <c r="HK252" s="32"/>
      <c r="HL252" s="32"/>
      <c r="HM252" s="32"/>
      <c r="HN252" s="32"/>
      <c r="HO252" s="32"/>
      <c r="HP252" s="32"/>
    </row>
    <row r="253" spans="1:224" x14ac:dyDescent="0.25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  <c r="EW253" s="32"/>
      <c r="EX253" s="32"/>
      <c r="EY253" s="32"/>
      <c r="EZ253" s="32"/>
      <c r="FA253" s="32"/>
      <c r="FB253" s="32"/>
      <c r="FC253" s="32"/>
      <c r="FD253" s="32"/>
      <c r="FE253" s="32"/>
      <c r="FF253" s="32"/>
      <c r="FG253" s="32"/>
      <c r="FH253" s="32"/>
      <c r="FI253" s="32"/>
      <c r="FJ253" s="32"/>
      <c r="FK253" s="32"/>
      <c r="FL253" s="32"/>
      <c r="FM253" s="32"/>
      <c r="FN253" s="32"/>
      <c r="FO253" s="32"/>
      <c r="FP253" s="32"/>
      <c r="FQ253" s="32"/>
      <c r="FR253" s="32"/>
      <c r="FS253" s="32"/>
      <c r="FT253" s="32"/>
      <c r="FU253" s="32"/>
      <c r="FV253" s="32"/>
      <c r="FW253" s="32"/>
      <c r="FX253" s="32"/>
      <c r="FY253" s="32"/>
      <c r="FZ253" s="32"/>
      <c r="GA253" s="32"/>
      <c r="GB253" s="32"/>
      <c r="GC253" s="32"/>
      <c r="GD253" s="32"/>
      <c r="GE253" s="32"/>
      <c r="GF253" s="32"/>
      <c r="GG253" s="32"/>
      <c r="GH253" s="32"/>
      <c r="GI253" s="32"/>
      <c r="GJ253" s="32"/>
      <c r="GK253" s="32"/>
      <c r="GL253" s="32"/>
      <c r="GM253" s="32"/>
      <c r="GN253" s="32"/>
      <c r="GO253" s="32"/>
      <c r="GP253" s="32"/>
      <c r="GQ253" s="32"/>
      <c r="GR253" s="32"/>
      <c r="GS253" s="32"/>
      <c r="GT253" s="32"/>
      <c r="GU253" s="32"/>
      <c r="GV253" s="32"/>
      <c r="GW253" s="32"/>
      <c r="GX253" s="32"/>
      <c r="GY253" s="32"/>
      <c r="GZ253" s="32"/>
      <c r="HA253" s="32"/>
      <c r="HB253" s="32"/>
      <c r="HC253" s="32"/>
      <c r="HD253" s="32"/>
      <c r="HE253" s="32"/>
      <c r="HF253" s="32"/>
      <c r="HG253" s="32"/>
      <c r="HH253" s="32"/>
      <c r="HI253" s="32"/>
      <c r="HJ253" s="32"/>
      <c r="HK253" s="32"/>
      <c r="HL253" s="32"/>
      <c r="HM253" s="32"/>
      <c r="HN253" s="32"/>
      <c r="HO253" s="32"/>
      <c r="HP253" s="32"/>
    </row>
    <row r="254" spans="1:224" x14ac:dyDescent="0.25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2"/>
      <c r="BY254" s="32"/>
      <c r="BZ254" s="32"/>
      <c r="CA254" s="32"/>
      <c r="CB254" s="32"/>
      <c r="CC254" s="32"/>
      <c r="CD254" s="32"/>
      <c r="CE254" s="32"/>
      <c r="CF254" s="32"/>
      <c r="CG254" s="32"/>
      <c r="CH254" s="32"/>
      <c r="CI254" s="32"/>
      <c r="CJ254" s="32"/>
      <c r="CK254" s="32"/>
      <c r="CL254" s="32"/>
      <c r="CM254" s="32"/>
      <c r="CN254" s="32"/>
      <c r="CO254" s="32"/>
      <c r="CP254" s="32"/>
      <c r="CQ254" s="32"/>
      <c r="CR254" s="32"/>
      <c r="CS254" s="32"/>
      <c r="CT254" s="32"/>
      <c r="CU254" s="32"/>
      <c r="CV254" s="32"/>
      <c r="CW254" s="32"/>
      <c r="CX254" s="32"/>
      <c r="CY254" s="32"/>
      <c r="CZ254" s="32"/>
      <c r="DA254" s="32"/>
      <c r="DB254" s="32"/>
      <c r="DC254" s="32"/>
      <c r="DD254" s="32"/>
      <c r="DE254" s="32"/>
      <c r="DF254" s="32"/>
      <c r="DG254" s="32"/>
      <c r="DH254" s="32"/>
      <c r="DI254" s="32"/>
      <c r="DJ254" s="32"/>
      <c r="DK254" s="32"/>
      <c r="DL254" s="32"/>
      <c r="DM254" s="32"/>
      <c r="DN254" s="32"/>
      <c r="DO254" s="32"/>
      <c r="DP254" s="32"/>
      <c r="DQ254" s="32"/>
      <c r="DR254" s="32"/>
      <c r="DS254" s="32"/>
      <c r="DT254" s="32"/>
      <c r="DU254" s="32"/>
      <c r="DV254" s="32"/>
      <c r="DW254" s="32"/>
      <c r="DX254" s="32"/>
      <c r="DY254" s="32"/>
      <c r="DZ254" s="32"/>
      <c r="EA254" s="32"/>
      <c r="EB254" s="32"/>
      <c r="EC254" s="32"/>
      <c r="ED254" s="32"/>
      <c r="EE254" s="32"/>
      <c r="EF254" s="32"/>
      <c r="EG254" s="32"/>
      <c r="EH254" s="32"/>
      <c r="EI254" s="32"/>
      <c r="EJ254" s="32"/>
      <c r="EK254" s="32"/>
      <c r="EL254" s="32"/>
      <c r="EM254" s="32"/>
      <c r="EN254" s="32"/>
      <c r="EO254" s="32"/>
      <c r="EP254" s="32"/>
      <c r="EQ254" s="32"/>
      <c r="ER254" s="32"/>
      <c r="ES254" s="32"/>
      <c r="ET254" s="32"/>
      <c r="EU254" s="32"/>
      <c r="EV254" s="32"/>
      <c r="EW254" s="32"/>
      <c r="EX254" s="32"/>
      <c r="EY254" s="32"/>
      <c r="EZ254" s="32"/>
      <c r="FA254" s="32"/>
      <c r="FB254" s="32"/>
      <c r="FC254" s="32"/>
      <c r="FD254" s="32"/>
      <c r="FE254" s="32"/>
      <c r="FF254" s="32"/>
      <c r="FG254" s="32"/>
      <c r="FH254" s="32"/>
      <c r="FI254" s="32"/>
      <c r="FJ254" s="32"/>
      <c r="FK254" s="32"/>
      <c r="FL254" s="32"/>
      <c r="FM254" s="32"/>
      <c r="FN254" s="32"/>
      <c r="FO254" s="32"/>
      <c r="FP254" s="32"/>
      <c r="FQ254" s="32"/>
      <c r="FR254" s="32"/>
      <c r="FS254" s="32"/>
      <c r="FT254" s="32"/>
      <c r="FU254" s="32"/>
      <c r="FV254" s="32"/>
      <c r="FW254" s="32"/>
      <c r="FX254" s="32"/>
      <c r="FY254" s="32"/>
      <c r="FZ254" s="32"/>
      <c r="GA254" s="32"/>
      <c r="GB254" s="32"/>
      <c r="GC254" s="32"/>
      <c r="GD254" s="32"/>
      <c r="GE254" s="32"/>
      <c r="GF254" s="32"/>
      <c r="GG254" s="32"/>
      <c r="GH254" s="32"/>
      <c r="GI254" s="32"/>
      <c r="GJ254" s="32"/>
      <c r="GK254" s="32"/>
      <c r="GL254" s="32"/>
      <c r="GM254" s="32"/>
      <c r="GN254" s="32"/>
      <c r="GO254" s="32"/>
      <c r="GP254" s="32"/>
      <c r="GQ254" s="32"/>
      <c r="GR254" s="32"/>
      <c r="GS254" s="32"/>
      <c r="GT254" s="32"/>
      <c r="GU254" s="32"/>
      <c r="GV254" s="32"/>
      <c r="GW254" s="32"/>
      <c r="GX254" s="32"/>
      <c r="GY254" s="32"/>
      <c r="GZ254" s="32"/>
      <c r="HA254" s="32"/>
      <c r="HB254" s="32"/>
      <c r="HC254" s="32"/>
      <c r="HD254" s="32"/>
      <c r="HE254" s="32"/>
      <c r="HF254" s="32"/>
      <c r="HG254" s="32"/>
      <c r="HH254" s="32"/>
      <c r="HI254" s="32"/>
      <c r="HJ254" s="32"/>
      <c r="HK254" s="32"/>
      <c r="HL254" s="32"/>
      <c r="HM254" s="32"/>
      <c r="HN254" s="32"/>
      <c r="HO254" s="32"/>
      <c r="HP254" s="32"/>
    </row>
    <row r="255" spans="1:224" x14ac:dyDescent="0.2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  <c r="BP255" s="32"/>
      <c r="BQ255" s="32"/>
      <c r="BR255" s="32"/>
      <c r="BS255" s="32"/>
      <c r="BT255" s="32"/>
      <c r="BU255" s="32"/>
      <c r="BV255" s="32"/>
      <c r="BW255" s="32"/>
      <c r="BX255" s="32"/>
      <c r="BY255" s="32"/>
      <c r="BZ255" s="32"/>
      <c r="CA255" s="32"/>
      <c r="CB255" s="32"/>
      <c r="CC255" s="32"/>
      <c r="CD255" s="32"/>
      <c r="CE255" s="32"/>
      <c r="CF255" s="32"/>
      <c r="CG255" s="32"/>
      <c r="CH255" s="32"/>
      <c r="CI255" s="32"/>
      <c r="CJ255" s="32"/>
      <c r="CK255" s="32"/>
      <c r="CL255" s="32"/>
      <c r="CM255" s="32"/>
      <c r="CN255" s="32"/>
      <c r="CO255" s="32"/>
      <c r="CP255" s="32"/>
      <c r="CQ255" s="32"/>
      <c r="CR255" s="32"/>
      <c r="CS255" s="32"/>
      <c r="CT255" s="32"/>
      <c r="CU255" s="32"/>
      <c r="CV255" s="32"/>
      <c r="CW255" s="32"/>
      <c r="CX255" s="32"/>
      <c r="CY255" s="32"/>
      <c r="CZ255" s="32"/>
      <c r="DA255" s="32"/>
      <c r="DB255" s="32"/>
      <c r="DC255" s="32"/>
      <c r="DD255" s="32"/>
      <c r="DE255" s="32"/>
      <c r="DF255" s="32"/>
      <c r="DG255" s="32"/>
      <c r="DH255" s="32"/>
      <c r="DI255" s="32"/>
      <c r="DJ255" s="32"/>
      <c r="DK255" s="32"/>
      <c r="DL255" s="32"/>
      <c r="DM255" s="32"/>
      <c r="DN255" s="32"/>
      <c r="DO255" s="32"/>
      <c r="DP255" s="32"/>
      <c r="DQ255" s="32"/>
      <c r="DR255" s="32"/>
      <c r="DS255" s="32"/>
      <c r="DT255" s="32"/>
      <c r="DU255" s="32"/>
      <c r="DV255" s="32"/>
      <c r="DW255" s="32"/>
      <c r="DX255" s="32"/>
      <c r="DY255" s="32"/>
      <c r="DZ255" s="32"/>
      <c r="EA255" s="32"/>
      <c r="EB255" s="32"/>
      <c r="EC255" s="32"/>
      <c r="ED255" s="32"/>
      <c r="EE255" s="32"/>
      <c r="EF255" s="32"/>
      <c r="EG255" s="32"/>
      <c r="EH255" s="32"/>
      <c r="EI255" s="32"/>
      <c r="EJ255" s="32"/>
      <c r="EK255" s="32"/>
      <c r="EL255" s="32"/>
      <c r="EM255" s="32"/>
      <c r="EN255" s="32"/>
      <c r="EO255" s="32"/>
      <c r="EP255" s="32"/>
      <c r="EQ255" s="32"/>
      <c r="ER255" s="32"/>
      <c r="ES255" s="32"/>
      <c r="ET255" s="32"/>
      <c r="EU255" s="32"/>
      <c r="EV255" s="32"/>
      <c r="EW255" s="32"/>
      <c r="EX255" s="32"/>
      <c r="EY255" s="32"/>
      <c r="EZ255" s="32"/>
      <c r="FA255" s="32"/>
      <c r="FB255" s="32"/>
      <c r="FC255" s="32"/>
      <c r="FD255" s="32"/>
      <c r="FE255" s="32"/>
      <c r="FF255" s="32"/>
      <c r="FG255" s="32"/>
      <c r="FH255" s="32"/>
      <c r="FI255" s="32"/>
      <c r="FJ255" s="32"/>
      <c r="FK255" s="32"/>
      <c r="FL255" s="32"/>
      <c r="FM255" s="32"/>
      <c r="FN255" s="32"/>
      <c r="FO255" s="32"/>
      <c r="FP255" s="32"/>
      <c r="FQ255" s="32"/>
      <c r="FR255" s="32"/>
      <c r="FS255" s="32"/>
      <c r="FT255" s="32"/>
      <c r="FU255" s="32"/>
      <c r="FV255" s="32"/>
      <c r="FW255" s="32"/>
      <c r="FX255" s="32"/>
      <c r="FY255" s="32"/>
      <c r="FZ255" s="32"/>
      <c r="GA255" s="32"/>
      <c r="GB255" s="32"/>
      <c r="GC255" s="32"/>
      <c r="GD255" s="32"/>
      <c r="GE255" s="32"/>
      <c r="GF255" s="32"/>
      <c r="GG255" s="32"/>
      <c r="GH255" s="32"/>
      <c r="GI255" s="32"/>
      <c r="GJ255" s="32"/>
      <c r="GK255" s="32"/>
      <c r="GL255" s="32"/>
      <c r="GM255" s="32"/>
      <c r="GN255" s="32"/>
      <c r="GO255" s="32"/>
      <c r="GP255" s="32"/>
      <c r="GQ255" s="32"/>
      <c r="GR255" s="32"/>
      <c r="GS255" s="32"/>
      <c r="GT255" s="32"/>
      <c r="GU255" s="32"/>
      <c r="GV255" s="32"/>
      <c r="GW255" s="32"/>
      <c r="GX255" s="32"/>
      <c r="GY255" s="32"/>
      <c r="GZ255" s="32"/>
      <c r="HA255" s="32"/>
      <c r="HB255" s="32"/>
      <c r="HC255" s="32"/>
      <c r="HD255" s="32"/>
      <c r="HE255" s="32"/>
      <c r="HF255" s="32"/>
      <c r="HG255" s="32"/>
      <c r="HH255" s="32"/>
      <c r="HI255" s="32"/>
      <c r="HJ255" s="32"/>
      <c r="HK255" s="32"/>
      <c r="HL255" s="32"/>
      <c r="HM255" s="32"/>
      <c r="HN255" s="32"/>
      <c r="HO255" s="32"/>
      <c r="HP255" s="32"/>
    </row>
    <row r="256" spans="1:224" x14ac:dyDescent="0.25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  <c r="BP256" s="32"/>
      <c r="BQ256" s="32"/>
      <c r="BR256" s="32"/>
      <c r="BS256" s="32"/>
      <c r="BT256" s="32"/>
      <c r="BU256" s="32"/>
      <c r="BV256" s="32"/>
      <c r="BW256" s="32"/>
      <c r="BX256" s="32"/>
      <c r="BY256" s="32"/>
      <c r="BZ256" s="32"/>
      <c r="CA256" s="32"/>
      <c r="CB256" s="32"/>
      <c r="CC256" s="32"/>
      <c r="CD256" s="32"/>
      <c r="CE256" s="32"/>
      <c r="CF256" s="32"/>
      <c r="CG256" s="32"/>
      <c r="CH256" s="32"/>
      <c r="CI256" s="32"/>
      <c r="CJ256" s="32"/>
      <c r="CK256" s="32"/>
      <c r="CL256" s="32"/>
      <c r="CM256" s="32"/>
      <c r="CN256" s="32"/>
      <c r="CO256" s="32"/>
      <c r="CP256" s="32"/>
      <c r="CQ256" s="32"/>
      <c r="CR256" s="32"/>
      <c r="CS256" s="32"/>
      <c r="CT256" s="32"/>
      <c r="CU256" s="32"/>
      <c r="CV256" s="32"/>
      <c r="CW256" s="32"/>
      <c r="CX256" s="32"/>
      <c r="CY256" s="32"/>
      <c r="CZ256" s="32"/>
      <c r="DA256" s="32"/>
      <c r="DB256" s="32"/>
      <c r="DC256" s="32"/>
      <c r="DD256" s="32"/>
      <c r="DE256" s="32"/>
      <c r="DF256" s="32"/>
      <c r="DG256" s="32"/>
      <c r="DH256" s="32"/>
      <c r="DI256" s="32"/>
      <c r="DJ256" s="32"/>
      <c r="DK256" s="32"/>
      <c r="DL256" s="32"/>
      <c r="DM256" s="32"/>
      <c r="DN256" s="32"/>
      <c r="DO256" s="32"/>
      <c r="DP256" s="32"/>
      <c r="DQ256" s="32"/>
      <c r="DR256" s="32"/>
      <c r="DS256" s="32"/>
      <c r="DT256" s="32"/>
      <c r="DU256" s="32"/>
      <c r="DV256" s="32"/>
      <c r="DW256" s="32"/>
      <c r="DX256" s="32"/>
      <c r="DY256" s="32"/>
      <c r="DZ256" s="32"/>
      <c r="EA256" s="32"/>
      <c r="EB256" s="32"/>
      <c r="EC256" s="32"/>
      <c r="ED256" s="32"/>
      <c r="EE256" s="32"/>
      <c r="EF256" s="32"/>
      <c r="EG256" s="32"/>
      <c r="EH256" s="32"/>
      <c r="EI256" s="32"/>
      <c r="EJ256" s="32"/>
      <c r="EK256" s="32"/>
      <c r="EL256" s="32"/>
      <c r="EM256" s="32"/>
      <c r="EN256" s="32"/>
      <c r="EO256" s="32"/>
      <c r="EP256" s="32"/>
      <c r="EQ256" s="32"/>
      <c r="ER256" s="32"/>
      <c r="ES256" s="32"/>
      <c r="ET256" s="32"/>
      <c r="EU256" s="32"/>
      <c r="EV256" s="32"/>
      <c r="EW256" s="32"/>
      <c r="EX256" s="32"/>
      <c r="EY256" s="32"/>
      <c r="EZ256" s="32"/>
      <c r="FA256" s="32"/>
      <c r="FB256" s="32"/>
      <c r="FC256" s="32"/>
      <c r="FD256" s="32"/>
      <c r="FE256" s="32"/>
      <c r="FF256" s="32"/>
      <c r="FG256" s="32"/>
      <c r="FH256" s="32"/>
      <c r="FI256" s="32"/>
      <c r="FJ256" s="32"/>
      <c r="FK256" s="32"/>
      <c r="FL256" s="32"/>
      <c r="FM256" s="32"/>
      <c r="FN256" s="32"/>
      <c r="FO256" s="32"/>
      <c r="FP256" s="32"/>
      <c r="FQ256" s="32"/>
      <c r="FR256" s="32"/>
      <c r="FS256" s="32"/>
      <c r="FT256" s="32"/>
      <c r="FU256" s="32"/>
      <c r="FV256" s="32"/>
      <c r="FW256" s="32"/>
      <c r="FX256" s="32"/>
      <c r="FY256" s="32"/>
      <c r="FZ256" s="32"/>
      <c r="GA256" s="32"/>
      <c r="GB256" s="32"/>
      <c r="GC256" s="32"/>
      <c r="GD256" s="32"/>
      <c r="GE256" s="32"/>
      <c r="GF256" s="32"/>
      <c r="GG256" s="32"/>
      <c r="GH256" s="32"/>
      <c r="GI256" s="32"/>
      <c r="GJ256" s="32"/>
      <c r="GK256" s="32"/>
      <c r="GL256" s="32"/>
      <c r="GM256" s="32"/>
      <c r="GN256" s="32"/>
      <c r="GO256" s="32"/>
      <c r="GP256" s="32"/>
      <c r="GQ256" s="32"/>
      <c r="GR256" s="32"/>
      <c r="GS256" s="32"/>
      <c r="GT256" s="32"/>
      <c r="GU256" s="32"/>
      <c r="GV256" s="32"/>
      <c r="GW256" s="32"/>
      <c r="GX256" s="32"/>
      <c r="GY256" s="32"/>
      <c r="GZ256" s="32"/>
      <c r="HA256" s="32"/>
      <c r="HB256" s="32"/>
      <c r="HC256" s="32"/>
      <c r="HD256" s="32"/>
      <c r="HE256" s="32"/>
      <c r="HF256" s="32"/>
      <c r="HG256" s="32"/>
      <c r="HH256" s="32"/>
      <c r="HI256" s="32"/>
      <c r="HJ256" s="32"/>
      <c r="HK256" s="32"/>
      <c r="HL256" s="32"/>
      <c r="HM256" s="32"/>
      <c r="HN256" s="32"/>
      <c r="HO256" s="32"/>
      <c r="HP256" s="32"/>
    </row>
    <row r="257" spans="1:224" x14ac:dyDescent="0.25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2"/>
      <c r="BU257" s="32"/>
      <c r="BV257" s="32"/>
      <c r="BW257" s="32"/>
      <c r="BX257" s="32"/>
      <c r="BY257" s="32"/>
      <c r="BZ257" s="32"/>
      <c r="CA257" s="32"/>
      <c r="CB257" s="32"/>
      <c r="CC257" s="32"/>
      <c r="CD257" s="32"/>
      <c r="CE257" s="32"/>
      <c r="CF257" s="32"/>
      <c r="CG257" s="32"/>
      <c r="CH257" s="32"/>
      <c r="CI257" s="32"/>
      <c r="CJ257" s="32"/>
      <c r="CK257" s="32"/>
      <c r="CL257" s="32"/>
      <c r="CM257" s="32"/>
      <c r="CN257" s="32"/>
      <c r="CO257" s="32"/>
      <c r="CP257" s="32"/>
      <c r="CQ257" s="32"/>
      <c r="CR257" s="32"/>
      <c r="CS257" s="32"/>
      <c r="CT257" s="32"/>
      <c r="CU257" s="32"/>
      <c r="CV257" s="32"/>
      <c r="CW257" s="32"/>
      <c r="CX257" s="32"/>
      <c r="CY257" s="32"/>
      <c r="CZ257" s="32"/>
      <c r="DA257" s="32"/>
      <c r="DB257" s="32"/>
      <c r="DC257" s="32"/>
      <c r="DD257" s="32"/>
      <c r="DE257" s="32"/>
      <c r="DF257" s="32"/>
      <c r="DG257" s="32"/>
      <c r="DH257" s="32"/>
      <c r="DI257" s="32"/>
      <c r="DJ257" s="32"/>
      <c r="DK257" s="32"/>
      <c r="DL257" s="32"/>
      <c r="DM257" s="32"/>
      <c r="DN257" s="32"/>
      <c r="DO257" s="32"/>
      <c r="DP257" s="32"/>
      <c r="DQ257" s="32"/>
      <c r="DR257" s="32"/>
      <c r="DS257" s="32"/>
      <c r="DT257" s="32"/>
      <c r="DU257" s="32"/>
      <c r="DV257" s="32"/>
      <c r="DW257" s="32"/>
      <c r="DX257" s="32"/>
      <c r="DY257" s="32"/>
      <c r="DZ257" s="32"/>
      <c r="EA257" s="32"/>
      <c r="EB257" s="32"/>
      <c r="EC257" s="32"/>
      <c r="ED257" s="32"/>
      <c r="EE257" s="32"/>
      <c r="EF257" s="32"/>
      <c r="EG257" s="32"/>
      <c r="EH257" s="32"/>
      <c r="EI257" s="32"/>
      <c r="EJ257" s="32"/>
      <c r="EK257" s="32"/>
      <c r="EL257" s="32"/>
      <c r="EM257" s="32"/>
      <c r="EN257" s="32"/>
      <c r="EO257" s="32"/>
      <c r="EP257" s="32"/>
      <c r="EQ257" s="32"/>
      <c r="ER257" s="32"/>
      <c r="ES257" s="32"/>
      <c r="ET257" s="32"/>
      <c r="EU257" s="32"/>
      <c r="EV257" s="32"/>
      <c r="EW257" s="32"/>
      <c r="EX257" s="32"/>
      <c r="EY257" s="32"/>
      <c r="EZ257" s="32"/>
      <c r="FA257" s="32"/>
      <c r="FB257" s="32"/>
      <c r="FC257" s="32"/>
      <c r="FD257" s="32"/>
      <c r="FE257" s="32"/>
      <c r="FF257" s="32"/>
      <c r="FG257" s="32"/>
      <c r="FH257" s="32"/>
      <c r="FI257" s="32"/>
      <c r="FJ257" s="32"/>
      <c r="FK257" s="32"/>
      <c r="FL257" s="32"/>
      <c r="FM257" s="32"/>
      <c r="FN257" s="32"/>
      <c r="FO257" s="32"/>
      <c r="FP257" s="32"/>
      <c r="FQ257" s="32"/>
      <c r="FR257" s="32"/>
      <c r="FS257" s="32"/>
      <c r="FT257" s="32"/>
      <c r="FU257" s="32"/>
      <c r="FV257" s="32"/>
      <c r="FW257" s="32"/>
      <c r="FX257" s="32"/>
      <c r="FY257" s="32"/>
      <c r="FZ257" s="32"/>
      <c r="GA257" s="32"/>
      <c r="GB257" s="32"/>
      <c r="GC257" s="32"/>
      <c r="GD257" s="32"/>
      <c r="GE257" s="32"/>
      <c r="GF257" s="32"/>
      <c r="GG257" s="32"/>
      <c r="GH257" s="32"/>
      <c r="GI257" s="32"/>
      <c r="GJ257" s="32"/>
      <c r="GK257" s="32"/>
      <c r="GL257" s="32"/>
      <c r="GM257" s="32"/>
      <c r="GN257" s="32"/>
      <c r="GO257" s="32"/>
      <c r="GP257" s="32"/>
      <c r="GQ257" s="32"/>
      <c r="GR257" s="32"/>
      <c r="GS257" s="32"/>
      <c r="GT257" s="32"/>
      <c r="GU257" s="32"/>
      <c r="GV257" s="32"/>
      <c r="GW257" s="32"/>
      <c r="GX257" s="32"/>
      <c r="GY257" s="32"/>
      <c r="GZ257" s="32"/>
      <c r="HA257" s="32"/>
      <c r="HB257" s="32"/>
      <c r="HC257" s="32"/>
      <c r="HD257" s="32"/>
      <c r="HE257" s="32"/>
      <c r="HF257" s="32"/>
      <c r="HG257" s="32"/>
      <c r="HH257" s="32"/>
      <c r="HI257" s="32"/>
      <c r="HJ257" s="32"/>
      <c r="HK257" s="32"/>
      <c r="HL257" s="32"/>
      <c r="HM257" s="32"/>
      <c r="HN257" s="32"/>
      <c r="HO257" s="32"/>
      <c r="HP257" s="32"/>
    </row>
    <row r="258" spans="1:224" x14ac:dyDescent="0.25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  <c r="BP258" s="32"/>
      <c r="BQ258" s="32"/>
      <c r="BR258" s="32"/>
      <c r="BS258" s="32"/>
      <c r="BT258" s="32"/>
      <c r="BU258" s="32"/>
      <c r="BV258" s="32"/>
      <c r="BW258" s="32"/>
      <c r="BX258" s="32"/>
      <c r="BY258" s="32"/>
      <c r="BZ258" s="32"/>
      <c r="CA258" s="32"/>
      <c r="CB258" s="32"/>
      <c r="CC258" s="32"/>
      <c r="CD258" s="32"/>
      <c r="CE258" s="32"/>
      <c r="CF258" s="32"/>
      <c r="CG258" s="32"/>
      <c r="CH258" s="32"/>
      <c r="CI258" s="32"/>
      <c r="CJ258" s="32"/>
      <c r="CK258" s="32"/>
      <c r="CL258" s="32"/>
      <c r="CM258" s="32"/>
      <c r="CN258" s="32"/>
      <c r="CO258" s="32"/>
      <c r="CP258" s="32"/>
      <c r="CQ258" s="32"/>
      <c r="CR258" s="32"/>
      <c r="CS258" s="32"/>
      <c r="CT258" s="32"/>
      <c r="CU258" s="32"/>
      <c r="CV258" s="32"/>
      <c r="CW258" s="32"/>
      <c r="CX258" s="32"/>
      <c r="CY258" s="32"/>
      <c r="CZ258" s="32"/>
      <c r="DA258" s="32"/>
      <c r="DB258" s="32"/>
      <c r="DC258" s="32"/>
      <c r="DD258" s="32"/>
      <c r="DE258" s="32"/>
      <c r="DF258" s="32"/>
      <c r="DG258" s="32"/>
      <c r="DH258" s="32"/>
      <c r="DI258" s="32"/>
      <c r="DJ258" s="32"/>
      <c r="DK258" s="32"/>
      <c r="DL258" s="32"/>
      <c r="DM258" s="32"/>
      <c r="DN258" s="32"/>
      <c r="DO258" s="32"/>
      <c r="DP258" s="32"/>
      <c r="DQ258" s="32"/>
      <c r="DR258" s="32"/>
      <c r="DS258" s="32"/>
      <c r="DT258" s="32"/>
      <c r="DU258" s="32"/>
      <c r="DV258" s="32"/>
      <c r="DW258" s="32"/>
      <c r="DX258" s="32"/>
      <c r="DY258" s="32"/>
      <c r="DZ258" s="32"/>
      <c r="EA258" s="32"/>
      <c r="EB258" s="32"/>
      <c r="EC258" s="32"/>
      <c r="ED258" s="32"/>
      <c r="EE258" s="32"/>
      <c r="EF258" s="32"/>
      <c r="EG258" s="32"/>
      <c r="EH258" s="32"/>
      <c r="EI258" s="32"/>
      <c r="EJ258" s="32"/>
      <c r="EK258" s="32"/>
      <c r="EL258" s="32"/>
      <c r="EM258" s="32"/>
      <c r="EN258" s="32"/>
      <c r="EO258" s="32"/>
      <c r="EP258" s="32"/>
      <c r="EQ258" s="32"/>
      <c r="ER258" s="32"/>
      <c r="ES258" s="32"/>
      <c r="ET258" s="32"/>
      <c r="EU258" s="32"/>
      <c r="EV258" s="32"/>
      <c r="EW258" s="32"/>
      <c r="EX258" s="32"/>
      <c r="EY258" s="32"/>
      <c r="EZ258" s="32"/>
      <c r="FA258" s="32"/>
      <c r="FB258" s="32"/>
      <c r="FC258" s="32"/>
      <c r="FD258" s="32"/>
      <c r="FE258" s="32"/>
      <c r="FF258" s="32"/>
      <c r="FG258" s="32"/>
      <c r="FH258" s="32"/>
      <c r="FI258" s="32"/>
      <c r="FJ258" s="32"/>
      <c r="FK258" s="32"/>
      <c r="FL258" s="32"/>
      <c r="FM258" s="32"/>
      <c r="FN258" s="32"/>
      <c r="FO258" s="32"/>
      <c r="FP258" s="32"/>
      <c r="FQ258" s="32"/>
      <c r="FR258" s="32"/>
      <c r="FS258" s="32"/>
      <c r="FT258" s="32"/>
      <c r="FU258" s="32"/>
      <c r="FV258" s="32"/>
      <c r="FW258" s="32"/>
      <c r="FX258" s="32"/>
      <c r="FY258" s="32"/>
      <c r="FZ258" s="32"/>
      <c r="GA258" s="32"/>
      <c r="GB258" s="32"/>
      <c r="GC258" s="32"/>
      <c r="GD258" s="32"/>
      <c r="GE258" s="32"/>
      <c r="GF258" s="32"/>
      <c r="GG258" s="32"/>
      <c r="GH258" s="32"/>
      <c r="GI258" s="32"/>
      <c r="GJ258" s="32"/>
      <c r="GK258" s="32"/>
      <c r="GL258" s="32"/>
      <c r="GM258" s="32"/>
      <c r="GN258" s="32"/>
      <c r="GO258" s="32"/>
      <c r="GP258" s="32"/>
      <c r="GQ258" s="32"/>
      <c r="GR258" s="32"/>
      <c r="GS258" s="32"/>
      <c r="GT258" s="32"/>
      <c r="GU258" s="32"/>
      <c r="GV258" s="32"/>
      <c r="GW258" s="32"/>
      <c r="GX258" s="32"/>
      <c r="GY258" s="32"/>
      <c r="GZ258" s="32"/>
      <c r="HA258" s="32"/>
      <c r="HB258" s="32"/>
      <c r="HC258" s="32"/>
      <c r="HD258" s="32"/>
      <c r="HE258" s="32"/>
      <c r="HF258" s="32"/>
      <c r="HG258" s="32"/>
      <c r="HH258" s="32"/>
      <c r="HI258" s="32"/>
      <c r="HJ258" s="32"/>
      <c r="HK258" s="32"/>
      <c r="HL258" s="32"/>
      <c r="HM258" s="32"/>
      <c r="HN258" s="32"/>
      <c r="HO258" s="32"/>
      <c r="HP258" s="32"/>
    </row>
    <row r="259" spans="1:224" x14ac:dyDescent="0.25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  <c r="BP259" s="32"/>
      <c r="BQ259" s="32"/>
      <c r="BR259" s="32"/>
      <c r="BS259" s="32"/>
      <c r="BT259" s="32"/>
      <c r="BU259" s="32"/>
      <c r="BV259" s="32"/>
      <c r="BW259" s="32"/>
      <c r="BX259" s="32"/>
      <c r="BY259" s="32"/>
      <c r="BZ259" s="32"/>
      <c r="CA259" s="32"/>
      <c r="CB259" s="32"/>
      <c r="CC259" s="32"/>
      <c r="CD259" s="32"/>
      <c r="CE259" s="32"/>
      <c r="CF259" s="32"/>
      <c r="CG259" s="32"/>
      <c r="CH259" s="32"/>
      <c r="CI259" s="32"/>
      <c r="CJ259" s="32"/>
      <c r="CK259" s="32"/>
      <c r="CL259" s="32"/>
      <c r="CM259" s="32"/>
      <c r="CN259" s="32"/>
      <c r="CO259" s="32"/>
      <c r="CP259" s="32"/>
      <c r="CQ259" s="32"/>
      <c r="CR259" s="32"/>
      <c r="CS259" s="32"/>
      <c r="CT259" s="32"/>
      <c r="CU259" s="32"/>
      <c r="CV259" s="32"/>
      <c r="CW259" s="32"/>
      <c r="CX259" s="32"/>
      <c r="CY259" s="32"/>
      <c r="CZ259" s="32"/>
      <c r="DA259" s="32"/>
      <c r="DB259" s="32"/>
      <c r="DC259" s="32"/>
      <c r="DD259" s="32"/>
      <c r="DE259" s="32"/>
      <c r="DF259" s="32"/>
      <c r="DG259" s="32"/>
      <c r="DH259" s="32"/>
      <c r="DI259" s="32"/>
      <c r="DJ259" s="32"/>
      <c r="DK259" s="32"/>
      <c r="DL259" s="32"/>
      <c r="DM259" s="32"/>
      <c r="DN259" s="32"/>
      <c r="DO259" s="32"/>
      <c r="DP259" s="32"/>
      <c r="DQ259" s="32"/>
      <c r="DR259" s="32"/>
      <c r="DS259" s="32"/>
      <c r="DT259" s="32"/>
      <c r="DU259" s="32"/>
      <c r="DV259" s="32"/>
      <c r="DW259" s="32"/>
      <c r="DX259" s="32"/>
      <c r="DY259" s="32"/>
      <c r="DZ259" s="32"/>
      <c r="EA259" s="32"/>
      <c r="EB259" s="32"/>
      <c r="EC259" s="32"/>
      <c r="ED259" s="32"/>
      <c r="EE259" s="32"/>
      <c r="EF259" s="32"/>
      <c r="EG259" s="32"/>
      <c r="EH259" s="32"/>
      <c r="EI259" s="32"/>
      <c r="EJ259" s="32"/>
      <c r="EK259" s="32"/>
      <c r="EL259" s="32"/>
      <c r="EM259" s="32"/>
      <c r="EN259" s="32"/>
      <c r="EO259" s="32"/>
      <c r="EP259" s="32"/>
      <c r="EQ259" s="32"/>
      <c r="ER259" s="32"/>
      <c r="ES259" s="32"/>
      <c r="ET259" s="32"/>
      <c r="EU259" s="32"/>
      <c r="EV259" s="32"/>
      <c r="EW259" s="32"/>
      <c r="EX259" s="32"/>
      <c r="EY259" s="32"/>
      <c r="EZ259" s="32"/>
      <c r="FA259" s="32"/>
      <c r="FB259" s="32"/>
      <c r="FC259" s="32"/>
      <c r="FD259" s="32"/>
      <c r="FE259" s="32"/>
      <c r="FF259" s="32"/>
      <c r="FG259" s="32"/>
      <c r="FH259" s="32"/>
      <c r="FI259" s="32"/>
      <c r="FJ259" s="32"/>
      <c r="FK259" s="32"/>
      <c r="FL259" s="32"/>
      <c r="FM259" s="32"/>
      <c r="FN259" s="32"/>
      <c r="FO259" s="32"/>
      <c r="FP259" s="32"/>
      <c r="FQ259" s="32"/>
      <c r="FR259" s="32"/>
      <c r="FS259" s="32"/>
      <c r="FT259" s="32"/>
      <c r="FU259" s="32"/>
      <c r="FV259" s="32"/>
      <c r="FW259" s="32"/>
      <c r="FX259" s="32"/>
      <c r="FY259" s="32"/>
      <c r="FZ259" s="32"/>
      <c r="GA259" s="32"/>
      <c r="GB259" s="32"/>
      <c r="GC259" s="32"/>
      <c r="GD259" s="32"/>
      <c r="GE259" s="32"/>
      <c r="GF259" s="32"/>
      <c r="GG259" s="32"/>
      <c r="GH259" s="32"/>
      <c r="GI259" s="32"/>
      <c r="GJ259" s="32"/>
      <c r="GK259" s="32"/>
      <c r="GL259" s="32"/>
      <c r="GM259" s="32"/>
      <c r="GN259" s="32"/>
      <c r="GO259" s="32"/>
      <c r="GP259" s="32"/>
      <c r="GQ259" s="32"/>
      <c r="GR259" s="32"/>
      <c r="GS259" s="32"/>
      <c r="GT259" s="32"/>
      <c r="GU259" s="32"/>
      <c r="GV259" s="32"/>
      <c r="GW259" s="32"/>
      <c r="GX259" s="32"/>
      <c r="GY259" s="32"/>
      <c r="GZ259" s="32"/>
      <c r="HA259" s="32"/>
      <c r="HB259" s="32"/>
      <c r="HC259" s="32"/>
      <c r="HD259" s="32"/>
      <c r="HE259" s="32"/>
      <c r="HF259" s="32"/>
      <c r="HG259" s="32"/>
      <c r="HH259" s="32"/>
      <c r="HI259" s="32"/>
      <c r="HJ259" s="32"/>
      <c r="HK259" s="32"/>
      <c r="HL259" s="32"/>
      <c r="HM259" s="32"/>
      <c r="HN259" s="32"/>
      <c r="HO259" s="32"/>
      <c r="HP259" s="32"/>
    </row>
    <row r="260" spans="1:224" x14ac:dyDescent="0.25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/>
      <c r="BM260" s="32"/>
      <c r="BN260" s="32"/>
      <c r="BO260" s="32"/>
      <c r="BP260" s="32"/>
      <c r="BQ260" s="32"/>
      <c r="BR260" s="32"/>
      <c r="BS260" s="32"/>
      <c r="BT260" s="32"/>
      <c r="BU260" s="32"/>
      <c r="BV260" s="32"/>
      <c r="BW260" s="32"/>
      <c r="BX260" s="32"/>
      <c r="BY260" s="32"/>
      <c r="BZ260" s="32"/>
      <c r="CA260" s="32"/>
      <c r="CB260" s="32"/>
      <c r="CC260" s="32"/>
      <c r="CD260" s="32"/>
      <c r="CE260" s="32"/>
      <c r="CF260" s="32"/>
      <c r="CG260" s="32"/>
      <c r="CH260" s="32"/>
      <c r="CI260" s="32"/>
      <c r="CJ260" s="32"/>
      <c r="CK260" s="32"/>
      <c r="CL260" s="32"/>
      <c r="CM260" s="32"/>
      <c r="CN260" s="32"/>
      <c r="CO260" s="32"/>
      <c r="CP260" s="32"/>
      <c r="CQ260" s="32"/>
      <c r="CR260" s="32"/>
      <c r="CS260" s="32"/>
      <c r="CT260" s="32"/>
      <c r="CU260" s="32"/>
      <c r="CV260" s="32"/>
      <c r="CW260" s="32"/>
      <c r="CX260" s="32"/>
      <c r="CY260" s="32"/>
      <c r="CZ260" s="32"/>
      <c r="DA260" s="32"/>
      <c r="DB260" s="32"/>
      <c r="DC260" s="32"/>
      <c r="DD260" s="32"/>
      <c r="DE260" s="32"/>
      <c r="DF260" s="32"/>
      <c r="DG260" s="32"/>
      <c r="DH260" s="32"/>
      <c r="DI260" s="32"/>
      <c r="DJ260" s="32"/>
      <c r="DK260" s="32"/>
      <c r="DL260" s="32"/>
      <c r="DM260" s="32"/>
      <c r="DN260" s="32"/>
      <c r="DO260" s="32"/>
      <c r="DP260" s="32"/>
      <c r="DQ260" s="32"/>
      <c r="DR260" s="32"/>
      <c r="DS260" s="32"/>
      <c r="DT260" s="32"/>
      <c r="DU260" s="32"/>
      <c r="DV260" s="32"/>
      <c r="DW260" s="32"/>
      <c r="DX260" s="32"/>
      <c r="DY260" s="32"/>
      <c r="DZ260" s="32"/>
      <c r="EA260" s="32"/>
      <c r="EB260" s="32"/>
      <c r="EC260" s="32"/>
      <c r="ED260" s="32"/>
      <c r="EE260" s="32"/>
      <c r="EF260" s="32"/>
      <c r="EG260" s="32"/>
      <c r="EH260" s="32"/>
      <c r="EI260" s="32"/>
      <c r="EJ260" s="32"/>
      <c r="EK260" s="32"/>
      <c r="EL260" s="32"/>
      <c r="EM260" s="32"/>
      <c r="EN260" s="32"/>
      <c r="EO260" s="32"/>
      <c r="EP260" s="32"/>
      <c r="EQ260" s="32"/>
      <c r="ER260" s="32"/>
      <c r="ES260" s="32"/>
      <c r="ET260" s="32"/>
      <c r="EU260" s="32"/>
      <c r="EV260" s="32"/>
      <c r="EW260" s="32"/>
      <c r="EX260" s="32"/>
      <c r="EY260" s="32"/>
      <c r="EZ260" s="32"/>
      <c r="FA260" s="32"/>
      <c r="FB260" s="32"/>
      <c r="FC260" s="32"/>
      <c r="FD260" s="32"/>
      <c r="FE260" s="32"/>
      <c r="FF260" s="32"/>
      <c r="FG260" s="32"/>
      <c r="FH260" s="32"/>
      <c r="FI260" s="32"/>
      <c r="FJ260" s="32"/>
      <c r="FK260" s="32"/>
      <c r="FL260" s="32"/>
      <c r="FM260" s="32"/>
      <c r="FN260" s="32"/>
      <c r="FO260" s="32"/>
      <c r="FP260" s="32"/>
      <c r="FQ260" s="32"/>
      <c r="FR260" s="32"/>
      <c r="FS260" s="32"/>
      <c r="FT260" s="32"/>
      <c r="FU260" s="32"/>
      <c r="FV260" s="32"/>
      <c r="FW260" s="32"/>
      <c r="FX260" s="32"/>
      <c r="FY260" s="32"/>
      <c r="FZ260" s="32"/>
      <c r="GA260" s="32"/>
      <c r="GB260" s="32"/>
      <c r="GC260" s="32"/>
      <c r="GD260" s="32"/>
      <c r="GE260" s="32"/>
      <c r="GF260" s="32"/>
      <c r="GG260" s="32"/>
      <c r="GH260" s="32"/>
      <c r="GI260" s="32"/>
      <c r="GJ260" s="32"/>
      <c r="GK260" s="32"/>
      <c r="GL260" s="32"/>
      <c r="GM260" s="32"/>
      <c r="GN260" s="32"/>
      <c r="GO260" s="32"/>
      <c r="GP260" s="32"/>
      <c r="GQ260" s="32"/>
      <c r="GR260" s="32"/>
      <c r="GS260" s="32"/>
      <c r="GT260" s="32"/>
      <c r="GU260" s="32"/>
      <c r="GV260" s="32"/>
      <c r="GW260" s="32"/>
      <c r="GX260" s="32"/>
      <c r="GY260" s="32"/>
      <c r="GZ260" s="32"/>
      <c r="HA260" s="32"/>
      <c r="HB260" s="32"/>
      <c r="HC260" s="32"/>
      <c r="HD260" s="32"/>
      <c r="HE260" s="32"/>
      <c r="HF260" s="32"/>
      <c r="HG260" s="32"/>
      <c r="HH260" s="32"/>
      <c r="HI260" s="32"/>
      <c r="HJ260" s="32"/>
      <c r="HK260" s="32"/>
      <c r="HL260" s="32"/>
      <c r="HM260" s="32"/>
      <c r="HN260" s="32"/>
      <c r="HO260" s="32"/>
      <c r="HP260" s="32"/>
    </row>
    <row r="261" spans="1:224" x14ac:dyDescent="0.25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2"/>
      <c r="BU261" s="32"/>
      <c r="BV261" s="32"/>
      <c r="BW261" s="32"/>
      <c r="BX261" s="32"/>
      <c r="BY261" s="32"/>
      <c r="BZ261" s="32"/>
      <c r="CA261" s="32"/>
      <c r="CB261" s="32"/>
      <c r="CC261" s="32"/>
      <c r="CD261" s="32"/>
      <c r="CE261" s="32"/>
      <c r="CF261" s="32"/>
      <c r="CG261" s="32"/>
      <c r="CH261" s="32"/>
      <c r="CI261" s="32"/>
      <c r="CJ261" s="32"/>
      <c r="CK261" s="32"/>
      <c r="CL261" s="32"/>
      <c r="CM261" s="32"/>
      <c r="CN261" s="32"/>
      <c r="CO261" s="32"/>
      <c r="CP261" s="32"/>
      <c r="CQ261" s="32"/>
      <c r="CR261" s="32"/>
      <c r="CS261" s="32"/>
      <c r="CT261" s="32"/>
      <c r="CU261" s="32"/>
      <c r="CV261" s="32"/>
      <c r="CW261" s="32"/>
      <c r="CX261" s="32"/>
      <c r="CY261" s="32"/>
      <c r="CZ261" s="32"/>
      <c r="DA261" s="32"/>
      <c r="DB261" s="32"/>
      <c r="DC261" s="32"/>
      <c r="DD261" s="32"/>
      <c r="DE261" s="32"/>
      <c r="DF261" s="32"/>
      <c r="DG261" s="32"/>
      <c r="DH261" s="32"/>
      <c r="DI261" s="32"/>
      <c r="DJ261" s="32"/>
      <c r="DK261" s="32"/>
      <c r="DL261" s="32"/>
      <c r="DM261" s="32"/>
      <c r="DN261" s="32"/>
      <c r="DO261" s="32"/>
      <c r="DP261" s="32"/>
      <c r="DQ261" s="32"/>
      <c r="DR261" s="32"/>
      <c r="DS261" s="32"/>
      <c r="DT261" s="32"/>
      <c r="DU261" s="32"/>
      <c r="DV261" s="32"/>
      <c r="DW261" s="32"/>
      <c r="DX261" s="32"/>
      <c r="DY261" s="32"/>
      <c r="DZ261" s="32"/>
      <c r="EA261" s="32"/>
      <c r="EB261" s="32"/>
      <c r="EC261" s="32"/>
      <c r="ED261" s="32"/>
      <c r="EE261" s="32"/>
      <c r="EF261" s="32"/>
      <c r="EG261" s="32"/>
      <c r="EH261" s="32"/>
      <c r="EI261" s="32"/>
      <c r="EJ261" s="32"/>
      <c r="EK261" s="32"/>
      <c r="EL261" s="32"/>
      <c r="EM261" s="32"/>
      <c r="EN261" s="32"/>
      <c r="EO261" s="32"/>
      <c r="EP261" s="32"/>
      <c r="EQ261" s="32"/>
      <c r="ER261" s="32"/>
      <c r="ES261" s="32"/>
      <c r="ET261" s="32"/>
      <c r="EU261" s="32"/>
      <c r="EV261" s="32"/>
      <c r="EW261" s="32"/>
      <c r="EX261" s="32"/>
      <c r="EY261" s="32"/>
      <c r="EZ261" s="32"/>
      <c r="FA261" s="32"/>
      <c r="FB261" s="32"/>
      <c r="FC261" s="32"/>
      <c r="FD261" s="32"/>
      <c r="FE261" s="32"/>
      <c r="FF261" s="32"/>
      <c r="FG261" s="32"/>
      <c r="FH261" s="32"/>
      <c r="FI261" s="32"/>
      <c r="FJ261" s="32"/>
      <c r="FK261" s="32"/>
      <c r="FL261" s="32"/>
      <c r="FM261" s="32"/>
      <c r="FN261" s="32"/>
      <c r="FO261" s="32"/>
      <c r="FP261" s="32"/>
      <c r="FQ261" s="32"/>
      <c r="FR261" s="32"/>
      <c r="FS261" s="32"/>
      <c r="FT261" s="32"/>
      <c r="FU261" s="32"/>
      <c r="FV261" s="32"/>
      <c r="FW261" s="32"/>
      <c r="FX261" s="32"/>
      <c r="FY261" s="32"/>
      <c r="FZ261" s="32"/>
      <c r="GA261" s="32"/>
      <c r="GB261" s="32"/>
      <c r="GC261" s="32"/>
      <c r="GD261" s="32"/>
      <c r="GE261" s="32"/>
      <c r="GF261" s="32"/>
      <c r="GG261" s="32"/>
      <c r="GH261" s="32"/>
      <c r="GI261" s="32"/>
      <c r="GJ261" s="32"/>
      <c r="GK261" s="32"/>
      <c r="GL261" s="32"/>
      <c r="GM261" s="32"/>
      <c r="GN261" s="32"/>
      <c r="GO261" s="32"/>
      <c r="GP261" s="32"/>
      <c r="GQ261" s="32"/>
      <c r="GR261" s="32"/>
      <c r="GS261" s="32"/>
      <c r="GT261" s="32"/>
      <c r="GU261" s="32"/>
      <c r="GV261" s="32"/>
      <c r="GW261" s="32"/>
      <c r="GX261" s="32"/>
      <c r="GY261" s="32"/>
      <c r="GZ261" s="32"/>
      <c r="HA261" s="32"/>
      <c r="HB261" s="32"/>
      <c r="HC261" s="32"/>
      <c r="HD261" s="32"/>
      <c r="HE261" s="32"/>
      <c r="HF261" s="32"/>
      <c r="HG261" s="32"/>
      <c r="HH261" s="32"/>
      <c r="HI261" s="32"/>
      <c r="HJ261" s="32"/>
      <c r="HK261" s="32"/>
      <c r="HL261" s="32"/>
      <c r="HM261" s="32"/>
      <c r="HN261" s="32"/>
      <c r="HO261" s="32"/>
      <c r="HP261" s="32"/>
    </row>
    <row r="262" spans="1:224" x14ac:dyDescent="0.25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  <c r="BP262" s="32"/>
      <c r="BQ262" s="32"/>
      <c r="BR262" s="32"/>
      <c r="BS262" s="32"/>
      <c r="BT262" s="32"/>
      <c r="BU262" s="32"/>
      <c r="BV262" s="32"/>
      <c r="BW262" s="32"/>
      <c r="BX262" s="32"/>
      <c r="BY262" s="32"/>
      <c r="BZ262" s="32"/>
      <c r="CA262" s="32"/>
      <c r="CB262" s="32"/>
      <c r="CC262" s="32"/>
      <c r="CD262" s="32"/>
      <c r="CE262" s="32"/>
      <c r="CF262" s="32"/>
      <c r="CG262" s="32"/>
      <c r="CH262" s="32"/>
      <c r="CI262" s="32"/>
      <c r="CJ262" s="32"/>
      <c r="CK262" s="32"/>
      <c r="CL262" s="32"/>
      <c r="CM262" s="32"/>
      <c r="CN262" s="32"/>
      <c r="CO262" s="32"/>
      <c r="CP262" s="32"/>
      <c r="CQ262" s="32"/>
      <c r="CR262" s="32"/>
      <c r="CS262" s="32"/>
      <c r="CT262" s="32"/>
      <c r="CU262" s="32"/>
      <c r="CV262" s="32"/>
      <c r="CW262" s="32"/>
      <c r="CX262" s="32"/>
      <c r="CY262" s="32"/>
      <c r="CZ262" s="32"/>
      <c r="DA262" s="32"/>
      <c r="DB262" s="32"/>
      <c r="DC262" s="32"/>
      <c r="DD262" s="32"/>
      <c r="DE262" s="32"/>
      <c r="DF262" s="32"/>
      <c r="DG262" s="32"/>
      <c r="DH262" s="32"/>
      <c r="DI262" s="32"/>
      <c r="DJ262" s="32"/>
      <c r="DK262" s="32"/>
      <c r="DL262" s="32"/>
      <c r="DM262" s="32"/>
      <c r="DN262" s="32"/>
      <c r="DO262" s="32"/>
      <c r="DP262" s="32"/>
      <c r="DQ262" s="32"/>
      <c r="DR262" s="32"/>
      <c r="DS262" s="32"/>
      <c r="DT262" s="32"/>
      <c r="DU262" s="32"/>
      <c r="DV262" s="32"/>
      <c r="DW262" s="32"/>
      <c r="DX262" s="32"/>
      <c r="DY262" s="32"/>
      <c r="DZ262" s="32"/>
      <c r="EA262" s="32"/>
      <c r="EB262" s="32"/>
      <c r="EC262" s="32"/>
      <c r="ED262" s="32"/>
      <c r="EE262" s="32"/>
      <c r="EF262" s="32"/>
      <c r="EG262" s="32"/>
      <c r="EH262" s="32"/>
      <c r="EI262" s="32"/>
      <c r="EJ262" s="32"/>
      <c r="EK262" s="32"/>
      <c r="EL262" s="32"/>
      <c r="EM262" s="32"/>
      <c r="EN262" s="32"/>
      <c r="EO262" s="32"/>
      <c r="EP262" s="32"/>
      <c r="EQ262" s="32"/>
      <c r="ER262" s="32"/>
      <c r="ES262" s="32"/>
      <c r="ET262" s="32"/>
      <c r="EU262" s="32"/>
      <c r="EV262" s="32"/>
      <c r="EW262" s="32"/>
      <c r="EX262" s="32"/>
      <c r="EY262" s="32"/>
      <c r="EZ262" s="32"/>
      <c r="FA262" s="32"/>
      <c r="FB262" s="32"/>
      <c r="FC262" s="32"/>
      <c r="FD262" s="32"/>
      <c r="FE262" s="32"/>
      <c r="FF262" s="32"/>
      <c r="FG262" s="32"/>
      <c r="FH262" s="32"/>
      <c r="FI262" s="32"/>
      <c r="FJ262" s="32"/>
      <c r="FK262" s="32"/>
      <c r="FL262" s="32"/>
      <c r="FM262" s="32"/>
      <c r="FN262" s="32"/>
      <c r="FO262" s="32"/>
      <c r="FP262" s="32"/>
      <c r="FQ262" s="32"/>
      <c r="FR262" s="32"/>
      <c r="FS262" s="32"/>
      <c r="FT262" s="32"/>
      <c r="FU262" s="32"/>
      <c r="FV262" s="32"/>
      <c r="FW262" s="32"/>
      <c r="FX262" s="32"/>
      <c r="FY262" s="32"/>
      <c r="FZ262" s="32"/>
      <c r="GA262" s="32"/>
      <c r="GB262" s="32"/>
      <c r="GC262" s="32"/>
      <c r="GD262" s="32"/>
      <c r="GE262" s="32"/>
      <c r="GF262" s="32"/>
      <c r="GG262" s="32"/>
      <c r="GH262" s="32"/>
      <c r="GI262" s="32"/>
      <c r="GJ262" s="32"/>
      <c r="GK262" s="32"/>
      <c r="GL262" s="32"/>
      <c r="GM262" s="32"/>
      <c r="GN262" s="32"/>
      <c r="GO262" s="32"/>
      <c r="GP262" s="32"/>
      <c r="GQ262" s="32"/>
      <c r="GR262" s="32"/>
      <c r="GS262" s="32"/>
      <c r="GT262" s="32"/>
      <c r="GU262" s="32"/>
      <c r="GV262" s="32"/>
      <c r="GW262" s="32"/>
      <c r="GX262" s="32"/>
      <c r="GY262" s="32"/>
      <c r="GZ262" s="32"/>
      <c r="HA262" s="32"/>
      <c r="HB262" s="32"/>
      <c r="HC262" s="32"/>
      <c r="HD262" s="32"/>
      <c r="HE262" s="32"/>
      <c r="HF262" s="32"/>
      <c r="HG262" s="32"/>
      <c r="HH262" s="32"/>
      <c r="HI262" s="32"/>
      <c r="HJ262" s="32"/>
      <c r="HK262" s="32"/>
      <c r="HL262" s="32"/>
      <c r="HM262" s="32"/>
      <c r="HN262" s="32"/>
      <c r="HO262" s="32"/>
      <c r="HP262" s="32"/>
    </row>
    <row r="263" spans="1:224" x14ac:dyDescent="0.25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  <c r="BP263" s="32"/>
      <c r="BQ263" s="32"/>
      <c r="BR263" s="32"/>
      <c r="BS263" s="32"/>
      <c r="BT263" s="32"/>
      <c r="BU263" s="32"/>
      <c r="BV263" s="32"/>
      <c r="BW263" s="32"/>
      <c r="BX263" s="32"/>
      <c r="BY263" s="32"/>
      <c r="BZ263" s="32"/>
      <c r="CA263" s="32"/>
      <c r="CB263" s="32"/>
      <c r="CC263" s="32"/>
      <c r="CD263" s="32"/>
      <c r="CE263" s="32"/>
      <c r="CF263" s="32"/>
      <c r="CG263" s="32"/>
      <c r="CH263" s="32"/>
      <c r="CI263" s="32"/>
      <c r="CJ263" s="32"/>
      <c r="CK263" s="32"/>
      <c r="CL263" s="32"/>
      <c r="CM263" s="32"/>
      <c r="CN263" s="32"/>
      <c r="CO263" s="32"/>
      <c r="CP263" s="32"/>
      <c r="CQ263" s="32"/>
      <c r="CR263" s="32"/>
      <c r="CS263" s="32"/>
      <c r="CT263" s="32"/>
      <c r="CU263" s="32"/>
      <c r="CV263" s="32"/>
      <c r="CW263" s="32"/>
      <c r="CX263" s="32"/>
      <c r="CY263" s="32"/>
      <c r="CZ263" s="32"/>
      <c r="DA263" s="32"/>
      <c r="DB263" s="32"/>
      <c r="DC263" s="32"/>
      <c r="DD263" s="32"/>
      <c r="DE263" s="32"/>
      <c r="DF263" s="32"/>
      <c r="DG263" s="32"/>
      <c r="DH263" s="32"/>
      <c r="DI263" s="32"/>
      <c r="DJ263" s="32"/>
      <c r="DK263" s="32"/>
      <c r="DL263" s="32"/>
      <c r="DM263" s="32"/>
      <c r="DN263" s="32"/>
      <c r="DO263" s="32"/>
      <c r="DP263" s="32"/>
      <c r="DQ263" s="32"/>
      <c r="DR263" s="32"/>
      <c r="DS263" s="32"/>
      <c r="DT263" s="32"/>
      <c r="DU263" s="32"/>
      <c r="DV263" s="32"/>
      <c r="DW263" s="32"/>
      <c r="DX263" s="32"/>
      <c r="DY263" s="32"/>
      <c r="DZ263" s="32"/>
      <c r="EA263" s="32"/>
      <c r="EB263" s="32"/>
      <c r="EC263" s="32"/>
      <c r="ED263" s="32"/>
      <c r="EE263" s="32"/>
      <c r="EF263" s="32"/>
      <c r="EG263" s="32"/>
      <c r="EH263" s="32"/>
      <c r="EI263" s="32"/>
      <c r="EJ263" s="32"/>
      <c r="EK263" s="32"/>
      <c r="EL263" s="32"/>
      <c r="EM263" s="32"/>
      <c r="EN263" s="32"/>
      <c r="EO263" s="32"/>
      <c r="EP263" s="32"/>
      <c r="EQ263" s="32"/>
      <c r="ER263" s="32"/>
      <c r="ES263" s="32"/>
      <c r="ET263" s="32"/>
      <c r="EU263" s="32"/>
      <c r="EV263" s="32"/>
      <c r="EW263" s="32"/>
      <c r="EX263" s="32"/>
      <c r="EY263" s="32"/>
      <c r="EZ263" s="32"/>
      <c r="FA263" s="32"/>
      <c r="FB263" s="32"/>
      <c r="FC263" s="32"/>
      <c r="FD263" s="32"/>
      <c r="FE263" s="32"/>
      <c r="FF263" s="32"/>
      <c r="FG263" s="32"/>
      <c r="FH263" s="32"/>
      <c r="FI263" s="32"/>
      <c r="FJ263" s="32"/>
      <c r="FK263" s="32"/>
      <c r="FL263" s="32"/>
      <c r="FM263" s="32"/>
      <c r="FN263" s="32"/>
      <c r="FO263" s="32"/>
      <c r="FP263" s="32"/>
      <c r="FQ263" s="32"/>
      <c r="FR263" s="32"/>
      <c r="FS263" s="32"/>
      <c r="FT263" s="32"/>
      <c r="FU263" s="32"/>
      <c r="FV263" s="32"/>
      <c r="FW263" s="32"/>
      <c r="FX263" s="32"/>
      <c r="FY263" s="32"/>
      <c r="FZ263" s="32"/>
      <c r="GA263" s="32"/>
      <c r="GB263" s="32"/>
      <c r="GC263" s="32"/>
      <c r="GD263" s="32"/>
      <c r="GE263" s="32"/>
      <c r="GF263" s="32"/>
      <c r="GG263" s="32"/>
      <c r="GH263" s="32"/>
      <c r="GI263" s="32"/>
      <c r="GJ263" s="32"/>
      <c r="GK263" s="32"/>
      <c r="GL263" s="32"/>
      <c r="GM263" s="32"/>
      <c r="GN263" s="32"/>
      <c r="GO263" s="32"/>
      <c r="GP263" s="32"/>
      <c r="GQ263" s="32"/>
      <c r="GR263" s="32"/>
      <c r="GS263" s="32"/>
      <c r="GT263" s="32"/>
      <c r="GU263" s="32"/>
      <c r="GV263" s="32"/>
      <c r="GW263" s="32"/>
      <c r="GX263" s="32"/>
      <c r="GY263" s="32"/>
      <c r="GZ263" s="32"/>
      <c r="HA263" s="32"/>
      <c r="HB263" s="32"/>
      <c r="HC263" s="32"/>
      <c r="HD263" s="32"/>
      <c r="HE263" s="32"/>
      <c r="HF263" s="32"/>
      <c r="HG263" s="32"/>
      <c r="HH263" s="32"/>
      <c r="HI263" s="32"/>
      <c r="HJ263" s="32"/>
      <c r="HK263" s="32"/>
      <c r="HL263" s="32"/>
      <c r="HM263" s="32"/>
      <c r="HN263" s="32"/>
      <c r="HO263" s="32"/>
      <c r="HP263" s="32"/>
    </row>
    <row r="264" spans="1:224" x14ac:dyDescent="0.25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  <c r="BP264" s="32"/>
      <c r="BQ264" s="32"/>
      <c r="BR264" s="32"/>
      <c r="BS264" s="32"/>
      <c r="BT264" s="32"/>
      <c r="BU264" s="32"/>
      <c r="BV264" s="32"/>
      <c r="BW264" s="32"/>
      <c r="BX264" s="32"/>
      <c r="BY264" s="32"/>
      <c r="BZ264" s="32"/>
      <c r="CA264" s="32"/>
      <c r="CB264" s="32"/>
      <c r="CC264" s="32"/>
      <c r="CD264" s="32"/>
      <c r="CE264" s="32"/>
      <c r="CF264" s="32"/>
      <c r="CG264" s="32"/>
      <c r="CH264" s="32"/>
      <c r="CI264" s="32"/>
      <c r="CJ264" s="32"/>
      <c r="CK264" s="32"/>
      <c r="CL264" s="32"/>
      <c r="CM264" s="32"/>
      <c r="CN264" s="32"/>
      <c r="CO264" s="32"/>
      <c r="CP264" s="32"/>
      <c r="CQ264" s="32"/>
      <c r="CR264" s="32"/>
      <c r="CS264" s="32"/>
      <c r="CT264" s="32"/>
      <c r="CU264" s="32"/>
      <c r="CV264" s="32"/>
      <c r="CW264" s="32"/>
      <c r="CX264" s="32"/>
      <c r="CY264" s="32"/>
      <c r="CZ264" s="32"/>
      <c r="DA264" s="32"/>
      <c r="DB264" s="32"/>
      <c r="DC264" s="32"/>
      <c r="DD264" s="32"/>
      <c r="DE264" s="32"/>
      <c r="DF264" s="32"/>
      <c r="DG264" s="32"/>
      <c r="DH264" s="32"/>
      <c r="DI264" s="32"/>
      <c r="DJ264" s="32"/>
      <c r="DK264" s="32"/>
      <c r="DL264" s="32"/>
      <c r="DM264" s="32"/>
      <c r="DN264" s="32"/>
      <c r="DO264" s="32"/>
      <c r="DP264" s="32"/>
      <c r="DQ264" s="32"/>
      <c r="DR264" s="32"/>
      <c r="DS264" s="32"/>
      <c r="DT264" s="32"/>
      <c r="DU264" s="32"/>
      <c r="DV264" s="32"/>
      <c r="DW264" s="32"/>
      <c r="DX264" s="32"/>
      <c r="DY264" s="32"/>
      <c r="DZ264" s="32"/>
      <c r="EA264" s="32"/>
      <c r="EB264" s="32"/>
      <c r="EC264" s="32"/>
      <c r="ED264" s="32"/>
      <c r="EE264" s="32"/>
      <c r="EF264" s="32"/>
      <c r="EG264" s="32"/>
      <c r="EH264" s="32"/>
      <c r="EI264" s="32"/>
      <c r="EJ264" s="32"/>
      <c r="EK264" s="32"/>
      <c r="EL264" s="32"/>
      <c r="EM264" s="32"/>
      <c r="EN264" s="32"/>
      <c r="EO264" s="32"/>
      <c r="EP264" s="32"/>
      <c r="EQ264" s="32"/>
      <c r="ER264" s="32"/>
      <c r="ES264" s="32"/>
      <c r="ET264" s="32"/>
      <c r="EU264" s="32"/>
      <c r="EV264" s="32"/>
      <c r="EW264" s="32"/>
      <c r="EX264" s="32"/>
      <c r="EY264" s="32"/>
      <c r="EZ264" s="32"/>
      <c r="FA264" s="32"/>
      <c r="FB264" s="32"/>
      <c r="FC264" s="32"/>
      <c r="FD264" s="32"/>
      <c r="FE264" s="32"/>
      <c r="FF264" s="32"/>
      <c r="FG264" s="32"/>
      <c r="FH264" s="32"/>
      <c r="FI264" s="32"/>
      <c r="FJ264" s="32"/>
      <c r="FK264" s="32"/>
      <c r="FL264" s="32"/>
      <c r="FM264" s="32"/>
      <c r="FN264" s="32"/>
      <c r="FO264" s="32"/>
      <c r="FP264" s="32"/>
      <c r="FQ264" s="32"/>
      <c r="FR264" s="32"/>
      <c r="FS264" s="32"/>
      <c r="FT264" s="32"/>
      <c r="FU264" s="32"/>
      <c r="FV264" s="32"/>
      <c r="FW264" s="32"/>
      <c r="FX264" s="32"/>
      <c r="FY264" s="32"/>
      <c r="FZ264" s="32"/>
      <c r="GA264" s="32"/>
      <c r="GB264" s="32"/>
      <c r="GC264" s="32"/>
      <c r="GD264" s="32"/>
      <c r="GE264" s="32"/>
      <c r="GF264" s="32"/>
      <c r="GG264" s="32"/>
      <c r="GH264" s="32"/>
      <c r="GI264" s="32"/>
      <c r="GJ264" s="32"/>
      <c r="GK264" s="32"/>
      <c r="GL264" s="32"/>
      <c r="GM264" s="32"/>
      <c r="GN264" s="32"/>
      <c r="GO264" s="32"/>
      <c r="GP264" s="32"/>
      <c r="GQ264" s="32"/>
      <c r="GR264" s="32"/>
      <c r="GS264" s="32"/>
      <c r="GT264" s="32"/>
      <c r="GU264" s="32"/>
      <c r="GV264" s="32"/>
      <c r="GW264" s="32"/>
      <c r="GX264" s="32"/>
      <c r="GY264" s="32"/>
      <c r="GZ264" s="32"/>
      <c r="HA264" s="32"/>
      <c r="HB264" s="32"/>
      <c r="HC264" s="32"/>
      <c r="HD264" s="32"/>
      <c r="HE264" s="32"/>
      <c r="HF264" s="32"/>
      <c r="HG264" s="32"/>
      <c r="HH264" s="32"/>
      <c r="HI264" s="32"/>
      <c r="HJ264" s="32"/>
      <c r="HK264" s="32"/>
      <c r="HL264" s="32"/>
      <c r="HM264" s="32"/>
      <c r="HN264" s="32"/>
      <c r="HO264" s="32"/>
      <c r="HP264" s="32"/>
    </row>
    <row r="265" spans="1:224" x14ac:dyDescent="0.2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  <c r="BP265" s="32"/>
      <c r="BQ265" s="32"/>
      <c r="BR265" s="32"/>
      <c r="BS265" s="32"/>
      <c r="BT265" s="32"/>
      <c r="BU265" s="32"/>
      <c r="BV265" s="32"/>
      <c r="BW265" s="32"/>
      <c r="BX265" s="32"/>
      <c r="BY265" s="32"/>
      <c r="BZ265" s="32"/>
      <c r="CA265" s="32"/>
      <c r="CB265" s="32"/>
      <c r="CC265" s="32"/>
      <c r="CD265" s="32"/>
      <c r="CE265" s="32"/>
      <c r="CF265" s="32"/>
      <c r="CG265" s="32"/>
      <c r="CH265" s="32"/>
      <c r="CI265" s="32"/>
      <c r="CJ265" s="32"/>
      <c r="CK265" s="32"/>
      <c r="CL265" s="32"/>
      <c r="CM265" s="32"/>
      <c r="CN265" s="32"/>
      <c r="CO265" s="32"/>
      <c r="CP265" s="32"/>
      <c r="CQ265" s="32"/>
      <c r="CR265" s="32"/>
      <c r="CS265" s="32"/>
      <c r="CT265" s="32"/>
      <c r="CU265" s="32"/>
      <c r="CV265" s="32"/>
      <c r="CW265" s="32"/>
      <c r="CX265" s="32"/>
      <c r="CY265" s="32"/>
      <c r="CZ265" s="32"/>
      <c r="DA265" s="32"/>
      <c r="DB265" s="32"/>
      <c r="DC265" s="32"/>
      <c r="DD265" s="32"/>
      <c r="DE265" s="32"/>
      <c r="DF265" s="32"/>
      <c r="DG265" s="32"/>
      <c r="DH265" s="32"/>
      <c r="DI265" s="32"/>
      <c r="DJ265" s="32"/>
      <c r="DK265" s="32"/>
      <c r="DL265" s="32"/>
      <c r="DM265" s="32"/>
      <c r="DN265" s="32"/>
      <c r="DO265" s="32"/>
      <c r="DP265" s="32"/>
      <c r="DQ265" s="32"/>
      <c r="DR265" s="32"/>
      <c r="DS265" s="32"/>
      <c r="DT265" s="32"/>
      <c r="DU265" s="32"/>
      <c r="DV265" s="32"/>
      <c r="DW265" s="32"/>
      <c r="DX265" s="32"/>
      <c r="DY265" s="32"/>
      <c r="DZ265" s="32"/>
      <c r="EA265" s="32"/>
      <c r="EB265" s="32"/>
      <c r="EC265" s="32"/>
      <c r="ED265" s="32"/>
      <c r="EE265" s="32"/>
      <c r="EF265" s="32"/>
      <c r="EG265" s="32"/>
      <c r="EH265" s="32"/>
      <c r="EI265" s="32"/>
      <c r="EJ265" s="32"/>
      <c r="EK265" s="32"/>
      <c r="EL265" s="32"/>
      <c r="EM265" s="32"/>
      <c r="EN265" s="32"/>
      <c r="EO265" s="32"/>
      <c r="EP265" s="32"/>
      <c r="EQ265" s="32"/>
      <c r="ER265" s="32"/>
      <c r="ES265" s="32"/>
      <c r="ET265" s="32"/>
      <c r="EU265" s="32"/>
      <c r="EV265" s="32"/>
      <c r="EW265" s="32"/>
      <c r="EX265" s="32"/>
      <c r="EY265" s="32"/>
      <c r="EZ265" s="32"/>
      <c r="FA265" s="32"/>
      <c r="FB265" s="32"/>
      <c r="FC265" s="32"/>
      <c r="FD265" s="32"/>
      <c r="FE265" s="32"/>
      <c r="FF265" s="32"/>
      <c r="FG265" s="32"/>
      <c r="FH265" s="32"/>
      <c r="FI265" s="32"/>
      <c r="FJ265" s="32"/>
      <c r="FK265" s="32"/>
      <c r="FL265" s="32"/>
      <c r="FM265" s="32"/>
      <c r="FN265" s="32"/>
      <c r="FO265" s="32"/>
      <c r="FP265" s="32"/>
      <c r="FQ265" s="32"/>
      <c r="FR265" s="32"/>
      <c r="FS265" s="32"/>
      <c r="FT265" s="32"/>
      <c r="FU265" s="32"/>
      <c r="FV265" s="32"/>
      <c r="FW265" s="32"/>
      <c r="FX265" s="32"/>
      <c r="FY265" s="32"/>
      <c r="FZ265" s="32"/>
      <c r="GA265" s="32"/>
      <c r="GB265" s="32"/>
      <c r="GC265" s="32"/>
      <c r="GD265" s="32"/>
      <c r="GE265" s="32"/>
      <c r="GF265" s="32"/>
      <c r="GG265" s="32"/>
      <c r="GH265" s="32"/>
      <c r="GI265" s="32"/>
      <c r="GJ265" s="32"/>
      <c r="GK265" s="32"/>
      <c r="GL265" s="32"/>
      <c r="GM265" s="32"/>
      <c r="GN265" s="32"/>
      <c r="GO265" s="32"/>
      <c r="GP265" s="32"/>
      <c r="GQ265" s="32"/>
      <c r="GR265" s="32"/>
      <c r="GS265" s="32"/>
      <c r="GT265" s="32"/>
      <c r="GU265" s="32"/>
      <c r="GV265" s="32"/>
      <c r="GW265" s="32"/>
      <c r="GX265" s="32"/>
      <c r="GY265" s="32"/>
      <c r="GZ265" s="32"/>
      <c r="HA265" s="32"/>
      <c r="HB265" s="32"/>
      <c r="HC265" s="32"/>
      <c r="HD265" s="32"/>
      <c r="HE265" s="32"/>
      <c r="HF265" s="32"/>
      <c r="HG265" s="32"/>
      <c r="HH265" s="32"/>
      <c r="HI265" s="32"/>
      <c r="HJ265" s="32"/>
      <c r="HK265" s="32"/>
      <c r="HL265" s="32"/>
      <c r="HM265" s="32"/>
      <c r="HN265" s="32"/>
      <c r="HO265" s="32"/>
      <c r="HP265" s="32"/>
    </row>
    <row r="266" spans="1:224" x14ac:dyDescent="0.25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/>
      <c r="BM266" s="32"/>
      <c r="BN266" s="32"/>
      <c r="BO266" s="32"/>
      <c r="BP266" s="32"/>
      <c r="BQ266" s="32"/>
      <c r="BR266" s="32"/>
      <c r="BS266" s="32"/>
      <c r="BT266" s="32"/>
      <c r="BU266" s="32"/>
      <c r="BV266" s="32"/>
      <c r="BW266" s="32"/>
      <c r="BX266" s="32"/>
      <c r="BY266" s="32"/>
      <c r="BZ266" s="32"/>
      <c r="CA266" s="32"/>
      <c r="CB266" s="32"/>
      <c r="CC266" s="32"/>
      <c r="CD266" s="32"/>
      <c r="CE266" s="32"/>
      <c r="CF266" s="32"/>
      <c r="CG266" s="32"/>
      <c r="CH266" s="32"/>
      <c r="CI266" s="32"/>
      <c r="CJ266" s="32"/>
      <c r="CK266" s="32"/>
      <c r="CL266" s="32"/>
      <c r="CM266" s="32"/>
      <c r="CN266" s="32"/>
      <c r="CO266" s="32"/>
      <c r="CP266" s="32"/>
      <c r="CQ266" s="32"/>
      <c r="CR266" s="32"/>
      <c r="CS266" s="32"/>
      <c r="CT266" s="32"/>
      <c r="CU266" s="32"/>
      <c r="CV266" s="32"/>
      <c r="CW266" s="32"/>
      <c r="CX266" s="32"/>
      <c r="CY266" s="32"/>
      <c r="CZ266" s="32"/>
      <c r="DA266" s="32"/>
      <c r="DB266" s="32"/>
      <c r="DC266" s="32"/>
      <c r="DD266" s="32"/>
      <c r="DE266" s="32"/>
      <c r="DF266" s="32"/>
      <c r="DG266" s="32"/>
      <c r="DH266" s="32"/>
      <c r="DI266" s="32"/>
      <c r="DJ266" s="32"/>
      <c r="DK266" s="32"/>
      <c r="DL266" s="32"/>
      <c r="DM266" s="32"/>
      <c r="DN266" s="32"/>
      <c r="DO266" s="32"/>
      <c r="DP266" s="32"/>
      <c r="DQ266" s="32"/>
      <c r="DR266" s="32"/>
      <c r="DS266" s="32"/>
      <c r="DT266" s="32"/>
      <c r="DU266" s="32"/>
      <c r="DV266" s="32"/>
      <c r="DW266" s="32"/>
      <c r="DX266" s="32"/>
      <c r="DY266" s="32"/>
      <c r="DZ266" s="32"/>
      <c r="EA266" s="32"/>
      <c r="EB266" s="32"/>
      <c r="EC266" s="32"/>
      <c r="ED266" s="32"/>
      <c r="EE266" s="32"/>
      <c r="EF266" s="32"/>
      <c r="EG266" s="32"/>
      <c r="EH266" s="32"/>
      <c r="EI266" s="32"/>
      <c r="EJ266" s="32"/>
      <c r="EK266" s="32"/>
      <c r="EL266" s="32"/>
      <c r="EM266" s="32"/>
      <c r="EN266" s="32"/>
      <c r="EO266" s="32"/>
      <c r="EP266" s="32"/>
      <c r="EQ266" s="32"/>
      <c r="ER266" s="32"/>
      <c r="ES266" s="32"/>
      <c r="ET266" s="32"/>
      <c r="EU266" s="32"/>
      <c r="EV266" s="32"/>
      <c r="EW266" s="32"/>
      <c r="EX266" s="32"/>
      <c r="EY266" s="32"/>
      <c r="EZ266" s="32"/>
      <c r="FA266" s="32"/>
      <c r="FB266" s="32"/>
      <c r="FC266" s="32"/>
      <c r="FD266" s="32"/>
      <c r="FE266" s="32"/>
      <c r="FF266" s="32"/>
      <c r="FG266" s="32"/>
      <c r="FH266" s="32"/>
      <c r="FI266" s="32"/>
      <c r="FJ266" s="32"/>
      <c r="FK266" s="32"/>
      <c r="FL266" s="32"/>
      <c r="FM266" s="32"/>
      <c r="FN266" s="32"/>
      <c r="FO266" s="32"/>
      <c r="FP266" s="32"/>
      <c r="FQ266" s="32"/>
      <c r="FR266" s="32"/>
      <c r="FS266" s="32"/>
      <c r="FT266" s="32"/>
      <c r="FU266" s="32"/>
      <c r="FV266" s="32"/>
      <c r="FW266" s="32"/>
      <c r="FX266" s="32"/>
      <c r="FY266" s="32"/>
      <c r="FZ266" s="32"/>
      <c r="GA266" s="32"/>
      <c r="GB266" s="32"/>
      <c r="GC266" s="32"/>
      <c r="GD266" s="32"/>
      <c r="GE266" s="32"/>
      <c r="GF266" s="32"/>
      <c r="GG266" s="32"/>
      <c r="GH266" s="32"/>
      <c r="GI266" s="32"/>
      <c r="GJ266" s="32"/>
      <c r="GK266" s="32"/>
      <c r="GL266" s="32"/>
      <c r="GM266" s="32"/>
      <c r="GN266" s="32"/>
      <c r="GO266" s="32"/>
      <c r="GP266" s="32"/>
      <c r="GQ266" s="32"/>
      <c r="GR266" s="32"/>
      <c r="GS266" s="32"/>
      <c r="GT266" s="32"/>
      <c r="GU266" s="32"/>
      <c r="GV266" s="32"/>
      <c r="GW266" s="32"/>
      <c r="GX266" s="32"/>
      <c r="GY266" s="32"/>
      <c r="GZ266" s="32"/>
      <c r="HA266" s="32"/>
      <c r="HB266" s="32"/>
      <c r="HC266" s="32"/>
      <c r="HD266" s="32"/>
      <c r="HE266" s="32"/>
      <c r="HF266" s="32"/>
      <c r="HG266" s="32"/>
      <c r="HH266" s="32"/>
      <c r="HI266" s="32"/>
      <c r="HJ266" s="32"/>
      <c r="HK266" s="32"/>
      <c r="HL266" s="32"/>
      <c r="HM266" s="32"/>
      <c r="HN266" s="32"/>
      <c r="HO266" s="32"/>
      <c r="HP266" s="32"/>
    </row>
    <row r="267" spans="1:224" x14ac:dyDescent="0.25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  <c r="BG267" s="32"/>
      <c r="BH267" s="32"/>
      <c r="BI267" s="32"/>
      <c r="BJ267" s="32"/>
      <c r="BK267" s="32"/>
      <c r="BL267" s="32"/>
      <c r="BM267" s="32"/>
      <c r="BN267" s="32"/>
      <c r="BO267" s="32"/>
      <c r="BP267" s="32"/>
      <c r="BQ267" s="32"/>
      <c r="BR267" s="32"/>
      <c r="BS267" s="32"/>
      <c r="BT267" s="32"/>
      <c r="BU267" s="32"/>
      <c r="BV267" s="32"/>
      <c r="BW267" s="32"/>
      <c r="BX267" s="32"/>
      <c r="BY267" s="32"/>
      <c r="BZ267" s="32"/>
      <c r="CA267" s="32"/>
      <c r="CB267" s="32"/>
      <c r="CC267" s="32"/>
      <c r="CD267" s="32"/>
      <c r="CE267" s="32"/>
      <c r="CF267" s="32"/>
      <c r="CG267" s="32"/>
      <c r="CH267" s="32"/>
      <c r="CI267" s="32"/>
      <c r="CJ267" s="32"/>
      <c r="CK267" s="32"/>
      <c r="CL267" s="32"/>
      <c r="CM267" s="32"/>
      <c r="CN267" s="32"/>
      <c r="CO267" s="32"/>
      <c r="CP267" s="32"/>
      <c r="CQ267" s="32"/>
      <c r="CR267" s="32"/>
      <c r="CS267" s="32"/>
      <c r="CT267" s="32"/>
      <c r="CU267" s="32"/>
      <c r="CV267" s="32"/>
      <c r="CW267" s="32"/>
      <c r="CX267" s="32"/>
      <c r="CY267" s="32"/>
      <c r="CZ267" s="32"/>
      <c r="DA267" s="32"/>
      <c r="DB267" s="32"/>
      <c r="DC267" s="32"/>
      <c r="DD267" s="32"/>
      <c r="DE267" s="32"/>
      <c r="DF267" s="32"/>
      <c r="DG267" s="32"/>
      <c r="DH267" s="32"/>
      <c r="DI267" s="32"/>
      <c r="DJ267" s="32"/>
      <c r="DK267" s="32"/>
      <c r="DL267" s="32"/>
      <c r="DM267" s="32"/>
      <c r="DN267" s="32"/>
      <c r="DO267" s="32"/>
      <c r="DP267" s="32"/>
      <c r="DQ267" s="32"/>
      <c r="DR267" s="32"/>
      <c r="DS267" s="32"/>
      <c r="DT267" s="32"/>
      <c r="DU267" s="32"/>
      <c r="DV267" s="32"/>
      <c r="DW267" s="32"/>
      <c r="DX267" s="32"/>
      <c r="DY267" s="32"/>
      <c r="DZ267" s="32"/>
      <c r="EA267" s="32"/>
      <c r="EB267" s="32"/>
      <c r="EC267" s="32"/>
      <c r="ED267" s="32"/>
      <c r="EE267" s="32"/>
      <c r="EF267" s="32"/>
      <c r="EG267" s="32"/>
      <c r="EH267" s="32"/>
      <c r="EI267" s="32"/>
      <c r="EJ267" s="32"/>
      <c r="EK267" s="32"/>
      <c r="EL267" s="32"/>
      <c r="EM267" s="32"/>
      <c r="EN267" s="32"/>
      <c r="EO267" s="32"/>
      <c r="EP267" s="32"/>
      <c r="EQ267" s="32"/>
      <c r="ER267" s="32"/>
      <c r="ES267" s="32"/>
      <c r="ET267" s="32"/>
      <c r="EU267" s="32"/>
      <c r="EV267" s="32"/>
      <c r="EW267" s="32"/>
      <c r="EX267" s="32"/>
      <c r="EY267" s="32"/>
      <c r="EZ267" s="32"/>
      <c r="FA267" s="32"/>
      <c r="FB267" s="32"/>
      <c r="FC267" s="32"/>
      <c r="FD267" s="32"/>
      <c r="FE267" s="32"/>
      <c r="FF267" s="32"/>
      <c r="FG267" s="32"/>
      <c r="FH267" s="32"/>
      <c r="FI267" s="32"/>
      <c r="FJ267" s="32"/>
      <c r="FK267" s="32"/>
      <c r="FL267" s="32"/>
      <c r="FM267" s="32"/>
      <c r="FN267" s="32"/>
      <c r="FO267" s="32"/>
      <c r="FP267" s="32"/>
      <c r="FQ267" s="32"/>
      <c r="FR267" s="32"/>
      <c r="FS267" s="32"/>
      <c r="FT267" s="32"/>
      <c r="FU267" s="32"/>
      <c r="FV267" s="32"/>
      <c r="FW267" s="32"/>
      <c r="FX267" s="32"/>
      <c r="FY267" s="32"/>
      <c r="FZ267" s="32"/>
      <c r="GA267" s="32"/>
      <c r="GB267" s="32"/>
      <c r="GC267" s="32"/>
      <c r="GD267" s="32"/>
      <c r="GE267" s="32"/>
      <c r="GF267" s="32"/>
      <c r="GG267" s="32"/>
      <c r="GH267" s="32"/>
      <c r="GI267" s="32"/>
      <c r="GJ267" s="32"/>
      <c r="GK267" s="32"/>
      <c r="GL267" s="32"/>
      <c r="GM267" s="32"/>
      <c r="GN267" s="32"/>
      <c r="GO267" s="32"/>
      <c r="GP267" s="32"/>
      <c r="GQ267" s="32"/>
      <c r="GR267" s="32"/>
      <c r="GS267" s="32"/>
      <c r="GT267" s="32"/>
      <c r="GU267" s="32"/>
      <c r="GV267" s="32"/>
      <c r="GW267" s="32"/>
      <c r="GX267" s="32"/>
      <c r="GY267" s="32"/>
      <c r="GZ267" s="32"/>
      <c r="HA267" s="32"/>
      <c r="HB267" s="32"/>
      <c r="HC267" s="32"/>
      <c r="HD267" s="32"/>
      <c r="HE267" s="32"/>
      <c r="HF267" s="32"/>
      <c r="HG267" s="32"/>
      <c r="HH267" s="32"/>
      <c r="HI267" s="32"/>
      <c r="HJ267" s="32"/>
      <c r="HK267" s="32"/>
      <c r="HL267" s="32"/>
      <c r="HM267" s="32"/>
      <c r="HN267" s="32"/>
      <c r="HO267" s="32"/>
      <c r="HP267" s="32"/>
    </row>
    <row r="268" spans="1:224" x14ac:dyDescent="0.25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  <c r="BP268" s="32"/>
      <c r="BQ268" s="32"/>
      <c r="BR268" s="32"/>
      <c r="BS268" s="32"/>
      <c r="BT268" s="32"/>
      <c r="BU268" s="32"/>
      <c r="BV268" s="32"/>
      <c r="BW268" s="32"/>
      <c r="BX268" s="32"/>
      <c r="BY268" s="32"/>
      <c r="BZ268" s="32"/>
      <c r="CA268" s="32"/>
      <c r="CB268" s="32"/>
      <c r="CC268" s="32"/>
      <c r="CD268" s="32"/>
      <c r="CE268" s="32"/>
      <c r="CF268" s="32"/>
      <c r="CG268" s="32"/>
      <c r="CH268" s="32"/>
      <c r="CI268" s="32"/>
      <c r="CJ268" s="32"/>
      <c r="CK268" s="32"/>
      <c r="CL268" s="32"/>
      <c r="CM268" s="32"/>
      <c r="CN268" s="32"/>
      <c r="CO268" s="32"/>
      <c r="CP268" s="32"/>
      <c r="CQ268" s="32"/>
      <c r="CR268" s="32"/>
      <c r="CS268" s="32"/>
      <c r="CT268" s="32"/>
      <c r="CU268" s="32"/>
      <c r="CV268" s="32"/>
      <c r="CW268" s="32"/>
      <c r="CX268" s="32"/>
      <c r="CY268" s="32"/>
      <c r="CZ268" s="32"/>
      <c r="DA268" s="32"/>
      <c r="DB268" s="32"/>
      <c r="DC268" s="32"/>
      <c r="DD268" s="32"/>
      <c r="DE268" s="32"/>
      <c r="DF268" s="32"/>
      <c r="DG268" s="32"/>
      <c r="DH268" s="32"/>
      <c r="DI268" s="32"/>
      <c r="DJ268" s="32"/>
      <c r="DK268" s="32"/>
      <c r="DL268" s="32"/>
      <c r="DM268" s="32"/>
      <c r="DN268" s="32"/>
      <c r="DO268" s="32"/>
      <c r="DP268" s="32"/>
      <c r="DQ268" s="32"/>
      <c r="DR268" s="32"/>
      <c r="DS268" s="32"/>
      <c r="DT268" s="32"/>
      <c r="DU268" s="32"/>
      <c r="DV268" s="32"/>
      <c r="DW268" s="32"/>
      <c r="DX268" s="32"/>
      <c r="DY268" s="32"/>
      <c r="DZ268" s="32"/>
      <c r="EA268" s="32"/>
      <c r="EB268" s="32"/>
      <c r="EC268" s="32"/>
      <c r="ED268" s="32"/>
      <c r="EE268" s="32"/>
      <c r="EF268" s="32"/>
      <c r="EG268" s="32"/>
      <c r="EH268" s="32"/>
      <c r="EI268" s="32"/>
      <c r="EJ268" s="32"/>
      <c r="EK268" s="32"/>
      <c r="EL268" s="32"/>
      <c r="EM268" s="32"/>
      <c r="EN268" s="32"/>
      <c r="EO268" s="32"/>
      <c r="EP268" s="32"/>
      <c r="EQ268" s="32"/>
      <c r="ER268" s="32"/>
      <c r="ES268" s="32"/>
      <c r="ET268" s="32"/>
      <c r="EU268" s="32"/>
      <c r="EV268" s="32"/>
      <c r="EW268" s="32"/>
      <c r="EX268" s="32"/>
      <c r="EY268" s="32"/>
      <c r="EZ268" s="32"/>
      <c r="FA268" s="32"/>
      <c r="FB268" s="32"/>
      <c r="FC268" s="32"/>
      <c r="FD268" s="32"/>
      <c r="FE268" s="32"/>
      <c r="FF268" s="32"/>
      <c r="FG268" s="32"/>
      <c r="FH268" s="32"/>
      <c r="FI268" s="32"/>
      <c r="FJ268" s="32"/>
      <c r="FK268" s="32"/>
      <c r="FL268" s="32"/>
      <c r="FM268" s="32"/>
      <c r="FN268" s="32"/>
      <c r="FO268" s="32"/>
      <c r="FP268" s="32"/>
      <c r="FQ268" s="32"/>
      <c r="FR268" s="32"/>
      <c r="FS268" s="32"/>
      <c r="FT268" s="32"/>
      <c r="FU268" s="32"/>
      <c r="FV268" s="32"/>
      <c r="FW268" s="32"/>
      <c r="FX268" s="32"/>
      <c r="FY268" s="32"/>
      <c r="FZ268" s="32"/>
      <c r="GA268" s="32"/>
      <c r="GB268" s="32"/>
      <c r="GC268" s="32"/>
      <c r="GD268" s="32"/>
      <c r="GE268" s="32"/>
      <c r="GF268" s="32"/>
      <c r="GG268" s="32"/>
      <c r="GH268" s="32"/>
      <c r="GI268" s="32"/>
      <c r="GJ268" s="32"/>
      <c r="GK268" s="32"/>
      <c r="GL268" s="32"/>
      <c r="GM268" s="32"/>
      <c r="GN268" s="32"/>
      <c r="GO268" s="32"/>
      <c r="GP268" s="32"/>
      <c r="GQ268" s="32"/>
      <c r="GR268" s="32"/>
      <c r="GS268" s="32"/>
      <c r="GT268" s="32"/>
      <c r="GU268" s="32"/>
      <c r="GV268" s="32"/>
      <c r="GW268" s="32"/>
      <c r="GX268" s="32"/>
      <c r="GY268" s="32"/>
      <c r="GZ268" s="32"/>
      <c r="HA268" s="32"/>
      <c r="HB268" s="32"/>
      <c r="HC268" s="32"/>
      <c r="HD268" s="32"/>
      <c r="HE268" s="32"/>
      <c r="HF268" s="32"/>
      <c r="HG268" s="32"/>
      <c r="HH268" s="32"/>
      <c r="HI268" s="32"/>
      <c r="HJ268" s="32"/>
      <c r="HK268" s="32"/>
      <c r="HL268" s="32"/>
      <c r="HM268" s="32"/>
      <c r="HN268" s="32"/>
      <c r="HO268" s="32"/>
      <c r="HP268" s="32"/>
    </row>
    <row r="269" spans="1:224" x14ac:dyDescent="0.25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  <c r="BP269" s="32"/>
      <c r="BQ269" s="32"/>
      <c r="BR269" s="32"/>
      <c r="BS269" s="32"/>
      <c r="BT269" s="32"/>
      <c r="BU269" s="32"/>
      <c r="BV269" s="32"/>
      <c r="BW269" s="32"/>
      <c r="BX269" s="32"/>
      <c r="BY269" s="32"/>
      <c r="BZ269" s="32"/>
      <c r="CA269" s="32"/>
      <c r="CB269" s="32"/>
      <c r="CC269" s="32"/>
      <c r="CD269" s="32"/>
      <c r="CE269" s="32"/>
      <c r="CF269" s="32"/>
      <c r="CG269" s="32"/>
      <c r="CH269" s="32"/>
      <c r="CI269" s="32"/>
      <c r="CJ269" s="32"/>
      <c r="CK269" s="32"/>
      <c r="CL269" s="32"/>
      <c r="CM269" s="32"/>
      <c r="CN269" s="32"/>
      <c r="CO269" s="32"/>
      <c r="CP269" s="32"/>
      <c r="CQ269" s="32"/>
      <c r="CR269" s="32"/>
      <c r="CS269" s="32"/>
      <c r="CT269" s="32"/>
      <c r="CU269" s="32"/>
      <c r="CV269" s="32"/>
      <c r="CW269" s="32"/>
      <c r="CX269" s="32"/>
      <c r="CY269" s="32"/>
      <c r="CZ269" s="32"/>
      <c r="DA269" s="32"/>
      <c r="DB269" s="32"/>
      <c r="DC269" s="32"/>
      <c r="DD269" s="32"/>
      <c r="DE269" s="32"/>
      <c r="DF269" s="32"/>
      <c r="DG269" s="32"/>
      <c r="DH269" s="32"/>
      <c r="DI269" s="32"/>
      <c r="DJ269" s="32"/>
      <c r="DK269" s="32"/>
      <c r="DL269" s="32"/>
      <c r="DM269" s="32"/>
      <c r="DN269" s="32"/>
      <c r="DO269" s="32"/>
      <c r="DP269" s="32"/>
      <c r="DQ269" s="32"/>
      <c r="DR269" s="32"/>
      <c r="DS269" s="32"/>
      <c r="DT269" s="32"/>
      <c r="DU269" s="32"/>
      <c r="DV269" s="32"/>
      <c r="DW269" s="32"/>
      <c r="DX269" s="32"/>
      <c r="DY269" s="32"/>
      <c r="DZ269" s="32"/>
      <c r="EA269" s="32"/>
      <c r="EB269" s="32"/>
      <c r="EC269" s="32"/>
      <c r="ED269" s="32"/>
      <c r="EE269" s="32"/>
      <c r="EF269" s="32"/>
      <c r="EG269" s="32"/>
      <c r="EH269" s="32"/>
      <c r="EI269" s="32"/>
      <c r="EJ269" s="32"/>
      <c r="EK269" s="32"/>
      <c r="EL269" s="32"/>
      <c r="EM269" s="32"/>
      <c r="EN269" s="32"/>
      <c r="EO269" s="32"/>
      <c r="EP269" s="32"/>
      <c r="EQ269" s="32"/>
      <c r="ER269" s="32"/>
      <c r="ES269" s="32"/>
      <c r="ET269" s="32"/>
      <c r="EU269" s="32"/>
      <c r="EV269" s="32"/>
      <c r="EW269" s="32"/>
      <c r="EX269" s="32"/>
      <c r="EY269" s="32"/>
      <c r="EZ269" s="32"/>
      <c r="FA269" s="32"/>
      <c r="FB269" s="32"/>
      <c r="FC269" s="32"/>
      <c r="FD269" s="32"/>
      <c r="FE269" s="32"/>
      <c r="FF269" s="32"/>
      <c r="FG269" s="32"/>
      <c r="FH269" s="32"/>
      <c r="FI269" s="32"/>
      <c r="FJ269" s="32"/>
      <c r="FK269" s="32"/>
      <c r="FL269" s="32"/>
      <c r="FM269" s="32"/>
      <c r="FN269" s="32"/>
      <c r="FO269" s="32"/>
      <c r="FP269" s="32"/>
      <c r="FQ269" s="32"/>
      <c r="FR269" s="32"/>
      <c r="FS269" s="32"/>
      <c r="FT269" s="32"/>
      <c r="FU269" s="32"/>
      <c r="FV269" s="32"/>
      <c r="FW269" s="32"/>
      <c r="FX269" s="32"/>
      <c r="FY269" s="32"/>
      <c r="FZ269" s="32"/>
      <c r="GA269" s="32"/>
      <c r="GB269" s="32"/>
      <c r="GC269" s="32"/>
      <c r="GD269" s="32"/>
      <c r="GE269" s="32"/>
      <c r="GF269" s="32"/>
      <c r="GG269" s="32"/>
      <c r="GH269" s="32"/>
      <c r="GI269" s="32"/>
      <c r="GJ269" s="32"/>
      <c r="GK269" s="32"/>
      <c r="GL269" s="32"/>
      <c r="GM269" s="32"/>
      <c r="GN269" s="32"/>
      <c r="GO269" s="32"/>
      <c r="GP269" s="32"/>
      <c r="GQ269" s="32"/>
      <c r="GR269" s="32"/>
      <c r="GS269" s="32"/>
      <c r="GT269" s="32"/>
      <c r="GU269" s="32"/>
      <c r="GV269" s="32"/>
      <c r="GW269" s="32"/>
      <c r="GX269" s="32"/>
      <c r="GY269" s="32"/>
      <c r="GZ269" s="32"/>
      <c r="HA269" s="32"/>
      <c r="HB269" s="32"/>
      <c r="HC269" s="32"/>
      <c r="HD269" s="32"/>
      <c r="HE269" s="32"/>
      <c r="HF269" s="32"/>
      <c r="HG269" s="32"/>
      <c r="HH269" s="32"/>
      <c r="HI269" s="32"/>
      <c r="HJ269" s="32"/>
      <c r="HK269" s="32"/>
      <c r="HL269" s="32"/>
      <c r="HM269" s="32"/>
      <c r="HN269" s="32"/>
      <c r="HO269" s="32"/>
      <c r="HP269" s="32"/>
    </row>
    <row r="270" spans="1:224" x14ac:dyDescent="0.25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  <c r="BP270" s="32"/>
      <c r="BQ270" s="32"/>
      <c r="BR270" s="32"/>
      <c r="BS270" s="32"/>
      <c r="BT270" s="32"/>
      <c r="BU270" s="32"/>
      <c r="BV270" s="32"/>
      <c r="BW270" s="32"/>
      <c r="BX270" s="32"/>
      <c r="BY270" s="32"/>
      <c r="BZ270" s="32"/>
      <c r="CA270" s="32"/>
      <c r="CB270" s="32"/>
      <c r="CC270" s="32"/>
      <c r="CD270" s="32"/>
      <c r="CE270" s="32"/>
      <c r="CF270" s="32"/>
      <c r="CG270" s="32"/>
      <c r="CH270" s="32"/>
      <c r="CI270" s="32"/>
      <c r="CJ270" s="32"/>
      <c r="CK270" s="32"/>
      <c r="CL270" s="32"/>
      <c r="CM270" s="32"/>
      <c r="CN270" s="32"/>
      <c r="CO270" s="32"/>
      <c r="CP270" s="32"/>
      <c r="CQ270" s="32"/>
      <c r="CR270" s="32"/>
      <c r="CS270" s="32"/>
      <c r="CT270" s="32"/>
      <c r="CU270" s="32"/>
      <c r="CV270" s="32"/>
      <c r="CW270" s="32"/>
      <c r="CX270" s="32"/>
      <c r="CY270" s="32"/>
      <c r="CZ270" s="32"/>
      <c r="DA270" s="32"/>
      <c r="DB270" s="32"/>
      <c r="DC270" s="32"/>
      <c r="DD270" s="32"/>
      <c r="DE270" s="32"/>
      <c r="DF270" s="32"/>
      <c r="DG270" s="32"/>
      <c r="DH270" s="32"/>
      <c r="DI270" s="32"/>
      <c r="DJ270" s="32"/>
      <c r="DK270" s="32"/>
      <c r="DL270" s="32"/>
      <c r="DM270" s="32"/>
      <c r="DN270" s="32"/>
      <c r="DO270" s="32"/>
      <c r="DP270" s="32"/>
      <c r="DQ270" s="32"/>
      <c r="DR270" s="32"/>
      <c r="DS270" s="32"/>
      <c r="DT270" s="32"/>
      <c r="DU270" s="32"/>
      <c r="DV270" s="32"/>
      <c r="DW270" s="32"/>
      <c r="DX270" s="32"/>
      <c r="DY270" s="32"/>
      <c r="DZ270" s="32"/>
      <c r="EA270" s="32"/>
      <c r="EB270" s="32"/>
      <c r="EC270" s="32"/>
      <c r="ED270" s="32"/>
      <c r="EE270" s="32"/>
      <c r="EF270" s="32"/>
      <c r="EG270" s="32"/>
      <c r="EH270" s="32"/>
      <c r="EI270" s="32"/>
      <c r="EJ270" s="32"/>
      <c r="EK270" s="32"/>
      <c r="EL270" s="32"/>
      <c r="EM270" s="32"/>
      <c r="EN270" s="32"/>
      <c r="EO270" s="32"/>
      <c r="EP270" s="32"/>
      <c r="EQ270" s="32"/>
      <c r="ER270" s="32"/>
      <c r="ES270" s="32"/>
      <c r="ET270" s="32"/>
      <c r="EU270" s="32"/>
      <c r="EV270" s="32"/>
      <c r="EW270" s="32"/>
      <c r="EX270" s="32"/>
      <c r="EY270" s="32"/>
      <c r="EZ270" s="32"/>
      <c r="FA270" s="32"/>
      <c r="FB270" s="32"/>
      <c r="FC270" s="32"/>
      <c r="FD270" s="32"/>
      <c r="FE270" s="32"/>
      <c r="FF270" s="32"/>
      <c r="FG270" s="32"/>
      <c r="FH270" s="32"/>
      <c r="FI270" s="32"/>
      <c r="FJ270" s="32"/>
      <c r="FK270" s="32"/>
      <c r="FL270" s="32"/>
      <c r="FM270" s="32"/>
      <c r="FN270" s="32"/>
      <c r="FO270" s="32"/>
      <c r="FP270" s="32"/>
      <c r="FQ270" s="32"/>
      <c r="FR270" s="32"/>
      <c r="FS270" s="32"/>
      <c r="FT270" s="32"/>
      <c r="FU270" s="32"/>
      <c r="FV270" s="32"/>
      <c r="FW270" s="32"/>
      <c r="FX270" s="32"/>
      <c r="FY270" s="32"/>
      <c r="FZ270" s="32"/>
      <c r="GA270" s="32"/>
      <c r="GB270" s="32"/>
      <c r="GC270" s="32"/>
      <c r="GD270" s="32"/>
      <c r="GE270" s="32"/>
      <c r="GF270" s="32"/>
      <c r="GG270" s="32"/>
      <c r="GH270" s="32"/>
      <c r="GI270" s="32"/>
      <c r="GJ270" s="32"/>
      <c r="GK270" s="32"/>
      <c r="GL270" s="32"/>
      <c r="GM270" s="32"/>
      <c r="GN270" s="32"/>
      <c r="GO270" s="32"/>
      <c r="GP270" s="32"/>
      <c r="GQ270" s="32"/>
      <c r="GR270" s="32"/>
      <c r="GS270" s="32"/>
      <c r="GT270" s="32"/>
      <c r="GU270" s="32"/>
      <c r="GV270" s="32"/>
      <c r="GW270" s="32"/>
      <c r="GX270" s="32"/>
      <c r="GY270" s="32"/>
      <c r="GZ270" s="32"/>
      <c r="HA270" s="32"/>
      <c r="HB270" s="32"/>
      <c r="HC270" s="32"/>
      <c r="HD270" s="32"/>
      <c r="HE270" s="32"/>
      <c r="HF270" s="32"/>
      <c r="HG270" s="32"/>
      <c r="HH270" s="32"/>
      <c r="HI270" s="32"/>
      <c r="HJ270" s="32"/>
      <c r="HK270" s="32"/>
      <c r="HL270" s="32"/>
      <c r="HM270" s="32"/>
      <c r="HN270" s="32"/>
      <c r="HO270" s="32"/>
      <c r="HP270" s="32"/>
    </row>
    <row r="271" spans="1:224" x14ac:dyDescent="0.25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  <c r="BP271" s="32"/>
      <c r="BQ271" s="32"/>
      <c r="BR271" s="32"/>
      <c r="BS271" s="32"/>
      <c r="BT271" s="32"/>
      <c r="BU271" s="32"/>
      <c r="BV271" s="32"/>
      <c r="BW271" s="32"/>
      <c r="BX271" s="32"/>
      <c r="BY271" s="32"/>
      <c r="BZ271" s="32"/>
      <c r="CA271" s="32"/>
      <c r="CB271" s="32"/>
      <c r="CC271" s="32"/>
      <c r="CD271" s="32"/>
      <c r="CE271" s="32"/>
      <c r="CF271" s="32"/>
      <c r="CG271" s="32"/>
      <c r="CH271" s="32"/>
      <c r="CI271" s="32"/>
      <c r="CJ271" s="32"/>
      <c r="CK271" s="32"/>
      <c r="CL271" s="32"/>
      <c r="CM271" s="32"/>
      <c r="CN271" s="32"/>
      <c r="CO271" s="32"/>
      <c r="CP271" s="32"/>
      <c r="CQ271" s="32"/>
      <c r="CR271" s="32"/>
      <c r="CS271" s="32"/>
      <c r="CT271" s="32"/>
      <c r="CU271" s="32"/>
      <c r="CV271" s="32"/>
      <c r="CW271" s="32"/>
      <c r="CX271" s="32"/>
      <c r="CY271" s="32"/>
      <c r="CZ271" s="32"/>
      <c r="DA271" s="32"/>
      <c r="DB271" s="32"/>
      <c r="DC271" s="32"/>
      <c r="DD271" s="32"/>
      <c r="DE271" s="32"/>
      <c r="DF271" s="32"/>
      <c r="DG271" s="32"/>
      <c r="DH271" s="32"/>
      <c r="DI271" s="32"/>
      <c r="DJ271" s="32"/>
      <c r="DK271" s="32"/>
      <c r="DL271" s="32"/>
      <c r="DM271" s="32"/>
      <c r="DN271" s="32"/>
      <c r="DO271" s="32"/>
      <c r="DP271" s="32"/>
      <c r="DQ271" s="32"/>
      <c r="DR271" s="32"/>
      <c r="DS271" s="32"/>
      <c r="DT271" s="32"/>
      <c r="DU271" s="32"/>
      <c r="DV271" s="32"/>
      <c r="DW271" s="32"/>
      <c r="DX271" s="32"/>
      <c r="DY271" s="32"/>
      <c r="DZ271" s="32"/>
      <c r="EA271" s="32"/>
      <c r="EB271" s="32"/>
      <c r="EC271" s="32"/>
      <c r="ED271" s="32"/>
      <c r="EE271" s="32"/>
      <c r="EF271" s="32"/>
      <c r="EG271" s="32"/>
      <c r="EH271" s="32"/>
      <c r="EI271" s="32"/>
      <c r="EJ271" s="32"/>
      <c r="EK271" s="32"/>
      <c r="EL271" s="32"/>
      <c r="EM271" s="32"/>
      <c r="EN271" s="32"/>
      <c r="EO271" s="32"/>
      <c r="EP271" s="32"/>
      <c r="EQ271" s="32"/>
      <c r="ER271" s="32"/>
      <c r="ES271" s="32"/>
      <c r="ET271" s="32"/>
      <c r="EU271" s="32"/>
      <c r="EV271" s="32"/>
      <c r="EW271" s="32"/>
      <c r="EX271" s="32"/>
      <c r="EY271" s="32"/>
      <c r="EZ271" s="32"/>
      <c r="FA271" s="32"/>
      <c r="FB271" s="32"/>
      <c r="FC271" s="32"/>
      <c r="FD271" s="32"/>
      <c r="FE271" s="32"/>
      <c r="FF271" s="32"/>
      <c r="FG271" s="32"/>
      <c r="FH271" s="32"/>
      <c r="FI271" s="32"/>
      <c r="FJ271" s="32"/>
      <c r="FK271" s="32"/>
      <c r="FL271" s="32"/>
      <c r="FM271" s="32"/>
      <c r="FN271" s="32"/>
      <c r="FO271" s="32"/>
      <c r="FP271" s="32"/>
      <c r="FQ271" s="32"/>
      <c r="FR271" s="32"/>
      <c r="FS271" s="32"/>
      <c r="FT271" s="32"/>
      <c r="FU271" s="32"/>
      <c r="FV271" s="32"/>
      <c r="FW271" s="32"/>
      <c r="FX271" s="32"/>
      <c r="FY271" s="32"/>
      <c r="FZ271" s="32"/>
      <c r="GA271" s="32"/>
      <c r="GB271" s="32"/>
      <c r="GC271" s="32"/>
      <c r="GD271" s="32"/>
      <c r="GE271" s="32"/>
      <c r="GF271" s="32"/>
      <c r="GG271" s="32"/>
      <c r="GH271" s="32"/>
      <c r="GI271" s="32"/>
      <c r="GJ271" s="32"/>
      <c r="GK271" s="32"/>
      <c r="GL271" s="32"/>
      <c r="GM271" s="32"/>
      <c r="GN271" s="32"/>
      <c r="GO271" s="32"/>
      <c r="GP271" s="32"/>
      <c r="GQ271" s="32"/>
      <c r="GR271" s="32"/>
      <c r="GS271" s="32"/>
      <c r="GT271" s="32"/>
      <c r="GU271" s="32"/>
      <c r="GV271" s="32"/>
      <c r="GW271" s="32"/>
      <c r="GX271" s="32"/>
      <c r="GY271" s="32"/>
      <c r="GZ271" s="32"/>
      <c r="HA271" s="32"/>
      <c r="HB271" s="32"/>
      <c r="HC271" s="32"/>
      <c r="HD271" s="32"/>
      <c r="HE271" s="32"/>
      <c r="HF271" s="32"/>
      <c r="HG271" s="32"/>
      <c r="HH271" s="32"/>
      <c r="HI271" s="32"/>
      <c r="HJ271" s="32"/>
      <c r="HK271" s="32"/>
      <c r="HL271" s="32"/>
      <c r="HM271" s="32"/>
      <c r="HN271" s="32"/>
      <c r="HO271" s="32"/>
      <c r="HP271" s="32"/>
    </row>
    <row r="272" spans="1:224" x14ac:dyDescent="0.25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2"/>
      <c r="BU272" s="32"/>
      <c r="BV272" s="32"/>
      <c r="BW272" s="32"/>
      <c r="BX272" s="32"/>
      <c r="BY272" s="32"/>
      <c r="BZ272" s="32"/>
      <c r="CA272" s="32"/>
      <c r="CB272" s="32"/>
      <c r="CC272" s="32"/>
      <c r="CD272" s="32"/>
      <c r="CE272" s="32"/>
      <c r="CF272" s="32"/>
      <c r="CG272" s="32"/>
      <c r="CH272" s="32"/>
      <c r="CI272" s="32"/>
      <c r="CJ272" s="32"/>
      <c r="CK272" s="32"/>
      <c r="CL272" s="32"/>
      <c r="CM272" s="32"/>
      <c r="CN272" s="32"/>
      <c r="CO272" s="32"/>
      <c r="CP272" s="32"/>
      <c r="CQ272" s="32"/>
      <c r="CR272" s="32"/>
      <c r="CS272" s="32"/>
      <c r="CT272" s="32"/>
      <c r="CU272" s="32"/>
      <c r="CV272" s="32"/>
      <c r="CW272" s="32"/>
      <c r="CX272" s="32"/>
      <c r="CY272" s="32"/>
      <c r="CZ272" s="32"/>
      <c r="DA272" s="32"/>
      <c r="DB272" s="32"/>
      <c r="DC272" s="32"/>
      <c r="DD272" s="32"/>
      <c r="DE272" s="32"/>
      <c r="DF272" s="32"/>
      <c r="DG272" s="32"/>
      <c r="DH272" s="32"/>
      <c r="DI272" s="32"/>
      <c r="DJ272" s="32"/>
      <c r="DK272" s="32"/>
      <c r="DL272" s="32"/>
      <c r="DM272" s="32"/>
      <c r="DN272" s="32"/>
      <c r="DO272" s="32"/>
      <c r="DP272" s="32"/>
      <c r="DQ272" s="32"/>
      <c r="DR272" s="32"/>
      <c r="DS272" s="32"/>
      <c r="DT272" s="32"/>
      <c r="DU272" s="32"/>
      <c r="DV272" s="32"/>
      <c r="DW272" s="32"/>
      <c r="DX272" s="32"/>
      <c r="DY272" s="32"/>
      <c r="DZ272" s="32"/>
      <c r="EA272" s="32"/>
      <c r="EB272" s="32"/>
      <c r="EC272" s="32"/>
      <c r="ED272" s="32"/>
      <c r="EE272" s="32"/>
      <c r="EF272" s="32"/>
      <c r="EG272" s="32"/>
      <c r="EH272" s="32"/>
      <c r="EI272" s="32"/>
      <c r="EJ272" s="32"/>
      <c r="EK272" s="32"/>
      <c r="EL272" s="32"/>
      <c r="EM272" s="32"/>
      <c r="EN272" s="32"/>
      <c r="EO272" s="32"/>
      <c r="EP272" s="32"/>
      <c r="EQ272" s="32"/>
      <c r="ER272" s="32"/>
      <c r="ES272" s="32"/>
      <c r="ET272" s="32"/>
      <c r="EU272" s="32"/>
      <c r="EV272" s="32"/>
      <c r="EW272" s="32"/>
      <c r="EX272" s="32"/>
      <c r="EY272" s="32"/>
      <c r="EZ272" s="32"/>
      <c r="FA272" s="32"/>
      <c r="FB272" s="32"/>
      <c r="FC272" s="32"/>
      <c r="FD272" s="32"/>
      <c r="FE272" s="32"/>
      <c r="FF272" s="32"/>
      <c r="FG272" s="32"/>
      <c r="FH272" s="32"/>
      <c r="FI272" s="32"/>
      <c r="FJ272" s="32"/>
      <c r="FK272" s="32"/>
      <c r="FL272" s="32"/>
      <c r="FM272" s="32"/>
      <c r="FN272" s="32"/>
      <c r="FO272" s="32"/>
      <c r="FP272" s="32"/>
      <c r="FQ272" s="32"/>
      <c r="FR272" s="32"/>
      <c r="FS272" s="32"/>
      <c r="FT272" s="32"/>
      <c r="FU272" s="32"/>
      <c r="FV272" s="32"/>
      <c r="FW272" s="32"/>
      <c r="FX272" s="32"/>
      <c r="FY272" s="32"/>
      <c r="FZ272" s="32"/>
      <c r="GA272" s="32"/>
      <c r="GB272" s="32"/>
      <c r="GC272" s="32"/>
      <c r="GD272" s="32"/>
      <c r="GE272" s="32"/>
      <c r="GF272" s="32"/>
      <c r="GG272" s="32"/>
      <c r="GH272" s="32"/>
      <c r="GI272" s="32"/>
      <c r="GJ272" s="32"/>
      <c r="GK272" s="32"/>
      <c r="GL272" s="32"/>
      <c r="GM272" s="32"/>
      <c r="GN272" s="32"/>
      <c r="GO272" s="32"/>
      <c r="GP272" s="32"/>
      <c r="GQ272" s="32"/>
      <c r="GR272" s="32"/>
      <c r="GS272" s="32"/>
      <c r="GT272" s="32"/>
      <c r="GU272" s="32"/>
      <c r="GV272" s="32"/>
      <c r="GW272" s="32"/>
      <c r="GX272" s="32"/>
      <c r="GY272" s="32"/>
      <c r="GZ272" s="32"/>
      <c r="HA272" s="32"/>
      <c r="HB272" s="32"/>
      <c r="HC272" s="32"/>
      <c r="HD272" s="32"/>
      <c r="HE272" s="32"/>
      <c r="HF272" s="32"/>
      <c r="HG272" s="32"/>
      <c r="HH272" s="32"/>
      <c r="HI272" s="32"/>
      <c r="HJ272" s="32"/>
      <c r="HK272" s="32"/>
      <c r="HL272" s="32"/>
      <c r="HM272" s="32"/>
      <c r="HN272" s="32"/>
      <c r="HO272" s="32"/>
      <c r="HP272" s="32"/>
    </row>
    <row r="273" spans="1:224" x14ac:dyDescent="0.25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2"/>
      <c r="BM273" s="32"/>
      <c r="BN273" s="32"/>
      <c r="BO273" s="32"/>
      <c r="BP273" s="32"/>
      <c r="BQ273" s="32"/>
      <c r="BR273" s="32"/>
      <c r="BS273" s="32"/>
      <c r="BT273" s="32"/>
      <c r="BU273" s="32"/>
      <c r="BV273" s="32"/>
      <c r="BW273" s="32"/>
      <c r="BX273" s="32"/>
      <c r="BY273" s="32"/>
      <c r="BZ273" s="32"/>
      <c r="CA273" s="32"/>
      <c r="CB273" s="32"/>
      <c r="CC273" s="32"/>
      <c r="CD273" s="32"/>
      <c r="CE273" s="32"/>
      <c r="CF273" s="32"/>
      <c r="CG273" s="32"/>
      <c r="CH273" s="32"/>
      <c r="CI273" s="32"/>
      <c r="CJ273" s="32"/>
      <c r="CK273" s="32"/>
      <c r="CL273" s="32"/>
      <c r="CM273" s="32"/>
      <c r="CN273" s="32"/>
      <c r="CO273" s="32"/>
      <c r="CP273" s="32"/>
      <c r="CQ273" s="32"/>
      <c r="CR273" s="32"/>
      <c r="CS273" s="32"/>
      <c r="CT273" s="32"/>
      <c r="CU273" s="32"/>
      <c r="CV273" s="32"/>
      <c r="CW273" s="32"/>
      <c r="CX273" s="32"/>
      <c r="CY273" s="32"/>
      <c r="CZ273" s="32"/>
      <c r="DA273" s="32"/>
      <c r="DB273" s="32"/>
      <c r="DC273" s="32"/>
      <c r="DD273" s="32"/>
      <c r="DE273" s="32"/>
      <c r="DF273" s="32"/>
      <c r="DG273" s="32"/>
      <c r="DH273" s="32"/>
      <c r="DI273" s="32"/>
      <c r="DJ273" s="32"/>
      <c r="DK273" s="32"/>
      <c r="DL273" s="32"/>
      <c r="DM273" s="32"/>
      <c r="DN273" s="32"/>
      <c r="DO273" s="32"/>
      <c r="DP273" s="32"/>
      <c r="DQ273" s="32"/>
      <c r="DR273" s="32"/>
      <c r="DS273" s="32"/>
      <c r="DT273" s="32"/>
      <c r="DU273" s="32"/>
      <c r="DV273" s="32"/>
      <c r="DW273" s="32"/>
      <c r="DX273" s="32"/>
      <c r="DY273" s="32"/>
      <c r="DZ273" s="32"/>
      <c r="EA273" s="32"/>
      <c r="EB273" s="32"/>
      <c r="EC273" s="32"/>
      <c r="ED273" s="32"/>
      <c r="EE273" s="32"/>
      <c r="EF273" s="32"/>
      <c r="EG273" s="32"/>
      <c r="EH273" s="32"/>
      <c r="EI273" s="32"/>
      <c r="EJ273" s="32"/>
      <c r="EK273" s="32"/>
      <c r="EL273" s="32"/>
      <c r="EM273" s="32"/>
      <c r="EN273" s="32"/>
      <c r="EO273" s="32"/>
      <c r="EP273" s="32"/>
      <c r="EQ273" s="32"/>
      <c r="ER273" s="32"/>
      <c r="ES273" s="32"/>
      <c r="ET273" s="32"/>
      <c r="EU273" s="32"/>
      <c r="EV273" s="32"/>
      <c r="EW273" s="32"/>
      <c r="EX273" s="32"/>
      <c r="EY273" s="32"/>
      <c r="EZ273" s="32"/>
      <c r="FA273" s="32"/>
      <c r="FB273" s="32"/>
      <c r="FC273" s="32"/>
      <c r="FD273" s="32"/>
      <c r="FE273" s="32"/>
      <c r="FF273" s="32"/>
      <c r="FG273" s="32"/>
      <c r="FH273" s="32"/>
      <c r="FI273" s="32"/>
      <c r="FJ273" s="32"/>
      <c r="FK273" s="32"/>
      <c r="FL273" s="32"/>
      <c r="FM273" s="32"/>
      <c r="FN273" s="32"/>
      <c r="FO273" s="32"/>
      <c r="FP273" s="32"/>
      <c r="FQ273" s="32"/>
      <c r="FR273" s="32"/>
      <c r="FS273" s="32"/>
      <c r="FT273" s="32"/>
      <c r="FU273" s="32"/>
      <c r="FV273" s="32"/>
      <c r="FW273" s="32"/>
      <c r="FX273" s="32"/>
      <c r="FY273" s="32"/>
      <c r="FZ273" s="32"/>
      <c r="GA273" s="32"/>
      <c r="GB273" s="32"/>
      <c r="GC273" s="32"/>
      <c r="GD273" s="32"/>
      <c r="GE273" s="32"/>
      <c r="GF273" s="32"/>
      <c r="GG273" s="32"/>
      <c r="GH273" s="32"/>
      <c r="GI273" s="32"/>
      <c r="GJ273" s="32"/>
      <c r="GK273" s="32"/>
      <c r="GL273" s="32"/>
      <c r="GM273" s="32"/>
      <c r="GN273" s="32"/>
      <c r="GO273" s="32"/>
      <c r="GP273" s="32"/>
      <c r="GQ273" s="32"/>
      <c r="GR273" s="32"/>
      <c r="GS273" s="32"/>
      <c r="GT273" s="32"/>
      <c r="GU273" s="32"/>
      <c r="GV273" s="32"/>
      <c r="GW273" s="32"/>
      <c r="GX273" s="32"/>
      <c r="GY273" s="32"/>
      <c r="GZ273" s="32"/>
      <c r="HA273" s="32"/>
      <c r="HB273" s="32"/>
      <c r="HC273" s="32"/>
      <c r="HD273" s="32"/>
      <c r="HE273" s="32"/>
      <c r="HF273" s="32"/>
      <c r="HG273" s="32"/>
      <c r="HH273" s="32"/>
      <c r="HI273" s="32"/>
      <c r="HJ273" s="32"/>
      <c r="HK273" s="32"/>
      <c r="HL273" s="32"/>
      <c r="HM273" s="32"/>
      <c r="HN273" s="32"/>
      <c r="HO273" s="32"/>
      <c r="HP273" s="32"/>
    </row>
    <row r="274" spans="1:224" x14ac:dyDescent="0.25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  <c r="BP274" s="32"/>
      <c r="BQ274" s="32"/>
      <c r="BR274" s="32"/>
      <c r="BS274" s="32"/>
      <c r="BT274" s="32"/>
      <c r="BU274" s="32"/>
      <c r="BV274" s="32"/>
      <c r="BW274" s="32"/>
      <c r="BX274" s="32"/>
      <c r="BY274" s="32"/>
      <c r="BZ274" s="32"/>
      <c r="CA274" s="32"/>
      <c r="CB274" s="32"/>
      <c r="CC274" s="32"/>
      <c r="CD274" s="32"/>
      <c r="CE274" s="32"/>
      <c r="CF274" s="32"/>
      <c r="CG274" s="32"/>
      <c r="CH274" s="32"/>
      <c r="CI274" s="32"/>
      <c r="CJ274" s="32"/>
      <c r="CK274" s="32"/>
      <c r="CL274" s="32"/>
      <c r="CM274" s="32"/>
      <c r="CN274" s="32"/>
      <c r="CO274" s="32"/>
      <c r="CP274" s="32"/>
      <c r="CQ274" s="32"/>
      <c r="CR274" s="32"/>
      <c r="CS274" s="32"/>
      <c r="CT274" s="32"/>
      <c r="CU274" s="32"/>
      <c r="CV274" s="32"/>
      <c r="CW274" s="32"/>
      <c r="CX274" s="32"/>
      <c r="CY274" s="32"/>
      <c r="CZ274" s="32"/>
      <c r="DA274" s="32"/>
      <c r="DB274" s="32"/>
      <c r="DC274" s="32"/>
      <c r="DD274" s="32"/>
      <c r="DE274" s="32"/>
      <c r="DF274" s="32"/>
      <c r="DG274" s="32"/>
      <c r="DH274" s="32"/>
      <c r="DI274" s="32"/>
      <c r="DJ274" s="32"/>
      <c r="DK274" s="32"/>
      <c r="DL274" s="32"/>
      <c r="DM274" s="32"/>
      <c r="DN274" s="32"/>
      <c r="DO274" s="32"/>
      <c r="DP274" s="32"/>
      <c r="DQ274" s="32"/>
      <c r="DR274" s="32"/>
      <c r="DS274" s="32"/>
      <c r="DT274" s="32"/>
      <c r="DU274" s="32"/>
      <c r="DV274" s="32"/>
      <c r="DW274" s="32"/>
      <c r="DX274" s="32"/>
      <c r="DY274" s="32"/>
      <c r="DZ274" s="32"/>
      <c r="EA274" s="32"/>
      <c r="EB274" s="32"/>
      <c r="EC274" s="32"/>
      <c r="ED274" s="32"/>
      <c r="EE274" s="32"/>
      <c r="EF274" s="32"/>
      <c r="EG274" s="32"/>
      <c r="EH274" s="32"/>
      <c r="EI274" s="32"/>
      <c r="EJ274" s="32"/>
      <c r="EK274" s="32"/>
      <c r="EL274" s="32"/>
      <c r="EM274" s="32"/>
      <c r="EN274" s="32"/>
      <c r="EO274" s="32"/>
      <c r="EP274" s="32"/>
      <c r="EQ274" s="32"/>
      <c r="ER274" s="32"/>
      <c r="ES274" s="32"/>
      <c r="ET274" s="32"/>
      <c r="EU274" s="32"/>
      <c r="EV274" s="32"/>
      <c r="EW274" s="32"/>
      <c r="EX274" s="32"/>
      <c r="EY274" s="32"/>
      <c r="EZ274" s="32"/>
      <c r="FA274" s="32"/>
      <c r="FB274" s="32"/>
      <c r="FC274" s="32"/>
      <c r="FD274" s="32"/>
      <c r="FE274" s="32"/>
      <c r="FF274" s="32"/>
      <c r="FG274" s="32"/>
      <c r="FH274" s="32"/>
      <c r="FI274" s="32"/>
      <c r="FJ274" s="32"/>
      <c r="FK274" s="32"/>
      <c r="FL274" s="32"/>
      <c r="FM274" s="32"/>
      <c r="FN274" s="32"/>
      <c r="FO274" s="32"/>
      <c r="FP274" s="32"/>
      <c r="FQ274" s="32"/>
      <c r="FR274" s="32"/>
      <c r="FS274" s="32"/>
      <c r="FT274" s="32"/>
      <c r="FU274" s="32"/>
      <c r="FV274" s="32"/>
      <c r="FW274" s="32"/>
      <c r="FX274" s="32"/>
      <c r="FY274" s="32"/>
      <c r="FZ274" s="32"/>
      <c r="GA274" s="32"/>
      <c r="GB274" s="32"/>
      <c r="GC274" s="32"/>
      <c r="GD274" s="32"/>
      <c r="GE274" s="32"/>
      <c r="GF274" s="32"/>
      <c r="GG274" s="32"/>
      <c r="GH274" s="32"/>
      <c r="GI274" s="32"/>
      <c r="GJ274" s="32"/>
      <c r="GK274" s="32"/>
      <c r="GL274" s="32"/>
      <c r="GM274" s="32"/>
      <c r="GN274" s="32"/>
      <c r="GO274" s="32"/>
      <c r="GP274" s="32"/>
      <c r="GQ274" s="32"/>
      <c r="GR274" s="32"/>
      <c r="GS274" s="32"/>
      <c r="GT274" s="32"/>
      <c r="GU274" s="32"/>
      <c r="GV274" s="32"/>
      <c r="GW274" s="32"/>
      <c r="GX274" s="32"/>
      <c r="GY274" s="32"/>
      <c r="GZ274" s="32"/>
      <c r="HA274" s="32"/>
      <c r="HB274" s="32"/>
      <c r="HC274" s="32"/>
      <c r="HD274" s="32"/>
      <c r="HE274" s="32"/>
      <c r="HF274" s="32"/>
      <c r="HG274" s="32"/>
      <c r="HH274" s="32"/>
      <c r="HI274" s="32"/>
      <c r="HJ274" s="32"/>
      <c r="HK274" s="32"/>
      <c r="HL274" s="32"/>
      <c r="HM274" s="32"/>
      <c r="HN274" s="32"/>
      <c r="HO274" s="32"/>
      <c r="HP274" s="32"/>
    </row>
    <row r="275" spans="1:224" x14ac:dyDescent="0.2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  <c r="BG275" s="32"/>
      <c r="BH275" s="32"/>
      <c r="BI275" s="32"/>
      <c r="BJ275" s="32"/>
      <c r="BK275" s="32"/>
      <c r="BL275" s="32"/>
      <c r="BM275" s="32"/>
      <c r="BN275" s="32"/>
      <c r="BO275" s="32"/>
      <c r="BP275" s="32"/>
      <c r="BQ275" s="32"/>
      <c r="BR275" s="32"/>
      <c r="BS275" s="32"/>
      <c r="BT275" s="32"/>
      <c r="BU275" s="32"/>
      <c r="BV275" s="32"/>
      <c r="BW275" s="32"/>
      <c r="BX275" s="32"/>
      <c r="BY275" s="32"/>
      <c r="BZ275" s="32"/>
      <c r="CA275" s="32"/>
      <c r="CB275" s="32"/>
      <c r="CC275" s="32"/>
      <c r="CD275" s="32"/>
      <c r="CE275" s="32"/>
      <c r="CF275" s="32"/>
      <c r="CG275" s="32"/>
      <c r="CH275" s="32"/>
      <c r="CI275" s="32"/>
      <c r="CJ275" s="32"/>
      <c r="CK275" s="32"/>
      <c r="CL275" s="32"/>
      <c r="CM275" s="32"/>
      <c r="CN275" s="32"/>
      <c r="CO275" s="32"/>
      <c r="CP275" s="32"/>
      <c r="CQ275" s="32"/>
      <c r="CR275" s="32"/>
      <c r="CS275" s="32"/>
      <c r="CT275" s="32"/>
      <c r="CU275" s="32"/>
      <c r="CV275" s="32"/>
      <c r="CW275" s="32"/>
      <c r="CX275" s="32"/>
      <c r="CY275" s="32"/>
      <c r="CZ275" s="32"/>
      <c r="DA275" s="32"/>
      <c r="DB275" s="32"/>
      <c r="DC275" s="32"/>
      <c r="DD275" s="32"/>
      <c r="DE275" s="32"/>
      <c r="DF275" s="32"/>
      <c r="DG275" s="32"/>
      <c r="DH275" s="32"/>
      <c r="DI275" s="32"/>
      <c r="DJ275" s="32"/>
      <c r="DK275" s="32"/>
      <c r="DL275" s="32"/>
      <c r="DM275" s="32"/>
      <c r="DN275" s="32"/>
      <c r="DO275" s="32"/>
      <c r="DP275" s="32"/>
      <c r="DQ275" s="32"/>
      <c r="DR275" s="32"/>
      <c r="DS275" s="32"/>
      <c r="DT275" s="32"/>
      <c r="DU275" s="32"/>
      <c r="DV275" s="32"/>
      <c r="DW275" s="32"/>
      <c r="DX275" s="32"/>
      <c r="DY275" s="32"/>
      <c r="DZ275" s="32"/>
      <c r="EA275" s="32"/>
      <c r="EB275" s="32"/>
      <c r="EC275" s="32"/>
      <c r="ED275" s="32"/>
      <c r="EE275" s="32"/>
      <c r="EF275" s="32"/>
      <c r="EG275" s="32"/>
      <c r="EH275" s="32"/>
      <c r="EI275" s="32"/>
      <c r="EJ275" s="32"/>
      <c r="EK275" s="32"/>
      <c r="EL275" s="32"/>
      <c r="EM275" s="32"/>
      <c r="EN275" s="32"/>
      <c r="EO275" s="32"/>
      <c r="EP275" s="32"/>
      <c r="EQ275" s="32"/>
      <c r="ER275" s="32"/>
      <c r="ES275" s="32"/>
      <c r="ET275" s="32"/>
      <c r="EU275" s="32"/>
      <c r="EV275" s="32"/>
      <c r="EW275" s="32"/>
      <c r="EX275" s="32"/>
      <c r="EY275" s="32"/>
      <c r="EZ275" s="32"/>
      <c r="FA275" s="32"/>
      <c r="FB275" s="32"/>
      <c r="FC275" s="32"/>
      <c r="FD275" s="32"/>
      <c r="FE275" s="32"/>
      <c r="FF275" s="32"/>
      <c r="FG275" s="32"/>
      <c r="FH275" s="32"/>
      <c r="FI275" s="32"/>
      <c r="FJ275" s="32"/>
      <c r="FK275" s="32"/>
      <c r="FL275" s="32"/>
      <c r="FM275" s="32"/>
      <c r="FN275" s="32"/>
      <c r="FO275" s="32"/>
      <c r="FP275" s="32"/>
      <c r="FQ275" s="32"/>
      <c r="FR275" s="32"/>
      <c r="FS275" s="32"/>
      <c r="FT275" s="32"/>
      <c r="FU275" s="32"/>
      <c r="FV275" s="32"/>
      <c r="FW275" s="32"/>
      <c r="FX275" s="32"/>
      <c r="FY275" s="32"/>
      <c r="FZ275" s="32"/>
      <c r="GA275" s="32"/>
      <c r="GB275" s="32"/>
      <c r="GC275" s="32"/>
      <c r="GD275" s="32"/>
      <c r="GE275" s="32"/>
      <c r="GF275" s="32"/>
      <c r="GG275" s="32"/>
      <c r="GH275" s="32"/>
      <c r="GI275" s="32"/>
      <c r="GJ275" s="32"/>
      <c r="GK275" s="32"/>
      <c r="GL275" s="32"/>
      <c r="GM275" s="32"/>
      <c r="GN275" s="32"/>
      <c r="GO275" s="32"/>
      <c r="GP275" s="32"/>
      <c r="GQ275" s="32"/>
      <c r="GR275" s="32"/>
      <c r="GS275" s="32"/>
      <c r="GT275" s="32"/>
      <c r="GU275" s="32"/>
      <c r="GV275" s="32"/>
      <c r="GW275" s="32"/>
      <c r="GX275" s="32"/>
      <c r="GY275" s="32"/>
      <c r="GZ275" s="32"/>
      <c r="HA275" s="32"/>
      <c r="HB275" s="32"/>
      <c r="HC275" s="32"/>
      <c r="HD275" s="32"/>
      <c r="HE275" s="32"/>
      <c r="HF275" s="32"/>
      <c r="HG275" s="32"/>
      <c r="HH275" s="32"/>
      <c r="HI275" s="32"/>
      <c r="HJ275" s="32"/>
      <c r="HK275" s="32"/>
      <c r="HL275" s="32"/>
      <c r="HM275" s="32"/>
      <c r="HN275" s="32"/>
      <c r="HO275" s="32"/>
      <c r="HP275" s="32"/>
    </row>
    <row r="276" spans="1:224" x14ac:dyDescent="0.25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  <c r="BP276" s="32"/>
      <c r="BQ276" s="32"/>
      <c r="BR276" s="32"/>
      <c r="BS276" s="32"/>
      <c r="BT276" s="32"/>
      <c r="BU276" s="32"/>
      <c r="BV276" s="32"/>
      <c r="BW276" s="32"/>
      <c r="BX276" s="32"/>
      <c r="BY276" s="32"/>
      <c r="BZ276" s="32"/>
      <c r="CA276" s="32"/>
      <c r="CB276" s="32"/>
      <c r="CC276" s="32"/>
      <c r="CD276" s="32"/>
      <c r="CE276" s="32"/>
      <c r="CF276" s="32"/>
      <c r="CG276" s="32"/>
      <c r="CH276" s="32"/>
      <c r="CI276" s="32"/>
      <c r="CJ276" s="32"/>
      <c r="CK276" s="32"/>
      <c r="CL276" s="32"/>
      <c r="CM276" s="32"/>
      <c r="CN276" s="32"/>
      <c r="CO276" s="32"/>
      <c r="CP276" s="32"/>
      <c r="CQ276" s="32"/>
      <c r="CR276" s="32"/>
      <c r="CS276" s="32"/>
      <c r="CT276" s="32"/>
      <c r="CU276" s="32"/>
      <c r="CV276" s="32"/>
      <c r="CW276" s="32"/>
      <c r="CX276" s="32"/>
      <c r="CY276" s="32"/>
      <c r="CZ276" s="32"/>
      <c r="DA276" s="32"/>
      <c r="DB276" s="32"/>
      <c r="DC276" s="32"/>
      <c r="DD276" s="32"/>
      <c r="DE276" s="32"/>
      <c r="DF276" s="32"/>
      <c r="DG276" s="32"/>
      <c r="DH276" s="32"/>
      <c r="DI276" s="32"/>
      <c r="DJ276" s="32"/>
      <c r="DK276" s="32"/>
      <c r="DL276" s="32"/>
      <c r="DM276" s="32"/>
      <c r="DN276" s="32"/>
      <c r="DO276" s="32"/>
      <c r="DP276" s="32"/>
      <c r="DQ276" s="32"/>
      <c r="DR276" s="32"/>
      <c r="DS276" s="32"/>
      <c r="DT276" s="32"/>
      <c r="DU276" s="32"/>
      <c r="DV276" s="32"/>
      <c r="DW276" s="32"/>
      <c r="DX276" s="32"/>
      <c r="DY276" s="32"/>
      <c r="DZ276" s="32"/>
      <c r="EA276" s="32"/>
      <c r="EB276" s="32"/>
      <c r="EC276" s="32"/>
      <c r="ED276" s="32"/>
      <c r="EE276" s="32"/>
      <c r="EF276" s="32"/>
      <c r="EG276" s="32"/>
      <c r="EH276" s="32"/>
      <c r="EI276" s="32"/>
      <c r="EJ276" s="32"/>
      <c r="EK276" s="32"/>
      <c r="EL276" s="32"/>
      <c r="EM276" s="32"/>
      <c r="EN276" s="32"/>
      <c r="EO276" s="32"/>
      <c r="EP276" s="32"/>
      <c r="EQ276" s="32"/>
      <c r="ER276" s="32"/>
      <c r="ES276" s="32"/>
      <c r="ET276" s="32"/>
      <c r="EU276" s="32"/>
      <c r="EV276" s="32"/>
      <c r="EW276" s="32"/>
      <c r="EX276" s="32"/>
      <c r="EY276" s="32"/>
      <c r="EZ276" s="32"/>
      <c r="FA276" s="32"/>
      <c r="FB276" s="32"/>
      <c r="FC276" s="32"/>
      <c r="FD276" s="32"/>
      <c r="FE276" s="32"/>
      <c r="FF276" s="32"/>
      <c r="FG276" s="32"/>
      <c r="FH276" s="32"/>
      <c r="FI276" s="32"/>
      <c r="FJ276" s="32"/>
      <c r="FK276" s="32"/>
      <c r="FL276" s="32"/>
      <c r="FM276" s="32"/>
      <c r="FN276" s="32"/>
      <c r="FO276" s="32"/>
      <c r="FP276" s="32"/>
      <c r="FQ276" s="32"/>
      <c r="FR276" s="32"/>
      <c r="FS276" s="32"/>
      <c r="FT276" s="32"/>
      <c r="FU276" s="32"/>
      <c r="FV276" s="32"/>
      <c r="FW276" s="32"/>
      <c r="FX276" s="32"/>
      <c r="FY276" s="32"/>
      <c r="FZ276" s="32"/>
      <c r="GA276" s="32"/>
      <c r="GB276" s="32"/>
      <c r="GC276" s="32"/>
      <c r="GD276" s="32"/>
      <c r="GE276" s="32"/>
      <c r="GF276" s="32"/>
      <c r="GG276" s="32"/>
      <c r="GH276" s="32"/>
      <c r="GI276" s="32"/>
      <c r="GJ276" s="32"/>
      <c r="GK276" s="32"/>
      <c r="GL276" s="32"/>
      <c r="GM276" s="32"/>
      <c r="GN276" s="32"/>
      <c r="GO276" s="32"/>
      <c r="GP276" s="32"/>
      <c r="GQ276" s="32"/>
      <c r="GR276" s="32"/>
      <c r="GS276" s="32"/>
      <c r="GT276" s="32"/>
      <c r="GU276" s="32"/>
      <c r="GV276" s="32"/>
      <c r="GW276" s="32"/>
      <c r="GX276" s="32"/>
      <c r="GY276" s="32"/>
      <c r="GZ276" s="32"/>
      <c r="HA276" s="32"/>
      <c r="HB276" s="32"/>
      <c r="HC276" s="32"/>
      <c r="HD276" s="32"/>
      <c r="HE276" s="32"/>
      <c r="HF276" s="32"/>
      <c r="HG276" s="32"/>
      <c r="HH276" s="32"/>
      <c r="HI276" s="32"/>
      <c r="HJ276" s="32"/>
      <c r="HK276" s="32"/>
      <c r="HL276" s="32"/>
      <c r="HM276" s="32"/>
      <c r="HN276" s="32"/>
      <c r="HO276" s="32"/>
      <c r="HP276" s="32"/>
    </row>
    <row r="277" spans="1:224" x14ac:dyDescent="0.25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  <c r="BP277" s="32"/>
      <c r="BQ277" s="32"/>
      <c r="BR277" s="32"/>
      <c r="BS277" s="32"/>
      <c r="BT277" s="32"/>
      <c r="BU277" s="32"/>
      <c r="BV277" s="32"/>
      <c r="BW277" s="32"/>
      <c r="BX277" s="32"/>
      <c r="BY277" s="32"/>
      <c r="BZ277" s="32"/>
      <c r="CA277" s="32"/>
      <c r="CB277" s="32"/>
      <c r="CC277" s="32"/>
      <c r="CD277" s="32"/>
      <c r="CE277" s="32"/>
      <c r="CF277" s="32"/>
      <c r="CG277" s="32"/>
      <c r="CH277" s="32"/>
      <c r="CI277" s="32"/>
      <c r="CJ277" s="32"/>
      <c r="CK277" s="32"/>
      <c r="CL277" s="32"/>
      <c r="CM277" s="32"/>
      <c r="CN277" s="32"/>
      <c r="CO277" s="32"/>
      <c r="CP277" s="32"/>
      <c r="CQ277" s="32"/>
      <c r="CR277" s="32"/>
      <c r="CS277" s="32"/>
      <c r="CT277" s="32"/>
      <c r="CU277" s="32"/>
      <c r="CV277" s="32"/>
      <c r="CW277" s="32"/>
      <c r="CX277" s="32"/>
      <c r="CY277" s="32"/>
      <c r="CZ277" s="32"/>
      <c r="DA277" s="32"/>
      <c r="DB277" s="32"/>
      <c r="DC277" s="32"/>
      <c r="DD277" s="32"/>
      <c r="DE277" s="32"/>
      <c r="DF277" s="32"/>
      <c r="DG277" s="32"/>
      <c r="DH277" s="32"/>
      <c r="DI277" s="32"/>
      <c r="DJ277" s="32"/>
      <c r="DK277" s="32"/>
      <c r="DL277" s="32"/>
      <c r="DM277" s="32"/>
      <c r="DN277" s="32"/>
      <c r="DO277" s="32"/>
      <c r="DP277" s="32"/>
      <c r="DQ277" s="32"/>
      <c r="DR277" s="32"/>
      <c r="DS277" s="32"/>
      <c r="DT277" s="32"/>
      <c r="DU277" s="32"/>
      <c r="DV277" s="32"/>
      <c r="DW277" s="32"/>
      <c r="DX277" s="32"/>
      <c r="DY277" s="32"/>
      <c r="DZ277" s="32"/>
      <c r="EA277" s="32"/>
      <c r="EB277" s="32"/>
      <c r="EC277" s="32"/>
      <c r="ED277" s="32"/>
      <c r="EE277" s="32"/>
      <c r="EF277" s="32"/>
      <c r="EG277" s="32"/>
      <c r="EH277" s="32"/>
      <c r="EI277" s="32"/>
      <c r="EJ277" s="32"/>
      <c r="EK277" s="32"/>
      <c r="EL277" s="32"/>
      <c r="EM277" s="32"/>
      <c r="EN277" s="32"/>
      <c r="EO277" s="32"/>
      <c r="EP277" s="32"/>
      <c r="EQ277" s="32"/>
      <c r="ER277" s="32"/>
      <c r="ES277" s="32"/>
      <c r="ET277" s="32"/>
      <c r="EU277" s="32"/>
      <c r="EV277" s="32"/>
      <c r="EW277" s="32"/>
      <c r="EX277" s="32"/>
      <c r="EY277" s="32"/>
      <c r="EZ277" s="32"/>
      <c r="FA277" s="32"/>
      <c r="FB277" s="32"/>
      <c r="FC277" s="32"/>
      <c r="FD277" s="32"/>
      <c r="FE277" s="32"/>
      <c r="FF277" s="32"/>
      <c r="FG277" s="32"/>
      <c r="FH277" s="32"/>
      <c r="FI277" s="32"/>
      <c r="FJ277" s="32"/>
      <c r="FK277" s="32"/>
      <c r="FL277" s="32"/>
      <c r="FM277" s="32"/>
      <c r="FN277" s="32"/>
      <c r="FO277" s="32"/>
      <c r="FP277" s="32"/>
      <c r="FQ277" s="32"/>
      <c r="FR277" s="32"/>
      <c r="FS277" s="32"/>
      <c r="FT277" s="32"/>
      <c r="FU277" s="32"/>
      <c r="FV277" s="32"/>
      <c r="FW277" s="32"/>
      <c r="FX277" s="32"/>
      <c r="FY277" s="32"/>
      <c r="FZ277" s="32"/>
      <c r="GA277" s="32"/>
      <c r="GB277" s="32"/>
      <c r="GC277" s="32"/>
      <c r="GD277" s="32"/>
      <c r="GE277" s="32"/>
      <c r="GF277" s="32"/>
      <c r="GG277" s="32"/>
      <c r="GH277" s="32"/>
      <c r="GI277" s="32"/>
      <c r="GJ277" s="32"/>
      <c r="GK277" s="32"/>
      <c r="GL277" s="32"/>
      <c r="GM277" s="32"/>
      <c r="GN277" s="32"/>
      <c r="GO277" s="32"/>
      <c r="GP277" s="32"/>
      <c r="GQ277" s="32"/>
      <c r="GR277" s="32"/>
      <c r="GS277" s="32"/>
      <c r="GT277" s="32"/>
      <c r="GU277" s="32"/>
      <c r="GV277" s="32"/>
      <c r="GW277" s="32"/>
      <c r="GX277" s="32"/>
      <c r="GY277" s="32"/>
      <c r="GZ277" s="32"/>
      <c r="HA277" s="32"/>
      <c r="HB277" s="32"/>
      <c r="HC277" s="32"/>
      <c r="HD277" s="32"/>
      <c r="HE277" s="32"/>
      <c r="HF277" s="32"/>
      <c r="HG277" s="32"/>
      <c r="HH277" s="32"/>
      <c r="HI277" s="32"/>
      <c r="HJ277" s="32"/>
      <c r="HK277" s="32"/>
      <c r="HL277" s="32"/>
      <c r="HM277" s="32"/>
      <c r="HN277" s="32"/>
      <c r="HO277" s="32"/>
      <c r="HP277" s="32"/>
    </row>
    <row r="278" spans="1:224" x14ac:dyDescent="0.25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  <c r="BP278" s="32"/>
      <c r="BQ278" s="32"/>
      <c r="BR278" s="32"/>
      <c r="BS278" s="32"/>
      <c r="BT278" s="32"/>
      <c r="BU278" s="32"/>
      <c r="BV278" s="32"/>
      <c r="BW278" s="32"/>
      <c r="BX278" s="32"/>
      <c r="BY278" s="32"/>
      <c r="BZ278" s="32"/>
      <c r="CA278" s="32"/>
      <c r="CB278" s="32"/>
      <c r="CC278" s="32"/>
      <c r="CD278" s="32"/>
      <c r="CE278" s="32"/>
      <c r="CF278" s="32"/>
      <c r="CG278" s="32"/>
      <c r="CH278" s="32"/>
      <c r="CI278" s="32"/>
      <c r="CJ278" s="32"/>
      <c r="CK278" s="32"/>
      <c r="CL278" s="32"/>
      <c r="CM278" s="32"/>
      <c r="CN278" s="32"/>
      <c r="CO278" s="32"/>
      <c r="CP278" s="32"/>
      <c r="CQ278" s="32"/>
      <c r="CR278" s="32"/>
      <c r="CS278" s="32"/>
      <c r="CT278" s="32"/>
      <c r="CU278" s="32"/>
      <c r="CV278" s="32"/>
      <c r="CW278" s="32"/>
      <c r="CX278" s="32"/>
      <c r="CY278" s="32"/>
      <c r="CZ278" s="32"/>
      <c r="DA278" s="32"/>
      <c r="DB278" s="32"/>
      <c r="DC278" s="32"/>
      <c r="DD278" s="32"/>
      <c r="DE278" s="32"/>
      <c r="DF278" s="32"/>
      <c r="DG278" s="32"/>
      <c r="DH278" s="32"/>
      <c r="DI278" s="32"/>
      <c r="DJ278" s="32"/>
      <c r="DK278" s="32"/>
      <c r="DL278" s="32"/>
      <c r="DM278" s="32"/>
      <c r="DN278" s="32"/>
      <c r="DO278" s="32"/>
      <c r="DP278" s="32"/>
      <c r="DQ278" s="32"/>
      <c r="DR278" s="32"/>
      <c r="DS278" s="32"/>
      <c r="DT278" s="32"/>
      <c r="DU278" s="32"/>
      <c r="DV278" s="32"/>
      <c r="DW278" s="32"/>
      <c r="DX278" s="32"/>
      <c r="DY278" s="32"/>
      <c r="DZ278" s="32"/>
      <c r="EA278" s="32"/>
      <c r="EB278" s="32"/>
      <c r="EC278" s="32"/>
      <c r="ED278" s="32"/>
      <c r="EE278" s="32"/>
      <c r="EF278" s="32"/>
      <c r="EG278" s="32"/>
      <c r="EH278" s="32"/>
      <c r="EI278" s="32"/>
      <c r="EJ278" s="32"/>
      <c r="EK278" s="32"/>
      <c r="EL278" s="32"/>
      <c r="EM278" s="32"/>
      <c r="EN278" s="32"/>
      <c r="EO278" s="32"/>
      <c r="EP278" s="32"/>
      <c r="EQ278" s="32"/>
      <c r="ER278" s="32"/>
      <c r="ES278" s="32"/>
      <c r="ET278" s="32"/>
      <c r="EU278" s="32"/>
      <c r="EV278" s="32"/>
      <c r="EW278" s="32"/>
      <c r="EX278" s="32"/>
      <c r="EY278" s="32"/>
      <c r="EZ278" s="32"/>
      <c r="FA278" s="32"/>
      <c r="FB278" s="32"/>
      <c r="FC278" s="32"/>
      <c r="FD278" s="32"/>
      <c r="FE278" s="32"/>
      <c r="FF278" s="32"/>
      <c r="FG278" s="32"/>
      <c r="FH278" s="32"/>
      <c r="FI278" s="32"/>
      <c r="FJ278" s="32"/>
      <c r="FK278" s="32"/>
      <c r="FL278" s="32"/>
      <c r="FM278" s="32"/>
      <c r="FN278" s="32"/>
      <c r="FO278" s="32"/>
      <c r="FP278" s="32"/>
      <c r="FQ278" s="32"/>
      <c r="FR278" s="32"/>
      <c r="FS278" s="32"/>
      <c r="FT278" s="32"/>
      <c r="FU278" s="32"/>
      <c r="FV278" s="32"/>
      <c r="FW278" s="32"/>
      <c r="FX278" s="32"/>
      <c r="FY278" s="32"/>
      <c r="FZ278" s="32"/>
      <c r="GA278" s="32"/>
      <c r="GB278" s="32"/>
      <c r="GC278" s="32"/>
      <c r="GD278" s="32"/>
      <c r="GE278" s="32"/>
      <c r="GF278" s="32"/>
      <c r="GG278" s="32"/>
      <c r="GH278" s="32"/>
      <c r="GI278" s="32"/>
      <c r="GJ278" s="32"/>
      <c r="GK278" s="32"/>
      <c r="GL278" s="32"/>
      <c r="GM278" s="32"/>
      <c r="GN278" s="32"/>
      <c r="GO278" s="32"/>
      <c r="GP278" s="32"/>
      <c r="GQ278" s="32"/>
      <c r="GR278" s="32"/>
      <c r="GS278" s="32"/>
      <c r="GT278" s="32"/>
      <c r="GU278" s="32"/>
      <c r="GV278" s="32"/>
      <c r="GW278" s="32"/>
      <c r="GX278" s="32"/>
      <c r="GY278" s="32"/>
      <c r="GZ278" s="32"/>
      <c r="HA278" s="32"/>
      <c r="HB278" s="32"/>
      <c r="HC278" s="32"/>
      <c r="HD278" s="32"/>
      <c r="HE278" s="32"/>
      <c r="HF278" s="32"/>
      <c r="HG278" s="32"/>
      <c r="HH278" s="32"/>
      <c r="HI278" s="32"/>
      <c r="HJ278" s="32"/>
      <c r="HK278" s="32"/>
      <c r="HL278" s="32"/>
      <c r="HM278" s="32"/>
      <c r="HN278" s="32"/>
      <c r="HO278" s="32"/>
      <c r="HP278" s="32"/>
    </row>
    <row r="279" spans="1:224" x14ac:dyDescent="0.25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  <c r="BP279" s="32"/>
      <c r="BQ279" s="32"/>
      <c r="BR279" s="32"/>
      <c r="BS279" s="32"/>
      <c r="BT279" s="32"/>
      <c r="BU279" s="32"/>
      <c r="BV279" s="32"/>
      <c r="BW279" s="32"/>
      <c r="BX279" s="32"/>
      <c r="BY279" s="32"/>
      <c r="BZ279" s="32"/>
      <c r="CA279" s="32"/>
      <c r="CB279" s="32"/>
      <c r="CC279" s="32"/>
      <c r="CD279" s="32"/>
      <c r="CE279" s="32"/>
      <c r="CF279" s="32"/>
      <c r="CG279" s="32"/>
      <c r="CH279" s="32"/>
      <c r="CI279" s="32"/>
      <c r="CJ279" s="32"/>
      <c r="CK279" s="32"/>
      <c r="CL279" s="32"/>
      <c r="CM279" s="32"/>
      <c r="CN279" s="32"/>
      <c r="CO279" s="32"/>
      <c r="CP279" s="32"/>
      <c r="CQ279" s="32"/>
      <c r="CR279" s="32"/>
      <c r="CS279" s="32"/>
      <c r="CT279" s="32"/>
      <c r="CU279" s="32"/>
      <c r="CV279" s="32"/>
      <c r="CW279" s="32"/>
      <c r="CX279" s="32"/>
      <c r="CY279" s="32"/>
      <c r="CZ279" s="32"/>
      <c r="DA279" s="32"/>
      <c r="DB279" s="32"/>
      <c r="DC279" s="32"/>
      <c r="DD279" s="32"/>
      <c r="DE279" s="32"/>
      <c r="DF279" s="32"/>
      <c r="DG279" s="32"/>
      <c r="DH279" s="32"/>
      <c r="DI279" s="32"/>
      <c r="DJ279" s="32"/>
      <c r="DK279" s="32"/>
      <c r="DL279" s="32"/>
      <c r="DM279" s="32"/>
      <c r="DN279" s="32"/>
      <c r="DO279" s="32"/>
      <c r="DP279" s="32"/>
      <c r="DQ279" s="32"/>
      <c r="DR279" s="32"/>
      <c r="DS279" s="32"/>
      <c r="DT279" s="32"/>
      <c r="DU279" s="32"/>
      <c r="DV279" s="32"/>
      <c r="DW279" s="32"/>
      <c r="DX279" s="32"/>
      <c r="DY279" s="32"/>
      <c r="DZ279" s="32"/>
      <c r="EA279" s="32"/>
      <c r="EB279" s="32"/>
      <c r="EC279" s="32"/>
      <c r="ED279" s="32"/>
      <c r="EE279" s="32"/>
      <c r="EF279" s="32"/>
      <c r="EG279" s="32"/>
      <c r="EH279" s="32"/>
      <c r="EI279" s="32"/>
      <c r="EJ279" s="32"/>
      <c r="EK279" s="32"/>
      <c r="EL279" s="32"/>
      <c r="EM279" s="32"/>
      <c r="EN279" s="32"/>
      <c r="EO279" s="32"/>
      <c r="EP279" s="32"/>
      <c r="EQ279" s="32"/>
      <c r="ER279" s="32"/>
      <c r="ES279" s="32"/>
      <c r="ET279" s="32"/>
      <c r="EU279" s="32"/>
      <c r="EV279" s="32"/>
      <c r="EW279" s="32"/>
      <c r="EX279" s="32"/>
      <c r="EY279" s="32"/>
      <c r="EZ279" s="32"/>
      <c r="FA279" s="32"/>
      <c r="FB279" s="32"/>
      <c r="FC279" s="32"/>
      <c r="FD279" s="32"/>
      <c r="FE279" s="32"/>
      <c r="FF279" s="32"/>
      <c r="FG279" s="32"/>
      <c r="FH279" s="32"/>
      <c r="FI279" s="32"/>
      <c r="FJ279" s="32"/>
      <c r="FK279" s="32"/>
      <c r="FL279" s="32"/>
      <c r="FM279" s="32"/>
      <c r="FN279" s="32"/>
      <c r="FO279" s="32"/>
      <c r="FP279" s="32"/>
      <c r="FQ279" s="32"/>
      <c r="FR279" s="32"/>
      <c r="FS279" s="32"/>
      <c r="FT279" s="32"/>
      <c r="FU279" s="32"/>
      <c r="FV279" s="32"/>
      <c r="FW279" s="32"/>
      <c r="FX279" s="32"/>
      <c r="FY279" s="32"/>
      <c r="FZ279" s="32"/>
      <c r="GA279" s="32"/>
      <c r="GB279" s="32"/>
      <c r="GC279" s="32"/>
      <c r="GD279" s="32"/>
      <c r="GE279" s="32"/>
      <c r="GF279" s="32"/>
      <c r="GG279" s="32"/>
      <c r="GH279" s="32"/>
      <c r="GI279" s="32"/>
      <c r="GJ279" s="32"/>
      <c r="GK279" s="32"/>
      <c r="GL279" s="32"/>
      <c r="GM279" s="32"/>
      <c r="GN279" s="32"/>
      <c r="GO279" s="32"/>
      <c r="GP279" s="32"/>
      <c r="GQ279" s="32"/>
      <c r="GR279" s="32"/>
      <c r="GS279" s="32"/>
      <c r="GT279" s="32"/>
      <c r="GU279" s="32"/>
      <c r="GV279" s="32"/>
      <c r="GW279" s="32"/>
      <c r="GX279" s="32"/>
      <c r="GY279" s="32"/>
      <c r="GZ279" s="32"/>
      <c r="HA279" s="32"/>
      <c r="HB279" s="32"/>
      <c r="HC279" s="32"/>
      <c r="HD279" s="32"/>
      <c r="HE279" s="32"/>
      <c r="HF279" s="32"/>
      <c r="HG279" s="32"/>
      <c r="HH279" s="32"/>
      <c r="HI279" s="32"/>
      <c r="HJ279" s="32"/>
      <c r="HK279" s="32"/>
      <c r="HL279" s="32"/>
      <c r="HM279" s="32"/>
      <c r="HN279" s="32"/>
      <c r="HO279" s="32"/>
      <c r="HP279" s="32"/>
    </row>
    <row r="280" spans="1:224" x14ac:dyDescent="0.25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  <c r="BP280" s="32"/>
      <c r="BQ280" s="32"/>
      <c r="BR280" s="32"/>
      <c r="BS280" s="32"/>
      <c r="BT280" s="32"/>
      <c r="BU280" s="32"/>
      <c r="BV280" s="32"/>
      <c r="BW280" s="32"/>
      <c r="BX280" s="32"/>
      <c r="BY280" s="32"/>
      <c r="BZ280" s="32"/>
      <c r="CA280" s="32"/>
      <c r="CB280" s="32"/>
      <c r="CC280" s="32"/>
      <c r="CD280" s="32"/>
      <c r="CE280" s="32"/>
      <c r="CF280" s="32"/>
      <c r="CG280" s="32"/>
      <c r="CH280" s="32"/>
      <c r="CI280" s="32"/>
      <c r="CJ280" s="32"/>
      <c r="CK280" s="32"/>
      <c r="CL280" s="32"/>
      <c r="CM280" s="32"/>
      <c r="CN280" s="32"/>
      <c r="CO280" s="32"/>
      <c r="CP280" s="32"/>
      <c r="CQ280" s="32"/>
      <c r="CR280" s="32"/>
      <c r="CS280" s="32"/>
      <c r="CT280" s="32"/>
      <c r="CU280" s="32"/>
      <c r="CV280" s="32"/>
      <c r="CW280" s="32"/>
      <c r="CX280" s="32"/>
      <c r="CY280" s="32"/>
      <c r="CZ280" s="32"/>
      <c r="DA280" s="32"/>
      <c r="DB280" s="32"/>
      <c r="DC280" s="32"/>
      <c r="DD280" s="32"/>
      <c r="DE280" s="32"/>
      <c r="DF280" s="32"/>
      <c r="DG280" s="32"/>
      <c r="DH280" s="32"/>
      <c r="DI280" s="32"/>
      <c r="DJ280" s="32"/>
      <c r="DK280" s="32"/>
      <c r="DL280" s="32"/>
      <c r="DM280" s="32"/>
      <c r="DN280" s="32"/>
      <c r="DO280" s="32"/>
      <c r="DP280" s="32"/>
      <c r="DQ280" s="32"/>
      <c r="DR280" s="32"/>
      <c r="DS280" s="32"/>
      <c r="DT280" s="32"/>
      <c r="DU280" s="32"/>
      <c r="DV280" s="32"/>
      <c r="DW280" s="32"/>
      <c r="DX280" s="32"/>
      <c r="DY280" s="32"/>
      <c r="DZ280" s="32"/>
      <c r="EA280" s="32"/>
      <c r="EB280" s="32"/>
      <c r="EC280" s="32"/>
      <c r="ED280" s="32"/>
      <c r="EE280" s="32"/>
      <c r="EF280" s="32"/>
      <c r="EG280" s="32"/>
      <c r="EH280" s="32"/>
      <c r="EI280" s="32"/>
      <c r="EJ280" s="32"/>
      <c r="EK280" s="32"/>
      <c r="EL280" s="32"/>
      <c r="EM280" s="32"/>
      <c r="EN280" s="32"/>
      <c r="EO280" s="32"/>
      <c r="EP280" s="32"/>
      <c r="EQ280" s="32"/>
      <c r="ER280" s="32"/>
      <c r="ES280" s="32"/>
      <c r="ET280" s="32"/>
      <c r="EU280" s="32"/>
      <c r="EV280" s="32"/>
      <c r="EW280" s="32"/>
      <c r="EX280" s="32"/>
      <c r="EY280" s="32"/>
      <c r="EZ280" s="32"/>
      <c r="FA280" s="32"/>
      <c r="FB280" s="32"/>
      <c r="FC280" s="32"/>
      <c r="FD280" s="32"/>
      <c r="FE280" s="32"/>
      <c r="FF280" s="32"/>
      <c r="FG280" s="32"/>
      <c r="FH280" s="32"/>
      <c r="FI280" s="32"/>
      <c r="FJ280" s="32"/>
      <c r="FK280" s="32"/>
      <c r="FL280" s="32"/>
      <c r="FM280" s="32"/>
      <c r="FN280" s="32"/>
      <c r="FO280" s="32"/>
      <c r="FP280" s="32"/>
      <c r="FQ280" s="32"/>
      <c r="FR280" s="32"/>
      <c r="FS280" s="32"/>
      <c r="FT280" s="32"/>
      <c r="FU280" s="32"/>
      <c r="FV280" s="32"/>
      <c r="FW280" s="32"/>
      <c r="FX280" s="32"/>
      <c r="FY280" s="32"/>
      <c r="FZ280" s="32"/>
      <c r="GA280" s="32"/>
      <c r="GB280" s="32"/>
      <c r="GC280" s="32"/>
      <c r="GD280" s="32"/>
      <c r="GE280" s="32"/>
      <c r="GF280" s="32"/>
      <c r="GG280" s="32"/>
      <c r="GH280" s="32"/>
      <c r="GI280" s="32"/>
      <c r="GJ280" s="32"/>
      <c r="GK280" s="32"/>
      <c r="GL280" s="32"/>
      <c r="GM280" s="32"/>
      <c r="GN280" s="32"/>
      <c r="GO280" s="32"/>
      <c r="GP280" s="32"/>
      <c r="GQ280" s="32"/>
      <c r="GR280" s="32"/>
      <c r="GS280" s="32"/>
      <c r="GT280" s="32"/>
      <c r="GU280" s="32"/>
      <c r="GV280" s="32"/>
      <c r="GW280" s="32"/>
      <c r="GX280" s="32"/>
      <c r="GY280" s="32"/>
      <c r="GZ280" s="32"/>
      <c r="HA280" s="32"/>
      <c r="HB280" s="32"/>
      <c r="HC280" s="32"/>
      <c r="HD280" s="32"/>
      <c r="HE280" s="32"/>
      <c r="HF280" s="32"/>
      <c r="HG280" s="32"/>
      <c r="HH280" s="32"/>
      <c r="HI280" s="32"/>
      <c r="HJ280" s="32"/>
      <c r="HK280" s="32"/>
      <c r="HL280" s="32"/>
      <c r="HM280" s="32"/>
      <c r="HN280" s="32"/>
      <c r="HO280" s="32"/>
      <c r="HP280" s="32"/>
    </row>
    <row r="281" spans="1:224" x14ac:dyDescent="0.25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  <c r="BP281" s="32"/>
      <c r="BQ281" s="32"/>
      <c r="BR281" s="32"/>
      <c r="BS281" s="32"/>
      <c r="BT281" s="32"/>
      <c r="BU281" s="32"/>
      <c r="BV281" s="32"/>
      <c r="BW281" s="32"/>
      <c r="BX281" s="32"/>
      <c r="BY281" s="32"/>
      <c r="BZ281" s="32"/>
      <c r="CA281" s="32"/>
      <c r="CB281" s="32"/>
      <c r="CC281" s="32"/>
      <c r="CD281" s="32"/>
      <c r="CE281" s="32"/>
      <c r="CF281" s="32"/>
      <c r="CG281" s="32"/>
      <c r="CH281" s="32"/>
      <c r="CI281" s="32"/>
      <c r="CJ281" s="32"/>
      <c r="CK281" s="32"/>
      <c r="CL281" s="32"/>
      <c r="CM281" s="32"/>
      <c r="CN281" s="32"/>
      <c r="CO281" s="32"/>
      <c r="CP281" s="32"/>
      <c r="CQ281" s="32"/>
      <c r="CR281" s="32"/>
      <c r="CS281" s="32"/>
      <c r="CT281" s="32"/>
      <c r="CU281" s="32"/>
      <c r="CV281" s="32"/>
      <c r="CW281" s="32"/>
      <c r="CX281" s="32"/>
      <c r="CY281" s="32"/>
      <c r="CZ281" s="32"/>
      <c r="DA281" s="32"/>
      <c r="DB281" s="32"/>
      <c r="DC281" s="32"/>
      <c r="DD281" s="32"/>
      <c r="DE281" s="32"/>
      <c r="DF281" s="32"/>
      <c r="DG281" s="32"/>
      <c r="DH281" s="32"/>
      <c r="DI281" s="32"/>
      <c r="DJ281" s="32"/>
      <c r="DK281" s="32"/>
      <c r="DL281" s="32"/>
      <c r="DM281" s="32"/>
      <c r="DN281" s="32"/>
      <c r="DO281" s="32"/>
      <c r="DP281" s="32"/>
      <c r="DQ281" s="32"/>
      <c r="DR281" s="32"/>
      <c r="DS281" s="32"/>
      <c r="DT281" s="32"/>
      <c r="DU281" s="32"/>
      <c r="DV281" s="32"/>
      <c r="DW281" s="32"/>
      <c r="DX281" s="32"/>
      <c r="DY281" s="32"/>
      <c r="DZ281" s="32"/>
      <c r="EA281" s="32"/>
      <c r="EB281" s="32"/>
      <c r="EC281" s="32"/>
      <c r="ED281" s="32"/>
      <c r="EE281" s="32"/>
      <c r="EF281" s="32"/>
      <c r="EG281" s="32"/>
      <c r="EH281" s="32"/>
      <c r="EI281" s="32"/>
      <c r="EJ281" s="32"/>
      <c r="EK281" s="32"/>
      <c r="EL281" s="32"/>
      <c r="EM281" s="32"/>
      <c r="EN281" s="32"/>
      <c r="EO281" s="32"/>
      <c r="EP281" s="32"/>
      <c r="EQ281" s="32"/>
      <c r="ER281" s="32"/>
      <c r="ES281" s="32"/>
      <c r="ET281" s="32"/>
      <c r="EU281" s="32"/>
      <c r="EV281" s="32"/>
      <c r="EW281" s="32"/>
      <c r="EX281" s="32"/>
      <c r="EY281" s="32"/>
      <c r="EZ281" s="32"/>
      <c r="FA281" s="32"/>
      <c r="FB281" s="32"/>
      <c r="FC281" s="32"/>
      <c r="FD281" s="32"/>
      <c r="FE281" s="32"/>
      <c r="FF281" s="32"/>
      <c r="FG281" s="32"/>
      <c r="FH281" s="32"/>
      <c r="FI281" s="32"/>
      <c r="FJ281" s="32"/>
      <c r="FK281" s="32"/>
      <c r="FL281" s="32"/>
      <c r="FM281" s="32"/>
      <c r="FN281" s="32"/>
      <c r="FO281" s="32"/>
      <c r="FP281" s="32"/>
      <c r="FQ281" s="32"/>
      <c r="FR281" s="32"/>
      <c r="FS281" s="32"/>
      <c r="FT281" s="32"/>
      <c r="FU281" s="32"/>
      <c r="FV281" s="32"/>
      <c r="FW281" s="32"/>
      <c r="FX281" s="32"/>
      <c r="FY281" s="32"/>
      <c r="FZ281" s="32"/>
      <c r="GA281" s="32"/>
      <c r="GB281" s="32"/>
      <c r="GC281" s="32"/>
      <c r="GD281" s="32"/>
      <c r="GE281" s="32"/>
      <c r="GF281" s="32"/>
      <c r="GG281" s="32"/>
      <c r="GH281" s="32"/>
      <c r="GI281" s="32"/>
      <c r="GJ281" s="32"/>
      <c r="GK281" s="32"/>
      <c r="GL281" s="32"/>
      <c r="GM281" s="32"/>
      <c r="GN281" s="32"/>
      <c r="GO281" s="32"/>
      <c r="GP281" s="32"/>
      <c r="GQ281" s="32"/>
      <c r="GR281" s="32"/>
      <c r="GS281" s="32"/>
      <c r="GT281" s="32"/>
      <c r="GU281" s="32"/>
      <c r="GV281" s="32"/>
      <c r="GW281" s="32"/>
      <c r="GX281" s="32"/>
      <c r="GY281" s="32"/>
      <c r="GZ281" s="32"/>
      <c r="HA281" s="32"/>
      <c r="HB281" s="32"/>
      <c r="HC281" s="32"/>
      <c r="HD281" s="32"/>
      <c r="HE281" s="32"/>
      <c r="HF281" s="32"/>
      <c r="HG281" s="32"/>
      <c r="HH281" s="32"/>
      <c r="HI281" s="32"/>
      <c r="HJ281" s="32"/>
      <c r="HK281" s="32"/>
      <c r="HL281" s="32"/>
      <c r="HM281" s="32"/>
      <c r="HN281" s="32"/>
      <c r="HO281" s="32"/>
      <c r="HP281" s="32"/>
    </row>
    <row r="282" spans="1:224" x14ac:dyDescent="0.25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  <c r="BP282" s="32"/>
      <c r="BQ282" s="32"/>
      <c r="BR282" s="32"/>
      <c r="BS282" s="32"/>
      <c r="BT282" s="32"/>
      <c r="BU282" s="32"/>
      <c r="BV282" s="32"/>
      <c r="BW282" s="32"/>
      <c r="BX282" s="32"/>
      <c r="BY282" s="32"/>
      <c r="BZ282" s="32"/>
      <c r="CA282" s="32"/>
      <c r="CB282" s="32"/>
      <c r="CC282" s="32"/>
      <c r="CD282" s="32"/>
      <c r="CE282" s="32"/>
      <c r="CF282" s="32"/>
      <c r="CG282" s="32"/>
      <c r="CH282" s="32"/>
      <c r="CI282" s="32"/>
      <c r="CJ282" s="32"/>
      <c r="CK282" s="32"/>
      <c r="CL282" s="32"/>
      <c r="CM282" s="32"/>
      <c r="CN282" s="32"/>
      <c r="CO282" s="32"/>
      <c r="CP282" s="32"/>
      <c r="CQ282" s="32"/>
      <c r="CR282" s="32"/>
      <c r="CS282" s="32"/>
      <c r="CT282" s="32"/>
      <c r="CU282" s="32"/>
      <c r="CV282" s="32"/>
      <c r="CW282" s="32"/>
      <c r="CX282" s="32"/>
      <c r="CY282" s="32"/>
      <c r="CZ282" s="32"/>
      <c r="DA282" s="32"/>
      <c r="DB282" s="32"/>
      <c r="DC282" s="32"/>
      <c r="DD282" s="32"/>
      <c r="DE282" s="32"/>
      <c r="DF282" s="32"/>
      <c r="DG282" s="32"/>
      <c r="DH282" s="32"/>
      <c r="DI282" s="32"/>
      <c r="DJ282" s="32"/>
      <c r="DK282" s="32"/>
      <c r="DL282" s="32"/>
      <c r="DM282" s="32"/>
      <c r="DN282" s="32"/>
      <c r="DO282" s="32"/>
      <c r="DP282" s="32"/>
      <c r="DQ282" s="32"/>
      <c r="DR282" s="32"/>
      <c r="DS282" s="32"/>
      <c r="DT282" s="32"/>
      <c r="DU282" s="32"/>
      <c r="DV282" s="32"/>
      <c r="DW282" s="32"/>
      <c r="DX282" s="32"/>
      <c r="DY282" s="32"/>
      <c r="DZ282" s="32"/>
      <c r="EA282" s="32"/>
      <c r="EB282" s="32"/>
      <c r="EC282" s="32"/>
      <c r="ED282" s="32"/>
      <c r="EE282" s="32"/>
      <c r="EF282" s="32"/>
      <c r="EG282" s="32"/>
      <c r="EH282" s="32"/>
      <c r="EI282" s="32"/>
      <c r="EJ282" s="32"/>
      <c r="EK282" s="32"/>
      <c r="EL282" s="32"/>
      <c r="EM282" s="32"/>
      <c r="EN282" s="32"/>
      <c r="EO282" s="32"/>
      <c r="EP282" s="32"/>
      <c r="EQ282" s="32"/>
      <c r="ER282" s="32"/>
      <c r="ES282" s="32"/>
      <c r="ET282" s="32"/>
      <c r="EU282" s="32"/>
      <c r="EV282" s="32"/>
      <c r="EW282" s="32"/>
      <c r="EX282" s="32"/>
      <c r="EY282" s="32"/>
      <c r="EZ282" s="32"/>
      <c r="FA282" s="32"/>
      <c r="FB282" s="32"/>
      <c r="FC282" s="32"/>
      <c r="FD282" s="32"/>
      <c r="FE282" s="32"/>
      <c r="FF282" s="32"/>
      <c r="FG282" s="32"/>
      <c r="FH282" s="32"/>
      <c r="FI282" s="32"/>
      <c r="FJ282" s="32"/>
      <c r="FK282" s="32"/>
      <c r="FL282" s="32"/>
      <c r="FM282" s="32"/>
      <c r="FN282" s="32"/>
      <c r="FO282" s="32"/>
      <c r="FP282" s="32"/>
      <c r="FQ282" s="32"/>
      <c r="FR282" s="32"/>
      <c r="FS282" s="32"/>
      <c r="FT282" s="32"/>
      <c r="FU282" s="32"/>
      <c r="FV282" s="32"/>
      <c r="FW282" s="32"/>
      <c r="FX282" s="32"/>
      <c r="FY282" s="32"/>
      <c r="FZ282" s="32"/>
      <c r="GA282" s="32"/>
      <c r="GB282" s="32"/>
      <c r="GC282" s="32"/>
      <c r="GD282" s="32"/>
      <c r="GE282" s="32"/>
      <c r="GF282" s="32"/>
      <c r="GG282" s="32"/>
      <c r="GH282" s="32"/>
      <c r="GI282" s="32"/>
      <c r="GJ282" s="32"/>
      <c r="GK282" s="32"/>
      <c r="GL282" s="32"/>
      <c r="GM282" s="32"/>
      <c r="GN282" s="32"/>
      <c r="GO282" s="32"/>
      <c r="GP282" s="32"/>
      <c r="GQ282" s="32"/>
      <c r="GR282" s="32"/>
      <c r="GS282" s="32"/>
      <c r="GT282" s="32"/>
      <c r="GU282" s="32"/>
      <c r="GV282" s="32"/>
      <c r="GW282" s="32"/>
      <c r="GX282" s="32"/>
      <c r="GY282" s="32"/>
      <c r="GZ282" s="32"/>
      <c r="HA282" s="32"/>
      <c r="HB282" s="32"/>
      <c r="HC282" s="32"/>
      <c r="HD282" s="32"/>
      <c r="HE282" s="32"/>
      <c r="HF282" s="32"/>
      <c r="HG282" s="32"/>
      <c r="HH282" s="32"/>
      <c r="HI282" s="32"/>
      <c r="HJ282" s="32"/>
      <c r="HK282" s="32"/>
      <c r="HL282" s="32"/>
      <c r="HM282" s="32"/>
      <c r="HN282" s="32"/>
      <c r="HO282" s="32"/>
      <c r="HP282" s="32"/>
    </row>
    <row r="283" spans="1:224" x14ac:dyDescent="0.25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  <c r="BP283" s="32"/>
      <c r="BQ283" s="32"/>
      <c r="BR283" s="32"/>
      <c r="BS283" s="32"/>
      <c r="BT283" s="32"/>
      <c r="BU283" s="32"/>
      <c r="BV283" s="32"/>
      <c r="BW283" s="32"/>
      <c r="BX283" s="32"/>
      <c r="BY283" s="32"/>
      <c r="BZ283" s="32"/>
      <c r="CA283" s="32"/>
      <c r="CB283" s="32"/>
      <c r="CC283" s="32"/>
      <c r="CD283" s="32"/>
      <c r="CE283" s="32"/>
      <c r="CF283" s="32"/>
      <c r="CG283" s="32"/>
      <c r="CH283" s="32"/>
      <c r="CI283" s="32"/>
      <c r="CJ283" s="32"/>
      <c r="CK283" s="32"/>
      <c r="CL283" s="32"/>
      <c r="CM283" s="32"/>
      <c r="CN283" s="32"/>
      <c r="CO283" s="32"/>
      <c r="CP283" s="32"/>
      <c r="CQ283" s="32"/>
      <c r="CR283" s="32"/>
      <c r="CS283" s="32"/>
      <c r="CT283" s="32"/>
      <c r="CU283" s="32"/>
      <c r="CV283" s="32"/>
      <c r="CW283" s="32"/>
      <c r="CX283" s="32"/>
      <c r="CY283" s="32"/>
      <c r="CZ283" s="32"/>
      <c r="DA283" s="32"/>
      <c r="DB283" s="32"/>
      <c r="DC283" s="32"/>
      <c r="DD283" s="32"/>
      <c r="DE283" s="32"/>
      <c r="DF283" s="32"/>
      <c r="DG283" s="32"/>
      <c r="DH283" s="32"/>
      <c r="DI283" s="32"/>
      <c r="DJ283" s="32"/>
      <c r="DK283" s="32"/>
      <c r="DL283" s="32"/>
      <c r="DM283" s="32"/>
      <c r="DN283" s="32"/>
      <c r="DO283" s="32"/>
      <c r="DP283" s="32"/>
      <c r="DQ283" s="32"/>
      <c r="DR283" s="32"/>
      <c r="DS283" s="32"/>
      <c r="DT283" s="32"/>
      <c r="DU283" s="32"/>
      <c r="DV283" s="32"/>
      <c r="DW283" s="32"/>
      <c r="DX283" s="32"/>
      <c r="DY283" s="32"/>
      <c r="DZ283" s="32"/>
      <c r="EA283" s="32"/>
      <c r="EB283" s="32"/>
      <c r="EC283" s="32"/>
      <c r="ED283" s="32"/>
      <c r="EE283" s="32"/>
      <c r="EF283" s="32"/>
      <c r="EG283" s="32"/>
      <c r="EH283" s="32"/>
      <c r="EI283" s="32"/>
      <c r="EJ283" s="32"/>
      <c r="EK283" s="32"/>
      <c r="EL283" s="32"/>
      <c r="EM283" s="32"/>
      <c r="EN283" s="32"/>
      <c r="EO283" s="32"/>
      <c r="EP283" s="32"/>
      <c r="EQ283" s="32"/>
      <c r="ER283" s="32"/>
      <c r="ES283" s="32"/>
      <c r="ET283" s="32"/>
      <c r="EU283" s="32"/>
      <c r="EV283" s="32"/>
      <c r="EW283" s="32"/>
      <c r="EX283" s="32"/>
      <c r="EY283" s="32"/>
      <c r="EZ283" s="32"/>
      <c r="FA283" s="32"/>
      <c r="FB283" s="32"/>
      <c r="FC283" s="32"/>
      <c r="FD283" s="32"/>
      <c r="FE283" s="32"/>
      <c r="FF283" s="32"/>
      <c r="FG283" s="32"/>
      <c r="FH283" s="32"/>
      <c r="FI283" s="32"/>
      <c r="FJ283" s="32"/>
      <c r="FK283" s="32"/>
      <c r="FL283" s="32"/>
      <c r="FM283" s="32"/>
      <c r="FN283" s="32"/>
      <c r="FO283" s="32"/>
      <c r="FP283" s="32"/>
      <c r="FQ283" s="32"/>
      <c r="FR283" s="32"/>
      <c r="FS283" s="32"/>
      <c r="FT283" s="32"/>
      <c r="FU283" s="32"/>
      <c r="FV283" s="32"/>
      <c r="FW283" s="32"/>
      <c r="FX283" s="32"/>
      <c r="FY283" s="32"/>
      <c r="FZ283" s="32"/>
      <c r="GA283" s="32"/>
      <c r="GB283" s="32"/>
      <c r="GC283" s="32"/>
      <c r="GD283" s="32"/>
      <c r="GE283" s="32"/>
      <c r="GF283" s="32"/>
      <c r="GG283" s="32"/>
      <c r="GH283" s="32"/>
      <c r="GI283" s="32"/>
      <c r="GJ283" s="32"/>
      <c r="GK283" s="32"/>
      <c r="GL283" s="32"/>
      <c r="GM283" s="32"/>
      <c r="GN283" s="32"/>
      <c r="GO283" s="32"/>
      <c r="GP283" s="32"/>
      <c r="GQ283" s="32"/>
      <c r="GR283" s="32"/>
      <c r="GS283" s="32"/>
      <c r="GT283" s="32"/>
      <c r="GU283" s="32"/>
      <c r="GV283" s="32"/>
      <c r="GW283" s="32"/>
      <c r="GX283" s="32"/>
      <c r="GY283" s="32"/>
      <c r="GZ283" s="32"/>
      <c r="HA283" s="32"/>
      <c r="HB283" s="32"/>
      <c r="HC283" s="32"/>
      <c r="HD283" s="32"/>
      <c r="HE283" s="32"/>
      <c r="HF283" s="32"/>
      <c r="HG283" s="32"/>
      <c r="HH283" s="32"/>
      <c r="HI283" s="32"/>
      <c r="HJ283" s="32"/>
      <c r="HK283" s="32"/>
      <c r="HL283" s="32"/>
      <c r="HM283" s="32"/>
      <c r="HN283" s="32"/>
      <c r="HO283" s="32"/>
      <c r="HP283" s="32"/>
    </row>
    <row r="284" spans="1:224" x14ac:dyDescent="0.25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  <c r="BP284" s="32"/>
      <c r="BQ284" s="32"/>
      <c r="BR284" s="32"/>
      <c r="BS284" s="32"/>
      <c r="BT284" s="32"/>
      <c r="BU284" s="32"/>
      <c r="BV284" s="32"/>
      <c r="BW284" s="32"/>
      <c r="BX284" s="32"/>
      <c r="BY284" s="32"/>
      <c r="BZ284" s="32"/>
      <c r="CA284" s="32"/>
      <c r="CB284" s="32"/>
      <c r="CC284" s="32"/>
      <c r="CD284" s="32"/>
      <c r="CE284" s="32"/>
      <c r="CF284" s="32"/>
      <c r="CG284" s="32"/>
      <c r="CH284" s="32"/>
      <c r="CI284" s="32"/>
      <c r="CJ284" s="32"/>
      <c r="CK284" s="32"/>
      <c r="CL284" s="32"/>
      <c r="CM284" s="32"/>
      <c r="CN284" s="32"/>
      <c r="CO284" s="32"/>
      <c r="CP284" s="32"/>
      <c r="CQ284" s="32"/>
      <c r="CR284" s="32"/>
      <c r="CS284" s="32"/>
      <c r="CT284" s="32"/>
      <c r="CU284" s="32"/>
      <c r="CV284" s="32"/>
      <c r="CW284" s="32"/>
      <c r="CX284" s="32"/>
      <c r="CY284" s="32"/>
      <c r="CZ284" s="32"/>
      <c r="DA284" s="32"/>
      <c r="DB284" s="32"/>
      <c r="DC284" s="32"/>
      <c r="DD284" s="32"/>
      <c r="DE284" s="32"/>
      <c r="DF284" s="32"/>
      <c r="DG284" s="32"/>
      <c r="DH284" s="32"/>
      <c r="DI284" s="32"/>
      <c r="DJ284" s="32"/>
      <c r="DK284" s="32"/>
      <c r="DL284" s="32"/>
      <c r="DM284" s="32"/>
      <c r="DN284" s="32"/>
      <c r="DO284" s="32"/>
      <c r="DP284" s="32"/>
      <c r="DQ284" s="32"/>
      <c r="DR284" s="32"/>
      <c r="DS284" s="32"/>
      <c r="DT284" s="32"/>
      <c r="DU284" s="32"/>
      <c r="DV284" s="32"/>
      <c r="DW284" s="32"/>
      <c r="DX284" s="32"/>
      <c r="DY284" s="32"/>
      <c r="DZ284" s="32"/>
      <c r="EA284" s="32"/>
      <c r="EB284" s="32"/>
      <c r="EC284" s="32"/>
      <c r="ED284" s="32"/>
      <c r="EE284" s="32"/>
      <c r="EF284" s="32"/>
      <c r="EG284" s="32"/>
      <c r="EH284" s="32"/>
      <c r="EI284" s="32"/>
      <c r="EJ284" s="32"/>
      <c r="EK284" s="32"/>
      <c r="EL284" s="32"/>
      <c r="EM284" s="32"/>
      <c r="EN284" s="32"/>
      <c r="EO284" s="32"/>
      <c r="EP284" s="32"/>
      <c r="EQ284" s="32"/>
      <c r="ER284" s="32"/>
      <c r="ES284" s="32"/>
      <c r="ET284" s="32"/>
      <c r="EU284" s="32"/>
      <c r="EV284" s="32"/>
      <c r="EW284" s="32"/>
      <c r="EX284" s="32"/>
      <c r="EY284" s="32"/>
      <c r="EZ284" s="32"/>
      <c r="FA284" s="32"/>
      <c r="FB284" s="32"/>
      <c r="FC284" s="32"/>
      <c r="FD284" s="32"/>
      <c r="FE284" s="32"/>
      <c r="FF284" s="32"/>
      <c r="FG284" s="32"/>
      <c r="FH284" s="32"/>
      <c r="FI284" s="32"/>
      <c r="FJ284" s="32"/>
      <c r="FK284" s="32"/>
      <c r="FL284" s="32"/>
      <c r="FM284" s="32"/>
      <c r="FN284" s="32"/>
      <c r="FO284" s="32"/>
      <c r="FP284" s="32"/>
      <c r="FQ284" s="32"/>
      <c r="FR284" s="32"/>
      <c r="FS284" s="32"/>
      <c r="FT284" s="32"/>
      <c r="FU284" s="32"/>
      <c r="FV284" s="32"/>
      <c r="FW284" s="32"/>
      <c r="FX284" s="32"/>
      <c r="FY284" s="32"/>
      <c r="FZ284" s="32"/>
      <c r="GA284" s="32"/>
      <c r="GB284" s="32"/>
      <c r="GC284" s="32"/>
      <c r="GD284" s="32"/>
      <c r="GE284" s="32"/>
      <c r="GF284" s="32"/>
      <c r="GG284" s="32"/>
      <c r="GH284" s="32"/>
      <c r="GI284" s="32"/>
      <c r="GJ284" s="32"/>
      <c r="GK284" s="32"/>
      <c r="GL284" s="32"/>
      <c r="GM284" s="32"/>
      <c r="GN284" s="32"/>
      <c r="GO284" s="32"/>
      <c r="GP284" s="32"/>
      <c r="GQ284" s="32"/>
      <c r="GR284" s="32"/>
      <c r="GS284" s="32"/>
      <c r="GT284" s="32"/>
      <c r="GU284" s="32"/>
      <c r="GV284" s="32"/>
      <c r="GW284" s="32"/>
      <c r="GX284" s="32"/>
      <c r="GY284" s="32"/>
      <c r="GZ284" s="32"/>
      <c r="HA284" s="32"/>
      <c r="HB284" s="32"/>
      <c r="HC284" s="32"/>
      <c r="HD284" s="32"/>
      <c r="HE284" s="32"/>
      <c r="HF284" s="32"/>
      <c r="HG284" s="32"/>
      <c r="HH284" s="32"/>
      <c r="HI284" s="32"/>
      <c r="HJ284" s="32"/>
      <c r="HK284" s="32"/>
      <c r="HL284" s="32"/>
      <c r="HM284" s="32"/>
      <c r="HN284" s="32"/>
      <c r="HO284" s="32"/>
      <c r="HP284" s="32"/>
    </row>
    <row r="285" spans="1:224" x14ac:dyDescent="0.2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/>
      <c r="BM285" s="32"/>
      <c r="BN285" s="32"/>
      <c r="BO285" s="32"/>
      <c r="BP285" s="32"/>
      <c r="BQ285" s="32"/>
      <c r="BR285" s="32"/>
      <c r="BS285" s="32"/>
      <c r="BT285" s="32"/>
      <c r="BU285" s="32"/>
      <c r="BV285" s="32"/>
      <c r="BW285" s="32"/>
      <c r="BX285" s="32"/>
      <c r="BY285" s="32"/>
      <c r="BZ285" s="32"/>
      <c r="CA285" s="32"/>
      <c r="CB285" s="32"/>
      <c r="CC285" s="32"/>
      <c r="CD285" s="32"/>
      <c r="CE285" s="32"/>
      <c r="CF285" s="32"/>
      <c r="CG285" s="32"/>
      <c r="CH285" s="32"/>
      <c r="CI285" s="32"/>
      <c r="CJ285" s="32"/>
      <c r="CK285" s="32"/>
      <c r="CL285" s="32"/>
      <c r="CM285" s="32"/>
      <c r="CN285" s="32"/>
      <c r="CO285" s="32"/>
      <c r="CP285" s="32"/>
      <c r="CQ285" s="32"/>
      <c r="CR285" s="32"/>
      <c r="CS285" s="32"/>
      <c r="CT285" s="32"/>
      <c r="CU285" s="32"/>
      <c r="CV285" s="32"/>
      <c r="CW285" s="32"/>
      <c r="CX285" s="32"/>
      <c r="CY285" s="32"/>
      <c r="CZ285" s="32"/>
      <c r="DA285" s="32"/>
      <c r="DB285" s="32"/>
      <c r="DC285" s="32"/>
      <c r="DD285" s="32"/>
      <c r="DE285" s="32"/>
      <c r="DF285" s="32"/>
      <c r="DG285" s="32"/>
      <c r="DH285" s="32"/>
      <c r="DI285" s="32"/>
      <c r="DJ285" s="32"/>
      <c r="DK285" s="32"/>
      <c r="DL285" s="32"/>
      <c r="DM285" s="32"/>
      <c r="DN285" s="32"/>
      <c r="DO285" s="32"/>
      <c r="DP285" s="32"/>
      <c r="DQ285" s="32"/>
      <c r="DR285" s="32"/>
      <c r="DS285" s="32"/>
      <c r="DT285" s="32"/>
      <c r="DU285" s="32"/>
      <c r="DV285" s="32"/>
      <c r="DW285" s="32"/>
      <c r="DX285" s="32"/>
      <c r="DY285" s="32"/>
      <c r="DZ285" s="32"/>
      <c r="EA285" s="32"/>
      <c r="EB285" s="32"/>
      <c r="EC285" s="32"/>
      <c r="ED285" s="32"/>
      <c r="EE285" s="32"/>
      <c r="EF285" s="32"/>
      <c r="EG285" s="32"/>
      <c r="EH285" s="32"/>
      <c r="EI285" s="32"/>
      <c r="EJ285" s="32"/>
      <c r="EK285" s="32"/>
      <c r="EL285" s="32"/>
      <c r="EM285" s="32"/>
      <c r="EN285" s="32"/>
      <c r="EO285" s="32"/>
      <c r="EP285" s="32"/>
      <c r="EQ285" s="32"/>
      <c r="ER285" s="32"/>
      <c r="ES285" s="32"/>
      <c r="ET285" s="32"/>
      <c r="EU285" s="32"/>
      <c r="EV285" s="32"/>
      <c r="EW285" s="32"/>
      <c r="EX285" s="32"/>
      <c r="EY285" s="32"/>
      <c r="EZ285" s="32"/>
      <c r="FA285" s="32"/>
      <c r="FB285" s="32"/>
      <c r="FC285" s="32"/>
      <c r="FD285" s="32"/>
      <c r="FE285" s="32"/>
      <c r="FF285" s="32"/>
      <c r="FG285" s="32"/>
      <c r="FH285" s="32"/>
      <c r="FI285" s="32"/>
      <c r="FJ285" s="32"/>
      <c r="FK285" s="32"/>
      <c r="FL285" s="32"/>
      <c r="FM285" s="32"/>
      <c r="FN285" s="32"/>
      <c r="FO285" s="32"/>
      <c r="FP285" s="32"/>
      <c r="FQ285" s="32"/>
      <c r="FR285" s="32"/>
      <c r="FS285" s="32"/>
      <c r="FT285" s="32"/>
      <c r="FU285" s="32"/>
      <c r="FV285" s="32"/>
      <c r="FW285" s="32"/>
      <c r="FX285" s="32"/>
      <c r="FY285" s="32"/>
      <c r="FZ285" s="32"/>
      <c r="GA285" s="32"/>
      <c r="GB285" s="32"/>
      <c r="GC285" s="32"/>
      <c r="GD285" s="32"/>
      <c r="GE285" s="32"/>
      <c r="GF285" s="32"/>
      <c r="GG285" s="32"/>
      <c r="GH285" s="32"/>
      <c r="GI285" s="32"/>
      <c r="GJ285" s="32"/>
      <c r="GK285" s="32"/>
      <c r="GL285" s="32"/>
      <c r="GM285" s="32"/>
      <c r="GN285" s="32"/>
      <c r="GO285" s="32"/>
      <c r="GP285" s="32"/>
      <c r="GQ285" s="32"/>
      <c r="GR285" s="32"/>
      <c r="GS285" s="32"/>
      <c r="GT285" s="32"/>
      <c r="GU285" s="32"/>
      <c r="GV285" s="32"/>
      <c r="GW285" s="32"/>
      <c r="GX285" s="32"/>
      <c r="GY285" s="32"/>
      <c r="GZ285" s="32"/>
      <c r="HA285" s="32"/>
      <c r="HB285" s="32"/>
      <c r="HC285" s="32"/>
      <c r="HD285" s="32"/>
      <c r="HE285" s="32"/>
      <c r="HF285" s="32"/>
      <c r="HG285" s="32"/>
      <c r="HH285" s="32"/>
      <c r="HI285" s="32"/>
      <c r="HJ285" s="32"/>
      <c r="HK285" s="32"/>
      <c r="HL285" s="32"/>
      <c r="HM285" s="32"/>
      <c r="HN285" s="32"/>
      <c r="HO285" s="32"/>
      <c r="HP285" s="32"/>
    </row>
    <row r="286" spans="1:224" x14ac:dyDescent="0.25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  <c r="BP286" s="32"/>
      <c r="BQ286" s="32"/>
      <c r="BR286" s="32"/>
      <c r="BS286" s="32"/>
      <c r="BT286" s="32"/>
      <c r="BU286" s="32"/>
      <c r="BV286" s="32"/>
      <c r="BW286" s="32"/>
      <c r="BX286" s="32"/>
      <c r="BY286" s="32"/>
      <c r="BZ286" s="32"/>
      <c r="CA286" s="32"/>
      <c r="CB286" s="32"/>
      <c r="CC286" s="32"/>
      <c r="CD286" s="32"/>
      <c r="CE286" s="32"/>
      <c r="CF286" s="32"/>
      <c r="CG286" s="32"/>
      <c r="CH286" s="32"/>
      <c r="CI286" s="32"/>
      <c r="CJ286" s="32"/>
      <c r="CK286" s="32"/>
      <c r="CL286" s="32"/>
      <c r="CM286" s="32"/>
      <c r="CN286" s="32"/>
      <c r="CO286" s="32"/>
      <c r="CP286" s="32"/>
      <c r="CQ286" s="32"/>
      <c r="CR286" s="32"/>
      <c r="CS286" s="32"/>
      <c r="CT286" s="32"/>
      <c r="CU286" s="32"/>
      <c r="CV286" s="32"/>
      <c r="CW286" s="32"/>
      <c r="CX286" s="32"/>
      <c r="CY286" s="32"/>
      <c r="CZ286" s="32"/>
      <c r="DA286" s="32"/>
      <c r="DB286" s="32"/>
      <c r="DC286" s="32"/>
      <c r="DD286" s="32"/>
      <c r="DE286" s="32"/>
      <c r="DF286" s="32"/>
      <c r="DG286" s="32"/>
      <c r="DH286" s="32"/>
      <c r="DI286" s="32"/>
      <c r="DJ286" s="32"/>
      <c r="DK286" s="32"/>
      <c r="DL286" s="32"/>
      <c r="DM286" s="32"/>
      <c r="DN286" s="32"/>
      <c r="DO286" s="32"/>
      <c r="DP286" s="32"/>
      <c r="DQ286" s="32"/>
      <c r="DR286" s="32"/>
      <c r="DS286" s="32"/>
      <c r="DT286" s="32"/>
      <c r="DU286" s="32"/>
      <c r="DV286" s="32"/>
      <c r="DW286" s="32"/>
      <c r="DX286" s="32"/>
      <c r="DY286" s="32"/>
      <c r="DZ286" s="32"/>
      <c r="EA286" s="32"/>
      <c r="EB286" s="32"/>
      <c r="EC286" s="32"/>
      <c r="ED286" s="32"/>
      <c r="EE286" s="32"/>
      <c r="EF286" s="32"/>
      <c r="EG286" s="32"/>
      <c r="EH286" s="32"/>
      <c r="EI286" s="32"/>
      <c r="EJ286" s="32"/>
      <c r="EK286" s="32"/>
      <c r="EL286" s="32"/>
      <c r="EM286" s="32"/>
      <c r="EN286" s="32"/>
      <c r="EO286" s="32"/>
      <c r="EP286" s="32"/>
      <c r="EQ286" s="32"/>
      <c r="ER286" s="32"/>
      <c r="ES286" s="32"/>
      <c r="ET286" s="32"/>
      <c r="EU286" s="32"/>
      <c r="EV286" s="32"/>
      <c r="EW286" s="32"/>
      <c r="EX286" s="32"/>
      <c r="EY286" s="32"/>
      <c r="EZ286" s="32"/>
      <c r="FA286" s="32"/>
      <c r="FB286" s="32"/>
      <c r="FC286" s="32"/>
      <c r="FD286" s="32"/>
      <c r="FE286" s="32"/>
      <c r="FF286" s="32"/>
      <c r="FG286" s="32"/>
      <c r="FH286" s="32"/>
      <c r="FI286" s="32"/>
      <c r="FJ286" s="32"/>
      <c r="FK286" s="32"/>
      <c r="FL286" s="32"/>
      <c r="FM286" s="32"/>
      <c r="FN286" s="32"/>
      <c r="FO286" s="32"/>
      <c r="FP286" s="32"/>
      <c r="FQ286" s="32"/>
      <c r="FR286" s="32"/>
      <c r="FS286" s="32"/>
      <c r="FT286" s="32"/>
      <c r="FU286" s="32"/>
      <c r="FV286" s="32"/>
      <c r="FW286" s="32"/>
      <c r="FX286" s="32"/>
      <c r="FY286" s="32"/>
      <c r="FZ286" s="32"/>
      <c r="GA286" s="32"/>
      <c r="GB286" s="32"/>
      <c r="GC286" s="32"/>
      <c r="GD286" s="32"/>
      <c r="GE286" s="32"/>
      <c r="GF286" s="32"/>
      <c r="GG286" s="32"/>
      <c r="GH286" s="32"/>
      <c r="GI286" s="32"/>
      <c r="GJ286" s="32"/>
      <c r="GK286" s="32"/>
      <c r="GL286" s="32"/>
      <c r="GM286" s="32"/>
      <c r="GN286" s="32"/>
      <c r="GO286" s="32"/>
      <c r="GP286" s="32"/>
      <c r="GQ286" s="32"/>
      <c r="GR286" s="32"/>
      <c r="GS286" s="32"/>
      <c r="GT286" s="32"/>
      <c r="GU286" s="32"/>
      <c r="GV286" s="32"/>
      <c r="GW286" s="32"/>
      <c r="GX286" s="32"/>
      <c r="GY286" s="32"/>
      <c r="GZ286" s="32"/>
      <c r="HA286" s="32"/>
      <c r="HB286" s="32"/>
      <c r="HC286" s="32"/>
      <c r="HD286" s="32"/>
      <c r="HE286" s="32"/>
      <c r="HF286" s="32"/>
      <c r="HG286" s="32"/>
      <c r="HH286" s="32"/>
      <c r="HI286" s="32"/>
      <c r="HJ286" s="32"/>
      <c r="HK286" s="32"/>
      <c r="HL286" s="32"/>
      <c r="HM286" s="32"/>
      <c r="HN286" s="32"/>
      <c r="HO286" s="32"/>
      <c r="HP286" s="32"/>
    </row>
    <row r="287" spans="1:224" x14ac:dyDescent="0.25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/>
      <c r="BM287" s="32"/>
      <c r="BN287" s="32"/>
      <c r="BO287" s="32"/>
      <c r="BP287" s="32"/>
      <c r="BQ287" s="32"/>
      <c r="BR287" s="32"/>
      <c r="BS287" s="32"/>
      <c r="BT287" s="32"/>
      <c r="BU287" s="32"/>
      <c r="BV287" s="32"/>
      <c r="BW287" s="32"/>
      <c r="BX287" s="32"/>
      <c r="BY287" s="32"/>
      <c r="BZ287" s="32"/>
      <c r="CA287" s="32"/>
      <c r="CB287" s="32"/>
      <c r="CC287" s="32"/>
      <c r="CD287" s="32"/>
      <c r="CE287" s="32"/>
      <c r="CF287" s="32"/>
      <c r="CG287" s="32"/>
      <c r="CH287" s="32"/>
      <c r="CI287" s="32"/>
      <c r="CJ287" s="32"/>
      <c r="CK287" s="32"/>
      <c r="CL287" s="32"/>
      <c r="CM287" s="32"/>
      <c r="CN287" s="32"/>
      <c r="CO287" s="32"/>
      <c r="CP287" s="32"/>
      <c r="CQ287" s="32"/>
      <c r="CR287" s="32"/>
      <c r="CS287" s="32"/>
      <c r="CT287" s="32"/>
      <c r="CU287" s="32"/>
      <c r="CV287" s="32"/>
      <c r="CW287" s="32"/>
      <c r="CX287" s="32"/>
      <c r="CY287" s="32"/>
      <c r="CZ287" s="32"/>
      <c r="DA287" s="32"/>
      <c r="DB287" s="32"/>
      <c r="DC287" s="32"/>
      <c r="DD287" s="32"/>
      <c r="DE287" s="32"/>
      <c r="DF287" s="32"/>
      <c r="DG287" s="32"/>
      <c r="DH287" s="32"/>
      <c r="DI287" s="32"/>
      <c r="DJ287" s="32"/>
      <c r="DK287" s="32"/>
      <c r="DL287" s="32"/>
      <c r="DM287" s="32"/>
      <c r="DN287" s="32"/>
      <c r="DO287" s="32"/>
      <c r="DP287" s="32"/>
      <c r="DQ287" s="32"/>
      <c r="DR287" s="32"/>
      <c r="DS287" s="32"/>
      <c r="DT287" s="32"/>
      <c r="DU287" s="32"/>
      <c r="DV287" s="32"/>
      <c r="DW287" s="32"/>
      <c r="DX287" s="32"/>
      <c r="DY287" s="32"/>
      <c r="DZ287" s="32"/>
      <c r="EA287" s="32"/>
      <c r="EB287" s="32"/>
      <c r="EC287" s="32"/>
      <c r="ED287" s="32"/>
      <c r="EE287" s="32"/>
      <c r="EF287" s="32"/>
      <c r="EG287" s="32"/>
      <c r="EH287" s="32"/>
      <c r="EI287" s="32"/>
      <c r="EJ287" s="32"/>
      <c r="EK287" s="32"/>
      <c r="EL287" s="32"/>
      <c r="EM287" s="32"/>
      <c r="EN287" s="32"/>
      <c r="EO287" s="32"/>
      <c r="EP287" s="32"/>
      <c r="EQ287" s="32"/>
      <c r="ER287" s="32"/>
      <c r="ES287" s="32"/>
      <c r="ET287" s="32"/>
      <c r="EU287" s="32"/>
      <c r="EV287" s="32"/>
      <c r="EW287" s="32"/>
      <c r="EX287" s="32"/>
      <c r="EY287" s="32"/>
      <c r="EZ287" s="32"/>
      <c r="FA287" s="32"/>
      <c r="FB287" s="32"/>
      <c r="FC287" s="32"/>
      <c r="FD287" s="32"/>
      <c r="FE287" s="32"/>
      <c r="FF287" s="32"/>
      <c r="FG287" s="32"/>
      <c r="FH287" s="32"/>
      <c r="FI287" s="32"/>
      <c r="FJ287" s="32"/>
      <c r="FK287" s="32"/>
      <c r="FL287" s="32"/>
      <c r="FM287" s="32"/>
      <c r="FN287" s="32"/>
      <c r="FO287" s="32"/>
      <c r="FP287" s="32"/>
      <c r="FQ287" s="32"/>
      <c r="FR287" s="32"/>
      <c r="FS287" s="32"/>
      <c r="FT287" s="32"/>
      <c r="FU287" s="32"/>
      <c r="FV287" s="32"/>
      <c r="FW287" s="32"/>
      <c r="FX287" s="32"/>
      <c r="FY287" s="32"/>
      <c r="FZ287" s="32"/>
      <c r="GA287" s="32"/>
      <c r="GB287" s="32"/>
      <c r="GC287" s="32"/>
      <c r="GD287" s="32"/>
      <c r="GE287" s="32"/>
      <c r="GF287" s="32"/>
      <c r="GG287" s="32"/>
      <c r="GH287" s="32"/>
      <c r="GI287" s="32"/>
      <c r="GJ287" s="32"/>
      <c r="GK287" s="32"/>
      <c r="GL287" s="32"/>
      <c r="GM287" s="32"/>
      <c r="GN287" s="32"/>
      <c r="GO287" s="32"/>
      <c r="GP287" s="32"/>
      <c r="GQ287" s="32"/>
      <c r="GR287" s="32"/>
      <c r="GS287" s="32"/>
      <c r="GT287" s="32"/>
      <c r="GU287" s="32"/>
      <c r="GV287" s="32"/>
      <c r="GW287" s="32"/>
      <c r="GX287" s="32"/>
      <c r="GY287" s="32"/>
      <c r="GZ287" s="32"/>
      <c r="HA287" s="32"/>
      <c r="HB287" s="32"/>
      <c r="HC287" s="32"/>
      <c r="HD287" s="32"/>
      <c r="HE287" s="32"/>
      <c r="HF287" s="32"/>
      <c r="HG287" s="32"/>
      <c r="HH287" s="32"/>
      <c r="HI287" s="32"/>
      <c r="HJ287" s="32"/>
      <c r="HK287" s="32"/>
      <c r="HL287" s="32"/>
      <c r="HM287" s="32"/>
      <c r="HN287" s="32"/>
      <c r="HO287" s="32"/>
      <c r="HP287" s="32"/>
    </row>
    <row r="288" spans="1:224" x14ac:dyDescent="0.25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  <c r="BP288" s="32"/>
      <c r="BQ288" s="32"/>
      <c r="BR288" s="32"/>
      <c r="BS288" s="32"/>
      <c r="BT288" s="32"/>
      <c r="BU288" s="32"/>
      <c r="BV288" s="32"/>
      <c r="BW288" s="32"/>
      <c r="BX288" s="32"/>
      <c r="BY288" s="32"/>
      <c r="BZ288" s="32"/>
      <c r="CA288" s="32"/>
      <c r="CB288" s="32"/>
      <c r="CC288" s="32"/>
      <c r="CD288" s="32"/>
      <c r="CE288" s="32"/>
      <c r="CF288" s="32"/>
      <c r="CG288" s="32"/>
      <c r="CH288" s="32"/>
      <c r="CI288" s="32"/>
      <c r="CJ288" s="32"/>
      <c r="CK288" s="32"/>
      <c r="CL288" s="32"/>
      <c r="CM288" s="32"/>
      <c r="CN288" s="32"/>
      <c r="CO288" s="32"/>
      <c r="CP288" s="32"/>
      <c r="CQ288" s="32"/>
      <c r="CR288" s="32"/>
      <c r="CS288" s="32"/>
      <c r="CT288" s="32"/>
      <c r="CU288" s="32"/>
      <c r="CV288" s="32"/>
      <c r="CW288" s="32"/>
      <c r="CX288" s="32"/>
      <c r="CY288" s="32"/>
      <c r="CZ288" s="32"/>
      <c r="DA288" s="32"/>
      <c r="DB288" s="32"/>
      <c r="DC288" s="32"/>
      <c r="DD288" s="32"/>
      <c r="DE288" s="32"/>
      <c r="DF288" s="32"/>
      <c r="DG288" s="32"/>
      <c r="DH288" s="32"/>
      <c r="DI288" s="32"/>
      <c r="DJ288" s="32"/>
      <c r="DK288" s="32"/>
      <c r="DL288" s="32"/>
      <c r="DM288" s="32"/>
      <c r="DN288" s="32"/>
      <c r="DO288" s="32"/>
      <c r="DP288" s="32"/>
      <c r="DQ288" s="32"/>
      <c r="DR288" s="32"/>
      <c r="DS288" s="32"/>
      <c r="DT288" s="32"/>
      <c r="DU288" s="32"/>
      <c r="DV288" s="32"/>
      <c r="DW288" s="32"/>
      <c r="DX288" s="32"/>
      <c r="DY288" s="32"/>
      <c r="DZ288" s="32"/>
      <c r="EA288" s="32"/>
      <c r="EB288" s="32"/>
      <c r="EC288" s="32"/>
      <c r="ED288" s="32"/>
      <c r="EE288" s="32"/>
      <c r="EF288" s="32"/>
      <c r="EG288" s="32"/>
      <c r="EH288" s="32"/>
      <c r="EI288" s="32"/>
      <c r="EJ288" s="32"/>
      <c r="EK288" s="32"/>
      <c r="EL288" s="32"/>
      <c r="EM288" s="32"/>
      <c r="EN288" s="32"/>
      <c r="EO288" s="32"/>
      <c r="EP288" s="32"/>
      <c r="EQ288" s="32"/>
      <c r="ER288" s="32"/>
      <c r="ES288" s="32"/>
      <c r="ET288" s="32"/>
      <c r="EU288" s="32"/>
      <c r="EV288" s="32"/>
      <c r="EW288" s="32"/>
      <c r="EX288" s="32"/>
      <c r="EY288" s="32"/>
      <c r="EZ288" s="32"/>
      <c r="FA288" s="32"/>
      <c r="FB288" s="32"/>
      <c r="FC288" s="32"/>
      <c r="FD288" s="32"/>
      <c r="FE288" s="32"/>
      <c r="FF288" s="32"/>
      <c r="FG288" s="32"/>
      <c r="FH288" s="32"/>
      <c r="FI288" s="32"/>
      <c r="FJ288" s="32"/>
      <c r="FK288" s="32"/>
      <c r="FL288" s="32"/>
      <c r="FM288" s="32"/>
      <c r="FN288" s="32"/>
      <c r="FO288" s="32"/>
      <c r="FP288" s="32"/>
      <c r="FQ288" s="32"/>
      <c r="FR288" s="32"/>
      <c r="FS288" s="32"/>
      <c r="FT288" s="32"/>
      <c r="FU288" s="32"/>
      <c r="FV288" s="32"/>
      <c r="FW288" s="32"/>
      <c r="FX288" s="32"/>
      <c r="FY288" s="32"/>
      <c r="FZ288" s="32"/>
      <c r="GA288" s="32"/>
      <c r="GB288" s="32"/>
      <c r="GC288" s="32"/>
      <c r="GD288" s="32"/>
      <c r="GE288" s="32"/>
      <c r="GF288" s="32"/>
      <c r="GG288" s="32"/>
      <c r="GH288" s="32"/>
      <c r="GI288" s="32"/>
      <c r="GJ288" s="32"/>
      <c r="GK288" s="32"/>
      <c r="GL288" s="32"/>
      <c r="GM288" s="32"/>
      <c r="GN288" s="32"/>
      <c r="GO288" s="32"/>
      <c r="GP288" s="32"/>
      <c r="GQ288" s="32"/>
      <c r="GR288" s="32"/>
      <c r="GS288" s="32"/>
      <c r="GT288" s="32"/>
      <c r="GU288" s="32"/>
      <c r="GV288" s="32"/>
      <c r="GW288" s="32"/>
      <c r="GX288" s="32"/>
      <c r="GY288" s="32"/>
      <c r="GZ288" s="32"/>
      <c r="HA288" s="32"/>
      <c r="HB288" s="32"/>
      <c r="HC288" s="32"/>
      <c r="HD288" s="32"/>
      <c r="HE288" s="32"/>
      <c r="HF288" s="32"/>
      <c r="HG288" s="32"/>
      <c r="HH288" s="32"/>
      <c r="HI288" s="32"/>
      <c r="HJ288" s="32"/>
      <c r="HK288" s="32"/>
      <c r="HL288" s="32"/>
      <c r="HM288" s="32"/>
      <c r="HN288" s="32"/>
      <c r="HO288" s="32"/>
      <c r="HP288" s="32"/>
    </row>
    <row r="289" spans="1:224" x14ac:dyDescent="0.25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  <c r="BP289" s="32"/>
      <c r="BQ289" s="32"/>
      <c r="BR289" s="32"/>
      <c r="BS289" s="32"/>
      <c r="BT289" s="32"/>
      <c r="BU289" s="32"/>
      <c r="BV289" s="32"/>
      <c r="BW289" s="32"/>
      <c r="BX289" s="32"/>
      <c r="BY289" s="32"/>
      <c r="BZ289" s="32"/>
      <c r="CA289" s="32"/>
      <c r="CB289" s="32"/>
      <c r="CC289" s="32"/>
      <c r="CD289" s="32"/>
      <c r="CE289" s="32"/>
      <c r="CF289" s="32"/>
      <c r="CG289" s="32"/>
      <c r="CH289" s="32"/>
      <c r="CI289" s="32"/>
      <c r="CJ289" s="32"/>
      <c r="CK289" s="32"/>
      <c r="CL289" s="32"/>
      <c r="CM289" s="32"/>
      <c r="CN289" s="32"/>
      <c r="CO289" s="32"/>
      <c r="CP289" s="32"/>
      <c r="CQ289" s="32"/>
      <c r="CR289" s="32"/>
      <c r="CS289" s="32"/>
      <c r="CT289" s="32"/>
      <c r="CU289" s="32"/>
      <c r="CV289" s="32"/>
      <c r="CW289" s="32"/>
      <c r="CX289" s="32"/>
      <c r="CY289" s="32"/>
      <c r="CZ289" s="32"/>
      <c r="DA289" s="32"/>
      <c r="DB289" s="32"/>
      <c r="DC289" s="32"/>
      <c r="DD289" s="32"/>
      <c r="DE289" s="32"/>
      <c r="DF289" s="32"/>
      <c r="DG289" s="32"/>
      <c r="DH289" s="32"/>
      <c r="DI289" s="32"/>
      <c r="DJ289" s="32"/>
      <c r="DK289" s="32"/>
      <c r="DL289" s="32"/>
      <c r="DM289" s="32"/>
      <c r="DN289" s="32"/>
      <c r="DO289" s="32"/>
      <c r="DP289" s="32"/>
      <c r="DQ289" s="32"/>
      <c r="DR289" s="32"/>
      <c r="DS289" s="32"/>
      <c r="DT289" s="32"/>
      <c r="DU289" s="32"/>
      <c r="DV289" s="32"/>
      <c r="DW289" s="32"/>
      <c r="DX289" s="32"/>
      <c r="DY289" s="32"/>
      <c r="DZ289" s="32"/>
      <c r="EA289" s="32"/>
      <c r="EB289" s="32"/>
      <c r="EC289" s="32"/>
      <c r="ED289" s="32"/>
      <c r="EE289" s="32"/>
      <c r="EF289" s="32"/>
      <c r="EG289" s="32"/>
      <c r="EH289" s="32"/>
      <c r="EI289" s="32"/>
      <c r="EJ289" s="32"/>
      <c r="EK289" s="32"/>
      <c r="EL289" s="32"/>
      <c r="EM289" s="32"/>
      <c r="EN289" s="32"/>
      <c r="EO289" s="32"/>
      <c r="EP289" s="32"/>
      <c r="EQ289" s="32"/>
      <c r="ER289" s="32"/>
      <c r="ES289" s="32"/>
      <c r="ET289" s="32"/>
      <c r="EU289" s="32"/>
      <c r="EV289" s="32"/>
      <c r="EW289" s="32"/>
      <c r="EX289" s="32"/>
      <c r="EY289" s="32"/>
      <c r="EZ289" s="32"/>
      <c r="FA289" s="32"/>
      <c r="FB289" s="32"/>
      <c r="FC289" s="32"/>
      <c r="FD289" s="32"/>
      <c r="FE289" s="32"/>
      <c r="FF289" s="32"/>
      <c r="FG289" s="32"/>
      <c r="FH289" s="32"/>
      <c r="FI289" s="32"/>
      <c r="FJ289" s="32"/>
      <c r="FK289" s="32"/>
      <c r="FL289" s="32"/>
      <c r="FM289" s="32"/>
      <c r="FN289" s="32"/>
      <c r="FO289" s="32"/>
      <c r="FP289" s="32"/>
      <c r="FQ289" s="32"/>
      <c r="FR289" s="32"/>
      <c r="FS289" s="32"/>
      <c r="FT289" s="32"/>
      <c r="FU289" s="32"/>
      <c r="FV289" s="32"/>
      <c r="FW289" s="32"/>
      <c r="FX289" s="32"/>
      <c r="FY289" s="32"/>
      <c r="FZ289" s="32"/>
      <c r="GA289" s="32"/>
      <c r="GB289" s="32"/>
      <c r="GC289" s="32"/>
      <c r="GD289" s="32"/>
      <c r="GE289" s="32"/>
      <c r="GF289" s="32"/>
      <c r="GG289" s="32"/>
      <c r="GH289" s="32"/>
      <c r="GI289" s="32"/>
      <c r="GJ289" s="32"/>
      <c r="GK289" s="32"/>
      <c r="GL289" s="32"/>
      <c r="GM289" s="32"/>
      <c r="GN289" s="32"/>
      <c r="GO289" s="32"/>
      <c r="GP289" s="32"/>
      <c r="GQ289" s="32"/>
      <c r="GR289" s="32"/>
      <c r="GS289" s="32"/>
      <c r="GT289" s="32"/>
      <c r="GU289" s="32"/>
      <c r="GV289" s="32"/>
      <c r="GW289" s="32"/>
      <c r="GX289" s="32"/>
      <c r="GY289" s="32"/>
      <c r="GZ289" s="32"/>
      <c r="HA289" s="32"/>
      <c r="HB289" s="32"/>
      <c r="HC289" s="32"/>
      <c r="HD289" s="32"/>
      <c r="HE289" s="32"/>
      <c r="HF289" s="32"/>
      <c r="HG289" s="32"/>
      <c r="HH289" s="32"/>
      <c r="HI289" s="32"/>
      <c r="HJ289" s="32"/>
      <c r="HK289" s="32"/>
      <c r="HL289" s="32"/>
      <c r="HM289" s="32"/>
      <c r="HN289" s="32"/>
      <c r="HO289" s="32"/>
      <c r="HP289" s="32"/>
    </row>
    <row r="290" spans="1:224" x14ac:dyDescent="0.25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  <c r="BP290" s="32"/>
      <c r="BQ290" s="32"/>
      <c r="BR290" s="32"/>
      <c r="BS290" s="32"/>
      <c r="BT290" s="32"/>
      <c r="BU290" s="32"/>
      <c r="BV290" s="32"/>
      <c r="BW290" s="32"/>
      <c r="BX290" s="32"/>
      <c r="BY290" s="32"/>
      <c r="BZ290" s="32"/>
      <c r="CA290" s="32"/>
      <c r="CB290" s="32"/>
      <c r="CC290" s="32"/>
      <c r="CD290" s="32"/>
      <c r="CE290" s="32"/>
      <c r="CF290" s="32"/>
      <c r="CG290" s="32"/>
      <c r="CH290" s="32"/>
      <c r="CI290" s="32"/>
      <c r="CJ290" s="32"/>
      <c r="CK290" s="32"/>
      <c r="CL290" s="32"/>
      <c r="CM290" s="32"/>
      <c r="CN290" s="32"/>
      <c r="CO290" s="32"/>
      <c r="CP290" s="32"/>
      <c r="CQ290" s="32"/>
      <c r="CR290" s="32"/>
      <c r="CS290" s="32"/>
      <c r="CT290" s="32"/>
      <c r="CU290" s="32"/>
      <c r="CV290" s="32"/>
      <c r="CW290" s="32"/>
      <c r="CX290" s="32"/>
      <c r="CY290" s="32"/>
      <c r="CZ290" s="32"/>
      <c r="DA290" s="32"/>
      <c r="DB290" s="32"/>
      <c r="DC290" s="32"/>
      <c r="DD290" s="32"/>
      <c r="DE290" s="32"/>
      <c r="DF290" s="32"/>
      <c r="DG290" s="32"/>
      <c r="DH290" s="32"/>
      <c r="DI290" s="32"/>
      <c r="DJ290" s="32"/>
      <c r="DK290" s="32"/>
      <c r="DL290" s="32"/>
      <c r="DM290" s="32"/>
      <c r="DN290" s="32"/>
      <c r="DO290" s="32"/>
      <c r="DP290" s="32"/>
      <c r="DQ290" s="32"/>
      <c r="DR290" s="32"/>
      <c r="DS290" s="32"/>
      <c r="DT290" s="32"/>
      <c r="DU290" s="32"/>
      <c r="DV290" s="32"/>
      <c r="DW290" s="32"/>
      <c r="DX290" s="32"/>
      <c r="DY290" s="32"/>
      <c r="DZ290" s="32"/>
      <c r="EA290" s="32"/>
      <c r="EB290" s="32"/>
      <c r="EC290" s="32"/>
      <c r="ED290" s="32"/>
      <c r="EE290" s="32"/>
      <c r="EF290" s="32"/>
      <c r="EG290" s="32"/>
      <c r="EH290" s="32"/>
      <c r="EI290" s="32"/>
      <c r="EJ290" s="32"/>
      <c r="EK290" s="32"/>
      <c r="EL290" s="32"/>
      <c r="EM290" s="32"/>
      <c r="EN290" s="32"/>
      <c r="EO290" s="32"/>
      <c r="EP290" s="32"/>
      <c r="EQ290" s="32"/>
      <c r="ER290" s="32"/>
      <c r="ES290" s="32"/>
      <c r="ET290" s="32"/>
      <c r="EU290" s="32"/>
      <c r="EV290" s="32"/>
      <c r="EW290" s="32"/>
      <c r="EX290" s="32"/>
      <c r="EY290" s="32"/>
      <c r="EZ290" s="32"/>
      <c r="FA290" s="32"/>
      <c r="FB290" s="32"/>
      <c r="FC290" s="32"/>
      <c r="FD290" s="32"/>
      <c r="FE290" s="32"/>
      <c r="FF290" s="32"/>
      <c r="FG290" s="32"/>
      <c r="FH290" s="32"/>
      <c r="FI290" s="32"/>
      <c r="FJ290" s="32"/>
      <c r="FK290" s="32"/>
      <c r="FL290" s="32"/>
      <c r="FM290" s="32"/>
      <c r="FN290" s="32"/>
      <c r="FO290" s="32"/>
      <c r="FP290" s="32"/>
      <c r="FQ290" s="32"/>
      <c r="FR290" s="32"/>
      <c r="FS290" s="32"/>
      <c r="FT290" s="32"/>
      <c r="FU290" s="32"/>
      <c r="FV290" s="32"/>
      <c r="FW290" s="32"/>
      <c r="FX290" s="32"/>
      <c r="FY290" s="32"/>
      <c r="FZ290" s="32"/>
      <c r="GA290" s="32"/>
      <c r="GB290" s="32"/>
      <c r="GC290" s="32"/>
      <c r="GD290" s="32"/>
      <c r="GE290" s="32"/>
      <c r="GF290" s="32"/>
      <c r="GG290" s="32"/>
      <c r="GH290" s="32"/>
      <c r="GI290" s="32"/>
      <c r="GJ290" s="32"/>
      <c r="GK290" s="32"/>
      <c r="GL290" s="32"/>
      <c r="GM290" s="32"/>
      <c r="GN290" s="32"/>
      <c r="GO290" s="32"/>
      <c r="GP290" s="32"/>
      <c r="GQ290" s="32"/>
      <c r="GR290" s="32"/>
      <c r="GS290" s="32"/>
      <c r="GT290" s="32"/>
      <c r="GU290" s="32"/>
      <c r="GV290" s="32"/>
      <c r="GW290" s="32"/>
      <c r="GX290" s="32"/>
      <c r="GY290" s="32"/>
      <c r="GZ290" s="32"/>
      <c r="HA290" s="32"/>
      <c r="HB290" s="32"/>
      <c r="HC290" s="32"/>
      <c r="HD290" s="32"/>
      <c r="HE290" s="32"/>
      <c r="HF290" s="32"/>
      <c r="HG290" s="32"/>
      <c r="HH290" s="32"/>
      <c r="HI290" s="32"/>
      <c r="HJ290" s="32"/>
      <c r="HK290" s="32"/>
      <c r="HL290" s="32"/>
      <c r="HM290" s="32"/>
      <c r="HN290" s="32"/>
      <c r="HO290" s="32"/>
      <c r="HP290" s="32"/>
    </row>
    <row r="291" spans="1:224" x14ac:dyDescent="0.25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  <c r="BG291" s="32"/>
      <c r="BH291" s="32"/>
      <c r="BI291" s="32"/>
      <c r="BJ291" s="32"/>
      <c r="BK291" s="32"/>
      <c r="BL291" s="32"/>
      <c r="BM291" s="32"/>
      <c r="BN291" s="32"/>
      <c r="BO291" s="32"/>
      <c r="BP291" s="32"/>
      <c r="BQ291" s="32"/>
      <c r="BR291" s="32"/>
      <c r="BS291" s="32"/>
      <c r="BT291" s="32"/>
      <c r="BU291" s="32"/>
      <c r="BV291" s="32"/>
      <c r="BW291" s="32"/>
      <c r="BX291" s="32"/>
      <c r="BY291" s="32"/>
      <c r="BZ291" s="32"/>
      <c r="CA291" s="32"/>
      <c r="CB291" s="32"/>
      <c r="CC291" s="32"/>
      <c r="CD291" s="32"/>
      <c r="CE291" s="32"/>
      <c r="CF291" s="32"/>
      <c r="CG291" s="32"/>
      <c r="CH291" s="32"/>
      <c r="CI291" s="32"/>
      <c r="CJ291" s="32"/>
      <c r="CK291" s="32"/>
      <c r="CL291" s="32"/>
      <c r="CM291" s="32"/>
      <c r="CN291" s="32"/>
      <c r="CO291" s="32"/>
      <c r="CP291" s="32"/>
      <c r="CQ291" s="32"/>
      <c r="CR291" s="32"/>
      <c r="CS291" s="32"/>
      <c r="CT291" s="32"/>
      <c r="CU291" s="32"/>
      <c r="CV291" s="32"/>
      <c r="CW291" s="32"/>
      <c r="CX291" s="32"/>
      <c r="CY291" s="32"/>
      <c r="CZ291" s="32"/>
      <c r="DA291" s="32"/>
      <c r="DB291" s="32"/>
      <c r="DC291" s="32"/>
      <c r="DD291" s="32"/>
      <c r="DE291" s="32"/>
      <c r="DF291" s="32"/>
      <c r="DG291" s="32"/>
      <c r="DH291" s="32"/>
      <c r="DI291" s="32"/>
      <c r="DJ291" s="32"/>
      <c r="DK291" s="32"/>
      <c r="DL291" s="32"/>
      <c r="DM291" s="32"/>
      <c r="DN291" s="32"/>
      <c r="DO291" s="32"/>
      <c r="DP291" s="32"/>
      <c r="DQ291" s="32"/>
      <c r="DR291" s="32"/>
      <c r="DS291" s="32"/>
      <c r="DT291" s="32"/>
      <c r="DU291" s="32"/>
      <c r="DV291" s="32"/>
      <c r="DW291" s="32"/>
      <c r="DX291" s="32"/>
      <c r="DY291" s="32"/>
      <c r="DZ291" s="32"/>
      <c r="EA291" s="32"/>
      <c r="EB291" s="32"/>
      <c r="EC291" s="32"/>
      <c r="ED291" s="32"/>
      <c r="EE291" s="32"/>
      <c r="EF291" s="32"/>
      <c r="EG291" s="32"/>
      <c r="EH291" s="32"/>
      <c r="EI291" s="32"/>
      <c r="EJ291" s="32"/>
      <c r="EK291" s="32"/>
      <c r="EL291" s="32"/>
      <c r="EM291" s="32"/>
      <c r="EN291" s="32"/>
      <c r="EO291" s="32"/>
      <c r="EP291" s="32"/>
      <c r="EQ291" s="32"/>
      <c r="ER291" s="32"/>
      <c r="ES291" s="32"/>
      <c r="ET291" s="32"/>
      <c r="EU291" s="32"/>
      <c r="EV291" s="32"/>
      <c r="EW291" s="32"/>
      <c r="EX291" s="32"/>
      <c r="EY291" s="32"/>
      <c r="EZ291" s="32"/>
      <c r="FA291" s="32"/>
      <c r="FB291" s="32"/>
      <c r="FC291" s="32"/>
      <c r="FD291" s="32"/>
      <c r="FE291" s="32"/>
      <c r="FF291" s="32"/>
      <c r="FG291" s="32"/>
      <c r="FH291" s="32"/>
      <c r="FI291" s="32"/>
      <c r="FJ291" s="32"/>
      <c r="FK291" s="32"/>
      <c r="FL291" s="32"/>
      <c r="FM291" s="32"/>
      <c r="FN291" s="32"/>
      <c r="FO291" s="32"/>
      <c r="FP291" s="32"/>
      <c r="FQ291" s="32"/>
      <c r="FR291" s="32"/>
      <c r="FS291" s="32"/>
      <c r="FT291" s="32"/>
      <c r="FU291" s="32"/>
      <c r="FV291" s="32"/>
      <c r="FW291" s="32"/>
      <c r="FX291" s="32"/>
      <c r="FY291" s="32"/>
      <c r="FZ291" s="32"/>
      <c r="GA291" s="32"/>
      <c r="GB291" s="32"/>
      <c r="GC291" s="32"/>
      <c r="GD291" s="32"/>
      <c r="GE291" s="32"/>
      <c r="GF291" s="32"/>
      <c r="GG291" s="32"/>
      <c r="GH291" s="32"/>
      <c r="GI291" s="32"/>
      <c r="GJ291" s="32"/>
      <c r="GK291" s="32"/>
      <c r="GL291" s="32"/>
      <c r="GM291" s="32"/>
      <c r="GN291" s="32"/>
      <c r="GO291" s="32"/>
      <c r="GP291" s="32"/>
      <c r="GQ291" s="32"/>
      <c r="GR291" s="32"/>
      <c r="GS291" s="32"/>
      <c r="GT291" s="32"/>
      <c r="GU291" s="32"/>
      <c r="GV291" s="32"/>
      <c r="GW291" s="32"/>
      <c r="GX291" s="32"/>
      <c r="GY291" s="32"/>
      <c r="GZ291" s="32"/>
      <c r="HA291" s="32"/>
      <c r="HB291" s="32"/>
      <c r="HC291" s="32"/>
      <c r="HD291" s="32"/>
      <c r="HE291" s="32"/>
      <c r="HF291" s="32"/>
      <c r="HG291" s="32"/>
      <c r="HH291" s="32"/>
      <c r="HI291" s="32"/>
      <c r="HJ291" s="32"/>
      <c r="HK291" s="32"/>
      <c r="HL291" s="32"/>
      <c r="HM291" s="32"/>
      <c r="HN291" s="32"/>
      <c r="HO291" s="32"/>
      <c r="HP291" s="32"/>
    </row>
    <row r="292" spans="1:224" x14ac:dyDescent="0.25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  <c r="BP292" s="32"/>
      <c r="BQ292" s="32"/>
      <c r="BR292" s="32"/>
      <c r="BS292" s="32"/>
      <c r="BT292" s="32"/>
      <c r="BU292" s="32"/>
      <c r="BV292" s="32"/>
      <c r="BW292" s="32"/>
      <c r="BX292" s="32"/>
      <c r="BY292" s="32"/>
      <c r="BZ292" s="32"/>
      <c r="CA292" s="32"/>
      <c r="CB292" s="32"/>
      <c r="CC292" s="32"/>
      <c r="CD292" s="32"/>
      <c r="CE292" s="32"/>
      <c r="CF292" s="32"/>
      <c r="CG292" s="32"/>
      <c r="CH292" s="32"/>
      <c r="CI292" s="32"/>
      <c r="CJ292" s="32"/>
      <c r="CK292" s="32"/>
      <c r="CL292" s="32"/>
      <c r="CM292" s="32"/>
      <c r="CN292" s="32"/>
      <c r="CO292" s="32"/>
      <c r="CP292" s="32"/>
      <c r="CQ292" s="32"/>
      <c r="CR292" s="32"/>
      <c r="CS292" s="32"/>
      <c r="CT292" s="32"/>
      <c r="CU292" s="32"/>
      <c r="CV292" s="32"/>
      <c r="CW292" s="32"/>
      <c r="CX292" s="32"/>
      <c r="CY292" s="32"/>
      <c r="CZ292" s="32"/>
      <c r="DA292" s="32"/>
      <c r="DB292" s="32"/>
      <c r="DC292" s="32"/>
      <c r="DD292" s="32"/>
      <c r="DE292" s="32"/>
      <c r="DF292" s="32"/>
      <c r="DG292" s="32"/>
      <c r="DH292" s="32"/>
      <c r="DI292" s="32"/>
      <c r="DJ292" s="32"/>
      <c r="DK292" s="32"/>
      <c r="DL292" s="32"/>
      <c r="DM292" s="32"/>
      <c r="DN292" s="32"/>
      <c r="DO292" s="32"/>
      <c r="DP292" s="32"/>
      <c r="DQ292" s="32"/>
      <c r="DR292" s="32"/>
      <c r="DS292" s="32"/>
      <c r="DT292" s="32"/>
      <c r="DU292" s="32"/>
      <c r="DV292" s="32"/>
      <c r="DW292" s="32"/>
      <c r="DX292" s="32"/>
      <c r="DY292" s="32"/>
      <c r="DZ292" s="32"/>
      <c r="EA292" s="32"/>
      <c r="EB292" s="32"/>
      <c r="EC292" s="32"/>
      <c r="ED292" s="32"/>
      <c r="EE292" s="32"/>
      <c r="EF292" s="32"/>
      <c r="EG292" s="32"/>
      <c r="EH292" s="32"/>
      <c r="EI292" s="32"/>
      <c r="EJ292" s="32"/>
      <c r="EK292" s="32"/>
      <c r="EL292" s="32"/>
      <c r="EM292" s="32"/>
      <c r="EN292" s="32"/>
      <c r="EO292" s="32"/>
      <c r="EP292" s="32"/>
      <c r="EQ292" s="32"/>
      <c r="ER292" s="32"/>
      <c r="ES292" s="32"/>
      <c r="ET292" s="32"/>
      <c r="EU292" s="32"/>
      <c r="EV292" s="32"/>
      <c r="EW292" s="32"/>
      <c r="EX292" s="32"/>
      <c r="EY292" s="32"/>
      <c r="EZ292" s="32"/>
      <c r="FA292" s="32"/>
      <c r="FB292" s="32"/>
      <c r="FC292" s="32"/>
      <c r="FD292" s="32"/>
      <c r="FE292" s="32"/>
      <c r="FF292" s="32"/>
      <c r="FG292" s="32"/>
      <c r="FH292" s="32"/>
      <c r="FI292" s="32"/>
      <c r="FJ292" s="32"/>
      <c r="FK292" s="32"/>
      <c r="FL292" s="32"/>
      <c r="FM292" s="32"/>
      <c r="FN292" s="32"/>
      <c r="FO292" s="32"/>
      <c r="FP292" s="32"/>
      <c r="FQ292" s="32"/>
      <c r="FR292" s="32"/>
      <c r="FS292" s="32"/>
      <c r="FT292" s="32"/>
      <c r="FU292" s="32"/>
      <c r="FV292" s="32"/>
      <c r="FW292" s="32"/>
      <c r="FX292" s="32"/>
      <c r="FY292" s="32"/>
      <c r="FZ292" s="32"/>
      <c r="GA292" s="32"/>
      <c r="GB292" s="32"/>
      <c r="GC292" s="32"/>
      <c r="GD292" s="32"/>
      <c r="GE292" s="32"/>
      <c r="GF292" s="32"/>
      <c r="GG292" s="32"/>
      <c r="GH292" s="32"/>
      <c r="GI292" s="32"/>
      <c r="GJ292" s="32"/>
      <c r="GK292" s="32"/>
      <c r="GL292" s="32"/>
      <c r="GM292" s="32"/>
      <c r="GN292" s="32"/>
      <c r="GO292" s="32"/>
      <c r="GP292" s="32"/>
      <c r="GQ292" s="32"/>
      <c r="GR292" s="32"/>
      <c r="GS292" s="32"/>
      <c r="GT292" s="32"/>
      <c r="GU292" s="32"/>
      <c r="GV292" s="32"/>
      <c r="GW292" s="32"/>
      <c r="GX292" s="32"/>
      <c r="GY292" s="32"/>
      <c r="GZ292" s="32"/>
      <c r="HA292" s="32"/>
      <c r="HB292" s="32"/>
      <c r="HC292" s="32"/>
      <c r="HD292" s="32"/>
      <c r="HE292" s="32"/>
      <c r="HF292" s="32"/>
      <c r="HG292" s="32"/>
      <c r="HH292" s="32"/>
      <c r="HI292" s="32"/>
      <c r="HJ292" s="32"/>
      <c r="HK292" s="32"/>
      <c r="HL292" s="32"/>
      <c r="HM292" s="32"/>
      <c r="HN292" s="32"/>
      <c r="HO292" s="32"/>
      <c r="HP292" s="32"/>
    </row>
    <row r="293" spans="1:224" x14ac:dyDescent="0.25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2"/>
      <c r="BF293" s="32"/>
      <c r="BG293" s="32"/>
      <c r="BH293" s="32"/>
      <c r="BI293" s="32"/>
      <c r="BJ293" s="32"/>
      <c r="BK293" s="32"/>
      <c r="BL293" s="32"/>
      <c r="BM293" s="32"/>
      <c r="BN293" s="32"/>
      <c r="BO293" s="32"/>
      <c r="BP293" s="32"/>
      <c r="BQ293" s="32"/>
      <c r="BR293" s="32"/>
      <c r="BS293" s="32"/>
      <c r="BT293" s="32"/>
      <c r="BU293" s="32"/>
      <c r="BV293" s="32"/>
      <c r="BW293" s="32"/>
      <c r="BX293" s="32"/>
      <c r="BY293" s="32"/>
      <c r="BZ293" s="32"/>
      <c r="CA293" s="32"/>
      <c r="CB293" s="32"/>
      <c r="CC293" s="32"/>
      <c r="CD293" s="32"/>
      <c r="CE293" s="32"/>
      <c r="CF293" s="32"/>
      <c r="CG293" s="32"/>
      <c r="CH293" s="32"/>
      <c r="CI293" s="32"/>
      <c r="CJ293" s="32"/>
      <c r="CK293" s="32"/>
      <c r="CL293" s="32"/>
      <c r="CM293" s="32"/>
      <c r="CN293" s="32"/>
      <c r="CO293" s="32"/>
      <c r="CP293" s="32"/>
      <c r="CQ293" s="32"/>
      <c r="CR293" s="32"/>
      <c r="CS293" s="32"/>
      <c r="CT293" s="32"/>
      <c r="CU293" s="32"/>
      <c r="CV293" s="32"/>
      <c r="CW293" s="32"/>
      <c r="CX293" s="32"/>
      <c r="CY293" s="32"/>
      <c r="CZ293" s="32"/>
      <c r="DA293" s="32"/>
      <c r="DB293" s="32"/>
      <c r="DC293" s="32"/>
      <c r="DD293" s="32"/>
      <c r="DE293" s="32"/>
      <c r="DF293" s="32"/>
      <c r="DG293" s="32"/>
      <c r="DH293" s="32"/>
      <c r="DI293" s="32"/>
      <c r="DJ293" s="32"/>
      <c r="DK293" s="32"/>
      <c r="DL293" s="32"/>
      <c r="DM293" s="32"/>
      <c r="DN293" s="32"/>
      <c r="DO293" s="32"/>
      <c r="DP293" s="32"/>
      <c r="DQ293" s="32"/>
      <c r="DR293" s="32"/>
      <c r="DS293" s="32"/>
      <c r="DT293" s="32"/>
      <c r="DU293" s="32"/>
      <c r="DV293" s="32"/>
      <c r="DW293" s="32"/>
      <c r="DX293" s="32"/>
      <c r="DY293" s="32"/>
      <c r="DZ293" s="32"/>
      <c r="EA293" s="32"/>
      <c r="EB293" s="32"/>
      <c r="EC293" s="32"/>
      <c r="ED293" s="32"/>
      <c r="EE293" s="32"/>
      <c r="EF293" s="32"/>
      <c r="EG293" s="32"/>
      <c r="EH293" s="32"/>
      <c r="EI293" s="32"/>
      <c r="EJ293" s="32"/>
      <c r="EK293" s="32"/>
      <c r="EL293" s="32"/>
      <c r="EM293" s="32"/>
      <c r="EN293" s="32"/>
      <c r="EO293" s="32"/>
      <c r="EP293" s="32"/>
      <c r="EQ293" s="32"/>
      <c r="ER293" s="32"/>
      <c r="ES293" s="32"/>
      <c r="ET293" s="32"/>
      <c r="EU293" s="32"/>
      <c r="EV293" s="32"/>
      <c r="EW293" s="32"/>
      <c r="EX293" s="32"/>
      <c r="EY293" s="32"/>
      <c r="EZ293" s="32"/>
      <c r="FA293" s="32"/>
      <c r="FB293" s="32"/>
      <c r="FC293" s="32"/>
      <c r="FD293" s="32"/>
      <c r="FE293" s="32"/>
      <c r="FF293" s="32"/>
      <c r="FG293" s="32"/>
      <c r="FH293" s="32"/>
      <c r="FI293" s="32"/>
      <c r="FJ293" s="32"/>
      <c r="FK293" s="32"/>
      <c r="FL293" s="32"/>
      <c r="FM293" s="32"/>
      <c r="FN293" s="32"/>
      <c r="FO293" s="32"/>
      <c r="FP293" s="32"/>
      <c r="FQ293" s="32"/>
      <c r="FR293" s="32"/>
      <c r="FS293" s="32"/>
      <c r="FT293" s="32"/>
      <c r="FU293" s="32"/>
      <c r="FV293" s="32"/>
      <c r="FW293" s="32"/>
      <c r="FX293" s="32"/>
      <c r="FY293" s="32"/>
      <c r="FZ293" s="32"/>
      <c r="GA293" s="32"/>
      <c r="GB293" s="32"/>
      <c r="GC293" s="32"/>
      <c r="GD293" s="32"/>
      <c r="GE293" s="32"/>
      <c r="GF293" s="32"/>
      <c r="GG293" s="32"/>
      <c r="GH293" s="32"/>
      <c r="GI293" s="32"/>
      <c r="GJ293" s="32"/>
      <c r="GK293" s="32"/>
      <c r="GL293" s="32"/>
      <c r="GM293" s="32"/>
      <c r="GN293" s="32"/>
      <c r="GO293" s="32"/>
      <c r="GP293" s="32"/>
      <c r="GQ293" s="32"/>
      <c r="GR293" s="32"/>
      <c r="GS293" s="32"/>
      <c r="GT293" s="32"/>
      <c r="GU293" s="32"/>
      <c r="GV293" s="32"/>
      <c r="GW293" s="32"/>
      <c r="GX293" s="32"/>
      <c r="GY293" s="32"/>
      <c r="GZ293" s="32"/>
      <c r="HA293" s="32"/>
      <c r="HB293" s="32"/>
      <c r="HC293" s="32"/>
      <c r="HD293" s="32"/>
      <c r="HE293" s="32"/>
      <c r="HF293" s="32"/>
      <c r="HG293" s="32"/>
      <c r="HH293" s="32"/>
      <c r="HI293" s="32"/>
      <c r="HJ293" s="32"/>
      <c r="HK293" s="32"/>
      <c r="HL293" s="32"/>
      <c r="HM293" s="32"/>
      <c r="HN293" s="32"/>
      <c r="HO293" s="32"/>
      <c r="HP293" s="32"/>
    </row>
    <row r="294" spans="1:224" x14ac:dyDescent="0.25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/>
      <c r="BO294" s="32"/>
      <c r="BP294" s="32"/>
      <c r="BQ294" s="32"/>
      <c r="BR294" s="32"/>
      <c r="BS294" s="32"/>
      <c r="BT294" s="32"/>
      <c r="BU294" s="32"/>
      <c r="BV294" s="32"/>
      <c r="BW294" s="32"/>
      <c r="BX294" s="32"/>
      <c r="BY294" s="32"/>
      <c r="BZ294" s="32"/>
      <c r="CA294" s="32"/>
      <c r="CB294" s="32"/>
      <c r="CC294" s="32"/>
      <c r="CD294" s="32"/>
      <c r="CE294" s="32"/>
      <c r="CF294" s="32"/>
      <c r="CG294" s="32"/>
      <c r="CH294" s="32"/>
      <c r="CI294" s="32"/>
      <c r="CJ294" s="32"/>
      <c r="CK294" s="32"/>
      <c r="CL294" s="32"/>
      <c r="CM294" s="32"/>
      <c r="CN294" s="32"/>
      <c r="CO294" s="32"/>
      <c r="CP294" s="32"/>
      <c r="CQ294" s="32"/>
      <c r="CR294" s="32"/>
      <c r="CS294" s="32"/>
      <c r="CT294" s="32"/>
      <c r="CU294" s="32"/>
      <c r="CV294" s="32"/>
      <c r="CW294" s="32"/>
      <c r="CX294" s="32"/>
      <c r="CY294" s="32"/>
      <c r="CZ294" s="32"/>
      <c r="DA294" s="32"/>
      <c r="DB294" s="32"/>
      <c r="DC294" s="32"/>
      <c r="DD294" s="32"/>
      <c r="DE294" s="32"/>
      <c r="DF294" s="32"/>
      <c r="DG294" s="32"/>
      <c r="DH294" s="32"/>
      <c r="DI294" s="32"/>
      <c r="DJ294" s="32"/>
      <c r="DK294" s="32"/>
      <c r="DL294" s="32"/>
      <c r="DM294" s="32"/>
      <c r="DN294" s="32"/>
      <c r="DO294" s="32"/>
      <c r="DP294" s="32"/>
      <c r="DQ294" s="32"/>
      <c r="DR294" s="32"/>
      <c r="DS294" s="32"/>
      <c r="DT294" s="32"/>
      <c r="DU294" s="32"/>
      <c r="DV294" s="32"/>
      <c r="DW294" s="32"/>
      <c r="DX294" s="32"/>
      <c r="DY294" s="32"/>
      <c r="DZ294" s="32"/>
      <c r="EA294" s="32"/>
      <c r="EB294" s="32"/>
      <c r="EC294" s="32"/>
      <c r="ED294" s="32"/>
      <c r="EE294" s="32"/>
      <c r="EF294" s="32"/>
      <c r="EG294" s="32"/>
      <c r="EH294" s="32"/>
      <c r="EI294" s="32"/>
      <c r="EJ294" s="32"/>
      <c r="EK294" s="32"/>
      <c r="EL294" s="32"/>
      <c r="EM294" s="32"/>
      <c r="EN294" s="32"/>
      <c r="EO294" s="32"/>
      <c r="EP294" s="32"/>
      <c r="EQ294" s="32"/>
      <c r="ER294" s="32"/>
      <c r="ES294" s="32"/>
      <c r="ET294" s="32"/>
      <c r="EU294" s="32"/>
      <c r="EV294" s="32"/>
      <c r="EW294" s="32"/>
      <c r="EX294" s="32"/>
      <c r="EY294" s="32"/>
      <c r="EZ294" s="32"/>
      <c r="FA294" s="32"/>
      <c r="FB294" s="32"/>
      <c r="FC294" s="32"/>
      <c r="FD294" s="32"/>
      <c r="FE294" s="32"/>
      <c r="FF294" s="32"/>
      <c r="FG294" s="32"/>
      <c r="FH294" s="32"/>
      <c r="FI294" s="32"/>
      <c r="FJ294" s="32"/>
      <c r="FK294" s="32"/>
      <c r="FL294" s="32"/>
      <c r="FM294" s="32"/>
      <c r="FN294" s="32"/>
      <c r="FO294" s="32"/>
      <c r="FP294" s="32"/>
      <c r="FQ294" s="32"/>
      <c r="FR294" s="32"/>
      <c r="FS294" s="32"/>
      <c r="FT294" s="32"/>
      <c r="FU294" s="32"/>
      <c r="FV294" s="32"/>
      <c r="FW294" s="32"/>
      <c r="FX294" s="32"/>
      <c r="FY294" s="32"/>
      <c r="FZ294" s="32"/>
      <c r="GA294" s="32"/>
      <c r="GB294" s="32"/>
      <c r="GC294" s="32"/>
      <c r="GD294" s="32"/>
      <c r="GE294" s="32"/>
      <c r="GF294" s="32"/>
      <c r="GG294" s="32"/>
      <c r="GH294" s="32"/>
      <c r="GI294" s="32"/>
      <c r="GJ294" s="32"/>
      <c r="GK294" s="32"/>
      <c r="GL294" s="32"/>
      <c r="GM294" s="32"/>
      <c r="GN294" s="32"/>
      <c r="GO294" s="32"/>
      <c r="GP294" s="32"/>
      <c r="GQ294" s="32"/>
      <c r="GR294" s="32"/>
      <c r="GS294" s="32"/>
      <c r="GT294" s="32"/>
      <c r="GU294" s="32"/>
      <c r="GV294" s="32"/>
      <c r="GW294" s="32"/>
      <c r="GX294" s="32"/>
      <c r="GY294" s="32"/>
      <c r="GZ294" s="32"/>
      <c r="HA294" s="32"/>
      <c r="HB294" s="32"/>
      <c r="HC294" s="32"/>
      <c r="HD294" s="32"/>
      <c r="HE294" s="32"/>
      <c r="HF294" s="32"/>
      <c r="HG294" s="32"/>
      <c r="HH294" s="32"/>
      <c r="HI294" s="32"/>
      <c r="HJ294" s="32"/>
      <c r="HK294" s="32"/>
      <c r="HL294" s="32"/>
      <c r="HM294" s="32"/>
      <c r="HN294" s="32"/>
      <c r="HO294" s="32"/>
      <c r="HP294" s="32"/>
    </row>
    <row r="295" spans="1:224" x14ac:dyDescent="0.2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  <c r="BF295" s="32"/>
      <c r="BG295" s="32"/>
      <c r="BH295" s="32"/>
      <c r="BI295" s="32"/>
      <c r="BJ295" s="32"/>
      <c r="BK295" s="32"/>
      <c r="BL295" s="32"/>
      <c r="BM295" s="32"/>
      <c r="BN295" s="32"/>
      <c r="BO295" s="32"/>
      <c r="BP295" s="32"/>
      <c r="BQ295" s="32"/>
      <c r="BR295" s="32"/>
      <c r="BS295" s="32"/>
      <c r="BT295" s="32"/>
      <c r="BU295" s="32"/>
      <c r="BV295" s="32"/>
      <c r="BW295" s="32"/>
      <c r="BX295" s="32"/>
      <c r="BY295" s="32"/>
      <c r="BZ295" s="32"/>
      <c r="CA295" s="32"/>
      <c r="CB295" s="32"/>
      <c r="CC295" s="32"/>
      <c r="CD295" s="32"/>
      <c r="CE295" s="32"/>
      <c r="CF295" s="32"/>
      <c r="CG295" s="32"/>
      <c r="CH295" s="32"/>
      <c r="CI295" s="32"/>
      <c r="CJ295" s="32"/>
      <c r="CK295" s="32"/>
      <c r="CL295" s="32"/>
      <c r="CM295" s="32"/>
      <c r="CN295" s="32"/>
      <c r="CO295" s="32"/>
      <c r="CP295" s="32"/>
      <c r="CQ295" s="32"/>
      <c r="CR295" s="32"/>
      <c r="CS295" s="32"/>
      <c r="CT295" s="32"/>
      <c r="CU295" s="32"/>
      <c r="CV295" s="32"/>
      <c r="CW295" s="32"/>
      <c r="CX295" s="32"/>
      <c r="CY295" s="32"/>
      <c r="CZ295" s="32"/>
      <c r="DA295" s="32"/>
      <c r="DB295" s="32"/>
      <c r="DC295" s="32"/>
      <c r="DD295" s="32"/>
      <c r="DE295" s="32"/>
      <c r="DF295" s="32"/>
      <c r="DG295" s="32"/>
      <c r="DH295" s="32"/>
      <c r="DI295" s="32"/>
      <c r="DJ295" s="32"/>
      <c r="DK295" s="32"/>
      <c r="DL295" s="32"/>
      <c r="DM295" s="32"/>
      <c r="DN295" s="32"/>
      <c r="DO295" s="32"/>
      <c r="DP295" s="32"/>
      <c r="DQ295" s="32"/>
      <c r="DR295" s="32"/>
      <c r="DS295" s="32"/>
      <c r="DT295" s="32"/>
      <c r="DU295" s="32"/>
      <c r="DV295" s="32"/>
      <c r="DW295" s="32"/>
      <c r="DX295" s="32"/>
      <c r="DY295" s="32"/>
      <c r="DZ295" s="32"/>
      <c r="EA295" s="32"/>
      <c r="EB295" s="32"/>
      <c r="EC295" s="32"/>
      <c r="ED295" s="32"/>
      <c r="EE295" s="32"/>
      <c r="EF295" s="32"/>
      <c r="EG295" s="32"/>
      <c r="EH295" s="32"/>
      <c r="EI295" s="32"/>
      <c r="EJ295" s="32"/>
      <c r="EK295" s="32"/>
      <c r="EL295" s="32"/>
      <c r="EM295" s="32"/>
      <c r="EN295" s="32"/>
      <c r="EO295" s="32"/>
      <c r="EP295" s="32"/>
      <c r="EQ295" s="32"/>
      <c r="ER295" s="32"/>
      <c r="ES295" s="32"/>
      <c r="ET295" s="32"/>
      <c r="EU295" s="32"/>
      <c r="EV295" s="32"/>
      <c r="EW295" s="32"/>
      <c r="EX295" s="32"/>
      <c r="EY295" s="32"/>
      <c r="EZ295" s="32"/>
      <c r="FA295" s="32"/>
      <c r="FB295" s="32"/>
      <c r="FC295" s="32"/>
      <c r="FD295" s="32"/>
      <c r="FE295" s="32"/>
      <c r="FF295" s="32"/>
      <c r="FG295" s="32"/>
      <c r="FH295" s="32"/>
      <c r="FI295" s="32"/>
      <c r="FJ295" s="32"/>
      <c r="FK295" s="32"/>
      <c r="FL295" s="32"/>
      <c r="FM295" s="32"/>
      <c r="FN295" s="32"/>
      <c r="FO295" s="32"/>
      <c r="FP295" s="32"/>
      <c r="FQ295" s="32"/>
      <c r="FR295" s="32"/>
      <c r="FS295" s="32"/>
      <c r="FT295" s="32"/>
      <c r="FU295" s="32"/>
      <c r="FV295" s="32"/>
      <c r="FW295" s="32"/>
      <c r="FX295" s="32"/>
      <c r="FY295" s="32"/>
      <c r="FZ295" s="32"/>
      <c r="GA295" s="32"/>
      <c r="GB295" s="32"/>
      <c r="GC295" s="32"/>
      <c r="GD295" s="32"/>
      <c r="GE295" s="32"/>
      <c r="GF295" s="32"/>
      <c r="GG295" s="32"/>
      <c r="GH295" s="32"/>
      <c r="GI295" s="32"/>
      <c r="GJ295" s="32"/>
      <c r="GK295" s="32"/>
      <c r="GL295" s="32"/>
      <c r="GM295" s="32"/>
      <c r="GN295" s="32"/>
      <c r="GO295" s="32"/>
      <c r="GP295" s="32"/>
      <c r="GQ295" s="32"/>
      <c r="GR295" s="32"/>
      <c r="GS295" s="32"/>
      <c r="GT295" s="32"/>
      <c r="GU295" s="32"/>
      <c r="GV295" s="32"/>
      <c r="GW295" s="32"/>
      <c r="GX295" s="32"/>
      <c r="GY295" s="32"/>
      <c r="GZ295" s="32"/>
      <c r="HA295" s="32"/>
      <c r="HB295" s="32"/>
      <c r="HC295" s="32"/>
      <c r="HD295" s="32"/>
      <c r="HE295" s="32"/>
      <c r="HF295" s="32"/>
      <c r="HG295" s="32"/>
      <c r="HH295" s="32"/>
      <c r="HI295" s="32"/>
      <c r="HJ295" s="32"/>
      <c r="HK295" s="32"/>
      <c r="HL295" s="32"/>
      <c r="HM295" s="32"/>
      <c r="HN295" s="32"/>
      <c r="HO295" s="32"/>
      <c r="HP295" s="32"/>
    </row>
    <row r="296" spans="1:224" x14ac:dyDescent="0.25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  <c r="BF296" s="32"/>
      <c r="BG296" s="32"/>
      <c r="BH296" s="32"/>
      <c r="BI296" s="32"/>
      <c r="BJ296" s="32"/>
      <c r="BK296" s="32"/>
      <c r="BL296" s="32"/>
      <c r="BM296" s="32"/>
      <c r="BN296" s="32"/>
      <c r="BO296" s="32"/>
      <c r="BP296" s="32"/>
      <c r="BQ296" s="32"/>
      <c r="BR296" s="32"/>
      <c r="BS296" s="32"/>
      <c r="BT296" s="32"/>
      <c r="BU296" s="32"/>
      <c r="BV296" s="32"/>
      <c r="BW296" s="32"/>
      <c r="BX296" s="32"/>
      <c r="BY296" s="32"/>
      <c r="BZ296" s="32"/>
      <c r="CA296" s="32"/>
      <c r="CB296" s="32"/>
      <c r="CC296" s="32"/>
      <c r="CD296" s="32"/>
      <c r="CE296" s="32"/>
      <c r="CF296" s="32"/>
      <c r="CG296" s="32"/>
      <c r="CH296" s="32"/>
      <c r="CI296" s="32"/>
      <c r="CJ296" s="32"/>
      <c r="CK296" s="32"/>
      <c r="CL296" s="32"/>
      <c r="CM296" s="32"/>
      <c r="CN296" s="32"/>
      <c r="CO296" s="32"/>
      <c r="CP296" s="32"/>
      <c r="CQ296" s="32"/>
      <c r="CR296" s="32"/>
      <c r="CS296" s="32"/>
      <c r="CT296" s="32"/>
      <c r="CU296" s="32"/>
      <c r="CV296" s="32"/>
      <c r="CW296" s="32"/>
      <c r="CX296" s="32"/>
      <c r="CY296" s="32"/>
      <c r="CZ296" s="32"/>
      <c r="DA296" s="32"/>
      <c r="DB296" s="32"/>
      <c r="DC296" s="32"/>
      <c r="DD296" s="32"/>
      <c r="DE296" s="32"/>
      <c r="DF296" s="32"/>
      <c r="DG296" s="32"/>
      <c r="DH296" s="32"/>
      <c r="DI296" s="32"/>
      <c r="DJ296" s="32"/>
      <c r="DK296" s="32"/>
      <c r="DL296" s="32"/>
      <c r="DM296" s="32"/>
      <c r="DN296" s="32"/>
      <c r="DO296" s="32"/>
      <c r="DP296" s="32"/>
      <c r="DQ296" s="32"/>
      <c r="DR296" s="32"/>
      <c r="DS296" s="32"/>
      <c r="DT296" s="32"/>
      <c r="DU296" s="32"/>
      <c r="DV296" s="32"/>
      <c r="DW296" s="32"/>
      <c r="DX296" s="32"/>
      <c r="DY296" s="32"/>
      <c r="DZ296" s="32"/>
      <c r="EA296" s="32"/>
      <c r="EB296" s="32"/>
      <c r="EC296" s="32"/>
      <c r="ED296" s="32"/>
      <c r="EE296" s="32"/>
      <c r="EF296" s="32"/>
      <c r="EG296" s="32"/>
      <c r="EH296" s="32"/>
      <c r="EI296" s="32"/>
      <c r="EJ296" s="32"/>
      <c r="EK296" s="32"/>
      <c r="EL296" s="32"/>
      <c r="EM296" s="32"/>
      <c r="EN296" s="32"/>
      <c r="EO296" s="32"/>
      <c r="EP296" s="32"/>
      <c r="EQ296" s="32"/>
      <c r="ER296" s="32"/>
      <c r="ES296" s="32"/>
      <c r="ET296" s="32"/>
      <c r="EU296" s="32"/>
      <c r="EV296" s="32"/>
      <c r="EW296" s="32"/>
      <c r="EX296" s="32"/>
      <c r="EY296" s="32"/>
      <c r="EZ296" s="32"/>
      <c r="FA296" s="32"/>
      <c r="FB296" s="32"/>
      <c r="FC296" s="32"/>
      <c r="FD296" s="32"/>
      <c r="FE296" s="32"/>
      <c r="FF296" s="32"/>
      <c r="FG296" s="32"/>
      <c r="FH296" s="32"/>
      <c r="FI296" s="32"/>
      <c r="FJ296" s="32"/>
      <c r="FK296" s="32"/>
      <c r="FL296" s="32"/>
      <c r="FM296" s="32"/>
      <c r="FN296" s="32"/>
      <c r="FO296" s="32"/>
      <c r="FP296" s="32"/>
      <c r="FQ296" s="32"/>
      <c r="FR296" s="32"/>
      <c r="FS296" s="32"/>
      <c r="FT296" s="32"/>
      <c r="FU296" s="32"/>
      <c r="FV296" s="32"/>
      <c r="FW296" s="32"/>
      <c r="FX296" s="32"/>
      <c r="FY296" s="32"/>
      <c r="FZ296" s="32"/>
      <c r="GA296" s="32"/>
      <c r="GB296" s="32"/>
      <c r="GC296" s="32"/>
      <c r="GD296" s="32"/>
      <c r="GE296" s="32"/>
      <c r="GF296" s="32"/>
      <c r="GG296" s="32"/>
      <c r="GH296" s="32"/>
      <c r="GI296" s="32"/>
      <c r="GJ296" s="32"/>
      <c r="GK296" s="32"/>
      <c r="GL296" s="32"/>
      <c r="GM296" s="32"/>
      <c r="GN296" s="32"/>
      <c r="GO296" s="32"/>
      <c r="GP296" s="32"/>
      <c r="GQ296" s="32"/>
      <c r="GR296" s="32"/>
      <c r="GS296" s="32"/>
      <c r="GT296" s="32"/>
      <c r="GU296" s="32"/>
      <c r="GV296" s="32"/>
      <c r="GW296" s="32"/>
      <c r="GX296" s="32"/>
      <c r="GY296" s="32"/>
      <c r="GZ296" s="32"/>
      <c r="HA296" s="32"/>
      <c r="HB296" s="32"/>
      <c r="HC296" s="32"/>
      <c r="HD296" s="32"/>
      <c r="HE296" s="32"/>
      <c r="HF296" s="32"/>
      <c r="HG296" s="32"/>
      <c r="HH296" s="32"/>
      <c r="HI296" s="32"/>
      <c r="HJ296" s="32"/>
      <c r="HK296" s="32"/>
      <c r="HL296" s="32"/>
      <c r="HM296" s="32"/>
      <c r="HN296" s="32"/>
      <c r="HO296" s="32"/>
      <c r="HP296" s="32"/>
    </row>
    <row r="297" spans="1:224" x14ac:dyDescent="0.25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  <c r="BE297" s="32"/>
      <c r="BF297" s="32"/>
      <c r="BG297" s="32"/>
      <c r="BH297" s="32"/>
      <c r="BI297" s="32"/>
      <c r="BJ297" s="32"/>
      <c r="BK297" s="32"/>
      <c r="BL297" s="32"/>
      <c r="BM297" s="32"/>
      <c r="BN297" s="32"/>
      <c r="BO297" s="32"/>
      <c r="BP297" s="32"/>
      <c r="BQ297" s="32"/>
      <c r="BR297" s="32"/>
      <c r="BS297" s="32"/>
      <c r="BT297" s="32"/>
      <c r="BU297" s="32"/>
      <c r="BV297" s="32"/>
      <c r="BW297" s="32"/>
      <c r="BX297" s="32"/>
      <c r="BY297" s="32"/>
      <c r="BZ297" s="32"/>
      <c r="CA297" s="32"/>
      <c r="CB297" s="32"/>
      <c r="CC297" s="32"/>
      <c r="CD297" s="32"/>
      <c r="CE297" s="32"/>
      <c r="CF297" s="32"/>
      <c r="CG297" s="32"/>
      <c r="CH297" s="32"/>
      <c r="CI297" s="32"/>
      <c r="CJ297" s="32"/>
      <c r="CK297" s="32"/>
      <c r="CL297" s="32"/>
      <c r="CM297" s="32"/>
      <c r="CN297" s="32"/>
      <c r="CO297" s="32"/>
      <c r="CP297" s="32"/>
      <c r="CQ297" s="32"/>
      <c r="CR297" s="32"/>
      <c r="CS297" s="32"/>
      <c r="CT297" s="32"/>
      <c r="CU297" s="32"/>
      <c r="CV297" s="32"/>
      <c r="CW297" s="32"/>
      <c r="CX297" s="32"/>
      <c r="CY297" s="32"/>
      <c r="CZ297" s="32"/>
      <c r="DA297" s="32"/>
      <c r="DB297" s="32"/>
      <c r="DC297" s="32"/>
      <c r="DD297" s="32"/>
      <c r="DE297" s="32"/>
      <c r="DF297" s="32"/>
      <c r="DG297" s="32"/>
      <c r="DH297" s="32"/>
      <c r="DI297" s="32"/>
      <c r="DJ297" s="32"/>
      <c r="DK297" s="32"/>
      <c r="DL297" s="32"/>
      <c r="DM297" s="32"/>
      <c r="DN297" s="32"/>
      <c r="DO297" s="32"/>
      <c r="DP297" s="32"/>
      <c r="DQ297" s="32"/>
      <c r="DR297" s="32"/>
      <c r="DS297" s="32"/>
      <c r="DT297" s="32"/>
      <c r="DU297" s="32"/>
      <c r="DV297" s="32"/>
      <c r="DW297" s="32"/>
      <c r="DX297" s="32"/>
      <c r="DY297" s="32"/>
      <c r="DZ297" s="32"/>
      <c r="EA297" s="32"/>
      <c r="EB297" s="32"/>
      <c r="EC297" s="32"/>
      <c r="ED297" s="32"/>
      <c r="EE297" s="32"/>
      <c r="EF297" s="32"/>
      <c r="EG297" s="32"/>
      <c r="EH297" s="32"/>
      <c r="EI297" s="32"/>
      <c r="EJ297" s="32"/>
      <c r="EK297" s="32"/>
      <c r="EL297" s="32"/>
      <c r="EM297" s="32"/>
      <c r="EN297" s="32"/>
      <c r="EO297" s="32"/>
      <c r="EP297" s="32"/>
      <c r="EQ297" s="32"/>
      <c r="ER297" s="32"/>
      <c r="ES297" s="32"/>
      <c r="ET297" s="32"/>
      <c r="EU297" s="32"/>
      <c r="EV297" s="32"/>
      <c r="EW297" s="32"/>
      <c r="EX297" s="32"/>
      <c r="EY297" s="32"/>
      <c r="EZ297" s="32"/>
      <c r="FA297" s="32"/>
      <c r="FB297" s="32"/>
      <c r="FC297" s="32"/>
      <c r="FD297" s="32"/>
      <c r="FE297" s="32"/>
      <c r="FF297" s="32"/>
      <c r="FG297" s="32"/>
      <c r="FH297" s="32"/>
      <c r="FI297" s="32"/>
      <c r="FJ297" s="32"/>
      <c r="FK297" s="32"/>
      <c r="FL297" s="32"/>
      <c r="FM297" s="32"/>
      <c r="FN297" s="32"/>
      <c r="FO297" s="32"/>
      <c r="FP297" s="32"/>
      <c r="FQ297" s="32"/>
      <c r="FR297" s="32"/>
      <c r="FS297" s="32"/>
      <c r="FT297" s="32"/>
      <c r="FU297" s="32"/>
      <c r="FV297" s="32"/>
      <c r="FW297" s="32"/>
      <c r="FX297" s="32"/>
      <c r="FY297" s="32"/>
      <c r="FZ297" s="32"/>
      <c r="GA297" s="32"/>
      <c r="GB297" s="32"/>
      <c r="GC297" s="32"/>
      <c r="GD297" s="32"/>
      <c r="GE297" s="32"/>
      <c r="GF297" s="32"/>
      <c r="GG297" s="32"/>
      <c r="GH297" s="32"/>
      <c r="GI297" s="32"/>
      <c r="GJ297" s="32"/>
      <c r="GK297" s="32"/>
      <c r="GL297" s="32"/>
      <c r="GM297" s="32"/>
      <c r="GN297" s="32"/>
      <c r="GO297" s="32"/>
      <c r="GP297" s="32"/>
      <c r="GQ297" s="32"/>
      <c r="GR297" s="32"/>
      <c r="GS297" s="32"/>
      <c r="GT297" s="32"/>
      <c r="GU297" s="32"/>
      <c r="GV297" s="32"/>
      <c r="GW297" s="32"/>
      <c r="GX297" s="32"/>
      <c r="GY297" s="32"/>
      <c r="GZ297" s="32"/>
      <c r="HA297" s="32"/>
      <c r="HB297" s="32"/>
      <c r="HC297" s="32"/>
      <c r="HD297" s="32"/>
      <c r="HE297" s="32"/>
      <c r="HF297" s="32"/>
      <c r="HG297" s="32"/>
      <c r="HH297" s="32"/>
      <c r="HI297" s="32"/>
      <c r="HJ297" s="32"/>
      <c r="HK297" s="32"/>
      <c r="HL297" s="32"/>
      <c r="HM297" s="32"/>
      <c r="HN297" s="32"/>
      <c r="HO297" s="32"/>
      <c r="HP297" s="32"/>
    </row>
    <row r="298" spans="1:224" x14ac:dyDescent="0.25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  <c r="BD298" s="32"/>
      <c r="BE298" s="32"/>
      <c r="BF298" s="32"/>
      <c r="BG298" s="32"/>
      <c r="BH298" s="32"/>
      <c r="BI298" s="32"/>
      <c r="BJ298" s="32"/>
      <c r="BK298" s="32"/>
      <c r="BL298" s="32"/>
      <c r="BM298" s="32"/>
      <c r="BN298" s="32"/>
      <c r="BO298" s="32"/>
      <c r="BP298" s="32"/>
      <c r="BQ298" s="32"/>
      <c r="BR298" s="32"/>
      <c r="BS298" s="32"/>
      <c r="BT298" s="32"/>
      <c r="BU298" s="32"/>
      <c r="BV298" s="32"/>
      <c r="BW298" s="32"/>
      <c r="BX298" s="32"/>
      <c r="BY298" s="32"/>
      <c r="BZ298" s="32"/>
      <c r="CA298" s="32"/>
      <c r="CB298" s="32"/>
      <c r="CC298" s="32"/>
      <c r="CD298" s="32"/>
      <c r="CE298" s="32"/>
      <c r="CF298" s="32"/>
      <c r="CG298" s="32"/>
      <c r="CH298" s="32"/>
      <c r="CI298" s="32"/>
      <c r="CJ298" s="32"/>
      <c r="CK298" s="32"/>
      <c r="CL298" s="32"/>
      <c r="CM298" s="32"/>
      <c r="CN298" s="32"/>
      <c r="CO298" s="32"/>
      <c r="CP298" s="32"/>
      <c r="CQ298" s="32"/>
      <c r="CR298" s="32"/>
      <c r="CS298" s="32"/>
      <c r="CT298" s="32"/>
      <c r="CU298" s="32"/>
      <c r="CV298" s="32"/>
      <c r="CW298" s="32"/>
      <c r="CX298" s="32"/>
      <c r="CY298" s="32"/>
      <c r="CZ298" s="32"/>
      <c r="DA298" s="32"/>
      <c r="DB298" s="32"/>
      <c r="DC298" s="32"/>
      <c r="DD298" s="32"/>
      <c r="DE298" s="32"/>
      <c r="DF298" s="32"/>
      <c r="DG298" s="32"/>
      <c r="DH298" s="32"/>
      <c r="DI298" s="32"/>
      <c r="DJ298" s="32"/>
      <c r="DK298" s="32"/>
      <c r="DL298" s="32"/>
      <c r="DM298" s="32"/>
      <c r="DN298" s="32"/>
      <c r="DO298" s="32"/>
      <c r="DP298" s="32"/>
      <c r="DQ298" s="32"/>
      <c r="DR298" s="32"/>
      <c r="DS298" s="32"/>
      <c r="DT298" s="32"/>
      <c r="DU298" s="32"/>
      <c r="DV298" s="32"/>
      <c r="DW298" s="32"/>
      <c r="DX298" s="32"/>
      <c r="DY298" s="32"/>
      <c r="DZ298" s="32"/>
      <c r="EA298" s="32"/>
      <c r="EB298" s="32"/>
      <c r="EC298" s="32"/>
      <c r="ED298" s="32"/>
      <c r="EE298" s="32"/>
      <c r="EF298" s="32"/>
      <c r="EG298" s="32"/>
      <c r="EH298" s="32"/>
      <c r="EI298" s="32"/>
      <c r="EJ298" s="32"/>
      <c r="EK298" s="32"/>
      <c r="EL298" s="32"/>
      <c r="EM298" s="32"/>
      <c r="EN298" s="32"/>
      <c r="EO298" s="32"/>
      <c r="EP298" s="32"/>
      <c r="EQ298" s="32"/>
      <c r="ER298" s="32"/>
      <c r="ES298" s="32"/>
      <c r="ET298" s="32"/>
      <c r="EU298" s="32"/>
      <c r="EV298" s="32"/>
      <c r="EW298" s="32"/>
      <c r="EX298" s="32"/>
      <c r="EY298" s="32"/>
      <c r="EZ298" s="32"/>
      <c r="FA298" s="32"/>
      <c r="FB298" s="32"/>
      <c r="FC298" s="32"/>
      <c r="FD298" s="32"/>
      <c r="FE298" s="32"/>
      <c r="FF298" s="32"/>
      <c r="FG298" s="32"/>
      <c r="FH298" s="32"/>
      <c r="FI298" s="32"/>
      <c r="FJ298" s="32"/>
      <c r="FK298" s="32"/>
      <c r="FL298" s="32"/>
      <c r="FM298" s="32"/>
      <c r="FN298" s="32"/>
      <c r="FO298" s="32"/>
      <c r="FP298" s="32"/>
      <c r="FQ298" s="32"/>
      <c r="FR298" s="32"/>
      <c r="FS298" s="32"/>
      <c r="FT298" s="32"/>
      <c r="FU298" s="32"/>
      <c r="FV298" s="32"/>
      <c r="FW298" s="32"/>
      <c r="FX298" s="32"/>
      <c r="FY298" s="32"/>
      <c r="FZ298" s="32"/>
      <c r="GA298" s="32"/>
      <c r="GB298" s="32"/>
      <c r="GC298" s="32"/>
      <c r="GD298" s="32"/>
      <c r="GE298" s="32"/>
      <c r="GF298" s="32"/>
      <c r="GG298" s="32"/>
      <c r="GH298" s="32"/>
      <c r="GI298" s="32"/>
      <c r="GJ298" s="32"/>
      <c r="GK298" s="32"/>
      <c r="GL298" s="32"/>
      <c r="GM298" s="32"/>
      <c r="GN298" s="32"/>
      <c r="GO298" s="32"/>
      <c r="GP298" s="32"/>
      <c r="GQ298" s="32"/>
      <c r="GR298" s="32"/>
      <c r="GS298" s="32"/>
      <c r="GT298" s="32"/>
      <c r="GU298" s="32"/>
      <c r="GV298" s="32"/>
      <c r="GW298" s="32"/>
      <c r="GX298" s="32"/>
      <c r="GY298" s="32"/>
      <c r="GZ298" s="32"/>
      <c r="HA298" s="32"/>
      <c r="HB298" s="32"/>
      <c r="HC298" s="32"/>
      <c r="HD298" s="32"/>
      <c r="HE298" s="32"/>
      <c r="HF298" s="32"/>
      <c r="HG298" s="32"/>
      <c r="HH298" s="32"/>
      <c r="HI298" s="32"/>
      <c r="HJ298" s="32"/>
      <c r="HK298" s="32"/>
      <c r="HL298" s="32"/>
      <c r="HM298" s="32"/>
      <c r="HN298" s="32"/>
      <c r="HO298" s="32"/>
      <c r="HP298" s="32"/>
    </row>
    <row r="299" spans="1:224" x14ac:dyDescent="0.25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  <c r="BE299" s="32"/>
      <c r="BF299" s="32"/>
      <c r="BG299" s="32"/>
      <c r="BH299" s="32"/>
      <c r="BI299" s="32"/>
      <c r="BJ299" s="32"/>
      <c r="BK299" s="32"/>
      <c r="BL299" s="32"/>
      <c r="BM299" s="32"/>
      <c r="BN299" s="32"/>
      <c r="BO299" s="32"/>
      <c r="BP299" s="32"/>
      <c r="BQ299" s="32"/>
      <c r="BR299" s="32"/>
      <c r="BS299" s="32"/>
      <c r="BT299" s="32"/>
      <c r="BU299" s="32"/>
      <c r="BV299" s="32"/>
      <c r="BW299" s="32"/>
      <c r="BX299" s="32"/>
      <c r="BY299" s="32"/>
      <c r="BZ299" s="32"/>
      <c r="CA299" s="32"/>
      <c r="CB299" s="32"/>
      <c r="CC299" s="32"/>
      <c r="CD299" s="32"/>
      <c r="CE299" s="32"/>
      <c r="CF299" s="32"/>
      <c r="CG299" s="32"/>
      <c r="CH299" s="32"/>
      <c r="CI299" s="32"/>
      <c r="CJ299" s="32"/>
      <c r="CK299" s="32"/>
      <c r="CL299" s="32"/>
      <c r="CM299" s="32"/>
      <c r="CN299" s="32"/>
      <c r="CO299" s="32"/>
      <c r="CP299" s="32"/>
      <c r="CQ299" s="32"/>
      <c r="CR299" s="32"/>
      <c r="CS299" s="32"/>
      <c r="CT299" s="32"/>
      <c r="CU299" s="32"/>
      <c r="CV299" s="32"/>
      <c r="CW299" s="32"/>
      <c r="CX299" s="32"/>
      <c r="CY299" s="32"/>
      <c r="CZ299" s="32"/>
      <c r="DA299" s="32"/>
      <c r="DB299" s="32"/>
      <c r="DC299" s="32"/>
      <c r="DD299" s="32"/>
      <c r="DE299" s="32"/>
      <c r="DF299" s="32"/>
      <c r="DG299" s="32"/>
      <c r="DH299" s="32"/>
      <c r="DI299" s="32"/>
      <c r="DJ299" s="32"/>
      <c r="DK299" s="32"/>
      <c r="DL299" s="32"/>
      <c r="DM299" s="32"/>
      <c r="DN299" s="32"/>
      <c r="DO299" s="32"/>
      <c r="DP299" s="32"/>
      <c r="DQ299" s="32"/>
      <c r="DR299" s="32"/>
      <c r="DS299" s="32"/>
      <c r="DT299" s="32"/>
      <c r="DU299" s="32"/>
      <c r="DV299" s="32"/>
      <c r="DW299" s="32"/>
      <c r="DX299" s="32"/>
      <c r="DY299" s="32"/>
      <c r="DZ299" s="32"/>
      <c r="EA299" s="32"/>
      <c r="EB299" s="32"/>
      <c r="EC299" s="32"/>
      <c r="ED299" s="32"/>
      <c r="EE299" s="32"/>
      <c r="EF299" s="32"/>
      <c r="EG299" s="32"/>
      <c r="EH299" s="32"/>
      <c r="EI299" s="32"/>
      <c r="EJ299" s="32"/>
      <c r="EK299" s="32"/>
      <c r="EL299" s="32"/>
      <c r="EM299" s="32"/>
      <c r="EN299" s="32"/>
      <c r="EO299" s="32"/>
      <c r="EP299" s="32"/>
      <c r="EQ299" s="32"/>
      <c r="ER299" s="32"/>
      <c r="ES299" s="32"/>
      <c r="ET299" s="32"/>
      <c r="EU299" s="32"/>
      <c r="EV299" s="32"/>
      <c r="EW299" s="32"/>
      <c r="EX299" s="32"/>
      <c r="EY299" s="32"/>
      <c r="EZ299" s="32"/>
      <c r="FA299" s="32"/>
      <c r="FB299" s="32"/>
      <c r="FC299" s="32"/>
      <c r="FD299" s="32"/>
      <c r="FE299" s="32"/>
      <c r="FF299" s="32"/>
      <c r="FG299" s="32"/>
      <c r="FH299" s="32"/>
      <c r="FI299" s="32"/>
      <c r="FJ299" s="32"/>
      <c r="FK299" s="32"/>
      <c r="FL299" s="32"/>
      <c r="FM299" s="32"/>
      <c r="FN299" s="32"/>
      <c r="FO299" s="32"/>
      <c r="FP299" s="32"/>
      <c r="FQ299" s="32"/>
      <c r="FR299" s="32"/>
      <c r="FS299" s="32"/>
      <c r="FT299" s="32"/>
      <c r="FU299" s="32"/>
      <c r="FV299" s="32"/>
      <c r="FW299" s="32"/>
      <c r="FX299" s="32"/>
      <c r="FY299" s="32"/>
      <c r="FZ299" s="32"/>
      <c r="GA299" s="32"/>
      <c r="GB299" s="32"/>
      <c r="GC299" s="32"/>
      <c r="GD299" s="32"/>
      <c r="GE299" s="32"/>
      <c r="GF299" s="32"/>
      <c r="GG299" s="32"/>
      <c r="GH299" s="32"/>
      <c r="GI299" s="32"/>
      <c r="GJ299" s="32"/>
      <c r="GK299" s="32"/>
      <c r="GL299" s="32"/>
      <c r="GM299" s="32"/>
      <c r="GN299" s="32"/>
      <c r="GO299" s="32"/>
      <c r="GP299" s="32"/>
      <c r="GQ299" s="32"/>
      <c r="GR299" s="32"/>
      <c r="GS299" s="32"/>
      <c r="GT299" s="32"/>
      <c r="GU299" s="32"/>
      <c r="GV299" s="32"/>
      <c r="GW299" s="32"/>
      <c r="GX299" s="32"/>
      <c r="GY299" s="32"/>
      <c r="GZ299" s="32"/>
      <c r="HA299" s="32"/>
      <c r="HB299" s="32"/>
      <c r="HC299" s="32"/>
      <c r="HD299" s="32"/>
      <c r="HE299" s="32"/>
      <c r="HF299" s="32"/>
      <c r="HG299" s="32"/>
      <c r="HH299" s="32"/>
      <c r="HI299" s="32"/>
      <c r="HJ299" s="32"/>
      <c r="HK299" s="32"/>
      <c r="HL299" s="32"/>
      <c r="HM299" s="32"/>
      <c r="HN299" s="32"/>
      <c r="HO299" s="32"/>
      <c r="HP299" s="32"/>
    </row>
    <row r="300" spans="1:224" x14ac:dyDescent="0.25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2"/>
      <c r="BE300" s="32"/>
      <c r="BF300" s="32"/>
      <c r="BG300" s="32"/>
      <c r="BH300" s="32"/>
      <c r="BI300" s="32"/>
      <c r="BJ300" s="32"/>
      <c r="BK300" s="32"/>
      <c r="BL300" s="32"/>
      <c r="BM300" s="32"/>
      <c r="BN300" s="32"/>
      <c r="BO300" s="32"/>
      <c r="BP300" s="32"/>
      <c r="BQ300" s="32"/>
      <c r="BR300" s="32"/>
      <c r="BS300" s="32"/>
      <c r="BT300" s="32"/>
      <c r="BU300" s="32"/>
      <c r="BV300" s="32"/>
      <c r="BW300" s="32"/>
      <c r="BX300" s="32"/>
      <c r="BY300" s="32"/>
      <c r="BZ300" s="32"/>
      <c r="CA300" s="32"/>
      <c r="CB300" s="32"/>
      <c r="CC300" s="32"/>
      <c r="CD300" s="32"/>
      <c r="CE300" s="32"/>
      <c r="CF300" s="32"/>
      <c r="CG300" s="32"/>
      <c r="CH300" s="32"/>
      <c r="CI300" s="32"/>
      <c r="CJ300" s="32"/>
      <c r="CK300" s="32"/>
      <c r="CL300" s="32"/>
      <c r="CM300" s="32"/>
      <c r="CN300" s="32"/>
      <c r="CO300" s="32"/>
      <c r="CP300" s="32"/>
      <c r="CQ300" s="32"/>
      <c r="CR300" s="32"/>
      <c r="CS300" s="32"/>
      <c r="CT300" s="32"/>
      <c r="CU300" s="32"/>
      <c r="CV300" s="32"/>
      <c r="CW300" s="32"/>
      <c r="CX300" s="32"/>
      <c r="CY300" s="32"/>
      <c r="CZ300" s="32"/>
      <c r="DA300" s="32"/>
      <c r="DB300" s="32"/>
      <c r="DC300" s="32"/>
      <c r="DD300" s="32"/>
      <c r="DE300" s="32"/>
      <c r="DF300" s="32"/>
      <c r="DG300" s="32"/>
      <c r="DH300" s="32"/>
      <c r="DI300" s="32"/>
      <c r="DJ300" s="32"/>
      <c r="DK300" s="32"/>
      <c r="DL300" s="32"/>
      <c r="DM300" s="32"/>
      <c r="DN300" s="32"/>
      <c r="DO300" s="32"/>
      <c r="DP300" s="32"/>
      <c r="DQ300" s="32"/>
      <c r="DR300" s="32"/>
      <c r="DS300" s="32"/>
      <c r="DT300" s="32"/>
      <c r="DU300" s="32"/>
      <c r="DV300" s="32"/>
      <c r="DW300" s="32"/>
      <c r="DX300" s="32"/>
      <c r="DY300" s="32"/>
      <c r="DZ300" s="32"/>
      <c r="EA300" s="32"/>
      <c r="EB300" s="32"/>
      <c r="EC300" s="32"/>
      <c r="ED300" s="32"/>
      <c r="EE300" s="32"/>
      <c r="EF300" s="32"/>
      <c r="EG300" s="32"/>
      <c r="EH300" s="32"/>
      <c r="EI300" s="32"/>
      <c r="EJ300" s="32"/>
      <c r="EK300" s="32"/>
      <c r="EL300" s="32"/>
      <c r="EM300" s="32"/>
      <c r="EN300" s="32"/>
      <c r="EO300" s="32"/>
      <c r="EP300" s="32"/>
      <c r="EQ300" s="32"/>
      <c r="ER300" s="32"/>
      <c r="ES300" s="32"/>
      <c r="ET300" s="32"/>
      <c r="EU300" s="32"/>
      <c r="EV300" s="32"/>
      <c r="EW300" s="32"/>
      <c r="EX300" s="32"/>
      <c r="EY300" s="32"/>
      <c r="EZ300" s="32"/>
      <c r="FA300" s="32"/>
      <c r="FB300" s="32"/>
      <c r="FC300" s="32"/>
      <c r="FD300" s="32"/>
      <c r="FE300" s="32"/>
      <c r="FF300" s="32"/>
      <c r="FG300" s="32"/>
      <c r="FH300" s="32"/>
      <c r="FI300" s="32"/>
      <c r="FJ300" s="32"/>
      <c r="FK300" s="32"/>
      <c r="FL300" s="32"/>
      <c r="FM300" s="32"/>
      <c r="FN300" s="32"/>
      <c r="FO300" s="32"/>
      <c r="FP300" s="32"/>
      <c r="FQ300" s="32"/>
      <c r="FR300" s="32"/>
      <c r="FS300" s="32"/>
      <c r="FT300" s="32"/>
      <c r="FU300" s="32"/>
      <c r="FV300" s="32"/>
      <c r="FW300" s="32"/>
      <c r="FX300" s="32"/>
      <c r="FY300" s="32"/>
      <c r="FZ300" s="32"/>
      <c r="GA300" s="32"/>
      <c r="GB300" s="32"/>
      <c r="GC300" s="32"/>
      <c r="GD300" s="32"/>
      <c r="GE300" s="32"/>
      <c r="GF300" s="32"/>
      <c r="GG300" s="32"/>
      <c r="GH300" s="32"/>
      <c r="GI300" s="32"/>
      <c r="GJ300" s="32"/>
      <c r="GK300" s="32"/>
      <c r="GL300" s="32"/>
      <c r="GM300" s="32"/>
      <c r="GN300" s="32"/>
      <c r="GO300" s="32"/>
      <c r="GP300" s="32"/>
      <c r="GQ300" s="32"/>
      <c r="GR300" s="32"/>
      <c r="GS300" s="32"/>
      <c r="GT300" s="32"/>
      <c r="GU300" s="32"/>
      <c r="GV300" s="32"/>
      <c r="GW300" s="32"/>
      <c r="GX300" s="32"/>
      <c r="GY300" s="32"/>
      <c r="GZ300" s="32"/>
      <c r="HA300" s="32"/>
      <c r="HB300" s="32"/>
      <c r="HC300" s="32"/>
      <c r="HD300" s="32"/>
      <c r="HE300" s="32"/>
      <c r="HF300" s="32"/>
      <c r="HG300" s="32"/>
      <c r="HH300" s="32"/>
      <c r="HI300" s="32"/>
      <c r="HJ300" s="32"/>
      <c r="HK300" s="32"/>
      <c r="HL300" s="32"/>
      <c r="HM300" s="32"/>
      <c r="HN300" s="32"/>
      <c r="HO300" s="32"/>
      <c r="HP300" s="32"/>
    </row>
    <row r="301" spans="1:224" x14ac:dyDescent="0.25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  <c r="BD301" s="32"/>
      <c r="BE301" s="32"/>
      <c r="BF301" s="32"/>
      <c r="BG301" s="32"/>
      <c r="BH301" s="32"/>
      <c r="BI301" s="32"/>
      <c r="BJ301" s="32"/>
      <c r="BK301" s="32"/>
      <c r="BL301" s="32"/>
      <c r="BM301" s="32"/>
      <c r="BN301" s="32"/>
      <c r="BO301" s="32"/>
      <c r="BP301" s="32"/>
      <c r="BQ301" s="32"/>
      <c r="BR301" s="32"/>
      <c r="BS301" s="32"/>
      <c r="BT301" s="32"/>
      <c r="BU301" s="32"/>
      <c r="BV301" s="32"/>
      <c r="BW301" s="32"/>
      <c r="BX301" s="32"/>
      <c r="BY301" s="32"/>
      <c r="BZ301" s="32"/>
      <c r="CA301" s="32"/>
      <c r="CB301" s="32"/>
      <c r="CC301" s="32"/>
      <c r="CD301" s="32"/>
      <c r="CE301" s="32"/>
      <c r="CF301" s="32"/>
      <c r="CG301" s="32"/>
      <c r="CH301" s="32"/>
      <c r="CI301" s="32"/>
      <c r="CJ301" s="32"/>
      <c r="CK301" s="32"/>
      <c r="CL301" s="32"/>
      <c r="CM301" s="32"/>
      <c r="CN301" s="32"/>
      <c r="CO301" s="32"/>
      <c r="CP301" s="32"/>
      <c r="CQ301" s="32"/>
      <c r="CR301" s="32"/>
      <c r="CS301" s="32"/>
      <c r="CT301" s="32"/>
      <c r="CU301" s="32"/>
      <c r="CV301" s="32"/>
      <c r="CW301" s="32"/>
      <c r="CX301" s="32"/>
      <c r="CY301" s="32"/>
      <c r="CZ301" s="32"/>
      <c r="DA301" s="32"/>
      <c r="DB301" s="32"/>
      <c r="DC301" s="32"/>
      <c r="DD301" s="32"/>
      <c r="DE301" s="32"/>
      <c r="DF301" s="32"/>
      <c r="DG301" s="32"/>
      <c r="DH301" s="32"/>
      <c r="DI301" s="32"/>
      <c r="DJ301" s="32"/>
      <c r="DK301" s="32"/>
      <c r="DL301" s="32"/>
      <c r="DM301" s="32"/>
      <c r="DN301" s="32"/>
      <c r="DO301" s="32"/>
      <c r="DP301" s="32"/>
      <c r="DQ301" s="32"/>
      <c r="DR301" s="32"/>
      <c r="DS301" s="32"/>
      <c r="DT301" s="32"/>
      <c r="DU301" s="32"/>
      <c r="DV301" s="32"/>
      <c r="DW301" s="32"/>
      <c r="DX301" s="32"/>
      <c r="DY301" s="32"/>
      <c r="DZ301" s="32"/>
      <c r="EA301" s="32"/>
      <c r="EB301" s="32"/>
      <c r="EC301" s="32"/>
      <c r="ED301" s="32"/>
      <c r="EE301" s="32"/>
      <c r="EF301" s="32"/>
      <c r="EG301" s="32"/>
      <c r="EH301" s="32"/>
      <c r="EI301" s="32"/>
      <c r="EJ301" s="32"/>
      <c r="EK301" s="32"/>
      <c r="EL301" s="32"/>
      <c r="EM301" s="32"/>
      <c r="EN301" s="32"/>
      <c r="EO301" s="32"/>
      <c r="EP301" s="32"/>
      <c r="EQ301" s="32"/>
      <c r="ER301" s="32"/>
      <c r="ES301" s="32"/>
      <c r="ET301" s="32"/>
      <c r="EU301" s="32"/>
      <c r="EV301" s="32"/>
      <c r="EW301" s="32"/>
      <c r="EX301" s="32"/>
      <c r="EY301" s="32"/>
      <c r="EZ301" s="32"/>
      <c r="FA301" s="32"/>
      <c r="FB301" s="32"/>
      <c r="FC301" s="32"/>
      <c r="FD301" s="32"/>
      <c r="FE301" s="32"/>
      <c r="FF301" s="32"/>
      <c r="FG301" s="32"/>
      <c r="FH301" s="32"/>
      <c r="FI301" s="32"/>
      <c r="FJ301" s="32"/>
      <c r="FK301" s="32"/>
      <c r="FL301" s="32"/>
      <c r="FM301" s="32"/>
      <c r="FN301" s="32"/>
      <c r="FO301" s="32"/>
      <c r="FP301" s="32"/>
      <c r="FQ301" s="32"/>
      <c r="FR301" s="32"/>
      <c r="FS301" s="32"/>
      <c r="FT301" s="32"/>
      <c r="FU301" s="32"/>
      <c r="FV301" s="32"/>
      <c r="FW301" s="32"/>
      <c r="FX301" s="32"/>
      <c r="FY301" s="32"/>
      <c r="FZ301" s="32"/>
      <c r="GA301" s="32"/>
      <c r="GB301" s="32"/>
      <c r="GC301" s="32"/>
      <c r="GD301" s="32"/>
      <c r="GE301" s="32"/>
      <c r="GF301" s="32"/>
      <c r="GG301" s="32"/>
      <c r="GH301" s="32"/>
      <c r="GI301" s="32"/>
      <c r="GJ301" s="32"/>
      <c r="GK301" s="32"/>
      <c r="GL301" s="32"/>
      <c r="GM301" s="32"/>
      <c r="GN301" s="32"/>
      <c r="GO301" s="32"/>
      <c r="GP301" s="32"/>
      <c r="GQ301" s="32"/>
      <c r="GR301" s="32"/>
      <c r="GS301" s="32"/>
      <c r="GT301" s="32"/>
      <c r="GU301" s="32"/>
      <c r="GV301" s="32"/>
      <c r="GW301" s="32"/>
      <c r="GX301" s="32"/>
      <c r="GY301" s="32"/>
      <c r="GZ301" s="32"/>
      <c r="HA301" s="32"/>
      <c r="HB301" s="32"/>
      <c r="HC301" s="32"/>
      <c r="HD301" s="32"/>
      <c r="HE301" s="32"/>
      <c r="HF301" s="32"/>
      <c r="HG301" s="32"/>
      <c r="HH301" s="32"/>
      <c r="HI301" s="32"/>
      <c r="HJ301" s="32"/>
      <c r="HK301" s="32"/>
      <c r="HL301" s="32"/>
      <c r="HM301" s="32"/>
      <c r="HN301" s="32"/>
      <c r="HO301" s="32"/>
      <c r="HP301" s="32"/>
    </row>
    <row r="302" spans="1:224" x14ac:dyDescent="0.25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2"/>
      <c r="BF302" s="32"/>
      <c r="BG302" s="32"/>
      <c r="BH302" s="32"/>
      <c r="BI302" s="32"/>
      <c r="BJ302" s="32"/>
      <c r="BK302" s="32"/>
      <c r="BL302" s="32"/>
      <c r="BM302" s="32"/>
      <c r="BN302" s="32"/>
      <c r="BO302" s="32"/>
      <c r="BP302" s="32"/>
      <c r="BQ302" s="32"/>
      <c r="BR302" s="32"/>
      <c r="BS302" s="32"/>
      <c r="BT302" s="32"/>
      <c r="BU302" s="32"/>
      <c r="BV302" s="32"/>
      <c r="BW302" s="32"/>
      <c r="BX302" s="32"/>
      <c r="BY302" s="32"/>
      <c r="BZ302" s="32"/>
      <c r="CA302" s="32"/>
      <c r="CB302" s="32"/>
      <c r="CC302" s="32"/>
      <c r="CD302" s="32"/>
      <c r="CE302" s="32"/>
      <c r="CF302" s="32"/>
      <c r="CG302" s="32"/>
      <c r="CH302" s="32"/>
      <c r="CI302" s="32"/>
      <c r="CJ302" s="32"/>
      <c r="CK302" s="32"/>
      <c r="CL302" s="32"/>
      <c r="CM302" s="32"/>
      <c r="CN302" s="32"/>
      <c r="CO302" s="32"/>
      <c r="CP302" s="32"/>
      <c r="CQ302" s="32"/>
      <c r="CR302" s="32"/>
      <c r="CS302" s="32"/>
      <c r="CT302" s="32"/>
      <c r="CU302" s="32"/>
      <c r="CV302" s="32"/>
      <c r="CW302" s="32"/>
      <c r="CX302" s="32"/>
      <c r="CY302" s="32"/>
      <c r="CZ302" s="32"/>
      <c r="DA302" s="32"/>
      <c r="DB302" s="32"/>
      <c r="DC302" s="32"/>
      <c r="DD302" s="32"/>
      <c r="DE302" s="32"/>
      <c r="DF302" s="32"/>
      <c r="DG302" s="32"/>
      <c r="DH302" s="32"/>
      <c r="DI302" s="32"/>
      <c r="DJ302" s="32"/>
      <c r="DK302" s="32"/>
      <c r="DL302" s="32"/>
      <c r="DM302" s="32"/>
      <c r="DN302" s="32"/>
      <c r="DO302" s="32"/>
      <c r="DP302" s="32"/>
      <c r="DQ302" s="32"/>
      <c r="DR302" s="32"/>
      <c r="DS302" s="32"/>
      <c r="DT302" s="32"/>
      <c r="DU302" s="32"/>
      <c r="DV302" s="32"/>
      <c r="DW302" s="32"/>
      <c r="DX302" s="32"/>
      <c r="DY302" s="32"/>
      <c r="DZ302" s="32"/>
      <c r="EA302" s="32"/>
      <c r="EB302" s="32"/>
      <c r="EC302" s="32"/>
      <c r="ED302" s="32"/>
      <c r="EE302" s="32"/>
      <c r="EF302" s="32"/>
      <c r="EG302" s="32"/>
      <c r="EH302" s="32"/>
      <c r="EI302" s="32"/>
      <c r="EJ302" s="32"/>
      <c r="EK302" s="32"/>
      <c r="EL302" s="32"/>
      <c r="EM302" s="32"/>
      <c r="EN302" s="32"/>
      <c r="EO302" s="32"/>
      <c r="EP302" s="32"/>
      <c r="EQ302" s="32"/>
      <c r="ER302" s="32"/>
      <c r="ES302" s="32"/>
      <c r="ET302" s="32"/>
      <c r="EU302" s="32"/>
      <c r="EV302" s="32"/>
      <c r="EW302" s="32"/>
      <c r="EX302" s="32"/>
      <c r="EY302" s="32"/>
      <c r="EZ302" s="32"/>
      <c r="FA302" s="32"/>
      <c r="FB302" s="32"/>
      <c r="FC302" s="32"/>
      <c r="FD302" s="32"/>
      <c r="FE302" s="32"/>
      <c r="FF302" s="32"/>
      <c r="FG302" s="32"/>
      <c r="FH302" s="32"/>
      <c r="FI302" s="32"/>
      <c r="FJ302" s="32"/>
      <c r="FK302" s="32"/>
      <c r="FL302" s="32"/>
      <c r="FM302" s="32"/>
      <c r="FN302" s="32"/>
      <c r="FO302" s="32"/>
      <c r="FP302" s="32"/>
      <c r="FQ302" s="32"/>
      <c r="FR302" s="32"/>
      <c r="FS302" s="32"/>
      <c r="FT302" s="32"/>
      <c r="FU302" s="32"/>
      <c r="FV302" s="32"/>
      <c r="FW302" s="32"/>
      <c r="FX302" s="32"/>
      <c r="FY302" s="32"/>
      <c r="FZ302" s="32"/>
      <c r="GA302" s="32"/>
      <c r="GB302" s="32"/>
      <c r="GC302" s="32"/>
      <c r="GD302" s="32"/>
      <c r="GE302" s="32"/>
      <c r="GF302" s="32"/>
      <c r="GG302" s="32"/>
      <c r="GH302" s="32"/>
      <c r="GI302" s="32"/>
      <c r="GJ302" s="32"/>
      <c r="GK302" s="32"/>
      <c r="GL302" s="32"/>
      <c r="GM302" s="32"/>
      <c r="GN302" s="32"/>
      <c r="GO302" s="32"/>
      <c r="GP302" s="32"/>
      <c r="GQ302" s="32"/>
      <c r="GR302" s="32"/>
      <c r="GS302" s="32"/>
      <c r="GT302" s="32"/>
      <c r="GU302" s="32"/>
      <c r="GV302" s="32"/>
      <c r="GW302" s="32"/>
      <c r="GX302" s="32"/>
      <c r="GY302" s="32"/>
      <c r="GZ302" s="32"/>
      <c r="HA302" s="32"/>
      <c r="HB302" s="32"/>
      <c r="HC302" s="32"/>
      <c r="HD302" s="32"/>
      <c r="HE302" s="32"/>
      <c r="HF302" s="32"/>
      <c r="HG302" s="32"/>
      <c r="HH302" s="32"/>
      <c r="HI302" s="32"/>
      <c r="HJ302" s="32"/>
      <c r="HK302" s="32"/>
      <c r="HL302" s="32"/>
      <c r="HM302" s="32"/>
      <c r="HN302" s="32"/>
      <c r="HO302" s="32"/>
      <c r="HP302" s="32"/>
    </row>
    <row r="303" spans="1:224" x14ac:dyDescent="0.25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2"/>
      <c r="BF303" s="32"/>
      <c r="BG303" s="32"/>
      <c r="BH303" s="32"/>
      <c r="BI303" s="32"/>
      <c r="BJ303" s="32"/>
      <c r="BK303" s="32"/>
      <c r="BL303" s="32"/>
      <c r="BM303" s="32"/>
      <c r="BN303" s="32"/>
      <c r="BO303" s="32"/>
      <c r="BP303" s="32"/>
      <c r="BQ303" s="32"/>
      <c r="BR303" s="32"/>
      <c r="BS303" s="32"/>
      <c r="BT303" s="32"/>
      <c r="BU303" s="32"/>
      <c r="BV303" s="32"/>
      <c r="BW303" s="32"/>
      <c r="BX303" s="32"/>
      <c r="BY303" s="32"/>
      <c r="BZ303" s="32"/>
      <c r="CA303" s="32"/>
      <c r="CB303" s="32"/>
      <c r="CC303" s="32"/>
      <c r="CD303" s="32"/>
      <c r="CE303" s="32"/>
      <c r="CF303" s="32"/>
      <c r="CG303" s="32"/>
      <c r="CH303" s="32"/>
      <c r="CI303" s="32"/>
      <c r="CJ303" s="32"/>
      <c r="CK303" s="32"/>
      <c r="CL303" s="32"/>
      <c r="CM303" s="32"/>
      <c r="CN303" s="32"/>
      <c r="CO303" s="32"/>
      <c r="CP303" s="32"/>
      <c r="CQ303" s="32"/>
      <c r="CR303" s="32"/>
      <c r="CS303" s="32"/>
      <c r="CT303" s="32"/>
      <c r="CU303" s="32"/>
      <c r="CV303" s="32"/>
      <c r="CW303" s="32"/>
      <c r="CX303" s="32"/>
      <c r="CY303" s="32"/>
      <c r="CZ303" s="32"/>
      <c r="DA303" s="32"/>
      <c r="DB303" s="32"/>
      <c r="DC303" s="32"/>
      <c r="DD303" s="32"/>
      <c r="DE303" s="32"/>
      <c r="DF303" s="32"/>
      <c r="DG303" s="32"/>
      <c r="DH303" s="32"/>
      <c r="DI303" s="32"/>
      <c r="DJ303" s="32"/>
      <c r="DK303" s="32"/>
      <c r="DL303" s="32"/>
      <c r="DM303" s="32"/>
      <c r="DN303" s="32"/>
      <c r="DO303" s="32"/>
      <c r="DP303" s="32"/>
      <c r="DQ303" s="32"/>
      <c r="DR303" s="32"/>
      <c r="DS303" s="32"/>
      <c r="DT303" s="32"/>
      <c r="DU303" s="32"/>
      <c r="DV303" s="32"/>
      <c r="DW303" s="32"/>
      <c r="DX303" s="32"/>
      <c r="DY303" s="32"/>
      <c r="DZ303" s="32"/>
      <c r="EA303" s="32"/>
      <c r="EB303" s="32"/>
      <c r="EC303" s="32"/>
      <c r="ED303" s="32"/>
      <c r="EE303" s="32"/>
      <c r="EF303" s="32"/>
      <c r="EG303" s="32"/>
      <c r="EH303" s="32"/>
      <c r="EI303" s="32"/>
      <c r="EJ303" s="32"/>
      <c r="EK303" s="32"/>
      <c r="EL303" s="32"/>
      <c r="EM303" s="32"/>
      <c r="EN303" s="32"/>
      <c r="EO303" s="32"/>
      <c r="EP303" s="32"/>
      <c r="EQ303" s="32"/>
      <c r="ER303" s="32"/>
      <c r="ES303" s="32"/>
      <c r="ET303" s="32"/>
      <c r="EU303" s="32"/>
      <c r="EV303" s="32"/>
      <c r="EW303" s="32"/>
      <c r="EX303" s="32"/>
      <c r="EY303" s="32"/>
      <c r="EZ303" s="32"/>
      <c r="FA303" s="32"/>
      <c r="FB303" s="32"/>
      <c r="FC303" s="32"/>
      <c r="FD303" s="32"/>
      <c r="FE303" s="32"/>
      <c r="FF303" s="32"/>
      <c r="FG303" s="32"/>
      <c r="FH303" s="32"/>
      <c r="FI303" s="32"/>
      <c r="FJ303" s="32"/>
      <c r="FK303" s="32"/>
      <c r="FL303" s="32"/>
      <c r="FM303" s="32"/>
      <c r="FN303" s="32"/>
      <c r="FO303" s="32"/>
      <c r="FP303" s="32"/>
      <c r="FQ303" s="32"/>
      <c r="FR303" s="32"/>
      <c r="FS303" s="32"/>
      <c r="FT303" s="32"/>
      <c r="FU303" s="32"/>
      <c r="FV303" s="32"/>
      <c r="FW303" s="32"/>
      <c r="FX303" s="32"/>
      <c r="FY303" s="32"/>
      <c r="FZ303" s="32"/>
      <c r="GA303" s="32"/>
      <c r="GB303" s="32"/>
      <c r="GC303" s="32"/>
      <c r="GD303" s="32"/>
      <c r="GE303" s="32"/>
      <c r="GF303" s="32"/>
      <c r="GG303" s="32"/>
      <c r="GH303" s="32"/>
      <c r="GI303" s="32"/>
      <c r="GJ303" s="32"/>
      <c r="GK303" s="32"/>
      <c r="GL303" s="32"/>
      <c r="GM303" s="32"/>
      <c r="GN303" s="32"/>
      <c r="GO303" s="32"/>
      <c r="GP303" s="32"/>
      <c r="GQ303" s="32"/>
      <c r="GR303" s="32"/>
      <c r="GS303" s="32"/>
      <c r="GT303" s="32"/>
      <c r="GU303" s="32"/>
      <c r="GV303" s="32"/>
      <c r="GW303" s="32"/>
      <c r="GX303" s="32"/>
      <c r="GY303" s="32"/>
      <c r="GZ303" s="32"/>
      <c r="HA303" s="32"/>
      <c r="HB303" s="32"/>
      <c r="HC303" s="32"/>
      <c r="HD303" s="32"/>
      <c r="HE303" s="32"/>
      <c r="HF303" s="32"/>
      <c r="HG303" s="32"/>
      <c r="HH303" s="32"/>
      <c r="HI303" s="32"/>
      <c r="HJ303" s="32"/>
      <c r="HK303" s="32"/>
      <c r="HL303" s="32"/>
      <c r="HM303" s="32"/>
      <c r="HN303" s="32"/>
      <c r="HO303" s="32"/>
      <c r="HP303" s="32"/>
    </row>
    <row r="304" spans="1:224" x14ac:dyDescent="0.25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2"/>
      <c r="BF304" s="32"/>
      <c r="BG304" s="32"/>
      <c r="BH304" s="32"/>
      <c r="BI304" s="32"/>
      <c r="BJ304" s="32"/>
      <c r="BK304" s="32"/>
      <c r="BL304" s="32"/>
      <c r="BM304" s="32"/>
      <c r="BN304" s="32"/>
      <c r="BO304" s="32"/>
      <c r="BP304" s="32"/>
      <c r="BQ304" s="32"/>
      <c r="BR304" s="32"/>
      <c r="BS304" s="32"/>
      <c r="BT304" s="32"/>
      <c r="BU304" s="32"/>
      <c r="BV304" s="32"/>
      <c r="BW304" s="32"/>
      <c r="BX304" s="32"/>
      <c r="BY304" s="32"/>
      <c r="BZ304" s="32"/>
      <c r="CA304" s="32"/>
      <c r="CB304" s="32"/>
      <c r="CC304" s="32"/>
      <c r="CD304" s="32"/>
      <c r="CE304" s="32"/>
      <c r="CF304" s="32"/>
      <c r="CG304" s="32"/>
      <c r="CH304" s="32"/>
      <c r="CI304" s="32"/>
      <c r="CJ304" s="32"/>
      <c r="CK304" s="32"/>
      <c r="CL304" s="32"/>
      <c r="CM304" s="32"/>
      <c r="CN304" s="32"/>
      <c r="CO304" s="32"/>
      <c r="CP304" s="32"/>
      <c r="CQ304" s="32"/>
      <c r="CR304" s="32"/>
      <c r="CS304" s="32"/>
      <c r="CT304" s="32"/>
      <c r="CU304" s="32"/>
      <c r="CV304" s="32"/>
      <c r="CW304" s="32"/>
      <c r="CX304" s="32"/>
      <c r="CY304" s="32"/>
      <c r="CZ304" s="32"/>
      <c r="DA304" s="32"/>
      <c r="DB304" s="32"/>
      <c r="DC304" s="32"/>
      <c r="DD304" s="32"/>
      <c r="DE304" s="32"/>
      <c r="DF304" s="32"/>
      <c r="DG304" s="32"/>
      <c r="DH304" s="32"/>
      <c r="DI304" s="32"/>
      <c r="DJ304" s="32"/>
      <c r="DK304" s="32"/>
      <c r="DL304" s="32"/>
      <c r="DM304" s="32"/>
      <c r="DN304" s="32"/>
      <c r="DO304" s="32"/>
      <c r="DP304" s="32"/>
      <c r="DQ304" s="32"/>
      <c r="DR304" s="32"/>
      <c r="DS304" s="32"/>
      <c r="DT304" s="32"/>
      <c r="DU304" s="32"/>
      <c r="DV304" s="32"/>
      <c r="DW304" s="32"/>
      <c r="DX304" s="32"/>
      <c r="DY304" s="32"/>
      <c r="DZ304" s="32"/>
      <c r="EA304" s="32"/>
      <c r="EB304" s="32"/>
      <c r="EC304" s="32"/>
      <c r="ED304" s="32"/>
      <c r="EE304" s="32"/>
      <c r="EF304" s="32"/>
      <c r="EG304" s="32"/>
      <c r="EH304" s="32"/>
      <c r="EI304" s="32"/>
      <c r="EJ304" s="32"/>
      <c r="EK304" s="32"/>
      <c r="EL304" s="32"/>
      <c r="EM304" s="32"/>
      <c r="EN304" s="32"/>
      <c r="EO304" s="32"/>
      <c r="EP304" s="32"/>
      <c r="EQ304" s="32"/>
      <c r="ER304" s="32"/>
      <c r="ES304" s="32"/>
      <c r="ET304" s="32"/>
      <c r="EU304" s="32"/>
      <c r="EV304" s="32"/>
      <c r="EW304" s="32"/>
      <c r="EX304" s="32"/>
      <c r="EY304" s="32"/>
      <c r="EZ304" s="32"/>
      <c r="FA304" s="32"/>
      <c r="FB304" s="32"/>
      <c r="FC304" s="32"/>
      <c r="FD304" s="32"/>
      <c r="FE304" s="32"/>
      <c r="FF304" s="32"/>
      <c r="FG304" s="32"/>
      <c r="FH304" s="32"/>
      <c r="FI304" s="32"/>
      <c r="FJ304" s="32"/>
      <c r="FK304" s="32"/>
      <c r="FL304" s="32"/>
      <c r="FM304" s="32"/>
      <c r="FN304" s="32"/>
      <c r="FO304" s="32"/>
      <c r="FP304" s="32"/>
      <c r="FQ304" s="32"/>
      <c r="FR304" s="32"/>
      <c r="FS304" s="32"/>
      <c r="FT304" s="32"/>
      <c r="FU304" s="32"/>
      <c r="FV304" s="32"/>
      <c r="FW304" s="32"/>
      <c r="FX304" s="32"/>
      <c r="FY304" s="32"/>
      <c r="FZ304" s="32"/>
      <c r="GA304" s="32"/>
      <c r="GB304" s="32"/>
      <c r="GC304" s="32"/>
      <c r="GD304" s="32"/>
      <c r="GE304" s="32"/>
      <c r="GF304" s="32"/>
      <c r="GG304" s="32"/>
      <c r="GH304" s="32"/>
      <c r="GI304" s="32"/>
      <c r="GJ304" s="32"/>
      <c r="GK304" s="32"/>
      <c r="GL304" s="32"/>
      <c r="GM304" s="32"/>
      <c r="GN304" s="32"/>
      <c r="GO304" s="32"/>
      <c r="GP304" s="32"/>
      <c r="GQ304" s="32"/>
      <c r="GR304" s="32"/>
      <c r="GS304" s="32"/>
      <c r="GT304" s="32"/>
      <c r="GU304" s="32"/>
      <c r="GV304" s="32"/>
      <c r="GW304" s="32"/>
      <c r="GX304" s="32"/>
      <c r="GY304" s="32"/>
      <c r="GZ304" s="32"/>
      <c r="HA304" s="32"/>
      <c r="HB304" s="32"/>
      <c r="HC304" s="32"/>
      <c r="HD304" s="32"/>
      <c r="HE304" s="32"/>
      <c r="HF304" s="32"/>
      <c r="HG304" s="32"/>
      <c r="HH304" s="32"/>
      <c r="HI304" s="32"/>
      <c r="HJ304" s="32"/>
      <c r="HK304" s="32"/>
      <c r="HL304" s="32"/>
      <c r="HM304" s="32"/>
      <c r="HN304" s="32"/>
      <c r="HO304" s="32"/>
      <c r="HP304" s="32"/>
    </row>
    <row r="305" spans="1:224" x14ac:dyDescent="0.2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  <c r="BF305" s="32"/>
      <c r="BG305" s="32"/>
      <c r="BH305" s="32"/>
      <c r="BI305" s="32"/>
      <c r="BJ305" s="32"/>
      <c r="BK305" s="32"/>
      <c r="BL305" s="32"/>
      <c r="BM305" s="32"/>
      <c r="BN305" s="32"/>
      <c r="BO305" s="32"/>
      <c r="BP305" s="32"/>
      <c r="BQ305" s="32"/>
      <c r="BR305" s="32"/>
      <c r="BS305" s="32"/>
      <c r="BT305" s="32"/>
      <c r="BU305" s="32"/>
      <c r="BV305" s="32"/>
      <c r="BW305" s="32"/>
      <c r="BX305" s="32"/>
      <c r="BY305" s="32"/>
      <c r="BZ305" s="32"/>
      <c r="CA305" s="32"/>
      <c r="CB305" s="32"/>
      <c r="CC305" s="32"/>
      <c r="CD305" s="32"/>
      <c r="CE305" s="32"/>
      <c r="CF305" s="32"/>
      <c r="CG305" s="32"/>
      <c r="CH305" s="32"/>
      <c r="CI305" s="32"/>
      <c r="CJ305" s="32"/>
      <c r="CK305" s="32"/>
      <c r="CL305" s="32"/>
      <c r="CM305" s="32"/>
      <c r="CN305" s="32"/>
      <c r="CO305" s="32"/>
      <c r="CP305" s="32"/>
      <c r="CQ305" s="32"/>
      <c r="CR305" s="32"/>
      <c r="CS305" s="32"/>
      <c r="CT305" s="32"/>
      <c r="CU305" s="32"/>
      <c r="CV305" s="32"/>
      <c r="CW305" s="32"/>
      <c r="CX305" s="32"/>
      <c r="CY305" s="32"/>
      <c r="CZ305" s="32"/>
      <c r="DA305" s="32"/>
      <c r="DB305" s="32"/>
      <c r="DC305" s="32"/>
      <c r="DD305" s="32"/>
      <c r="DE305" s="32"/>
      <c r="DF305" s="32"/>
      <c r="DG305" s="32"/>
      <c r="DH305" s="32"/>
      <c r="DI305" s="32"/>
      <c r="DJ305" s="32"/>
      <c r="DK305" s="32"/>
      <c r="DL305" s="32"/>
      <c r="DM305" s="32"/>
      <c r="DN305" s="32"/>
      <c r="DO305" s="32"/>
      <c r="DP305" s="32"/>
      <c r="DQ305" s="32"/>
      <c r="DR305" s="32"/>
      <c r="DS305" s="32"/>
      <c r="DT305" s="32"/>
      <c r="DU305" s="32"/>
      <c r="DV305" s="32"/>
      <c r="DW305" s="32"/>
      <c r="DX305" s="32"/>
      <c r="DY305" s="32"/>
      <c r="DZ305" s="32"/>
      <c r="EA305" s="32"/>
      <c r="EB305" s="32"/>
      <c r="EC305" s="32"/>
      <c r="ED305" s="32"/>
      <c r="EE305" s="32"/>
      <c r="EF305" s="32"/>
      <c r="EG305" s="32"/>
      <c r="EH305" s="32"/>
      <c r="EI305" s="32"/>
      <c r="EJ305" s="32"/>
      <c r="EK305" s="32"/>
      <c r="EL305" s="32"/>
      <c r="EM305" s="32"/>
      <c r="EN305" s="32"/>
      <c r="EO305" s="32"/>
      <c r="EP305" s="32"/>
      <c r="EQ305" s="32"/>
      <c r="ER305" s="32"/>
      <c r="ES305" s="32"/>
      <c r="ET305" s="32"/>
      <c r="EU305" s="32"/>
      <c r="EV305" s="32"/>
      <c r="EW305" s="32"/>
      <c r="EX305" s="32"/>
      <c r="EY305" s="32"/>
      <c r="EZ305" s="32"/>
      <c r="FA305" s="32"/>
      <c r="FB305" s="32"/>
      <c r="FC305" s="32"/>
      <c r="FD305" s="32"/>
      <c r="FE305" s="32"/>
      <c r="FF305" s="32"/>
      <c r="FG305" s="32"/>
      <c r="FH305" s="32"/>
      <c r="FI305" s="32"/>
      <c r="FJ305" s="32"/>
      <c r="FK305" s="32"/>
      <c r="FL305" s="32"/>
      <c r="FM305" s="32"/>
      <c r="FN305" s="32"/>
      <c r="FO305" s="32"/>
      <c r="FP305" s="32"/>
      <c r="FQ305" s="32"/>
      <c r="FR305" s="32"/>
      <c r="FS305" s="32"/>
      <c r="FT305" s="32"/>
      <c r="FU305" s="32"/>
      <c r="FV305" s="32"/>
      <c r="FW305" s="32"/>
      <c r="FX305" s="32"/>
      <c r="FY305" s="32"/>
      <c r="FZ305" s="32"/>
      <c r="GA305" s="32"/>
      <c r="GB305" s="32"/>
      <c r="GC305" s="32"/>
      <c r="GD305" s="32"/>
      <c r="GE305" s="32"/>
      <c r="GF305" s="32"/>
      <c r="GG305" s="32"/>
      <c r="GH305" s="32"/>
      <c r="GI305" s="32"/>
      <c r="GJ305" s="32"/>
      <c r="GK305" s="32"/>
      <c r="GL305" s="32"/>
      <c r="GM305" s="32"/>
      <c r="GN305" s="32"/>
      <c r="GO305" s="32"/>
      <c r="GP305" s="32"/>
      <c r="GQ305" s="32"/>
      <c r="GR305" s="32"/>
      <c r="GS305" s="32"/>
      <c r="GT305" s="32"/>
      <c r="GU305" s="32"/>
      <c r="GV305" s="32"/>
      <c r="GW305" s="32"/>
      <c r="GX305" s="32"/>
      <c r="GY305" s="32"/>
      <c r="GZ305" s="32"/>
      <c r="HA305" s="32"/>
      <c r="HB305" s="32"/>
      <c r="HC305" s="32"/>
      <c r="HD305" s="32"/>
      <c r="HE305" s="32"/>
      <c r="HF305" s="32"/>
      <c r="HG305" s="32"/>
      <c r="HH305" s="32"/>
      <c r="HI305" s="32"/>
      <c r="HJ305" s="32"/>
      <c r="HK305" s="32"/>
      <c r="HL305" s="32"/>
      <c r="HM305" s="32"/>
      <c r="HN305" s="32"/>
      <c r="HO305" s="32"/>
      <c r="HP305" s="32"/>
    </row>
    <row r="306" spans="1:224" x14ac:dyDescent="0.25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  <c r="BF306" s="32"/>
      <c r="BG306" s="32"/>
      <c r="BH306" s="32"/>
      <c r="BI306" s="32"/>
      <c r="BJ306" s="32"/>
      <c r="BK306" s="32"/>
      <c r="BL306" s="32"/>
      <c r="BM306" s="32"/>
      <c r="BN306" s="32"/>
      <c r="BO306" s="32"/>
      <c r="BP306" s="32"/>
      <c r="BQ306" s="32"/>
      <c r="BR306" s="32"/>
      <c r="BS306" s="32"/>
      <c r="BT306" s="32"/>
      <c r="BU306" s="32"/>
      <c r="BV306" s="32"/>
      <c r="BW306" s="32"/>
      <c r="BX306" s="32"/>
      <c r="BY306" s="32"/>
      <c r="BZ306" s="32"/>
      <c r="CA306" s="32"/>
      <c r="CB306" s="32"/>
      <c r="CC306" s="32"/>
      <c r="CD306" s="32"/>
      <c r="CE306" s="32"/>
      <c r="CF306" s="32"/>
      <c r="CG306" s="32"/>
      <c r="CH306" s="32"/>
      <c r="CI306" s="32"/>
      <c r="CJ306" s="32"/>
      <c r="CK306" s="32"/>
      <c r="CL306" s="32"/>
      <c r="CM306" s="32"/>
      <c r="CN306" s="32"/>
      <c r="CO306" s="32"/>
      <c r="CP306" s="32"/>
      <c r="CQ306" s="32"/>
      <c r="CR306" s="32"/>
      <c r="CS306" s="32"/>
      <c r="CT306" s="32"/>
      <c r="CU306" s="32"/>
      <c r="CV306" s="32"/>
      <c r="CW306" s="32"/>
      <c r="CX306" s="32"/>
      <c r="CY306" s="32"/>
      <c r="CZ306" s="32"/>
      <c r="DA306" s="32"/>
      <c r="DB306" s="32"/>
      <c r="DC306" s="32"/>
      <c r="DD306" s="32"/>
      <c r="DE306" s="32"/>
      <c r="DF306" s="32"/>
      <c r="DG306" s="32"/>
      <c r="DH306" s="32"/>
      <c r="DI306" s="32"/>
      <c r="DJ306" s="32"/>
      <c r="DK306" s="32"/>
      <c r="DL306" s="32"/>
      <c r="DM306" s="32"/>
      <c r="DN306" s="32"/>
      <c r="DO306" s="32"/>
      <c r="DP306" s="32"/>
      <c r="DQ306" s="32"/>
      <c r="DR306" s="32"/>
      <c r="DS306" s="32"/>
      <c r="DT306" s="32"/>
      <c r="DU306" s="32"/>
      <c r="DV306" s="32"/>
      <c r="DW306" s="32"/>
      <c r="DX306" s="32"/>
      <c r="DY306" s="32"/>
      <c r="DZ306" s="32"/>
      <c r="EA306" s="32"/>
      <c r="EB306" s="32"/>
      <c r="EC306" s="32"/>
      <c r="ED306" s="32"/>
      <c r="EE306" s="32"/>
      <c r="EF306" s="32"/>
      <c r="EG306" s="32"/>
      <c r="EH306" s="32"/>
      <c r="EI306" s="32"/>
      <c r="EJ306" s="32"/>
      <c r="EK306" s="32"/>
      <c r="EL306" s="32"/>
      <c r="EM306" s="32"/>
      <c r="EN306" s="32"/>
      <c r="EO306" s="32"/>
      <c r="EP306" s="32"/>
      <c r="EQ306" s="32"/>
      <c r="ER306" s="32"/>
      <c r="ES306" s="32"/>
      <c r="ET306" s="32"/>
      <c r="EU306" s="32"/>
      <c r="EV306" s="32"/>
      <c r="EW306" s="32"/>
      <c r="EX306" s="32"/>
      <c r="EY306" s="32"/>
      <c r="EZ306" s="32"/>
      <c r="FA306" s="32"/>
      <c r="FB306" s="32"/>
      <c r="FC306" s="32"/>
      <c r="FD306" s="32"/>
      <c r="FE306" s="32"/>
      <c r="FF306" s="32"/>
      <c r="FG306" s="32"/>
      <c r="FH306" s="32"/>
      <c r="FI306" s="32"/>
      <c r="FJ306" s="32"/>
      <c r="FK306" s="32"/>
      <c r="FL306" s="32"/>
      <c r="FM306" s="32"/>
      <c r="FN306" s="32"/>
      <c r="FO306" s="32"/>
      <c r="FP306" s="32"/>
      <c r="FQ306" s="32"/>
      <c r="FR306" s="32"/>
      <c r="FS306" s="32"/>
      <c r="FT306" s="32"/>
      <c r="FU306" s="32"/>
      <c r="FV306" s="32"/>
      <c r="FW306" s="32"/>
      <c r="FX306" s="32"/>
      <c r="FY306" s="32"/>
      <c r="FZ306" s="32"/>
      <c r="GA306" s="32"/>
      <c r="GB306" s="32"/>
      <c r="GC306" s="32"/>
      <c r="GD306" s="32"/>
      <c r="GE306" s="32"/>
      <c r="GF306" s="32"/>
      <c r="GG306" s="32"/>
      <c r="GH306" s="32"/>
      <c r="GI306" s="32"/>
      <c r="GJ306" s="32"/>
      <c r="GK306" s="32"/>
      <c r="GL306" s="32"/>
      <c r="GM306" s="32"/>
      <c r="GN306" s="32"/>
      <c r="GO306" s="32"/>
      <c r="GP306" s="32"/>
      <c r="GQ306" s="32"/>
      <c r="GR306" s="32"/>
      <c r="GS306" s="32"/>
      <c r="GT306" s="32"/>
      <c r="GU306" s="32"/>
      <c r="GV306" s="32"/>
      <c r="GW306" s="32"/>
      <c r="GX306" s="32"/>
      <c r="GY306" s="32"/>
      <c r="GZ306" s="32"/>
      <c r="HA306" s="32"/>
      <c r="HB306" s="32"/>
      <c r="HC306" s="32"/>
      <c r="HD306" s="32"/>
      <c r="HE306" s="32"/>
      <c r="HF306" s="32"/>
      <c r="HG306" s="32"/>
      <c r="HH306" s="32"/>
      <c r="HI306" s="32"/>
      <c r="HJ306" s="32"/>
      <c r="HK306" s="32"/>
      <c r="HL306" s="32"/>
      <c r="HM306" s="32"/>
      <c r="HN306" s="32"/>
      <c r="HO306" s="32"/>
      <c r="HP306" s="32"/>
    </row>
    <row r="307" spans="1:224" x14ac:dyDescent="0.25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  <c r="BF307" s="32"/>
      <c r="BG307" s="32"/>
      <c r="BH307" s="32"/>
      <c r="BI307" s="32"/>
      <c r="BJ307" s="32"/>
      <c r="BK307" s="32"/>
      <c r="BL307" s="32"/>
      <c r="BM307" s="32"/>
      <c r="BN307" s="32"/>
      <c r="BO307" s="32"/>
      <c r="BP307" s="32"/>
      <c r="BQ307" s="32"/>
      <c r="BR307" s="32"/>
      <c r="BS307" s="32"/>
      <c r="BT307" s="32"/>
      <c r="BU307" s="32"/>
      <c r="BV307" s="32"/>
      <c r="BW307" s="32"/>
      <c r="BX307" s="32"/>
      <c r="BY307" s="32"/>
      <c r="BZ307" s="32"/>
      <c r="CA307" s="32"/>
      <c r="CB307" s="32"/>
      <c r="CC307" s="32"/>
      <c r="CD307" s="32"/>
      <c r="CE307" s="32"/>
      <c r="CF307" s="32"/>
      <c r="CG307" s="32"/>
      <c r="CH307" s="32"/>
      <c r="CI307" s="32"/>
      <c r="CJ307" s="32"/>
      <c r="CK307" s="32"/>
      <c r="CL307" s="32"/>
      <c r="CM307" s="32"/>
      <c r="CN307" s="32"/>
      <c r="CO307" s="32"/>
      <c r="CP307" s="32"/>
      <c r="CQ307" s="32"/>
      <c r="CR307" s="32"/>
      <c r="CS307" s="32"/>
      <c r="CT307" s="32"/>
      <c r="CU307" s="32"/>
      <c r="CV307" s="32"/>
      <c r="CW307" s="32"/>
      <c r="CX307" s="32"/>
      <c r="CY307" s="32"/>
      <c r="CZ307" s="32"/>
      <c r="DA307" s="32"/>
      <c r="DB307" s="32"/>
      <c r="DC307" s="32"/>
      <c r="DD307" s="32"/>
      <c r="DE307" s="32"/>
      <c r="DF307" s="32"/>
      <c r="DG307" s="32"/>
      <c r="DH307" s="32"/>
      <c r="DI307" s="32"/>
      <c r="DJ307" s="32"/>
      <c r="DK307" s="32"/>
      <c r="DL307" s="32"/>
      <c r="DM307" s="32"/>
      <c r="DN307" s="32"/>
      <c r="DO307" s="32"/>
      <c r="DP307" s="32"/>
      <c r="DQ307" s="32"/>
      <c r="DR307" s="32"/>
      <c r="DS307" s="32"/>
      <c r="DT307" s="32"/>
      <c r="DU307" s="32"/>
      <c r="DV307" s="32"/>
      <c r="DW307" s="32"/>
      <c r="DX307" s="32"/>
      <c r="DY307" s="32"/>
      <c r="DZ307" s="32"/>
      <c r="EA307" s="32"/>
      <c r="EB307" s="32"/>
      <c r="EC307" s="32"/>
      <c r="ED307" s="32"/>
      <c r="EE307" s="32"/>
      <c r="EF307" s="32"/>
      <c r="EG307" s="32"/>
      <c r="EH307" s="32"/>
      <c r="EI307" s="32"/>
      <c r="EJ307" s="32"/>
      <c r="EK307" s="32"/>
      <c r="EL307" s="32"/>
      <c r="EM307" s="32"/>
      <c r="EN307" s="32"/>
      <c r="EO307" s="32"/>
      <c r="EP307" s="32"/>
      <c r="EQ307" s="32"/>
      <c r="ER307" s="32"/>
      <c r="ES307" s="32"/>
      <c r="ET307" s="32"/>
      <c r="EU307" s="32"/>
      <c r="EV307" s="32"/>
      <c r="EW307" s="32"/>
      <c r="EX307" s="32"/>
      <c r="EY307" s="32"/>
      <c r="EZ307" s="32"/>
      <c r="FA307" s="32"/>
      <c r="FB307" s="32"/>
      <c r="FC307" s="32"/>
      <c r="FD307" s="32"/>
      <c r="FE307" s="32"/>
      <c r="FF307" s="32"/>
      <c r="FG307" s="32"/>
      <c r="FH307" s="32"/>
      <c r="FI307" s="32"/>
      <c r="FJ307" s="32"/>
      <c r="FK307" s="32"/>
      <c r="FL307" s="32"/>
      <c r="FM307" s="32"/>
      <c r="FN307" s="32"/>
      <c r="FO307" s="32"/>
      <c r="FP307" s="32"/>
      <c r="FQ307" s="32"/>
      <c r="FR307" s="32"/>
      <c r="FS307" s="32"/>
      <c r="FT307" s="32"/>
      <c r="FU307" s="32"/>
      <c r="FV307" s="32"/>
      <c r="FW307" s="32"/>
      <c r="FX307" s="32"/>
      <c r="FY307" s="32"/>
      <c r="FZ307" s="32"/>
      <c r="GA307" s="32"/>
      <c r="GB307" s="32"/>
      <c r="GC307" s="32"/>
      <c r="GD307" s="32"/>
      <c r="GE307" s="32"/>
      <c r="GF307" s="32"/>
      <c r="GG307" s="32"/>
      <c r="GH307" s="32"/>
      <c r="GI307" s="32"/>
      <c r="GJ307" s="32"/>
      <c r="GK307" s="32"/>
      <c r="GL307" s="32"/>
      <c r="GM307" s="32"/>
      <c r="GN307" s="32"/>
      <c r="GO307" s="32"/>
      <c r="GP307" s="32"/>
      <c r="GQ307" s="32"/>
      <c r="GR307" s="32"/>
      <c r="GS307" s="32"/>
      <c r="GT307" s="32"/>
      <c r="GU307" s="32"/>
      <c r="GV307" s="32"/>
      <c r="GW307" s="32"/>
      <c r="GX307" s="32"/>
      <c r="GY307" s="32"/>
      <c r="GZ307" s="32"/>
      <c r="HA307" s="32"/>
      <c r="HB307" s="32"/>
      <c r="HC307" s="32"/>
      <c r="HD307" s="32"/>
      <c r="HE307" s="32"/>
      <c r="HF307" s="32"/>
      <c r="HG307" s="32"/>
      <c r="HH307" s="32"/>
      <c r="HI307" s="32"/>
      <c r="HJ307" s="32"/>
      <c r="HK307" s="32"/>
      <c r="HL307" s="32"/>
      <c r="HM307" s="32"/>
      <c r="HN307" s="32"/>
      <c r="HO307" s="32"/>
      <c r="HP307" s="32"/>
    </row>
    <row r="308" spans="1:224" x14ac:dyDescent="0.25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/>
      <c r="BO308" s="32"/>
      <c r="BP308" s="32"/>
      <c r="BQ308" s="32"/>
      <c r="BR308" s="32"/>
      <c r="BS308" s="32"/>
      <c r="BT308" s="32"/>
      <c r="BU308" s="32"/>
      <c r="BV308" s="32"/>
      <c r="BW308" s="32"/>
      <c r="BX308" s="32"/>
      <c r="BY308" s="32"/>
      <c r="BZ308" s="32"/>
      <c r="CA308" s="32"/>
      <c r="CB308" s="32"/>
      <c r="CC308" s="32"/>
      <c r="CD308" s="32"/>
      <c r="CE308" s="32"/>
      <c r="CF308" s="32"/>
      <c r="CG308" s="32"/>
      <c r="CH308" s="32"/>
      <c r="CI308" s="32"/>
      <c r="CJ308" s="32"/>
      <c r="CK308" s="32"/>
      <c r="CL308" s="32"/>
      <c r="CM308" s="32"/>
      <c r="CN308" s="32"/>
      <c r="CO308" s="32"/>
      <c r="CP308" s="32"/>
      <c r="CQ308" s="32"/>
      <c r="CR308" s="32"/>
      <c r="CS308" s="32"/>
      <c r="CT308" s="32"/>
      <c r="CU308" s="32"/>
      <c r="CV308" s="32"/>
      <c r="CW308" s="32"/>
      <c r="CX308" s="32"/>
      <c r="CY308" s="32"/>
      <c r="CZ308" s="32"/>
      <c r="DA308" s="32"/>
      <c r="DB308" s="32"/>
      <c r="DC308" s="32"/>
      <c r="DD308" s="32"/>
      <c r="DE308" s="32"/>
      <c r="DF308" s="32"/>
      <c r="DG308" s="32"/>
      <c r="DH308" s="32"/>
      <c r="DI308" s="32"/>
      <c r="DJ308" s="32"/>
      <c r="DK308" s="32"/>
      <c r="DL308" s="32"/>
      <c r="DM308" s="32"/>
      <c r="DN308" s="32"/>
      <c r="DO308" s="32"/>
      <c r="DP308" s="32"/>
      <c r="DQ308" s="32"/>
      <c r="DR308" s="32"/>
      <c r="DS308" s="32"/>
      <c r="DT308" s="32"/>
      <c r="DU308" s="32"/>
      <c r="DV308" s="32"/>
      <c r="DW308" s="32"/>
      <c r="DX308" s="32"/>
      <c r="DY308" s="32"/>
      <c r="DZ308" s="32"/>
      <c r="EA308" s="32"/>
      <c r="EB308" s="32"/>
      <c r="EC308" s="32"/>
      <c r="ED308" s="32"/>
      <c r="EE308" s="32"/>
      <c r="EF308" s="32"/>
      <c r="EG308" s="32"/>
      <c r="EH308" s="32"/>
      <c r="EI308" s="32"/>
      <c r="EJ308" s="32"/>
      <c r="EK308" s="32"/>
      <c r="EL308" s="32"/>
      <c r="EM308" s="32"/>
      <c r="EN308" s="32"/>
      <c r="EO308" s="32"/>
      <c r="EP308" s="32"/>
      <c r="EQ308" s="32"/>
      <c r="ER308" s="32"/>
      <c r="ES308" s="32"/>
      <c r="ET308" s="32"/>
      <c r="EU308" s="32"/>
      <c r="EV308" s="32"/>
      <c r="EW308" s="32"/>
      <c r="EX308" s="32"/>
      <c r="EY308" s="32"/>
      <c r="EZ308" s="32"/>
      <c r="FA308" s="32"/>
      <c r="FB308" s="32"/>
      <c r="FC308" s="32"/>
      <c r="FD308" s="32"/>
      <c r="FE308" s="32"/>
      <c r="FF308" s="32"/>
      <c r="FG308" s="32"/>
      <c r="FH308" s="32"/>
      <c r="FI308" s="32"/>
      <c r="FJ308" s="32"/>
      <c r="FK308" s="32"/>
      <c r="FL308" s="32"/>
      <c r="FM308" s="32"/>
      <c r="FN308" s="32"/>
      <c r="FO308" s="32"/>
      <c r="FP308" s="32"/>
      <c r="FQ308" s="32"/>
      <c r="FR308" s="32"/>
      <c r="FS308" s="32"/>
      <c r="FT308" s="32"/>
      <c r="FU308" s="32"/>
      <c r="FV308" s="32"/>
      <c r="FW308" s="32"/>
      <c r="FX308" s="32"/>
      <c r="FY308" s="32"/>
      <c r="FZ308" s="32"/>
      <c r="GA308" s="32"/>
      <c r="GB308" s="32"/>
      <c r="GC308" s="32"/>
      <c r="GD308" s="32"/>
      <c r="GE308" s="32"/>
      <c r="GF308" s="32"/>
      <c r="GG308" s="32"/>
      <c r="GH308" s="32"/>
      <c r="GI308" s="32"/>
      <c r="GJ308" s="32"/>
      <c r="GK308" s="32"/>
      <c r="GL308" s="32"/>
      <c r="GM308" s="32"/>
      <c r="GN308" s="32"/>
      <c r="GO308" s="32"/>
      <c r="GP308" s="32"/>
      <c r="GQ308" s="32"/>
      <c r="GR308" s="32"/>
      <c r="GS308" s="32"/>
      <c r="GT308" s="32"/>
      <c r="GU308" s="32"/>
      <c r="GV308" s="32"/>
      <c r="GW308" s="32"/>
      <c r="GX308" s="32"/>
      <c r="GY308" s="32"/>
      <c r="GZ308" s="32"/>
      <c r="HA308" s="32"/>
      <c r="HB308" s="32"/>
      <c r="HC308" s="32"/>
      <c r="HD308" s="32"/>
      <c r="HE308" s="32"/>
      <c r="HF308" s="32"/>
      <c r="HG308" s="32"/>
      <c r="HH308" s="32"/>
      <c r="HI308" s="32"/>
      <c r="HJ308" s="32"/>
      <c r="HK308" s="32"/>
      <c r="HL308" s="32"/>
      <c r="HM308" s="32"/>
      <c r="HN308" s="32"/>
      <c r="HO308" s="32"/>
      <c r="HP308" s="32"/>
    </row>
    <row r="309" spans="1:224" x14ac:dyDescent="0.25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  <c r="BF309" s="32"/>
      <c r="BG309" s="32"/>
      <c r="BH309" s="32"/>
      <c r="BI309" s="32"/>
      <c r="BJ309" s="32"/>
      <c r="BK309" s="32"/>
      <c r="BL309" s="32"/>
      <c r="BM309" s="32"/>
      <c r="BN309" s="32"/>
      <c r="BO309" s="32"/>
      <c r="BP309" s="32"/>
      <c r="BQ309" s="32"/>
      <c r="BR309" s="32"/>
      <c r="BS309" s="32"/>
      <c r="BT309" s="32"/>
      <c r="BU309" s="32"/>
      <c r="BV309" s="32"/>
      <c r="BW309" s="32"/>
      <c r="BX309" s="32"/>
      <c r="BY309" s="32"/>
      <c r="BZ309" s="32"/>
      <c r="CA309" s="32"/>
      <c r="CB309" s="32"/>
      <c r="CC309" s="32"/>
      <c r="CD309" s="32"/>
      <c r="CE309" s="32"/>
      <c r="CF309" s="32"/>
      <c r="CG309" s="32"/>
      <c r="CH309" s="32"/>
      <c r="CI309" s="32"/>
      <c r="CJ309" s="32"/>
      <c r="CK309" s="32"/>
      <c r="CL309" s="32"/>
      <c r="CM309" s="32"/>
      <c r="CN309" s="32"/>
      <c r="CO309" s="32"/>
      <c r="CP309" s="32"/>
      <c r="CQ309" s="32"/>
      <c r="CR309" s="32"/>
      <c r="CS309" s="32"/>
      <c r="CT309" s="32"/>
      <c r="CU309" s="32"/>
      <c r="CV309" s="32"/>
      <c r="CW309" s="32"/>
      <c r="CX309" s="32"/>
      <c r="CY309" s="32"/>
      <c r="CZ309" s="32"/>
      <c r="DA309" s="32"/>
      <c r="DB309" s="32"/>
      <c r="DC309" s="32"/>
      <c r="DD309" s="32"/>
      <c r="DE309" s="32"/>
      <c r="DF309" s="32"/>
      <c r="DG309" s="32"/>
      <c r="DH309" s="32"/>
      <c r="DI309" s="32"/>
      <c r="DJ309" s="32"/>
      <c r="DK309" s="32"/>
      <c r="DL309" s="32"/>
      <c r="DM309" s="32"/>
      <c r="DN309" s="32"/>
      <c r="DO309" s="32"/>
      <c r="DP309" s="32"/>
      <c r="DQ309" s="32"/>
      <c r="DR309" s="32"/>
      <c r="DS309" s="32"/>
      <c r="DT309" s="32"/>
      <c r="DU309" s="32"/>
      <c r="DV309" s="32"/>
      <c r="DW309" s="32"/>
      <c r="DX309" s="32"/>
      <c r="DY309" s="32"/>
      <c r="DZ309" s="32"/>
      <c r="EA309" s="32"/>
      <c r="EB309" s="32"/>
      <c r="EC309" s="32"/>
      <c r="ED309" s="32"/>
      <c r="EE309" s="32"/>
      <c r="EF309" s="32"/>
      <c r="EG309" s="32"/>
      <c r="EH309" s="32"/>
      <c r="EI309" s="32"/>
      <c r="EJ309" s="32"/>
      <c r="EK309" s="32"/>
      <c r="EL309" s="32"/>
      <c r="EM309" s="32"/>
      <c r="EN309" s="32"/>
      <c r="EO309" s="32"/>
      <c r="EP309" s="32"/>
      <c r="EQ309" s="32"/>
      <c r="ER309" s="32"/>
      <c r="ES309" s="32"/>
      <c r="ET309" s="32"/>
      <c r="EU309" s="32"/>
      <c r="EV309" s="32"/>
      <c r="EW309" s="32"/>
      <c r="EX309" s="32"/>
      <c r="EY309" s="32"/>
      <c r="EZ309" s="32"/>
      <c r="FA309" s="32"/>
      <c r="FB309" s="32"/>
      <c r="FC309" s="32"/>
      <c r="FD309" s="32"/>
      <c r="FE309" s="32"/>
      <c r="FF309" s="32"/>
      <c r="FG309" s="32"/>
      <c r="FH309" s="32"/>
      <c r="FI309" s="32"/>
      <c r="FJ309" s="32"/>
      <c r="FK309" s="32"/>
      <c r="FL309" s="32"/>
      <c r="FM309" s="32"/>
      <c r="FN309" s="32"/>
      <c r="FO309" s="32"/>
      <c r="FP309" s="32"/>
      <c r="FQ309" s="32"/>
      <c r="FR309" s="32"/>
      <c r="FS309" s="32"/>
      <c r="FT309" s="32"/>
      <c r="FU309" s="32"/>
      <c r="FV309" s="32"/>
      <c r="FW309" s="32"/>
      <c r="FX309" s="32"/>
      <c r="FY309" s="32"/>
      <c r="FZ309" s="32"/>
      <c r="GA309" s="32"/>
      <c r="GB309" s="32"/>
      <c r="GC309" s="32"/>
      <c r="GD309" s="32"/>
      <c r="GE309" s="32"/>
      <c r="GF309" s="32"/>
      <c r="GG309" s="32"/>
      <c r="GH309" s="32"/>
      <c r="GI309" s="32"/>
      <c r="GJ309" s="32"/>
      <c r="GK309" s="32"/>
      <c r="GL309" s="32"/>
      <c r="GM309" s="32"/>
      <c r="GN309" s="32"/>
      <c r="GO309" s="32"/>
      <c r="GP309" s="32"/>
      <c r="GQ309" s="32"/>
      <c r="GR309" s="32"/>
      <c r="GS309" s="32"/>
      <c r="GT309" s="32"/>
      <c r="GU309" s="32"/>
      <c r="GV309" s="32"/>
      <c r="GW309" s="32"/>
      <c r="GX309" s="32"/>
      <c r="GY309" s="32"/>
      <c r="GZ309" s="32"/>
      <c r="HA309" s="32"/>
      <c r="HB309" s="32"/>
      <c r="HC309" s="32"/>
      <c r="HD309" s="32"/>
      <c r="HE309" s="32"/>
      <c r="HF309" s="32"/>
      <c r="HG309" s="32"/>
      <c r="HH309" s="32"/>
      <c r="HI309" s="32"/>
      <c r="HJ309" s="32"/>
      <c r="HK309" s="32"/>
      <c r="HL309" s="32"/>
      <c r="HM309" s="32"/>
      <c r="HN309" s="32"/>
      <c r="HO309" s="32"/>
      <c r="HP309" s="32"/>
    </row>
    <row r="310" spans="1:224" x14ac:dyDescent="0.25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/>
      <c r="BM310" s="32"/>
      <c r="BN310" s="32"/>
      <c r="BO310" s="32"/>
      <c r="BP310" s="32"/>
      <c r="BQ310" s="32"/>
      <c r="BR310" s="32"/>
      <c r="BS310" s="32"/>
      <c r="BT310" s="32"/>
      <c r="BU310" s="32"/>
      <c r="BV310" s="32"/>
      <c r="BW310" s="32"/>
      <c r="BX310" s="32"/>
      <c r="BY310" s="32"/>
      <c r="BZ310" s="32"/>
      <c r="CA310" s="32"/>
      <c r="CB310" s="32"/>
      <c r="CC310" s="32"/>
      <c r="CD310" s="32"/>
      <c r="CE310" s="32"/>
      <c r="CF310" s="32"/>
      <c r="CG310" s="32"/>
      <c r="CH310" s="32"/>
      <c r="CI310" s="32"/>
      <c r="CJ310" s="32"/>
      <c r="CK310" s="32"/>
      <c r="CL310" s="32"/>
      <c r="CM310" s="32"/>
      <c r="CN310" s="32"/>
      <c r="CO310" s="32"/>
      <c r="CP310" s="32"/>
      <c r="CQ310" s="32"/>
      <c r="CR310" s="32"/>
      <c r="CS310" s="32"/>
      <c r="CT310" s="32"/>
      <c r="CU310" s="32"/>
      <c r="CV310" s="32"/>
      <c r="CW310" s="32"/>
      <c r="CX310" s="32"/>
      <c r="CY310" s="32"/>
      <c r="CZ310" s="32"/>
      <c r="DA310" s="32"/>
      <c r="DB310" s="32"/>
      <c r="DC310" s="32"/>
      <c r="DD310" s="32"/>
      <c r="DE310" s="32"/>
      <c r="DF310" s="32"/>
      <c r="DG310" s="32"/>
      <c r="DH310" s="32"/>
      <c r="DI310" s="32"/>
      <c r="DJ310" s="32"/>
      <c r="DK310" s="32"/>
      <c r="DL310" s="32"/>
      <c r="DM310" s="32"/>
      <c r="DN310" s="32"/>
      <c r="DO310" s="32"/>
      <c r="DP310" s="32"/>
      <c r="DQ310" s="32"/>
      <c r="DR310" s="32"/>
      <c r="DS310" s="32"/>
      <c r="DT310" s="32"/>
      <c r="DU310" s="32"/>
      <c r="DV310" s="32"/>
      <c r="DW310" s="32"/>
      <c r="DX310" s="32"/>
      <c r="DY310" s="32"/>
      <c r="DZ310" s="32"/>
      <c r="EA310" s="32"/>
      <c r="EB310" s="32"/>
      <c r="EC310" s="32"/>
      <c r="ED310" s="32"/>
      <c r="EE310" s="32"/>
      <c r="EF310" s="32"/>
      <c r="EG310" s="32"/>
      <c r="EH310" s="32"/>
      <c r="EI310" s="32"/>
      <c r="EJ310" s="32"/>
      <c r="EK310" s="32"/>
      <c r="EL310" s="32"/>
      <c r="EM310" s="32"/>
      <c r="EN310" s="32"/>
      <c r="EO310" s="32"/>
      <c r="EP310" s="32"/>
      <c r="EQ310" s="32"/>
      <c r="ER310" s="32"/>
      <c r="ES310" s="32"/>
      <c r="ET310" s="32"/>
      <c r="EU310" s="32"/>
      <c r="EV310" s="32"/>
      <c r="EW310" s="32"/>
      <c r="EX310" s="32"/>
      <c r="EY310" s="32"/>
      <c r="EZ310" s="32"/>
      <c r="FA310" s="32"/>
      <c r="FB310" s="32"/>
      <c r="FC310" s="32"/>
      <c r="FD310" s="32"/>
      <c r="FE310" s="32"/>
      <c r="FF310" s="32"/>
      <c r="FG310" s="32"/>
      <c r="FH310" s="32"/>
      <c r="FI310" s="32"/>
      <c r="FJ310" s="32"/>
      <c r="FK310" s="32"/>
      <c r="FL310" s="32"/>
      <c r="FM310" s="32"/>
      <c r="FN310" s="32"/>
      <c r="FO310" s="32"/>
      <c r="FP310" s="32"/>
      <c r="FQ310" s="32"/>
      <c r="FR310" s="32"/>
      <c r="FS310" s="32"/>
      <c r="FT310" s="32"/>
      <c r="FU310" s="32"/>
      <c r="FV310" s="32"/>
      <c r="FW310" s="32"/>
      <c r="FX310" s="32"/>
      <c r="FY310" s="32"/>
      <c r="FZ310" s="32"/>
      <c r="GA310" s="32"/>
      <c r="GB310" s="32"/>
      <c r="GC310" s="32"/>
      <c r="GD310" s="32"/>
      <c r="GE310" s="32"/>
      <c r="GF310" s="32"/>
      <c r="GG310" s="32"/>
      <c r="GH310" s="32"/>
      <c r="GI310" s="32"/>
      <c r="GJ310" s="32"/>
      <c r="GK310" s="32"/>
      <c r="GL310" s="32"/>
      <c r="GM310" s="32"/>
      <c r="GN310" s="32"/>
      <c r="GO310" s="32"/>
      <c r="GP310" s="32"/>
      <c r="GQ310" s="32"/>
      <c r="GR310" s="32"/>
      <c r="GS310" s="32"/>
      <c r="GT310" s="32"/>
      <c r="GU310" s="32"/>
      <c r="GV310" s="32"/>
      <c r="GW310" s="32"/>
      <c r="GX310" s="32"/>
      <c r="GY310" s="32"/>
      <c r="GZ310" s="32"/>
      <c r="HA310" s="32"/>
      <c r="HB310" s="32"/>
      <c r="HC310" s="32"/>
      <c r="HD310" s="32"/>
      <c r="HE310" s="32"/>
      <c r="HF310" s="32"/>
      <c r="HG310" s="32"/>
      <c r="HH310" s="32"/>
      <c r="HI310" s="32"/>
      <c r="HJ310" s="32"/>
      <c r="HK310" s="32"/>
      <c r="HL310" s="32"/>
      <c r="HM310" s="32"/>
      <c r="HN310" s="32"/>
      <c r="HO310" s="32"/>
      <c r="HP310" s="32"/>
    </row>
    <row r="311" spans="1:224" x14ac:dyDescent="0.25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/>
      <c r="BO311" s="32"/>
      <c r="BP311" s="32"/>
      <c r="BQ311" s="32"/>
      <c r="BR311" s="32"/>
      <c r="BS311" s="32"/>
      <c r="BT311" s="32"/>
      <c r="BU311" s="32"/>
      <c r="BV311" s="32"/>
      <c r="BW311" s="32"/>
      <c r="BX311" s="32"/>
      <c r="BY311" s="32"/>
      <c r="BZ311" s="32"/>
      <c r="CA311" s="32"/>
      <c r="CB311" s="32"/>
      <c r="CC311" s="32"/>
      <c r="CD311" s="32"/>
      <c r="CE311" s="32"/>
      <c r="CF311" s="32"/>
      <c r="CG311" s="32"/>
      <c r="CH311" s="32"/>
      <c r="CI311" s="32"/>
      <c r="CJ311" s="32"/>
      <c r="CK311" s="32"/>
      <c r="CL311" s="32"/>
      <c r="CM311" s="32"/>
      <c r="CN311" s="32"/>
      <c r="CO311" s="32"/>
      <c r="CP311" s="32"/>
      <c r="CQ311" s="32"/>
      <c r="CR311" s="32"/>
      <c r="CS311" s="32"/>
      <c r="CT311" s="32"/>
      <c r="CU311" s="32"/>
      <c r="CV311" s="32"/>
      <c r="CW311" s="32"/>
      <c r="CX311" s="32"/>
      <c r="CY311" s="32"/>
      <c r="CZ311" s="32"/>
      <c r="DA311" s="32"/>
      <c r="DB311" s="32"/>
      <c r="DC311" s="32"/>
      <c r="DD311" s="32"/>
      <c r="DE311" s="32"/>
      <c r="DF311" s="32"/>
      <c r="DG311" s="32"/>
      <c r="DH311" s="32"/>
      <c r="DI311" s="32"/>
      <c r="DJ311" s="32"/>
      <c r="DK311" s="32"/>
      <c r="DL311" s="32"/>
      <c r="DM311" s="32"/>
      <c r="DN311" s="32"/>
      <c r="DO311" s="32"/>
      <c r="DP311" s="32"/>
      <c r="DQ311" s="32"/>
      <c r="DR311" s="32"/>
      <c r="DS311" s="32"/>
      <c r="DT311" s="32"/>
      <c r="DU311" s="32"/>
      <c r="DV311" s="32"/>
      <c r="DW311" s="32"/>
      <c r="DX311" s="32"/>
      <c r="DY311" s="32"/>
      <c r="DZ311" s="32"/>
      <c r="EA311" s="32"/>
      <c r="EB311" s="32"/>
      <c r="EC311" s="32"/>
      <c r="ED311" s="32"/>
      <c r="EE311" s="32"/>
      <c r="EF311" s="32"/>
      <c r="EG311" s="32"/>
      <c r="EH311" s="32"/>
      <c r="EI311" s="32"/>
      <c r="EJ311" s="32"/>
      <c r="EK311" s="32"/>
      <c r="EL311" s="32"/>
      <c r="EM311" s="32"/>
      <c r="EN311" s="32"/>
      <c r="EO311" s="32"/>
      <c r="EP311" s="32"/>
      <c r="EQ311" s="32"/>
      <c r="ER311" s="32"/>
      <c r="ES311" s="32"/>
      <c r="ET311" s="32"/>
      <c r="EU311" s="32"/>
      <c r="EV311" s="32"/>
      <c r="EW311" s="32"/>
      <c r="EX311" s="32"/>
      <c r="EY311" s="32"/>
      <c r="EZ311" s="32"/>
      <c r="FA311" s="32"/>
      <c r="FB311" s="32"/>
      <c r="FC311" s="32"/>
      <c r="FD311" s="32"/>
      <c r="FE311" s="32"/>
      <c r="FF311" s="32"/>
      <c r="FG311" s="32"/>
      <c r="FH311" s="32"/>
      <c r="FI311" s="32"/>
      <c r="FJ311" s="32"/>
      <c r="FK311" s="32"/>
      <c r="FL311" s="32"/>
      <c r="FM311" s="32"/>
      <c r="FN311" s="32"/>
      <c r="FO311" s="32"/>
      <c r="FP311" s="32"/>
      <c r="FQ311" s="32"/>
      <c r="FR311" s="32"/>
      <c r="FS311" s="32"/>
      <c r="FT311" s="32"/>
      <c r="FU311" s="32"/>
      <c r="FV311" s="32"/>
      <c r="FW311" s="32"/>
      <c r="FX311" s="32"/>
      <c r="FY311" s="32"/>
      <c r="FZ311" s="32"/>
      <c r="GA311" s="32"/>
      <c r="GB311" s="32"/>
      <c r="GC311" s="32"/>
      <c r="GD311" s="32"/>
      <c r="GE311" s="32"/>
      <c r="GF311" s="32"/>
      <c r="GG311" s="32"/>
      <c r="GH311" s="32"/>
      <c r="GI311" s="32"/>
      <c r="GJ311" s="32"/>
      <c r="GK311" s="32"/>
      <c r="GL311" s="32"/>
      <c r="GM311" s="32"/>
      <c r="GN311" s="32"/>
      <c r="GO311" s="32"/>
      <c r="GP311" s="32"/>
      <c r="GQ311" s="32"/>
      <c r="GR311" s="32"/>
      <c r="GS311" s="32"/>
      <c r="GT311" s="32"/>
      <c r="GU311" s="32"/>
      <c r="GV311" s="32"/>
      <c r="GW311" s="32"/>
      <c r="GX311" s="32"/>
      <c r="GY311" s="32"/>
      <c r="GZ311" s="32"/>
      <c r="HA311" s="32"/>
      <c r="HB311" s="32"/>
      <c r="HC311" s="32"/>
      <c r="HD311" s="32"/>
      <c r="HE311" s="32"/>
      <c r="HF311" s="32"/>
      <c r="HG311" s="32"/>
      <c r="HH311" s="32"/>
      <c r="HI311" s="32"/>
      <c r="HJ311" s="32"/>
      <c r="HK311" s="32"/>
      <c r="HL311" s="32"/>
      <c r="HM311" s="32"/>
      <c r="HN311" s="32"/>
      <c r="HO311" s="32"/>
      <c r="HP311" s="32"/>
    </row>
    <row r="312" spans="1:224" x14ac:dyDescent="0.25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/>
      <c r="BP312" s="32"/>
      <c r="BQ312" s="32"/>
      <c r="BR312" s="32"/>
      <c r="BS312" s="32"/>
      <c r="BT312" s="32"/>
      <c r="BU312" s="32"/>
      <c r="BV312" s="32"/>
      <c r="BW312" s="32"/>
      <c r="BX312" s="32"/>
      <c r="BY312" s="32"/>
      <c r="BZ312" s="32"/>
      <c r="CA312" s="32"/>
      <c r="CB312" s="32"/>
      <c r="CC312" s="32"/>
      <c r="CD312" s="32"/>
      <c r="CE312" s="32"/>
      <c r="CF312" s="32"/>
      <c r="CG312" s="32"/>
      <c r="CH312" s="32"/>
      <c r="CI312" s="32"/>
      <c r="CJ312" s="32"/>
      <c r="CK312" s="32"/>
      <c r="CL312" s="32"/>
      <c r="CM312" s="32"/>
      <c r="CN312" s="32"/>
      <c r="CO312" s="32"/>
      <c r="CP312" s="32"/>
      <c r="CQ312" s="32"/>
      <c r="CR312" s="32"/>
      <c r="CS312" s="32"/>
      <c r="CT312" s="32"/>
      <c r="CU312" s="32"/>
      <c r="CV312" s="32"/>
      <c r="CW312" s="32"/>
      <c r="CX312" s="32"/>
      <c r="CY312" s="32"/>
      <c r="CZ312" s="32"/>
      <c r="DA312" s="32"/>
      <c r="DB312" s="32"/>
      <c r="DC312" s="32"/>
      <c r="DD312" s="32"/>
      <c r="DE312" s="32"/>
      <c r="DF312" s="32"/>
      <c r="DG312" s="32"/>
      <c r="DH312" s="32"/>
      <c r="DI312" s="32"/>
      <c r="DJ312" s="32"/>
      <c r="DK312" s="32"/>
      <c r="DL312" s="32"/>
      <c r="DM312" s="32"/>
      <c r="DN312" s="32"/>
      <c r="DO312" s="32"/>
      <c r="DP312" s="32"/>
      <c r="DQ312" s="32"/>
      <c r="DR312" s="32"/>
      <c r="DS312" s="32"/>
      <c r="DT312" s="32"/>
      <c r="DU312" s="32"/>
      <c r="DV312" s="32"/>
      <c r="DW312" s="32"/>
      <c r="DX312" s="32"/>
      <c r="DY312" s="32"/>
      <c r="DZ312" s="32"/>
      <c r="EA312" s="32"/>
      <c r="EB312" s="32"/>
      <c r="EC312" s="32"/>
      <c r="ED312" s="32"/>
      <c r="EE312" s="32"/>
      <c r="EF312" s="32"/>
      <c r="EG312" s="32"/>
      <c r="EH312" s="32"/>
      <c r="EI312" s="32"/>
      <c r="EJ312" s="32"/>
      <c r="EK312" s="32"/>
      <c r="EL312" s="32"/>
      <c r="EM312" s="32"/>
      <c r="EN312" s="32"/>
      <c r="EO312" s="32"/>
      <c r="EP312" s="32"/>
      <c r="EQ312" s="32"/>
      <c r="ER312" s="32"/>
      <c r="ES312" s="32"/>
      <c r="ET312" s="32"/>
      <c r="EU312" s="32"/>
      <c r="EV312" s="32"/>
      <c r="EW312" s="32"/>
      <c r="EX312" s="32"/>
      <c r="EY312" s="32"/>
      <c r="EZ312" s="32"/>
      <c r="FA312" s="32"/>
      <c r="FB312" s="32"/>
      <c r="FC312" s="32"/>
      <c r="FD312" s="32"/>
      <c r="FE312" s="32"/>
      <c r="FF312" s="32"/>
      <c r="FG312" s="32"/>
      <c r="FH312" s="32"/>
      <c r="FI312" s="32"/>
      <c r="FJ312" s="32"/>
      <c r="FK312" s="32"/>
      <c r="FL312" s="32"/>
      <c r="FM312" s="32"/>
      <c r="FN312" s="32"/>
      <c r="FO312" s="32"/>
      <c r="FP312" s="32"/>
      <c r="FQ312" s="32"/>
      <c r="FR312" s="32"/>
      <c r="FS312" s="32"/>
      <c r="FT312" s="32"/>
      <c r="FU312" s="32"/>
      <c r="FV312" s="32"/>
      <c r="FW312" s="32"/>
      <c r="FX312" s="32"/>
      <c r="FY312" s="32"/>
      <c r="FZ312" s="32"/>
      <c r="GA312" s="32"/>
      <c r="GB312" s="32"/>
      <c r="GC312" s="32"/>
      <c r="GD312" s="32"/>
      <c r="GE312" s="32"/>
      <c r="GF312" s="32"/>
      <c r="GG312" s="32"/>
      <c r="GH312" s="32"/>
      <c r="GI312" s="32"/>
      <c r="GJ312" s="32"/>
      <c r="GK312" s="32"/>
      <c r="GL312" s="32"/>
      <c r="GM312" s="32"/>
      <c r="GN312" s="32"/>
      <c r="GO312" s="32"/>
      <c r="GP312" s="32"/>
      <c r="GQ312" s="32"/>
      <c r="GR312" s="32"/>
      <c r="GS312" s="32"/>
      <c r="GT312" s="32"/>
      <c r="GU312" s="32"/>
      <c r="GV312" s="32"/>
      <c r="GW312" s="32"/>
      <c r="GX312" s="32"/>
      <c r="GY312" s="32"/>
      <c r="GZ312" s="32"/>
      <c r="HA312" s="32"/>
      <c r="HB312" s="32"/>
      <c r="HC312" s="32"/>
      <c r="HD312" s="32"/>
      <c r="HE312" s="32"/>
      <c r="HF312" s="32"/>
      <c r="HG312" s="32"/>
      <c r="HH312" s="32"/>
      <c r="HI312" s="32"/>
      <c r="HJ312" s="32"/>
      <c r="HK312" s="32"/>
      <c r="HL312" s="32"/>
      <c r="HM312" s="32"/>
      <c r="HN312" s="32"/>
      <c r="HO312" s="32"/>
      <c r="HP312" s="32"/>
    </row>
    <row r="313" spans="1:224" x14ac:dyDescent="0.25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  <c r="BP313" s="32"/>
      <c r="BQ313" s="32"/>
      <c r="BR313" s="32"/>
      <c r="BS313" s="32"/>
      <c r="BT313" s="32"/>
      <c r="BU313" s="32"/>
      <c r="BV313" s="32"/>
      <c r="BW313" s="32"/>
      <c r="BX313" s="32"/>
      <c r="BY313" s="32"/>
      <c r="BZ313" s="32"/>
      <c r="CA313" s="32"/>
      <c r="CB313" s="32"/>
      <c r="CC313" s="32"/>
      <c r="CD313" s="32"/>
      <c r="CE313" s="32"/>
      <c r="CF313" s="32"/>
      <c r="CG313" s="32"/>
      <c r="CH313" s="32"/>
      <c r="CI313" s="32"/>
      <c r="CJ313" s="32"/>
      <c r="CK313" s="32"/>
      <c r="CL313" s="32"/>
      <c r="CM313" s="32"/>
      <c r="CN313" s="32"/>
      <c r="CO313" s="32"/>
      <c r="CP313" s="32"/>
      <c r="CQ313" s="32"/>
      <c r="CR313" s="32"/>
      <c r="CS313" s="32"/>
      <c r="CT313" s="32"/>
      <c r="CU313" s="32"/>
      <c r="CV313" s="32"/>
      <c r="CW313" s="32"/>
      <c r="CX313" s="32"/>
      <c r="CY313" s="32"/>
      <c r="CZ313" s="32"/>
      <c r="DA313" s="32"/>
      <c r="DB313" s="32"/>
      <c r="DC313" s="32"/>
      <c r="DD313" s="32"/>
      <c r="DE313" s="32"/>
      <c r="DF313" s="32"/>
      <c r="DG313" s="32"/>
      <c r="DH313" s="32"/>
      <c r="DI313" s="32"/>
      <c r="DJ313" s="32"/>
      <c r="DK313" s="32"/>
      <c r="DL313" s="32"/>
      <c r="DM313" s="32"/>
      <c r="DN313" s="32"/>
      <c r="DO313" s="32"/>
      <c r="DP313" s="32"/>
      <c r="DQ313" s="32"/>
      <c r="DR313" s="32"/>
      <c r="DS313" s="32"/>
      <c r="DT313" s="32"/>
      <c r="DU313" s="32"/>
      <c r="DV313" s="32"/>
      <c r="DW313" s="32"/>
      <c r="DX313" s="32"/>
      <c r="DY313" s="32"/>
      <c r="DZ313" s="32"/>
      <c r="EA313" s="32"/>
      <c r="EB313" s="32"/>
      <c r="EC313" s="32"/>
      <c r="ED313" s="32"/>
      <c r="EE313" s="32"/>
      <c r="EF313" s="32"/>
      <c r="EG313" s="32"/>
      <c r="EH313" s="32"/>
      <c r="EI313" s="32"/>
      <c r="EJ313" s="32"/>
      <c r="EK313" s="32"/>
      <c r="EL313" s="32"/>
      <c r="EM313" s="32"/>
      <c r="EN313" s="32"/>
      <c r="EO313" s="32"/>
      <c r="EP313" s="32"/>
      <c r="EQ313" s="32"/>
      <c r="ER313" s="32"/>
      <c r="ES313" s="32"/>
      <c r="ET313" s="32"/>
      <c r="EU313" s="32"/>
      <c r="EV313" s="32"/>
      <c r="EW313" s="32"/>
      <c r="EX313" s="32"/>
      <c r="EY313" s="32"/>
      <c r="EZ313" s="32"/>
      <c r="FA313" s="32"/>
      <c r="FB313" s="32"/>
      <c r="FC313" s="32"/>
      <c r="FD313" s="32"/>
      <c r="FE313" s="32"/>
      <c r="FF313" s="32"/>
      <c r="FG313" s="32"/>
      <c r="FH313" s="32"/>
      <c r="FI313" s="32"/>
      <c r="FJ313" s="32"/>
      <c r="FK313" s="32"/>
      <c r="FL313" s="32"/>
      <c r="FM313" s="32"/>
      <c r="FN313" s="32"/>
      <c r="FO313" s="32"/>
      <c r="FP313" s="32"/>
      <c r="FQ313" s="32"/>
      <c r="FR313" s="32"/>
      <c r="FS313" s="32"/>
      <c r="FT313" s="32"/>
      <c r="FU313" s="32"/>
      <c r="FV313" s="32"/>
      <c r="FW313" s="32"/>
      <c r="FX313" s="32"/>
      <c r="FY313" s="32"/>
      <c r="FZ313" s="32"/>
      <c r="GA313" s="32"/>
      <c r="GB313" s="32"/>
      <c r="GC313" s="32"/>
      <c r="GD313" s="32"/>
      <c r="GE313" s="32"/>
      <c r="GF313" s="32"/>
      <c r="GG313" s="32"/>
      <c r="GH313" s="32"/>
      <c r="GI313" s="32"/>
      <c r="GJ313" s="32"/>
      <c r="GK313" s="32"/>
      <c r="GL313" s="32"/>
      <c r="GM313" s="32"/>
      <c r="GN313" s="32"/>
      <c r="GO313" s="32"/>
      <c r="GP313" s="32"/>
      <c r="GQ313" s="32"/>
      <c r="GR313" s="32"/>
      <c r="GS313" s="32"/>
      <c r="GT313" s="32"/>
      <c r="GU313" s="32"/>
      <c r="GV313" s="32"/>
      <c r="GW313" s="32"/>
      <c r="GX313" s="32"/>
      <c r="GY313" s="32"/>
      <c r="GZ313" s="32"/>
      <c r="HA313" s="32"/>
      <c r="HB313" s="32"/>
      <c r="HC313" s="32"/>
      <c r="HD313" s="32"/>
      <c r="HE313" s="32"/>
      <c r="HF313" s="32"/>
      <c r="HG313" s="32"/>
      <c r="HH313" s="32"/>
      <c r="HI313" s="32"/>
      <c r="HJ313" s="32"/>
      <c r="HK313" s="32"/>
      <c r="HL313" s="32"/>
      <c r="HM313" s="32"/>
      <c r="HN313" s="32"/>
      <c r="HO313" s="32"/>
      <c r="HP313" s="32"/>
    </row>
    <row r="314" spans="1:224" x14ac:dyDescent="0.25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/>
      <c r="BM314" s="32"/>
      <c r="BN314" s="32"/>
      <c r="BO314" s="32"/>
      <c r="BP314" s="32"/>
      <c r="BQ314" s="32"/>
      <c r="BR314" s="32"/>
      <c r="BS314" s="32"/>
      <c r="BT314" s="32"/>
      <c r="BU314" s="32"/>
      <c r="BV314" s="32"/>
      <c r="BW314" s="32"/>
      <c r="BX314" s="32"/>
      <c r="BY314" s="32"/>
      <c r="BZ314" s="32"/>
      <c r="CA314" s="32"/>
      <c r="CB314" s="32"/>
      <c r="CC314" s="32"/>
      <c r="CD314" s="32"/>
      <c r="CE314" s="32"/>
      <c r="CF314" s="32"/>
      <c r="CG314" s="32"/>
      <c r="CH314" s="32"/>
      <c r="CI314" s="32"/>
      <c r="CJ314" s="32"/>
      <c r="CK314" s="32"/>
      <c r="CL314" s="32"/>
      <c r="CM314" s="32"/>
      <c r="CN314" s="32"/>
      <c r="CO314" s="32"/>
      <c r="CP314" s="32"/>
      <c r="CQ314" s="32"/>
      <c r="CR314" s="32"/>
      <c r="CS314" s="32"/>
      <c r="CT314" s="32"/>
      <c r="CU314" s="32"/>
      <c r="CV314" s="32"/>
      <c r="CW314" s="32"/>
      <c r="CX314" s="32"/>
      <c r="CY314" s="32"/>
      <c r="CZ314" s="32"/>
      <c r="DA314" s="32"/>
      <c r="DB314" s="32"/>
      <c r="DC314" s="32"/>
      <c r="DD314" s="32"/>
      <c r="DE314" s="32"/>
      <c r="DF314" s="32"/>
      <c r="DG314" s="32"/>
      <c r="DH314" s="32"/>
      <c r="DI314" s="32"/>
      <c r="DJ314" s="32"/>
      <c r="DK314" s="32"/>
      <c r="DL314" s="32"/>
      <c r="DM314" s="32"/>
      <c r="DN314" s="32"/>
      <c r="DO314" s="32"/>
      <c r="DP314" s="32"/>
      <c r="DQ314" s="32"/>
      <c r="DR314" s="32"/>
      <c r="DS314" s="32"/>
      <c r="DT314" s="32"/>
      <c r="DU314" s="32"/>
      <c r="DV314" s="32"/>
      <c r="DW314" s="32"/>
      <c r="DX314" s="32"/>
      <c r="DY314" s="32"/>
      <c r="DZ314" s="32"/>
      <c r="EA314" s="32"/>
      <c r="EB314" s="32"/>
      <c r="EC314" s="32"/>
      <c r="ED314" s="32"/>
      <c r="EE314" s="32"/>
      <c r="EF314" s="32"/>
      <c r="EG314" s="32"/>
      <c r="EH314" s="32"/>
      <c r="EI314" s="32"/>
      <c r="EJ314" s="32"/>
      <c r="EK314" s="32"/>
      <c r="EL314" s="32"/>
      <c r="EM314" s="32"/>
      <c r="EN314" s="32"/>
      <c r="EO314" s="32"/>
      <c r="EP314" s="32"/>
      <c r="EQ314" s="32"/>
      <c r="ER314" s="32"/>
      <c r="ES314" s="32"/>
      <c r="ET314" s="32"/>
      <c r="EU314" s="32"/>
      <c r="EV314" s="32"/>
      <c r="EW314" s="32"/>
      <c r="EX314" s="32"/>
      <c r="EY314" s="32"/>
      <c r="EZ314" s="32"/>
      <c r="FA314" s="32"/>
      <c r="FB314" s="32"/>
      <c r="FC314" s="32"/>
      <c r="FD314" s="32"/>
      <c r="FE314" s="32"/>
      <c r="FF314" s="32"/>
      <c r="FG314" s="32"/>
      <c r="FH314" s="32"/>
      <c r="FI314" s="32"/>
      <c r="FJ314" s="32"/>
      <c r="FK314" s="32"/>
      <c r="FL314" s="32"/>
      <c r="FM314" s="32"/>
      <c r="FN314" s="32"/>
      <c r="FO314" s="32"/>
      <c r="FP314" s="32"/>
      <c r="FQ314" s="32"/>
      <c r="FR314" s="32"/>
      <c r="FS314" s="32"/>
      <c r="FT314" s="32"/>
      <c r="FU314" s="32"/>
      <c r="FV314" s="32"/>
      <c r="FW314" s="32"/>
      <c r="FX314" s="32"/>
      <c r="FY314" s="32"/>
      <c r="FZ314" s="32"/>
      <c r="GA314" s="32"/>
      <c r="GB314" s="32"/>
      <c r="GC314" s="32"/>
      <c r="GD314" s="32"/>
      <c r="GE314" s="32"/>
      <c r="GF314" s="32"/>
      <c r="GG314" s="32"/>
      <c r="GH314" s="32"/>
      <c r="GI314" s="32"/>
      <c r="GJ314" s="32"/>
      <c r="GK314" s="32"/>
      <c r="GL314" s="32"/>
      <c r="GM314" s="32"/>
      <c r="GN314" s="32"/>
      <c r="GO314" s="32"/>
      <c r="GP314" s="32"/>
      <c r="GQ314" s="32"/>
      <c r="GR314" s="32"/>
      <c r="GS314" s="32"/>
      <c r="GT314" s="32"/>
      <c r="GU314" s="32"/>
      <c r="GV314" s="32"/>
      <c r="GW314" s="32"/>
      <c r="GX314" s="32"/>
      <c r="GY314" s="32"/>
      <c r="GZ314" s="32"/>
      <c r="HA314" s="32"/>
      <c r="HB314" s="32"/>
      <c r="HC314" s="32"/>
      <c r="HD314" s="32"/>
      <c r="HE314" s="32"/>
      <c r="HF314" s="32"/>
      <c r="HG314" s="32"/>
      <c r="HH314" s="32"/>
      <c r="HI314" s="32"/>
      <c r="HJ314" s="32"/>
      <c r="HK314" s="32"/>
      <c r="HL314" s="32"/>
      <c r="HM314" s="32"/>
      <c r="HN314" s="32"/>
      <c r="HO314" s="32"/>
      <c r="HP314" s="32"/>
    </row>
    <row r="315" spans="1:224" x14ac:dyDescent="0.2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  <c r="BN315" s="32"/>
      <c r="BO315" s="32"/>
      <c r="BP315" s="32"/>
      <c r="BQ315" s="32"/>
      <c r="BR315" s="32"/>
      <c r="BS315" s="32"/>
      <c r="BT315" s="32"/>
      <c r="BU315" s="32"/>
      <c r="BV315" s="32"/>
      <c r="BW315" s="32"/>
      <c r="BX315" s="32"/>
      <c r="BY315" s="32"/>
      <c r="BZ315" s="32"/>
      <c r="CA315" s="32"/>
      <c r="CB315" s="32"/>
      <c r="CC315" s="32"/>
      <c r="CD315" s="32"/>
      <c r="CE315" s="32"/>
      <c r="CF315" s="32"/>
      <c r="CG315" s="32"/>
      <c r="CH315" s="32"/>
      <c r="CI315" s="32"/>
      <c r="CJ315" s="32"/>
      <c r="CK315" s="32"/>
      <c r="CL315" s="32"/>
      <c r="CM315" s="32"/>
      <c r="CN315" s="32"/>
      <c r="CO315" s="32"/>
      <c r="CP315" s="32"/>
      <c r="CQ315" s="32"/>
      <c r="CR315" s="32"/>
      <c r="CS315" s="32"/>
      <c r="CT315" s="32"/>
      <c r="CU315" s="32"/>
      <c r="CV315" s="32"/>
      <c r="CW315" s="32"/>
      <c r="CX315" s="32"/>
      <c r="CY315" s="32"/>
      <c r="CZ315" s="32"/>
      <c r="DA315" s="32"/>
      <c r="DB315" s="32"/>
      <c r="DC315" s="32"/>
      <c r="DD315" s="32"/>
      <c r="DE315" s="32"/>
      <c r="DF315" s="32"/>
      <c r="DG315" s="32"/>
      <c r="DH315" s="32"/>
      <c r="DI315" s="32"/>
      <c r="DJ315" s="32"/>
      <c r="DK315" s="32"/>
      <c r="DL315" s="32"/>
      <c r="DM315" s="32"/>
      <c r="DN315" s="32"/>
      <c r="DO315" s="32"/>
      <c r="DP315" s="32"/>
      <c r="DQ315" s="32"/>
      <c r="DR315" s="32"/>
      <c r="DS315" s="32"/>
      <c r="DT315" s="32"/>
      <c r="DU315" s="32"/>
      <c r="DV315" s="32"/>
      <c r="DW315" s="32"/>
      <c r="DX315" s="32"/>
      <c r="DY315" s="32"/>
      <c r="DZ315" s="32"/>
      <c r="EA315" s="32"/>
      <c r="EB315" s="32"/>
      <c r="EC315" s="32"/>
      <c r="ED315" s="32"/>
      <c r="EE315" s="32"/>
      <c r="EF315" s="32"/>
      <c r="EG315" s="32"/>
      <c r="EH315" s="32"/>
      <c r="EI315" s="32"/>
      <c r="EJ315" s="32"/>
      <c r="EK315" s="32"/>
      <c r="EL315" s="32"/>
      <c r="EM315" s="32"/>
      <c r="EN315" s="32"/>
      <c r="EO315" s="32"/>
      <c r="EP315" s="32"/>
      <c r="EQ315" s="32"/>
      <c r="ER315" s="32"/>
      <c r="ES315" s="32"/>
      <c r="ET315" s="32"/>
      <c r="EU315" s="32"/>
      <c r="EV315" s="32"/>
      <c r="EW315" s="32"/>
      <c r="EX315" s="32"/>
      <c r="EY315" s="32"/>
      <c r="EZ315" s="32"/>
      <c r="FA315" s="32"/>
      <c r="FB315" s="32"/>
      <c r="FC315" s="32"/>
      <c r="FD315" s="32"/>
      <c r="FE315" s="32"/>
      <c r="FF315" s="32"/>
      <c r="FG315" s="32"/>
      <c r="FH315" s="32"/>
      <c r="FI315" s="32"/>
      <c r="FJ315" s="32"/>
      <c r="FK315" s="32"/>
      <c r="FL315" s="32"/>
      <c r="FM315" s="32"/>
      <c r="FN315" s="32"/>
      <c r="FO315" s="32"/>
      <c r="FP315" s="32"/>
      <c r="FQ315" s="32"/>
      <c r="FR315" s="32"/>
      <c r="FS315" s="32"/>
      <c r="FT315" s="32"/>
      <c r="FU315" s="32"/>
      <c r="FV315" s="32"/>
      <c r="FW315" s="32"/>
      <c r="FX315" s="32"/>
      <c r="FY315" s="32"/>
      <c r="FZ315" s="32"/>
      <c r="GA315" s="32"/>
      <c r="GB315" s="32"/>
      <c r="GC315" s="32"/>
      <c r="GD315" s="32"/>
      <c r="GE315" s="32"/>
      <c r="GF315" s="32"/>
      <c r="GG315" s="32"/>
      <c r="GH315" s="32"/>
      <c r="GI315" s="32"/>
      <c r="GJ315" s="32"/>
      <c r="GK315" s="32"/>
      <c r="GL315" s="32"/>
      <c r="GM315" s="32"/>
      <c r="GN315" s="32"/>
      <c r="GO315" s="32"/>
      <c r="GP315" s="32"/>
      <c r="GQ315" s="32"/>
      <c r="GR315" s="32"/>
      <c r="GS315" s="32"/>
      <c r="GT315" s="32"/>
      <c r="GU315" s="32"/>
      <c r="GV315" s="32"/>
      <c r="GW315" s="32"/>
      <c r="GX315" s="32"/>
      <c r="GY315" s="32"/>
      <c r="GZ315" s="32"/>
      <c r="HA315" s="32"/>
      <c r="HB315" s="32"/>
      <c r="HC315" s="32"/>
      <c r="HD315" s="32"/>
      <c r="HE315" s="32"/>
      <c r="HF315" s="32"/>
      <c r="HG315" s="32"/>
      <c r="HH315" s="32"/>
      <c r="HI315" s="32"/>
      <c r="HJ315" s="32"/>
      <c r="HK315" s="32"/>
      <c r="HL315" s="32"/>
      <c r="HM315" s="32"/>
      <c r="HN315" s="32"/>
      <c r="HO315" s="32"/>
      <c r="HP315" s="32"/>
    </row>
    <row r="316" spans="1:224" x14ac:dyDescent="0.25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  <c r="BG316" s="32"/>
      <c r="BH316" s="32"/>
      <c r="BI316" s="32"/>
      <c r="BJ316" s="32"/>
      <c r="BK316" s="32"/>
      <c r="BL316" s="32"/>
      <c r="BM316" s="32"/>
      <c r="BN316" s="32"/>
      <c r="BO316" s="32"/>
      <c r="BP316" s="32"/>
      <c r="BQ316" s="32"/>
      <c r="BR316" s="32"/>
      <c r="BS316" s="32"/>
      <c r="BT316" s="32"/>
      <c r="BU316" s="32"/>
      <c r="BV316" s="32"/>
      <c r="BW316" s="32"/>
      <c r="BX316" s="32"/>
      <c r="BY316" s="32"/>
      <c r="BZ316" s="32"/>
      <c r="CA316" s="32"/>
      <c r="CB316" s="32"/>
      <c r="CC316" s="32"/>
      <c r="CD316" s="32"/>
      <c r="CE316" s="32"/>
      <c r="CF316" s="32"/>
      <c r="CG316" s="32"/>
      <c r="CH316" s="32"/>
      <c r="CI316" s="32"/>
      <c r="CJ316" s="32"/>
      <c r="CK316" s="32"/>
      <c r="CL316" s="32"/>
      <c r="CM316" s="32"/>
      <c r="CN316" s="32"/>
      <c r="CO316" s="32"/>
      <c r="CP316" s="32"/>
      <c r="CQ316" s="32"/>
      <c r="CR316" s="32"/>
      <c r="CS316" s="32"/>
      <c r="CT316" s="32"/>
      <c r="CU316" s="32"/>
      <c r="CV316" s="32"/>
      <c r="CW316" s="32"/>
      <c r="CX316" s="32"/>
      <c r="CY316" s="32"/>
      <c r="CZ316" s="32"/>
      <c r="DA316" s="32"/>
      <c r="DB316" s="32"/>
      <c r="DC316" s="32"/>
      <c r="DD316" s="32"/>
      <c r="DE316" s="32"/>
      <c r="DF316" s="32"/>
      <c r="DG316" s="32"/>
      <c r="DH316" s="32"/>
      <c r="DI316" s="32"/>
      <c r="DJ316" s="32"/>
      <c r="DK316" s="32"/>
      <c r="DL316" s="32"/>
      <c r="DM316" s="32"/>
      <c r="DN316" s="32"/>
      <c r="DO316" s="32"/>
      <c r="DP316" s="32"/>
      <c r="DQ316" s="32"/>
      <c r="DR316" s="32"/>
      <c r="DS316" s="32"/>
      <c r="DT316" s="32"/>
      <c r="DU316" s="32"/>
      <c r="DV316" s="32"/>
      <c r="DW316" s="32"/>
      <c r="DX316" s="32"/>
      <c r="DY316" s="32"/>
      <c r="DZ316" s="32"/>
      <c r="EA316" s="32"/>
      <c r="EB316" s="32"/>
      <c r="EC316" s="32"/>
      <c r="ED316" s="32"/>
      <c r="EE316" s="32"/>
      <c r="EF316" s="32"/>
      <c r="EG316" s="32"/>
      <c r="EH316" s="32"/>
      <c r="EI316" s="32"/>
      <c r="EJ316" s="32"/>
      <c r="EK316" s="32"/>
      <c r="EL316" s="32"/>
      <c r="EM316" s="32"/>
      <c r="EN316" s="32"/>
      <c r="EO316" s="32"/>
      <c r="EP316" s="32"/>
      <c r="EQ316" s="32"/>
      <c r="ER316" s="32"/>
      <c r="ES316" s="32"/>
      <c r="ET316" s="32"/>
      <c r="EU316" s="32"/>
      <c r="EV316" s="32"/>
      <c r="EW316" s="32"/>
      <c r="EX316" s="32"/>
      <c r="EY316" s="32"/>
      <c r="EZ316" s="32"/>
      <c r="FA316" s="32"/>
      <c r="FB316" s="32"/>
      <c r="FC316" s="32"/>
      <c r="FD316" s="32"/>
      <c r="FE316" s="32"/>
      <c r="FF316" s="32"/>
      <c r="FG316" s="32"/>
      <c r="FH316" s="32"/>
      <c r="FI316" s="32"/>
      <c r="FJ316" s="32"/>
      <c r="FK316" s="32"/>
      <c r="FL316" s="32"/>
      <c r="FM316" s="32"/>
      <c r="FN316" s="32"/>
      <c r="FO316" s="32"/>
      <c r="FP316" s="32"/>
      <c r="FQ316" s="32"/>
      <c r="FR316" s="32"/>
      <c r="FS316" s="32"/>
      <c r="FT316" s="32"/>
      <c r="FU316" s="32"/>
      <c r="FV316" s="32"/>
      <c r="FW316" s="32"/>
      <c r="FX316" s="32"/>
      <c r="FY316" s="32"/>
      <c r="FZ316" s="32"/>
      <c r="GA316" s="32"/>
      <c r="GB316" s="32"/>
      <c r="GC316" s="32"/>
      <c r="GD316" s="32"/>
      <c r="GE316" s="32"/>
      <c r="GF316" s="32"/>
      <c r="GG316" s="32"/>
      <c r="GH316" s="32"/>
      <c r="GI316" s="32"/>
      <c r="GJ316" s="32"/>
      <c r="GK316" s="32"/>
      <c r="GL316" s="32"/>
      <c r="GM316" s="32"/>
      <c r="GN316" s="32"/>
      <c r="GO316" s="32"/>
      <c r="GP316" s="32"/>
      <c r="GQ316" s="32"/>
      <c r="GR316" s="32"/>
      <c r="GS316" s="32"/>
      <c r="GT316" s="32"/>
      <c r="GU316" s="32"/>
      <c r="GV316" s="32"/>
      <c r="GW316" s="32"/>
      <c r="GX316" s="32"/>
      <c r="GY316" s="32"/>
      <c r="GZ316" s="32"/>
      <c r="HA316" s="32"/>
      <c r="HB316" s="32"/>
      <c r="HC316" s="32"/>
      <c r="HD316" s="32"/>
      <c r="HE316" s="32"/>
      <c r="HF316" s="32"/>
      <c r="HG316" s="32"/>
      <c r="HH316" s="32"/>
      <c r="HI316" s="32"/>
      <c r="HJ316" s="32"/>
      <c r="HK316" s="32"/>
      <c r="HL316" s="32"/>
      <c r="HM316" s="32"/>
      <c r="HN316" s="32"/>
      <c r="HO316" s="32"/>
      <c r="HP316" s="32"/>
    </row>
    <row r="317" spans="1:224" x14ac:dyDescent="0.25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  <c r="BN317" s="32"/>
      <c r="BO317" s="32"/>
      <c r="BP317" s="32"/>
      <c r="BQ317" s="32"/>
      <c r="BR317" s="32"/>
      <c r="BS317" s="32"/>
      <c r="BT317" s="32"/>
      <c r="BU317" s="32"/>
      <c r="BV317" s="32"/>
      <c r="BW317" s="32"/>
      <c r="BX317" s="32"/>
      <c r="BY317" s="32"/>
      <c r="BZ317" s="32"/>
      <c r="CA317" s="32"/>
      <c r="CB317" s="32"/>
      <c r="CC317" s="32"/>
      <c r="CD317" s="32"/>
      <c r="CE317" s="32"/>
      <c r="CF317" s="32"/>
      <c r="CG317" s="32"/>
      <c r="CH317" s="32"/>
      <c r="CI317" s="32"/>
      <c r="CJ317" s="32"/>
      <c r="CK317" s="32"/>
      <c r="CL317" s="32"/>
      <c r="CM317" s="32"/>
      <c r="CN317" s="32"/>
      <c r="CO317" s="32"/>
      <c r="CP317" s="32"/>
      <c r="CQ317" s="32"/>
      <c r="CR317" s="32"/>
      <c r="CS317" s="32"/>
      <c r="CT317" s="32"/>
      <c r="CU317" s="32"/>
      <c r="CV317" s="32"/>
      <c r="CW317" s="32"/>
      <c r="CX317" s="32"/>
      <c r="CY317" s="32"/>
      <c r="CZ317" s="32"/>
      <c r="DA317" s="32"/>
      <c r="DB317" s="32"/>
      <c r="DC317" s="32"/>
      <c r="DD317" s="32"/>
      <c r="DE317" s="32"/>
      <c r="DF317" s="32"/>
      <c r="DG317" s="32"/>
      <c r="DH317" s="32"/>
      <c r="DI317" s="32"/>
      <c r="DJ317" s="32"/>
      <c r="DK317" s="32"/>
      <c r="DL317" s="32"/>
      <c r="DM317" s="32"/>
      <c r="DN317" s="32"/>
      <c r="DO317" s="32"/>
      <c r="DP317" s="32"/>
      <c r="DQ317" s="32"/>
      <c r="DR317" s="32"/>
      <c r="DS317" s="32"/>
      <c r="DT317" s="32"/>
      <c r="DU317" s="32"/>
      <c r="DV317" s="32"/>
      <c r="DW317" s="32"/>
      <c r="DX317" s="32"/>
      <c r="DY317" s="32"/>
      <c r="DZ317" s="32"/>
      <c r="EA317" s="32"/>
      <c r="EB317" s="32"/>
      <c r="EC317" s="32"/>
      <c r="ED317" s="32"/>
      <c r="EE317" s="32"/>
      <c r="EF317" s="32"/>
      <c r="EG317" s="32"/>
      <c r="EH317" s="32"/>
      <c r="EI317" s="32"/>
      <c r="EJ317" s="32"/>
      <c r="EK317" s="32"/>
      <c r="EL317" s="32"/>
      <c r="EM317" s="32"/>
      <c r="EN317" s="32"/>
      <c r="EO317" s="32"/>
      <c r="EP317" s="32"/>
      <c r="EQ317" s="32"/>
      <c r="ER317" s="32"/>
      <c r="ES317" s="32"/>
      <c r="ET317" s="32"/>
      <c r="EU317" s="32"/>
      <c r="EV317" s="32"/>
      <c r="EW317" s="32"/>
      <c r="EX317" s="32"/>
      <c r="EY317" s="32"/>
      <c r="EZ317" s="32"/>
      <c r="FA317" s="32"/>
      <c r="FB317" s="32"/>
      <c r="FC317" s="32"/>
      <c r="FD317" s="32"/>
      <c r="FE317" s="32"/>
      <c r="FF317" s="32"/>
      <c r="FG317" s="32"/>
      <c r="FH317" s="32"/>
      <c r="FI317" s="32"/>
      <c r="FJ317" s="32"/>
      <c r="FK317" s="32"/>
      <c r="FL317" s="32"/>
      <c r="FM317" s="32"/>
      <c r="FN317" s="32"/>
      <c r="FO317" s="32"/>
      <c r="FP317" s="32"/>
      <c r="FQ317" s="32"/>
      <c r="FR317" s="32"/>
      <c r="FS317" s="32"/>
      <c r="FT317" s="32"/>
      <c r="FU317" s="32"/>
      <c r="FV317" s="32"/>
      <c r="FW317" s="32"/>
      <c r="FX317" s="32"/>
      <c r="FY317" s="32"/>
      <c r="FZ317" s="32"/>
      <c r="GA317" s="32"/>
      <c r="GB317" s="32"/>
      <c r="GC317" s="32"/>
      <c r="GD317" s="32"/>
      <c r="GE317" s="32"/>
      <c r="GF317" s="32"/>
      <c r="GG317" s="32"/>
      <c r="GH317" s="32"/>
      <c r="GI317" s="32"/>
      <c r="GJ317" s="32"/>
      <c r="GK317" s="32"/>
      <c r="GL317" s="32"/>
      <c r="GM317" s="32"/>
      <c r="GN317" s="32"/>
      <c r="GO317" s="32"/>
      <c r="GP317" s="32"/>
      <c r="GQ317" s="32"/>
      <c r="GR317" s="32"/>
      <c r="GS317" s="32"/>
      <c r="GT317" s="32"/>
      <c r="GU317" s="32"/>
      <c r="GV317" s="32"/>
      <c r="GW317" s="32"/>
      <c r="GX317" s="32"/>
      <c r="GY317" s="32"/>
      <c r="GZ317" s="32"/>
      <c r="HA317" s="32"/>
      <c r="HB317" s="32"/>
      <c r="HC317" s="32"/>
      <c r="HD317" s="32"/>
      <c r="HE317" s="32"/>
      <c r="HF317" s="32"/>
      <c r="HG317" s="32"/>
      <c r="HH317" s="32"/>
      <c r="HI317" s="32"/>
      <c r="HJ317" s="32"/>
      <c r="HK317" s="32"/>
      <c r="HL317" s="32"/>
      <c r="HM317" s="32"/>
      <c r="HN317" s="32"/>
      <c r="HO317" s="32"/>
      <c r="HP317" s="32"/>
    </row>
    <row r="318" spans="1:224" x14ac:dyDescent="0.25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  <c r="BP318" s="32"/>
      <c r="BQ318" s="32"/>
      <c r="BR318" s="32"/>
      <c r="BS318" s="32"/>
      <c r="BT318" s="32"/>
      <c r="BU318" s="32"/>
      <c r="BV318" s="32"/>
      <c r="BW318" s="32"/>
      <c r="BX318" s="32"/>
      <c r="BY318" s="32"/>
      <c r="BZ318" s="32"/>
      <c r="CA318" s="32"/>
      <c r="CB318" s="32"/>
      <c r="CC318" s="32"/>
      <c r="CD318" s="32"/>
      <c r="CE318" s="32"/>
      <c r="CF318" s="32"/>
      <c r="CG318" s="32"/>
      <c r="CH318" s="32"/>
      <c r="CI318" s="32"/>
      <c r="CJ318" s="32"/>
      <c r="CK318" s="32"/>
      <c r="CL318" s="32"/>
      <c r="CM318" s="32"/>
      <c r="CN318" s="32"/>
      <c r="CO318" s="32"/>
      <c r="CP318" s="32"/>
      <c r="CQ318" s="32"/>
      <c r="CR318" s="32"/>
      <c r="CS318" s="32"/>
      <c r="CT318" s="32"/>
      <c r="CU318" s="32"/>
      <c r="CV318" s="32"/>
      <c r="CW318" s="32"/>
      <c r="CX318" s="32"/>
      <c r="CY318" s="32"/>
      <c r="CZ318" s="32"/>
      <c r="DA318" s="32"/>
      <c r="DB318" s="32"/>
      <c r="DC318" s="32"/>
      <c r="DD318" s="32"/>
      <c r="DE318" s="32"/>
      <c r="DF318" s="32"/>
      <c r="DG318" s="32"/>
      <c r="DH318" s="32"/>
      <c r="DI318" s="32"/>
      <c r="DJ318" s="32"/>
      <c r="DK318" s="32"/>
      <c r="DL318" s="32"/>
      <c r="DM318" s="32"/>
      <c r="DN318" s="32"/>
      <c r="DO318" s="32"/>
      <c r="DP318" s="32"/>
      <c r="DQ318" s="32"/>
      <c r="DR318" s="32"/>
      <c r="DS318" s="32"/>
      <c r="DT318" s="32"/>
      <c r="DU318" s="32"/>
      <c r="DV318" s="32"/>
      <c r="DW318" s="32"/>
      <c r="DX318" s="32"/>
      <c r="DY318" s="32"/>
      <c r="DZ318" s="32"/>
      <c r="EA318" s="32"/>
      <c r="EB318" s="32"/>
      <c r="EC318" s="32"/>
      <c r="ED318" s="32"/>
      <c r="EE318" s="32"/>
      <c r="EF318" s="32"/>
      <c r="EG318" s="32"/>
      <c r="EH318" s="32"/>
      <c r="EI318" s="32"/>
      <c r="EJ318" s="32"/>
      <c r="EK318" s="32"/>
      <c r="EL318" s="32"/>
      <c r="EM318" s="32"/>
      <c r="EN318" s="32"/>
      <c r="EO318" s="32"/>
      <c r="EP318" s="32"/>
      <c r="EQ318" s="32"/>
      <c r="ER318" s="32"/>
      <c r="ES318" s="32"/>
      <c r="ET318" s="32"/>
      <c r="EU318" s="32"/>
      <c r="EV318" s="32"/>
      <c r="EW318" s="32"/>
      <c r="EX318" s="32"/>
      <c r="EY318" s="32"/>
      <c r="EZ318" s="32"/>
      <c r="FA318" s="32"/>
      <c r="FB318" s="32"/>
      <c r="FC318" s="32"/>
      <c r="FD318" s="32"/>
      <c r="FE318" s="32"/>
      <c r="FF318" s="32"/>
      <c r="FG318" s="32"/>
      <c r="FH318" s="32"/>
      <c r="FI318" s="32"/>
      <c r="FJ318" s="32"/>
      <c r="FK318" s="32"/>
      <c r="FL318" s="32"/>
      <c r="FM318" s="32"/>
      <c r="FN318" s="32"/>
      <c r="FO318" s="32"/>
      <c r="FP318" s="32"/>
      <c r="FQ318" s="32"/>
      <c r="FR318" s="32"/>
      <c r="FS318" s="32"/>
      <c r="FT318" s="32"/>
      <c r="FU318" s="32"/>
      <c r="FV318" s="32"/>
      <c r="FW318" s="32"/>
      <c r="FX318" s="32"/>
      <c r="FY318" s="32"/>
      <c r="FZ318" s="32"/>
      <c r="GA318" s="32"/>
      <c r="GB318" s="32"/>
      <c r="GC318" s="32"/>
      <c r="GD318" s="32"/>
      <c r="GE318" s="32"/>
      <c r="GF318" s="32"/>
      <c r="GG318" s="32"/>
      <c r="GH318" s="32"/>
      <c r="GI318" s="32"/>
      <c r="GJ318" s="32"/>
      <c r="GK318" s="32"/>
      <c r="GL318" s="32"/>
      <c r="GM318" s="32"/>
      <c r="GN318" s="32"/>
      <c r="GO318" s="32"/>
      <c r="GP318" s="32"/>
      <c r="GQ318" s="32"/>
      <c r="GR318" s="32"/>
      <c r="GS318" s="32"/>
      <c r="GT318" s="32"/>
      <c r="GU318" s="32"/>
      <c r="GV318" s="32"/>
      <c r="GW318" s="32"/>
      <c r="GX318" s="32"/>
      <c r="GY318" s="32"/>
      <c r="GZ318" s="32"/>
      <c r="HA318" s="32"/>
      <c r="HB318" s="32"/>
      <c r="HC318" s="32"/>
      <c r="HD318" s="32"/>
      <c r="HE318" s="32"/>
      <c r="HF318" s="32"/>
      <c r="HG318" s="32"/>
      <c r="HH318" s="32"/>
      <c r="HI318" s="32"/>
      <c r="HJ318" s="32"/>
      <c r="HK318" s="32"/>
      <c r="HL318" s="32"/>
      <c r="HM318" s="32"/>
      <c r="HN318" s="32"/>
      <c r="HO318" s="32"/>
      <c r="HP318" s="32"/>
    </row>
    <row r="319" spans="1:224" x14ac:dyDescent="0.25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  <c r="BP319" s="32"/>
      <c r="BQ319" s="32"/>
      <c r="BR319" s="32"/>
      <c r="BS319" s="32"/>
      <c r="BT319" s="32"/>
      <c r="BU319" s="32"/>
      <c r="BV319" s="32"/>
      <c r="BW319" s="32"/>
      <c r="BX319" s="32"/>
      <c r="BY319" s="32"/>
      <c r="BZ319" s="32"/>
      <c r="CA319" s="32"/>
      <c r="CB319" s="32"/>
      <c r="CC319" s="32"/>
      <c r="CD319" s="32"/>
      <c r="CE319" s="32"/>
      <c r="CF319" s="32"/>
      <c r="CG319" s="32"/>
      <c r="CH319" s="32"/>
      <c r="CI319" s="32"/>
      <c r="CJ319" s="32"/>
      <c r="CK319" s="32"/>
      <c r="CL319" s="32"/>
      <c r="CM319" s="32"/>
      <c r="CN319" s="32"/>
      <c r="CO319" s="32"/>
      <c r="CP319" s="32"/>
      <c r="CQ319" s="32"/>
      <c r="CR319" s="32"/>
      <c r="CS319" s="32"/>
      <c r="CT319" s="32"/>
      <c r="CU319" s="32"/>
      <c r="CV319" s="32"/>
      <c r="CW319" s="32"/>
      <c r="CX319" s="32"/>
      <c r="CY319" s="32"/>
      <c r="CZ319" s="32"/>
      <c r="DA319" s="32"/>
      <c r="DB319" s="32"/>
      <c r="DC319" s="32"/>
      <c r="DD319" s="32"/>
      <c r="DE319" s="32"/>
      <c r="DF319" s="32"/>
      <c r="DG319" s="32"/>
      <c r="DH319" s="32"/>
      <c r="DI319" s="32"/>
      <c r="DJ319" s="32"/>
      <c r="DK319" s="32"/>
      <c r="DL319" s="32"/>
      <c r="DM319" s="32"/>
      <c r="DN319" s="32"/>
      <c r="DO319" s="32"/>
      <c r="DP319" s="32"/>
      <c r="DQ319" s="32"/>
      <c r="DR319" s="32"/>
      <c r="DS319" s="32"/>
      <c r="DT319" s="32"/>
      <c r="DU319" s="32"/>
      <c r="DV319" s="32"/>
      <c r="DW319" s="32"/>
      <c r="DX319" s="32"/>
      <c r="DY319" s="32"/>
      <c r="DZ319" s="32"/>
      <c r="EA319" s="32"/>
      <c r="EB319" s="32"/>
      <c r="EC319" s="32"/>
      <c r="ED319" s="32"/>
      <c r="EE319" s="32"/>
      <c r="EF319" s="32"/>
      <c r="EG319" s="32"/>
      <c r="EH319" s="32"/>
      <c r="EI319" s="32"/>
      <c r="EJ319" s="32"/>
      <c r="EK319" s="32"/>
      <c r="EL319" s="32"/>
      <c r="EM319" s="32"/>
      <c r="EN319" s="32"/>
      <c r="EO319" s="32"/>
      <c r="EP319" s="32"/>
      <c r="EQ319" s="32"/>
      <c r="ER319" s="32"/>
      <c r="ES319" s="32"/>
      <c r="ET319" s="32"/>
      <c r="EU319" s="32"/>
      <c r="EV319" s="32"/>
      <c r="EW319" s="32"/>
      <c r="EX319" s="32"/>
      <c r="EY319" s="32"/>
      <c r="EZ319" s="32"/>
      <c r="FA319" s="32"/>
      <c r="FB319" s="32"/>
      <c r="FC319" s="32"/>
      <c r="FD319" s="32"/>
      <c r="FE319" s="32"/>
      <c r="FF319" s="32"/>
      <c r="FG319" s="32"/>
      <c r="FH319" s="32"/>
      <c r="FI319" s="32"/>
      <c r="FJ319" s="32"/>
      <c r="FK319" s="32"/>
      <c r="FL319" s="32"/>
      <c r="FM319" s="32"/>
      <c r="FN319" s="32"/>
      <c r="FO319" s="32"/>
      <c r="FP319" s="32"/>
      <c r="FQ319" s="32"/>
      <c r="FR319" s="32"/>
      <c r="FS319" s="32"/>
      <c r="FT319" s="32"/>
      <c r="FU319" s="32"/>
      <c r="FV319" s="32"/>
      <c r="FW319" s="32"/>
      <c r="FX319" s="32"/>
      <c r="FY319" s="32"/>
      <c r="FZ319" s="32"/>
      <c r="GA319" s="32"/>
      <c r="GB319" s="32"/>
      <c r="GC319" s="32"/>
      <c r="GD319" s="32"/>
      <c r="GE319" s="32"/>
      <c r="GF319" s="32"/>
      <c r="GG319" s="32"/>
      <c r="GH319" s="32"/>
      <c r="GI319" s="32"/>
      <c r="GJ319" s="32"/>
      <c r="GK319" s="32"/>
      <c r="GL319" s="32"/>
      <c r="GM319" s="32"/>
      <c r="GN319" s="32"/>
      <c r="GO319" s="32"/>
      <c r="GP319" s="32"/>
      <c r="GQ319" s="32"/>
      <c r="GR319" s="32"/>
      <c r="GS319" s="32"/>
      <c r="GT319" s="32"/>
      <c r="GU319" s="32"/>
      <c r="GV319" s="32"/>
      <c r="GW319" s="32"/>
      <c r="GX319" s="32"/>
      <c r="GY319" s="32"/>
      <c r="GZ319" s="32"/>
      <c r="HA319" s="32"/>
      <c r="HB319" s="32"/>
      <c r="HC319" s="32"/>
      <c r="HD319" s="32"/>
      <c r="HE319" s="32"/>
      <c r="HF319" s="32"/>
      <c r="HG319" s="32"/>
      <c r="HH319" s="32"/>
      <c r="HI319" s="32"/>
      <c r="HJ319" s="32"/>
      <c r="HK319" s="32"/>
      <c r="HL319" s="32"/>
      <c r="HM319" s="32"/>
      <c r="HN319" s="32"/>
      <c r="HO319" s="32"/>
      <c r="HP319" s="32"/>
    </row>
    <row r="320" spans="1:224" x14ac:dyDescent="0.25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32"/>
      <c r="BG320" s="32"/>
      <c r="BH320" s="32"/>
      <c r="BI320" s="32"/>
      <c r="BJ320" s="32"/>
      <c r="BK320" s="32"/>
      <c r="BL320" s="32"/>
      <c r="BM320" s="32"/>
      <c r="BN320" s="32"/>
      <c r="BO320" s="32"/>
      <c r="BP320" s="32"/>
      <c r="BQ320" s="32"/>
      <c r="BR320" s="32"/>
      <c r="BS320" s="32"/>
      <c r="BT320" s="32"/>
      <c r="BU320" s="32"/>
      <c r="BV320" s="32"/>
      <c r="BW320" s="32"/>
      <c r="BX320" s="32"/>
      <c r="BY320" s="32"/>
      <c r="BZ320" s="32"/>
      <c r="CA320" s="32"/>
      <c r="CB320" s="32"/>
      <c r="CC320" s="32"/>
      <c r="CD320" s="32"/>
      <c r="CE320" s="32"/>
      <c r="CF320" s="32"/>
      <c r="CG320" s="32"/>
      <c r="CH320" s="32"/>
      <c r="CI320" s="32"/>
      <c r="CJ320" s="32"/>
      <c r="CK320" s="32"/>
      <c r="CL320" s="32"/>
      <c r="CM320" s="32"/>
      <c r="CN320" s="32"/>
      <c r="CO320" s="32"/>
      <c r="CP320" s="32"/>
      <c r="CQ320" s="32"/>
      <c r="CR320" s="32"/>
      <c r="CS320" s="32"/>
      <c r="CT320" s="32"/>
      <c r="CU320" s="32"/>
      <c r="CV320" s="32"/>
      <c r="CW320" s="32"/>
      <c r="CX320" s="32"/>
      <c r="CY320" s="32"/>
      <c r="CZ320" s="32"/>
      <c r="DA320" s="32"/>
      <c r="DB320" s="32"/>
      <c r="DC320" s="32"/>
      <c r="DD320" s="32"/>
      <c r="DE320" s="32"/>
      <c r="DF320" s="32"/>
      <c r="DG320" s="32"/>
      <c r="DH320" s="32"/>
      <c r="DI320" s="32"/>
      <c r="DJ320" s="32"/>
      <c r="DK320" s="32"/>
      <c r="DL320" s="32"/>
      <c r="DM320" s="32"/>
      <c r="DN320" s="32"/>
      <c r="DO320" s="32"/>
      <c r="DP320" s="32"/>
      <c r="DQ320" s="32"/>
      <c r="DR320" s="32"/>
      <c r="DS320" s="32"/>
      <c r="DT320" s="32"/>
      <c r="DU320" s="32"/>
      <c r="DV320" s="32"/>
      <c r="DW320" s="32"/>
      <c r="DX320" s="32"/>
      <c r="DY320" s="32"/>
      <c r="DZ320" s="32"/>
      <c r="EA320" s="32"/>
      <c r="EB320" s="32"/>
      <c r="EC320" s="32"/>
      <c r="ED320" s="32"/>
      <c r="EE320" s="32"/>
      <c r="EF320" s="32"/>
      <c r="EG320" s="32"/>
      <c r="EH320" s="32"/>
      <c r="EI320" s="32"/>
      <c r="EJ320" s="32"/>
      <c r="EK320" s="32"/>
      <c r="EL320" s="32"/>
      <c r="EM320" s="32"/>
      <c r="EN320" s="32"/>
      <c r="EO320" s="32"/>
      <c r="EP320" s="32"/>
      <c r="EQ320" s="32"/>
      <c r="ER320" s="32"/>
      <c r="ES320" s="32"/>
      <c r="ET320" s="32"/>
      <c r="EU320" s="32"/>
      <c r="EV320" s="32"/>
      <c r="EW320" s="32"/>
      <c r="EX320" s="32"/>
      <c r="EY320" s="32"/>
      <c r="EZ320" s="32"/>
      <c r="FA320" s="32"/>
      <c r="FB320" s="32"/>
      <c r="FC320" s="32"/>
      <c r="FD320" s="32"/>
      <c r="FE320" s="32"/>
      <c r="FF320" s="32"/>
      <c r="FG320" s="32"/>
      <c r="FH320" s="32"/>
      <c r="FI320" s="32"/>
      <c r="FJ320" s="32"/>
      <c r="FK320" s="32"/>
      <c r="FL320" s="32"/>
      <c r="FM320" s="32"/>
      <c r="FN320" s="32"/>
      <c r="FO320" s="32"/>
      <c r="FP320" s="32"/>
      <c r="FQ320" s="32"/>
      <c r="FR320" s="32"/>
      <c r="FS320" s="32"/>
      <c r="FT320" s="32"/>
      <c r="FU320" s="32"/>
      <c r="FV320" s="32"/>
      <c r="FW320" s="32"/>
      <c r="FX320" s="32"/>
      <c r="FY320" s="32"/>
      <c r="FZ320" s="32"/>
      <c r="GA320" s="32"/>
      <c r="GB320" s="32"/>
      <c r="GC320" s="32"/>
      <c r="GD320" s="32"/>
      <c r="GE320" s="32"/>
      <c r="GF320" s="32"/>
      <c r="GG320" s="32"/>
      <c r="GH320" s="32"/>
      <c r="GI320" s="32"/>
      <c r="GJ320" s="32"/>
      <c r="GK320" s="32"/>
      <c r="GL320" s="32"/>
      <c r="GM320" s="32"/>
      <c r="GN320" s="32"/>
      <c r="GO320" s="32"/>
      <c r="GP320" s="32"/>
      <c r="GQ320" s="32"/>
      <c r="GR320" s="32"/>
      <c r="GS320" s="32"/>
      <c r="GT320" s="32"/>
      <c r="GU320" s="32"/>
      <c r="GV320" s="32"/>
      <c r="GW320" s="32"/>
      <c r="GX320" s="32"/>
      <c r="GY320" s="32"/>
      <c r="GZ320" s="32"/>
      <c r="HA320" s="32"/>
      <c r="HB320" s="32"/>
      <c r="HC320" s="32"/>
      <c r="HD320" s="32"/>
      <c r="HE320" s="32"/>
      <c r="HF320" s="32"/>
      <c r="HG320" s="32"/>
      <c r="HH320" s="32"/>
      <c r="HI320" s="32"/>
      <c r="HJ320" s="32"/>
      <c r="HK320" s="32"/>
      <c r="HL320" s="32"/>
      <c r="HM320" s="32"/>
      <c r="HN320" s="32"/>
      <c r="HO320" s="32"/>
      <c r="HP320" s="32"/>
    </row>
    <row r="321" spans="1:224" x14ac:dyDescent="0.25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2"/>
      <c r="BM321" s="32"/>
      <c r="BN321" s="32"/>
      <c r="BO321" s="32"/>
      <c r="BP321" s="32"/>
      <c r="BQ321" s="32"/>
      <c r="BR321" s="32"/>
      <c r="BS321" s="32"/>
      <c r="BT321" s="32"/>
      <c r="BU321" s="32"/>
      <c r="BV321" s="32"/>
      <c r="BW321" s="32"/>
      <c r="BX321" s="32"/>
      <c r="BY321" s="32"/>
      <c r="BZ321" s="32"/>
      <c r="CA321" s="32"/>
      <c r="CB321" s="32"/>
      <c r="CC321" s="32"/>
      <c r="CD321" s="32"/>
      <c r="CE321" s="32"/>
      <c r="CF321" s="32"/>
      <c r="CG321" s="32"/>
      <c r="CH321" s="32"/>
      <c r="CI321" s="32"/>
      <c r="CJ321" s="32"/>
      <c r="CK321" s="32"/>
      <c r="CL321" s="32"/>
      <c r="CM321" s="32"/>
      <c r="CN321" s="32"/>
      <c r="CO321" s="32"/>
      <c r="CP321" s="32"/>
      <c r="CQ321" s="32"/>
      <c r="CR321" s="32"/>
      <c r="CS321" s="32"/>
      <c r="CT321" s="32"/>
      <c r="CU321" s="32"/>
      <c r="CV321" s="32"/>
      <c r="CW321" s="32"/>
      <c r="CX321" s="32"/>
      <c r="CY321" s="32"/>
      <c r="CZ321" s="32"/>
      <c r="DA321" s="32"/>
      <c r="DB321" s="32"/>
      <c r="DC321" s="32"/>
      <c r="DD321" s="32"/>
      <c r="DE321" s="32"/>
      <c r="DF321" s="32"/>
      <c r="DG321" s="32"/>
      <c r="DH321" s="32"/>
      <c r="DI321" s="32"/>
      <c r="DJ321" s="32"/>
      <c r="DK321" s="32"/>
      <c r="DL321" s="32"/>
      <c r="DM321" s="32"/>
      <c r="DN321" s="32"/>
      <c r="DO321" s="32"/>
      <c r="DP321" s="32"/>
      <c r="DQ321" s="32"/>
      <c r="DR321" s="32"/>
      <c r="DS321" s="32"/>
      <c r="DT321" s="32"/>
      <c r="DU321" s="32"/>
      <c r="DV321" s="32"/>
      <c r="DW321" s="32"/>
      <c r="DX321" s="32"/>
      <c r="DY321" s="32"/>
      <c r="DZ321" s="32"/>
      <c r="EA321" s="32"/>
      <c r="EB321" s="32"/>
      <c r="EC321" s="32"/>
      <c r="ED321" s="32"/>
      <c r="EE321" s="32"/>
      <c r="EF321" s="32"/>
      <c r="EG321" s="32"/>
      <c r="EH321" s="32"/>
      <c r="EI321" s="32"/>
      <c r="EJ321" s="32"/>
      <c r="EK321" s="32"/>
      <c r="EL321" s="32"/>
      <c r="EM321" s="32"/>
      <c r="EN321" s="32"/>
      <c r="EO321" s="32"/>
      <c r="EP321" s="32"/>
      <c r="EQ321" s="32"/>
      <c r="ER321" s="32"/>
      <c r="ES321" s="32"/>
      <c r="ET321" s="32"/>
      <c r="EU321" s="32"/>
      <c r="EV321" s="32"/>
      <c r="EW321" s="32"/>
      <c r="EX321" s="32"/>
      <c r="EY321" s="32"/>
      <c r="EZ321" s="32"/>
      <c r="FA321" s="32"/>
      <c r="FB321" s="32"/>
      <c r="FC321" s="32"/>
      <c r="FD321" s="32"/>
      <c r="FE321" s="32"/>
      <c r="FF321" s="32"/>
      <c r="FG321" s="32"/>
      <c r="FH321" s="32"/>
      <c r="FI321" s="32"/>
      <c r="FJ321" s="32"/>
      <c r="FK321" s="32"/>
      <c r="FL321" s="32"/>
      <c r="FM321" s="32"/>
      <c r="FN321" s="32"/>
      <c r="FO321" s="32"/>
      <c r="FP321" s="32"/>
      <c r="FQ321" s="32"/>
      <c r="FR321" s="32"/>
      <c r="FS321" s="32"/>
      <c r="FT321" s="32"/>
      <c r="FU321" s="32"/>
      <c r="FV321" s="32"/>
      <c r="FW321" s="32"/>
      <c r="FX321" s="32"/>
      <c r="FY321" s="32"/>
      <c r="FZ321" s="32"/>
      <c r="GA321" s="32"/>
      <c r="GB321" s="32"/>
      <c r="GC321" s="32"/>
      <c r="GD321" s="32"/>
      <c r="GE321" s="32"/>
      <c r="GF321" s="32"/>
      <c r="GG321" s="32"/>
      <c r="GH321" s="32"/>
      <c r="GI321" s="32"/>
      <c r="GJ321" s="32"/>
      <c r="GK321" s="32"/>
      <c r="GL321" s="32"/>
      <c r="GM321" s="32"/>
      <c r="GN321" s="32"/>
      <c r="GO321" s="32"/>
      <c r="GP321" s="32"/>
      <c r="GQ321" s="32"/>
      <c r="GR321" s="32"/>
      <c r="GS321" s="32"/>
      <c r="GT321" s="32"/>
      <c r="GU321" s="32"/>
      <c r="GV321" s="32"/>
      <c r="GW321" s="32"/>
      <c r="GX321" s="32"/>
      <c r="GY321" s="32"/>
      <c r="GZ321" s="32"/>
      <c r="HA321" s="32"/>
      <c r="HB321" s="32"/>
      <c r="HC321" s="32"/>
      <c r="HD321" s="32"/>
      <c r="HE321" s="32"/>
      <c r="HF321" s="32"/>
      <c r="HG321" s="32"/>
      <c r="HH321" s="32"/>
      <c r="HI321" s="32"/>
      <c r="HJ321" s="32"/>
      <c r="HK321" s="32"/>
      <c r="HL321" s="32"/>
      <c r="HM321" s="32"/>
      <c r="HN321" s="32"/>
      <c r="HO321" s="32"/>
      <c r="HP321" s="32"/>
    </row>
    <row r="322" spans="1:224" x14ac:dyDescent="0.25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/>
      <c r="BO322" s="32"/>
      <c r="BP322" s="32"/>
      <c r="BQ322" s="32"/>
      <c r="BR322" s="32"/>
      <c r="BS322" s="32"/>
      <c r="BT322" s="32"/>
      <c r="BU322" s="32"/>
      <c r="BV322" s="32"/>
      <c r="BW322" s="32"/>
      <c r="BX322" s="32"/>
      <c r="BY322" s="32"/>
      <c r="BZ322" s="32"/>
      <c r="CA322" s="32"/>
      <c r="CB322" s="32"/>
      <c r="CC322" s="32"/>
      <c r="CD322" s="32"/>
      <c r="CE322" s="32"/>
      <c r="CF322" s="32"/>
      <c r="CG322" s="32"/>
      <c r="CH322" s="32"/>
      <c r="CI322" s="32"/>
      <c r="CJ322" s="32"/>
      <c r="CK322" s="32"/>
      <c r="CL322" s="32"/>
      <c r="CM322" s="32"/>
      <c r="CN322" s="32"/>
      <c r="CO322" s="32"/>
      <c r="CP322" s="32"/>
      <c r="CQ322" s="32"/>
      <c r="CR322" s="32"/>
      <c r="CS322" s="32"/>
      <c r="CT322" s="32"/>
      <c r="CU322" s="32"/>
      <c r="CV322" s="32"/>
      <c r="CW322" s="32"/>
      <c r="CX322" s="32"/>
      <c r="CY322" s="32"/>
      <c r="CZ322" s="32"/>
      <c r="DA322" s="32"/>
      <c r="DB322" s="32"/>
      <c r="DC322" s="32"/>
      <c r="DD322" s="32"/>
      <c r="DE322" s="32"/>
      <c r="DF322" s="32"/>
      <c r="DG322" s="32"/>
      <c r="DH322" s="32"/>
      <c r="DI322" s="32"/>
      <c r="DJ322" s="32"/>
      <c r="DK322" s="32"/>
      <c r="DL322" s="32"/>
      <c r="DM322" s="32"/>
      <c r="DN322" s="32"/>
      <c r="DO322" s="32"/>
      <c r="DP322" s="32"/>
      <c r="DQ322" s="32"/>
      <c r="DR322" s="32"/>
      <c r="DS322" s="32"/>
      <c r="DT322" s="32"/>
      <c r="DU322" s="32"/>
      <c r="DV322" s="32"/>
      <c r="DW322" s="32"/>
      <c r="DX322" s="32"/>
      <c r="DY322" s="32"/>
      <c r="DZ322" s="32"/>
      <c r="EA322" s="32"/>
      <c r="EB322" s="32"/>
      <c r="EC322" s="32"/>
      <c r="ED322" s="32"/>
      <c r="EE322" s="32"/>
      <c r="EF322" s="32"/>
      <c r="EG322" s="32"/>
      <c r="EH322" s="32"/>
      <c r="EI322" s="32"/>
      <c r="EJ322" s="32"/>
      <c r="EK322" s="32"/>
      <c r="EL322" s="32"/>
      <c r="EM322" s="32"/>
      <c r="EN322" s="32"/>
      <c r="EO322" s="32"/>
      <c r="EP322" s="32"/>
      <c r="EQ322" s="32"/>
      <c r="ER322" s="32"/>
      <c r="ES322" s="32"/>
      <c r="ET322" s="32"/>
      <c r="EU322" s="32"/>
      <c r="EV322" s="32"/>
      <c r="EW322" s="32"/>
      <c r="EX322" s="32"/>
      <c r="EY322" s="32"/>
      <c r="EZ322" s="32"/>
      <c r="FA322" s="32"/>
      <c r="FB322" s="32"/>
      <c r="FC322" s="32"/>
      <c r="FD322" s="32"/>
      <c r="FE322" s="32"/>
      <c r="FF322" s="32"/>
      <c r="FG322" s="32"/>
      <c r="FH322" s="32"/>
      <c r="FI322" s="32"/>
      <c r="FJ322" s="32"/>
      <c r="FK322" s="32"/>
      <c r="FL322" s="32"/>
      <c r="FM322" s="32"/>
      <c r="FN322" s="32"/>
      <c r="FO322" s="32"/>
      <c r="FP322" s="32"/>
      <c r="FQ322" s="32"/>
      <c r="FR322" s="32"/>
      <c r="FS322" s="32"/>
      <c r="FT322" s="32"/>
      <c r="FU322" s="32"/>
      <c r="FV322" s="32"/>
      <c r="FW322" s="32"/>
      <c r="FX322" s="32"/>
      <c r="FY322" s="32"/>
      <c r="FZ322" s="32"/>
      <c r="GA322" s="32"/>
      <c r="GB322" s="32"/>
      <c r="GC322" s="32"/>
      <c r="GD322" s="32"/>
      <c r="GE322" s="32"/>
      <c r="GF322" s="32"/>
      <c r="GG322" s="32"/>
      <c r="GH322" s="32"/>
      <c r="GI322" s="32"/>
      <c r="GJ322" s="32"/>
      <c r="GK322" s="32"/>
      <c r="GL322" s="32"/>
      <c r="GM322" s="32"/>
      <c r="GN322" s="32"/>
      <c r="GO322" s="32"/>
      <c r="GP322" s="32"/>
      <c r="GQ322" s="32"/>
      <c r="GR322" s="32"/>
      <c r="GS322" s="32"/>
      <c r="GT322" s="32"/>
      <c r="GU322" s="32"/>
      <c r="GV322" s="32"/>
      <c r="GW322" s="32"/>
      <c r="GX322" s="32"/>
      <c r="GY322" s="32"/>
      <c r="GZ322" s="32"/>
      <c r="HA322" s="32"/>
      <c r="HB322" s="32"/>
      <c r="HC322" s="32"/>
      <c r="HD322" s="32"/>
      <c r="HE322" s="32"/>
      <c r="HF322" s="32"/>
      <c r="HG322" s="32"/>
      <c r="HH322" s="32"/>
      <c r="HI322" s="32"/>
      <c r="HJ322" s="32"/>
      <c r="HK322" s="32"/>
      <c r="HL322" s="32"/>
      <c r="HM322" s="32"/>
      <c r="HN322" s="32"/>
      <c r="HO322" s="32"/>
      <c r="HP322" s="32"/>
    </row>
    <row r="323" spans="1:224" x14ac:dyDescent="0.25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  <c r="BG323" s="32"/>
      <c r="BH323" s="32"/>
      <c r="BI323" s="32"/>
      <c r="BJ323" s="32"/>
      <c r="BK323" s="32"/>
      <c r="BL323" s="32"/>
      <c r="BM323" s="32"/>
      <c r="BN323" s="32"/>
      <c r="BO323" s="32"/>
      <c r="BP323" s="32"/>
      <c r="BQ323" s="32"/>
      <c r="BR323" s="32"/>
      <c r="BS323" s="32"/>
      <c r="BT323" s="32"/>
      <c r="BU323" s="32"/>
      <c r="BV323" s="32"/>
      <c r="BW323" s="32"/>
      <c r="BX323" s="32"/>
      <c r="BY323" s="32"/>
      <c r="BZ323" s="32"/>
      <c r="CA323" s="32"/>
      <c r="CB323" s="32"/>
      <c r="CC323" s="32"/>
      <c r="CD323" s="32"/>
      <c r="CE323" s="32"/>
      <c r="CF323" s="32"/>
      <c r="CG323" s="32"/>
      <c r="CH323" s="32"/>
      <c r="CI323" s="32"/>
      <c r="CJ323" s="32"/>
      <c r="CK323" s="32"/>
      <c r="CL323" s="32"/>
      <c r="CM323" s="32"/>
      <c r="CN323" s="32"/>
      <c r="CO323" s="32"/>
      <c r="CP323" s="32"/>
      <c r="CQ323" s="32"/>
      <c r="CR323" s="32"/>
      <c r="CS323" s="32"/>
      <c r="CT323" s="32"/>
      <c r="CU323" s="32"/>
      <c r="CV323" s="32"/>
      <c r="CW323" s="32"/>
      <c r="CX323" s="32"/>
      <c r="CY323" s="32"/>
      <c r="CZ323" s="32"/>
      <c r="DA323" s="32"/>
      <c r="DB323" s="32"/>
      <c r="DC323" s="32"/>
      <c r="DD323" s="32"/>
      <c r="DE323" s="32"/>
      <c r="DF323" s="32"/>
      <c r="DG323" s="32"/>
      <c r="DH323" s="32"/>
      <c r="DI323" s="32"/>
      <c r="DJ323" s="32"/>
      <c r="DK323" s="32"/>
      <c r="DL323" s="32"/>
      <c r="DM323" s="32"/>
      <c r="DN323" s="32"/>
      <c r="DO323" s="32"/>
      <c r="DP323" s="32"/>
      <c r="DQ323" s="32"/>
      <c r="DR323" s="32"/>
      <c r="DS323" s="32"/>
      <c r="DT323" s="32"/>
      <c r="DU323" s="32"/>
      <c r="DV323" s="32"/>
      <c r="DW323" s="32"/>
      <c r="DX323" s="32"/>
      <c r="DY323" s="32"/>
      <c r="DZ323" s="32"/>
      <c r="EA323" s="32"/>
      <c r="EB323" s="32"/>
      <c r="EC323" s="32"/>
      <c r="ED323" s="32"/>
      <c r="EE323" s="32"/>
      <c r="EF323" s="32"/>
      <c r="EG323" s="32"/>
      <c r="EH323" s="32"/>
      <c r="EI323" s="32"/>
      <c r="EJ323" s="32"/>
      <c r="EK323" s="32"/>
      <c r="EL323" s="32"/>
      <c r="EM323" s="32"/>
      <c r="EN323" s="32"/>
      <c r="EO323" s="32"/>
      <c r="EP323" s="32"/>
      <c r="EQ323" s="32"/>
      <c r="ER323" s="32"/>
      <c r="ES323" s="32"/>
      <c r="ET323" s="32"/>
      <c r="EU323" s="32"/>
      <c r="EV323" s="32"/>
      <c r="EW323" s="32"/>
      <c r="EX323" s="32"/>
      <c r="EY323" s="32"/>
      <c r="EZ323" s="32"/>
      <c r="FA323" s="32"/>
      <c r="FB323" s="32"/>
      <c r="FC323" s="32"/>
      <c r="FD323" s="32"/>
      <c r="FE323" s="32"/>
      <c r="FF323" s="32"/>
      <c r="FG323" s="32"/>
      <c r="FH323" s="32"/>
      <c r="FI323" s="32"/>
      <c r="FJ323" s="32"/>
      <c r="FK323" s="32"/>
      <c r="FL323" s="32"/>
      <c r="FM323" s="32"/>
      <c r="FN323" s="32"/>
      <c r="FO323" s="32"/>
      <c r="FP323" s="32"/>
      <c r="FQ323" s="32"/>
      <c r="FR323" s="32"/>
      <c r="FS323" s="32"/>
      <c r="FT323" s="32"/>
      <c r="FU323" s="32"/>
      <c r="FV323" s="32"/>
      <c r="FW323" s="32"/>
      <c r="FX323" s="32"/>
      <c r="FY323" s="32"/>
      <c r="FZ323" s="32"/>
      <c r="GA323" s="32"/>
      <c r="GB323" s="32"/>
      <c r="GC323" s="32"/>
      <c r="GD323" s="32"/>
      <c r="GE323" s="32"/>
      <c r="GF323" s="32"/>
      <c r="GG323" s="32"/>
      <c r="GH323" s="32"/>
      <c r="GI323" s="32"/>
      <c r="GJ323" s="32"/>
      <c r="GK323" s="32"/>
      <c r="GL323" s="32"/>
      <c r="GM323" s="32"/>
      <c r="GN323" s="32"/>
      <c r="GO323" s="32"/>
      <c r="GP323" s="32"/>
      <c r="GQ323" s="32"/>
      <c r="GR323" s="32"/>
      <c r="GS323" s="32"/>
      <c r="GT323" s="32"/>
      <c r="GU323" s="32"/>
      <c r="GV323" s="32"/>
      <c r="GW323" s="32"/>
      <c r="GX323" s="32"/>
      <c r="GY323" s="32"/>
      <c r="GZ323" s="32"/>
      <c r="HA323" s="32"/>
      <c r="HB323" s="32"/>
      <c r="HC323" s="32"/>
      <c r="HD323" s="32"/>
      <c r="HE323" s="32"/>
      <c r="HF323" s="32"/>
      <c r="HG323" s="32"/>
      <c r="HH323" s="32"/>
      <c r="HI323" s="32"/>
      <c r="HJ323" s="32"/>
      <c r="HK323" s="32"/>
      <c r="HL323" s="32"/>
      <c r="HM323" s="32"/>
      <c r="HN323" s="32"/>
      <c r="HO323" s="32"/>
      <c r="HP323" s="32"/>
    </row>
    <row r="324" spans="1:224" x14ac:dyDescent="0.25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  <c r="BP324" s="32"/>
      <c r="BQ324" s="32"/>
      <c r="BR324" s="32"/>
      <c r="BS324" s="32"/>
      <c r="BT324" s="32"/>
      <c r="BU324" s="32"/>
      <c r="BV324" s="32"/>
      <c r="BW324" s="32"/>
      <c r="BX324" s="32"/>
      <c r="BY324" s="32"/>
      <c r="BZ324" s="32"/>
      <c r="CA324" s="32"/>
      <c r="CB324" s="32"/>
      <c r="CC324" s="32"/>
      <c r="CD324" s="32"/>
      <c r="CE324" s="32"/>
      <c r="CF324" s="32"/>
      <c r="CG324" s="32"/>
      <c r="CH324" s="32"/>
      <c r="CI324" s="32"/>
      <c r="CJ324" s="32"/>
      <c r="CK324" s="32"/>
      <c r="CL324" s="32"/>
      <c r="CM324" s="32"/>
      <c r="CN324" s="32"/>
      <c r="CO324" s="32"/>
      <c r="CP324" s="32"/>
      <c r="CQ324" s="32"/>
      <c r="CR324" s="32"/>
      <c r="CS324" s="32"/>
      <c r="CT324" s="32"/>
      <c r="CU324" s="32"/>
      <c r="CV324" s="32"/>
      <c r="CW324" s="32"/>
      <c r="CX324" s="32"/>
      <c r="CY324" s="32"/>
      <c r="CZ324" s="32"/>
      <c r="DA324" s="32"/>
      <c r="DB324" s="32"/>
      <c r="DC324" s="32"/>
      <c r="DD324" s="32"/>
      <c r="DE324" s="32"/>
      <c r="DF324" s="32"/>
      <c r="DG324" s="32"/>
      <c r="DH324" s="32"/>
      <c r="DI324" s="32"/>
      <c r="DJ324" s="32"/>
      <c r="DK324" s="32"/>
      <c r="DL324" s="32"/>
      <c r="DM324" s="32"/>
      <c r="DN324" s="32"/>
      <c r="DO324" s="32"/>
      <c r="DP324" s="32"/>
      <c r="DQ324" s="32"/>
      <c r="DR324" s="32"/>
      <c r="DS324" s="32"/>
      <c r="DT324" s="32"/>
      <c r="DU324" s="32"/>
      <c r="DV324" s="32"/>
      <c r="DW324" s="32"/>
      <c r="DX324" s="32"/>
      <c r="DY324" s="32"/>
      <c r="DZ324" s="32"/>
      <c r="EA324" s="32"/>
      <c r="EB324" s="32"/>
      <c r="EC324" s="32"/>
      <c r="ED324" s="32"/>
      <c r="EE324" s="32"/>
      <c r="EF324" s="32"/>
      <c r="EG324" s="32"/>
      <c r="EH324" s="32"/>
      <c r="EI324" s="32"/>
      <c r="EJ324" s="32"/>
      <c r="EK324" s="32"/>
      <c r="EL324" s="32"/>
      <c r="EM324" s="32"/>
      <c r="EN324" s="32"/>
      <c r="EO324" s="32"/>
      <c r="EP324" s="32"/>
      <c r="EQ324" s="32"/>
      <c r="ER324" s="32"/>
      <c r="ES324" s="32"/>
      <c r="ET324" s="32"/>
      <c r="EU324" s="32"/>
      <c r="EV324" s="32"/>
      <c r="EW324" s="32"/>
      <c r="EX324" s="32"/>
      <c r="EY324" s="32"/>
      <c r="EZ324" s="32"/>
      <c r="FA324" s="32"/>
      <c r="FB324" s="32"/>
      <c r="FC324" s="32"/>
      <c r="FD324" s="32"/>
      <c r="FE324" s="32"/>
      <c r="FF324" s="32"/>
      <c r="FG324" s="32"/>
      <c r="FH324" s="32"/>
      <c r="FI324" s="32"/>
      <c r="FJ324" s="32"/>
      <c r="FK324" s="32"/>
      <c r="FL324" s="32"/>
      <c r="FM324" s="32"/>
      <c r="FN324" s="32"/>
      <c r="FO324" s="32"/>
      <c r="FP324" s="32"/>
      <c r="FQ324" s="32"/>
      <c r="FR324" s="32"/>
      <c r="FS324" s="32"/>
      <c r="FT324" s="32"/>
      <c r="FU324" s="32"/>
      <c r="FV324" s="32"/>
      <c r="FW324" s="32"/>
      <c r="FX324" s="32"/>
      <c r="FY324" s="32"/>
      <c r="FZ324" s="32"/>
      <c r="GA324" s="32"/>
      <c r="GB324" s="32"/>
      <c r="GC324" s="32"/>
      <c r="GD324" s="32"/>
      <c r="GE324" s="32"/>
      <c r="GF324" s="32"/>
      <c r="GG324" s="32"/>
      <c r="GH324" s="32"/>
      <c r="GI324" s="32"/>
      <c r="GJ324" s="32"/>
      <c r="GK324" s="32"/>
      <c r="GL324" s="32"/>
      <c r="GM324" s="32"/>
      <c r="GN324" s="32"/>
      <c r="GO324" s="32"/>
      <c r="GP324" s="32"/>
      <c r="GQ324" s="32"/>
      <c r="GR324" s="32"/>
      <c r="GS324" s="32"/>
      <c r="GT324" s="32"/>
      <c r="GU324" s="32"/>
      <c r="GV324" s="32"/>
      <c r="GW324" s="32"/>
      <c r="GX324" s="32"/>
      <c r="GY324" s="32"/>
      <c r="GZ324" s="32"/>
      <c r="HA324" s="32"/>
      <c r="HB324" s="32"/>
      <c r="HC324" s="32"/>
      <c r="HD324" s="32"/>
      <c r="HE324" s="32"/>
      <c r="HF324" s="32"/>
      <c r="HG324" s="32"/>
      <c r="HH324" s="32"/>
      <c r="HI324" s="32"/>
      <c r="HJ324" s="32"/>
      <c r="HK324" s="32"/>
      <c r="HL324" s="32"/>
      <c r="HM324" s="32"/>
      <c r="HN324" s="32"/>
      <c r="HO324" s="32"/>
      <c r="HP324" s="32"/>
    </row>
    <row r="325" spans="1:224" x14ac:dyDescent="0.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  <c r="BP325" s="32"/>
      <c r="BQ325" s="32"/>
      <c r="BR325" s="32"/>
      <c r="BS325" s="32"/>
      <c r="BT325" s="32"/>
      <c r="BU325" s="32"/>
      <c r="BV325" s="32"/>
      <c r="BW325" s="32"/>
      <c r="BX325" s="32"/>
      <c r="BY325" s="32"/>
      <c r="BZ325" s="32"/>
      <c r="CA325" s="32"/>
      <c r="CB325" s="32"/>
      <c r="CC325" s="32"/>
      <c r="CD325" s="32"/>
      <c r="CE325" s="32"/>
      <c r="CF325" s="32"/>
      <c r="CG325" s="32"/>
      <c r="CH325" s="32"/>
      <c r="CI325" s="32"/>
      <c r="CJ325" s="32"/>
      <c r="CK325" s="32"/>
      <c r="CL325" s="32"/>
      <c r="CM325" s="32"/>
      <c r="CN325" s="32"/>
      <c r="CO325" s="32"/>
      <c r="CP325" s="32"/>
      <c r="CQ325" s="32"/>
      <c r="CR325" s="32"/>
      <c r="CS325" s="32"/>
      <c r="CT325" s="32"/>
      <c r="CU325" s="32"/>
      <c r="CV325" s="32"/>
      <c r="CW325" s="32"/>
      <c r="CX325" s="32"/>
      <c r="CY325" s="32"/>
      <c r="CZ325" s="32"/>
      <c r="DA325" s="32"/>
      <c r="DB325" s="32"/>
      <c r="DC325" s="32"/>
      <c r="DD325" s="32"/>
      <c r="DE325" s="32"/>
      <c r="DF325" s="32"/>
      <c r="DG325" s="32"/>
      <c r="DH325" s="32"/>
      <c r="DI325" s="32"/>
      <c r="DJ325" s="32"/>
      <c r="DK325" s="32"/>
      <c r="DL325" s="32"/>
      <c r="DM325" s="32"/>
      <c r="DN325" s="32"/>
      <c r="DO325" s="32"/>
      <c r="DP325" s="32"/>
      <c r="DQ325" s="32"/>
      <c r="DR325" s="32"/>
      <c r="DS325" s="32"/>
      <c r="DT325" s="32"/>
      <c r="DU325" s="32"/>
      <c r="DV325" s="32"/>
      <c r="DW325" s="32"/>
      <c r="DX325" s="32"/>
      <c r="DY325" s="32"/>
      <c r="DZ325" s="32"/>
      <c r="EA325" s="32"/>
      <c r="EB325" s="32"/>
      <c r="EC325" s="32"/>
      <c r="ED325" s="32"/>
      <c r="EE325" s="32"/>
      <c r="EF325" s="32"/>
      <c r="EG325" s="32"/>
      <c r="EH325" s="32"/>
      <c r="EI325" s="32"/>
      <c r="EJ325" s="32"/>
      <c r="EK325" s="32"/>
      <c r="EL325" s="32"/>
      <c r="EM325" s="32"/>
      <c r="EN325" s="32"/>
      <c r="EO325" s="32"/>
      <c r="EP325" s="32"/>
      <c r="EQ325" s="32"/>
      <c r="ER325" s="32"/>
      <c r="ES325" s="32"/>
      <c r="ET325" s="32"/>
      <c r="EU325" s="32"/>
      <c r="EV325" s="32"/>
      <c r="EW325" s="32"/>
      <c r="EX325" s="32"/>
      <c r="EY325" s="32"/>
      <c r="EZ325" s="32"/>
      <c r="FA325" s="32"/>
      <c r="FB325" s="32"/>
      <c r="FC325" s="32"/>
      <c r="FD325" s="32"/>
      <c r="FE325" s="32"/>
      <c r="FF325" s="32"/>
      <c r="FG325" s="32"/>
      <c r="FH325" s="32"/>
      <c r="FI325" s="32"/>
      <c r="FJ325" s="32"/>
      <c r="FK325" s="32"/>
      <c r="FL325" s="32"/>
      <c r="FM325" s="32"/>
      <c r="FN325" s="32"/>
      <c r="FO325" s="32"/>
      <c r="FP325" s="32"/>
      <c r="FQ325" s="32"/>
      <c r="FR325" s="32"/>
      <c r="FS325" s="32"/>
      <c r="FT325" s="32"/>
      <c r="FU325" s="32"/>
      <c r="FV325" s="32"/>
      <c r="FW325" s="32"/>
      <c r="FX325" s="32"/>
      <c r="FY325" s="32"/>
      <c r="FZ325" s="32"/>
      <c r="GA325" s="32"/>
      <c r="GB325" s="32"/>
      <c r="GC325" s="32"/>
      <c r="GD325" s="32"/>
      <c r="GE325" s="32"/>
      <c r="GF325" s="32"/>
      <c r="GG325" s="32"/>
      <c r="GH325" s="32"/>
      <c r="GI325" s="32"/>
      <c r="GJ325" s="32"/>
      <c r="GK325" s="32"/>
      <c r="GL325" s="32"/>
      <c r="GM325" s="32"/>
      <c r="GN325" s="32"/>
      <c r="GO325" s="32"/>
      <c r="GP325" s="32"/>
      <c r="GQ325" s="32"/>
      <c r="GR325" s="32"/>
      <c r="GS325" s="32"/>
      <c r="GT325" s="32"/>
      <c r="GU325" s="32"/>
      <c r="GV325" s="32"/>
      <c r="GW325" s="32"/>
      <c r="GX325" s="32"/>
      <c r="GY325" s="32"/>
      <c r="GZ325" s="32"/>
      <c r="HA325" s="32"/>
      <c r="HB325" s="32"/>
      <c r="HC325" s="32"/>
      <c r="HD325" s="32"/>
      <c r="HE325" s="32"/>
      <c r="HF325" s="32"/>
      <c r="HG325" s="32"/>
      <c r="HH325" s="32"/>
      <c r="HI325" s="32"/>
      <c r="HJ325" s="32"/>
      <c r="HK325" s="32"/>
      <c r="HL325" s="32"/>
      <c r="HM325" s="32"/>
      <c r="HN325" s="32"/>
      <c r="HO325" s="32"/>
      <c r="HP325" s="32"/>
    </row>
    <row r="326" spans="1:224" x14ac:dyDescent="0.25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  <c r="BP326" s="32"/>
      <c r="BQ326" s="32"/>
      <c r="BR326" s="32"/>
      <c r="BS326" s="32"/>
      <c r="BT326" s="32"/>
      <c r="BU326" s="32"/>
      <c r="BV326" s="32"/>
      <c r="BW326" s="32"/>
      <c r="BX326" s="32"/>
      <c r="BY326" s="32"/>
      <c r="BZ326" s="32"/>
      <c r="CA326" s="32"/>
      <c r="CB326" s="32"/>
      <c r="CC326" s="32"/>
      <c r="CD326" s="32"/>
      <c r="CE326" s="32"/>
      <c r="CF326" s="32"/>
      <c r="CG326" s="32"/>
      <c r="CH326" s="32"/>
      <c r="CI326" s="32"/>
      <c r="CJ326" s="32"/>
      <c r="CK326" s="32"/>
      <c r="CL326" s="32"/>
      <c r="CM326" s="32"/>
      <c r="CN326" s="32"/>
      <c r="CO326" s="32"/>
      <c r="CP326" s="32"/>
      <c r="CQ326" s="32"/>
      <c r="CR326" s="32"/>
      <c r="CS326" s="32"/>
      <c r="CT326" s="32"/>
      <c r="CU326" s="32"/>
      <c r="CV326" s="32"/>
      <c r="CW326" s="32"/>
      <c r="CX326" s="32"/>
      <c r="CY326" s="32"/>
      <c r="CZ326" s="32"/>
      <c r="DA326" s="32"/>
      <c r="DB326" s="32"/>
      <c r="DC326" s="32"/>
      <c r="DD326" s="32"/>
      <c r="DE326" s="32"/>
      <c r="DF326" s="32"/>
      <c r="DG326" s="32"/>
      <c r="DH326" s="32"/>
      <c r="DI326" s="32"/>
      <c r="DJ326" s="32"/>
      <c r="DK326" s="32"/>
      <c r="DL326" s="32"/>
      <c r="DM326" s="32"/>
      <c r="DN326" s="32"/>
      <c r="DO326" s="32"/>
      <c r="DP326" s="32"/>
      <c r="DQ326" s="32"/>
      <c r="DR326" s="32"/>
      <c r="DS326" s="32"/>
      <c r="DT326" s="32"/>
      <c r="DU326" s="32"/>
      <c r="DV326" s="32"/>
      <c r="DW326" s="32"/>
      <c r="DX326" s="32"/>
      <c r="DY326" s="32"/>
      <c r="DZ326" s="32"/>
      <c r="EA326" s="32"/>
      <c r="EB326" s="32"/>
      <c r="EC326" s="32"/>
      <c r="ED326" s="32"/>
      <c r="EE326" s="32"/>
      <c r="EF326" s="32"/>
      <c r="EG326" s="32"/>
      <c r="EH326" s="32"/>
      <c r="EI326" s="32"/>
      <c r="EJ326" s="32"/>
      <c r="EK326" s="32"/>
      <c r="EL326" s="32"/>
      <c r="EM326" s="32"/>
      <c r="EN326" s="32"/>
      <c r="EO326" s="32"/>
      <c r="EP326" s="32"/>
      <c r="EQ326" s="32"/>
      <c r="ER326" s="32"/>
      <c r="ES326" s="32"/>
      <c r="ET326" s="32"/>
      <c r="EU326" s="32"/>
      <c r="EV326" s="32"/>
      <c r="EW326" s="32"/>
      <c r="EX326" s="32"/>
      <c r="EY326" s="32"/>
      <c r="EZ326" s="32"/>
      <c r="FA326" s="32"/>
      <c r="FB326" s="32"/>
      <c r="FC326" s="32"/>
      <c r="FD326" s="32"/>
      <c r="FE326" s="32"/>
      <c r="FF326" s="32"/>
      <c r="FG326" s="32"/>
      <c r="FH326" s="32"/>
      <c r="FI326" s="32"/>
      <c r="FJ326" s="32"/>
      <c r="FK326" s="32"/>
      <c r="FL326" s="32"/>
      <c r="FM326" s="32"/>
      <c r="FN326" s="32"/>
      <c r="FO326" s="32"/>
      <c r="FP326" s="32"/>
      <c r="FQ326" s="32"/>
      <c r="FR326" s="32"/>
      <c r="FS326" s="32"/>
      <c r="FT326" s="32"/>
      <c r="FU326" s="32"/>
      <c r="FV326" s="32"/>
      <c r="FW326" s="32"/>
      <c r="FX326" s="32"/>
      <c r="FY326" s="32"/>
      <c r="FZ326" s="32"/>
      <c r="GA326" s="32"/>
      <c r="GB326" s="32"/>
      <c r="GC326" s="32"/>
      <c r="GD326" s="32"/>
      <c r="GE326" s="32"/>
      <c r="GF326" s="32"/>
      <c r="GG326" s="32"/>
      <c r="GH326" s="32"/>
      <c r="GI326" s="32"/>
      <c r="GJ326" s="32"/>
      <c r="GK326" s="32"/>
      <c r="GL326" s="32"/>
      <c r="GM326" s="32"/>
      <c r="GN326" s="32"/>
      <c r="GO326" s="32"/>
      <c r="GP326" s="32"/>
      <c r="GQ326" s="32"/>
      <c r="GR326" s="32"/>
      <c r="GS326" s="32"/>
      <c r="GT326" s="32"/>
      <c r="GU326" s="32"/>
      <c r="GV326" s="32"/>
      <c r="GW326" s="32"/>
      <c r="GX326" s="32"/>
      <c r="GY326" s="32"/>
      <c r="GZ326" s="32"/>
      <c r="HA326" s="32"/>
      <c r="HB326" s="32"/>
      <c r="HC326" s="32"/>
      <c r="HD326" s="32"/>
      <c r="HE326" s="32"/>
      <c r="HF326" s="32"/>
      <c r="HG326" s="32"/>
      <c r="HH326" s="32"/>
      <c r="HI326" s="32"/>
      <c r="HJ326" s="32"/>
      <c r="HK326" s="32"/>
      <c r="HL326" s="32"/>
      <c r="HM326" s="32"/>
      <c r="HN326" s="32"/>
      <c r="HO326" s="32"/>
      <c r="HP326" s="32"/>
    </row>
    <row r="327" spans="1:224" x14ac:dyDescent="0.25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  <c r="BN327" s="32"/>
      <c r="BO327" s="32"/>
      <c r="BP327" s="32"/>
      <c r="BQ327" s="32"/>
      <c r="BR327" s="32"/>
      <c r="BS327" s="32"/>
      <c r="BT327" s="32"/>
      <c r="BU327" s="32"/>
      <c r="BV327" s="32"/>
      <c r="BW327" s="32"/>
      <c r="BX327" s="32"/>
      <c r="BY327" s="32"/>
      <c r="BZ327" s="32"/>
      <c r="CA327" s="32"/>
      <c r="CB327" s="32"/>
      <c r="CC327" s="32"/>
      <c r="CD327" s="32"/>
      <c r="CE327" s="32"/>
      <c r="CF327" s="32"/>
      <c r="CG327" s="32"/>
      <c r="CH327" s="32"/>
      <c r="CI327" s="32"/>
      <c r="CJ327" s="32"/>
      <c r="CK327" s="32"/>
      <c r="CL327" s="32"/>
      <c r="CM327" s="32"/>
      <c r="CN327" s="32"/>
      <c r="CO327" s="32"/>
      <c r="CP327" s="32"/>
      <c r="CQ327" s="32"/>
      <c r="CR327" s="32"/>
      <c r="CS327" s="32"/>
      <c r="CT327" s="32"/>
      <c r="CU327" s="32"/>
      <c r="CV327" s="32"/>
      <c r="CW327" s="32"/>
      <c r="CX327" s="32"/>
      <c r="CY327" s="32"/>
      <c r="CZ327" s="32"/>
      <c r="DA327" s="32"/>
      <c r="DB327" s="32"/>
      <c r="DC327" s="32"/>
      <c r="DD327" s="32"/>
      <c r="DE327" s="32"/>
      <c r="DF327" s="32"/>
      <c r="DG327" s="32"/>
      <c r="DH327" s="32"/>
      <c r="DI327" s="32"/>
      <c r="DJ327" s="32"/>
      <c r="DK327" s="32"/>
      <c r="DL327" s="32"/>
      <c r="DM327" s="32"/>
      <c r="DN327" s="32"/>
      <c r="DO327" s="32"/>
      <c r="DP327" s="32"/>
      <c r="DQ327" s="32"/>
      <c r="DR327" s="32"/>
      <c r="DS327" s="32"/>
      <c r="DT327" s="32"/>
      <c r="DU327" s="32"/>
      <c r="DV327" s="32"/>
      <c r="DW327" s="32"/>
      <c r="DX327" s="32"/>
      <c r="DY327" s="32"/>
      <c r="DZ327" s="32"/>
      <c r="EA327" s="32"/>
      <c r="EB327" s="32"/>
      <c r="EC327" s="32"/>
      <c r="ED327" s="32"/>
      <c r="EE327" s="32"/>
      <c r="EF327" s="32"/>
      <c r="EG327" s="32"/>
      <c r="EH327" s="32"/>
      <c r="EI327" s="32"/>
      <c r="EJ327" s="32"/>
      <c r="EK327" s="32"/>
      <c r="EL327" s="32"/>
      <c r="EM327" s="32"/>
      <c r="EN327" s="32"/>
      <c r="EO327" s="32"/>
      <c r="EP327" s="32"/>
      <c r="EQ327" s="32"/>
      <c r="ER327" s="32"/>
      <c r="ES327" s="32"/>
      <c r="ET327" s="32"/>
      <c r="EU327" s="32"/>
      <c r="EV327" s="32"/>
      <c r="EW327" s="32"/>
      <c r="EX327" s="32"/>
      <c r="EY327" s="32"/>
      <c r="EZ327" s="32"/>
      <c r="FA327" s="32"/>
      <c r="FB327" s="32"/>
      <c r="FC327" s="32"/>
      <c r="FD327" s="32"/>
      <c r="FE327" s="32"/>
      <c r="FF327" s="32"/>
      <c r="FG327" s="32"/>
      <c r="FH327" s="32"/>
      <c r="FI327" s="32"/>
      <c r="FJ327" s="32"/>
      <c r="FK327" s="32"/>
      <c r="FL327" s="32"/>
      <c r="FM327" s="32"/>
      <c r="FN327" s="32"/>
      <c r="FO327" s="32"/>
      <c r="FP327" s="32"/>
      <c r="FQ327" s="32"/>
      <c r="FR327" s="32"/>
      <c r="FS327" s="32"/>
      <c r="FT327" s="32"/>
      <c r="FU327" s="32"/>
      <c r="FV327" s="32"/>
      <c r="FW327" s="32"/>
      <c r="FX327" s="32"/>
      <c r="FY327" s="32"/>
      <c r="FZ327" s="32"/>
      <c r="GA327" s="32"/>
      <c r="GB327" s="32"/>
      <c r="GC327" s="32"/>
      <c r="GD327" s="32"/>
      <c r="GE327" s="32"/>
      <c r="GF327" s="32"/>
      <c r="GG327" s="32"/>
      <c r="GH327" s="32"/>
      <c r="GI327" s="32"/>
      <c r="GJ327" s="32"/>
      <c r="GK327" s="32"/>
      <c r="GL327" s="32"/>
      <c r="GM327" s="32"/>
      <c r="GN327" s="32"/>
      <c r="GO327" s="32"/>
      <c r="GP327" s="32"/>
      <c r="GQ327" s="32"/>
      <c r="GR327" s="32"/>
      <c r="GS327" s="32"/>
      <c r="GT327" s="32"/>
      <c r="GU327" s="32"/>
      <c r="GV327" s="32"/>
      <c r="GW327" s="32"/>
      <c r="GX327" s="32"/>
      <c r="GY327" s="32"/>
      <c r="GZ327" s="32"/>
      <c r="HA327" s="32"/>
      <c r="HB327" s="32"/>
      <c r="HC327" s="32"/>
      <c r="HD327" s="32"/>
      <c r="HE327" s="32"/>
      <c r="HF327" s="32"/>
      <c r="HG327" s="32"/>
      <c r="HH327" s="32"/>
      <c r="HI327" s="32"/>
      <c r="HJ327" s="32"/>
      <c r="HK327" s="32"/>
      <c r="HL327" s="32"/>
      <c r="HM327" s="32"/>
      <c r="HN327" s="32"/>
      <c r="HO327" s="32"/>
      <c r="HP327" s="32"/>
    </row>
    <row r="328" spans="1:224" x14ac:dyDescent="0.25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  <c r="BP328" s="32"/>
      <c r="BQ328" s="32"/>
      <c r="BR328" s="32"/>
      <c r="BS328" s="32"/>
      <c r="BT328" s="32"/>
      <c r="BU328" s="32"/>
      <c r="BV328" s="32"/>
      <c r="BW328" s="32"/>
      <c r="BX328" s="32"/>
      <c r="BY328" s="32"/>
      <c r="BZ328" s="32"/>
      <c r="CA328" s="32"/>
      <c r="CB328" s="32"/>
      <c r="CC328" s="32"/>
      <c r="CD328" s="32"/>
      <c r="CE328" s="32"/>
      <c r="CF328" s="32"/>
      <c r="CG328" s="32"/>
      <c r="CH328" s="32"/>
      <c r="CI328" s="32"/>
      <c r="CJ328" s="32"/>
      <c r="CK328" s="32"/>
      <c r="CL328" s="32"/>
      <c r="CM328" s="32"/>
      <c r="CN328" s="32"/>
      <c r="CO328" s="32"/>
      <c r="CP328" s="32"/>
      <c r="CQ328" s="32"/>
      <c r="CR328" s="32"/>
      <c r="CS328" s="32"/>
      <c r="CT328" s="32"/>
      <c r="CU328" s="32"/>
      <c r="CV328" s="32"/>
      <c r="CW328" s="32"/>
      <c r="CX328" s="32"/>
      <c r="CY328" s="32"/>
      <c r="CZ328" s="32"/>
      <c r="DA328" s="32"/>
      <c r="DB328" s="32"/>
      <c r="DC328" s="32"/>
      <c r="DD328" s="32"/>
      <c r="DE328" s="32"/>
      <c r="DF328" s="32"/>
      <c r="DG328" s="32"/>
      <c r="DH328" s="32"/>
      <c r="DI328" s="32"/>
      <c r="DJ328" s="32"/>
      <c r="DK328" s="32"/>
      <c r="DL328" s="32"/>
      <c r="DM328" s="32"/>
      <c r="DN328" s="32"/>
      <c r="DO328" s="32"/>
      <c r="DP328" s="32"/>
      <c r="DQ328" s="32"/>
      <c r="DR328" s="32"/>
      <c r="DS328" s="32"/>
      <c r="DT328" s="32"/>
      <c r="DU328" s="32"/>
      <c r="DV328" s="32"/>
      <c r="DW328" s="32"/>
      <c r="DX328" s="32"/>
      <c r="DY328" s="32"/>
      <c r="DZ328" s="32"/>
      <c r="EA328" s="32"/>
      <c r="EB328" s="32"/>
      <c r="EC328" s="32"/>
      <c r="ED328" s="32"/>
      <c r="EE328" s="32"/>
      <c r="EF328" s="32"/>
      <c r="EG328" s="32"/>
      <c r="EH328" s="32"/>
      <c r="EI328" s="32"/>
      <c r="EJ328" s="32"/>
      <c r="EK328" s="32"/>
      <c r="EL328" s="32"/>
      <c r="EM328" s="32"/>
      <c r="EN328" s="32"/>
      <c r="EO328" s="32"/>
      <c r="EP328" s="32"/>
      <c r="EQ328" s="32"/>
      <c r="ER328" s="32"/>
      <c r="ES328" s="32"/>
      <c r="ET328" s="32"/>
      <c r="EU328" s="32"/>
      <c r="EV328" s="32"/>
      <c r="EW328" s="32"/>
      <c r="EX328" s="32"/>
      <c r="EY328" s="32"/>
      <c r="EZ328" s="32"/>
      <c r="FA328" s="32"/>
      <c r="FB328" s="32"/>
      <c r="FC328" s="32"/>
      <c r="FD328" s="32"/>
      <c r="FE328" s="32"/>
      <c r="FF328" s="32"/>
      <c r="FG328" s="32"/>
      <c r="FH328" s="32"/>
      <c r="FI328" s="32"/>
      <c r="FJ328" s="32"/>
      <c r="FK328" s="32"/>
      <c r="FL328" s="32"/>
      <c r="FM328" s="32"/>
      <c r="FN328" s="32"/>
      <c r="FO328" s="32"/>
      <c r="FP328" s="32"/>
      <c r="FQ328" s="32"/>
      <c r="FR328" s="32"/>
      <c r="FS328" s="32"/>
      <c r="FT328" s="32"/>
      <c r="FU328" s="32"/>
      <c r="FV328" s="32"/>
      <c r="FW328" s="32"/>
      <c r="FX328" s="32"/>
      <c r="FY328" s="32"/>
      <c r="FZ328" s="32"/>
      <c r="GA328" s="32"/>
      <c r="GB328" s="32"/>
      <c r="GC328" s="32"/>
      <c r="GD328" s="32"/>
      <c r="GE328" s="32"/>
      <c r="GF328" s="32"/>
      <c r="GG328" s="32"/>
      <c r="GH328" s="32"/>
      <c r="GI328" s="32"/>
      <c r="GJ328" s="32"/>
      <c r="GK328" s="32"/>
      <c r="GL328" s="32"/>
      <c r="GM328" s="32"/>
      <c r="GN328" s="32"/>
      <c r="GO328" s="32"/>
      <c r="GP328" s="32"/>
      <c r="GQ328" s="32"/>
      <c r="GR328" s="32"/>
      <c r="GS328" s="32"/>
      <c r="GT328" s="32"/>
      <c r="GU328" s="32"/>
      <c r="GV328" s="32"/>
      <c r="GW328" s="32"/>
      <c r="GX328" s="32"/>
      <c r="GY328" s="32"/>
      <c r="GZ328" s="32"/>
      <c r="HA328" s="32"/>
      <c r="HB328" s="32"/>
      <c r="HC328" s="32"/>
      <c r="HD328" s="32"/>
      <c r="HE328" s="32"/>
      <c r="HF328" s="32"/>
      <c r="HG328" s="32"/>
      <c r="HH328" s="32"/>
      <c r="HI328" s="32"/>
      <c r="HJ328" s="32"/>
      <c r="HK328" s="32"/>
      <c r="HL328" s="32"/>
      <c r="HM328" s="32"/>
      <c r="HN328" s="32"/>
      <c r="HO328" s="32"/>
      <c r="HP328" s="32"/>
    </row>
    <row r="329" spans="1:224" x14ac:dyDescent="0.25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  <c r="BN329" s="32"/>
      <c r="BO329" s="32"/>
      <c r="BP329" s="32"/>
      <c r="BQ329" s="32"/>
      <c r="BR329" s="32"/>
      <c r="BS329" s="32"/>
      <c r="BT329" s="32"/>
      <c r="BU329" s="32"/>
      <c r="BV329" s="32"/>
      <c r="BW329" s="32"/>
      <c r="BX329" s="32"/>
      <c r="BY329" s="32"/>
      <c r="BZ329" s="32"/>
      <c r="CA329" s="32"/>
      <c r="CB329" s="32"/>
      <c r="CC329" s="32"/>
      <c r="CD329" s="32"/>
      <c r="CE329" s="32"/>
      <c r="CF329" s="32"/>
      <c r="CG329" s="32"/>
      <c r="CH329" s="32"/>
      <c r="CI329" s="32"/>
      <c r="CJ329" s="32"/>
      <c r="CK329" s="32"/>
      <c r="CL329" s="32"/>
      <c r="CM329" s="32"/>
      <c r="CN329" s="32"/>
      <c r="CO329" s="32"/>
      <c r="CP329" s="32"/>
      <c r="CQ329" s="32"/>
      <c r="CR329" s="32"/>
      <c r="CS329" s="32"/>
      <c r="CT329" s="32"/>
      <c r="CU329" s="32"/>
      <c r="CV329" s="32"/>
      <c r="CW329" s="32"/>
      <c r="CX329" s="32"/>
      <c r="CY329" s="32"/>
      <c r="CZ329" s="32"/>
      <c r="DA329" s="32"/>
      <c r="DB329" s="32"/>
      <c r="DC329" s="32"/>
      <c r="DD329" s="32"/>
      <c r="DE329" s="32"/>
      <c r="DF329" s="32"/>
      <c r="DG329" s="32"/>
      <c r="DH329" s="32"/>
      <c r="DI329" s="32"/>
      <c r="DJ329" s="32"/>
      <c r="DK329" s="32"/>
      <c r="DL329" s="32"/>
      <c r="DM329" s="32"/>
      <c r="DN329" s="32"/>
      <c r="DO329" s="32"/>
      <c r="DP329" s="32"/>
      <c r="DQ329" s="32"/>
      <c r="DR329" s="32"/>
      <c r="DS329" s="32"/>
      <c r="DT329" s="32"/>
      <c r="DU329" s="32"/>
      <c r="DV329" s="32"/>
      <c r="DW329" s="32"/>
      <c r="DX329" s="32"/>
      <c r="DY329" s="32"/>
      <c r="DZ329" s="32"/>
      <c r="EA329" s="32"/>
      <c r="EB329" s="32"/>
      <c r="EC329" s="32"/>
      <c r="ED329" s="32"/>
      <c r="EE329" s="32"/>
      <c r="EF329" s="32"/>
      <c r="EG329" s="32"/>
      <c r="EH329" s="32"/>
      <c r="EI329" s="32"/>
      <c r="EJ329" s="32"/>
      <c r="EK329" s="32"/>
      <c r="EL329" s="32"/>
      <c r="EM329" s="32"/>
      <c r="EN329" s="32"/>
      <c r="EO329" s="32"/>
      <c r="EP329" s="32"/>
      <c r="EQ329" s="32"/>
      <c r="ER329" s="32"/>
      <c r="ES329" s="32"/>
      <c r="ET329" s="32"/>
      <c r="EU329" s="32"/>
      <c r="EV329" s="32"/>
      <c r="EW329" s="32"/>
      <c r="EX329" s="32"/>
      <c r="EY329" s="32"/>
      <c r="EZ329" s="32"/>
      <c r="FA329" s="32"/>
      <c r="FB329" s="32"/>
      <c r="FC329" s="32"/>
      <c r="FD329" s="32"/>
      <c r="FE329" s="32"/>
      <c r="FF329" s="32"/>
      <c r="FG329" s="32"/>
      <c r="FH329" s="32"/>
      <c r="FI329" s="32"/>
      <c r="FJ329" s="32"/>
      <c r="FK329" s="32"/>
      <c r="FL329" s="32"/>
      <c r="FM329" s="32"/>
      <c r="FN329" s="32"/>
      <c r="FO329" s="32"/>
      <c r="FP329" s="32"/>
      <c r="FQ329" s="32"/>
      <c r="FR329" s="32"/>
      <c r="FS329" s="32"/>
      <c r="FT329" s="32"/>
      <c r="FU329" s="32"/>
      <c r="FV329" s="32"/>
      <c r="FW329" s="32"/>
      <c r="FX329" s="32"/>
      <c r="FY329" s="32"/>
      <c r="FZ329" s="32"/>
      <c r="GA329" s="32"/>
      <c r="GB329" s="32"/>
      <c r="GC329" s="32"/>
      <c r="GD329" s="32"/>
      <c r="GE329" s="32"/>
      <c r="GF329" s="32"/>
      <c r="GG329" s="32"/>
      <c r="GH329" s="32"/>
      <c r="GI329" s="32"/>
      <c r="GJ329" s="32"/>
      <c r="GK329" s="32"/>
      <c r="GL329" s="32"/>
      <c r="GM329" s="32"/>
      <c r="GN329" s="32"/>
      <c r="GO329" s="32"/>
      <c r="GP329" s="32"/>
      <c r="GQ329" s="32"/>
      <c r="GR329" s="32"/>
      <c r="GS329" s="32"/>
      <c r="GT329" s="32"/>
      <c r="GU329" s="32"/>
      <c r="GV329" s="32"/>
      <c r="GW329" s="32"/>
      <c r="GX329" s="32"/>
      <c r="GY329" s="32"/>
      <c r="GZ329" s="32"/>
      <c r="HA329" s="32"/>
      <c r="HB329" s="32"/>
      <c r="HC329" s="32"/>
      <c r="HD329" s="32"/>
      <c r="HE329" s="32"/>
      <c r="HF329" s="32"/>
      <c r="HG329" s="32"/>
      <c r="HH329" s="32"/>
      <c r="HI329" s="32"/>
      <c r="HJ329" s="32"/>
      <c r="HK329" s="32"/>
      <c r="HL329" s="32"/>
      <c r="HM329" s="32"/>
      <c r="HN329" s="32"/>
      <c r="HO329" s="32"/>
      <c r="HP329" s="32"/>
    </row>
    <row r="330" spans="1:224" x14ac:dyDescent="0.25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  <c r="BN330" s="32"/>
      <c r="BO330" s="32"/>
      <c r="BP330" s="32"/>
      <c r="BQ330" s="32"/>
      <c r="BR330" s="32"/>
      <c r="BS330" s="32"/>
      <c r="BT330" s="32"/>
      <c r="BU330" s="32"/>
      <c r="BV330" s="32"/>
      <c r="BW330" s="32"/>
      <c r="BX330" s="32"/>
      <c r="BY330" s="32"/>
      <c r="BZ330" s="32"/>
      <c r="CA330" s="32"/>
      <c r="CB330" s="32"/>
      <c r="CC330" s="32"/>
      <c r="CD330" s="32"/>
      <c r="CE330" s="32"/>
      <c r="CF330" s="32"/>
      <c r="CG330" s="32"/>
      <c r="CH330" s="32"/>
      <c r="CI330" s="32"/>
      <c r="CJ330" s="32"/>
      <c r="CK330" s="32"/>
      <c r="CL330" s="32"/>
      <c r="CM330" s="32"/>
      <c r="CN330" s="32"/>
      <c r="CO330" s="32"/>
      <c r="CP330" s="32"/>
      <c r="CQ330" s="32"/>
      <c r="CR330" s="32"/>
      <c r="CS330" s="32"/>
      <c r="CT330" s="32"/>
      <c r="CU330" s="32"/>
      <c r="CV330" s="32"/>
      <c r="CW330" s="32"/>
      <c r="CX330" s="32"/>
      <c r="CY330" s="32"/>
      <c r="CZ330" s="32"/>
      <c r="DA330" s="32"/>
      <c r="DB330" s="32"/>
      <c r="DC330" s="32"/>
      <c r="DD330" s="32"/>
      <c r="DE330" s="32"/>
      <c r="DF330" s="32"/>
      <c r="DG330" s="32"/>
      <c r="DH330" s="32"/>
      <c r="DI330" s="32"/>
      <c r="DJ330" s="32"/>
      <c r="DK330" s="32"/>
      <c r="DL330" s="32"/>
      <c r="DM330" s="32"/>
      <c r="DN330" s="32"/>
      <c r="DO330" s="32"/>
      <c r="DP330" s="32"/>
      <c r="DQ330" s="32"/>
      <c r="DR330" s="32"/>
      <c r="DS330" s="32"/>
      <c r="DT330" s="32"/>
      <c r="DU330" s="32"/>
      <c r="DV330" s="32"/>
      <c r="DW330" s="32"/>
      <c r="DX330" s="32"/>
      <c r="DY330" s="32"/>
      <c r="DZ330" s="32"/>
      <c r="EA330" s="32"/>
      <c r="EB330" s="32"/>
      <c r="EC330" s="32"/>
      <c r="ED330" s="32"/>
      <c r="EE330" s="32"/>
      <c r="EF330" s="32"/>
      <c r="EG330" s="32"/>
      <c r="EH330" s="32"/>
      <c r="EI330" s="32"/>
      <c r="EJ330" s="32"/>
      <c r="EK330" s="32"/>
      <c r="EL330" s="32"/>
      <c r="EM330" s="32"/>
      <c r="EN330" s="32"/>
      <c r="EO330" s="32"/>
      <c r="EP330" s="32"/>
      <c r="EQ330" s="32"/>
      <c r="ER330" s="32"/>
      <c r="ES330" s="32"/>
      <c r="ET330" s="32"/>
      <c r="EU330" s="32"/>
      <c r="EV330" s="32"/>
      <c r="EW330" s="32"/>
      <c r="EX330" s="32"/>
      <c r="EY330" s="32"/>
      <c r="EZ330" s="32"/>
      <c r="FA330" s="32"/>
      <c r="FB330" s="32"/>
      <c r="FC330" s="32"/>
      <c r="FD330" s="32"/>
      <c r="FE330" s="32"/>
      <c r="FF330" s="32"/>
      <c r="FG330" s="32"/>
      <c r="FH330" s="32"/>
      <c r="FI330" s="32"/>
      <c r="FJ330" s="32"/>
      <c r="FK330" s="32"/>
      <c r="FL330" s="32"/>
      <c r="FM330" s="32"/>
      <c r="FN330" s="32"/>
      <c r="FO330" s="32"/>
      <c r="FP330" s="32"/>
      <c r="FQ330" s="32"/>
      <c r="FR330" s="32"/>
      <c r="FS330" s="32"/>
      <c r="FT330" s="32"/>
      <c r="FU330" s="32"/>
      <c r="FV330" s="32"/>
      <c r="FW330" s="32"/>
      <c r="FX330" s="32"/>
      <c r="FY330" s="32"/>
      <c r="FZ330" s="32"/>
      <c r="GA330" s="32"/>
      <c r="GB330" s="32"/>
      <c r="GC330" s="32"/>
      <c r="GD330" s="32"/>
      <c r="GE330" s="32"/>
      <c r="GF330" s="32"/>
      <c r="GG330" s="32"/>
      <c r="GH330" s="32"/>
      <c r="GI330" s="32"/>
      <c r="GJ330" s="32"/>
      <c r="GK330" s="32"/>
      <c r="GL330" s="32"/>
      <c r="GM330" s="32"/>
      <c r="GN330" s="32"/>
      <c r="GO330" s="32"/>
      <c r="GP330" s="32"/>
      <c r="GQ330" s="32"/>
      <c r="GR330" s="32"/>
      <c r="GS330" s="32"/>
      <c r="GT330" s="32"/>
      <c r="GU330" s="32"/>
      <c r="GV330" s="32"/>
      <c r="GW330" s="32"/>
      <c r="GX330" s="32"/>
      <c r="GY330" s="32"/>
      <c r="GZ330" s="32"/>
      <c r="HA330" s="32"/>
      <c r="HB330" s="32"/>
      <c r="HC330" s="32"/>
      <c r="HD330" s="32"/>
      <c r="HE330" s="32"/>
      <c r="HF330" s="32"/>
      <c r="HG330" s="32"/>
      <c r="HH330" s="32"/>
      <c r="HI330" s="32"/>
      <c r="HJ330" s="32"/>
      <c r="HK330" s="32"/>
      <c r="HL330" s="32"/>
      <c r="HM330" s="32"/>
      <c r="HN330" s="32"/>
      <c r="HO330" s="32"/>
      <c r="HP330" s="32"/>
    </row>
    <row r="331" spans="1:224" x14ac:dyDescent="0.25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  <c r="BN331" s="32"/>
      <c r="BO331" s="32"/>
      <c r="BP331" s="32"/>
      <c r="BQ331" s="32"/>
      <c r="BR331" s="32"/>
      <c r="BS331" s="32"/>
      <c r="BT331" s="32"/>
      <c r="BU331" s="32"/>
      <c r="BV331" s="32"/>
      <c r="BW331" s="32"/>
      <c r="BX331" s="32"/>
      <c r="BY331" s="32"/>
      <c r="BZ331" s="32"/>
      <c r="CA331" s="32"/>
      <c r="CB331" s="32"/>
      <c r="CC331" s="32"/>
      <c r="CD331" s="32"/>
      <c r="CE331" s="32"/>
      <c r="CF331" s="32"/>
      <c r="CG331" s="32"/>
      <c r="CH331" s="32"/>
      <c r="CI331" s="32"/>
      <c r="CJ331" s="32"/>
      <c r="CK331" s="32"/>
      <c r="CL331" s="32"/>
      <c r="CM331" s="32"/>
      <c r="CN331" s="32"/>
      <c r="CO331" s="32"/>
      <c r="CP331" s="32"/>
      <c r="CQ331" s="32"/>
      <c r="CR331" s="32"/>
      <c r="CS331" s="32"/>
      <c r="CT331" s="32"/>
      <c r="CU331" s="32"/>
      <c r="CV331" s="32"/>
      <c r="CW331" s="32"/>
      <c r="CX331" s="32"/>
      <c r="CY331" s="32"/>
      <c r="CZ331" s="32"/>
      <c r="DA331" s="32"/>
      <c r="DB331" s="32"/>
      <c r="DC331" s="32"/>
      <c r="DD331" s="32"/>
      <c r="DE331" s="32"/>
      <c r="DF331" s="32"/>
      <c r="DG331" s="32"/>
      <c r="DH331" s="32"/>
      <c r="DI331" s="32"/>
      <c r="DJ331" s="32"/>
      <c r="DK331" s="32"/>
      <c r="DL331" s="32"/>
      <c r="DM331" s="32"/>
      <c r="DN331" s="32"/>
      <c r="DO331" s="32"/>
      <c r="DP331" s="32"/>
      <c r="DQ331" s="32"/>
      <c r="DR331" s="32"/>
      <c r="DS331" s="32"/>
      <c r="DT331" s="32"/>
      <c r="DU331" s="32"/>
      <c r="DV331" s="32"/>
      <c r="DW331" s="32"/>
      <c r="DX331" s="32"/>
      <c r="DY331" s="32"/>
      <c r="DZ331" s="32"/>
      <c r="EA331" s="32"/>
      <c r="EB331" s="32"/>
      <c r="EC331" s="32"/>
      <c r="ED331" s="32"/>
      <c r="EE331" s="32"/>
      <c r="EF331" s="32"/>
      <c r="EG331" s="32"/>
      <c r="EH331" s="32"/>
      <c r="EI331" s="32"/>
      <c r="EJ331" s="32"/>
      <c r="EK331" s="32"/>
      <c r="EL331" s="32"/>
      <c r="EM331" s="32"/>
      <c r="EN331" s="32"/>
      <c r="EO331" s="32"/>
      <c r="EP331" s="32"/>
      <c r="EQ331" s="32"/>
      <c r="ER331" s="32"/>
      <c r="ES331" s="32"/>
      <c r="ET331" s="32"/>
      <c r="EU331" s="32"/>
      <c r="EV331" s="32"/>
      <c r="EW331" s="32"/>
      <c r="EX331" s="32"/>
      <c r="EY331" s="32"/>
      <c r="EZ331" s="32"/>
      <c r="FA331" s="32"/>
      <c r="FB331" s="32"/>
      <c r="FC331" s="32"/>
      <c r="FD331" s="32"/>
      <c r="FE331" s="32"/>
      <c r="FF331" s="32"/>
      <c r="FG331" s="32"/>
      <c r="FH331" s="32"/>
      <c r="FI331" s="32"/>
      <c r="FJ331" s="32"/>
      <c r="FK331" s="32"/>
      <c r="FL331" s="32"/>
      <c r="FM331" s="32"/>
      <c r="FN331" s="32"/>
      <c r="FO331" s="32"/>
      <c r="FP331" s="32"/>
      <c r="FQ331" s="32"/>
      <c r="FR331" s="32"/>
      <c r="FS331" s="32"/>
      <c r="FT331" s="32"/>
      <c r="FU331" s="32"/>
      <c r="FV331" s="32"/>
      <c r="FW331" s="32"/>
      <c r="FX331" s="32"/>
      <c r="FY331" s="32"/>
      <c r="FZ331" s="32"/>
      <c r="GA331" s="32"/>
      <c r="GB331" s="32"/>
      <c r="GC331" s="32"/>
      <c r="GD331" s="32"/>
      <c r="GE331" s="32"/>
      <c r="GF331" s="32"/>
      <c r="GG331" s="32"/>
      <c r="GH331" s="32"/>
      <c r="GI331" s="32"/>
      <c r="GJ331" s="32"/>
      <c r="GK331" s="32"/>
      <c r="GL331" s="32"/>
      <c r="GM331" s="32"/>
      <c r="GN331" s="32"/>
      <c r="GO331" s="32"/>
      <c r="GP331" s="32"/>
      <c r="GQ331" s="32"/>
      <c r="GR331" s="32"/>
      <c r="GS331" s="32"/>
      <c r="GT331" s="32"/>
      <c r="GU331" s="32"/>
      <c r="GV331" s="32"/>
      <c r="GW331" s="32"/>
      <c r="GX331" s="32"/>
      <c r="GY331" s="32"/>
      <c r="GZ331" s="32"/>
      <c r="HA331" s="32"/>
      <c r="HB331" s="32"/>
      <c r="HC331" s="32"/>
      <c r="HD331" s="32"/>
      <c r="HE331" s="32"/>
      <c r="HF331" s="32"/>
      <c r="HG331" s="32"/>
      <c r="HH331" s="32"/>
      <c r="HI331" s="32"/>
      <c r="HJ331" s="32"/>
      <c r="HK331" s="32"/>
      <c r="HL331" s="32"/>
      <c r="HM331" s="32"/>
      <c r="HN331" s="32"/>
      <c r="HO331" s="32"/>
      <c r="HP331" s="32"/>
    </row>
    <row r="332" spans="1:224" x14ac:dyDescent="0.25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  <c r="BG332" s="32"/>
      <c r="BH332" s="32"/>
      <c r="BI332" s="32"/>
      <c r="BJ332" s="32"/>
      <c r="BK332" s="32"/>
      <c r="BL332" s="32"/>
      <c r="BM332" s="32"/>
      <c r="BN332" s="32"/>
      <c r="BO332" s="32"/>
      <c r="BP332" s="32"/>
      <c r="BQ332" s="32"/>
      <c r="BR332" s="32"/>
      <c r="BS332" s="32"/>
      <c r="BT332" s="32"/>
      <c r="BU332" s="32"/>
      <c r="BV332" s="32"/>
      <c r="BW332" s="32"/>
      <c r="BX332" s="32"/>
      <c r="BY332" s="32"/>
      <c r="BZ332" s="32"/>
      <c r="CA332" s="32"/>
      <c r="CB332" s="32"/>
      <c r="CC332" s="32"/>
      <c r="CD332" s="32"/>
      <c r="CE332" s="32"/>
      <c r="CF332" s="32"/>
      <c r="CG332" s="32"/>
      <c r="CH332" s="32"/>
      <c r="CI332" s="32"/>
      <c r="CJ332" s="32"/>
      <c r="CK332" s="32"/>
      <c r="CL332" s="32"/>
      <c r="CM332" s="32"/>
      <c r="CN332" s="32"/>
      <c r="CO332" s="32"/>
      <c r="CP332" s="32"/>
      <c r="CQ332" s="32"/>
      <c r="CR332" s="32"/>
      <c r="CS332" s="32"/>
      <c r="CT332" s="32"/>
      <c r="CU332" s="32"/>
      <c r="CV332" s="32"/>
      <c r="CW332" s="32"/>
      <c r="CX332" s="32"/>
      <c r="CY332" s="32"/>
      <c r="CZ332" s="32"/>
      <c r="DA332" s="32"/>
      <c r="DB332" s="32"/>
      <c r="DC332" s="32"/>
      <c r="DD332" s="32"/>
      <c r="DE332" s="32"/>
      <c r="DF332" s="32"/>
      <c r="DG332" s="32"/>
      <c r="DH332" s="32"/>
      <c r="DI332" s="32"/>
      <c r="DJ332" s="32"/>
      <c r="DK332" s="32"/>
      <c r="DL332" s="32"/>
      <c r="DM332" s="32"/>
      <c r="DN332" s="32"/>
      <c r="DO332" s="32"/>
      <c r="DP332" s="32"/>
      <c r="DQ332" s="32"/>
      <c r="DR332" s="32"/>
      <c r="DS332" s="32"/>
      <c r="DT332" s="32"/>
      <c r="DU332" s="32"/>
      <c r="DV332" s="32"/>
      <c r="DW332" s="32"/>
      <c r="DX332" s="32"/>
      <c r="DY332" s="32"/>
      <c r="DZ332" s="32"/>
      <c r="EA332" s="32"/>
      <c r="EB332" s="32"/>
      <c r="EC332" s="32"/>
      <c r="ED332" s="32"/>
      <c r="EE332" s="32"/>
      <c r="EF332" s="32"/>
      <c r="EG332" s="32"/>
      <c r="EH332" s="32"/>
      <c r="EI332" s="32"/>
      <c r="EJ332" s="32"/>
      <c r="EK332" s="32"/>
      <c r="EL332" s="32"/>
      <c r="EM332" s="32"/>
      <c r="EN332" s="32"/>
      <c r="EO332" s="32"/>
      <c r="EP332" s="32"/>
      <c r="EQ332" s="32"/>
      <c r="ER332" s="32"/>
      <c r="ES332" s="32"/>
      <c r="ET332" s="32"/>
      <c r="EU332" s="32"/>
      <c r="EV332" s="32"/>
      <c r="EW332" s="32"/>
      <c r="EX332" s="32"/>
      <c r="EY332" s="32"/>
      <c r="EZ332" s="32"/>
      <c r="FA332" s="32"/>
      <c r="FB332" s="32"/>
      <c r="FC332" s="32"/>
      <c r="FD332" s="32"/>
      <c r="FE332" s="32"/>
      <c r="FF332" s="32"/>
      <c r="FG332" s="32"/>
      <c r="FH332" s="32"/>
      <c r="FI332" s="32"/>
      <c r="FJ332" s="32"/>
      <c r="FK332" s="32"/>
      <c r="FL332" s="32"/>
      <c r="FM332" s="32"/>
      <c r="FN332" s="32"/>
      <c r="FO332" s="32"/>
      <c r="FP332" s="32"/>
      <c r="FQ332" s="32"/>
      <c r="FR332" s="32"/>
      <c r="FS332" s="32"/>
      <c r="FT332" s="32"/>
      <c r="FU332" s="32"/>
      <c r="FV332" s="32"/>
      <c r="FW332" s="32"/>
      <c r="FX332" s="32"/>
      <c r="FY332" s="32"/>
      <c r="FZ332" s="32"/>
      <c r="GA332" s="32"/>
      <c r="GB332" s="32"/>
      <c r="GC332" s="32"/>
      <c r="GD332" s="32"/>
      <c r="GE332" s="32"/>
      <c r="GF332" s="32"/>
      <c r="GG332" s="32"/>
      <c r="GH332" s="32"/>
      <c r="GI332" s="32"/>
      <c r="GJ332" s="32"/>
      <c r="GK332" s="32"/>
      <c r="GL332" s="32"/>
      <c r="GM332" s="32"/>
      <c r="GN332" s="32"/>
      <c r="GO332" s="32"/>
      <c r="GP332" s="32"/>
      <c r="GQ332" s="32"/>
      <c r="GR332" s="32"/>
      <c r="GS332" s="32"/>
      <c r="GT332" s="32"/>
      <c r="GU332" s="32"/>
      <c r="GV332" s="32"/>
      <c r="GW332" s="32"/>
      <c r="GX332" s="32"/>
      <c r="GY332" s="32"/>
      <c r="GZ332" s="32"/>
      <c r="HA332" s="32"/>
      <c r="HB332" s="32"/>
      <c r="HC332" s="32"/>
      <c r="HD332" s="32"/>
      <c r="HE332" s="32"/>
      <c r="HF332" s="32"/>
      <c r="HG332" s="32"/>
      <c r="HH332" s="32"/>
      <c r="HI332" s="32"/>
      <c r="HJ332" s="32"/>
      <c r="HK332" s="32"/>
      <c r="HL332" s="32"/>
      <c r="HM332" s="32"/>
      <c r="HN332" s="32"/>
      <c r="HO332" s="32"/>
      <c r="HP332" s="32"/>
    </row>
    <row r="333" spans="1:224" x14ac:dyDescent="0.25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  <c r="BN333" s="32"/>
      <c r="BO333" s="32"/>
      <c r="BP333" s="32"/>
      <c r="BQ333" s="32"/>
      <c r="BR333" s="32"/>
      <c r="BS333" s="32"/>
      <c r="BT333" s="32"/>
      <c r="BU333" s="32"/>
      <c r="BV333" s="32"/>
      <c r="BW333" s="32"/>
      <c r="BX333" s="32"/>
      <c r="BY333" s="32"/>
      <c r="BZ333" s="32"/>
      <c r="CA333" s="32"/>
      <c r="CB333" s="32"/>
      <c r="CC333" s="32"/>
      <c r="CD333" s="32"/>
      <c r="CE333" s="32"/>
      <c r="CF333" s="32"/>
      <c r="CG333" s="32"/>
      <c r="CH333" s="32"/>
      <c r="CI333" s="32"/>
      <c r="CJ333" s="32"/>
      <c r="CK333" s="32"/>
      <c r="CL333" s="32"/>
      <c r="CM333" s="32"/>
      <c r="CN333" s="32"/>
      <c r="CO333" s="32"/>
      <c r="CP333" s="32"/>
      <c r="CQ333" s="32"/>
      <c r="CR333" s="32"/>
      <c r="CS333" s="32"/>
      <c r="CT333" s="32"/>
      <c r="CU333" s="32"/>
      <c r="CV333" s="32"/>
      <c r="CW333" s="32"/>
      <c r="CX333" s="32"/>
      <c r="CY333" s="32"/>
      <c r="CZ333" s="32"/>
      <c r="DA333" s="32"/>
      <c r="DB333" s="32"/>
      <c r="DC333" s="32"/>
      <c r="DD333" s="32"/>
      <c r="DE333" s="32"/>
      <c r="DF333" s="32"/>
      <c r="DG333" s="32"/>
      <c r="DH333" s="32"/>
      <c r="DI333" s="32"/>
      <c r="DJ333" s="32"/>
      <c r="DK333" s="32"/>
      <c r="DL333" s="32"/>
      <c r="DM333" s="32"/>
      <c r="DN333" s="32"/>
      <c r="DO333" s="32"/>
      <c r="DP333" s="32"/>
      <c r="DQ333" s="32"/>
      <c r="DR333" s="32"/>
      <c r="DS333" s="32"/>
      <c r="DT333" s="32"/>
      <c r="DU333" s="32"/>
      <c r="DV333" s="32"/>
      <c r="DW333" s="32"/>
      <c r="DX333" s="32"/>
      <c r="DY333" s="32"/>
      <c r="DZ333" s="32"/>
      <c r="EA333" s="32"/>
      <c r="EB333" s="32"/>
      <c r="EC333" s="32"/>
      <c r="ED333" s="32"/>
      <c r="EE333" s="32"/>
      <c r="EF333" s="32"/>
      <c r="EG333" s="32"/>
      <c r="EH333" s="32"/>
      <c r="EI333" s="32"/>
      <c r="EJ333" s="32"/>
      <c r="EK333" s="32"/>
      <c r="EL333" s="32"/>
      <c r="EM333" s="32"/>
      <c r="EN333" s="32"/>
      <c r="EO333" s="32"/>
      <c r="EP333" s="32"/>
      <c r="EQ333" s="32"/>
      <c r="ER333" s="32"/>
      <c r="ES333" s="32"/>
      <c r="ET333" s="32"/>
      <c r="EU333" s="32"/>
      <c r="EV333" s="32"/>
      <c r="EW333" s="32"/>
      <c r="EX333" s="32"/>
      <c r="EY333" s="32"/>
      <c r="EZ333" s="32"/>
      <c r="FA333" s="32"/>
      <c r="FB333" s="32"/>
      <c r="FC333" s="32"/>
      <c r="FD333" s="32"/>
      <c r="FE333" s="32"/>
      <c r="FF333" s="32"/>
      <c r="FG333" s="32"/>
      <c r="FH333" s="32"/>
      <c r="FI333" s="32"/>
      <c r="FJ333" s="32"/>
      <c r="FK333" s="32"/>
      <c r="FL333" s="32"/>
      <c r="FM333" s="32"/>
      <c r="FN333" s="32"/>
      <c r="FO333" s="32"/>
      <c r="FP333" s="32"/>
      <c r="FQ333" s="32"/>
      <c r="FR333" s="32"/>
      <c r="FS333" s="32"/>
      <c r="FT333" s="32"/>
      <c r="FU333" s="32"/>
      <c r="FV333" s="32"/>
      <c r="FW333" s="32"/>
      <c r="FX333" s="32"/>
      <c r="FY333" s="32"/>
      <c r="FZ333" s="32"/>
      <c r="GA333" s="32"/>
      <c r="GB333" s="32"/>
      <c r="GC333" s="32"/>
      <c r="GD333" s="32"/>
      <c r="GE333" s="32"/>
      <c r="GF333" s="32"/>
      <c r="GG333" s="32"/>
      <c r="GH333" s="32"/>
      <c r="GI333" s="32"/>
      <c r="GJ333" s="32"/>
      <c r="GK333" s="32"/>
      <c r="GL333" s="32"/>
      <c r="GM333" s="32"/>
      <c r="GN333" s="32"/>
      <c r="GO333" s="32"/>
      <c r="GP333" s="32"/>
      <c r="GQ333" s="32"/>
      <c r="GR333" s="32"/>
      <c r="GS333" s="32"/>
      <c r="GT333" s="32"/>
      <c r="GU333" s="32"/>
      <c r="GV333" s="32"/>
      <c r="GW333" s="32"/>
      <c r="GX333" s="32"/>
      <c r="GY333" s="32"/>
      <c r="GZ333" s="32"/>
      <c r="HA333" s="32"/>
      <c r="HB333" s="32"/>
      <c r="HC333" s="32"/>
      <c r="HD333" s="32"/>
      <c r="HE333" s="32"/>
      <c r="HF333" s="32"/>
      <c r="HG333" s="32"/>
      <c r="HH333" s="32"/>
      <c r="HI333" s="32"/>
      <c r="HJ333" s="32"/>
      <c r="HK333" s="32"/>
      <c r="HL333" s="32"/>
      <c r="HM333" s="32"/>
      <c r="HN333" s="32"/>
      <c r="HO333" s="32"/>
      <c r="HP333" s="32"/>
    </row>
    <row r="334" spans="1:224" x14ac:dyDescent="0.25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  <c r="BP334" s="32"/>
      <c r="BQ334" s="32"/>
      <c r="BR334" s="32"/>
      <c r="BS334" s="32"/>
      <c r="BT334" s="32"/>
      <c r="BU334" s="32"/>
      <c r="BV334" s="32"/>
      <c r="BW334" s="32"/>
      <c r="BX334" s="32"/>
      <c r="BY334" s="32"/>
      <c r="BZ334" s="32"/>
      <c r="CA334" s="32"/>
      <c r="CB334" s="32"/>
      <c r="CC334" s="32"/>
      <c r="CD334" s="32"/>
      <c r="CE334" s="32"/>
      <c r="CF334" s="32"/>
      <c r="CG334" s="32"/>
      <c r="CH334" s="32"/>
      <c r="CI334" s="32"/>
      <c r="CJ334" s="32"/>
      <c r="CK334" s="32"/>
      <c r="CL334" s="32"/>
      <c r="CM334" s="32"/>
      <c r="CN334" s="32"/>
      <c r="CO334" s="32"/>
      <c r="CP334" s="32"/>
      <c r="CQ334" s="32"/>
      <c r="CR334" s="32"/>
      <c r="CS334" s="32"/>
      <c r="CT334" s="32"/>
      <c r="CU334" s="32"/>
      <c r="CV334" s="32"/>
      <c r="CW334" s="32"/>
      <c r="CX334" s="32"/>
      <c r="CY334" s="32"/>
      <c r="CZ334" s="32"/>
      <c r="DA334" s="32"/>
      <c r="DB334" s="32"/>
      <c r="DC334" s="32"/>
      <c r="DD334" s="32"/>
      <c r="DE334" s="32"/>
      <c r="DF334" s="32"/>
      <c r="DG334" s="32"/>
      <c r="DH334" s="32"/>
      <c r="DI334" s="32"/>
      <c r="DJ334" s="32"/>
      <c r="DK334" s="32"/>
      <c r="DL334" s="32"/>
      <c r="DM334" s="32"/>
      <c r="DN334" s="32"/>
      <c r="DO334" s="32"/>
      <c r="DP334" s="32"/>
      <c r="DQ334" s="32"/>
      <c r="DR334" s="32"/>
      <c r="DS334" s="32"/>
      <c r="DT334" s="32"/>
      <c r="DU334" s="32"/>
      <c r="DV334" s="32"/>
      <c r="DW334" s="32"/>
      <c r="DX334" s="32"/>
      <c r="DY334" s="32"/>
      <c r="DZ334" s="32"/>
      <c r="EA334" s="32"/>
      <c r="EB334" s="32"/>
      <c r="EC334" s="32"/>
      <c r="ED334" s="32"/>
      <c r="EE334" s="32"/>
      <c r="EF334" s="32"/>
      <c r="EG334" s="32"/>
      <c r="EH334" s="32"/>
      <c r="EI334" s="32"/>
      <c r="EJ334" s="32"/>
      <c r="EK334" s="32"/>
      <c r="EL334" s="32"/>
      <c r="EM334" s="32"/>
      <c r="EN334" s="32"/>
      <c r="EO334" s="32"/>
      <c r="EP334" s="32"/>
      <c r="EQ334" s="32"/>
      <c r="ER334" s="32"/>
      <c r="ES334" s="32"/>
      <c r="ET334" s="32"/>
      <c r="EU334" s="32"/>
      <c r="EV334" s="32"/>
      <c r="EW334" s="32"/>
      <c r="EX334" s="32"/>
      <c r="EY334" s="32"/>
      <c r="EZ334" s="32"/>
      <c r="FA334" s="32"/>
      <c r="FB334" s="32"/>
      <c r="FC334" s="32"/>
      <c r="FD334" s="32"/>
      <c r="FE334" s="32"/>
      <c r="FF334" s="32"/>
      <c r="FG334" s="32"/>
      <c r="FH334" s="32"/>
      <c r="FI334" s="32"/>
      <c r="FJ334" s="32"/>
      <c r="FK334" s="32"/>
      <c r="FL334" s="32"/>
      <c r="FM334" s="32"/>
      <c r="FN334" s="32"/>
      <c r="FO334" s="32"/>
      <c r="FP334" s="32"/>
      <c r="FQ334" s="32"/>
      <c r="FR334" s="32"/>
      <c r="FS334" s="32"/>
      <c r="FT334" s="32"/>
      <c r="FU334" s="32"/>
      <c r="FV334" s="32"/>
      <c r="FW334" s="32"/>
      <c r="FX334" s="32"/>
      <c r="FY334" s="32"/>
      <c r="FZ334" s="32"/>
      <c r="GA334" s="32"/>
      <c r="GB334" s="32"/>
      <c r="GC334" s="32"/>
      <c r="GD334" s="32"/>
      <c r="GE334" s="32"/>
      <c r="GF334" s="32"/>
      <c r="GG334" s="32"/>
      <c r="GH334" s="32"/>
      <c r="GI334" s="32"/>
      <c r="GJ334" s="32"/>
      <c r="GK334" s="32"/>
      <c r="GL334" s="32"/>
      <c r="GM334" s="32"/>
      <c r="GN334" s="32"/>
      <c r="GO334" s="32"/>
      <c r="GP334" s="32"/>
      <c r="GQ334" s="32"/>
      <c r="GR334" s="32"/>
      <c r="GS334" s="32"/>
      <c r="GT334" s="32"/>
      <c r="GU334" s="32"/>
      <c r="GV334" s="32"/>
      <c r="GW334" s="32"/>
      <c r="GX334" s="32"/>
      <c r="GY334" s="32"/>
      <c r="GZ334" s="32"/>
      <c r="HA334" s="32"/>
      <c r="HB334" s="32"/>
      <c r="HC334" s="32"/>
      <c r="HD334" s="32"/>
      <c r="HE334" s="32"/>
      <c r="HF334" s="32"/>
      <c r="HG334" s="32"/>
      <c r="HH334" s="32"/>
      <c r="HI334" s="32"/>
      <c r="HJ334" s="32"/>
      <c r="HK334" s="32"/>
      <c r="HL334" s="32"/>
      <c r="HM334" s="32"/>
      <c r="HN334" s="32"/>
      <c r="HO334" s="32"/>
      <c r="HP334" s="32"/>
    </row>
    <row r="335" spans="1:224" x14ac:dyDescent="0.2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  <c r="BN335" s="32"/>
      <c r="BO335" s="32"/>
      <c r="BP335" s="32"/>
      <c r="BQ335" s="32"/>
      <c r="BR335" s="32"/>
      <c r="BS335" s="32"/>
      <c r="BT335" s="32"/>
      <c r="BU335" s="32"/>
      <c r="BV335" s="32"/>
      <c r="BW335" s="32"/>
      <c r="BX335" s="32"/>
      <c r="BY335" s="32"/>
      <c r="BZ335" s="32"/>
      <c r="CA335" s="32"/>
      <c r="CB335" s="32"/>
      <c r="CC335" s="32"/>
      <c r="CD335" s="32"/>
      <c r="CE335" s="32"/>
      <c r="CF335" s="32"/>
      <c r="CG335" s="32"/>
      <c r="CH335" s="32"/>
      <c r="CI335" s="32"/>
      <c r="CJ335" s="32"/>
      <c r="CK335" s="32"/>
      <c r="CL335" s="32"/>
      <c r="CM335" s="32"/>
      <c r="CN335" s="32"/>
      <c r="CO335" s="32"/>
      <c r="CP335" s="32"/>
      <c r="CQ335" s="32"/>
      <c r="CR335" s="32"/>
      <c r="CS335" s="32"/>
      <c r="CT335" s="32"/>
      <c r="CU335" s="32"/>
      <c r="CV335" s="32"/>
      <c r="CW335" s="32"/>
      <c r="CX335" s="32"/>
      <c r="CY335" s="32"/>
      <c r="CZ335" s="32"/>
      <c r="DA335" s="32"/>
      <c r="DB335" s="32"/>
      <c r="DC335" s="32"/>
      <c r="DD335" s="32"/>
      <c r="DE335" s="32"/>
      <c r="DF335" s="32"/>
      <c r="DG335" s="32"/>
      <c r="DH335" s="32"/>
      <c r="DI335" s="32"/>
      <c r="DJ335" s="32"/>
      <c r="DK335" s="32"/>
      <c r="DL335" s="32"/>
      <c r="DM335" s="32"/>
      <c r="DN335" s="32"/>
      <c r="DO335" s="32"/>
      <c r="DP335" s="32"/>
      <c r="DQ335" s="32"/>
      <c r="DR335" s="32"/>
      <c r="DS335" s="32"/>
      <c r="DT335" s="32"/>
      <c r="DU335" s="32"/>
      <c r="DV335" s="32"/>
      <c r="DW335" s="32"/>
      <c r="DX335" s="32"/>
      <c r="DY335" s="32"/>
      <c r="DZ335" s="32"/>
      <c r="EA335" s="32"/>
      <c r="EB335" s="32"/>
      <c r="EC335" s="32"/>
      <c r="ED335" s="32"/>
      <c r="EE335" s="32"/>
      <c r="EF335" s="32"/>
      <c r="EG335" s="32"/>
      <c r="EH335" s="32"/>
      <c r="EI335" s="32"/>
      <c r="EJ335" s="32"/>
      <c r="EK335" s="32"/>
      <c r="EL335" s="32"/>
      <c r="EM335" s="32"/>
      <c r="EN335" s="32"/>
      <c r="EO335" s="32"/>
      <c r="EP335" s="32"/>
      <c r="EQ335" s="32"/>
      <c r="ER335" s="32"/>
      <c r="ES335" s="32"/>
      <c r="ET335" s="32"/>
      <c r="EU335" s="32"/>
      <c r="EV335" s="32"/>
      <c r="EW335" s="32"/>
      <c r="EX335" s="32"/>
      <c r="EY335" s="32"/>
      <c r="EZ335" s="32"/>
      <c r="FA335" s="32"/>
      <c r="FB335" s="32"/>
      <c r="FC335" s="32"/>
      <c r="FD335" s="32"/>
      <c r="FE335" s="32"/>
      <c r="FF335" s="32"/>
      <c r="FG335" s="32"/>
      <c r="FH335" s="32"/>
      <c r="FI335" s="32"/>
      <c r="FJ335" s="32"/>
      <c r="FK335" s="32"/>
      <c r="FL335" s="32"/>
      <c r="FM335" s="32"/>
      <c r="FN335" s="32"/>
      <c r="FO335" s="32"/>
      <c r="FP335" s="32"/>
      <c r="FQ335" s="32"/>
      <c r="FR335" s="32"/>
      <c r="FS335" s="32"/>
      <c r="FT335" s="32"/>
      <c r="FU335" s="32"/>
      <c r="FV335" s="32"/>
      <c r="FW335" s="32"/>
      <c r="FX335" s="32"/>
      <c r="FY335" s="32"/>
      <c r="FZ335" s="32"/>
      <c r="GA335" s="32"/>
      <c r="GB335" s="32"/>
      <c r="GC335" s="32"/>
      <c r="GD335" s="32"/>
      <c r="GE335" s="32"/>
      <c r="GF335" s="32"/>
      <c r="GG335" s="32"/>
      <c r="GH335" s="32"/>
      <c r="GI335" s="32"/>
      <c r="GJ335" s="32"/>
      <c r="GK335" s="32"/>
      <c r="GL335" s="32"/>
      <c r="GM335" s="32"/>
      <c r="GN335" s="32"/>
      <c r="GO335" s="32"/>
      <c r="GP335" s="32"/>
      <c r="GQ335" s="32"/>
      <c r="GR335" s="32"/>
      <c r="GS335" s="32"/>
      <c r="GT335" s="32"/>
      <c r="GU335" s="32"/>
      <c r="GV335" s="32"/>
      <c r="GW335" s="32"/>
      <c r="GX335" s="32"/>
      <c r="GY335" s="32"/>
      <c r="GZ335" s="32"/>
      <c r="HA335" s="32"/>
      <c r="HB335" s="32"/>
      <c r="HC335" s="32"/>
      <c r="HD335" s="32"/>
      <c r="HE335" s="32"/>
      <c r="HF335" s="32"/>
      <c r="HG335" s="32"/>
      <c r="HH335" s="32"/>
      <c r="HI335" s="32"/>
      <c r="HJ335" s="32"/>
      <c r="HK335" s="32"/>
      <c r="HL335" s="32"/>
      <c r="HM335" s="32"/>
      <c r="HN335" s="32"/>
      <c r="HO335" s="32"/>
      <c r="HP335" s="32"/>
    </row>
    <row r="336" spans="1:224" x14ac:dyDescent="0.25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  <c r="BN336" s="32"/>
      <c r="BO336" s="32"/>
      <c r="BP336" s="32"/>
      <c r="BQ336" s="32"/>
      <c r="BR336" s="32"/>
      <c r="BS336" s="32"/>
      <c r="BT336" s="32"/>
      <c r="BU336" s="32"/>
      <c r="BV336" s="32"/>
      <c r="BW336" s="32"/>
      <c r="BX336" s="32"/>
      <c r="BY336" s="32"/>
      <c r="BZ336" s="32"/>
      <c r="CA336" s="32"/>
      <c r="CB336" s="32"/>
      <c r="CC336" s="32"/>
      <c r="CD336" s="32"/>
      <c r="CE336" s="32"/>
      <c r="CF336" s="32"/>
      <c r="CG336" s="32"/>
      <c r="CH336" s="32"/>
      <c r="CI336" s="32"/>
      <c r="CJ336" s="32"/>
      <c r="CK336" s="32"/>
      <c r="CL336" s="32"/>
      <c r="CM336" s="32"/>
      <c r="CN336" s="32"/>
      <c r="CO336" s="32"/>
      <c r="CP336" s="32"/>
      <c r="CQ336" s="32"/>
      <c r="CR336" s="32"/>
      <c r="CS336" s="32"/>
      <c r="CT336" s="32"/>
      <c r="CU336" s="32"/>
      <c r="CV336" s="32"/>
      <c r="CW336" s="32"/>
      <c r="CX336" s="32"/>
      <c r="CY336" s="32"/>
      <c r="CZ336" s="32"/>
      <c r="DA336" s="32"/>
      <c r="DB336" s="32"/>
      <c r="DC336" s="32"/>
      <c r="DD336" s="32"/>
      <c r="DE336" s="32"/>
      <c r="DF336" s="32"/>
      <c r="DG336" s="32"/>
      <c r="DH336" s="32"/>
      <c r="DI336" s="32"/>
      <c r="DJ336" s="32"/>
      <c r="DK336" s="32"/>
      <c r="DL336" s="32"/>
      <c r="DM336" s="32"/>
      <c r="DN336" s="32"/>
      <c r="DO336" s="32"/>
      <c r="DP336" s="32"/>
      <c r="DQ336" s="32"/>
      <c r="DR336" s="32"/>
      <c r="DS336" s="32"/>
      <c r="DT336" s="32"/>
      <c r="DU336" s="32"/>
      <c r="DV336" s="32"/>
      <c r="DW336" s="32"/>
      <c r="DX336" s="32"/>
      <c r="DY336" s="32"/>
      <c r="DZ336" s="32"/>
      <c r="EA336" s="32"/>
      <c r="EB336" s="32"/>
      <c r="EC336" s="32"/>
      <c r="ED336" s="32"/>
      <c r="EE336" s="32"/>
      <c r="EF336" s="32"/>
      <c r="EG336" s="32"/>
      <c r="EH336" s="32"/>
      <c r="EI336" s="32"/>
      <c r="EJ336" s="32"/>
      <c r="EK336" s="32"/>
      <c r="EL336" s="32"/>
      <c r="EM336" s="32"/>
      <c r="EN336" s="32"/>
      <c r="EO336" s="32"/>
      <c r="EP336" s="32"/>
      <c r="EQ336" s="32"/>
      <c r="ER336" s="32"/>
      <c r="ES336" s="32"/>
      <c r="ET336" s="32"/>
      <c r="EU336" s="32"/>
      <c r="EV336" s="32"/>
      <c r="EW336" s="32"/>
      <c r="EX336" s="32"/>
      <c r="EY336" s="32"/>
      <c r="EZ336" s="32"/>
      <c r="FA336" s="32"/>
      <c r="FB336" s="32"/>
      <c r="FC336" s="32"/>
      <c r="FD336" s="32"/>
      <c r="FE336" s="32"/>
      <c r="FF336" s="32"/>
      <c r="FG336" s="32"/>
      <c r="FH336" s="32"/>
      <c r="FI336" s="32"/>
      <c r="FJ336" s="32"/>
      <c r="FK336" s="32"/>
      <c r="FL336" s="32"/>
      <c r="FM336" s="32"/>
      <c r="FN336" s="32"/>
      <c r="FO336" s="32"/>
      <c r="FP336" s="32"/>
      <c r="FQ336" s="32"/>
      <c r="FR336" s="32"/>
      <c r="FS336" s="32"/>
      <c r="FT336" s="32"/>
      <c r="FU336" s="32"/>
      <c r="FV336" s="32"/>
      <c r="FW336" s="32"/>
      <c r="FX336" s="32"/>
      <c r="FY336" s="32"/>
      <c r="FZ336" s="32"/>
      <c r="GA336" s="32"/>
      <c r="GB336" s="32"/>
      <c r="GC336" s="32"/>
      <c r="GD336" s="32"/>
      <c r="GE336" s="32"/>
      <c r="GF336" s="32"/>
      <c r="GG336" s="32"/>
      <c r="GH336" s="32"/>
      <c r="GI336" s="32"/>
      <c r="GJ336" s="32"/>
      <c r="GK336" s="32"/>
      <c r="GL336" s="32"/>
      <c r="GM336" s="32"/>
      <c r="GN336" s="32"/>
      <c r="GO336" s="32"/>
      <c r="GP336" s="32"/>
      <c r="GQ336" s="32"/>
      <c r="GR336" s="32"/>
      <c r="GS336" s="32"/>
      <c r="GT336" s="32"/>
      <c r="GU336" s="32"/>
      <c r="GV336" s="32"/>
      <c r="GW336" s="32"/>
      <c r="GX336" s="32"/>
      <c r="GY336" s="32"/>
      <c r="GZ336" s="32"/>
      <c r="HA336" s="32"/>
      <c r="HB336" s="32"/>
      <c r="HC336" s="32"/>
      <c r="HD336" s="32"/>
      <c r="HE336" s="32"/>
      <c r="HF336" s="32"/>
      <c r="HG336" s="32"/>
      <c r="HH336" s="32"/>
      <c r="HI336" s="32"/>
      <c r="HJ336" s="32"/>
      <c r="HK336" s="32"/>
      <c r="HL336" s="32"/>
      <c r="HM336" s="32"/>
      <c r="HN336" s="32"/>
      <c r="HO336" s="32"/>
      <c r="HP336" s="32"/>
    </row>
    <row r="337" spans="1:224" x14ac:dyDescent="0.25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  <c r="BG337" s="32"/>
      <c r="BH337" s="32"/>
      <c r="BI337" s="32"/>
      <c r="BJ337" s="32"/>
      <c r="BK337" s="32"/>
      <c r="BL337" s="32"/>
      <c r="BM337" s="32"/>
      <c r="BN337" s="32"/>
      <c r="BO337" s="32"/>
      <c r="BP337" s="32"/>
      <c r="BQ337" s="32"/>
      <c r="BR337" s="32"/>
      <c r="BS337" s="32"/>
      <c r="BT337" s="32"/>
      <c r="BU337" s="32"/>
      <c r="BV337" s="32"/>
      <c r="BW337" s="32"/>
      <c r="BX337" s="32"/>
      <c r="BY337" s="32"/>
      <c r="BZ337" s="32"/>
      <c r="CA337" s="32"/>
      <c r="CB337" s="32"/>
      <c r="CC337" s="32"/>
      <c r="CD337" s="32"/>
      <c r="CE337" s="32"/>
      <c r="CF337" s="32"/>
      <c r="CG337" s="32"/>
      <c r="CH337" s="32"/>
      <c r="CI337" s="32"/>
      <c r="CJ337" s="32"/>
      <c r="CK337" s="32"/>
      <c r="CL337" s="32"/>
      <c r="CM337" s="32"/>
      <c r="CN337" s="32"/>
      <c r="CO337" s="32"/>
      <c r="CP337" s="32"/>
      <c r="CQ337" s="32"/>
      <c r="CR337" s="32"/>
      <c r="CS337" s="32"/>
      <c r="CT337" s="32"/>
      <c r="CU337" s="32"/>
      <c r="CV337" s="32"/>
      <c r="CW337" s="32"/>
      <c r="CX337" s="32"/>
      <c r="CY337" s="32"/>
      <c r="CZ337" s="32"/>
      <c r="DA337" s="32"/>
      <c r="DB337" s="32"/>
      <c r="DC337" s="32"/>
      <c r="DD337" s="32"/>
      <c r="DE337" s="32"/>
      <c r="DF337" s="32"/>
      <c r="DG337" s="32"/>
      <c r="DH337" s="32"/>
      <c r="DI337" s="32"/>
      <c r="DJ337" s="32"/>
      <c r="DK337" s="32"/>
      <c r="DL337" s="32"/>
      <c r="DM337" s="32"/>
      <c r="DN337" s="32"/>
      <c r="DO337" s="32"/>
      <c r="DP337" s="32"/>
      <c r="DQ337" s="32"/>
      <c r="DR337" s="32"/>
      <c r="DS337" s="32"/>
      <c r="DT337" s="32"/>
      <c r="DU337" s="32"/>
      <c r="DV337" s="32"/>
      <c r="DW337" s="32"/>
      <c r="DX337" s="32"/>
      <c r="DY337" s="32"/>
      <c r="DZ337" s="32"/>
      <c r="EA337" s="32"/>
      <c r="EB337" s="32"/>
      <c r="EC337" s="32"/>
      <c r="ED337" s="32"/>
      <c r="EE337" s="32"/>
      <c r="EF337" s="32"/>
      <c r="EG337" s="32"/>
      <c r="EH337" s="32"/>
      <c r="EI337" s="32"/>
      <c r="EJ337" s="32"/>
      <c r="EK337" s="32"/>
      <c r="EL337" s="32"/>
      <c r="EM337" s="32"/>
      <c r="EN337" s="32"/>
      <c r="EO337" s="32"/>
      <c r="EP337" s="32"/>
      <c r="EQ337" s="32"/>
      <c r="ER337" s="32"/>
      <c r="ES337" s="32"/>
      <c r="ET337" s="32"/>
      <c r="EU337" s="32"/>
      <c r="EV337" s="32"/>
      <c r="EW337" s="32"/>
      <c r="EX337" s="32"/>
      <c r="EY337" s="32"/>
      <c r="EZ337" s="32"/>
      <c r="FA337" s="32"/>
      <c r="FB337" s="32"/>
      <c r="FC337" s="32"/>
      <c r="FD337" s="32"/>
      <c r="FE337" s="32"/>
      <c r="FF337" s="32"/>
      <c r="FG337" s="32"/>
      <c r="FH337" s="32"/>
      <c r="FI337" s="32"/>
      <c r="FJ337" s="32"/>
      <c r="FK337" s="32"/>
      <c r="FL337" s="32"/>
      <c r="FM337" s="32"/>
      <c r="FN337" s="32"/>
      <c r="FO337" s="32"/>
      <c r="FP337" s="32"/>
      <c r="FQ337" s="32"/>
      <c r="FR337" s="32"/>
      <c r="FS337" s="32"/>
      <c r="FT337" s="32"/>
      <c r="FU337" s="32"/>
      <c r="FV337" s="32"/>
      <c r="FW337" s="32"/>
      <c r="FX337" s="32"/>
      <c r="FY337" s="32"/>
      <c r="FZ337" s="32"/>
      <c r="GA337" s="32"/>
      <c r="GB337" s="32"/>
      <c r="GC337" s="32"/>
      <c r="GD337" s="32"/>
      <c r="GE337" s="32"/>
      <c r="GF337" s="32"/>
      <c r="GG337" s="32"/>
      <c r="GH337" s="32"/>
      <c r="GI337" s="32"/>
      <c r="GJ337" s="32"/>
      <c r="GK337" s="32"/>
      <c r="GL337" s="32"/>
      <c r="GM337" s="32"/>
      <c r="GN337" s="32"/>
      <c r="GO337" s="32"/>
      <c r="GP337" s="32"/>
      <c r="GQ337" s="32"/>
      <c r="GR337" s="32"/>
      <c r="GS337" s="32"/>
      <c r="GT337" s="32"/>
      <c r="GU337" s="32"/>
      <c r="GV337" s="32"/>
      <c r="GW337" s="32"/>
      <c r="GX337" s="32"/>
      <c r="GY337" s="32"/>
      <c r="GZ337" s="32"/>
      <c r="HA337" s="32"/>
      <c r="HB337" s="32"/>
      <c r="HC337" s="32"/>
      <c r="HD337" s="32"/>
      <c r="HE337" s="32"/>
      <c r="HF337" s="32"/>
      <c r="HG337" s="32"/>
      <c r="HH337" s="32"/>
      <c r="HI337" s="32"/>
      <c r="HJ337" s="32"/>
      <c r="HK337" s="32"/>
      <c r="HL337" s="32"/>
      <c r="HM337" s="32"/>
      <c r="HN337" s="32"/>
      <c r="HO337" s="32"/>
      <c r="HP337" s="32"/>
    </row>
    <row r="338" spans="1:224" x14ac:dyDescent="0.25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  <c r="BP338" s="32"/>
      <c r="BQ338" s="32"/>
      <c r="BR338" s="32"/>
      <c r="BS338" s="32"/>
      <c r="BT338" s="32"/>
      <c r="BU338" s="32"/>
      <c r="BV338" s="32"/>
      <c r="BW338" s="32"/>
      <c r="BX338" s="32"/>
      <c r="BY338" s="32"/>
      <c r="BZ338" s="32"/>
      <c r="CA338" s="32"/>
      <c r="CB338" s="32"/>
      <c r="CC338" s="32"/>
      <c r="CD338" s="32"/>
      <c r="CE338" s="32"/>
      <c r="CF338" s="32"/>
      <c r="CG338" s="32"/>
      <c r="CH338" s="32"/>
      <c r="CI338" s="32"/>
      <c r="CJ338" s="32"/>
      <c r="CK338" s="32"/>
      <c r="CL338" s="32"/>
      <c r="CM338" s="32"/>
      <c r="CN338" s="32"/>
      <c r="CO338" s="32"/>
      <c r="CP338" s="32"/>
      <c r="CQ338" s="32"/>
      <c r="CR338" s="32"/>
      <c r="CS338" s="32"/>
      <c r="CT338" s="32"/>
      <c r="CU338" s="32"/>
      <c r="CV338" s="32"/>
      <c r="CW338" s="32"/>
      <c r="CX338" s="32"/>
      <c r="CY338" s="32"/>
      <c r="CZ338" s="32"/>
      <c r="DA338" s="32"/>
      <c r="DB338" s="32"/>
      <c r="DC338" s="32"/>
      <c r="DD338" s="32"/>
      <c r="DE338" s="32"/>
      <c r="DF338" s="32"/>
      <c r="DG338" s="32"/>
      <c r="DH338" s="32"/>
      <c r="DI338" s="32"/>
      <c r="DJ338" s="32"/>
      <c r="DK338" s="32"/>
      <c r="DL338" s="32"/>
      <c r="DM338" s="32"/>
      <c r="DN338" s="32"/>
      <c r="DO338" s="32"/>
      <c r="DP338" s="32"/>
      <c r="DQ338" s="32"/>
      <c r="DR338" s="32"/>
      <c r="DS338" s="32"/>
      <c r="DT338" s="32"/>
      <c r="DU338" s="32"/>
      <c r="DV338" s="32"/>
      <c r="DW338" s="32"/>
      <c r="DX338" s="32"/>
      <c r="DY338" s="32"/>
      <c r="DZ338" s="32"/>
      <c r="EA338" s="32"/>
      <c r="EB338" s="32"/>
      <c r="EC338" s="32"/>
      <c r="ED338" s="32"/>
      <c r="EE338" s="32"/>
      <c r="EF338" s="32"/>
      <c r="EG338" s="32"/>
      <c r="EH338" s="32"/>
      <c r="EI338" s="32"/>
      <c r="EJ338" s="32"/>
      <c r="EK338" s="32"/>
      <c r="EL338" s="32"/>
      <c r="EM338" s="32"/>
      <c r="EN338" s="32"/>
      <c r="EO338" s="32"/>
      <c r="EP338" s="32"/>
      <c r="EQ338" s="32"/>
      <c r="ER338" s="32"/>
      <c r="ES338" s="32"/>
      <c r="ET338" s="32"/>
      <c r="EU338" s="32"/>
      <c r="EV338" s="32"/>
      <c r="EW338" s="32"/>
      <c r="EX338" s="32"/>
      <c r="EY338" s="32"/>
      <c r="EZ338" s="32"/>
      <c r="FA338" s="32"/>
      <c r="FB338" s="32"/>
      <c r="FC338" s="32"/>
      <c r="FD338" s="32"/>
      <c r="FE338" s="32"/>
      <c r="FF338" s="32"/>
      <c r="FG338" s="32"/>
      <c r="FH338" s="32"/>
      <c r="FI338" s="32"/>
      <c r="FJ338" s="32"/>
      <c r="FK338" s="32"/>
      <c r="FL338" s="32"/>
      <c r="FM338" s="32"/>
      <c r="FN338" s="32"/>
      <c r="FO338" s="32"/>
      <c r="FP338" s="32"/>
      <c r="FQ338" s="32"/>
      <c r="FR338" s="32"/>
      <c r="FS338" s="32"/>
      <c r="FT338" s="32"/>
      <c r="FU338" s="32"/>
      <c r="FV338" s="32"/>
      <c r="FW338" s="32"/>
      <c r="FX338" s="32"/>
      <c r="FY338" s="32"/>
      <c r="FZ338" s="32"/>
      <c r="GA338" s="32"/>
      <c r="GB338" s="32"/>
      <c r="GC338" s="32"/>
      <c r="GD338" s="32"/>
      <c r="GE338" s="32"/>
      <c r="GF338" s="32"/>
      <c r="GG338" s="32"/>
      <c r="GH338" s="32"/>
      <c r="GI338" s="32"/>
      <c r="GJ338" s="32"/>
      <c r="GK338" s="32"/>
      <c r="GL338" s="32"/>
      <c r="GM338" s="32"/>
      <c r="GN338" s="32"/>
      <c r="GO338" s="32"/>
      <c r="GP338" s="32"/>
      <c r="GQ338" s="32"/>
      <c r="GR338" s="32"/>
      <c r="GS338" s="32"/>
      <c r="GT338" s="32"/>
      <c r="GU338" s="32"/>
      <c r="GV338" s="32"/>
      <c r="GW338" s="32"/>
      <c r="GX338" s="32"/>
      <c r="GY338" s="32"/>
      <c r="GZ338" s="32"/>
      <c r="HA338" s="32"/>
      <c r="HB338" s="32"/>
      <c r="HC338" s="32"/>
      <c r="HD338" s="32"/>
      <c r="HE338" s="32"/>
      <c r="HF338" s="32"/>
      <c r="HG338" s="32"/>
      <c r="HH338" s="32"/>
      <c r="HI338" s="32"/>
      <c r="HJ338" s="32"/>
      <c r="HK338" s="32"/>
      <c r="HL338" s="32"/>
      <c r="HM338" s="32"/>
      <c r="HN338" s="32"/>
      <c r="HO338" s="32"/>
      <c r="HP338" s="32"/>
    </row>
    <row r="339" spans="1:224" x14ac:dyDescent="0.25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BH339" s="32"/>
      <c r="BI339" s="32"/>
      <c r="BJ339" s="32"/>
      <c r="BK339" s="32"/>
      <c r="BL339" s="32"/>
      <c r="BM339" s="32"/>
      <c r="BN339" s="32"/>
      <c r="BO339" s="32"/>
      <c r="BP339" s="32"/>
      <c r="BQ339" s="32"/>
      <c r="BR339" s="32"/>
      <c r="BS339" s="32"/>
      <c r="BT339" s="32"/>
      <c r="BU339" s="32"/>
      <c r="BV339" s="32"/>
      <c r="BW339" s="32"/>
      <c r="BX339" s="32"/>
      <c r="BY339" s="32"/>
      <c r="BZ339" s="32"/>
      <c r="CA339" s="32"/>
      <c r="CB339" s="32"/>
      <c r="CC339" s="32"/>
      <c r="CD339" s="32"/>
      <c r="CE339" s="32"/>
      <c r="CF339" s="32"/>
      <c r="CG339" s="32"/>
      <c r="CH339" s="32"/>
      <c r="CI339" s="32"/>
      <c r="CJ339" s="32"/>
      <c r="CK339" s="32"/>
      <c r="CL339" s="32"/>
      <c r="CM339" s="32"/>
      <c r="CN339" s="32"/>
      <c r="CO339" s="32"/>
      <c r="CP339" s="32"/>
      <c r="CQ339" s="32"/>
      <c r="CR339" s="32"/>
      <c r="CS339" s="32"/>
      <c r="CT339" s="32"/>
      <c r="CU339" s="32"/>
      <c r="CV339" s="32"/>
      <c r="CW339" s="32"/>
      <c r="CX339" s="32"/>
      <c r="CY339" s="32"/>
      <c r="CZ339" s="32"/>
      <c r="DA339" s="32"/>
      <c r="DB339" s="32"/>
      <c r="DC339" s="32"/>
      <c r="DD339" s="32"/>
      <c r="DE339" s="32"/>
      <c r="DF339" s="32"/>
      <c r="DG339" s="32"/>
      <c r="DH339" s="32"/>
      <c r="DI339" s="32"/>
      <c r="DJ339" s="32"/>
      <c r="DK339" s="32"/>
      <c r="DL339" s="32"/>
      <c r="DM339" s="32"/>
      <c r="DN339" s="32"/>
      <c r="DO339" s="32"/>
      <c r="DP339" s="32"/>
      <c r="DQ339" s="32"/>
      <c r="DR339" s="32"/>
      <c r="DS339" s="32"/>
      <c r="DT339" s="32"/>
      <c r="DU339" s="32"/>
      <c r="DV339" s="32"/>
      <c r="DW339" s="32"/>
      <c r="DX339" s="32"/>
      <c r="DY339" s="32"/>
      <c r="DZ339" s="32"/>
      <c r="EA339" s="32"/>
      <c r="EB339" s="32"/>
      <c r="EC339" s="32"/>
      <c r="ED339" s="32"/>
      <c r="EE339" s="32"/>
      <c r="EF339" s="32"/>
      <c r="EG339" s="32"/>
      <c r="EH339" s="32"/>
      <c r="EI339" s="32"/>
      <c r="EJ339" s="32"/>
      <c r="EK339" s="32"/>
      <c r="EL339" s="32"/>
      <c r="EM339" s="32"/>
      <c r="EN339" s="32"/>
      <c r="EO339" s="32"/>
      <c r="EP339" s="32"/>
      <c r="EQ339" s="32"/>
      <c r="ER339" s="32"/>
      <c r="ES339" s="32"/>
      <c r="ET339" s="32"/>
      <c r="EU339" s="32"/>
      <c r="EV339" s="32"/>
      <c r="EW339" s="32"/>
      <c r="EX339" s="32"/>
      <c r="EY339" s="32"/>
      <c r="EZ339" s="32"/>
      <c r="FA339" s="32"/>
      <c r="FB339" s="32"/>
      <c r="FC339" s="32"/>
      <c r="FD339" s="32"/>
      <c r="FE339" s="32"/>
      <c r="FF339" s="32"/>
      <c r="FG339" s="32"/>
      <c r="FH339" s="32"/>
      <c r="FI339" s="32"/>
      <c r="FJ339" s="32"/>
      <c r="FK339" s="32"/>
      <c r="FL339" s="32"/>
      <c r="FM339" s="32"/>
      <c r="FN339" s="32"/>
      <c r="FO339" s="32"/>
      <c r="FP339" s="32"/>
      <c r="FQ339" s="32"/>
      <c r="FR339" s="32"/>
      <c r="FS339" s="32"/>
      <c r="FT339" s="32"/>
      <c r="FU339" s="32"/>
      <c r="FV339" s="32"/>
      <c r="FW339" s="32"/>
      <c r="FX339" s="32"/>
      <c r="FY339" s="32"/>
      <c r="FZ339" s="32"/>
      <c r="GA339" s="32"/>
      <c r="GB339" s="32"/>
      <c r="GC339" s="32"/>
      <c r="GD339" s="32"/>
      <c r="GE339" s="32"/>
      <c r="GF339" s="32"/>
      <c r="GG339" s="32"/>
      <c r="GH339" s="32"/>
      <c r="GI339" s="32"/>
      <c r="GJ339" s="32"/>
      <c r="GK339" s="32"/>
      <c r="GL339" s="32"/>
      <c r="GM339" s="32"/>
      <c r="GN339" s="32"/>
      <c r="GO339" s="32"/>
      <c r="GP339" s="32"/>
      <c r="GQ339" s="32"/>
      <c r="GR339" s="32"/>
      <c r="GS339" s="32"/>
      <c r="GT339" s="32"/>
      <c r="GU339" s="32"/>
      <c r="GV339" s="32"/>
      <c r="GW339" s="32"/>
      <c r="GX339" s="32"/>
      <c r="GY339" s="32"/>
      <c r="GZ339" s="32"/>
      <c r="HA339" s="32"/>
      <c r="HB339" s="32"/>
      <c r="HC339" s="32"/>
      <c r="HD339" s="32"/>
      <c r="HE339" s="32"/>
      <c r="HF339" s="32"/>
      <c r="HG339" s="32"/>
      <c r="HH339" s="32"/>
      <c r="HI339" s="32"/>
      <c r="HJ339" s="32"/>
      <c r="HK339" s="32"/>
      <c r="HL339" s="32"/>
      <c r="HM339" s="32"/>
      <c r="HN339" s="32"/>
      <c r="HO339" s="32"/>
      <c r="HP339" s="32"/>
    </row>
    <row r="340" spans="1:224" x14ac:dyDescent="0.25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BH340" s="32"/>
      <c r="BI340" s="32"/>
      <c r="BJ340" s="32"/>
      <c r="BK340" s="32"/>
      <c r="BL340" s="32"/>
      <c r="BM340" s="32"/>
      <c r="BN340" s="32"/>
      <c r="BO340" s="32"/>
      <c r="BP340" s="32"/>
      <c r="BQ340" s="32"/>
      <c r="BR340" s="32"/>
      <c r="BS340" s="32"/>
      <c r="BT340" s="32"/>
      <c r="BU340" s="32"/>
      <c r="BV340" s="32"/>
      <c r="BW340" s="32"/>
      <c r="BX340" s="32"/>
      <c r="BY340" s="32"/>
      <c r="BZ340" s="32"/>
      <c r="CA340" s="32"/>
      <c r="CB340" s="32"/>
      <c r="CC340" s="32"/>
      <c r="CD340" s="32"/>
      <c r="CE340" s="32"/>
      <c r="CF340" s="32"/>
      <c r="CG340" s="32"/>
      <c r="CH340" s="32"/>
      <c r="CI340" s="32"/>
      <c r="CJ340" s="32"/>
      <c r="CK340" s="32"/>
      <c r="CL340" s="32"/>
      <c r="CM340" s="32"/>
      <c r="CN340" s="32"/>
      <c r="CO340" s="32"/>
      <c r="CP340" s="32"/>
      <c r="CQ340" s="32"/>
      <c r="CR340" s="32"/>
      <c r="CS340" s="32"/>
      <c r="CT340" s="32"/>
      <c r="CU340" s="32"/>
      <c r="CV340" s="32"/>
      <c r="CW340" s="32"/>
      <c r="CX340" s="32"/>
      <c r="CY340" s="32"/>
      <c r="CZ340" s="32"/>
      <c r="DA340" s="32"/>
      <c r="DB340" s="32"/>
      <c r="DC340" s="32"/>
      <c r="DD340" s="32"/>
      <c r="DE340" s="32"/>
      <c r="DF340" s="32"/>
      <c r="DG340" s="32"/>
      <c r="DH340" s="32"/>
      <c r="DI340" s="32"/>
      <c r="DJ340" s="32"/>
      <c r="DK340" s="32"/>
      <c r="DL340" s="32"/>
      <c r="DM340" s="32"/>
      <c r="DN340" s="32"/>
      <c r="DO340" s="32"/>
      <c r="DP340" s="32"/>
      <c r="DQ340" s="32"/>
      <c r="DR340" s="32"/>
      <c r="DS340" s="32"/>
      <c r="DT340" s="32"/>
      <c r="DU340" s="32"/>
      <c r="DV340" s="32"/>
      <c r="DW340" s="32"/>
      <c r="DX340" s="32"/>
      <c r="DY340" s="32"/>
      <c r="DZ340" s="32"/>
      <c r="EA340" s="32"/>
      <c r="EB340" s="32"/>
      <c r="EC340" s="32"/>
      <c r="ED340" s="32"/>
      <c r="EE340" s="32"/>
      <c r="EF340" s="32"/>
      <c r="EG340" s="32"/>
      <c r="EH340" s="32"/>
      <c r="EI340" s="32"/>
      <c r="EJ340" s="32"/>
      <c r="EK340" s="32"/>
      <c r="EL340" s="32"/>
      <c r="EM340" s="32"/>
      <c r="EN340" s="32"/>
      <c r="EO340" s="32"/>
      <c r="EP340" s="32"/>
      <c r="EQ340" s="32"/>
      <c r="ER340" s="32"/>
      <c r="ES340" s="32"/>
      <c r="ET340" s="32"/>
      <c r="EU340" s="32"/>
      <c r="EV340" s="32"/>
      <c r="EW340" s="32"/>
      <c r="EX340" s="32"/>
      <c r="EY340" s="32"/>
      <c r="EZ340" s="32"/>
      <c r="FA340" s="32"/>
      <c r="FB340" s="32"/>
      <c r="FC340" s="32"/>
      <c r="FD340" s="32"/>
      <c r="FE340" s="32"/>
      <c r="FF340" s="32"/>
      <c r="FG340" s="32"/>
      <c r="FH340" s="32"/>
      <c r="FI340" s="32"/>
      <c r="FJ340" s="32"/>
      <c r="FK340" s="32"/>
      <c r="FL340" s="32"/>
      <c r="FM340" s="32"/>
      <c r="FN340" s="32"/>
      <c r="FO340" s="32"/>
      <c r="FP340" s="32"/>
      <c r="FQ340" s="32"/>
      <c r="FR340" s="32"/>
      <c r="FS340" s="32"/>
      <c r="FT340" s="32"/>
      <c r="FU340" s="32"/>
      <c r="FV340" s="32"/>
      <c r="FW340" s="32"/>
      <c r="FX340" s="32"/>
      <c r="FY340" s="32"/>
      <c r="FZ340" s="32"/>
      <c r="GA340" s="32"/>
      <c r="GB340" s="32"/>
      <c r="GC340" s="32"/>
      <c r="GD340" s="32"/>
      <c r="GE340" s="32"/>
      <c r="GF340" s="32"/>
      <c r="GG340" s="32"/>
      <c r="GH340" s="32"/>
      <c r="GI340" s="32"/>
      <c r="GJ340" s="32"/>
      <c r="GK340" s="32"/>
      <c r="GL340" s="32"/>
      <c r="GM340" s="32"/>
      <c r="GN340" s="32"/>
      <c r="GO340" s="32"/>
      <c r="GP340" s="32"/>
      <c r="GQ340" s="32"/>
      <c r="GR340" s="32"/>
      <c r="GS340" s="32"/>
      <c r="GT340" s="32"/>
      <c r="GU340" s="32"/>
      <c r="GV340" s="32"/>
      <c r="GW340" s="32"/>
      <c r="GX340" s="32"/>
      <c r="GY340" s="32"/>
      <c r="GZ340" s="32"/>
      <c r="HA340" s="32"/>
      <c r="HB340" s="32"/>
      <c r="HC340" s="32"/>
      <c r="HD340" s="32"/>
      <c r="HE340" s="32"/>
      <c r="HF340" s="32"/>
      <c r="HG340" s="32"/>
      <c r="HH340" s="32"/>
      <c r="HI340" s="32"/>
      <c r="HJ340" s="32"/>
      <c r="HK340" s="32"/>
      <c r="HL340" s="32"/>
      <c r="HM340" s="32"/>
      <c r="HN340" s="32"/>
      <c r="HO340" s="32"/>
      <c r="HP340" s="32"/>
    </row>
    <row r="341" spans="1:224" x14ac:dyDescent="0.25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  <c r="BN341" s="32"/>
      <c r="BO341" s="32"/>
      <c r="BP341" s="32"/>
      <c r="BQ341" s="32"/>
      <c r="BR341" s="32"/>
      <c r="BS341" s="32"/>
      <c r="BT341" s="32"/>
      <c r="BU341" s="32"/>
      <c r="BV341" s="32"/>
      <c r="BW341" s="32"/>
      <c r="BX341" s="32"/>
      <c r="BY341" s="32"/>
      <c r="BZ341" s="32"/>
      <c r="CA341" s="32"/>
      <c r="CB341" s="32"/>
      <c r="CC341" s="32"/>
      <c r="CD341" s="32"/>
      <c r="CE341" s="32"/>
      <c r="CF341" s="32"/>
      <c r="CG341" s="32"/>
      <c r="CH341" s="32"/>
      <c r="CI341" s="32"/>
      <c r="CJ341" s="32"/>
      <c r="CK341" s="32"/>
      <c r="CL341" s="32"/>
      <c r="CM341" s="32"/>
      <c r="CN341" s="32"/>
      <c r="CO341" s="32"/>
      <c r="CP341" s="32"/>
      <c r="CQ341" s="32"/>
      <c r="CR341" s="32"/>
      <c r="CS341" s="32"/>
      <c r="CT341" s="32"/>
      <c r="CU341" s="32"/>
      <c r="CV341" s="32"/>
      <c r="CW341" s="32"/>
      <c r="CX341" s="32"/>
      <c r="CY341" s="32"/>
      <c r="CZ341" s="32"/>
      <c r="DA341" s="32"/>
      <c r="DB341" s="32"/>
      <c r="DC341" s="32"/>
      <c r="DD341" s="32"/>
      <c r="DE341" s="32"/>
      <c r="DF341" s="32"/>
      <c r="DG341" s="32"/>
      <c r="DH341" s="32"/>
      <c r="DI341" s="32"/>
      <c r="DJ341" s="32"/>
      <c r="DK341" s="32"/>
      <c r="DL341" s="32"/>
      <c r="DM341" s="32"/>
      <c r="DN341" s="32"/>
      <c r="DO341" s="32"/>
      <c r="DP341" s="32"/>
      <c r="DQ341" s="32"/>
      <c r="DR341" s="32"/>
      <c r="DS341" s="32"/>
      <c r="DT341" s="32"/>
      <c r="DU341" s="32"/>
      <c r="DV341" s="32"/>
      <c r="DW341" s="32"/>
      <c r="DX341" s="32"/>
      <c r="DY341" s="32"/>
      <c r="DZ341" s="32"/>
      <c r="EA341" s="32"/>
      <c r="EB341" s="32"/>
      <c r="EC341" s="32"/>
      <c r="ED341" s="32"/>
      <c r="EE341" s="32"/>
      <c r="EF341" s="32"/>
      <c r="EG341" s="32"/>
      <c r="EH341" s="32"/>
      <c r="EI341" s="32"/>
      <c r="EJ341" s="32"/>
      <c r="EK341" s="32"/>
      <c r="EL341" s="32"/>
      <c r="EM341" s="32"/>
      <c r="EN341" s="32"/>
      <c r="EO341" s="32"/>
      <c r="EP341" s="32"/>
      <c r="EQ341" s="32"/>
      <c r="ER341" s="32"/>
      <c r="ES341" s="32"/>
      <c r="ET341" s="32"/>
      <c r="EU341" s="32"/>
      <c r="EV341" s="32"/>
      <c r="EW341" s="32"/>
      <c r="EX341" s="32"/>
      <c r="EY341" s="32"/>
      <c r="EZ341" s="32"/>
      <c r="FA341" s="32"/>
      <c r="FB341" s="32"/>
      <c r="FC341" s="32"/>
      <c r="FD341" s="32"/>
      <c r="FE341" s="32"/>
      <c r="FF341" s="32"/>
      <c r="FG341" s="32"/>
      <c r="FH341" s="32"/>
      <c r="FI341" s="32"/>
      <c r="FJ341" s="32"/>
      <c r="FK341" s="32"/>
      <c r="FL341" s="32"/>
      <c r="FM341" s="32"/>
      <c r="FN341" s="32"/>
      <c r="FO341" s="32"/>
      <c r="FP341" s="32"/>
      <c r="FQ341" s="32"/>
      <c r="FR341" s="32"/>
      <c r="FS341" s="32"/>
      <c r="FT341" s="32"/>
      <c r="FU341" s="32"/>
      <c r="FV341" s="32"/>
      <c r="FW341" s="32"/>
      <c r="FX341" s="32"/>
      <c r="FY341" s="32"/>
      <c r="FZ341" s="32"/>
      <c r="GA341" s="32"/>
      <c r="GB341" s="32"/>
      <c r="GC341" s="32"/>
      <c r="GD341" s="32"/>
      <c r="GE341" s="32"/>
      <c r="GF341" s="32"/>
      <c r="GG341" s="32"/>
      <c r="GH341" s="32"/>
      <c r="GI341" s="32"/>
      <c r="GJ341" s="32"/>
      <c r="GK341" s="32"/>
      <c r="GL341" s="32"/>
      <c r="GM341" s="32"/>
      <c r="GN341" s="32"/>
      <c r="GO341" s="32"/>
      <c r="GP341" s="32"/>
      <c r="GQ341" s="32"/>
      <c r="GR341" s="32"/>
      <c r="GS341" s="32"/>
      <c r="GT341" s="32"/>
      <c r="GU341" s="32"/>
      <c r="GV341" s="32"/>
      <c r="GW341" s="32"/>
      <c r="GX341" s="32"/>
      <c r="GY341" s="32"/>
      <c r="GZ341" s="32"/>
      <c r="HA341" s="32"/>
      <c r="HB341" s="32"/>
      <c r="HC341" s="32"/>
      <c r="HD341" s="32"/>
      <c r="HE341" s="32"/>
      <c r="HF341" s="32"/>
      <c r="HG341" s="32"/>
      <c r="HH341" s="32"/>
      <c r="HI341" s="32"/>
      <c r="HJ341" s="32"/>
      <c r="HK341" s="32"/>
      <c r="HL341" s="32"/>
      <c r="HM341" s="32"/>
      <c r="HN341" s="32"/>
      <c r="HO341" s="32"/>
      <c r="HP341" s="32"/>
    </row>
    <row r="342" spans="1:224" x14ac:dyDescent="0.25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  <c r="BN342" s="32"/>
      <c r="BO342" s="32"/>
      <c r="BP342" s="32"/>
      <c r="BQ342" s="32"/>
      <c r="BR342" s="32"/>
      <c r="BS342" s="32"/>
      <c r="BT342" s="32"/>
      <c r="BU342" s="32"/>
      <c r="BV342" s="32"/>
      <c r="BW342" s="32"/>
      <c r="BX342" s="32"/>
      <c r="BY342" s="32"/>
      <c r="BZ342" s="32"/>
      <c r="CA342" s="32"/>
      <c r="CB342" s="32"/>
      <c r="CC342" s="32"/>
      <c r="CD342" s="32"/>
      <c r="CE342" s="32"/>
      <c r="CF342" s="32"/>
      <c r="CG342" s="32"/>
      <c r="CH342" s="32"/>
      <c r="CI342" s="32"/>
      <c r="CJ342" s="32"/>
      <c r="CK342" s="32"/>
      <c r="CL342" s="32"/>
      <c r="CM342" s="32"/>
      <c r="CN342" s="32"/>
      <c r="CO342" s="32"/>
      <c r="CP342" s="32"/>
      <c r="CQ342" s="32"/>
      <c r="CR342" s="32"/>
      <c r="CS342" s="32"/>
      <c r="CT342" s="32"/>
      <c r="CU342" s="32"/>
      <c r="CV342" s="32"/>
      <c r="CW342" s="32"/>
      <c r="CX342" s="32"/>
      <c r="CY342" s="32"/>
      <c r="CZ342" s="32"/>
      <c r="DA342" s="32"/>
      <c r="DB342" s="32"/>
      <c r="DC342" s="32"/>
      <c r="DD342" s="32"/>
      <c r="DE342" s="32"/>
      <c r="DF342" s="32"/>
      <c r="DG342" s="32"/>
      <c r="DH342" s="32"/>
      <c r="DI342" s="32"/>
      <c r="DJ342" s="32"/>
      <c r="DK342" s="32"/>
      <c r="DL342" s="32"/>
      <c r="DM342" s="32"/>
      <c r="DN342" s="32"/>
      <c r="DO342" s="32"/>
      <c r="DP342" s="32"/>
      <c r="DQ342" s="32"/>
      <c r="DR342" s="32"/>
      <c r="DS342" s="32"/>
      <c r="DT342" s="32"/>
      <c r="DU342" s="32"/>
      <c r="DV342" s="32"/>
      <c r="DW342" s="32"/>
      <c r="DX342" s="32"/>
      <c r="DY342" s="32"/>
      <c r="DZ342" s="32"/>
      <c r="EA342" s="32"/>
      <c r="EB342" s="32"/>
      <c r="EC342" s="32"/>
      <c r="ED342" s="32"/>
      <c r="EE342" s="32"/>
      <c r="EF342" s="32"/>
      <c r="EG342" s="32"/>
      <c r="EH342" s="32"/>
      <c r="EI342" s="32"/>
      <c r="EJ342" s="32"/>
      <c r="EK342" s="32"/>
      <c r="EL342" s="32"/>
      <c r="EM342" s="32"/>
      <c r="EN342" s="32"/>
      <c r="EO342" s="32"/>
      <c r="EP342" s="32"/>
      <c r="EQ342" s="32"/>
      <c r="ER342" s="32"/>
      <c r="ES342" s="32"/>
      <c r="ET342" s="32"/>
      <c r="EU342" s="32"/>
      <c r="EV342" s="32"/>
      <c r="EW342" s="32"/>
      <c r="EX342" s="32"/>
      <c r="EY342" s="32"/>
      <c r="EZ342" s="32"/>
      <c r="FA342" s="32"/>
      <c r="FB342" s="32"/>
      <c r="FC342" s="32"/>
      <c r="FD342" s="32"/>
      <c r="FE342" s="32"/>
      <c r="FF342" s="32"/>
      <c r="FG342" s="32"/>
      <c r="FH342" s="32"/>
      <c r="FI342" s="32"/>
      <c r="FJ342" s="32"/>
      <c r="FK342" s="32"/>
      <c r="FL342" s="32"/>
      <c r="FM342" s="32"/>
      <c r="FN342" s="32"/>
      <c r="FO342" s="32"/>
      <c r="FP342" s="32"/>
      <c r="FQ342" s="32"/>
      <c r="FR342" s="32"/>
      <c r="FS342" s="32"/>
      <c r="FT342" s="32"/>
      <c r="FU342" s="32"/>
      <c r="FV342" s="32"/>
      <c r="FW342" s="32"/>
      <c r="FX342" s="32"/>
      <c r="FY342" s="32"/>
      <c r="FZ342" s="32"/>
      <c r="GA342" s="32"/>
      <c r="GB342" s="32"/>
      <c r="GC342" s="32"/>
      <c r="GD342" s="32"/>
      <c r="GE342" s="32"/>
      <c r="GF342" s="32"/>
      <c r="GG342" s="32"/>
      <c r="GH342" s="32"/>
      <c r="GI342" s="32"/>
      <c r="GJ342" s="32"/>
      <c r="GK342" s="32"/>
      <c r="GL342" s="32"/>
      <c r="GM342" s="32"/>
      <c r="GN342" s="32"/>
      <c r="GO342" s="32"/>
      <c r="GP342" s="32"/>
      <c r="GQ342" s="32"/>
      <c r="GR342" s="32"/>
      <c r="GS342" s="32"/>
      <c r="GT342" s="32"/>
      <c r="GU342" s="32"/>
      <c r="GV342" s="32"/>
      <c r="GW342" s="32"/>
      <c r="GX342" s="32"/>
      <c r="GY342" s="32"/>
      <c r="GZ342" s="32"/>
      <c r="HA342" s="32"/>
      <c r="HB342" s="32"/>
      <c r="HC342" s="32"/>
      <c r="HD342" s="32"/>
      <c r="HE342" s="32"/>
      <c r="HF342" s="32"/>
      <c r="HG342" s="32"/>
      <c r="HH342" s="32"/>
      <c r="HI342" s="32"/>
      <c r="HJ342" s="32"/>
      <c r="HK342" s="32"/>
      <c r="HL342" s="32"/>
      <c r="HM342" s="32"/>
      <c r="HN342" s="32"/>
      <c r="HO342" s="32"/>
      <c r="HP342" s="32"/>
    </row>
    <row r="343" spans="1:224" x14ac:dyDescent="0.25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  <c r="BN343" s="32"/>
      <c r="BO343" s="32"/>
      <c r="BP343" s="32"/>
      <c r="BQ343" s="32"/>
      <c r="BR343" s="32"/>
      <c r="BS343" s="32"/>
      <c r="BT343" s="32"/>
      <c r="BU343" s="32"/>
      <c r="BV343" s="32"/>
      <c r="BW343" s="32"/>
      <c r="BX343" s="32"/>
      <c r="BY343" s="32"/>
      <c r="BZ343" s="32"/>
      <c r="CA343" s="32"/>
      <c r="CB343" s="32"/>
      <c r="CC343" s="32"/>
      <c r="CD343" s="32"/>
      <c r="CE343" s="32"/>
      <c r="CF343" s="32"/>
      <c r="CG343" s="32"/>
      <c r="CH343" s="32"/>
      <c r="CI343" s="32"/>
      <c r="CJ343" s="32"/>
      <c r="CK343" s="32"/>
      <c r="CL343" s="32"/>
      <c r="CM343" s="32"/>
      <c r="CN343" s="32"/>
      <c r="CO343" s="32"/>
      <c r="CP343" s="32"/>
      <c r="CQ343" s="32"/>
      <c r="CR343" s="32"/>
      <c r="CS343" s="32"/>
      <c r="CT343" s="32"/>
      <c r="CU343" s="32"/>
      <c r="CV343" s="32"/>
      <c r="CW343" s="32"/>
      <c r="CX343" s="32"/>
      <c r="CY343" s="32"/>
      <c r="CZ343" s="32"/>
      <c r="DA343" s="32"/>
      <c r="DB343" s="32"/>
      <c r="DC343" s="32"/>
      <c r="DD343" s="32"/>
      <c r="DE343" s="32"/>
      <c r="DF343" s="32"/>
      <c r="DG343" s="32"/>
      <c r="DH343" s="32"/>
      <c r="DI343" s="32"/>
      <c r="DJ343" s="32"/>
      <c r="DK343" s="32"/>
      <c r="DL343" s="32"/>
      <c r="DM343" s="32"/>
      <c r="DN343" s="32"/>
      <c r="DO343" s="32"/>
      <c r="DP343" s="32"/>
      <c r="DQ343" s="32"/>
      <c r="DR343" s="32"/>
      <c r="DS343" s="32"/>
      <c r="DT343" s="32"/>
      <c r="DU343" s="32"/>
      <c r="DV343" s="32"/>
      <c r="DW343" s="32"/>
      <c r="DX343" s="32"/>
      <c r="DY343" s="32"/>
      <c r="DZ343" s="32"/>
      <c r="EA343" s="32"/>
      <c r="EB343" s="32"/>
      <c r="EC343" s="32"/>
      <c r="ED343" s="32"/>
      <c r="EE343" s="32"/>
      <c r="EF343" s="32"/>
      <c r="EG343" s="32"/>
      <c r="EH343" s="32"/>
      <c r="EI343" s="32"/>
      <c r="EJ343" s="32"/>
      <c r="EK343" s="32"/>
      <c r="EL343" s="32"/>
      <c r="EM343" s="32"/>
      <c r="EN343" s="32"/>
      <c r="EO343" s="32"/>
      <c r="EP343" s="32"/>
      <c r="EQ343" s="32"/>
      <c r="ER343" s="32"/>
      <c r="ES343" s="32"/>
      <c r="ET343" s="32"/>
      <c r="EU343" s="32"/>
      <c r="EV343" s="32"/>
      <c r="EW343" s="32"/>
      <c r="EX343" s="32"/>
      <c r="EY343" s="32"/>
      <c r="EZ343" s="32"/>
      <c r="FA343" s="32"/>
      <c r="FB343" s="32"/>
      <c r="FC343" s="32"/>
      <c r="FD343" s="32"/>
      <c r="FE343" s="32"/>
      <c r="FF343" s="32"/>
      <c r="FG343" s="32"/>
      <c r="FH343" s="32"/>
      <c r="FI343" s="32"/>
      <c r="FJ343" s="32"/>
      <c r="FK343" s="32"/>
      <c r="FL343" s="32"/>
      <c r="FM343" s="32"/>
      <c r="FN343" s="32"/>
      <c r="FO343" s="32"/>
      <c r="FP343" s="32"/>
      <c r="FQ343" s="32"/>
      <c r="FR343" s="32"/>
      <c r="FS343" s="32"/>
      <c r="FT343" s="32"/>
      <c r="FU343" s="32"/>
      <c r="FV343" s="32"/>
      <c r="FW343" s="32"/>
      <c r="FX343" s="32"/>
      <c r="FY343" s="32"/>
      <c r="FZ343" s="32"/>
      <c r="GA343" s="32"/>
      <c r="GB343" s="32"/>
      <c r="GC343" s="32"/>
      <c r="GD343" s="32"/>
      <c r="GE343" s="32"/>
      <c r="GF343" s="32"/>
      <c r="GG343" s="32"/>
      <c r="GH343" s="32"/>
      <c r="GI343" s="32"/>
      <c r="GJ343" s="32"/>
      <c r="GK343" s="32"/>
      <c r="GL343" s="32"/>
      <c r="GM343" s="32"/>
      <c r="GN343" s="32"/>
      <c r="GO343" s="32"/>
      <c r="GP343" s="32"/>
      <c r="GQ343" s="32"/>
      <c r="GR343" s="32"/>
      <c r="GS343" s="32"/>
      <c r="GT343" s="32"/>
      <c r="GU343" s="32"/>
      <c r="GV343" s="32"/>
      <c r="GW343" s="32"/>
      <c r="GX343" s="32"/>
      <c r="GY343" s="32"/>
      <c r="GZ343" s="32"/>
      <c r="HA343" s="32"/>
      <c r="HB343" s="32"/>
      <c r="HC343" s="32"/>
      <c r="HD343" s="32"/>
      <c r="HE343" s="32"/>
      <c r="HF343" s="32"/>
      <c r="HG343" s="32"/>
      <c r="HH343" s="32"/>
      <c r="HI343" s="32"/>
      <c r="HJ343" s="32"/>
      <c r="HK343" s="32"/>
      <c r="HL343" s="32"/>
      <c r="HM343" s="32"/>
      <c r="HN343" s="32"/>
      <c r="HO343" s="32"/>
      <c r="HP343" s="32"/>
    </row>
    <row r="344" spans="1:224" x14ac:dyDescent="0.25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  <c r="BN344" s="32"/>
      <c r="BO344" s="32"/>
      <c r="BP344" s="32"/>
      <c r="BQ344" s="32"/>
      <c r="BR344" s="32"/>
      <c r="BS344" s="32"/>
      <c r="BT344" s="32"/>
      <c r="BU344" s="32"/>
      <c r="BV344" s="32"/>
      <c r="BW344" s="32"/>
      <c r="BX344" s="32"/>
      <c r="BY344" s="32"/>
      <c r="BZ344" s="32"/>
      <c r="CA344" s="32"/>
      <c r="CB344" s="32"/>
      <c r="CC344" s="32"/>
      <c r="CD344" s="32"/>
      <c r="CE344" s="32"/>
      <c r="CF344" s="32"/>
      <c r="CG344" s="32"/>
      <c r="CH344" s="32"/>
      <c r="CI344" s="32"/>
      <c r="CJ344" s="32"/>
      <c r="CK344" s="32"/>
      <c r="CL344" s="32"/>
      <c r="CM344" s="32"/>
      <c r="CN344" s="32"/>
      <c r="CO344" s="32"/>
      <c r="CP344" s="32"/>
      <c r="CQ344" s="32"/>
      <c r="CR344" s="32"/>
      <c r="CS344" s="32"/>
      <c r="CT344" s="32"/>
      <c r="CU344" s="32"/>
      <c r="CV344" s="32"/>
      <c r="CW344" s="32"/>
      <c r="CX344" s="32"/>
      <c r="CY344" s="32"/>
      <c r="CZ344" s="32"/>
      <c r="DA344" s="32"/>
      <c r="DB344" s="32"/>
      <c r="DC344" s="32"/>
      <c r="DD344" s="32"/>
      <c r="DE344" s="32"/>
      <c r="DF344" s="32"/>
      <c r="DG344" s="32"/>
      <c r="DH344" s="32"/>
      <c r="DI344" s="32"/>
      <c r="DJ344" s="32"/>
      <c r="DK344" s="32"/>
      <c r="DL344" s="32"/>
      <c r="DM344" s="32"/>
      <c r="DN344" s="32"/>
      <c r="DO344" s="32"/>
      <c r="DP344" s="32"/>
      <c r="DQ344" s="32"/>
      <c r="DR344" s="32"/>
      <c r="DS344" s="32"/>
      <c r="DT344" s="32"/>
      <c r="DU344" s="32"/>
      <c r="DV344" s="32"/>
      <c r="DW344" s="32"/>
      <c r="DX344" s="32"/>
      <c r="DY344" s="32"/>
      <c r="DZ344" s="32"/>
      <c r="EA344" s="32"/>
      <c r="EB344" s="32"/>
      <c r="EC344" s="32"/>
      <c r="ED344" s="32"/>
      <c r="EE344" s="32"/>
      <c r="EF344" s="32"/>
      <c r="EG344" s="32"/>
      <c r="EH344" s="32"/>
      <c r="EI344" s="32"/>
      <c r="EJ344" s="32"/>
      <c r="EK344" s="32"/>
      <c r="EL344" s="32"/>
      <c r="EM344" s="32"/>
      <c r="EN344" s="32"/>
      <c r="EO344" s="32"/>
      <c r="EP344" s="32"/>
      <c r="EQ344" s="32"/>
      <c r="ER344" s="32"/>
      <c r="ES344" s="32"/>
      <c r="ET344" s="32"/>
      <c r="EU344" s="32"/>
      <c r="EV344" s="32"/>
      <c r="EW344" s="32"/>
      <c r="EX344" s="32"/>
      <c r="EY344" s="32"/>
      <c r="EZ344" s="32"/>
      <c r="FA344" s="32"/>
      <c r="FB344" s="32"/>
      <c r="FC344" s="32"/>
      <c r="FD344" s="32"/>
      <c r="FE344" s="32"/>
      <c r="FF344" s="32"/>
      <c r="FG344" s="32"/>
      <c r="FH344" s="32"/>
      <c r="FI344" s="32"/>
      <c r="FJ344" s="32"/>
      <c r="FK344" s="32"/>
      <c r="FL344" s="32"/>
      <c r="FM344" s="32"/>
      <c r="FN344" s="32"/>
      <c r="FO344" s="32"/>
      <c r="FP344" s="32"/>
      <c r="FQ344" s="32"/>
      <c r="FR344" s="32"/>
      <c r="FS344" s="32"/>
      <c r="FT344" s="32"/>
      <c r="FU344" s="32"/>
      <c r="FV344" s="32"/>
      <c r="FW344" s="32"/>
      <c r="FX344" s="32"/>
      <c r="FY344" s="32"/>
      <c r="FZ344" s="32"/>
      <c r="GA344" s="32"/>
      <c r="GB344" s="32"/>
      <c r="GC344" s="32"/>
      <c r="GD344" s="32"/>
      <c r="GE344" s="32"/>
      <c r="GF344" s="32"/>
      <c r="GG344" s="32"/>
      <c r="GH344" s="32"/>
      <c r="GI344" s="32"/>
      <c r="GJ344" s="32"/>
      <c r="GK344" s="32"/>
      <c r="GL344" s="32"/>
      <c r="GM344" s="32"/>
      <c r="GN344" s="32"/>
      <c r="GO344" s="32"/>
      <c r="GP344" s="32"/>
      <c r="GQ344" s="32"/>
      <c r="GR344" s="32"/>
      <c r="GS344" s="32"/>
      <c r="GT344" s="32"/>
      <c r="GU344" s="32"/>
      <c r="GV344" s="32"/>
      <c r="GW344" s="32"/>
      <c r="GX344" s="32"/>
      <c r="GY344" s="32"/>
      <c r="GZ344" s="32"/>
      <c r="HA344" s="32"/>
      <c r="HB344" s="32"/>
      <c r="HC344" s="32"/>
      <c r="HD344" s="32"/>
      <c r="HE344" s="32"/>
      <c r="HF344" s="32"/>
      <c r="HG344" s="32"/>
      <c r="HH344" s="32"/>
      <c r="HI344" s="32"/>
      <c r="HJ344" s="32"/>
      <c r="HK344" s="32"/>
      <c r="HL344" s="32"/>
      <c r="HM344" s="32"/>
      <c r="HN344" s="32"/>
      <c r="HO344" s="32"/>
      <c r="HP344" s="32"/>
    </row>
    <row r="345" spans="1:224" x14ac:dyDescent="0.2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BH345" s="32"/>
      <c r="BI345" s="32"/>
      <c r="BJ345" s="32"/>
      <c r="BK345" s="32"/>
      <c r="BL345" s="32"/>
      <c r="BM345" s="32"/>
      <c r="BN345" s="32"/>
      <c r="BO345" s="32"/>
      <c r="BP345" s="32"/>
      <c r="BQ345" s="32"/>
      <c r="BR345" s="32"/>
      <c r="BS345" s="32"/>
      <c r="BT345" s="32"/>
      <c r="BU345" s="32"/>
      <c r="BV345" s="32"/>
      <c r="BW345" s="32"/>
      <c r="BX345" s="32"/>
      <c r="BY345" s="32"/>
      <c r="BZ345" s="32"/>
      <c r="CA345" s="32"/>
      <c r="CB345" s="32"/>
      <c r="CC345" s="32"/>
      <c r="CD345" s="32"/>
      <c r="CE345" s="32"/>
      <c r="CF345" s="32"/>
      <c r="CG345" s="32"/>
      <c r="CH345" s="32"/>
      <c r="CI345" s="32"/>
      <c r="CJ345" s="32"/>
      <c r="CK345" s="32"/>
      <c r="CL345" s="32"/>
      <c r="CM345" s="32"/>
      <c r="CN345" s="32"/>
      <c r="CO345" s="32"/>
      <c r="CP345" s="32"/>
      <c r="CQ345" s="32"/>
      <c r="CR345" s="32"/>
      <c r="CS345" s="32"/>
      <c r="CT345" s="32"/>
      <c r="CU345" s="32"/>
      <c r="CV345" s="32"/>
      <c r="CW345" s="32"/>
      <c r="CX345" s="32"/>
      <c r="CY345" s="32"/>
      <c r="CZ345" s="32"/>
      <c r="DA345" s="32"/>
      <c r="DB345" s="32"/>
      <c r="DC345" s="32"/>
      <c r="DD345" s="32"/>
      <c r="DE345" s="32"/>
      <c r="DF345" s="32"/>
      <c r="DG345" s="32"/>
      <c r="DH345" s="32"/>
      <c r="DI345" s="32"/>
      <c r="DJ345" s="32"/>
      <c r="DK345" s="32"/>
      <c r="DL345" s="32"/>
      <c r="DM345" s="32"/>
      <c r="DN345" s="32"/>
      <c r="DO345" s="32"/>
      <c r="DP345" s="32"/>
      <c r="DQ345" s="32"/>
      <c r="DR345" s="32"/>
      <c r="DS345" s="32"/>
      <c r="DT345" s="32"/>
      <c r="DU345" s="32"/>
      <c r="DV345" s="32"/>
      <c r="DW345" s="32"/>
      <c r="DX345" s="32"/>
      <c r="DY345" s="32"/>
      <c r="DZ345" s="32"/>
      <c r="EA345" s="32"/>
      <c r="EB345" s="32"/>
      <c r="EC345" s="32"/>
      <c r="ED345" s="32"/>
      <c r="EE345" s="32"/>
      <c r="EF345" s="32"/>
      <c r="EG345" s="32"/>
      <c r="EH345" s="32"/>
      <c r="EI345" s="32"/>
      <c r="EJ345" s="32"/>
      <c r="EK345" s="32"/>
      <c r="EL345" s="32"/>
      <c r="EM345" s="32"/>
      <c r="EN345" s="32"/>
      <c r="EO345" s="32"/>
      <c r="EP345" s="32"/>
      <c r="EQ345" s="32"/>
      <c r="ER345" s="32"/>
      <c r="ES345" s="32"/>
      <c r="ET345" s="32"/>
      <c r="EU345" s="32"/>
      <c r="EV345" s="32"/>
      <c r="EW345" s="32"/>
      <c r="EX345" s="32"/>
      <c r="EY345" s="32"/>
      <c r="EZ345" s="32"/>
      <c r="FA345" s="32"/>
      <c r="FB345" s="32"/>
      <c r="FC345" s="32"/>
      <c r="FD345" s="32"/>
      <c r="FE345" s="32"/>
      <c r="FF345" s="32"/>
      <c r="FG345" s="32"/>
      <c r="FH345" s="32"/>
      <c r="FI345" s="32"/>
      <c r="FJ345" s="32"/>
      <c r="FK345" s="32"/>
      <c r="FL345" s="32"/>
      <c r="FM345" s="32"/>
      <c r="FN345" s="32"/>
      <c r="FO345" s="32"/>
      <c r="FP345" s="32"/>
      <c r="FQ345" s="32"/>
      <c r="FR345" s="32"/>
      <c r="FS345" s="32"/>
      <c r="FT345" s="32"/>
      <c r="FU345" s="32"/>
      <c r="FV345" s="32"/>
      <c r="FW345" s="32"/>
      <c r="FX345" s="32"/>
      <c r="FY345" s="32"/>
      <c r="FZ345" s="32"/>
      <c r="GA345" s="32"/>
      <c r="GB345" s="32"/>
      <c r="GC345" s="32"/>
      <c r="GD345" s="32"/>
      <c r="GE345" s="32"/>
      <c r="GF345" s="32"/>
      <c r="GG345" s="32"/>
      <c r="GH345" s="32"/>
      <c r="GI345" s="32"/>
      <c r="GJ345" s="32"/>
      <c r="GK345" s="32"/>
      <c r="GL345" s="32"/>
      <c r="GM345" s="32"/>
      <c r="GN345" s="32"/>
      <c r="GO345" s="32"/>
      <c r="GP345" s="32"/>
      <c r="GQ345" s="32"/>
      <c r="GR345" s="32"/>
      <c r="GS345" s="32"/>
      <c r="GT345" s="32"/>
      <c r="GU345" s="32"/>
      <c r="GV345" s="32"/>
      <c r="GW345" s="32"/>
      <c r="GX345" s="32"/>
      <c r="GY345" s="32"/>
      <c r="GZ345" s="32"/>
      <c r="HA345" s="32"/>
      <c r="HB345" s="32"/>
      <c r="HC345" s="32"/>
      <c r="HD345" s="32"/>
      <c r="HE345" s="32"/>
      <c r="HF345" s="32"/>
      <c r="HG345" s="32"/>
      <c r="HH345" s="32"/>
      <c r="HI345" s="32"/>
      <c r="HJ345" s="32"/>
      <c r="HK345" s="32"/>
      <c r="HL345" s="32"/>
      <c r="HM345" s="32"/>
      <c r="HN345" s="32"/>
      <c r="HO345" s="32"/>
      <c r="HP345" s="32"/>
    </row>
    <row r="346" spans="1:224" x14ac:dyDescent="0.25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  <c r="BP346" s="32"/>
      <c r="BQ346" s="32"/>
      <c r="BR346" s="32"/>
      <c r="BS346" s="32"/>
      <c r="BT346" s="32"/>
      <c r="BU346" s="32"/>
      <c r="BV346" s="32"/>
      <c r="BW346" s="32"/>
      <c r="BX346" s="32"/>
      <c r="BY346" s="32"/>
      <c r="BZ346" s="32"/>
      <c r="CA346" s="32"/>
      <c r="CB346" s="32"/>
      <c r="CC346" s="32"/>
      <c r="CD346" s="32"/>
      <c r="CE346" s="32"/>
      <c r="CF346" s="32"/>
      <c r="CG346" s="32"/>
      <c r="CH346" s="32"/>
      <c r="CI346" s="32"/>
      <c r="CJ346" s="32"/>
      <c r="CK346" s="32"/>
      <c r="CL346" s="32"/>
      <c r="CM346" s="32"/>
      <c r="CN346" s="32"/>
      <c r="CO346" s="32"/>
      <c r="CP346" s="32"/>
      <c r="CQ346" s="32"/>
      <c r="CR346" s="32"/>
      <c r="CS346" s="32"/>
      <c r="CT346" s="32"/>
      <c r="CU346" s="32"/>
      <c r="CV346" s="32"/>
      <c r="CW346" s="32"/>
      <c r="CX346" s="32"/>
      <c r="CY346" s="32"/>
      <c r="CZ346" s="32"/>
      <c r="DA346" s="32"/>
      <c r="DB346" s="32"/>
      <c r="DC346" s="32"/>
      <c r="DD346" s="32"/>
      <c r="DE346" s="32"/>
      <c r="DF346" s="32"/>
      <c r="DG346" s="32"/>
      <c r="DH346" s="32"/>
      <c r="DI346" s="32"/>
      <c r="DJ346" s="32"/>
      <c r="DK346" s="32"/>
      <c r="DL346" s="32"/>
      <c r="DM346" s="32"/>
      <c r="DN346" s="32"/>
      <c r="DO346" s="32"/>
      <c r="DP346" s="32"/>
      <c r="DQ346" s="32"/>
      <c r="DR346" s="32"/>
      <c r="DS346" s="32"/>
      <c r="DT346" s="32"/>
      <c r="DU346" s="32"/>
      <c r="DV346" s="32"/>
      <c r="DW346" s="32"/>
      <c r="DX346" s="32"/>
      <c r="DY346" s="32"/>
      <c r="DZ346" s="32"/>
      <c r="EA346" s="32"/>
      <c r="EB346" s="32"/>
      <c r="EC346" s="32"/>
      <c r="ED346" s="32"/>
      <c r="EE346" s="32"/>
      <c r="EF346" s="32"/>
      <c r="EG346" s="32"/>
      <c r="EH346" s="32"/>
      <c r="EI346" s="32"/>
      <c r="EJ346" s="32"/>
      <c r="EK346" s="32"/>
      <c r="EL346" s="32"/>
      <c r="EM346" s="32"/>
      <c r="EN346" s="32"/>
      <c r="EO346" s="32"/>
      <c r="EP346" s="32"/>
      <c r="EQ346" s="32"/>
      <c r="ER346" s="32"/>
      <c r="ES346" s="32"/>
      <c r="ET346" s="32"/>
      <c r="EU346" s="32"/>
      <c r="EV346" s="32"/>
      <c r="EW346" s="32"/>
      <c r="EX346" s="32"/>
      <c r="EY346" s="32"/>
      <c r="EZ346" s="32"/>
      <c r="FA346" s="32"/>
      <c r="FB346" s="32"/>
      <c r="FC346" s="32"/>
      <c r="FD346" s="32"/>
      <c r="FE346" s="32"/>
      <c r="FF346" s="32"/>
      <c r="FG346" s="32"/>
      <c r="FH346" s="32"/>
      <c r="FI346" s="32"/>
      <c r="FJ346" s="32"/>
      <c r="FK346" s="32"/>
      <c r="FL346" s="32"/>
      <c r="FM346" s="32"/>
      <c r="FN346" s="32"/>
      <c r="FO346" s="32"/>
      <c r="FP346" s="32"/>
      <c r="FQ346" s="32"/>
      <c r="FR346" s="32"/>
      <c r="FS346" s="32"/>
      <c r="FT346" s="32"/>
      <c r="FU346" s="32"/>
      <c r="FV346" s="32"/>
      <c r="FW346" s="32"/>
      <c r="FX346" s="32"/>
      <c r="FY346" s="32"/>
      <c r="FZ346" s="32"/>
      <c r="GA346" s="32"/>
      <c r="GB346" s="32"/>
      <c r="GC346" s="32"/>
      <c r="GD346" s="32"/>
      <c r="GE346" s="32"/>
      <c r="GF346" s="32"/>
      <c r="GG346" s="32"/>
      <c r="GH346" s="32"/>
      <c r="GI346" s="32"/>
      <c r="GJ346" s="32"/>
      <c r="GK346" s="32"/>
      <c r="GL346" s="32"/>
      <c r="GM346" s="32"/>
      <c r="GN346" s="32"/>
      <c r="GO346" s="32"/>
      <c r="GP346" s="32"/>
      <c r="GQ346" s="32"/>
      <c r="GR346" s="32"/>
      <c r="GS346" s="32"/>
      <c r="GT346" s="32"/>
      <c r="GU346" s="32"/>
      <c r="GV346" s="32"/>
      <c r="GW346" s="32"/>
      <c r="GX346" s="32"/>
      <c r="GY346" s="32"/>
      <c r="GZ346" s="32"/>
      <c r="HA346" s="32"/>
      <c r="HB346" s="32"/>
      <c r="HC346" s="32"/>
      <c r="HD346" s="32"/>
      <c r="HE346" s="32"/>
      <c r="HF346" s="32"/>
      <c r="HG346" s="32"/>
      <c r="HH346" s="32"/>
      <c r="HI346" s="32"/>
      <c r="HJ346" s="32"/>
      <c r="HK346" s="32"/>
      <c r="HL346" s="32"/>
      <c r="HM346" s="32"/>
      <c r="HN346" s="32"/>
      <c r="HO346" s="32"/>
      <c r="HP346" s="32"/>
    </row>
    <row r="347" spans="1:224" x14ac:dyDescent="0.25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  <c r="BG347" s="32"/>
      <c r="BH347" s="32"/>
      <c r="BI347" s="32"/>
      <c r="BJ347" s="32"/>
      <c r="BK347" s="32"/>
      <c r="BL347" s="32"/>
      <c r="BM347" s="32"/>
      <c r="BN347" s="32"/>
      <c r="BO347" s="32"/>
      <c r="BP347" s="32"/>
      <c r="BQ347" s="32"/>
      <c r="BR347" s="32"/>
      <c r="BS347" s="32"/>
      <c r="BT347" s="32"/>
      <c r="BU347" s="32"/>
      <c r="BV347" s="32"/>
      <c r="BW347" s="32"/>
      <c r="BX347" s="32"/>
      <c r="BY347" s="32"/>
      <c r="BZ347" s="32"/>
      <c r="CA347" s="32"/>
      <c r="CB347" s="32"/>
      <c r="CC347" s="32"/>
      <c r="CD347" s="32"/>
      <c r="CE347" s="32"/>
      <c r="CF347" s="32"/>
      <c r="CG347" s="32"/>
      <c r="CH347" s="32"/>
      <c r="CI347" s="32"/>
      <c r="CJ347" s="32"/>
      <c r="CK347" s="32"/>
      <c r="CL347" s="32"/>
      <c r="CM347" s="32"/>
      <c r="CN347" s="32"/>
      <c r="CO347" s="32"/>
      <c r="CP347" s="32"/>
      <c r="CQ347" s="32"/>
      <c r="CR347" s="32"/>
      <c r="CS347" s="32"/>
      <c r="CT347" s="32"/>
      <c r="CU347" s="32"/>
      <c r="CV347" s="32"/>
      <c r="CW347" s="32"/>
      <c r="CX347" s="32"/>
      <c r="CY347" s="32"/>
      <c r="CZ347" s="32"/>
      <c r="DA347" s="32"/>
      <c r="DB347" s="32"/>
      <c r="DC347" s="32"/>
      <c r="DD347" s="32"/>
      <c r="DE347" s="32"/>
      <c r="DF347" s="32"/>
      <c r="DG347" s="32"/>
      <c r="DH347" s="32"/>
      <c r="DI347" s="32"/>
      <c r="DJ347" s="32"/>
      <c r="DK347" s="32"/>
      <c r="DL347" s="32"/>
      <c r="DM347" s="32"/>
      <c r="DN347" s="32"/>
      <c r="DO347" s="32"/>
      <c r="DP347" s="32"/>
      <c r="DQ347" s="32"/>
      <c r="DR347" s="32"/>
      <c r="DS347" s="32"/>
      <c r="DT347" s="32"/>
      <c r="DU347" s="32"/>
      <c r="DV347" s="32"/>
      <c r="DW347" s="32"/>
      <c r="DX347" s="32"/>
      <c r="DY347" s="32"/>
      <c r="DZ347" s="32"/>
      <c r="EA347" s="32"/>
      <c r="EB347" s="32"/>
      <c r="EC347" s="32"/>
      <c r="ED347" s="32"/>
      <c r="EE347" s="32"/>
      <c r="EF347" s="32"/>
      <c r="EG347" s="32"/>
      <c r="EH347" s="32"/>
      <c r="EI347" s="32"/>
      <c r="EJ347" s="32"/>
      <c r="EK347" s="32"/>
      <c r="EL347" s="32"/>
      <c r="EM347" s="32"/>
      <c r="EN347" s="32"/>
      <c r="EO347" s="32"/>
      <c r="EP347" s="32"/>
      <c r="EQ347" s="32"/>
      <c r="ER347" s="32"/>
      <c r="ES347" s="32"/>
      <c r="ET347" s="32"/>
      <c r="EU347" s="32"/>
      <c r="EV347" s="32"/>
      <c r="EW347" s="32"/>
      <c r="EX347" s="32"/>
      <c r="EY347" s="32"/>
      <c r="EZ347" s="32"/>
      <c r="FA347" s="32"/>
      <c r="FB347" s="32"/>
      <c r="FC347" s="32"/>
      <c r="FD347" s="32"/>
      <c r="FE347" s="32"/>
      <c r="FF347" s="32"/>
      <c r="FG347" s="32"/>
      <c r="FH347" s="32"/>
      <c r="FI347" s="32"/>
      <c r="FJ347" s="32"/>
      <c r="FK347" s="32"/>
      <c r="FL347" s="32"/>
      <c r="FM347" s="32"/>
      <c r="FN347" s="32"/>
      <c r="FO347" s="32"/>
      <c r="FP347" s="32"/>
      <c r="FQ347" s="32"/>
      <c r="FR347" s="32"/>
      <c r="FS347" s="32"/>
      <c r="FT347" s="32"/>
      <c r="FU347" s="32"/>
      <c r="FV347" s="32"/>
      <c r="FW347" s="32"/>
      <c r="FX347" s="32"/>
      <c r="FY347" s="32"/>
      <c r="FZ347" s="32"/>
      <c r="GA347" s="32"/>
      <c r="GB347" s="32"/>
      <c r="GC347" s="32"/>
      <c r="GD347" s="32"/>
      <c r="GE347" s="32"/>
      <c r="GF347" s="32"/>
      <c r="GG347" s="32"/>
      <c r="GH347" s="32"/>
      <c r="GI347" s="32"/>
      <c r="GJ347" s="32"/>
      <c r="GK347" s="32"/>
      <c r="GL347" s="32"/>
      <c r="GM347" s="32"/>
      <c r="GN347" s="32"/>
      <c r="GO347" s="32"/>
      <c r="GP347" s="32"/>
      <c r="GQ347" s="32"/>
      <c r="GR347" s="32"/>
      <c r="GS347" s="32"/>
      <c r="GT347" s="32"/>
      <c r="GU347" s="32"/>
      <c r="GV347" s="32"/>
      <c r="GW347" s="32"/>
      <c r="GX347" s="32"/>
      <c r="GY347" s="32"/>
      <c r="GZ347" s="32"/>
      <c r="HA347" s="32"/>
      <c r="HB347" s="32"/>
      <c r="HC347" s="32"/>
      <c r="HD347" s="32"/>
      <c r="HE347" s="32"/>
      <c r="HF347" s="32"/>
      <c r="HG347" s="32"/>
      <c r="HH347" s="32"/>
      <c r="HI347" s="32"/>
      <c r="HJ347" s="32"/>
      <c r="HK347" s="32"/>
      <c r="HL347" s="32"/>
      <c r="HM347" s="32"/>
      <c r="HN347" s="32"/>
      <c r="HO347" s="32"/>
      <c r="HP347" s="32"/>
    </row>
    <row r="348" spans="1:224" x14ac:dyDescent="0.25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BH348" s="32"/>
      <c r="BI348" s="32"/>
      <c r="BJ348" s="32"/>
      <c r="BK348" s="32"/>
      <c r="BL348" s="32"/>
      <c r="BM348" s="32"/>
      <c r="BN348" s="32"/>
      <c r="BO348" s="32"/>
      <c r="BP348" s="32"/>
      <c r="BQ348" s="32"/>
      <c r="BR348" s="32"/>
      <c r="BS348" s="32"/>
      <c r="BT348" s="32"/>
      <c r="BU348" s="32"/>
      <c r="BV348" s="32"/>
      <c r="BW348" s="32"/>
      <c r="BX348" s="32"/>
      <c r="BY348" s="32"/>
      <c r="BZ348" s="32"/>
      <c r="CA348" s="32"/>
      <c r="CB348" s="32"/>
      <c r="CC348" s="32"/>
      <c r="CD348" s="32"/>
      <c r="CE348" s="32"/>
      <c r="CF348" s="32"/>
      <c r="CG348" s="32"/>
      <c r="CH348" s="32"/>
      <c r="CI348" s="32"/>
      <c r="CJ348" s="32"/>
      <c r="CK348" s="32"/>
      <c r="CL348" s="32"/>
      <c r="CM348" s="32"/>
      <c r="CN348" s="32"/>
      <c r="CO348" s="32"/>
      <c r="CP348" s="32"/>
      <c r="CQ348" s="32"/>
      <c r="CR348" s="32"/>
      <c r="CS348" s="32"/>
      <c r="CT348" s="32"/>
      <c r="CU348" s="32"/>
      <c r="CV348" s="32"/>
      <c r="CW348" s="32"/>
      <c r="CX348" s="32"/>
      <c r="CY348" s="32"/>
      <c r="CZ348" s="32"/>
      <c r="DA348" s="32"/>
      <c r="DB348" s="32"/>
      <c r="DC348" s="32"/>
      <c r="DD348" s="32"/>
      <c r="DE348" s="32"/>
      <c r="DF348" s="32"/>
      <c r="DG348" s="32"/>
      <c r="DH348" s="32"/>
      <c r="DI348" s="32"/>
      <c r="DJ348" s="32"/>
      <c r="DK348" s="32"/>
      <c r="DL348" s="32"/>
      <c r="DM348" s="32"/>
      <c r="DN348" s="32"/>
      <c r="DO348" s="32"/>
      <c r="DP348" s="32"/>
      <c r="DQ348" s="32"/>
      <c r="DR348" s="32"/>
      <c r="DS348" s="32"/>
      <c r="DT348" s="32"/>
      <c r="DU348" s="32"/>
      <c r="DV348" s="32"/>
      <c r="DW348" s="32"/>
      <c r="DX348" s="32"/>
      <c r="DY348" s="32"/>
      <c r="DZ348" s="32"/>
      <c r="EA348" s="32"/>
      <c r="EB348" s="32"/>
      <c r="EC348" s="32"/>
      <c r="ED348" s="32"/>
      <c r="EE348" s="32"/>
      <c r="EF348" s="32"/>
      <c r="EG348" s="32"/>
      <c r="EH348" s="32"/>
      <c r="EI348" s="32"/>
      <c r="EJ348" s="32"/>
      <c r="EK348" s="32"/>
      <c r="EL348" s="32"/>
      <c r="EM348" s="32"/>
      <c r="EN348" s="32"/>
      <c r="EO348" s="32"/>
      <c r="EP348" s="32"/>
      <c r="EQ348" s="32"/>
      <c r="ER348" s="32"/>
      <c r="ES348" s="32"/>
      <c r="ET348" s="32"/>
      <c r="EU348" s="32"/>
      <c r="EV348" s="32"/>
      <c r="EW348" s="32"/>
      <c r="EX348" s="32"/>
      <c r="EY348" s="32"/>
      <c r="EZ348" s="32"/>
      <c r="FA348" s="32"/>
      <c r="FB348" s="32"/>
      <c r="FC348" s="32"/>
      <c r="FD348" s="32"/>
      <c r="FE348" s="32"/>
      <c r="FF348" s="32"/>
      <c r="FG348" s="32"/>
      <c r="FH348" s="32"/>
      <c r="FI348" s="32"/>
      <c r="FJ348" s="32"/>
      <c r="FK348" s="32"/>
      <c r="FL348" s="32"/>
      <c r="FM348" s="32"/>
      <c r="FN348" s="32"/>
      <c r="FO348" s="32"/>
      <c r="FP348" s="32"/>
      <c r="FQ348" s="32"/>
      <c r="FR348" s="32"/>
      <c r="FS348" s="32"/>
      <c r="FT348" s="32"/>
      <c r="FU348" s="32"/>
      <c r="FV348" s="32"/>
      <c r="FW348" s="32"/>
      <c r="FX348" s="32"/>
      <c r="FY348" s="32"/>
      <c r="FZ348" s="32"/>
      <c r="GA348" s="32"/>
      <c r="GB348" s="32"/>
      <c r="GC348" s="32"/>
      <c r="GD348" s="32"/>
      <c r="GE348" s="32"/>
      <c r="GF348" s="32"/>
      <c r="GG348" s="32"/>
      <c r="GH348" s="32"/>
      <c r="GI348" s="32"/>
      <c r="GJ348" s="32"/>
      <c r="GK348" s="32"/>
      <c r="GL348" s="32"/>
      <c r="GM348" s="32"/>
      <c r="GN348" s="32"/>
      <c r="GO348" s="32"/>
      <c r="GP348" s="32"/>
      <c r="GQ348" s="32"/>
      <c r="GR348" s="32"/>
      <c r="GS348" s="32"/>
      <c r="GT348" s="32"/>
      <c r="GU348" s="32"/>
      <c r="GV348" s="32"/>
      <c r="GW348" s="32"/>
      <c r="GX348" s="32"/>
      <c r="GY348" s="32"/>
      <c r="GZ348" s="32"/>
      <c r="HA348" s="32"/>
      <c r="HB348" s="32"/>
      <c r="HC348" s="32"/>
      <c r="HD348" s="32"/>
      <c r="HE348" s="32"/>
      <c r="HF348" s="32"/>
      <c r="HG348" s="32"/>
      <c r="HH348" s="32"/>
      <c r="HI348" s="32"/>
      <c r="HJ348" s="32"/>
      <c r="HK348" s="32"/>
      <c r="HL348" s="32"/>
      <c r="HM348" s="32"/>
      <c r="HN348" s="32"/>
      <c r="HO348" s="32"/>
      <c r="HP348" s="32"/>
    </row>
    <row r="349" spans="1:224" x14ac:dyDescent="0.25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BH349" s="32"/>
      <c r="BI349" s="32"/>
      <c r="BJ349" s="32"/>
      <c r="BK349" s="32"/>
      <c r="BL349" s="32"/>
      <c r="BM349" s="32"/>
      <c r="BN349" s="32"/>
      <c r="BO349" s="32"/>
      <c r="BP349" s="32"/>
      <c r="BQ349" s="32"/>
      <c r="BR349" s="32"/>
      <c r="BS349" s="32"/>
      <c r="BT349" s="32"/>
      <c r="BU349" s="32"/>
      <c r="BV349" s="32"/>
      <c r="BW349" s="32"/>
      <c r="BX349" s="32"/>
      <c r="BY349" s="32"/>
      <c r="BZ349" s="32"/>
      <c r="CA349" s="32"/>
      <c r="CB349" s="32"/>
      <c r="CC349" s="32"/>
      <c r="CD349" s="32"/>
      <c r="CE349" s="32"/>
      <c r="CF349" s="32"/>
      <c r="CG349" s="32"/>
      <c r="CH349" s="32"/>
      <c r="CI349" s="32"/>
      <c r="CJ349" s="32"/>
      <c r="CK349" s="32"/>
      <c r="CL349" s="32"/>
      <c r="CM349" s="32"/>
      <c r="CN349" s="32"/>
      <c r="CO349" s="32"/>
      <c r="CP349" s="32"/>
      <c r="CQ349" s="32"/>
      <c r="CR349" s="32"/>
      <c r="CS349" s="32"/>
      <c r="CT349" s="32"/>
      <c r="CU349" s="32"/>
      <c r="CV349" s="32"/>
      <c r="CW349" s="32"/>
      <c r="CX349" s="32"/>
      <c r="CY349" s="32"/>
      <c r="CZ349" s="32"/>
      <c r="DA349" s="32"/>
      <c r="DB349" s="32"/>
      <c r="DC349" s="32"/>
      <c r="DD349" s="32"/>
      <c r="DE349" s="32"/>
      <c r="DF349" s="32"/>
      <c r="DG349" s="32"/>
      <c r="DH349" s="32"/>
      <c r="DI349" s="32"/>
      <c r="DJ349" s="32"/>
      <c r="DK349" s="32"/>
      <c r="DL349" s="32"/>
      <c r="DM349" s="32"/>
      <c r="DN349" s="32"/>
      <c r="DO349" s="32"/>
      <c r="DP349" s="32"/>
      <c r="DQ349" s="32"/>
      <c r="DR349" s="32"/>
      <c r="DS349" s="32"/>
      <c r="DT349" s="32"/>
      <c r="DU349" s="32"/>
      <c r="DV349" s="32"/>
      <c r="DW349" s="32"/>
      <c r="DX349" s="32"/>
      <c r="DY349" s="32"/>
      <c r="DZ349" s="32"/>
      <c r="EA349" s="32"/>
      <c r="EB349" s="32"/>
      <c r="EC349" s="32"/>
      <c r="ED349" s="32"/>
      <c r="EE349" s="32"/>
      <c r="EF349" s="32"/>
      <c r="EG349" s="32"/>
      <c r="EH349" s="32"/>
      <c r="EI349" s="32"/>
      <c r="EJ349" s="32"/>
      <c r="EK349" s="32"/>
      <c r="EL349" s="32"/>
      <c r="EM349" s="32"/>
      <c r="EN349" s="32"/>
      <c r="EO349" s="32"/>
      <c r="EP349" s="32"/>
      <c r="EQ349" s="32"/>
      <c r="ER349" s="32"/>
      <c r="ES349" s="32"/>
      <c r="ET349" s="32"/>
      <c r="EU349" s="32"/>
      <c r="EV349" s="32"/>
      <c r="EW349" s="32"/>
      <c r="EX349" s="32"/>
      <c r="EY349" s="32"/>
      <c r="EZ349" s="32"/>
      <c r="FA349" s="32"/>
      <c r="FB349" s="32"/>
      <c r="FC349" s="32"/>
      <c r="FD349" s="32"/>
      <c r="FE349" s="32"/>
      <c r="FF349" s="32"/>
      <c r="FG349" s="32"/>
      <c r="FH349" s="32"/>
      <c r="FI349" s="32"/>
      <c r="FJ349" s="32"/>
      <c r="FK349" s="32"/>
      <c r="FL349" s="32"/>
      <c r="FM349" s="32"/>
      <c r="FN349" s="32"/>
      <c r="FO349" s="32"/>
      <c r="FP349" s="32"/>
      <c r="FQ349" s="32"/>
      <c r="FR349" s="32"/>
      <c r="FS349" s="32"/>
      <c r="FT349" s="32"/>
      <c r="FU349" s="32"/>
      <c r="FV349" s="32"/>
      <c r="FW349" s="32"/>
      <c r="FX349" s="32"/>
      <c r="FY349" s="32"/>
      <c r="FZ349" s="32"/>
      <c r="GA349" s="32"/>
      <c r="GB349" s="32"/>
      <c r="GC349" s="32"/>
      <c r="GD349" s="32"/>
      <c r="GE349" s="32"/>
      <c r="GF349" s="32"/>
      <c r="GG349" s="32"/>
      <c r="GH349" s="32"/>
      <c r="GI349" s="32"/>
      <c r="GJ349" s="32"/>
      <c r="GK349" s="32"/>
      <c r="GL349" s="32"/>
      <c r="GM349" s="32"/>
      <c r="GN349" s="32"/>
      <c r="GO349" s="32"/>
      <c r="GP349" s="32"/>
      <c r="GQ349" s="32"/>
      <c r="GR349" s="32"/>
      <c r="GS349" s="32"/>
      <c r="GT349" s="32"/>
      <c r="GU349" s="32"/>
      <c r="GV349" s="32"/>
      <c r="GW349" s="32"/>
      <c r="GX349" s="32"/>
      <c r="GY349" s="32"/>
      <c r="GZ349" s="32"/>
      <c r="HA349" s="32"/>
      <c r="HB349" s="32"/>
      <c r="HC349" s="32"/>
      <c r="HD349" s="32"/>
      <c r="HE349" s="32"/>
      <c r="HF349" s="32"/>
      <c r="HG349" s="32"/>
      <c r="HH349" s="32"/>
      <c r="HI349" s="32"/>
      <c r="HJ349" s="32"/>
      <c r="HK349" s="32"/>
      <c r="HL349" s="32"/>
      <c r="HM349" s="32"/>
      <c r="HN349" s="32"/>
      <c r="HO349" s="32"/>
      <c r="HP349" s="32"/>
    </row>
    <row r="350" spans="1:224" x14ac:dyDescent="0.25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  <c r="BG350" s="32"/>
      <c r="BH350" s="32"/>
      <c r="BI350" s="32"/>
      <c r="BJ350" s="32"/>
      <c r="BK350" s="32"/>
      <c r="BL350" s="32"/>
      <c r="BM350" s="32"/>
      <c r="BN350" s="32"/>
      <c r="BO350" s="32"/>
      <c r="BP350" s="32"/>
      <c r="BQ350" s="32"/>
      <c r="BR350" s="32"/>
      <c r="BS350" s="32"/>
      <c r="BT350" s="32"/>
      <c r="BU350" s="32"/>
      <c r="BV350" s="32"/>
      <c r="BW350" s="32"/>
      <c r="BX350" s="32"/>
      <c r="BY350" s="32"/>
      <c r="BZ350" s="32"/>
      <c r="CA350" s="32"/>
      <c r="CB350" s="32"/>
      <c r="CC350" s="32"/>
      <c r="CD350" s="32"/>
      <c r="CE350" s="32"/>
      <c r="CF350" s="32"/>
      <c r="CG350" s="32"/>
      <c r="CH350" s="32"/>
      <c r="CI350" s="32"/>
      <c r="CJ350" s="32"/>
      <c r="CK350" s="32"/>
      <c r="CL350" s="32"/>
      <c r="CM350" s="32"/>
      <c r="CN350" s="32"/>
      <c r="CO350" s="32"/>
      <c r="CP350" s="32"/>
      <c r="CQ350" s="32"/>
      <c r="CR350" s="32"/>
      <c r="CS350" s="32"/>
      <c r="CT350" s="32"/>
      <c r="CU350" s="32"/>
      <c r="CV350" s="32"/>
      <c r="CW350" s="32"/>
      <c r="CX350" s="32"/>
      <c r="CY350" s="32"/>
      <c r="CZ350" s="32"/>
      <c r="DA350" s="32"/>
      <c r="DB350" s="32"/>
      <c r="DC350" s="32"/>
      <c r="DD350" s="32"/>
      <c r="DE350" s="32"/>
      <c r="DF350" s="32"/>
      <c r="DG350" s="32"/>
      <c r="DH350" s="32"/>
      <c r="DI350" s="32"/>
      <c r="DJ350" s="32"/>
      <c r="DK350" s="32"/>
      <c r="DL350" s="32"/>
      <c r="DM350" s="32"/>
      <c r="DN350" s="32"/>
      <c r="DO350" s="32"/>
      <c r="DP350" s="32"/>
      <c r="DQ350" s="32"/>
      <c r="DR350" s="32"/>
      <c r="DS350" s="32"/>
      <c r="DT350" s="32"/>
      <c r="DU350" s="32"/>
      <c r="DV350" s="32"/>
      <c r="DW350" s="32"/>
      <c r="DX350" s="32"/>
      <c r="DY350" s="32"/>
      <c r="DZ350" s="32"/>
      <c r="EA350" s="32"/>
      <c r="EB350" s="32"/>
      <c r="EC350" s="32"/>
      <c r="ED350" s="32"/>
      <c r="EE350" s="32"/>
      <c r="EF350" s="32"/>
      <c r="EG350" s="32"/>
      <c r="EH350" s="32"/>
      <c r="EI350" s="32"/>
      <c r="EJ350" s="32"/>
      <c r="EK350" s="32"/>
      <c r="EL350" s="32"/>
      <c r="EM350" s="32"/>
      <c r="EN350" s="32"/>
      <c r="EO350" s="32"/>
      <c r="EP350" s="32"/>
      <c r="EQ350" s="32"/>
      <c r="ER350" s="32"/>
      <c r="ES350" s="32"/>
      <c r="ET350" s="32"/>
      <c r="EU350" s="32"/>
      <c r="EV350" s="32"/>
      <c r="EW350" s="32"/>
      <c r="EX350" s="32"/>
      <c r="EY350" s="32"/>
      <c r="EZ350" s="32"/>
      <c r="FA350" s="32"/>
      <c r="FB350" s="32"/>
      <c r="FC350" s="32"/>
      <c r="FD350" s="32"/>
      <c r="FE350" s="32"/>
      <c r="FF350" s="32"/>
      <c r="FG350" s="32"/>
      <c r="FH350" s="32"/>
      <c r="FI350" s="32"/>
      <c r="FJ350" s="32"/>
      <c r="FK350" s="32"/>
      <c r="FL350" s="32"/>
      <c r="FM350" s="32"/>
      <c r="FN350" s="32"/>
      <c r="FO350" s="32"/>
      <c r="FP350" s="32"/>
      <c r="FQ350" s="32"/>
      <c r="FR350" s="32"/>
      <c r="FS350" s="32"/>
      <c r="FT350" s="32"/>
      <c r="FU350" s="32"/>
      <c r="FV350" s="32"/>
      <c r="FW350" s="32"/>
      <c r="FX350" s="32"/>
      <c r="FY350" s="32"/>
      <c r="FZ350" s="32"/>
      <c r="GA350" s="32"/>
      <c r="GB350" s="32"/>
      <c r="GC350" s="32"/>
      <c r="GD350" s="32"/>
      <c r="GE350" s="32"/>
      <c r="GF350" s="32"/>
      <c r="GG350" s="32"/>
      <c r="GH350" s="32"/>
      <c r="GI350" s="32"/>
      <c r="GJ350" s="32"/>
      <c r="GK350" s="32"/>
      <c r="GL350" s="32"/>
      <c r="GM350" s="32"/>
      <c r="GN350" s="32"/>
      <c r="GO350" s="32"/>
      <c r="GP350" s="32"/>
      <c r="GQ350" s="32"/>
      <c r="GR350" s="32"/>
      <c r="GS350" s="32"/>
      <c r="GT350" s="32"/>
      <c r="GU350" s="32"/>
      <c r="GV350" s="32"/>
      <c r="GW350" s="32"/>
      <c r="GX350" s="32"/>
      <c r="GY350" s="32"/>
      <c r="GZ350" s="32"/>
      <c r="HA350" s="32"/>
      <c r="HB350" s="32"/>
      <c r="HC350" s="32"/>
      <c r="HD350" s="32"/>
      <c r="HE350" s="32"/>
      <c r="HF350" s="32"/>
      <c r="HG350" s="32"/>
      <c r="HH350" s="32"/>
      <c r="HI350" s="32"/>
      <c r="HJ350" s="32"/>
      <c r="HK350" s="32"/>
      <c r="HL350" s="32"/>
      <c r="HM350" s="32"/>
      <c r="HN350" s="32"/>
      <c r="HO350" s="32"/>
      <c r="HP350" s="32"/>
    </row>
    <row r="351" spans="1:224" x14ac:dyDescent="0.25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  <c r="BF351" s="32"/>
      <c r="BG351" s="32"/>
      <c r="BH351" s="32"/>
      <c r="BI351" s="32"/>
      <c r="BJ351" s="32"/>
      <c r="BK351" s="32"/>
      <c r="BL351" s="32"/>
      <c r="BM351" s="32"/>
      <c r="BN351" s="32"/>
      <c r="BO351" s="32"/>
      <c r="BP351" s="32"/>
      <c r="BQ351" s="32"/>
      <c r="BR351" s="32"/>
      <c r="BS351" s="32"/>
      <c r="BT351" s="32"/>
      <c r="BU351" s="32"/>
      <c r="BV351" s="32"/>
      <c r="BW351" s="32"/>
      <c r="BX351" s="32"/>
      <c r="BY351" s="32"/>
      <c r="BZ351" s="32"/>
      <c r="CA351" s="32"/>
      <c r="CB351" s="32"/>
      <c r="CC351" s="32"/>
      <c r="CD351" s="32"/>
      <c r="CE351" s="32"/>
      <c r="CF351" s="32"/>
      <c r="CG351" s="32"/>
      <c r="CH351" s="32"/>
      <c r="CI351" s="32"/>
      <c r="CJ351" s="32"/>
      <c r="CK351" s="32"/>
      <c r="CL351" s="32"/>
      <c r="CM351" s="32"/>
      <c r="CN351" s="32"/>
      <c r="CO351" s="32"/>
      <c r="CP351" s="32"/>
      <c r="CQ351" s="32"/>
      <c r="CR351" s="32"/>
      <c r="CS351" s="32"/>
      <c r="CT351" s="32"/>
      <c r="CU351" s="32"/>
      <c r="CV351" s="32"/>
      <c r="CW351" s="32"/>
      <c r="CX351" s="32"/>
      <c r="CY351" s="32"/>
      <c r="CZ351" s="32"/>
      <c r="DA351" s="32"/>
      <c r="DB351" s="32"/>
      <c r="DC351" s="32"/>
      <c r="DD351" s="32"/>
      <c r="DE351" s="32"/>
      <c r="DF351" s="32"/>
      <c r="DG351" s="32"/>
      <c r="DH351" s="32"/>
      <c r="DI351" s="32"/>
      <c r="DJ351" s="32"/>
      <c r="DK351" s="32"/>
      <c r="DL351" s="32"/>
      <c r="DM351" s="32"/>
      <c r="DN351" s="32"/>
      <c r="DO351" s="32"/>
      <c r="DP351" s="32"/>
      <c r="DQ351" s="32"/>
      <c r="DR351" s="32"/>
      <c r="DS351" s="32"/>
      <c r="DT351" s="32"/>
      <c r="DU351" s="32"/>
      <c r="DV351" s="32"/>
      <c r="DW351" s="32"/>
      <c r="DX351" s="32"/>
      <c r="DY351" s="32"/>
      <c r="DZ351" s="32"/>
      <c r="EA351" s="32"/>
      <c r="EB351" s="32"/>
      <c r="EC351" s="32"/>
      <c r="ED351" s="32"/>
      <c r="EE351" s="32"/>
      <c r="EF351" s="32"/>
      <c r="EG351" s="32"/>
      <c r="EH351" s="32"/>
      <c r="EI351" s="32"/>
      <c r="EJ351" s="32"/>
      <c r="EK351" s="32"/>
      <c r="EL351" s="32"/>
      <c r="EM351" s="32"/>
      <c r="EN351" s="32"/>
      <c r="EO351" s="32"/>
      <c r="EP351" s="32"/>
      <c r="EQ351" s="32"/>
      <c r="ER351" s="32"/>
      <c r="ES351" s="32"/>
      <c r="ET351" s="32"/>
      <c r="EU351" s="32"/>
      <c r="EV351" s="32"/>
      <c r="EW351" s="32"/>
      <c r="EX351" s="32"/>
      <c r="EY351" s="32"/>
      <c r="EZ351" s="32"/>
      <c r="FA351" s="32"/>
      <c r="FB351" s="32"/>
      <c r="FC351" s="32"/>
      <c r="FD351" s="32"/>
      <c r="FE351" s="32"/>
      <c r="FF351" s="32"/>
      <c r="FG351" s="32"/>
      <c r="FH351" s="32"/>
      <c r="FI351" s="32"/>
      <c r="FJ351" s="32"/>
      <c r="FK351" s="32"/>
      <c r="FL351" s="32"/>
      <c r="FM351" s="32"/>
      <c r="FN351" s="32"/>
      <c r="FO351" s="32"/>
      <c r="FP351" s="32"/>
      <c r="FQ351" s="32"/>
      <c r="FR351" s="32"/>
      <c r="FS351" s="32"/>
      <c r="FT351" s="32"/>
      <c r="FU351" s="32"/>
      <c r="FV351" s="32"/>
      <c r="FW351" s="32"/>
      <c r="FX351" s="32"/>
      <c r="FY351" s="32"/>
      <c r="FZ351" s="32"/>
      <c r="GA351" s="32"/>
      <c r="GB351" s="32"/>
      <c r="GC351" s="32"/>
      <c r="GD351" s="32"/>
      <c r="GE351" s="32"/>
      <c r="GF351" s="32"/>
      <c r="GG351" s="32"/>
      <c r="GH351" s="32"/>
      <c r="GI351" s="32"/>
      <c r="GJ351" s="32"/>
      <c r="GK351" s="32"/>
      <c r="GL351" s="32"/>
      <c r="GM351" s="32"/>
      <c r="GN351" s="32"/>
      <c r="GO351" s="32"/>
      <c r="GP351" s="32"/>
      <c r="GQ351" s="32"/>
      <c r="GR351" s="32"/>
      <c r="GS351" s="32"/>
      <c r="GT351" s="32"/>
      <c r="GU351" s="32"/>
      <c r="GV351" s="32"/>
      <c r="GW351" s="32"/>
      <c r="GX351" s="32"/>
      <c r="GY351" s="32"/>
      <c r="GZ351" s="32"/>
      <c r="HA351" s="32"/>
      <c r="HB351" s="32"/>
      <c r="HC351" s="32"/>
      <c r="HD351" s="32"/>
      <c r="HE351" s="32"/>
      <c r="HF351" s="32"/>
      <c r="HG351" s="32"/>
      <c r="HH351" s="32"/>
      <c r="HI351" s="32"/>
      <c r="HJ351" s="32"/>
      <c r="HK351" s="32"/>
      <c r="HL351" s="32"/>
      <c r="HM351" s="32"/>
      <c r="HN351" s="32"/>
      <c r="HO351" s="32"/>
      <c r="HP351" s="32"/>
    </row>
    <row r="352" spans="1:224" x14ac:dyDescent="0.25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  <c r="BG352" s="32"/>
      <c r="BH352" s="32"/>
      <c r="BI352" s="32"/>
      <c r="BJ352" s="32"/>
      <c r="BK352" s="32"/>
      <c r="BL352" s="32"/>
      <c r="BM352" s="32"/>
      <c r="BN352" s="32"/>
      <c r="BO352" s="32"/>
      <c r="BP352" s="32"/>
      <c r="BQ352" s="32"/>
      <c r="BR352" s="32"/>
      <c r="BS352" s="32"/>
      <c r="BT352" s="32"/>
      <c r="BU352" s="32"/>
      <c r="BV352" s="32"/>
      <c r="BW352" s="32"/>
      <c r="BX352" s="32"/>
      <c r="BY352" s="32"/>
      <c r="BZ352" s="32"/>
      <c r="CA352" s="32"/>
      <c r="CB352" s="32"/>
      <c r="CC352" s="32"/>
      <c r="CD352" s="32"/>
      <c r="CE352" s="32"/>
      <c r="CF352" s="32"/>
      <c r="CG352" s="32"/>
      <c r="CH352" s="32"/>
      <c r="CI352" s="32"/>
      <c r="CJ352" s="32"/>
      <c r="CK352" s="32"/>
      <c r="CL352" s="32"/>
      <c r="CM352" s="32"/>
      <c r="CN352" s="32"/>
      <c r="CO352" s="32"/>
      <c r="CP352" s="32"/>
      <c r="CQ352" s="32"/>
      <c r="CR352" s="32"/>
      <c r="CS352" s="32"/>
      <c r="CT352" s="32"/>
      <c r="CU352" s="32"/>
      <c r="CV352" s="32"/>
      <c r="CW352" s="32"/>
      <c r="CX352" s="32"/>
      <c r="CY352" s="32"/>
      <c r="CZ352" s="32"/>
      <c r="DA352" s="32"/>
      <c r="DB352" s="32"/>
      <c r="DC352" s="32"/>
      <c r="DD352" s="32"/>
      <c r="DE352" s="32"/>
      <c r="DF352" s="32"/>
      <c r="DG352" s="32"/>
      <c r="DH352" s="32"/>
      <c r="DI352" s="32"/>
      <c r="DJ352" s="32"/>
      <c r="DK352" s="32"/>
      <c r="DL352" s="32"/>
      <c r="DM352" s="32"/>
      <c r="DN352" s="32"/>
      <c r="DO352" s="32"/>
      <c r="DP352" s="32"/>
      <c r="DQ352" s="32"/>
      <c r="DR352" s="32"/>
      <c r="DS352" s="32"/>
      <c r="DT352" s="32"/>
      <c r="DU352" s="32"/>
      <c r="DV352" s="32"/>
      <c r="DW352" s="32"/>
      <c r="DX352" s="32"/>
      <c r="DY352" s="32"/>
      <c r="DZ352" s="32"/>
      <c r="EA352" s="32"/>
      <c r="EB352" s="32"/>
      <c r="EC352" s="32"/>
      <c r="ED352" s="32"/>
      <c r="EE352" s="32"/>
      <c r="EF352" s="32"/>
      <c r="EG352" s="32"/>
      <c r="EH352" s="32"/>
      <c r="EI352" s="32"/>
      <c r="EJ352" s="32"/>
      <c r="EK352" s="32"/>
      <c r="EL352" s="32"/>
      <c r="EM352" s="32"/>
      <c r="EN352" s="32"/>
      <c r="EO352" s="32"/>
      <c r="EP352" s="32"/>
      <c r="EQ352" s="32"/>
      <c r="ER352" s="32"/>
      <c r="ES352" s="32"/>
      <c r="ET352" s="32"/>
      <c r="EU352" s="32"/>
      <c r="EV352" s="32"/>
      <c r="EW352" s="32"/>
      <c r="EX352" s="32"/>
      <c r="EY352" s="32"/>
      <c r="EZ352" s="32"/>
      <c r="FA352" s="32"/>
      <c r="FB352" s="32"/>
      <c r="FC352" s="32"/>
      <c r="FD352" s="32"/>
      <c r="FE352" s="32"/>
      <c r="FF352" s="32"/>
      <c r="FG352" s="32"/>
      <c r="FH352" s="32"/>
      <c r="FI352" s="32"/>
      <c r="FJ352" s="32"/>
      <c r="FK352" s="32"/>
      <c r="FL352" s="32"/>
      <c r="FM352" s="32"/>
      <c r="FN352" s="32"/>
      <c r="FO352" s="32"/>
      <c r="FP352" s="32"/>
      <c r="FQ352" s="32"/>
      <c r="FR352" s="32"/>
      <c r="FS352" s="32"/>
      <c r="FT352" s="32"/>
      <c r="FU352" s="32"/>
      <c r="FV352" s="32"/>
      <c r="FW352" s="32"/>
      <c r="FX352" s="32"/>
      <c r="FY352" s="32"/>
      <c r="FZ352" s="32"/>
      <c r="GA352" s="32"/>
      <c r="GB352" s="32"/>
      <c r="GC352" s="32"/>
      <c r="GD352" s="32"/>
      <c r="GE352" s="32"/>
      <c r="GF352" s="32"/>
      <c r="GG352" s="32"/>
      <c r="GH352" s="32"/>
      <c r="GI352" s="32"/>
      <c r="GJ352" s="32"/>
      <c r="GK352" s="32"/>
      <c r="GL352" s="32"/>
      <c r="GM352" s="32"/>
      <c r="GN352" s="32"/>
      <c r="GO352" s="32"/>
      <c r="GP352" s="32"/>
      <c r="GQ352" s="32"/>
      <c r="GR352" s="32"/>
      <c r="GS352" s="32"/>
      <c r="GT352" s="32"/>
      <c r="GU352" s="32"/>
      <c r="GV352" s="32"/>
      <c r="GW352" s="32"/>
      <c r="GX352" s="32"/>
      <c r="GY352" s="32"/>
      <c r="GZ352" s="32"/>
      <c r="HA352" s="32"/>
      <c r="HB352" s="32"/>
      <c r="HC352" s="32"/>
      <c r="HD352" s="32"/>
      <c r="HE352" s="32"/>
      <c r="HF352" s="32"/>
      <c r="HG352" s="32"/>
      <c r="HH352" s="32"/>
      <c r="HI352" s="32"/>
      <c r="HJ352" s="32"/>
      <c r="HK352" s="32"/>
      <c r="HL352" s="32"/>
      <c r="HM352" s="32"/>
      <c r="HN352" s="32"/>
      <c r="HO352" s="32"/>
      <c r="HP352" s="32"/>
    </row>
    <row r="353" spans="1:224" x14ac:dyDescent="0.25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BH353" s="32"/>
      <c r="BI353" s="32"/>
      <c r="BJ353" s="32"/>
      <c r="BK353" s="32"/>
      <c r="BL353" s="32"/>
      <c r="BM353" s="32"/>
      <c r="BN353" s="32"/>
      <c r="BO353" s="32"/>
      <c r="BP353" s="32"/>
      <c r="BQ353" s="32"/>
      <c r="BR353" s="32"/>
      <c r="BS353" s="32"/>
      <c r="BT353" s="32"/>
      <c r="BU353" s="32"/>
      <c r="BV353" s="32"/>
      <c r="BW353" s="32"/>
      <c r="BX353" s="32"/>
      <c r="BY353" s="32"/>
      <c r="BZ353" s="32"/>
      <c r="CA353" s="32"/>
      <c r="CB353" s="32"/>
      <c r="CC353" s="32"/>
      <c r="CD353" s="32"/>
      <c r="CE353" s="32"/>
      <c r="CF353" s="32"/>
      <c r="CG353" s="32"/>
      <c r="CH353" s="32"/>
      <c r="CI353" s="32"/>
      <c r="CJ353" s="32"/>
      <c r="CK353" s="32"/>
      <c r="CL353" s="32"/>
      <c r="CM353" s="32"/>
      <c r="CN353" s="32"/>
      <c r="CO353" s="32"/>
      <c r="CP353" s="32"/>
      <c r="CQ353" s="32"/>
      <c r="CR353" s="32"/>
      <c r="CS353" s="32"/>
      <c r="CT353" s="32"/>
      <c r="CU353" s="32"/>
      <c r="CV353" s="32"/>
      <c r="CW353" s="32"/>
      <c r="CX353" s="32"/>
      <c r="CY353" s="32"/>
      <c r="CZ353" s="32"/>
      <c r="DA353" s="32"/>
      <c r="DB353" s="32"/>
      <c r="DC353" s="32"/>
      <c r="DD353" s="32"/>
      <c r="DE353" s="32"/>
      <c r="DF353" s="32"/>
      <c r="DG353" s="32"/>
      <c r="DH353" s="32"/>
      <c r="DI353" s="32"/>
      <c r="DJ353" s="32"/>
      <c r="DK353" s="32"/>
      <c r="DL353" s="32"/>
      <c r="DM353" s="32"/>
      <c r="DN353" s="32"/>
      <c r="DO353" s="32"/>
      <c r="DP353" s="32"/>
      <c r="DQ353" s="32"/>
      <c r="DR353" s="32"/>
      <c r="DS353" s="32"/>
      <c r="DT353" s="32"/>
      <c r="DU353" s="32"/>
      <c r="DV353" s="32"/>
      <c r="DW353" s="32"/>
      <c r="DX353" s="32"/>
      <c r="DY353" s="32"/>
      <c r="DZ353" s="32"/>
      <c r="EA353" s="32"/>
      <c r="EB353" s="32"/>
      <c r="EC353" s="32"/>
      <c r="ED353" s="32"/>
      <c r="EE353" s="32"/>
      <c r="EF353" s="32"/>
      <c r="EG353" s="32"/>
      <c r="EH353" s="32"/>
      <c r="EI353" s="32"/>
      <c r="EJ353" s="32"/>
      <c r="EK353" s="32"/>
      <c r="EL353" s="32"/>
      <c r="EM353" s="32"/>
      <c r="EN353" s="32"/>
      <c r="EO353" s="32"/>
      <c r="EP353" s="32"/>
      <c r="EQ353" s="32"/>
      <c r="ER353" s="32"/>
      <c r="ES353" s="32"/>
      <c r="ET353" s="32"/>
      <c r="EU353" s="32"/>
      <c r="EV353" s="32"/>
      <c r="EW353" s="32"/>
      <c r="EX353" s="32"/>
      <c r="EY353" s="32"/>
      <c r="EZ353" s="32"/>
      <c r="FA353" s="32"/>
      <c r="FB353" s="32"/>
      <c r="FC353" s="32"/>
      <c r="FD353" s="32"/>
      <c r="FE353" s="32"/>
      <c r="FF353" s="32"/>
      <c r="FG353" s="32"/>
      <c r="FH353" s="32"/>
      <c r="FI353" s="32"/>
      <c r="FJ353" s="32"/>
      <c r="FK353" s="32"/>
      <c r="FL353" s="32"/>
      <c r="FM353" s="32"/>
      <c r="FN353" s="32"/>
      <c r="FO353" s="32"/>
      <c r="FP353" s="32"/>
      <c r="FQ353" s="32"/>
      <c r="FR353" s="32"/>
      <c r="FS353" s="32"/>
      <c r="FT353" s="32"/>
      <c r="FU353" s="32"/>
      <c r="FV353" s="32"/>
      <c r="FW353" s="32"/>
      <c r="FX353" s="32"/>
      <c r="FY353" s="32"/>
      <c r="FZ353" s="32"/>
      <c r="GA353" s="32"/>
      <c r="GB353" s="32"/>
      <c r="GC353" s="32"/>
      <c r="GD353" s="32"/>
      <c r="GE353" s="32"/>
      <c r="GF353" s="32"/>
      <c r="GG353" s="32"/>
      <c r="GH353" s="32"/>
      <c r="GI353" s="32"/>
      <c r="GJ353" s="32"/>
      <c r="GK353" s="32"/>
      <c r="GL353" s="32"/>
      <c r="GM353" s="32"/>
      <c r="GN353" s="32"/>
      <c r="GO353" s="32"/>
      <c r="GP353" s="32"/>
      <c r="GQ353" s="32"/>
      <c r="GR353" s="32"/>
      <c r="GS353" s="32"/>
      <c r="GT353" s="32"/>
      <c r="GU353" s="32"/>
      <c r="GV353" s="32"/>
      <c r="GW353" s="32"/>
      <c r="GX353" s="32"/>
      <c r="GY353" s="32"/>
      <c r="GZ353" s="32"/>
      <c r="HA353" s="32"/>
      <c r="HB353" s="32"/>
      <c r="HC353" s="32"/>
      <c r="HD353" s="32"/>
      <c r="HE353" s="32"/>
      <c r="HF353" s="32"/>
      <c r="HG353" s="32"/>
      <c r="HH353" s="32"/>
      <c r="HI353" s="32"/>
      <c r="HJ353" s="32"/>
      <c r="HK353" s="32"/>
      <c r="HL353" s="32"/>
      <c r="HM353" s="32"/>
      <c r="HN353" s="32"/>
      <c r="HO353" s="32"/>
      <c r="HP353" s="32"/>
    </row>
    <row r="354" spans="1:224" x14ac:dyDescent="0.25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  <c r="BG354" s="32"/>
      <c r="BH354" s="32"/>
      <c r="BI354" s="32"/>
      <c r="BJ354" s="32"/>
      <c r="BK354" s="32"/>
      <c r="BL354" s="32"/>
      <c r="BM354" s="32"/>
      <c r="BN354" s="32"/>
      <c r="BO354" s="32"/>
      <c r="BP354" s="32"/>
      <c r="BQ354" s="32"/>
      <c r="BR354" s="32"/>
      <c r="BS354" s="32"/>
      <c r="BT354" s="32"/>
      <c r="BU354" s="32"/>
      <c r="BV354" s="32"/>
      <c r="BW354" s="32"/>
      <c r="BX354" s="32"/>
      <c r="BY354" s="32"/>
      <c r="BZ354" s="32"/>
      <c r="CA354" s="32"/>
      <c r="CB354" s="32"/>
      <c r="CC354" s="32"/>
      <c r="CD354" s="32"/>
      <c r="CE354" s="32"/>
      <c r="CF354" s="32"/>
      <c r="CG354" s="32"/>
      <c r="CH354" s="32"/>
      <c r="CI354" s="32"/>
      <c r="CJ354" s="32"/>
      <c r="CK354" s="32"/>
      <c r="CL354" s="32"/>
      <c r="CM354" s="32"/>
      <c r="CN354" s="32"/>
      <c r="CO354" s="32"/>
      <c r="CP354" s="32"/>
      <c r="CQ354" s="32"/>
      <c r="CR354" s="32"/>
      <c r="CS354" s="32"/>
      <c r="CT354" s="32"/>
      <c r="CU354" s="32"/>
      <c r="CV354" s="32"/>
      <c r="CW354" s="32"/>
      <c r="CX354" s="32"/>
      <c r="CY354" s="32"/>
      <c r="CZ354" s="32"/>
      <c r="DA354" s="32"/>
      <c r="DB354" s="32"/>
      <c r="DC354" s="32"/>
      <c r="DD354" s="32"/>
      <c r="DE354" s="32"/>
      <c r="DF354" s="32"/>
      <c r="DG354" s="32"/>
      <c r="DH354" s="32"/>
      <c r="DI354" s="32"/>
      <c r="DJ354" s="32"/>
      <c r="DK354" s="32"/>
      <c r="DL354" s="32"/>
      <c r="DM354" s="32"/>
      <c r="DN354" s="32"/>
      <c r="DO354" s="32"/>
      <c r="DP354" s="32"/>
      <c r="DQ354" s="32"/>
      <c r="DR354" s="32"/>
      <c r="DS354" s="32"/>
      <c r="DT354" s="32"/>
      <c r="DU354" s="32"/>
      <c r="DV354" s="32"/>
      <c r="DW354" s="32"/>
      <c r="DX354" s="32"/>
      <c r="DY354" s="32"/>
      <c r="DZ354" s="32"/>
      <c r="EA354" s="32"/>
      <c r="EB354" s="32"/>
      <c r="EC354" s="32"/>
      <c r="ED354" s="32"/>
      <c r="EE354" s="32"/>
      <c r="EF354" s="32"/>
      <c r="EG354" s="32"/>
      <c r="EH354" s="32"/>
      <c r="EI354" s="32"/>
      <c r="EJ354" s="32"/>
      <c r="EK354" s="32"/>
      <c r="EL354" s="32"/>
      <c r="EM354" s="32"/>
      <c r="EN354" s="32"/>
      <c r="EO354" s="32"/>
      <c r="EP354" s="32"/>
      <c r="EQ354" s="32"/>
      <c r="ER354" s="32"/>
      <c r="ES354" s="32"/>
      <c r="ET354" s="32"/>
      <c r="EU354" s="32"/>
      <c r="EV354" s="32"/>
      <c r="EW354" s="32"/>
      <c r="EX354" s="32"/>
      <c r="EY354" s="32"/>
      <c r="EZ354" s="32"/>
      <c r="FA354" s="32"/>
      <c r="FB354" s="32"/>
      <c r="FC354" s="32"/>
      <c r="FD354" s="32"/>
      <c r="FE354" s="32"/>
      <c r="FF354" s="32"/>
      <c r="FG354" s="32"/>
      <c r="FH354" s="32"/>
      <c r="FI354" s="32"/>
      <c r="FJ354" s="32"/>
      <c r="FK354" s="32"/>
      <c r="FL354" s="32"/>
      <c r="FM354" s="32"/>
      <c r="FN354" s="32"/>
      <c r="FO354" s="32"/>
      <c r="FP354" s="32"/>
      <c r="FQ354" s="32"/>
      <c r="FR354" s="32"/>
      <c r="FS354" s="32"/>
      <c r="FT354" s="32"/>
      <c r="FU354" s="32"/>
      <c r="FV354" s="32"/>
      <c r="FW354" s="32"/>
      <c r="FX354" s="32"/>
      <c r="FY354" s="32"/>
      <c r="FZ354" s="32"/>
      <c r="GA354" s="32"/>
      <c r="GB354" s="32"/>
      <c r="GC354" s="32"/>
      <c r="GD354" s="32"/>
      <c r="GE354" s="32"/>
      <c r="GF354" s="32"/>
      <c r="GG354" s="32"/>
      <c r="GH354" s="32"/>
      <c r="GI354" s="32"/>
      <c r="GJ354" s="32"/>
      <c r="GK354" s="32"/>
      <c r="GL354" s="32"/>
      <c r="GM354" s="32"/>
      <c r="GN354" s="32"/>
      <c r="GO354" s="32"/>
      <c r="GP354" s="32"/>
      <c r="GQ354" s="32"/>
      <c r="GR354" s="32"/>
      <c r="GS354" s="32"/>
      <c r="GT354" s="32"/>
      <c r="GU354" s="32"/>
      <c r="GV354" s="32"/>
      <c r="GW354" s="32"/>
      <c r="GX354" s="32"/>
      <c r="GY354" s="32"/>
      <c r="GZ354" s="32"/>
      <c r="HA354" s="32"/>
      <c r="HB354" s="32"/>
      <c r="HC354" s="32"/>
      <c r="HD354" s="32"/>
      <c r="HE354" s="32"/>
      <c r="HF354" s="32"/>
      <c r="HG354" s="32"/>
      <c r="HH354" s="32"/>
      <c r="HI354" s="32"/>
      <c r="HJ354" s="32"/>
      <c r="HK354" s="32"/>
      <c r="HL354" s="32"/>
      <c r="HM354" s="32"/>
      <c r="HN354" s="32"/>
      <c r="HO354" s="32"/>
      <c r="HP354" s="32"/>
    </row>
    <row r="355" spans="1:224" x14ac:dyDescent="0.2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  <c r="BF355" s="32"/>
      <c r="BG355" s="32"/>
      <c r="BH355" s="32"/>
      <c r="BI355" s="32"/>
      <c r="BJ355" s="32"/>
      <c r="BK355" s="32"/>
      <c r="BL355" s="32"/>
      <c r="BM355" s="32"/>
      <c r="BN355" s="32"/>
      <c r="BO355" s="32"/>
      <c r="BP355" s="32"/>
      <c r="BQ355" s="32"/>
      <c r="BR355" s="32"/>
      <c r="BS355" s="32"/>
      <c r="BT355" s="32"/>
      <c r="BU355" s="32"/>
      <c r="BV355" s="32"/>
      <c r="BW355" s="32"/>
      <c r="BX355" s="32"/>
      <c r="BY355" s="32"/>
      <c r="BZ355" s="32"/>
      <c r="CA355" s="32"/>
      <c r="CB355" s="32"/>
      <c r="CC355" s="32"/>
      <c r="CD355" s="32"/>
      <c r="CE355" s="32"/>
      <c r="CF355" s="32"/>
      <c r="CG355" s="32"/>
      <c r="CH355" s="32"/>
      <c r="CI355" s="32"/>
      <c r="CJ355" s="32"/>
      <c r="CK355" s="32"/>
      <c r="CL355" s="32"/>
      <c r="CM355" s="32"/>
      <c r="CN355" s="32"/>
      <c r="CO355" s="32"/>
      <c r="CP355" s="32"/>
      <c r="CQ355" s="32"/>
      <c r="CR355" s="32"/>
      <c r="CS355" s="32"/>
      <c r="CT355" s="32"/>
      <c r="CU355" s="32"/>
      <c r="CV355" s="32"/>
      <c r="CW355" s="32"/>
      <c r="CX355" s="32"/>
      <c r="CY355" s="32"/>
      <c r="CZ355" s="32"/>
      <c r="DA355" s="32"/>
      <c r="DB355" s="32"/>
      <c r="DC355" s="32"/>
      <c r="DD355" s="32"/>
      <c r="DE355" s="32"/>
      <c r="DF355" s="32"/>
      <c r="DG355" s="32"/>
      <c r="DH355" s="32"/>
      <c r="DI355" s="32"/>
      <c r="DJ355" s="32"/>
      <c r="DK355" s="32"/>
      <c r="DL355" s="32"/>
      <c r="DM355" s="32"/>
      <c r="DN355" s="32"/>
      <c r="DO355" s="32"/>
      <c r="DP355" s="32"/>
      <c r="DQ355" s="32"/>
      <c r="DR355" s="32"/>
      <c r="DS355" s="32"/>
      <c r="DT355" s="32"/>
      <c r="DU355" s="32"/>
      <c r="DV355" s="32"/>
      <c r="DW355" s="32"/>
      <c r="DX355" s="32"/>
      <c r="DY355" s="32"/>
      <c r="DZ355" s="32"/>
      <c r="EA355" s="32"/>
      <c r="EB355" s="32"/>
      <c r="EC355" s="32"/>
      <c r="ED355" s="32"/>
      <c r="EE355" s="32"/>
      <c r="EF355" s="32"/>
      <c r="EG355" s="32"/>
      <c r="EH355" s="32"/>
      <c r="EI355" s="32"/>
      <c r="EJ355" s="32"/>
      <c r="EK355" s="32"/>
      <c r="EL355" s="32"/>
      <c r="EM355" s="32"/>
      <c r="EN355" s="32"/>
      <c r="EO355" s="32"/>
      <c r="EP355" s="32"/>
      <c r="EQ355" s="32"/>
      <c r="ER355" s="32"/>
      <c r="ES355" s="32"/>
      <c r="ET355" s="32"/>
      <c r="EU355" s="32"/>
      <c r="EV355" s="32"/>
      <c r="EW355" s="32"/>
      <c r="EX355" s="32"/>
      <c r="EY355" s="32"/>
      <c r="EZ355" s="32"/>
      <c r="FA355" s="32"/>
      <c r="FB355" s="32"/>
      <c r="FC355" s="32"/>
      <c r="FD355" s="32"/>
      <c r="FE355" s="32"/>
      <c r="FF355" s="32"/>
      <c r="FG355" s="32"/>
      <c r="FH355" s="32"/>
      <c r="FI355" s="32"/>
      <c r="FJ355" s="32"/>
      <c r="FK355" s="32"/>
      <c r="FL355" s="32"/>
      <c r="FM355" s="32"/>
      <c r="FN355" s="32"/>
      <c r="FO355" s="32"/>
      <c r="FP355" s="32"/>
      <c r="FQ355" s="32"/>
      <c r="FR355" s="32"/>
      <c r="FS355" s="32"/>
      <c r="FT355" s="32"/>
      <c r="FU355" s="32"/>
      <c r="FV355" s="32"/>
      <c r="FW355" s="32"/>
      <c r="FX355" s="32"/>
      <c r="FY355" s="32"/>
      <c r="FZ355" s="32"/>
      <c r="GA355" s="32"/>
      <c r="GB355" s="32"/>
      <c r="GC355" s="32"/>
      <c r="GD355" s="32"/>
      <c r="GE355" s="32"/>
      <c r="GF355" s="32"/>
      <c r="GG355" s="32"/>
      <c r="GH355" s="32"/>
      <c r="GI355" s="32"/>
      <c r="GJ355" s="32"/>
      <c r="GK355" s="32"/>
      <c r="GL355" s="32"/>
      <c r="GM355" s="32"/>
      <c r="GN355" s="32"/>
      <c r="GO355" s="32"/>
      <c r="GP355" s="32"/>
      <c r="GQ355" s="32"/>
      <c r="GR355" s="32"/>
      <c r="GS355" s="32"/>
      <c r="GT355" s="32"/>
      <c r="GU355" s="32"/>
      <c r="GV355" s="32"/>
      <c r="GW355" s="32"/>
      <c r="GX355" s="32"/>
      <c r="GY355" s="32"/>
      <c r="GZ355" s="32"/>
      <c r="HA355" s="32"/>
      <c r="HB355" s="32"/>
      <c r="HC355" s="32"/>
      <c r="HD355" s="32"/>
      <c r="HE355" s="32"/>
      <c r="HF355" s="32"/>
      <c r="HG355" s="32"/>
      <c r="HH355" s="32"/>
      <c r="HI355" s="32"/>
      <c r="HJ355" s="32"/>
      <c r="HK355" s="32"/>
      <c r="HL355" s="32"/>
      <c r="HM355" s="32"/>
      <c r="HN355" s="32"/>
      <c r="HO355" s="32"/>
      <c r="HP355" s="32"/>
    </row>
    <row r="356" spans="1:224" x14ac:dyDescent="0.25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  <c r="BG356" s="32"/>
      <c r="BH356" s="32"/>
      <c r="BI356" s="32"/>
      <c r="BJ356" s="32"/>
      <c r="BK356" s="32"/>
      <c r="BL356" s="32"/>
      <c r="BM356" s="32"/>
      <c r="BN356" s="32"/>
      <c r="BO356" s="32"/>
      <c r="BP356" s="32"/>
      <c r="BQ356" s="32"/>
      <c r="BR356" s="32"/>
      <c r="BS356" s="32"/>
      <c r="BT356" s="32"/>
      <c r="BU356" s="32"/>
      <c r="BV356" s="32"/>
      <c r="BW356" s="32"/>
      <c r="BX356" s="32"/>
      <c r="BY356" s="32"/>
      <c r="BZ356" s="32"/>
      <c r="CA356" s="32"/>
      <c r="CB356" s="32"/>
      <c r="CC356" s="32"/>
      <c r="CD356" s="32"/>
      <c r="CE356" s="32"/>
      <c r="CF356" s="32"/>
      <c r="CG356" s="32"/>
      <c r="CH356" s="32"/>
      <c r="CI356" s="32"/>
      <c r="CJ356" s="32"/>
      <c r="CK356" s="32"/>
      <c r="CL356" s="32"/>
      <c r="CM356" s="32"/>
      <c r="CN356" s="32"/>
      <c r="CO356" s="32"/>
      <c r="CP356" s="32"/>
      <c r="CQ356" s="32"/>
      <c r="CR356" s="32"/>
      <c r="CS356" s="32"/>
      <c r="CT356" s="32"/>
      <c r="CU356" s="32"/>
      <c r="CV356" s="32"/>
      <c r="CW356" s="32"/>
      <c r="CX356" s="32"/>
      <c r="CY356" s="32"/>
      <c r="CZ356" s="32"/>
      <c r="DA356" s="32"/>
      <c r="DB356" s="32"/>
      <c r="DC356" s="32"/>
      <c r="DD356" s="32"/>
      <c r="DE356" s="32"/>
      <c r="DF356" s="32"/>
      <c r="DG356" s="32"/>
      <c r="DH356" s="32"/>
      <c r="DI356" s="32"/>
      <c r="DJ356" s="32"/>
      <c r="DK356" s="32"/>
      <c r="DL356" s="32"/>
      <c r="DM356" s="32"/>
      <c r="DN356" s="32"/>
      <c r="DO356" s="32"/>
      <c r="DP356" s="32"/>
      <c r="DQ356" s="32"/>
      <c r="DR356" s="32"/>
      <c r="DS356" s="32"/>
      <c r="DT356" s="32"/>
      <c r="DU356" s="32"/>
      <c r="DV356" s="32"/>
      <c r="DW356" s="32"/>
      <c r="DX356" s="32"/>
      <c r="DY356" s="32"/>
      <c r="DZ356" s="32"/>
      <c r="EA356" s="32"/>
      <c r="EB356" s="32"/>
      <c r="EC356" s="32"/>
      <c r="ED356" s="32"/>
      <c r="EE356" s="32"/>
      <c r="EF356" s="32"/>
      <c r="EG356" s="32"/>
      <c r="EH356" s="32"/>
      <c r="EI356" s="32"/>
      <c r="EJ356" s="32"/>
      <c r="EK356" s="32"/>
      <c r="EL356" s="32"/>
      <c r="EM356" s="32"/>
      <c r="EN356" s="32"/>
      <c r="EO356" s="32"/>
      <c r="EP356" s="32"/>
      <c r="EQ356" s="32"/>
      <c r="ER356" s="32"/>
      <c r="ES356" s="32"/>
      <c r="ET356" s="32"/>
      <c r="EU356" s="32"/>
      <c r="EV356" s="32"/>
      <c r="EW356" s="32"/>
      <c r="EX356" s="32"/>
      <c r="EY356" s="32"/>
      <c r="EZ356" s="32"/>
      <c r="FA356" s="32"/>
      <c r="FB356" s="32"/>
      <c r="FC356" s="32"/>
      <c r="FD356" s="32"/>
      <c r="FE356" s="32"/>
      <c r="FF356" s="32"/>
      <c r="FG356" s="32"/>
      <c r="FH356" s="32"/>
      <c r="FI356" s="32"/>
      <c r="FJ356" s="32"/>
      <c r="FK356" s="32"/>
      <c r="FL356" s="32"/>
      <c r="FM356" s="32"/>
      <c r="FN356" s="32"/>
      <c r="FO356" s="32"/>
      <c r="FP356" s="32"/>
      <c r="FQ356" s="32"/>
      <c r="FR356" s="32"/>
      <c r="FS356" s="32"/>
      <c r="FT356" s="32"/>
      <c r="FU356" s="32"/>
      <c r="FV356" s="32"/>
      <c r="FW356" s="32"/>
      <c r="FX356" s="32"/>
      <c r="FY356" s="32"/>
      <c r="FZ356" s="32"/>
      <c r="GA356" s="32"/>
      <c r="GB356" s="32"/>
      <c r="GC356" s="32"/>
      <c r="GD356" s="32"/>
      <c r="GE356" s="32"/>
      <c r="GF356" s="32"/>
      <c r="GG356" s="32"/>
      <c r="GH356" s="32"/>
      <c r="GI356" s="32"/>
      <c r="GJ356" s="32"/>
      <c r="GK356" s="32"/>
      <c r="GL356" s="32"/>
      <c r="GM356" s="32"/>
      <c r="GN356" s="32"/>
      <c r="GO356" s="32"/>
      <c r="GP356" s="32"/>
      <c r="GQ356" s="32"/>
      <c r="GR356" s="32"/>
      <c r="GS356" s="32"/>
      <c r="GT356" s="32"/>
      <c r="GU356" s="32"/>
      <c r="GV356" s="32"/>
      <c r="GW356" s="32"/>
      <c r="GX356" s="32"/>
      <c r="GY356" s="32"/>
      <c r="GZ356" s="32"/>
      <c r="HA356" s="32"/>
      <c r="HB356" s="32"/>
      <c r="HC356" s="32"/>
      <c r="HD356" s="32"/>
      <c r="HE356" s="32"/>
      <c r="HF356" s="32"/>
      <c r="HG356" s="32"/>
      <c r="HH356" s="32"/>
      <c r="HI356" s="32"/>
      <c r="HJ356" s="32"/>
      <c r="HK356" s="32"/>
      <c r="HL356" s="32"/>
      <c r="HM356" s="32"/>
      <c r="HN356" s="32"/>
      <c r="HO356" s="32"/>
      <c r="HP356" s="32"/>
    </row>
    <row r="357" spans="1:224" x14ac:dyDescent="0.25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  <c r="BF357" s="32"/>
      <c r="BG357" s="32"/>
      <c r="BH357" s="32"/>
      <c r="BI357" s="32"/>
      <c r="BJ357" s="32"/>
      <c r="BK357" s="32"/>
      <c r="BL357" s="32"/>
      <c r="BM357" s="32"/>
      <c r="BN357" s="32"/>
      <c r="BO357" s="32"/>
      <c r="BP357" s="32"/>
      <c r="BQ357" s="32"/>
      <c r="BR357" s="32"/>
      <c r="BS357" s="32"/>
      <c r="BT357" s="32"/>
      <c r="BU357" s="32"/>
      <c r="BV357" s="32"/>
      <c r="BW357" s="32"/>
      <c r="BX357" s="32"/>
      <c r="BY357" s="32"/>
      <c r="BZ357" s="32"/>
      <c r="CA357" s="32"/>
      <c r="CB357" s="32"/>
      <c r="CC357" s="32"/>
      <c r="CD357" s="32"/>
      <c r="CE357" s="32"/>
      <c r="CF357" s="32"/>
      <c r="CG357" s="32"/>
      <c r="CH357" s="32"/>
      <c r="CI357" s="32"/>
      <c r="CJ357" s="32"/>
      <c r="CK357" s="32"/>
      <c r="CL357" s="32"/>
      <c r="CM357" s="32"/>
      <c r="CN357" s="32"/>
      <c r="CO357" s="32"/>
      <c r="CP357" s="32"/>
      <c r="CQ357" s="32"/>
      <c r="CR357" s="32"/>
      <c r="CS357" s="32"/>
      <c r="CT357" s="32"/>
      <c r="CU357" s="32"/>
      <c r="CV357" s="32"/>
      <c r="CW357" s="32"/>
      <c r="CX357" s="32"/>
      <c r="CY357" s="32"/>
      <c r="CZ357" s="32"/>
      <c r="DA357" s="32"/>
      <c r="DB357" s="32"/>
      <c r="DC357" s="32"/>
      <c r="DD357" s="32"/>
      <c r="DE357" s="32"/>
      <c r="DF357" s="32"/>
      <c r="DG357" s="32"/>
      <c r="DH357" s="32"/>
      <c r="DI357" s="32"/>
      <c r="DJ357" s="32"/>
      <c r="DK357" s="32"/>
      <c r="DL357" s="32"/>
      <c r="DM357" s="32"/>
      <c r="DN357" s="32"/>
      <c r="DO357" s="32"/>
      <c r="DP357" s="32"/>
      <c r="DQ357" s="32"/>
      <c r="DR357" s="32"/>
      <c r="DS357" s="32"/>
      <c r="DT357" s="32"/>
      <c r="DU357" s="32"/>
      <c r="DV357" s="32"/>
      <c r="DW357" s="32"/>
      <c r="DX357" s="32"/>
      <c r="DY357" s="32"/>
      <c r="DZ357" s="32"/>
      <c r="EA357" s="32"/>
      <c r="EB357" s="32"/>
      <c r="EC357" s="32"/>
      <c r="ED357" s="32"/>
      <c r="EE357" s="32"/>
      <c r="EF357" s="32"/>
      <c r="EG357" s="32"/>
      <c r="EH357" s="32"/>
      <c r="EI357" s="32"/>
      <c r="EJ357" s="32"/>
      <c r="EK357" s="32"/>
      <c r="EL357" s="32"/>
      <c r="EM357" s="32"/>
      <c r="EN357" s="32"/>
      <c r="EO357" s="32"/>
      <c r="EP357" s="32"/>
      <c r="EQ357" s="32"/>
      <c r="ER357" s="32"/>
      <c r="ES357" s="32"/>
      <c r="ET357" s="32"/>
      <c r="EU357" s="32"/>
      <c r="EV357" s="32"/>
      <c r="EW357" s="32"/>
      <c r="EX357" s="32"/>
      <c r="EY357" s="32"/>
      <c r="EZ357" s="32"/>
      <c r="FA357" s="32"/>
      <c r="FB357" s="32"/>
      <c r="FC357" s="32"/>
      <c r="FD357" s="32"/>
      <c r="FE357" s="32"/>
      <c r="FF357" s="32"/>
      <c r="FG357" s="32"/>
      <c r="FH357" s="32"/>
      <c r="FI357" s="32"/>
      <c r="FJ357" s="32"/>
      <c r="FK357" s="32"/>
      <c r="FL357" s="32"/>
      <c r="FM357" s="32"/>
      <c r="FN357" s="32"/>
      <c r="FO357" s="32"/>
      <c r="FP357" s="32"/>
      <c r="FQ357" s="32"/>
      <c r="FR357" s="32"/>
      <c r="FS357" s="32"/>
      <c r="FT357" s="32"/>
      <c r="FU357" s="32"/>
      <c r="FV357" s="32"/>
      <c r="FW357" s="32"/>
      <c r="FX357" s="32"/>
      <c r="FY357" s="32"/>
      <c r="FZ357" s="32"/>
      <c r="GA357" s="32"/>
      <c r="GB357" s="32"/>
      <c r="GC357" s="32"/>
      <c r="GD357" s="32"/>
      <c r="GE357" s="32"/>
      <c r="GF357" s="32"/>
      <c r="GG357" s="32"/>
      <c r="GH357" s="32"/>
      <c r="GI357" s="32"/>
      <c r="GJ357" s="32"/>
      <c r="GK357" s="32"/>
      <c r="GL357" s="32"/>
      <c r="GM357" s="32"/>
      <c r="GN357" s="32"/>
      <c r="GO357" s="32"/>
      <c r="GP357" s="32"/>
      <c r="GQ357" s="32"/>
      <c r="GR357" s="32"/>
      <c r="GS357" s="32"/>
      <c r="GT357" s="32"/>
      <c r="GU357" s="32"/>
      <c r="GV357" s="32"/>
      <c r="GW357" s="32"/>
      <c r="GX357" s="32"/>
      <c r="GY357" s="32"/>
      <c r="GZ357" s="32"/>
      <c r="HA357" s="32"/>
      <c r="HB357" s="32"/>
      <c r="HC357" s="32"/>
      <c r="HD357" s="32"/>
      <c r="HE357" s="32"/>
      <c r="HF357" s="32"/>
      <c r="HG357" s="32"/>
      <c r="HH357" s="32"/>
      <c r="HI357" s="32"/>
      <c r="HJ357" s="32"/>
      <c r="HK357" s="32"/>
      <c r="HL357" s="32"/>
      <c r="HM357" s="32"/>
      <c r="HN357" s="32"/>
      <c r="HO357" s="32"/>
      <c r="HP357" s="32"/>
    </row>
    <row r="358" spans="1:224" x14ac:dyDescent="0.25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  <c r="BF358" s="32"/>
      <c r="BG358" s="32"/>
      <c r="BH358" s="32"/>
      <c r="BI358" s="32"/>
      <c r="BJ358" s="32"/>
      <c r="BK358" s="32"/>
      <c r="BL358" s="32"/>
      <c r="BM358" s="32"/>
      <c r="BN358" s="32"/>
      <c r="BO358" s="32"/>
      <c r="BP358" s="32"/>
      <c r="BQ358" s="32"/>
      <c r="BR358" s="32"/>
      <c r="BS358" s="32"/>
      <c r="BT358" s="32"/>
      <c r="BU358" s="32"/>
      <c r="BV358" s="32"/>
      <c r="BW358" s="32"/>
      <c r="BX358" s="32"/>
      <c r="BY358" s="32"/>
      <c r="BZ358" s="32"/>
      <c r="CA358" s="32"/>
      <c r="CB358" s="32"/>
      <c r="CC358" s="32"/>
      <c r="CD358" s="32"/>
      <c r="CE358" s="32"/>
      <c r="CF358" s="32"/>
      <c r="CG358" s="32"/>
      <c r="CH358" s="32"/>
      <c r="CI358" s="32"/>
      <c r="CJ358" s="32"/>
      <c r="CK358" s="32"/>
      <c r="CL358" s="32"/>
      <c r="CM358" s="32"/>
      <c r="CN358" s="32"/>
      <c r="CO358" s="32"/>
      <c r="CP358" s="32"/>
      <c r="CQ358" s="32"/>
      <c r="CR358" s="32"/>
      <c r="CS358" s="32"/>
      <c r="CT358" s="32"/>
      <c r="CU358" s="32"/>
      <c r="CV358" s="32"/>
      <c r="CW358" s="32"/>
      <c r="CX358" s="32"/>
      <c r="CY358" s="32"/>
      <c r="CZ358" s="32"/>
      <c r="DA358" s="32"/>
      <c r="DB358" s="32"/>
      <c r="DC358" s="32"/>
      <c r="DD358" s="32"/>
      <c r="DE358" s="32"/>
      <c r="DF358" s="32"/>
      <c r="DG358" s="32"/>
      <c r="DH358" s="32"/>
      <c r="DI358" s="32"/>
      <c r="DJ358" s="32"/>
      <c r="DK358" s="32"/>
      <c r="DL358" s="32"/>
      <c r="DM358" s="32"/>
      <c r="DN358" s="32"/>
      <c r="DO358" s="32"/>
      <c r="DP358" s="32"/>
      <c r="DQ358" s="32"/>
      <c r="DR358" s="32"/>
      <c r="DS358" s="32"/>
      <c r="DT358" s="32"/>
      <c r="DU358" s="32"/>
      <c r="DV358" s="32"/>
      <c r="DW358" s="32"/>
      <c r="DX358" s="32"/>
      <c r="DY358" s="32"/>
      <c r="DZ358" s="32"/>
      <c r="EA358" s="32"/>
      <c r="EB358" s="32"/>
      <c r="EC358" s="32"/>
      <c r="ED358" s="32"/>
      <c r="EE358" s="32"/>
      <c r="EF358" s="32"/>
      <c r="EG358" s="32"/>
      <c r="EH358" s="32"/>
      <c r="EI358" s="32"/>
      <c r="EJ358" s="32"/>
      <c r="EK358" s="32"/>
      <c r="EL358" s="32"/>
      <c r="EM358" s="32"/>
      <c r="EN358" s="32"/>
      <c r="EO358" s="32"/>
      <c r="EP358" s="32"/>
      <c r="EQ358" s="32"/>
      <c r="ER358" s="32"/>
      <c r="ES358" s="32"/>
      <c r="ET358" s="32"/>
      <c r="EU358" s="32"/>
      <c r="EV358" s="32"/>
      <c r="EW358" s="32"/>
      <c r="EX358" s="32"/>
      <c r="EY358" s="32"/>
      <c r="EZ358" s="32"/>
      <c r="FA358" s="32"/>
      <c r="FB358" s="32"/>
      <c r="FC358" s="32"/>
      <c r="FD358" s="32"/>
      <c r="FE358" s="32"/>
      <c r="FF358" s="32"/>
      <c r="FG358" s="32"/>
      <c r="FH358" s="32"/>
      <c r="FI358" s="32"/>
      <c r="FJ358" s="32"/>
      <c r="FK358" s="32"/>
      <c r="FL358" s="32"/>
      <c r="FM358" s="32"/>
      <c r="FN358" s="32"/>
      <c r="FO358" s="32"/>
      <c r="FP358" s="32"/>
      <c r="FQ358" s="32"/>
      <c r="FR358" s="32"/>
      <c r="FS358" s="32"/>
      <c r="FT358" s="32"/>
      <c r="FU358" s="32"/>
      <c r="FV358" s="32"/>
      <c r="FW358" s="32"/>
      <c r="FX358" s="32"/>
      <c r="FY358" s="32"/>
      <c r="FZ358" s="32"/>
      <c r="GA358" s="32"/>
      <c r="GB358" s="32"/>
      <c r="GC358" s="32"/>
      <c r="GD358" s="32"/>
      <c r="GE358" s="32"/>
      <c r="GF358" s="32"/>
      <c r="GG358" s="32"/>
      <c r="GH358" s="32"/>
      <c r="GI358" s="32"/>
      <c r="GJ358" s="32"/>
      <c r="GK358" s="32"/>
      <c r="GL358" s="32"/>
      <c r="GM358" s="32"/>
      <c r="GN358" s="32"/>
      <c r="GO358" s="32"/>
      <c r="GP358" s="32"/>
      <c r="GQ358" s="32"/>
      <c r="GR358" s="32"/>
      <c r="GS358" s="32"/>
      <c r="GT358" s="32"/>
      <c r="GU358" s="32"/>
      <c r="GV358" s="32"/>
      <c r="GW358" s="32"/>
      <c r="GX358" s="32"/>
      <c r="GY358" s="32"/>
      <c r="GZ358" s="32"/>
      <c r="HA358" s="32"/>
      <c r="HB358" s="32"/>
      <c r="HC358" s="32"/>
      <c r="HD358" s="32"/>
      <c r="HE358" s="32"/>
      <c r="HF358" s="32"/>
      <c r="HG358" s="32"/>
      <c r="HH358" s="32"/>
      <c r="HI358" s="32"/>
      <c r="HJ358" s="32"/>
      <c r="HK358" s="32"/>
      <c r="HL358" s="32"/>
      <c r="HM358" s="32"/>
      <c r="HN358" s="32"/>
      <c r="HO358" s="32"/>
      <c r="HP358" s="32"/>
    </row>
    <row r="359" spans="1:224" x14ac:dyDescent="0.25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  <c r="BG359" s="32"/>
      <c r="BH359" s="32"/>
      <c r="BI359" s="32"/>
      <c r="BJ359" s="32"/>
      <c r="BK359" s="32"/>
      <c r="BL359" s="32"/>
      <c r="BM359" s="32"/>
      <c r="BN359" s="32"/>
      <c r="BO359" s="32"/>
      <c r="BP359" s="32"/>
      <c r="BQ359" s="32"/>
      <c r="BR359" s="32"/>
      <c r="BS359" s="32"/>
      <c r="BT359" s="32"/>
      <c r="BU359" s="32"/>
      <c r="BV359" s="32"/>
      <c r="BW359" s="32"/>
      <c r="BX359" s="32"/>
      <c r="BY359" s="32"/>
      <c r="BZ359" s="32"/>
      <c r="CA359" s="32"/>
      <c r="CB359" s="32"/>
      <c r="CC359" s="32"/>
      <c r="CD359" s="32"/>
      <c r="CE359" s="32"/>
      <c r="CF359" s="32"/>
      <c r="CG359" s="32"/>
      <c r="CH359" s="32"/>
      <c r="CI359" s="32"/>
      <c r="CJ359" s="32"/>
      <c r="CK359" s="32"/>
      <c r="CL359" s="32"/>
      <c r="CM359" s="32"/>
      <c r="CN359" s="32"/>
      <c r="CO359" s="32"/>
      <c r="CP359" s="32"/>
      <c r="CQ359" s="32"/>
      <c r="CR359" s="32"/>
      <c r="CS359" s="32"/>
      <c r="CT359" s="32"/>
      <c r="CU359" s="32"/>
      <c r="CV359" s="32"/>
      <c r="CW359" s="32"/>
      <c r="CX359" s="32"/>
      <c r="CY359" s="32"/>
      <c r="CZ359" s="32"/>
      <c r="DA359" s="32"/>
      <c r="DB359" s="32"/>
      <c r="DC359" s="32"/>
      <c r="DD359" s="32"/>
      <c r="DE359" s="32"/>
      <c r="DF359" s="32"/>
      <c r="DG359" s="32"/>
      <c r="DH359" s="32"/>
      <c r="DI359" s="32"/>
      <c r="DJ359" s="32"/>
      <c r="DK359" s="32"/>
      <c r="DL359" s="32"/>
      <c r="DM359" s="32"/>
      <c r="DN359" s="32"/>
      <c r="DO359" s="32"/>
      <c r="DP359" s="32"/>
      <c r="DQ359" s="32"/>
      <c r="DR359" s="32"/>
      <c r="DS359" s="32"/>
      <c r="DT359" s="32"/>
      <c r="DU359" s="32"/>
      <c r="DV359" s="32"/>
      <c r="DW359" s="32"/>
      <c r="DX359" s="32"/>
      <c r="DY359" s="32"/>
      <c r="DZ359" s="32"/>
      <c r="EA359" s="32"/>
      <c r="EB359" s="32"/>
      <c r="EC359" s="32"/>
      <c r="ED359" s="32"/>
      <c r="EE359" s="32"/>
      <c r="EF359" s="32"/>
      <c r="EG359" s="32"/>
      <c r="EH359" s="32"/>
      <c r="EI359" s="32"/>
      <c r="EJ359" s="32"/>
      <c r="EK359" s="32"/>
      <c r="EL359" s="32"/>
      <c r="EM359" s="32"/>
      <c r="EN359" s="32"/>
      <c r="EO359" s="32"/>
      <c r="EP359" s="32"/>
      <c r="EQ359" s="32"/>
      <c r="ER359" s="32"/>
      <c r="ES359" s="32"/>
      <c r="ET359" s="32"/>
      <c r="EU359" s="32"/>
      <c r="EV359" s="32"/>
      <c r="EW359" s="32"/>
      <c r="EX359" s="32"/>
      <c r="EY359" s="32"/>
      <c r="EZ359" s="32"/>
      <c r="FA359" s="32"/>
      <c r="FB359" s="32"/>
      <c r="FC359" s="32"/>
      <c r="FD359" s="32"/>
      <c r="FE359" s="32"/>
      <c r="FF359" s="32"/>
      <c r="FG359" s="32"/>
      <c r="FH359" s="32"/>
      <c r="FI359" s="32"/>
      <c r="FJ359" s="32"/>
      <c r="FK359" s="32"/>
      <c r="FL359" s="32"/>
      <c r="FM359" s="32"/>
      <c r="FN359" s="32"/>
      <c r="FO359" s="32"/>
      <c r="FP359" s="32"/>
      <c r="FQ359" s="32"/>
      <c r="FR359" s="32"/>
      <c r="FS359" s="32"/>
      <c r="FT359" s="32"/>
      <c r="FU359" s="32"/>
      <c r="FV359" s="32"/>
      <c r="FW359" s="32"/>
      <c r="FX359" s="32"/>
      <c r="FY359" s="32"/>
      <c r="FZ359" s="32"/>
      <c r="GA359" s="32"/>
      <c r="GB359" s="32"/>
      <c r="GC359" s="32"/>
      <c r="GD359" s="32"/>
      <c r="GE359" s="32"/>
      <c r="GF359" s="32"/>
      <c r="GG359" s="32"/>
      <c r="GH359" s="32"/>
      <c r="GI359" s="32"/>
      <c r="GJ359" s="32"/>
      <c r="GK359" s="32"/>
      <c r="GL359" s="32"/>
      <c r="GM359" s="32"/>
      <c r="GN359" s="32"/>
      <c r="GO359" s="32"/>
      <c r="GP359" s="32"/>
      <c r="GQ359" s="32"/>
      <c r="GR359" s="32"/>
      <c r="GS359" s="32"/>
      <c r="GT359" s="32"/>
      <c r="GU359" s="32"/>
      <c r="GV359" s="32"/>
      <c r="GW359" s="32"/>
      <c r="GX359" s="32"/>
      <c r="GY359" s="32"/>
      <c r="GZ359" s="32"/>
      <c r="HA359" s="32"/>
      <c r="HB359" s="32"/>
      <c r="HC359" s="32"/>
      <c r="HD359" s="32"/>
      <c r="HE359" s="32"/>
      <c r="HF359" s="32"/>
      <c r="HG359" s="32"/>
      <c r="HH359" s="32"/>
      <c r="HI359" s="32"/>
      <c r="HJ359" s="32"/>
      <c r="HK359" s="32"/>
      <c r="HL359" s="32"/>
      <c r="HM359" s="32"/>
      <c r="HN359" s="32"/>
      <c r="HO359" s="32"/>
      <c r="HP359" s="32"/>
    </row>
    <row r="360" spans="1:224" x14ac:dyDescent="0.25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  <c r="BG360" s="32"/>
      <c r="BH360" s="32"/>
      <c r="BI360" s="32"/>
      <c r="BJ360" s="32"/>
      <c r="BK360" s="32"/>
      <c r="BL360" s="32"/>
      <c r="BM360" s="32"/>
      <c r="BN360" s="32"/>
      <c r="BO360" s="32"/>
      <c r="BP360" s="32"/>
      <c r="BQ360" s="32"/>
      <c r="BR360" s="32"/>
      <c r="BS360" s="32"/>
      <c r="BT360" s="32"/>
      <c r="BU360" s="32"/>
      <c r="BV360" s="32"/>
      <c r="BW360" s="32"/>
      <c r="BX360" s="32"/>
      <c r="BY360" s="32"/>
      <c r="BZ360" s="32"/>
      <c r="CA360" s="32"/>
      <c r="CB360" s="32"/>
      <c r="CC360" s="32"/>
      <c r="CD360" s="32"/>
      <c r="CE360" s="32"/>
      <c r="CF360" s="32"/>
      <c r="CG360" s="32"/>
      <c r="CH360" s="32"/>
      <c r="CI360" s="32"/>
      <c r="CJ360" s="32"/>
      <c r="CK360" s="32"/>
      <c r="CL360" s="32"/>
      <c r="CM360" s="32"/>
      <c r="CN360" s="32"/>
      <c r="CO360" s="32"/>
      <c r="CP360" s="32"/>
      <c r="CQ360" s="32"/>
      <c r="CR360" s="32"/>
      <c r="CS360" s="32"/>
      <c r="CT360" s="32"/>
      <c r="CU360" s="32"/>
      <c r="CV360" s="32"/>
      <c r="CW360" s="32"/>
      <c r="CX360" s="32"/>
      <c r="CY360" s="32"/>
      <c r="CZ360" s="32"/>
      <c r="DA360" s="32"/>
      <c r="DB360" s="32"/>
      <c r="DC360" s="32"/>
      <c r="DD360" s="32"/>
      <c r="DE360" s="32"/>
      <c r="DF360" s="32"/>
      <c r="DG360" s="32"/>
      <c r="DH360" s="32"/>
      <c r="DI360" s="32"/>
      <c r="DJ360" s="32"/>
      <c r="DK360" s="32"/>
      <c r="DL360" s="32"/>
      <c r="DM360" s="32"/>
      <c r="DN360" s="32"/>
      <c r="DO360" s="32"/>
      <c r="DP360" s="32"/>
      <c r="DQ360" s="32"/>
      <c r="DR360" s="32"/>
      <c r="DS360" s="32"/>
      <c r="DT360" s="32"/>
      <c r="DU360" s="32"/>
      <c r="DV360" s="32"/>
      <c r="DW360" s="32"/>
      <c r="DX360" s="32"/>
      <c r="DY360" s="32"/>
      <c r="DZ360" s="32"/>
      <c r="EA360" s="32"/>
      <c r="EB360" s="32"/>
      <c r="EC360" s="32"/>
      <c r="ED360" s="32"/>
      <c r="EE360" s="32"/>
      <c r="EF360" s="32"/>
      <c r="EG360" s="32"/>
      <c r="EH360" s="32"/>
      <c r="EI360" s="32"/>
      <c r="EJ360" s="32"/>
      <c r="EK360" s="32"/>
      <c r="EL360" s="32"/>
      <c r="EM360" s="32"/>
      <c r="EN360" s="32"/>
      <c r="EO360" s="32"/>
      <c r="EP360" s="32"/>
      <c r="EQ360" s="32"/>
      <c r="ER360" s="32"/>
      <c r="ES360" s="32"/>
      <c r="ET360" s="32"/>
      <c r="EU360" s="32"/>
      <c r="EV360" s="32"/>
      <c r="EW360" s="32"/>
      <c r="EX360" s="32"/>
      <c r="EY360" s="32"/>
      <c r="EZ360" s="32"/>
      <c r="FA360" s="32"/>
      <c r="FB360" s="32"/>
      <c r="FC360" s="32"/>
      <c r="FD360" s="32"/>
      <c r="FE360" s="32"/>
      <c r="FF360" s="32"/>
      <c r="FG360" s="32"/>
      <c r="FH360" s="32"/>
      <c r="FI360" s="32"/>
      <c r="FJ360" s="32"/>
      <c r="FK360" s="32"/>
      <c r="FL360" s="32"/>
      <c r="FM360" s="32"/>
      <c r="FN360" s="32"/>
      <c r="FO360" s="32"/>
      <c r="FP360" s="32"/>
      <c r="FQ360" s="32"/>
      <c r="FR360" s="32"/>
      <c r="FS360" s="32"/>
      <c r="FT360" s="32"/>
      <c r="FU360" s="32"/>
      <c r="FV360" s="32"/>
      <c r="FW360" s="32"/>
      <c r="FX360" s="32"/>
      <c r="FY360" s="32"/>
      <c r="FZ360" s="32"/>
      <c r="GA360" s="32"/>
      <c r="GB360" s="32"/>
      <c r="GC360" s="32"/>
      <c r="GD360" s="32"/>
      <c r="GE360" s="32"/>
      <c r="GF360" s="32"/>
      <c r="GG360" s="32"/>
      <c r="GH360" s="32"/>
      <c r="GI360" s="32"/>
      <c r="GJ360" s="32"/>
      <c r="GK360" s="32"/>
      <c r="GL360" s="32"/>
      <c r="GM360" s="32"/>
      <c r="GN360" s="32"/>
      <c r="GO360" s="32"/>
      <c r="GP360" s="32"/>
      <c r="GQ360" s="32"/>
      <c r="GR360" s="32"/>
      <c r="GS360" s="32"/>
      <c r="GT360" s="32"/>
      <c r="GU360" s="32"/>
      <c r="GV360" s="32"/>
      <c r="GW360" s="32"/>
      <c r="GX360" s="32"/>
      <c r="GY360" s="32"/>
      <c r="GZ360" s="32"/>
      <c r="HA360" s="32"/>
      <c r="HB360" s="32"/>
      <c r="HC360" s="32"/>
      <c r="HD360" s="32"/>
      <c r="HE360" s="32"/>
      <c r="HF360" s="32"/>
      <c r="HG360" s="32"/>
      <c r="HH360" s="32"/>
      <c r="HI360" s="32"/>
      <c r="HJ360" s="32"/>
      <c r="HK360" s="32"/>
      <c r="HL360" s="32"/>
      <c r="HM360" s="32"/>
      <c r="HN360" s="32"/>
      <c r="HO360" s="32"/>
      <c r="HP360" s="32"/>
    </row>
    <row r="361" spans="1:224" x14ac:dyDescent="0.25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  <c r="BG361" s="32"/>
      <c r="BH361" s="32"/>
      <c r="BI361" s="32"/>
      <c r="BJ361" s="32"/>
      <c r="BK361" s="32"/>
      <c r="BL361" s="32"/>
      <c r="BM361" s="32"/>
      <c r="BN361" s="32"/>
      <c r="BO361" s="32"/>
      <c r="BP361" s="32"/>
      <c r="BQ361" s="32"/>
      <c r="BR361" s="32"/>
      <c r="BS361" s="32"/>
      <c r="BT361" s="32"/>
      <c r="BU361" s="32"/>
      <c r="BV361" s="32"/>
      <c r="BW361" s="32"/>
      <c r="BX361" s="32"/>
      <c r="BY361" s="32"/>
      <c r="BZ361" s="32"/>
      <c r="CA361" s="32"/>
      <c r="CB361" s="32"/>
      <c r="CC361" s="32"/>
      <c r="CD361" s="32"/>
      <c r="CE361" s="32"/>
      <c r="CF361" s="32"/>
      <c r="CG361" s="32"/>
      <c r="CH361" s="32"/>
      <c r="CI361" s="32"/>
      <c r="CJ361" s="32"/>
      <c r="CK361" s="32"/>
      <c r="CL361" s="32"/>
      <c r="CM361" s="32"/>
      <c r="CN361" s="32"/>
      <c r="CO361" s="32"/>
      <c r="CP361" s="32"/>
      <c r="CQ361" s="32"/>
      <c r="CR361" s="32"/>
      <c r="CS361" s="32"/>
      <c r="CT361" s="32"/>
      <c r="CU361" s="32"/>
      <c r="CV361" s="32"/>
      <c r="CW361" s="32"/>
      <c r="CX361" s="32"/>
      <c r="CY361" s="32"/>
      <c r="CZ361" s="32"/>
      <c r="DA361" s="32"/>
      <c r="DB361" s="32"/>
      <c r="DC361" s="32"/>
      <c r="DD361" s="32"/>
      <c r="DE361" s="32"/>
      <c r="DF361" s="32"/>
      <c r="DG361" s="32"/>
      <c r="DH361" s="32"/>
      <c r="DI361" s="32"/>
      <c r="DJ361" s="32"/>
      <c r="DK361" s="32"/>
      <c r="DL361" s="32"/>
      <c r="DM361" s="32"/>
      <c r="DN361" s="32"/>
      <c r="DO361" s="32"/>
      <c r="DP361" s="32"/>
      <c r="DQ361" s="32"/>
      <c r="DR361" s="32"/>
      <c r="DS361" s="32"/>
      <c r="DT361" s="32"/>
      <c r="DU361" s="32"/>
      <c r="DV361" s="32"/>
      <c r="DW361" s="32"/>
      <c r="DX361" s="32"/>
      <c r="DY361" s="32"/>
      <c r="DZ361" s="32"/>
      <c r="EA361" s="32"/>
      <c r="EB361" s="32"/>
      <c r="EC361" s="32"/>
      <c r="ED361" s="32"/>
      <c r="EE361" s="32"/>
      <c r="EF361" s="32"/>
      <c r="EG361" s="32"/>
      <c r="EH361" s="32"/>
      <c r="EI361" s="32"/>
      <c r="EJ361" s="32"/>
      <c r="EK361" s="32"/>
      <c r="EL361" s="32"/>
      <c r="EM361" s="32"/>
      <c r="EN361" s="32"/>
      <c r="EO361" s="32"/>
      <c r="EP361" s="32"/>
      <c r="EQ361" s="32"/>
      <c r="ER361" s="32"/>
      <c r="ES361" s="32"/>
      <c r="ET361" s="32"/>
      <c r="EU361" s="32"/>
      <c r="EV361" s="32"/>
      <c r="EW361" s="32"/>
      <c r="EX361" s="32"/>
      <c r="EY361" s="32"/>
      <c r="EZ361" s="32"/>
      <c r="FA361" s="32"/>
      <c r="FB361" s="32"/>
      <c r="FC361" s="32"/>
      <c r="FD361" s="32"/>
      <c r="FE361" s="32"/>
      <c r="FF361" s="32"/>
      <c r="FG361" s="32"/>
      <c r="FH361" s="32"/>
      <c r="FI361" s="32"/>
      <c r="FJ361" s="32"/>
      <c r="FK361" s="32"/>
      <c r="FL361" s="32"/>
      <c r="FM361" s="32"/>
      <c r="FN361" s="32"/>
      <c r="FO361" s="32"/>
      <c r="FP361" s="32"/>
      <c r="FQ361" s="32"/>
      <c r="FR361" s="32"/>
      <c r="FS361" s="32"/>
      <c r="FT361" s="32"/>
      <c r="FU361" s="32"/>
      <c r="FV361" s="32"/>
      <c r="FW361" s="32"/>
      <c r="FX361" s="32"/>
      <c r="FY361" s="32"/>
      <c r="FZ361" s="32"/>
      <c r="GA361" s="32"/>
      <c r="GB361" s="32"/>
      <c r="GC361" s="32"/>
      <c r="GD361" s="32"/>
      <c r="GE361" s="32"/>
      <c r="GF361" s="32"/>
      <c r="GG361" s="32"/>
      <c r="GH361" s="32"/>
      <c r="GI361" s="32"/>
      <c r="GJ361" s="32"/>
      <c r="GK361" s="32"/>
      <c r="GL361" s="32"/>
      <c r="GM361" s="32"/>
      <c r="GN361" s="32"/>
      <c r="GO361" s="32"/>
      <c r="GP361" s="32"/>
      <c r="GQ361" s="32"/>
      <c r="GR361" s="32"/>
      <c r="GS361" s="32"/>
      <c r="GT361" s="32"/>
      <c r="GU361" s="32"/>
      <c r="GV361" s="32"/>
      <c r="GW361" s="32"/>
      <c r="GX361" s="32"/>
      <c r="GY361" s="32"/>
      <c r="GZ361" s="32"/>
      <c r="HA361" s="32"/>
      <c r="HB361" s="32"/>
      <c r="HC361" s="32"/>
      <c r="HD361" s="32"/>
      <c r="HE361" s="32"/>
      <c r="HF361" s="32"/>
      <c r="HG361" s="32"/>
      <c r="HH361" s="32"/>
      <c r="HI361" s="32"/>
      <c r="HJ361" s="32"/>
      <c r="HK361" s="32"/>
      <c r="HL361" s="32"/>
      <c r="HM361" s="32"/>
      <c r="HN361" s="32"/>
      <c r="HO361" s="32"/>
      <c r="HP361" s="32"/>
    </row>
    <row r="362" spans="1:224" x14ac:dyDescent="0.25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  <c r="BF362" s="32"/>
      <c r="BG362" s="32"/>
      <c r="BH362" s="32"/>
      <c r="BI362" s="32"/>
      <c r="BJ362" s="32"/>
      <c r="BK362" s="32"/>
      <c r="BL362" s="32"/>
      <c r="BM362" s="32"/>
      <c r="BN362" s="32"/>
      <c r="BO362" s="32"/>
      <c r="BP362" s="32"/>
      <c r="BQ362" s="32"/>
      <c r="BR362" s="32"/>
      <c r="BS362" s="32"/>
      <c r="BT362" s="32"/>
      <c r="BU362" s="32"/>
      <c r="BV362" s="32"/>
      <c r="BW362" s="32"/>
      <c r="BX362" s="32"/>
      <c r="BY362" s="32"/>
      <c r="BZ362" s="32"/>
      <c r="CA362" s="32"/>
      <c r="CB362" s="32"/>
      <c r="CC362" s="32"/>
      <c r="CD362" s="32"/>
      <c r="CE362" s="32"/>
      <c r="CF362" s="32"/>
      <c r="CG362" s="32"/>
      <c r="CH362" s="32"/>
      <c r="CI362" s="32"/>
      <c r="CJ362" s="32"/>
      <c r="CK362" s="32"/>
      <c r="CL362" s="32"/>
      <c r="CM362" s="32"/>
      <c r="CN362" s="32"/>
      <c r="CO362" s="32"/>
      <c r="CP362" s="32"/>
      <c r="CQ362" s="32"/>
      <c r="CR362" s="32"/>
      <c r="CS362" s="32"/>
      <c r="CT362" s="32"/>
      <c r="CU362" s="32"/>
      <c r="CV362" s="32"/>
      <c r="CW362" s="32"/>
      <c r="CX362" s="32"/>
      <c r="CY362" s="32"/>
      <c r="CZ362" s="32"/>
      <c r="DA362" s="32"/>
      <c r="DB362" s="32"/>
      <c r="DC362" s="32"/>
      <c r="DD362" s="32"/>
      <c r="DE362" s="32"/>
      <c r="DF362" s="32"/>
      <c r="DG362" s="32"/>
      <c r="DH362" s="32"/>
      <c r="DI362" s="32"/>
      <c r="DJ362" s="32"/>
      <c r="DK362" s="32"/>
      <c r="DL362" s="32"/>
      <c r="DM362" s="32"/>
      <c r="DN362" s="32"/>
      <c r="DO362" s="32"/>
      <c r="DP362" s="32"/>
      <c r="DQ362" s="32"/>
      <c r="DR362" s="32"/>
      <c r="DS362" s="32"/>
      <c r="DT362" s="32"/>
      <c r="DU362" s="32"/>
      <c r="DV362" s="32"/>
      <c r="DW362" s="32"/>
      <c r="DX362" s="32"/>
      <c r="DY362" s="32"/>
      <c r="DZ362" s="32"/>
      <c r="EA362" s="32"/>
      <c r="EB362" s="32"/>
      <c r="EC362" s="32"/>
      <c r="ED362" s="32"/>
      <c r="EE362" s="32"/>
      <c r="EF362" s="32"/>
      <c r="EG362" s="32"/>
      <c r="EH362" s="32"/>
      <c r="EI362" s="32"/>
      <c r="EJ362" s="32"/>
      <c r="EK362" s="32"/>
      <c r="EL362" s="32"/>
      <c r="EM362" s="32"/>
      <c r="EN362" s="32"/>
      <c r="EO362" s="32"/>
      <c r="EP362" s="32"/>
      <c r="EQ362" s="32"/>
      <c r="ER362" s="32"/>
      <c r="ES362" s="32"/>
      <c r="ET362" s="32"/>
      <c r="EU362" s="32"/>
      <c r="EV362" s="32"/>
      <c r="EW362" s="32"/>
      <c r="EX362" s="32"/>
      <c r="EY362" s="32"/>
      <c r="EZ362" s="32"/>
      <c r="FA362" s="32"/>
      <c r="FB362" s="32"/>
      <c r="FC362" s="32"/>
      <c r="FD362" s="32"/>
      <c r="FE362" s="32"/>
      <c r="FF362" s="32"/>
      <c r="FG362" s="32"/>
      <c r="FH362" s="32"/>
      <c r="FI362" s="32"/>
      <c r="FJ362" s="32"/>
      <c r="FK362" s="32"/>
      <c r="FL362" s="32"/>
      <c r="FM362" s="32"/>
      <c r="FN362" s="32"/>
      <c r="FO362" s="32"/>
      <c r="FP362" s="32"/>
      <c r="FQ362" s="32"/>
      <c r="FR362" s="32"/>
      <c r="FS362" s="32"/>
      <c r="FT362" s="32"/>
      <c r="FU362" s="32"/>
      <c r="FV362" s="32"/>
      <c r="FW362" s="32"/>
      <c r="FX362" s="32"/>
      <c r="FY362" s="32"/>
      <c r="FZ362" s="32"/>
      <c r="GA362" s="32"/>
      <c r="GB362" s="32"/>
      <c r="GC362" s="32"/>
      <c r="GD362" s="32"/>
      <c r="GE362" s="32"/>
      <c r="GF362" s="32"/>
      <c r="GG362" s="32"/>
      <c r="GH362" s="32"/>
      <c r="GI362" s="32"/>
      <c r="GJ362" s="32"/>
      <c r="GK362" s="32"/>
      <c r="GL362" s="32"/>
      <c r="GM362" s="32"/>
      <c r="GN362" s="32"/>
      <c r="GO362" s="32"/>
      <c r="GP362" s="32"/>
      <c r="GQ362" s="32"/>
      <c r="GR362" s="32"/>
      <c r="GS362" s="32"/>
      <c r="GT362" s="32"/>
      <c r="GU362" s="32"/>
      <c r="GV362" s="32"/>
      <c r="GW362" s="32"/>
      <c r="GX362" s="32"/>
      <c r="GY362" s="32"/>
      <c r="GZ362" s="32"/>
      <c r="HA362" s="32"/>
      <c r="HB362" s="32"/>
      <c r="HC362" s="32"/>
      <c r="HD362" s="32"/>
      <c r="HE362" s="32"/>
      <c r="HF362" s="32"/>
      <c r="HG362" s="32"/>
      <c r="HH362" s="32"/>
      <c r="HI362" s="32"/>
      <c r="HJ362" s="32"/>
      <c r="HK362" s="32"/>
      <c r="HL362" s="32"/>
      <c r="HM362" s="32"/>
      <c r="HN362" s="32"/>
      <c r="HO362" s="32"/>
      <c r="HP362" s="32"/>
    </row>
    <row r="363" spans="1:224" x14ac:dyDescent="0.25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  <c r="BG363" s="32"/>
      <c r="BH363" s="32"/>
      <c r="BI363" s="32"/>
      <c r="BJ363" s="32"/>
      <c r="BK363" s="32"/>
      <c r="BL363" s="32"/>
      <c r="BM363" s="32"/>
      <c r="BN363" s="32"/>
      <c r="BO363" s="32"/>
      <c r="BP363" s="32"/>
      <c r="BQ363" s="32"/>
      <c r="BR363" s="32"/>
      <c r="BS363" s="32"/>
      <c r="BT363" s="32"/>
      <c r="BU363" s="32"/>
      <c r="BV363" s="32"/>
      <c r="BW363" s="32"/>
      <c r="BX363" s="32"/>
      <c r="BY363" s="32"/>
      <c r="BZ363" s="32"/>
      <c r="CA363" s="32"/>
      <c r="CB363" s="32"/>
      <c r="CC363" s="32"/>
      <c r="CD363" s="32"/>
      <c r="CE363" s="32"/>
      <c r="CF363" s="32"/>
      <c r="CG363" s="32"/>
      <c r="CH363" s="32"/>
      <c r="CI363" s="32"/>
      <c r="CJ363" s="32"/>
      <c r="CK363" s="32"/>
      <c r="CL363" s="32"/>
      <c r="CM363" s="32"/>
      <c r="CN363" s="32"/>
      <c r="CO363" s="32"/>
      <c r="CP363" s="32"/>
      <c r="CQ363" s="32"/>
      <c r="CR363" s="32"/>
      <c r="CS363" s="32"/>
      <c r="CT363" s="32"/>
      <c r="CU363" s="32"/>
      <c r="CV363" s="32"/>
      <c r="CW363" s="32"/>
      <c r="CX363" s="32"/>
      <c r="CY363" s="32"/>
      <c r="CZ363" s="32"/>
      <c r="DA363" s="32"/>
      <c r="DB363" s="32"/>
      <c r="DC363" s="32"/>
      <c r="DD363" s="32"/>
      <c r="DE363" s="32"/>
      <c r="DF363" s="32"/>
      <c r="DG363" s="32"/>
      <c r="DH363" s="32"/>
      <c r="DI363" s="32"/>
      <c r="DJ363" s="32"/>
      <c r="DK363" s="32"/>
      <c r="DL363" s="32"/>
      <c r="DM363" s="32"/>
      <c r="DN363" s="32"/>
      <c r="DO363" s="32"/>
      <c r="DP363" s="32"/>
      <c r="DQ363" s="32"/>
      <c r="DR363" s="32"/>
      <c r="DS363" s="32"/>
      <c r="DT363" s="32"/>
      <c r="DU363" s="32"/>
      <c r="DV363" s="32"/>
      <c r="DW363" s="32"/>
      <c r="DX363" s="32"/>
      <c r="DY363" s="32"/>
      <c r="DZ363" s="32"/>
      <c r="EA363" s="32"/>
      <c r="EB363" s="32"/>
      <c r="EC363" s="32"/>
      <c r="ED363" s="32"/>
      <c r="EE363" s="32"/>
      <c r="EF363" s="32"/>
      <c r="EG363" s="32"/>
      <c r="EH363" s="32"/>
      <c r="EI363" s="32"/>
      <c r="EJ363" s="32"/>
      <c r="EK363" s="32"/>
      <c r="EL363" s="32"/>
      <c r="EM363" s="32"/>
      <c r="EN363" s="32"/>
      <c r="EO363" s="32"/>
      <c r="EP363" s="32"/>
      <c r="EQ363" s="32"/>
      <c r="ER363" s="32"/>
      <c r="ES363" s="32"/>
      <c r="ET363" s="32"/>
      <c r="EU363" s="32"/>
      <c r="EV363" s="32"/>
      <c r="EW363" s="32"/>
      <c r="EX363" s="32"/>
      <c r="EY363" s="32"/>
      <c r="EZ363" s="32"/>
      <c r="FA363" s="32"/>
      <c r="FB363" s="32"/>
      <c r="FC363" s="32"/>
      <c r="FD363" s="32"/>
      <c r="FE363" s="32"/>
      <c r="FF363" s="32"/>
      <c r="FG363" s="32"/>
      <c r="FH363" s="32"/>
      <c r="FI363" s="32"/>
      <c r="FJ363" s="32"/>
      <c r="FK363" s="32"/>
      <c r="FL363" s="32"/>
      <c r="FM363" s="32"/>
      <c r="FN363" s="32"/>
      <c r="FO363" s="32"/>
      <c r="FP363" s="32"/>
      <c r="FQ363" s="32"/>
      <c r="FR363" s="32"/>
      <c r="FS363" s="32"/>
      <c r="FT363" s="32"/>
      <c r="FU363" s="32"/>
      <c r="FV363" s="32"/>
      <c r="FW363" s="32"/>
      <c r="FX363" s="32"/>
      <c r="FY363" s="32"/>
      <c r="FZ363" s="32"/>
      <c r="GA363" s="32"/>
      <c r="GB363" s="32"/>
      <c r="GC363" s="32"/>
      <c r="GD363" s="32"/>
      <c r="GE363" s="32"/>
      <c r="GF363" s="32"/>
      <c r="GG363" s="32"/>
      <c r="GH363" s="32"/>
      <c r="GI363" s="32"/>
      <c r="GJ363" s="32"/>
      <c r="GK363" s="32"/>
      <c r="GL363" s="32"/>
      <c r="GM363" s="32"/>
      <c r="GN363" s="32"/>
      <c r="GO363" s="32"/>
      <c r="GP363" s="32"/>
      <c r="GQ363" s="32"/>
      <c r="GR363" s="32"/>
      <c r="GS363" s="32"/>
      <c r="GT363" s="32"/>
      <c r="GU363" s="32"/>
      <c r="GV363" s="32"/>
      <c r="GW363" s="32"/>
      <c r="GX363" s="32"/>
      <c r="GY363" s="32"/>
      <c r="GZ363" s="32"/>
      <c r="HA363" s="32"/>
      <c r="HB363" s="32"/>
      <c r="HC363" s="32"/>
      <c r="HD363" s="32"/>
      <c r="HE363" s="32"/>
      <c r="HF363" s="32"/>
      <c r="HG363" s="32"/>
      <c r="HH363" s="32"/>
      <c r="HI363" s="32"/>
      <c r="HJ363" s="32"/>
      <c r="HK363" s="32"/>
      <c r="HL363" s="32"/>
      <c r="HM363" s="32"/>
      <c r="HN363" s="32"/>
      <c r="HO363" s="32"/>
      <c r="HP363" s="32"/>
    </row>
    <row r="364" spans="1:224" x14ac:dyDescent="0.25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  <c r="BG364" s="32"/>
      <c r="BH364" s="32"/>
      <c r="BI364" s="32"/>
      <c r="BJ364" s="32"/>
      <c r="BK364" s="32"/>
      <c r="BL364" s="32"/>
      <c r="BM364" s="32"/>
      <c r="BN364" s="32"/>
      <c r="BO364" s="32"/>
      <c r="BP364" s="32"/>
      <c r="BQ364" s="32"/>
      <c r="BR364" s="32"/>
      <c r="BS364" s="32"/>
      <c r="BT364" s="32"/>
      <c r="BU364" s="32"/>
      <c r="BV364" s="32"/>
      <c r="BW364" s="32"/>
      <c r="BX364" s="32"/>
      <c r="BY364" s="32"/>
      <c r="BZ364" s="32"/>
      <c r="CA364" s="32"/>
      <c r="CB364" s="32"/>
      <c r="CC364" s="32"/>
      <c r="CD364" s="32"/>
      <c r="CE364" s="32"/>
      <c r="CF364" s="32"/>
      <c r="CG364" s="32"/>
      <c r="CH364" s="32"/>
      <c r="CI364" s="32"/>
      <c r="CJ364" s="32"/>
      <c r="CK364" s="32"/>
      <c r="CL364" s="32"/>
      <c r="CM364" s="32"/>
      <c r="CN364" s="32"/>
      <c r="CO364" s="32"/>
      <c r="CP364" s="32"/>
      <c r="CQ364" s="32"/>
      <c r="CR364" s="32"/>
      <c r="CS364" s="32"/>
      <c r="CT364" s="32"/>
      <c r="CU364" s="32"/>
      <c r="CV364" s="32"/>
      <c r="CW364" s="32"/>
      <c r="CX364" s="32"/>
      <c r="CY364" s="32"/>
      <c r="CZ364" s="32"/>
      <c r="DA364" s="32"/>
      <c r="DB364" s="32"/>
      <c r="DC364" s="32"/>
      <c r="DD364" s="32"/>
      <c r="DE364" s="32"/>
      <c r="DF364" s="32"/>
      <c r="DG364" s="32"/>
      <c r="DH364" s="32"/>
      <c r="DI364" s="32"/>
      <c r="DJ364" s="32"/>
      <c r="DK364" s="32"/>
      <c r="DL364" s="32"/>
      <c r="DM364" s="32"/>
      <c r="DN364" s="32"/>
      <c r="DO364" s="32"/>
      <c r="DP364" s="32"/>
      <c r="DQ364" s="32"/>
      <c r="DR364" s="32"/>
      <c r="DS364" s="32"/>
      <c r="DT364" s="32"/>
      <c r="DU364" s="32"/>
      <c r="DV364" s="32"/>
      <c r="DW364" s="32"/>
      <c r="DX364" s="32"/>
      <c r="DY364" s="32"/>
      <c r="DZ364" s="32"/>
      <c r="EA364" s="32"/>
      <c r="EB364" s="32"/>
      <c r="EC364" s="32"/>
      <c r="ED364" s="32"/>
      <c r="EE364" s="32"/>
      <c r="EF364" s="32"/>
      <c r="EG364" s="32"/>
      <c r="EH364" s="32"/>
      <c r="EI364" s="32"/>
      <c r="EJ364" s="32"/>
      <c r="EK364" s="32"/>
      <c r="EL364" s="32"/>
      <c r="EM364" s="32"/>
      <c r="EN364" s="32"/>
      <c r="EO364" s="32"/>
      <c r="EP364" s="32"/>
      <c r="EQ364" s="32"/>
      <c r="ER364" s="32"/>
      <c r="ES364" s="32"/>
      <c r="ET364" s="32"/>
      <c r="EU364" s="32"/>
      <c r="EV364" s="32"/>
      <c r="EW364" s="32"/>
      <c r="EX364" s="32"/>
      <c r="EY364" s="32"/>
      <c r="EZ364" s="32"/>
      <c r="FA364" s="32"/>
      <c r="FB364" s="32"/>
      <c r="FC364" s="32"/>
      <c r="FD364" s="32"/>
      <c r="FE364" s="32"/>
      <c r="FF364" s="32"/>
      <c r="FG364" s="32"/>
      <c r="FH364" s="32"/>
      <c r="FI364" s="32"/>
      <c r="FJ364" s="32"/>
      <c r="FK364" s="32"/>
      <c r="FL364" s="32"/>
      <c r="FM364" s="32"/>
      <c r="FN364" s="32"/>
      <c r="FO364" s="32"/>
      <c r="FP364" s="32"/>
      <c r="FQ364" s="32"/>
      <c r="FR364" s="32"/>
      <c r="FS364" s="32"/>
      <c r="FT364" s="32"/>
      <c r="FU364" s="32"/>
      <c r="FV364" s="32"/>
      <c r="FW364" s="32"/>
      <c r="FX364" s="32"/>
      <c r="FY364" s="32"/>
      <c r="FZ364" s="32"/>
      <c r="GA364" s="32"/>
      <c r="GB364" s="32"/>
      <c r="GC364" s="32"/>
      <c r="GD364" s="32"/>
      <c r="GE364" s="32"/>
      <c r="GF364" s="32"/>
      <c r="GG364" s="32"/>
      <c r="GH364" s="32"/>
      <c r="GI364" s="32"/>
      <c r="GJ364" s="32"/>
      <c r="GK364" s="32"/>
      <c r="GL364" s="32"/>
      <c r="GM364" s="32"/>
      <c r="GN364" s="32"/>
      <c r="GO364" s="32"/>
      <c r="GP364" s="32"/>
      <c r="GQ364" s="32"/>
      <c r="GR364" s="32"/>
      <c r="GS364" s="32"/>
      <c r="GT364" s="32"/>
      <c r="GU364" s="32"/>
      <c r="GV364" s="32"/>
      <c r="GW364" s="32"/>
      <c r="GX364" s="32"/>
      <c r="GY364" s="32"/>
      <c r="GZ364" s="32"/>
      <c r="HA364" s="32"/>
      <c r="HB364" s="32"/>
      <c r="HC364" s="32"/>
      <c r="HD364" s="32"/>
      <c r="HE364" s="32"/>
      <c r="HF364" s="32"/>
      <c r="HG364" s="32"/>
      <c r="HH364" s="32"/>
      <c r="HI364" s="32"/>
      <c r="HJ364" s="32"/>
      <c r="HK364" s="32"/>
      <c r="HL364" s="32"/>
      <c r="HM364" s="32"/>
      <c r="HN364" s="32"/>
      <c r="HO364" s="32"/>
      <c r="HP364" s="32"/>
    </row>
    <row r="365" spans="1:224" x14ac:dyDescent="0.2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  <c r="BG365" s="32"/>
      <c r="BH365" s="32"/>
      <c r="BI365" s="32"/>
      <c r="BJ365" s="32"/>
      <c r="BK365" s="32"/>
      <c r="BL365" s="32"/>
      <c r="BM365" s="32"/>
      <c r="BN365" s="32"/>
      <c r="BO365" s="32"/>
      <c r="BP365" s="32"/>
      <c r="BQ365" s="32"/>
      <c r="BR365" s="32"/>
      <c r="BS365" s="32"/>
      <c r="BT365" s="32"/>
      <c r="BU365" s="32"/>
      <c r="BV365" s="32"/>
      <c r="BW365" s="32"/>
      <c r="BX365" s="32"/>
      <c r="BY365" s="32"/>
      <c r="BZ365" s="32"/>
      <c r="CA365" s="32"/>
      <c r="CB365" s="32"/>
      <c r="CC365" s="32"/>
      <c r="CD365" s="32"/>
      <c r="CE365" s="32"/>
      <c r="CF365" s="32"/>
      <c r="CG365" s="32"/>
      <c r="CH365" s="32"/>
      <c r="CI365" s="32"/>
      <c r="CJ365" s="32"/>
      <c r="CK365" s="32"/>
      <c r="CL365" s="32"/>
      <c r="CM365" s="32"/>
      <c r="CN365" s="32"/>
      <c r="CO365" s="32"/>
      <c r="CP365" s="32"/>
      <c r="CQ365" s="32"/>
      <c r="CR365" s="32"/>
      <c r="CS365" s="32"/>
      <c r="CT365" s="32"/>
      <c r="CU365" s="32"/>
      <c r="CV365" s="32"/>
      <c r="CW365" s="32"/>
      <c r="CX365" s="32"/>
      <c r="CY365" s="32"/>
      <c r="CZ365" s="32"/>
      <c r="DA365" s="32"/>
      <c r="DB365" s="32"/>
      <c r="DC365" s="32"/>
      <c r="DD365" s="32"/>
      <c r="DE365" s="32"/>
      <c r="DF365" s="32"/>
      <c r="DG365" s="32"/>
      <c r="DH365" s="32"/>
      <c r="DI365" s="32"/>
      <c r="DJ365" s="32"/>
      <c r="DK365" s="32"/>
      <c r="DL365" s="32"/>
      <c r="DM365" s="32"/>
      <c r="DN365" s="32"/>
      <c r="DO365" s="32"/>
      <c r="DP365" s="32"/>
      <c r="DQ365" s="32"/>
      <c r="DR365" s="32"/>
      <c r="DS365" s="32"/>
      <c r="DT365" s="32"/>
      <c r="DU365" s="32"/>
      <c r="DV365" s="32"/>
      <c r="DW365" s="32"/>
      <c r="DX365" s="32"/>
      <c r="DY365" s="32"/>
      <c r="DZ365" s="32"/>
      <c r="EA365" s="32"/>
      <c r="EB365" s="32"/>
      <c r="EC365" s="32"/>
      <c r="ED365" s="32"/>
      <c r="EE365" s="32"/>
      <c r="EF365" s="32"/>
      <c r="EG365" s="32"/>
      <c r="EH365" s="32"/>
      <c r="EI365" s="32"/>
      <c r="EJ365" s="32"/>
      <c r="EK365" s="32"/>
      <c r="EL365" s="32"/>
      <c r="EM365" s="32"/>
      <c r="EN365" s="32"/>
      <c r="EO365" s="32"/>
      <c r="EP365" s="32"/>
      <c r="EQ365" s="32"/>
      <c r="ER365" s="32"/>
      <c r="ES365" s="32"/>
      <c r="ET365" s="32"/>
      <c r="EU365" s="32"/>
      <c r="EV365" s="32"/>
      <c r="EW365" s="32"/>
      <c r="EX365" s="32"/>
      <c r="EY365" s="32"/>
      <c r="EZ365" s="32"/>
      <c r="FA365" s="32"/>
      <c r="FB365" s="32"/>
      <c r="FC365" s="32"/>
      <c r="FD365" s="32"/>
      <c r="FE365" s="32"/>
      <c r="FF365" s="32"/>
      <c r="FG365" s="32"/>
      <c r="FH365" s="32"/>
      <c r="FI365" s="32"/>
      <c r="FJ365" s="32"/>
      <c r="FK365" s="32"/>
      <c r="FL365" s="32"/>
      <c r="FM365" s="32"/>
      <c r="FN365" s="32"/>
      <c r="FO365" s="32"/>
      <c r="FP365" s="32"/>
      <c r="FQ365" s="32"/>
      <c r="FR365" s="32"/>
      <c r="FS365" s="32"/>
      <c r="FT365" s="32"/>
      <c r="FU365" s="32"/>
      <c r="FV365" s="32"/>
      <c r="FW365" s="32"/>
      <c r="FX365" s="32"/>
      <c r="FY365" s="32"/>
      <c r="FZ365" s="32"/>
      <c r="GA365" s="32"/>
      <c r="GB365" s="32"/>
      <c r="GC365" s="32"/>
      <c r="GD365" s="32"/>
      <c r="GE365" s="32"/>
      <c r="GF365" s="32"/>
      <c r="GG365" s="32"/>
      <c r="GH365" s="32"/>
      <c r="GI365" s="32"/>
      <c r="GJ365" s="32"/>
      <c r="GK365" s="32"/>
      <c r="GL365" s="32"/>
      <c r="GM365" s="32"/>
      <c r="GN365" s="32"/>
      <c r="GO365" s="32"/>
      <c r="GP365" s="32"/>
      <c r="GQ365" s="32"/>
      <c r="GR365" s="32"/>
      <c r="GS365" s="32"/>
      <c r="GT365" s="32"/>
      <c r="GU365" s="32"/>
      <c r="GV365" s="32"/>
      <c r="GW365" s="32"/>
      <c r="GX365" s="32"/>
      <c r="GY365" s="32"/>
      <c r="GZ365" s="32"/>
      <c r="HA365" s="32"/>
      <c r="HB365" s="32"/>
      <c r="HC365" s="32"/>
      <c r="HD365" s="32"/>
      <c r="HE365" s="32"/>
      <c r="HF365" s="32"/>
      <c r="HG365" s="32"/>
      <c r="HH365" s="32"/>
      <c r="HI365" s="32"/>
      <c r="HJ365" s="32"/>
      <c r="HK365" s="32"/>
      <c r="HL365" s="32"/>
      <c r="HM365" s="32"/>
      <c r="HN365" s="32"/>
      <c r="HO365" s="32"/>
      <c r="HP365" s="32"/>
    </row>
    <row r="366" spans="1:224" x14ac:dyDescent="0.25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  <c r="BF366" s="32"/>
      <c r="BG366" s="32"/>
      <c r="BH366" s="32"/>
      <c r="BI366" s="32"/>
      <c r="BJ366" s="32"/>
      <c r="BK366" s="32"/>
      <c r="BL366" s="32"/>
      <c r="BM366" s="32"/>
      <c r="BN366" s="32"/>
      <c r="BO366" s="32"/>
      <c r="BP366" s="32"/>
      <c r="BQ366" s="32"/>
      <c r="BR366" s="32"/>
      <c r="BS366" s="32"/>
      <c r="BT366" s="32"/>
      <c r="BU366" s="32"/>
      <c r="BV366" s="32"/>
      <c r="BW366" s="32"/>
      <c r="BX366" s="32"/>
      <c r="BY366" s="32"/>
      <c r="BZ366" s="32"/>
      <c r="CA366" s="32"/>
      <c r="CB366" s="32"/>
      <c r="CC366" s="32"/>
      <c r="CD366" s="32"/>
      <c r="CE366" s="32"/>
      <c r="CF366" s="32"/>
      <c r="CG366" s="32"/>
      <c r="CH366" s="32"/>
      <c r="CI366" s="32"/>
      <c r="CJ366" s="32"/>
      <c r="CK366" s="32"/>
      <c r="CL366" s="32"/>
      <c r="CM366" s="32"/>
      <c r="CN366" s="32"/>
      <c r="CO366" s="32"/>
      <c r="CP366" s="32"/>
      <c r="CQ366" s="32"/>
      <c r="CR366" s="32"/>
      <c r="CS366" s="32"/>
      <c r="CT366" s="32"/>
      <c r="CU366" s="32"/>
      <c r="CV366" s="32"/>
      <c r="CW366" s="32"/>
      <c r="CX366" s="32"/>
      <c r="CY366" s="32"/>
      <c r="CZ366" s="32"/>
      <c r="DA366" s="32"/>
      <c r="DB366" s="32"/>
      <c r="DC366" s="32"/>
      <c r="DD366" s="32"/>
      <c r="DE366" s="32"/>
      <c r="DF366" s="32"/>
      <c r="DG366" s="32"/>
      <c r="DH366" s="32"/>
      <c r="DI366" s="32"/>
      <c r="DJ366" s="32"/>
      <c r="DK366" s="32"/>
      <c r="DL366" s="32"/>
      <c r="DM366" s="32"/>
      <c r="DN366" s="32"/>
      <c r="DO366" s="32"/>
      <c r="DP366" s="32"/>
      <c r="DQ366" s="32"/>
      <c r="DR366" s="32"/>
      <c r="DS366" s="32"/>
      <c r="DT366" s="32"/>
      <c r="DU366" s="32"/>
      <c r="DV366" s="32"/>
      <c r="DW366" s="32"/>
      <c r="DX366" s="32"/>
      <c r="DY366" s="32"/>
      <c r="DZ366" s="32"/>
      <c r="EA366" s="32"/>
      <c r="EB366" s="32"/>
      <c r="EC366" s="32"/>
      <c r="ED366" s="32"/>
      <c r="EE366" s="32"/>
      <c r="EF366" s="32"/>
      <c r="EG366" s="32"/>
      <c r="EH366" s="32"/>
      <c r="EI366" s="32"/>
      <c r="EJ366" s="32"/>
      <c r="EK366" s="32"/>
      <c r="EL366" s="32"/>
      <c r="EM366" s="32"/>
      <c r="EN366" s="32"/>
      <c r="EO366" s="32"/>
      <c r="EP366" s="32"/>
      <c r="EQ366" s="32"/>
      <c r="ER366" s="32"/>
      <c r="ES366" s="32"/>
      <c r="ET366" s="32"/>
      <c r="EU366" s="32"/>
      <c r="EV366" s="32"/>
      <c r="EW366" s="32"/>
      <c r="EX366" s="32"/>
      <c r="EY366" s="32"/>
      <c r="EZ366" s="32"/>
      <c r="FA366" s="32"/>
      <c r="FB366" s="32"/>
      <c r="FC366" s="32"/>
      <c r="FD366" s="32"/>
      <c r="FE366" s="32"/>
      <c r="FF366" s="32"/>
      <c r="FG366" s="32"/>
      <c r="FH366" s="32"/>
      <c r="FI366" s="32"/>
      <c r="FJ366" s="32"/>
      <c r="FK366" s="32"/>
      <c r="FL366" s="32"/>
      <c r="FM366" s="32"/>
      <c r="FN366" s="32"/>
      <c r="FO366" s="32"/>
      <c r="FP366" s="32"/>
      <c r="FQ366" s="32"/>
      <c r="FR366" s="32"/>
      <c r="FS366" s="32"/>
      <c r="FT366" s="32"/>
      <c r="FU366" s="32"/>
      <c r="FV366" s="32"/>
      <c r="FW366" s="32"/>
      <c r="FX366" s="32"/>
      <c r="FY366" s="32"/>
      <c r="FZ366" s="32"/>
      <c r="GA366" s="32"/>
      <c r="GB366" s="32"/>
      <c r="GC366" s="32"/>
      <c r="GD366" s="32"/>
      <c r="GE366" s="32"/>
      <c r="GF366" s="32"/>
      <c r="GG366" s="32"/>
      <c r="GH366" s="32"/>
      <c r="GI366" s="32"/>
      <c r="GJ366" s="32"/>
      <c r="GK366" s="32"/>
      <c r="GL366" s="32"/>
      <c r="GM366" s="32"/>
      <c r="GN366" s="32"/>
      <c r="GO366" s="32"/>
      <c r="GP366" s="32"/>
      <c r="GQ366" s="32"/>
      <c r="GR366" s="32"/>
      <c r="GS366" s="32"/>
      <c r="GT366" s="32"/>
      <c r="GU366" s="32"/>
      <c r="GV366" s="32"/>
      <c r="GW366" s="32"/>
      <c r="GX366" s="32"/>
      <c r="GY366" s="32"/>
      <c r="GZ366" s="32"/>
      <c r="HA366" s="32"/>
      <c r="HB366" s="32"/>
      <c r="HC366" s="32"/>
      <c r="HD366" s="32"/>
      <c r="HE366" s="32"/>
      <c r="HF366" s="32"/>
      <c r="HG366" s="32"/>
      <c r="HH366" s="32"/>
      <c r="HI366" s="32"/>
      <c r="HJ366" s="32"/>
      <c r="HK366" s="32"/>
      <c r="HL366" s="32"/>
      <c r="HM366" s="32"/>
      <c r="HN366" s="32"/>
      <c r="HO366" s="32"/>
      <c r="HP366" s="32"/>
    </row>
    <row r="367" spans="1:224" x14ac:dyDescent="0.25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  <c r="BF367" s="32"/>
      <c r="BG367" s="32"/>
      <c r="BH367" s="32"/>
      <c r="BI367" s="32"/>
      <c r="BJ367" s="32"/>
      <c r="BK367" s="32"/>
      <c r="BL367" s="32"/>
      <c r="BM367" s="32"/>
      <c r="BN367" s="32"/>
      <c r="BO367" s="32"/>
      <c r="BP367" s="32"/>
      <c r="BQ367" s="32"/>
      <c r="BR367" s="32"/>
      <c r="BS367" s="32"/>
      <c r="BT367" s="32"/>
      <c r="BU367" s="32"/>
      <c r="BV367" s="32"/>
      <c r="BW367" s="32"/>
      <c r="BX367" s="32"/>
      <c r="BY367" s="32"/>
      <c r="BZ367" s="32"/>
      <c r="CA367" s="32"/>
      <c r="CB367" s="32"/>
      <c r="CC367" s="32"/>
      <c r="CD367" s="32"/>
      <c r="CE367" s="32"/>
      <c r="CF367" s="32"/>
      <c r="CG367" s="32"/>
      <c r="CH367" s="32"/>
      <c r="CI367" s="32"/>
      <c r="CJ367" s="32"/>
      <c r="CK367" s="32"/>
      <c r="CL367" s="32"/>
      <c r="CM367" s="32"/>
      <c r="CN367" s="32"/>
      <c r="CO367" s="32"/>
      <c r="CP367" s="32"/>
      <c r="CQ367" s="32"/>
      <c r="CR367" s="32"/>
      <c r="CS367" s="32"/>
      <c r="CT367" s="32"/>
      <c r="CU367" s="32"/>
      <c r="CV367" s="32"/>
      <c r="CW367" s="32"/>
      <c r="CX367" s="32"/>
      <c r="CY367" s="32"/>
      <c r="CZ367" s="32"/>
      <c r="DA367" s="32"/>
      <c r="DB367" s="32"/>
      <c r="DC367" s="32"/>
      <c r="DD367" s="32"/>
      <c r="DE367" s="32"/>
      <c r="DF367" s="32"/>
      <c r="DG367" s="32"/>
      <c r="DH367" s="32"/>
      <c r="DI367" s="32"/>
      <c r="DJ367" s="32"/>
      <c r="DK367" s="32"/>
      <c r="DL367" s="32"/>
      <c r="DM367" s="32"/>
      <c r="DN367" s="32"/>
      <c r="DO367" s="32"/>
      <c r="DP367" s="32"/>
      <c r="DQ367" s="32"/>
      <c r="DR367" s="32"/>
      <c r="DS367" s="32"/>
      <c r="DT367" s="32"/>
      <c r="DU367" s="32"/>
      <c r="DV367" s="32"/>
      <c r="DW367" s="32"/>
      <c r="DX367" s="32"/>
      <c r="DY367" s="32"/>
      <c r="DZ367" s="32"/>
      <c r="EA367" s="32"/>
      <c r="EB367" s="32"/>
      <c r="EC367" s="32"/>
      <c r="ED367" s="32"/>
      <c r="EE367" s="32"/>
      <c r="EF367" s="32"/>
      <c r="EG367" s="32"/>
      <c r="EH367" s="32"/>
      <c r="EI367" s="32"/>
      <c r="EJ367" s="32"/>
      <c r="EK367" s="32"/>
      <c r="EL367" s="32"/>
      <c r="EM367" s="32"/>
      <c r="EN367" s="32"/>
      <c r="EO367" s="32"/>
      <c r="EP367" s="32"/>
      <c r="EQ367" s="32"/>
      <c r="ER367" s="32"/>
      <c r="ES367" s="32"/>
      <c r="ET367" s="32"/>
      <c r="EU367" s="32"/>
      <c r="EV367" s="32"/>
      <c r="EW367" s="32"/>
      <c r="EX367" s="32"/>
      <c r="EY367" s="32"/>
      <c r="EZ367" s="32"/>
      <c r="FA367" s="32"/>
      <c r="FB367" s="32"/>
      <c r="FC367" s="32"/>
      <c r="FD367" s="32"/>
      <c r="FE367" s="32"/>
      <c r="FF367" s="32"/>
      <c r="FG367" s="32"/>
      <c r="FH367" s="32"/>
      <c r="FI367" s="32"/>
      <c r="FJ367" s="32"/>
      <c r="FK367" s="32"/>
      <c r="FL367" s="32"/>
      <c r="FM367" s="32"/>
      <c r="FN367" s="32"/>
      <c r="FO367" s="32"/>
      <c r="FP367" s="32"/>
      <c r="FQ367" s="32"/>
      <c r="FR367" s="32"/>
      <c r="FS367" s="32"/>
      <c r="FT367" s="32"/>
      <c r="FU367" s="32"/>
      <c r="FV367" s="32"/>
      <c r="FW367" s="32"/>
      <c r="FX367" s="32"/>
      <c r="FY367" s="32"/>
      <c r="FZ367" s="32"/>
      <c r="GA367" s="32"/>
      <c r="GB367" s="32"/>
      <c r="GC367" s="32"/>
      <c r="GD367" s="32"/>
      <c r="GE367" s="32"/>
      <c r="GF367" s="32"/>
      <c r="GG367" s="32"/>
      <c r="GH367" s="32"/>
      <c r="GI367" s="32"/>
      <c r="GJ367" s="32"/>
      <c r="GK367" s="32"/>
      <c r="GL367" s="32"/>
      <c r="GM367" s="32"/>
      <c r="GN367" s="32"/>
      <c r="GO367" s="32"/>
      <c r="GP367" s="32"/>
      <c r="GQ367" s="32"/>
      <c r="GR367" s="32"/>
      <c r="GS367" s="32"/>
      <c r="GT367" s="32"/>
      <c r="GU367" s="32"/>
      <c r="GV367" s="32"/>
      <c r="GW367" s="32"/>
      <c r="GX367" s="32"/>
      <c r="GY367" s="32"/>
      <c r="GZ367" s="32"/>
      <c r="HA367" s="32"/>
      <c r="HB367" s="32"/>
      <c r="HC367" s="32"/>
      <c r="HD367" s="32"/>
      <c r="HE367" s="32"/>
      <c r="HF367" s="32"/>
      <c r="HG367" s="32"/>
      <c r="HH367" s="32"/>
      <c r="HI367" s="32"/>
      <c r="HJ367" s="32"/>
      <c r="HK367" s="32"/>
      <c r="HL367" s="32"/>
      <c r="HM367" s="32"/>
      <c r="HN367" s="32"/>
      <c r="HO367" s="32"/>
      <c r="HP367" s="32"/>
    </row>
    <row r="368" spans="1:224" x14ac:dyDescent="0.25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  <c r="BG368" s="32"/>
      <c r="BH368" s="32"/>
      <c r="BI368" s="32"/>
      <c r="BJ368" s="32"/>
      <c r="BK368" s="32"/>
      <c r="BL368" s="32"/>
      <c r="BM368" s="32"/>
      <c r="BN368" s="32"/>
      <c r="BO368" s="32"/>
      <c r="BP368" s="32"/>
      <c r="BQ368" s="32"/>
      <c r="BR368" s="32"/>
      <c r="BS368" s="32"/>
      <c r="BT368" s="32"/>
      <c r="BU368" s="32"/>
      <c r="BV368" s="32"/>
      <c r="BW368" s="32"/>
      <c r="BX368" s="32"/>
      <c r="BY368" s="32"/>
      <c r="BZ368" s="32"/>
      <c r="CA368" s="32"/>
      <c r="CB368" s="32"/>
      <c r="CC368" s="32"/>
      <c r="CD368" s="32"/>
      <c r="CE368" s="32"/>
      <c r="CF368" s="32"/>
      <c r="CG368" s="32"/>
      <c r="CH368" s="32"/>
      <c r="CI368" s="32"/>
      <c r="CJ368" s="32"/>
      <c r="CK368" s="32"/>
      <c r="CL368" s="32"/>
      <c r="CM368" s="32"/>
      <c r="CN368" s="32"/>
      <c r="CO368" s="32"/>
      <c r="CP368" s="32"/>
      <c r="CQ368" s="32"/>
      <c r="CR368" s="32"/>
      <c r="CS368" s="32"/>
      <c r="CT368" s="32"/>
      <c r="CU368" s="32"/>
      <c r="CV368" s="32"/>
      <c r="CW368" s="32"/>
      <c r="CX368" s="32"/>
      <c r="CY368" s="32"/>
      <c r="CZ368" s="32"/>
      <c r="DA368" s="32"/>
      <c r="DB368" s="32"/>
      <c r="DC368" s="32"/>
      <c r="DD368" s="32"/>
      <c r="DE368" s="32"/>
      <c r="DF368" s="32"/>
      <c r="DG368" s="32"/>
      <c r="DH368" s="32"/>
      <c r="DI368" s="32"/>
      <c r="DJ368" s="32"/>
      <c r="DK368" s="32"/>
      <c r="DL368" s="32"/>
      <c r="DM368" s="32"/>
      <c r="DN368" s="32"/>
      <c r="DO368" s="32"/>
      <c r="DP368" s="32"/>
      <c r="DQ368" s="32"/>
      <c r="DR368" s="32"/>
      <c r="DS368" s="32"/>
      <c r="DT368" s="32"/>
      <c r="DU368" s="32"/>
      <c r="DV368" s="32"/>
      <c r="DW368" s="32"/>
      <c r="DX368" s="32"/>
      <c r="DY368" s="32"/>
      <c r="DZ368" s="32"/>
      <c r="EA368" s="32"/>
      <c r="EB368" s="32"/>
      <c r="EC368" s="32"/>
      <c r="ED368" s="32"/>
      <c r="EE368" s="32"/>
      <c r="EF368" s="32"/>
      <c r="EG368" s="32"/>
      <c r="EH368" s="32"/>
      <c r="EI368" s="32"/>
      <c r="EJ368" s="32"/>
      <c r="EK368" s="32"/>
      <c r="EL368" s="32"/>
      <c r="EM368" s="32"/>
      <c r="EN368" s="32"/>
      <c r="EO368" s="32"/>
      <c r="EP368" s="32"/>
      <c r="EQ368" s="32"/>
      <c r="ER368" s="32"/>
      <c r="ES368" s="32"/>
      <c r="ET368" s="32"/>
      <c r="EU368" s="32"/>
      <c r="EV368" s="32"/>
      <c r="EW368" s="32"/>
      <c r="EX368" s="32"/>
      <c r="EY368" s="32"/>
      <c r="EZ368" s="32"/>
      <c r="FA368" s="32"/>
      <c r="FB368" s="32"/>
      <c r="FC368" s="32"/>
      <c r="FD368" s="32"/>
      <c r="FE368" s="32"/>
      <c r="FF368" s="32"/>
      <c r="FG368" s="32"/>
      <c r="FH368" s="32"/>
      <c r="FI368" s="32"/>
      <c r="FJ368" s="32"/>
      <c r="FK368" s="32"/>
      <c r="FL368" s="32"/>
      <c r="FM368" s="32"/>
      <c r="FN368" s="32"/>
      <c r="FO368" s="32"/>
      <c r="FP368" s="32"/>
      <c r="FQ368" s="32"/>
      <c r="FR368" s="32"/>
      <c r="FS368" s="32"/>
      <c r="FT368" s="32"/>
      <c r="FU368" s="32"/>
      <c r="FV368" s="32"/>
      <c r="FW368" s="32"/>
      <c r="FX368" s="32"/>
      <c r="FY368" s="32"/>
      <c r="FZ368" s="32"/>
      <c r="GA368" s="32"/>
      <c r="GB368" s="32"/>
      <c r="GC368" s="32"/>
      <c r="GD368" s="32"/>
      <c r="GE368" s="32"/>
      <c r="GF368" s="32"/>
      <c r="GG368" s="32"/>
      <c r="GH368" s="32"/>
      <c r="GI368" s="32"/>
      <c r="GJ368" s="32"/>
      <c r="GK368" s="32"/>
      <c r="GL368" s="32"/>
      <c r="GM368" s="32"/>
      <c r="GN368" s="32"/>
      <c r="GO368" s="32"/>
      <c r="GP368" s="32"/>
      <c r="GQ368" s="32"/>
      <c r="GR368" s="32"/>
      <c r="GS368" s="32"/>
      <c r="GT368" s="32"/>
      <c r="GU368" s="32"/>
      <c r="GV368" s="32"/>
      <c r="GW368" s="32"/>
      <c r="GX368" s="32"/>
      <c r="GY368" s="32"/>
      <c r="GZ368" s="32"/>
      <c r="HA368" s="32"/>
      <c r="HB368" s="32"/>
      <c r="HC368" s="32"/>
      <c r="HD368" s="32"/>
      <c r="HE368" s="32"/>
      <c r="HF368" s="32"/>
      <c r="HG368" s="32"/>
      <c r="HH368" s="32"/>
      <c r="HI368" s="32"/>
      <c r="HJ368" s="32"/>
      <c r="HK368" s="32"/>
      <c r="HL368" s="32"/>
      <c r="HM368" s="32"/>
      <c r="HN368" s="32"/>
      <c r="HO368" s="32"/>
      <c r="HP368" s="32"/>
    </row>
    <row r="369" spans="1:224" x14ac:dyDescent="0.25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  <c r="BG369" s="32"/>
      <c r="BH369" s="32"/>
      <c r="BI369" s="32"/>
      <c r="BJ369" s="32"/>
      <c r="BK369" s="32"/>
      <c r="BL369" s="32"/>
      <c r="BM369" s="32"/>
      <c r="BN369" s="32"/>
      <c r="BO369" s="32"/>
      <c r="BP369" s="32"/>
      <c r="BQ369" s="32"/>
      <c r="BR369" s="32"/>
      <c r="BS369" s="32"/>
      <c r="BT369" s="32"/>
      <c r="BU369" s="32"/>
      <c r="BV369" s="32"/>
      <c r="BW369" s="32"/>
      <c r="BX369" s="32"/>
      <c r="BY369" s="32"/>
      <c r="BZ369" s="32"/>
      <c r="CA369" s="32"/>
      <c r="CB369" s="32"/>
      <c r="CC369" s="32"/>
      <c r="CD369" s="32"/>
      <c r="CE369" s="32"/>
      <c r="CF369" s="32"/>
      <c r="CG369" s="32"/>
      <c r="CH369" s="32"/>
      <c r="CI369" s="32"/>
      <c r="CJ369" s="32"/>
      <c r="CK369" s="32"/>
      <c r="CL369" s="32"/>
      <c r="CM369" s="32"/>
      <c r="CN369" s="32"/>
      <c r="CO369" s="32"/>
      <c r="CP369" s="32"/>
      <c r="CQ369" s="32"/>
      <c r="CR369" s="32"/>
      <c r="CS369" s="32"/>
      <c r="CT369" s="32"/>
      <c r="CU369" s="32"/>
      <c r="CV369" s="32"/>
      <c r="CW369" s="32"/>
      <c r="CX369" s="32"/>
      <c r="CY369" s="32"/>
      <c r="CZ369" s="32"/>
      <c r="DA369" s="32"/>
      <c r="DB369" s="32"/>
      <c r="DC369" s="32"/>
      <c r="DD369" s="32"/>
      <c r="DE369" s="32"/>
      <c r="DF369" s="32"/>
      <c r="DG369" s="32"/>
      <c r="DH369" s="32"/>
      <c r="DI369" s="32"/>
      <c r="DJ369" s="32"/>
      <c r="DK369" s="32"/>
      <c r="DL369" s="32"/>
      <c r="DM369" s="32"/>
      <c r="DN369" s="32"/>
      <c r="DO369" s="32"/>
      <c r="DP369" s="32"/>
      <c r="DQ369" s="32"/>
      <c r="DR369" s="32"/>
      <c r="DS369" s="32"/>
      <c r="DT369" s="32"/>
      <c r="DU369" s="32"/>
      <c r="DV369" s="32"/>
      <c r="DW369" s="32"/>
      <c r="DX369" s="32"/>
      <c r="DY369" s="32"/>
      <c r="DZ369" s="32"/>
      <c r="EA369" s="32"/>
      <c r="EB369" s="32"/>
      <c r="EC369" s="32"/>
      <c r="ED369" s="32"/>
      <c r="EE369" s="32"/>
      <c r="EF369" s="32"/>
      <c r="EG369" s="32"/>
      <c r="EH369" s="32"/>
      <c r="EI369" s="32"/>
      <c r="EJ369" s="32"/>
      <c r="EK369" s="32"/>
      <c r="EL369" s="32"/>
      <c r="EM369" s="32"/>
      <c r="EN369" s="32"/>
      <c r="EO369" s="32"/>
      <c r="EP369" s="32"/>
      <c r="EQ369" s="32"/>
      <c r="ER369" s="32"/>
      <c r="ES369" s="32"/>
      <c r="ET369" s="32"/>
      <c r="EU369" s="32"/>
      <c r="EV369" s="32"/>
      <c r="EW369" s="32"/>
      <c r="EX369" s="32"/>
      <c r="EY369" s="32"/>
      <c r="EZ369" s="32"/>
      <c r="FA369" s="32"/>
      <c r="FB369" s="32"/>
      <c r="FC369" s="32"/>
      <c r="FD369" s="32"/>
      <c r="FE369" s="32"/>
      <c r="FF369" s="32"/>
      <c r="FG369" s="32"/>
      <c r="FH369" s="32"/>
      <c r="FI369" s="32"/>
      <c r="FJ369" s="32"/>
      <c r="FK369" s="32"/>
      <c r="FL369" s="32"/>
      <c r="FM369" s="32"/>
      <c r="FN369" s="32"/>
      <c r="FO369" s="32"/>
      <c r="FP369" s="32"/>
      <c r="FQ369" s="32"/>
      <c r="FR369" s="32"/>
      <c r="FS369" s="32"/>
      <c r="FT369" s="32"/>
      <c r="FU369" s="32"/>
      <c r="FV369" s="32"/>
      <c r="FW369" s="32"/>
      <c r="FX369" s="32"/>
      <c r="FY369" s="32"/>
      <c r="FZ369" s="32"/>
      <c r="GA369" s="32"/>
      <c r="GB369" s="32"/>
      <c r="GC369" s="32"/>
      <c r="GD369" s="32"/>
      <c r="GE369" s="32"/>
      <c r="GF369" s="32"/>
      <c r="GG369" s="32"/>
      <c r="GH369" s="32"/>
      <c r="GI369" s="32"/>
      <c r="GJ369" s="32"/>
      <c r="GK369" s="32"/>
      <c r="GL369" s="32"/>
      <c r="GM369" s="32"/>
      <c r="GN369" s="32"/>
      <c r="GO369" s="32"/>
      <c r="GP369" s="32"/>
      <c r="GQ369" s="32"/>
      <c r="GR369" s="32"/>
      <c r="GS369" s="32"/>
      <c r="GT369" s="32"/>
      <c r="GU369" s="32"/>
      <c r="GV369" s="32"/>
      <c r="GW369" s="32"/>
      <c r="GX369" s="32"/>
      <c r="GY369" s="32"/>
      <c r="GZ369" s="32"/>
      <c r="HA369" s="32"/>
      <c r="HB369" s="32"/>
      <c r="HC369" s="32"/>
      <c r="HD369" s="32"/>
      <c r="HE369" s="32"/>
      <c r="HF369" s="32"/>
      <c r="HG369" s="32"/>
      <c r="HH369" s="32"/>
      <c r="HI369" s="32"/>
      <c r="HJ369" s="32"/>
      <c r="HK369" s="32"/>
      <c r="HL369" s="32"/>
      <c r="HM369" s="32"/>
      <c r="HN369" s="32"/>
      <c r="HO369" s="32"/>
      <c r="HP369" s="32"/>
    </row>
    <row r="370" spans="1:224" x14ac:dyDescent="0.25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  <c r="BG370" s="32"/>
      <c r="BH370" s="32"/>
      <c r="BI370" s="32"/>
      <c r="BJ370" s="32"/>
      <c r="BK370" s="32"/>
      <c r="BL370" s="32"/>
      <c r="BM370" s="32"/>
      <c r="BN370" s="32"/>
      <c r="BO370" s="32"/>
      <c r="BP370" s="32"/>
      <c r="BQ370" s="32"/>
      <c r="BR370" s="32"/>
      <c r="BS370" s="32"/>
      <c r="BT370" s="32"/>
      <c r="BU370" s="32"/>
      <c r="BV370" s="32"/>
      <c r="BW370" s="32"/>
      <c r="BX370" s="32"/>
      <c r="BY370" s="32"/>
      <c r="BZ370" s="32"/>
      <c r="CA370" s="32"/>
      <c r="CB370" s="32"/>
      <c r="CC370" s="32"/>
      <c r="CD370" s="32"/>
      <c r="CE370" s="32"/>
      <c r="CF370" s="32"/>
      <c r="CG370" s="32"/>
      <c r="CH370" s="32"/>
      <c r="CI370" s="32"/>
      <c r="CJ370" s="32"/>
      <c r="CK370" s="32"/>
      <c r="CL370" s="32"/>
      <c r="CM370" s="32"/>
      <c r="CN370" s="32"/>
      <c r="CO370" s="32"/>
      <c r="CP370" s="32"/>
      <c r="CQ370" s="32"/>
      <c r="CR370" s="32"/>
      <c r="CS370" s="32"/>
      <c r="CT370" s="32"/>
      <c r="CU370" s="32"/>
      <c r="CV370" s="32"/>
      <c r="CW370" s="32"/>
      <c r="CX370" s="32"/>
      <c r="CY370" s="32"/>
      <c r="CZ370" s="32"/>
      <c r="DA370" s="32"/>
      <c r="DB370" s="32"/>
      <c r="DC370" s="32"/>
      <c r="DD370" s="32"/>
      <c r="DE370" s="32"/>
      <c r="DF370" s="32"/>
      <c r="DG370" s="32"/>
      <c r="DH370" s="32"/>
      <c r="DI370" s="32"/>
      <c r="DJ370" s="32"/>
      <c r="DK370" s="32"/>
      <c r="DL370" s="32"/>
      <c r="DM370" s="32"/>
      <c r="DN370" s="32"/>
      <c r="DO370" s="32"/>
      <c r="DP370" s="32"/>
      <c r="DQ370" s="32"/>
      <c r="DR370" s="32"/>
      <c r="DS370" s="32"/>
      <c r="DT370" s="32"/>
      <c r="DU370" s="32"/>
      <c r="DV370" s="32"/>
      <c r="DW370" s="32"/>
      <c r="DX370" s="32"/>
      <c r="DY370" s="32"/>
      <c r="DZ370" s="32"/>
      <c r="EA370" s="32"/>
      <c r="EB370" s="32"/>
      <c r="EC370" s="32"/>
      <c r="ED370" s="32"/>
      <c r="EE370" s="32"/>
      <c r="EF370" s="32"/>
      <c r="EG370" s="32"/>
      <c r="EH370" s="32"/>
      <c r="EI370" s="32"/>
      <c r="EJ370" s="32"/>
      <c r="EK370" s="32"/>
      <c r="EL370" s="32"/>
      <c r="EM370" s="32"/>
      <c r="EN370" s="32"/>
      <c r="EO370" s="32"/>
      <c r="EP370" s="32"/>
      <c r="EQ370" s="32"/>
      <c r="ER370" s="32"/>
      <c r="ES370" s="32"/>
      <c r="ET370" s="32"/>
      <c r="EU370" s="32"/>
      <c r="EV370" s="32"/>
      <c r="EW370" s="32"/>
      <c r="EX370" s="32"/>
      <c r="EY370" s="32"/>
      <c r="EZ370" s="32"/>
      <c r="FA370" s="32"/>
      <c r="FB370" s="32"/>
      <c r="FC370" s="32"/>
      <c r="FD370" s="32"/>
      <c r="FE370" s="32"/>
      <c r="FF370" s="32"/>
      <c r="FG370" s="32"/>
      <c r="FH370" s="32"/>
      <c r="FI370" s="32"/>
      <c r="FJ370" s="32"/>
      <c r="FK370" s="32"/>
      <c r="FL370" s="32"/>
      <c r="FM370" s="32"/>
      <c r="FN370" s="32"/>
      <c r="FO370" s="32"/>
      <c r="FP370" s="32"/>
      <c r="FQ370" s="32"/>
      <c r="FR370" s="32"/>
      <c r="FS370" s="32"/>
      <c r="FT370" s="32"/>
      <c r="FU370" s="32"/>
      <c r="FV370" s="32"/>
      <c r="FW370" s="32"/>
      <c r="FX370" s="32"/>
      <c r="FY370" s="32"/>
      <c r="FZ370" s="32"/>
      <c r="GA370" s="32"/>
      <c r="GB370" s="32"/>
      <c r="GC370" s="32"/>
      <c r="GD370" s="32"/>
      <c r="GE370" s="32"/>
      <c r="GF370" s="32"/>
      <c r="GG370" s="32"/>
      <c r="GH370" s="32"/>
      <c r="GI370" s="32"/>
      <c r="GJ370" s="32"/>
      <c r="GK370" s="32"/>
      <c r="GL370" s="32"/>
      <c r="GM370" s="32"/>
      <c r="GN370" s="32"/>
      <c r="GO370" s="32"/>
      <c r="GP370" s="32"/>
      <c r="GQ370" s="32"/>
      <c r="GR370" s="32"/>
      <c r="GS370" s="32"/>
      <c r="GT370" s="32"/>
      <c r="GU370" s="32"/>
      <c r="GV370" s="32"/>
      <c r="GW370" s="32"/>
      <c r="GX370" s="32"/>
      <c r="GY370" s="32"/>
      <c r="GZ370" s="32"/>
      <c r="HA370" s="32"/>
      <c r="HB370" s="32"/>
      <c r="HC370" s="32"/>
      <c r="HD370" s="32"/>
      <c r="HE370" s="32"/>
      <c r="HF370" s="32"/>
      <c r="HG370" s="32"/>
      <c r="HH370" s="32"/>
      <c r="HI370" s="32"/>
      <c r="HJ370" s="32"/>
      <c r="HK370" s="32"/>
      <c r="HL370" s="32"/>
      <c r="HM370" s="32"/>
      <c r="HN370" s="32"/>
      <c r="HO370" s="32"/>
      <c r="HP370" s="32"/>
    </row>
    <row r="371" spans="1:224" x14ac:dyDescent="0.25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BH371" s="32"/>
      <c r="BI371" s="32"/>
      <c r="BJ371" s="32"/>
      <c r="BK371" s="32"/>
      <c r="BL371" s="32"/>
      <c r="BM371" s="32"/>
      <c r="BN371" s="32"/>
      <c r="BO371" s="32"/>
      <c r="BP371" s="32"/>
      <c r="BQ371" s="32"/>
      <c r="BR371" s="32"/>
      <c r="BS371" s="32"/>
      <c r="BT371" s="32"/>
      <c r="BU371" s="32"/>
      <c r="BV371" s="32"/>
      <c r="BW371" s="32"/>
      <c r="BX371" s="32"/>
      <c r="BY371" s="32"/>
      <c r="BZ371" s="32"/>
      <c r="CA371" s="32"/>
      <c r="CB371" s="32"/>
      <c r="CC371" s="32"/>
      <c r="CD371" s="32"/>
      <c r="CE371" s="32"/>
      <c r="CF371" s="32"/>
      <c r="CG371" s="32"/>
      <c r="CH371" s="32"/>
      <c r="CI371" s="32"/>
      <c r="CJ371" s="32"/>
      <c r="CK371" s="32"/>
      <c r="CL371" s="32"/>
      <c r="CM371" s="32"/>
      <c r="CN371" s="32"/>
      <c r="CO371" s="32"/>
      <c r="CP371" s="32"/>
      <c r="CQ371" s="32"/>
      <c r="CR371" s="32"/>
      <c r="CS371" s="32"/>
      <c r="CT371" s="32"/>
      <c r="CU371" s="32"/>
      <c r="CV371" s="32"/>
      <c r="CW371" s="32"/>
      <c r="CX371" s="32"/>
      <c r="CY371" s="32"/>
      <c r="CZ371" s="32"/>
      <c r="DA371" s="32"/>
      <c r="DB371" s="32"/>
      <c r="DC371" s="32"/>
      <c r="DD371" s="32"/>
      <c r="DE371" s="32"/>
      <c r="DF371" s="32"/>
      <c r="DG371" s="32"/>
      <c r="DH371" s="32"/>
      <c r="DI371" s="32"/>
      <c r="DJ371" s="32"/>
      <c r="DK371" s="32"/>
      <c r="DL371" s="32"/>
      <c r="DM371" s="32"/>
      <c r="DN371" s="32"/>
      <c r="DO371" s="32"/>
      <c r="DP371" s="32"/>
      <c r="DQ371" s="32"/>
      <c r="DR371" s="32"/>
      <c r="DS371" s="32"/>
      <c r="DT371" s="32"/>
      <c r="DU371" s="32"/>
      <c r="DV371" s="32"/>
      <c r="DW371" s="32"/>
      <c r="DX371" s="32"/>
      <c r="DY371" s="32"/>
      <c r="DZ371" s="32"/>
      <c r="EA371" s="32"/>
      <c r="EB371" s="32"/>
      <c r="EC371" s="32"/>
      <c r="ED371" s="32"/>
      <c r="EE371" s="32"/>
      <c r="EF371" s="32"/>
      <c r="EG371" s="32"/>
      <c r="EH371" s="32"/>
      <c r="EI371" s="32"/>
      <c r="EJ371" s="32"/>
      <c r="EK371" s="32"/>
      <c r="EL371" s="32"/>
      <c r="EM371" s="32"/>
      <c r="EN371" s="32"/>
      <c r="EO371" s="32"/>
      <c r="EP371" s="32"/>
      <c r="EQ371" s="32"/>
      <c r="ER371" s="32"/>
      <c r="ES371" s="32"/>
      <c r="ET371" s="32"/>
      <c r="EU371" s="32"/>
      <c r="EV371" s="32"/>
      <c r="EW371" s="32"/>
      <c r="EX371" s="32"/>
      <c r="EY371" s="32"/>
      <c r="EZ371" s="32"/>
      <c r="FA371" s="32"/>
      <c r="FB371" s="32"/>
      <c r="FC371" s="32"/>
      <c r="FD371" s="32"/>
      <c r="FE371" s="32"/>
      <c r="FF371" s="32"/>
      <c r="FG371" s="32"/>
      <c r="FH371" s="32"/>
      <c r="FI371" s="32"/>
      <c r="FJ371" s="32"/>
      <c r="FK371" s="32"/>
      <c r="FL371" s="32"/>
      <c r="FM371" s="32"/>
      <c r="FN371" s="32"/>
      <c r="FO371" s="32"/>
      <c r="FP371" s="32"/>
      <c r="FQ371" s="32"/>
      <c r="FR371" s="32"/>
      <c r="FS371" s="32"/>
      <c r="FT371" s="32"/>
      <c r="FU371" s="32"/>
      <c r="FV371" s="32"/>
      <c r="FW371" s="32"/>
      <c r="FX371" s="32"/>
      <c r="FY371" s="32"/>
      <c r="FZ371" s="32"/>
      <c r="GA371" s="32"/>
      <c r="GB371" s="32"/>
      <c r="GC371" s="32"/>
      <c r="GD371" s="32"/>
      <c r="GE371" s="32"/>
      <c r="GF371" s="32"/>
      <c r="GG371" s="32"/>
      <c r="GH371" s="32"/>
      <c r="GI371" s="32"/>
      <c r="GJ371" s="32"/>
      <c r="GK371" s="32"/>
      <c r="GL371" s="32"/>
      <c r="GM371" s="32"/>
      <c r="GN371" s="32"/>
      <c r="GO371" s="32"/>
      <c r="GP371" s="32"/>
      <c r="GQ371" s="32"/>
      <c r="GR371" s="32"/>
      <c r="GS371" s="32"/>
      <c r="GT371" s="32"/>
      <c r="GU371" s="32"/>
      <c r="GV371" s="32"/>
      <c r="GW371" s="32"/>
      <c r="GX371" s="32"/>
      <c r="GY371" s="32"/>
      <c r="GZ371" s="32"/>
      <c r="HA371" s="32"/>
      <c r="HB371" s="32"/>
      <c r="HC371" s="32"/>
      <c r="HD371" s="32"/>
      <c r="HE371" s="32"/>
      <c r="HF371" s="32"/>
      <c r="HG371" s="32"/>
      <c r="HH371" s="32"/>
      <c r="HI371" s="32"/>
      <c r="HJ371" s="32"/>
      <c r="HK371" s="32"/>
      <c r="HL371" s="32"/>
      <c r="HM371" s="32"/>
      <c r="HN371" s="32"/>
      <c r="HO371" s="32"/>
      <c r="HP371" s="32"/>
    </row>
    <row r="372" spans="1:224" x14ac:dyDescent="0.25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  <c r="BG372" s="32"/>
      <c r="BH372" s="32"/>
      <c r="BI372" s="32"/>
      <c r="BJ372" s="32"/>
      <c r="BK372" s="32"/>
      <c r="BL372" s="32"/>
      <c r="BM372" s="32"/>
      <c r="BN372" s="32"/>
      <c r="BO372" s="32"/>
      <c r="BP372" s="32"/>
      <c r="BQ372" s="32"/>
      <c r="BR372" s="32"/>
      <c r="BS372" s="32"/>
      <c r="BT372" s="32"/>
      <c r="BU372" s="32"/>
      <c r="BV372" s="32"/>
      <c r="BW372" s="32"/>
      <c r="BX372" s="32"/>
      <c r="BY372" s="32"/>
      <c r="BZ372" s="32"/>
      <c r="CA372" s="32"/>
      <c r="CB372" s="32"/>
      <c r="CC372" s="32"/>
      <c r="CD372" s="32"/>
      <c r="CE372" s="32"/>
      <c r="CF372" s="32"/>
      <c r="CG372" s="32"/>
      <c r="CH372" s="32"/>
      <c r="CI372" s="32"/>
      <c r="CJ372" s="32"/>
      <c r="CK372" s="32"/>
      <c r="CL372" s="32"/>
      <c r="CM372" s="32"/>
      <c r="CN372" s="32"/>
      <c r="CO372" s="32"/>
      <c r="CP372" s="32"/>
      <c r="CQ372" s="32"/>
      <c r="CR372" s="32"/>
      <c r="CS372" s="32"/>
      <c r="CT372" s="32"/>
      <c r="CU372" s="32"/>
      <c r="CV372" s="32"/>
      <c r="CW372" s="32"/>
      <c r="CX372" s="32"/>
      <c r="CY372" s="32"/>
      <c r="CZ372" s="32"/>
      <c r="DA372" s="32"/>
      <c r="DB372" s="32"/>
      <c r="DC372" s="32"/>
      <c r="DD372" s="32"/>
      <c r="DE372" s="32"/>
      <c r="DF372" s="32"/>
      <c r="DG372" s="32"/>
      <c r="DH372" s="32"/>
      <c r="DI372" s="32"/>
      <c r="DJ372" s="32"/>
      <c r="DK372" s="32"/>
      <c r="DL372" s="32"/>
      <c r="DM372" s="32"/>
      <c r="DN372" s="32"/>
      <c r="DO372" s="32"/>
      <c r="DP372" s="32"/>
      <c r="DQ372" s="32"/>
      <c r="DR372" s="32"/>
      <c r="DS372" s="32"/>
      <c r="DT372" s="32"/>
      <c r="DU372" s="32"/>
      <c r="DV372" s="32"/>
      <c r="DW372" s="32"/>
      <c r="DX372" s="32"/>
      <c r="DY372" s="32"/>
      <c r="DZ372" s="32"/>
      <c r="EA372" s="32"/>
      <c r="EB372" s="32"/>
      <c r="EC372" s="32"/>
      <c r="ED372" s="32"/>
      <c r="EE372" s="32"/>
      <c r="EF372" s="32"/>
      <c r="EG372" s="32"/>
      <c r="EH372" s="32"/>
      <c r="EI372" s="32"/>
      <c r="EJ372" s="32"/>
      <c r="EK372" s="32"/>
      <c r="EL372" s="32"/>
      <c r="EM372" s="32"/>
      <c r="EN372" s="32"/>
      <c r="EO372" s="32"/>
      <c r="EP372" s="32"/>
      <c r="EQ372" s="32"/>
      <c r="ER372" s="32"/>
      <c r="ES372" s="32"/>
      <c r="ET372" s="32"/>
      <c r="EU372" s="32"/>
      <c r="EV372" s="32"/>
      <c r="EW372" s="32"/>
      <c r="EX372" s="32"/>
      <c r="EY372" s="32"/>
      <c r="EZ372" s="32"/>
      <c r="FA372" s="32"/>
      <c r="FB372" s="32"/>
      <c r="FC372" s="32"/>
      <c r="FD372" s="32"/>
      <c r="FE372" s="32"/>
      <c r="FF372" s="32"/>
      <c r="FG372" s="32"/>
      <c r="FH372" s="32"/>
      <c r="FI372" s="32"/>
      <c r="FJ372" s="32"/>
      <c r="FK372" s="32"/>
      <c r="FL372" s="32"/>
      <c r="FM372" s="32"/>
      <c r="FN372" s="32"/>
      <c r="FO372" s="32"/>
      <c r="FP372" s="32"/>
      <c r="FQ372" s="32"/>
      <c r="FR372" s="32"/>
      <c r="FS372" s="32"/>
      <c r="FT372" s="32"/>
      <c r="FU372" s="32"/>
      <c r="FV372" s="32"/>
      <c r="FW372" s="32"/>
      <c r="FX372" s="32"/>
      <c r="FY372" s="32"/>
      <c r="FZ372" s="32"/>
      <c r="GA372" s="32"/>
      <c r="GB372" s="32"/>
      <c r="GC372" s="32"/>
      <c r="GD372" s="32"/>
      <c r="GE372" s="32"/>
      <c r="GF372" s="32"/>
      <c r="GG372" s="32"/>
      <c r="GH372" s="32"/>
      <c r="GI372" s="32"/>
      <c r="GJ372" s="32"/>
      <c r="GK372" s="32"/>
      <c r="GL372" s="32"/>
      <c r="GM372" s="32"/>
      <c r="GN372" s="32"/>
      <c r="GO372" s="32"/>
      <c r="GP372" s="32"/>
      <c r="GQ372" s="32"/>
      <c r="GR372" s="32"/>
      <c r="GS372" s="32"/>
      <c r="GT372" s="32"/>
      <c r="GU372" s="32"/>
      <c r="GV372" s="32"/>
      <c r="GW372" s="32"/>
      <c r="GX372" s="32"/>
      <c r="GY372" s="32"/>
      <c r="GZ372" s="32"/>
      <c r="HA372" s="32"/>
      <c r="HB372" s="32"/>
      <c r="HC372" s="32"/>
      <c r="HD372" s="32"/>
      <c r="HE372" s="32"/>
      <c r="HF372" s="32"/>
      <c r="HG372" s="32"/>
      <c r="HH372" s="32"/>
      <c r="HI372" s="32"/>
      <c r="HJ372" s="32"/>
      <c r="HK372" s="32"/>
      <c r="HL372" s="32"/>
      <c r="HM372" s="32"/>
      <c r="HN372" s="32"/>
      <c r="HO372" s="32"/>
      <c r="HP372" s="32"/>
    </row>
    <row r="373" spans="1:224" x14ac:dyDescent="0.25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  <c r="BG373" s="32"/>
      <c r="BH373" s="32"/>
      <c r="BI373" s="32"/>
      <c r="BJ373" s="32"/>
      <c r="BK373" s="32"/>
      <c r="BL373" s="32"/>
      <c r="BM373" s="32"/>
      <c r="BN373" s="32"/>
      <c r="BO373" s="32"/>
      <c r="BP373" s="32"/>
      <c r="BQ373" s="32"/>
      <c r="BR373" s="32"/>
      <c r="BS373" s="32"/>
      <c r="BT373" s="32"/>
      <c r="BU373" s="32"/>
      <c r="BV373" s="32"/>
      <c r="BW373" s="32"/>
      <c r="BX373" s="32"/>
      <c r="BY373" s="32"/>
      <c r="BZ373" s="32"/>
      <c r="CA373" s="32"/>
      <c r="CB373" s="32"/>
      <c r="CC373" s="32"/>
      <c r="CD373" s="32"/>
      <c r="CE373" s="32"/>
      <c r="CF373" s="32"/>
      <c r="CG373" s="32"/>
      <c r="CH373" s="32"/>
      <c r="CI373" s="32"/>
      <c r="CJ373" s="32"/>
      <c r="CK373" s="32"/>
      <c r="CL373" s="32"/>
      <c r="CM373" s="32"/>
      <c r="CN373" s="32"/>
      <c r="CO373" s="32"/>
      <c r="CP373" s="32"/>
      <c r="CQ373" s="32"/>
      <c r="CR373" s="32"/>
      <c r="CS373" s="32"/>
      <c r="CT373" s="32"/>
      <c r="CU373" s="32"/>
      <c r="CV373" s="32"/>
      <c r="CW373" s="32"/>
      <c r="CX373" s="32"/>
      <c r="CY373" s="32"/>
      <c r="CZ373" s="32"/>
      <c r="DA373" s="32"/>
      <c r="DB373" s="32"/>
      <c r="DC373" s="32"/>
      <c r="DD373" s="32"/>
      <c r="DE373" s="32"/>
      <c r="DF373" s="32"/>
      <c r="DG373" s="32"/>
      <c r="DH373" s="32"/>
      <c r="DI373" s="32"/>
      <c r="DJ373" s="32"/>
      <c r="DK373" s="32"/>
      <c r="DL373" s="32"/>
      <c r="DM373" s="32"/>
      <c r="DN373" s="32"/>
      <c r="DO373" s="32"/>
      <c r="DP373" s="32"/>
      <c r="DQ373" s="32"/>
      <c r="DR373" s="32"/>
      <c r="DS373" s="32"/>
      <c r="DT373" s="32"/>
      <c r="DU373" s="32"/>
      <c r="DV373" s="32"/>
      <c r="DW373" s="32"/>
      <c r="DX373" s="32"/>
      <c r="DY373" s="32"/>
      <c r="DZ373" s="32"/>
      <c r="EA373" s="32"/>
      <c r="EB373" s="32"/>
      <c r="EC373" s="32"/>
      <c r="ED373" s="32"/>
      <c r="EE373" s="32"/>
      <c r="EF373" s="32"/>
      <c r="EG373" s="32"/>
      <c r="EH373" s="32"/>
      <c r="EI373" s="32"/>
      <c r="EJ373" s="32"/>
      <c r="EK373" s="32"/>
      <c r="EL373" s="32"/>
      <c r="EM373" s="32"/>
      <c r="EN373" s="32"/>
      <c r="EO373" s="32"/>
      <c r="EP373" s="32"/>
      <c r="EQ373" s="32"/>
      <c r="ER373" s="32"/>
      <c r="ES373" s="32"/>
      <c r="ET373" s="32"/>
      <c r="EU373" s="32"/>
      <c r="EV373" s="32"/>
      <c r="EW373" s="32"/>
      <c r="EX373" s="32"/>
      <c r="EY373" s="32"/>
      <c r="EZ373" s="32"/>
      <c r="FA373" s="32"/>
      <c r="FB373" s="32"/>
      <c r="FC373" s="32"/>
      <c r="FD373" s="32"/>
      <c r="FE373" s="32"/>
      <c r="FF373" s="32"/>
      <c r="FG373" s="32"/>
      <c r="FH373" s="32"/>
      <c r="FI373" s="32"/>
      <c r="FJ373" s="32"/>
      <c r="FK373" s="32"/>
      <c r="FL373" s="32"/>
      <c r="FM373" s="32"/>
      <c r="FN373" s="32"/>
      <c r="FO373" s="32"/>
      <c r="FP373" s="32"/>
      <c r="FQ373" s="32"/>
      <c r="FR373" s="32"/>
      <c r="FS373" s="32"/>
      <c r="FT373" s="32"/>
      <c r="FU373" s="32"/>
      <c r="FV373" s="32"/>
      <c r="FW373" s="32"/>
      <c r="FX373" s="32"/>
      <c r="FY373" s="32"/>
      <c r="FZ373" s="32"/>
      <c r="GA373" s="32"/>
      <c r="GB373" s="32"/>
      <c r="GC373" s="32"/>
      <c r="GD373" s="32"/>
      <c r="GE373" s="32"/>
      <c r="GF373" s="32"/>
      <c r="GG373" s="32"/>
      <c r="GH373" s="32"/>
      <c r="GI373" s="32"/>
      <c r="GJ373" s="32"/>
      <c r="GK373" s="32"/>
      <c r="GL373" s="32"/>
      <c r="GM373" s="32"/>
      <c r="GN373" s="32"/>
      <c r="GO373" s="32"/>
      <c r="GP373" s="32"/>
      <c r="GQ373" s="32"/>
      <c r="GR373" s="32"/>
      <c r="GS373" s="32"/>
      <c r="GT373" s="32"/>
      <c r="GU373" s="32"/>
      <c r="GV373" s="32"/>
      <c r="GW373" s="32"/>
      <c r="GX373" s="32"/>
      <c r="GY373" s="32"/>
      <c r="GZ373" s="32"/>
      <c r="HA373" s="32"/>
      <c r="HB373" s="32"/>
      <c r="HC373" s="32"/>
      <c r="HD373" s="32"/>
      <c r="HE373" s="32"/>
      <c r="HF373" s="32"/>
      <c r="HG373" s="32"/>
      <c r="HH373" s="32"/>
      <c r="HI373" s="32"/>
      <c r="HJ373" s="32"/>
      <c r="HK373" s="32"/>
      <c r="HL373" s="32"/>
      <c r="HM373" s="32"/>
      <c r="HN373" s="32"/>
      <c r="HO373" s="32"/>
      <c r="HP373" s="32"/>
    </row>
    <row r="374" spans="1:224" x14ac:dyDescent="0.25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  <c r="BG374" s="32"/>
      <c r="BH374" s="32"/>
      <c r="BI374" s="32"/>
      <c r="BJ374" s="32"/>
      <c r="BK374" s="32"/>
      <c r="BL374" s="32"/>
      <c r="BM374" s="32"/>
      <c r="BN374" s="32"/>
      <c r="BO374" s="32"/>
      <c r="BP374" s="32"/>
      <c r="BQ374" s="32"/>
      <c r="BR374" s="32"/>
      <c r="BS374" s="32"/>
      <c r="BT374" s="32"/>
      <c r="BU374" s="32"/>
      <c r="BV374" s="32"/>
      <c r="BW374" s="32"/>
      <c r="BX374" s="32"/>
      <c r="BY374" s="32"/>
      <c r="BZ374" s="32"/>
      <c r="CA374" s="32"/>
      <c r="CB374" s="32"/>
      <c r="CC374" s="32"/>
      <c r="CD374" s="32"/>
      <c r="CE374" s="32"/>
      <c r="CF374" s="32"/>
      <c r="CG374" s="32"/>
      <c r="CH374" s="32"/>
      <c r="CI374" s="32"/>
      <c r="CJ374" s="32"/>
      <c r="CK374" s="32"/>
      <c r="CL374" s="32"/>
      <c r="CM374" s="32"/>
      <c r="CN374" s="32"/>
      <c r="CO374" s="32"/>
      <c r="CP374" s="32"/>
      <c r="CQ374" s="32"/>
      <c r="CR374" s="32"/>
      <c r="CS374" s="32"/>
      <c r="CT374" s="32"/>
      <c r="CU374" s="32"/>
      <c r="CV374" s="32"/>
      <c r="CW374" s="32"/>
      <c r="CX374" s="32"/>
      <c r="CY374" s="32"/>
      <c r="CZ374" s="32"/>
      <c r="DA374" s="32"/>
      <c r="DB374" s="32"/>
      <c r="DC374" s="32"/>
      <c r="DD374" s="32"/>
      <c r="DE374" s="32"/>
      <c r="DF374" s="32"/>
      <c r="DG374" s="32"/>
      <c r="DH374" s="32"/>
      <c r="DI374" s="32"/>
      <c r="DJ374" s="32"/>
      <c r="DK374" s="32"/>
      <c r="DL374" s="32"/>
      <c r="DM374" s="32"/>
      <c r="DN374" s="32"/>
      <c r="DO374" s="32"/>
      <c r="DP374" s="32"/>
      <c r="DQ374" s="32"/>
      <c r="DR374" s="32"/>
      <c r="DS374" s="32"/>
      <c r="DT374" s="32"/>
      <c r="DU374" s="32"/>
      <c r="DV374" s="32"/>
      <c r="DW374" s="32"/>
      <c r="DX374" s="32"/>
      <c r="DY374" s="32"/>
      <c r="DZ374" s="32"/>
      <c r="EA374" s="32"/>
      <c r="EB374" s="32"/>
      <c r="EC374" s="32"/>
      <c r="ED374" s="32"/>
      <c r="EE374" s="32"/>
      <c r="EF374" s="32"/>
      <c r="EG374" s="32"/>
      <c r="EH374" s="32"/>
      <c r="EI374" s="32"/>
      <c r="EJ374" s="32"/>
      <c r="EK374" s="32"/>
      <c r="EL374" s="32"/>
      <c r="EM374" s="32"/>
      <c r="EN374" s="32"/>
      <c r="EO374" s="32"/>
      <c r="EP374" s="32"/>
      <c r="EQ374" s="32"/>
      <c r="ER374" s="32"/>
      <c r="ES374" s="32"/>
      <c r="ET374" s="32"/>
      <c r="EU374" s="32"/>
      <c r="EV374" s="32"/>
      <c r="EW374" s="32"/>
      <c r="EX374" s="32"/>
      <c r="EY374" s="32"/>
      <c r="EZ374" s="32"/>
      <c r="FA374" s="32"/>
      <c r="FB374" s="32"/>
      <c r="FC374" s="32"/>
      <c r="FD374" s="32"/>
      <c r="FE374" s="32"/>
      <c r="FF374" s="32"/>
      <c r="FG374" s="32"/>
      <c r="FH374" s="32"/>
      <c r="FI374" s="32"/>
      <c r="FJ374" s="32"/>
      <c r="FK374" s="32"/>
      <c r="FL374" s="32"/>
      <c r="FM374" s="32"/>
      <c r="FN374" s="32"/>
      <c r="FO374" s="32"/>
      <c r="FP374" s="32"/>
      <c r="FQ374" s="32"/>
      <c r="FR374" s="32"/>
      <c r="FS374" s="32"/>
      <c r="FT374" s="32"/>
      <c r="FU374" s="32"/>
      <c r="FV374" s="32"/>
      <c r="FW374" s="32"/>
      <c r="FX374" s="32"/>
      <c r="FY374" s="32"/>
      <c r="FZ374" s="32"/>
      <c r="GA374" s="32"/>
      <c r="GB374" s="32"/>
      <c r="GC374" s="32"/>
      <c r="GD374" s="32"/>
      <c r="GE374" s="32"/>
      <c r="GF374" s="32"/>
      <c r="GG374" s="32"/>
      <c r="GH374" s="32"/>
      <c r="GI374" s="32"/>
      <c r="GJ374" s="32"/>
      <c r="GK374" s="32"/>
      <c r="GL374" s="32"/>
      <c r="GM374" s="32"/>
      <c r="GN374" s="32"/>
      <c r="GO374" s="32"/>
      <c r="GP374" s="32"/>
      <c r="GQ374" s="32"/>
      <c r="GR374" s="32"/>
      <c r="GS374" s="32"/>
      <c r="GT374" s="32"/>
      <c r="GU374" s="32"/>
      <c r="GV374" s="32"/>
      <c r="GW374" s="32"/>
      <c r="GX374" s="32"/>
      <c r="GY374" s="32"/>
      <c r="GZ374" s="32"/>
      <c r="HA374" s="32"/>
      <c r="HB374" s="32"/>
      <c r="HC374" s="32"/>
      <c r="HD374" s="32"/>
      <c r="HE374" s="32"/>
      <c r="HF374" s="32"/>
      <c r="HG374" s="32"/>
      <c r="HH374" s="32"/>
      <c r="HI374" s="32"/>
      <c r="HJ374" s="32"/>
      <c r="HK374" s="32"/>
      <c r="HL374" s="32"/>
      <c r="HM374" s="32"/>
      <c r="HN374" s="32"/>
      <c r="HO374" s="32"/>
      <c r="HP374" s="32"/>
    </row>
    <row r="375" spans="1:224" x14ac:dyDescent="0.2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  <c r="BG375" s="32"/>
      <c r="BH375" s="32"/>
      <c r="BI375" s="32"/>
      <c r="BJ375" s="32"/>
      <c r="BK375" s="32"/>
      <c r="BL375" s="32"/>
      <c r="BM375" s="32"/>
      <c r="BN375" s="32"/>
      <c r="BO375" s="32"/>
      <c r="BP375" s="32"/>
      <c r="BQ375" s="32"/>
      <c r="BR375" s="32"/>
      <c r="BS375" s="32"/>
      <c r="BT375" s="32"/>
      <c r="BU375" s="32"/>
      <c r="BV375" s="32"/>
      <c r="BW375" s="32"/>
      <c r="BX375" s="32"/>
      <c r="BY375" s="32"/>
      <c r="BZ375" s="32"/>
      <c r="CA375" s="32"/>
      <c r="CB375" s="32"/>
      <c r="CC375" s="32"/>
      <c r="CD375" s="32"/>
      <c r="CE375" s="32"/>
      <c r="CF375" s="32"/>
      <c r="CG375" s="32"/>
      <c r="CH375" s="32"/>
      <c r="CI375" s="32"/>
      <c r="CJ375" s="32"/>
      <c r="CK375" s="32"/>
      <c r="CL375" s="32"/>
      <c r="CM375" s="32"/>
      <c r="CN375" s="32"/>
      <c r="CO375" s="32"/>
      <c r="CP375" s="32"/>
      <c r="CQ375" s="32"/>
      <c r="CR375" s="32"/>
      <c r="CS375" s="32"/>
      <c r="CT375" s="32"/>
      <c r="CU375" s="32"/>
      <c r="CV375" s="32"/>
      <c r="CW375" s="32"/>
      <c r="CX375" s="32"/>
      <c r="CY375" s="32"/>
      <c r="CZ375" s="32"/>
      <c r="DA375" s="32"/>
      <c r="DB375" s="32"/>
      <c r="DC375" s="32"/>
      <c r="DD375" s="32"/>
      <c r="DE375" s="32"/>
      <c r="DF375" s="32"/>
      <c r="DG375" s="32"/>
      <c r="DH375" s="32"/>
      <c r="DI375" s="32"/>
      <c r="DJ375" s="32"/>
      <c r="DK375" s="32"/>
      <c r="DL375" s="32"/>
      <c r="DM375" s="32"/>
      <c r="DN375" s="32"/>
      <c r="DO375" s="32"/>
      <c r="DP375" s="32"/>
      <c r="DQ375" s="32"/>
      <c r="DR375" s="32"/>
      <c r="DS375" s="32"/>
      <c r="DT375" s="32"/>
      <c r="DU375" s="32"/>
      <c r="DV375" s="32"/>
      <c r="DW375" s="32"/>
      <c r="DX375" s="32"/>
      <c r="DY375" s="32"/>
      <c r="DZ375" s="32"/>
      <c r="EA375" s="32"/>
      <c r="EB375" s="32"/>
      <c r="EC375" s="32"/>
      <c r="ED375" s="32"/>
      <c r="EE375" s="32"/>
      <c r="EF375" s="32"/>
      <c r="EG375" s="32"/>
      <c r="EH375" s="32"/>
      <c r="EI375" s="32"/>
      <c r="EJ375" s="32"/>
      <c r="EK375" s="32"/>
      <c r="EL375" s="32"/>
      <c r="EM375" s="32"/>
      <c r="EN375" s="32"/>
      <c r="EO375" s="32"/>
      <c r="EP375" s="32"/>
      <c r="EQ375" s="32"/>
      <c r="ER375" s="32"/>
      <c r="ES375" s="32"/>
      <c r="ET375" s="32"/>
      <c r="EU375" s="32"/>
      <c r="EV375" s="32"/>
      <c r="EW375" s="32"/>
      <c r="EX375" s="32"/>
      <c r="EY375" s="32"/>
      <c r="EZ375" s="32"/>
      <c r="FA375" s="32"/>
      <c r="FB375" s="32"/>
      <c r="FC375" s="32"/>
      <c r="FD375" s="32"/>
      <c r="FE375" s="32"/>
      <c r="FF375" s="32"/>
      <c r="FG375" s="32"/>
      <c r="FH375" s="32"/>
      <c r="FI375" s="32"/>
      <c r="FJ375" s="32"/>
      <c r="FK375" s="32"/>
      <c r="FL375" s="32"/>
      <c r="FM375" s="32"/>
      <c r="FN375" s="32"/>
      <c r="FO375" s="32"/>
      <c r="FP375" s="32"/>
      <c r="FQ375" s="32"/>
      <c r="FR375" s="32"/>
      <c r="FS375" s="32"/>
      <c r="FT375" s="32"/>
      <c r="FU375" s="32"/>
      <c r="FV375" s="32"/>
      <c r="FW375" s="32"/>
      <c r="FX375" s="32"/>
      <c r="FY375" s="32"/>
      <c r="FZ375" s="32"/>
      <c r="GA375" s="32"/>
      <c r="GB375" s="32"/>
      <c r="GC375" s="32"/>
      <c r="GD375" s="32"/>
      <c r="GE375" s="32"/>
      <c r="GF375" s="32"/>
      <c r="GG375" s="32"/>
      <c r="GH375" s="32"/>
      <c r="GI375" s="32"/>
      <c r="GJ375" s="32"/>
      <c r="GK375" s="32"/>
      <c r="GL375" s="32"/>
      <c r="GM375" s="32"/>
      <c r="GN375" s="32"/>
      <c r="GO375" s="32"/>
      <c r="GP375" s="32"/>
      <c r="GQ375" s="32"/>
      <c r="GR375" s="32"/>
      <c r="GS375" s="32"/>
      <c r="GT375" s="32"/>
      <c r="GU375" s="32"/>
      <c r="GV375" s="32"/>
      <c r="GW375" s="32"/>
      <c r="GX375" s="32"/>
      <c r="GY375" s="32"/>
      <c r="GZ375" s="32"/>
      <c r="HA375" s="32"/>
      <c r="HB375" s="32"/>
      <c r="HC375" s="32"/>
      <c r="HD375" s="32"/>
      <c r="HE375" s="32"/>
      <c r="HF375" s="32"/>
      <c r="HG375" s="32"/>
      <c r="HH375" s="32"/>
      <c r="HI375" s="32"/>
      <c r="HJ375" s="32"/>
      <c r="HK375" s="32"/>
      <c r="HL375" s="32"/>
      <c r="HM375" s="32"/>
      <c r="HN375" s="32"/>
      <c r="HO375" s="32"/>
      <c r="HP375" s="32"/>
    </row>
    <row r="376" spans="1:224" x14ac:dyDescent="0.25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BH376" s="32"/>
      <c r="BI376" s="32"/>
      <c r="BJ376" s="32"/>
      <c r="BK376" s="32"/>
      <c r="BL376" s="32"/>
      <c r="BM376" s="32"/>
      <c r="BN376" s="32"/>
      <c r="BO376" s="32"/>
      <c r="BP376" s="32"/>
      <c r="BQ376" s="32"/>
      <c r="BR376" s="32"/>
      <c r="BS376" s="32"/>
      <c r="BT376" s="32"/>
      <c r="BU376" s="32"/>
      <c r="BV376" s="32"/>
      <c r="BW376" s="32"/>
      <c r="BX376" s="32"/>
      <c r="BY376" s="32"/>
      <c r="BZ376" s="32"/>
      <c r="CA376" s="32"/>
      <c r="CB376" s="32"/>
      <c r="CC376" s="32"/>
      <c r="CD376" s="32"/>
      <c r="CE376" s="32"/>
      <c r="CF376" s="32"/>
      <c r="CG376" s="32"/>
      <c r="CH376" s="32"/>
      <c r="CI376" s="32"/>
      <c r="CJ376" s="32"/>
      <c r="CK376" s="32"/>
      <c r="CL376" s="32"/>
      <c r="CM376" s="32"/>
      <c r="CN376" s="32"/>
      <c r="CO376" s="32"/>
      <c r="CP376" s="32"/>
      <c r="CQ376" s="32"/>
      <c r="CR376" s="32"/>
      <c r="CS376" s="32"/>
      <c r="CT376" s="32"/>
      <c r="CU376" s="32"/>
      <c r="CV376" s="32"/>
      <c r="CW376" s="32"/>
      <c r="CX376" s="32"/>
      <c r="CY376" s="32"/>
      <c r="CZ376" s="32"/>
      <c r="DA376" s="32"/>
      <c r="DB376" s="32"/>
      <c r="DC376" s="32"/>
      <c r="DD376" s="32"/>
      <c r="DE376" s="32"/>
      <c r="DF376" s="32"/>
      <c r="DG376" s="32"/>
      <c r="DH376" s="32"/>
      <c r="DI376" s="32"/>
      <c r="DJ376" s="32"/>
      <c r="DK376" s="32"/>
      <c r="DL376" s="32"/>
      <c r="DM376" s="32"/>
      <c r="DN376" s="32"/>
      <c r="DO376" s="32"/>
      <c r="DP376" s="32"/>
      <c r="DQ376" s="32"/>
      <c r="DR376" s="32"/>
      <c r="DS376" s="32"/>
      <c r="DT376" s="32"/>
      <c r="DU376" s="32"/>
      <c r="DV376" s="32"/>
      <c r="DW376" s="32"/>
      <c r="DX376" s="32"/>
      <c r="DY376" s="32"/>
      <c r="DZ376" s="32"/>
      <c r="EA376" s="32"/>
      <c r="EB376" s="32"/>
      <c r="EC376" s="32"/>
      <c r="ED376" s="32"/>
      <c r="EE376" s="32"/>
      <c r="EF376" s="32"/>
      <c r="EG376" s="32"/>
      <c r="EH376" s="32"/>
      <c r="EI376" s="32"/>
      <c r="EJ376" s="32"/>
      <c r="EK376" s="32"/>
      <c r="EL376" s="32"/>
      <c r="EM376" s="32"/>
      <c r="EN376" s="32"/>
      <c r="EO376" s="32"/>
      <c r="EP376" s="32"/>
      <c r="EQ376" s="32"/>
      <c r="ER376" s="32"/>
      <c r="ES376" s="32"/>
      <c r="ET376" s="32"/>
      <c r="EU376" s="32"/>
      <c r="EV376" s="32"/>
      <c r="EW376" s="32"/>
      <c r="EX376" s="32"/>
      <c r="EY376" s="32"/>
      <c r="EZ376" s="32"/>
      <c r="FA376" s="32"/>
      <c r="FB376" s="32"/>
      <c r="FC376" s="32"/>
      <c r="FD376" s="32"/>
      <c r="FE376" s="32"/>
      <c r="FF376" s="32"/>
      <c r="FG376" s="32"/>
      <c r="FH376" s="32"/>
      <c r="FI376" s="32"/>
      <c r="FJ376" s="32"/>
      <c r="FK376" s="32"/>
      <c r="FL376" s="32"/>
      <c r="FM376" s="32"/>
      <c r="FN376" s="32"/>
      <c r="FO376" s="32"/>
      <c r="FP376" s="32"/>
      <c r="FQ376" s="32"/>
      <c r="FR376" s="32"/>
      <c r="FS376" s="32"/>
      <c r="FT376" s="32"/>
      <c r="FU376" s="32"/>
      <c r="FV376" s="32"/>
      <c r="FW376" s="32"/>
      <c r="FX376" s="32"/>
      <c r="FY376" s="32"/>
      <c r="FZ376" s="32"/>
      <c r="GA376" s="32"/>
      <c r="GB376" s="32"/>
      <c r="GC376" s="32"/>
      <c r="GD376" s="32"/>
      <c r="GE376" s="32"/>
      <c r="GF376" s="32"/>
      <c r="GG376" s="32"/>
      <c r="GH376" s="32"/>
      <c r="GI376" s="32"/>
      <c r="GJ376" s="32"/>
      <c r="GK376" s="32"/>
      <c r="GL376" s="32"/>
      <c r="GM376" s="32"/>
      <c r="GN376" s="32"/>
      <c r="GO376" s="32"/>
      <c r="GP376" s="32"/>
      <c r="GQ376" s="32"/>
      <c r="GR376" s="32"/>
      <c r="GS376" s="32"/>
      <c r="GT376" s="32"/>
      <c r="GU376" s="32"/>
      <c r="GV376" s="32"/>
      <c r="GW376" s="32"/>
      <c r="GX376" s="32"/>
      <c r="GY376" s="32"/>
      <c r="GZ376" s="32"/>
      <c r="HA376" s="32"/>
      <c r="HB376" s="32"/>
      <c r="HC376" s="32"/>
      <c r="HD376" s="32"/>
      <c r="HE376" s="32"/>
      <c r="HF376" s="32"/>
      <c r="HG376" s="32"/>
      <c r="HH376" s="32"/>
      <c r="HI376" s="32"/>
      <c r="HJ376" s="32"/>
      <c r="HK376" s="32"/>
      <c r="HL376" s="32"/>
      <c r="HM376" s="32"/>
      <c r="HN376" s="32"/>
      <c r="HO376" s="32"/>
      <c r="HP376" s="32"/>
    </row>
    <row r="377" spans="1:224" x14ac:dyDescent="0.25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  <c r="BG377" s="32"/>
      <c r="BH377" s="32"/>
      <c r="BI377" s="32"/>
      <c r="BJ377" s="32"/>
      <c r="BK377" s="32"/>
      <c r="BL377" s="32"/>
      <c r="BM377" s="32"/>
      <c r="BN377" s="32"/>
      <c r="BO377" s="32"/>
      <c r="BP377" s="32"/>
      <c r="BQ377" s="32"/>
      <c r="BR377" s="32"/>
      <c r="BS377" s="32"/>
      <c r="BT377" s="32"/>
      <c r="BU377" s="32"/>
      <c r="BV377" s="32"/>
      <c r="BW377" s="32"/>
      <c r="BX377" s="32"/>
      <c r="BY377" s="32"/>
      <c r="BZ377" s="32"/>
      <c r="CA377" s="32"/>
      <c r="CB377" s="32"/>
      <c r="CC377" s="32"/>
      <c r="CD377" s="32"/>
      <c r="CE377" s="32"/>
      <c r="CF377" s="32"/>
      <c r="CG377" s="32"/>
      <c r="CH377" s="32"/>
      <c r="CI377" s="32"/>
      <c r="CJ377" s="32"/>
      <c r="CK377" s="32"/>
      <c r="CL377" s="32"/>
      <c r="CM377" s="32"/>
      <c r="CN377" s="32"/>
      <c r="CO377" s="32"/>
      <c r="CP377" s="32"/>
      <c r="CQ377" s="32"/>
      <c r="CR377" s="32"/>
      <c r="CS377" s="32"/>
      <c r="CT377" s="32"/>
      <c r="CU377" s="32"/>
      <c r="CV377" s="32"/>
      <c r="CW377" s="32"/>
      <c r="CX377" s="32"/>
      <c r="CY377" s="32"/>
      <c r="CZ377" s="32"/>
      <c r="DA377" s="32"/>
      <c r="DB377" s="32"/>
      <c r="DC377" s="32"/>
      <c r="DD377" s="32"/>
      <c r="DE377" s="32"/>
      <c r="DF377" s="32"/>
      <c r="DG377" s="32"/>
      <c r="DH377" s="32"/>
      <c r="DI377" s="32"/>
      <c r="DJ377" s="32"/>
      <c r="DK377" s="32"/>
      <c r="DL377" s="32"/>
      <c r="DM377" s="32"/>
      <c r="DN377" s="32"/>
      <c r="DO377" s="32"/>
      <c r="DP377" s="32"/>
      <c r="DQ377" s="32"/>
      <c r="DR377" s="32"/>
      <c r="DS377" s="32"/>
      <c r="DT377" s="32"/>
      <c r="DU377" s="32"/>
      <c r="DV377" s="32"/>
      <c r="DW377" s="32"/>
      <c r="DX377" s="32"/>
      <c r="DY377" s="32"/>
      <c r="DZ377" s="32"/>
      <c r="EA377" s="32"/>
      <c r="EB377" s="32"/>
      <c r="EC377" s="32"/>
      <c r="ED377" s="32"/>
      <c r="EE377" s="32"/>
      <c r="EF377" s="32"/>
      <c r="EG377" s="32"/>
      <c r="EH377" s="32"/>
      <c r="EI377" s="32"/>
      <c r="EJ377" s="32"/>
      <c r="EK377" s="32"/>
      <c r="EL377" s="32"/>
      <c r="EM377" s="32"/>
      <c r="EN377" s="32"/>
      <c r="EO377" s="32"/>
      <c r="EP377" s="32"/>
      <c r="EQ377" s="32"/>
      <c r="ER377" s="32"/>
      <c r="ES377" s="32"/>
      <c r="ET377" s="32"/>
      <c r="EU377" s="32"/>
      <c r="EV377" s="32"/>
      <c r="EW377" s="32"/>
      <c r="EX377" s="32"/>
      <c r="EY377" s="32"/>
      <c r="EZ377" s="32"/>
      <c r="FA377" s="32"/>
      <c r="FB377" s="32"/>
      <c r="FC377" s="32"/>
      <c r="FD377" s="32"/>
      <c r="FE377" s="32"/>
      <c r="FF377" s="32"/>
      <c r="FG377" s="32"/>
      <c r="FH377" s="32"/>
      <c r="FI377" s="32"/>
      <c r="FJ377" s="32"/>
      <c r="FK377" s="32"/>
      <c r="FL377" s="32"/>
      <c r="FM377" s="32"/>
      <c r="FN377" s="32"/>
      <c r="FO377" s="32"/>
      <c r="FP377" s="32"/>
      <c r="FQ377" s="32"/>
      <c r="FR377" s="32"/>
      <c r="FS377" s="32"/>
      <c r="FT377" s="32"/>
      <c r="FU377" s="32"/>
      <c r="FV377" s="32"/>
      <c r="FW377" s="32"/>
      <c r="FX377" s="32"/>
      <c r="FY377" s="32"/>
      <c r="FZ377" s="32"/>
      <c r="GA377" s="32"/>
      <c r="GB377" s="32"/>
      <c r="GC377" s="32"/>
      <c r="GD377" s="32"/>
      <c r="GE377" s="32"/>
      <c r="GF377" s="32"/>
      <c r="GG377" s="32"/>
      <c r="GH377" s="32"/>
      <c r="GI377" s="32"/>
      <c r="GJ377" s="32"/>
      <c r="GK377" s="32"/>
      <c r="GL377" s="32"/>
      <c r="GM377" s="32"/>
      <c r="GN377" s="32"/>
      <c r="GO377" s="32"/>
      <c r="GP377" s="32"/>
      <c r="GQ377" s="32"/>
      <c r="GR377" s="32"/>
      <c r="GS377" s="32"/>
      <c r="GT377" s="32"/>
      <c r="GU377" s="32"/>
      <c r="GV377" s="32"/>
      <c r="GW377" s="32"/>
      <c r="GX377" s="32"/>
      <c r="GY377" s="32"/>
      <c r="GZ377" s="32"/>
      <c r="HA377" s="32"/>
      <c r="HB377" s="32"/>
      <c r="HC377" s="32"/>
      <c r="HD377" s="32"/>
      <c r="HE377" s="32"/>
      <c r="HF377" s="32"/>
      <c r="HG377" s="32"/>
      <c r="HH377" s="32"/>
      <c r="HI377" s="32"/>
      <c r="HJ377" s="32"/>
      <c r="HK377" s="32"/>
      <c r="HL377" s="32"/>
      <c r="HM377" s="32"/>
      <c r="HN377" s="32"/>
      <c r="HO377" s="32"/>
      <c r="HP377" s="32"/>
    </row>
    <row r="378" spans="1:224" x14ac:dyDescent="0.25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  <c r="BG378" s="32"/>
      <c r="BH378" s="32"/>
      <c r="BI378" s="32"/>
      <c r="BJ378" s="32"/>
      <c r="BK378" s="32"/>
      <c r="BL378" s="32"/>
      <c r="BM378" s="32"/>
      <c r="BN378" s="32"/>
      <c r="BO378" s="32"/>
      <c r="BP378" s="32"/>
      <c r="BQ378" s="32"/>
      <c r="BR378" s="32"/>
      <c r="BS378" s="32"/>
      <c r="BT378" s="32"/>
      <c r="BU378" s="32"/>
      <c r="BV378" s="32"/>
      <c r="BW378" s="32"/>
      <c r="BX378" s="32"/>
      <c r="BY378" s="32"/>
      <c r="BZ378" s="32"/>
      <c r="CA378" s="32"/>
      <c r="CB378" s="32"/>
      <c r="CC378" s="32"/>
      <c r="CD378" s="32"/>
      <c r="CE378" s="32"/>
      <c r="CF378" s="32"/>
      <c r="CG378" s="32"/>
      <c r="CH378" s="32"/>
      <c r="CI378" s="32"/>
      <c r="CJ378" s="32"/>
      <c r="CK378" s="32"/>
      <c r="CL378" s="32"/>
      <c r="CM378" s="32"/>
      <c r="CN378" s="32"/>
      <c r="CO378" s="32"/>
      <c r="CP378" s="32"/>
      <c r="CQ378" s="32"/>
      <c r="CR378" s="32"/>
      <c r="CS378" s="32"/>
      <c r="CT378" s="32"/>
      <c r="CU378" s="32"/>
      <c r="CV378" s="32"/>
      <c r="CW378" s="32"/>
      <c r="CX378" s="32"/>
      <c r="CY378" s="32"/>
      <c r="CZ378" s="32"/>
      <c r="DA378" s="32"/>
      <c r="DB378" s="32"/>
      <c r="DC378" s="32"/>
      <c r="DD378" s="32"/>
      <c r="DE378" s="32"/>
      <c r="DF378" s="32"/>
      <c r="DG378" s="32"/>
      <c r="DH378" s="32"/>
      <c r="DI378" s="32"/>
      <c r="DJ378" s="32"/>
      <c r="DK378" s="32"/>
      <c r="DL378" s="32"/>
      <c r="DM378" s="32"/>
      <c r="DN378" s="32"/>
      <c r="DO378" s="32"/>
      <c r="DP378" s="32"/>
      <c r="DQ378" s="32"/>
      <c r="DR378" s="32"/>
      <c r="DS378" s="32"/>
      <c r="DT378" s="32"/>
      <c r="DU378" s="32"/>
      <c r="DV378" s="32"/>
      <c r="DW378" s="32"/>
      <c r="DX378" s="32"/>
      <c r="DY378" s="32"/>
      <c r="DZ378" s="32"/>
      <c r="EA378" s="32"/>
      <c r="EB378" s="32"/>
      <c r="EC378" s="32"/>
      <c r="ED378" s="32"/>
      <c r="EE378" s="32"/>
      <c r="EF378" s="32"/>
      <c r="EG378" s="32"/>
      <c r="EH378" s="32"/>
      <c r="EI378" s="32"/>
      <c r="EJ378" s="32"/>
      <c r="EK378" s="32"/>
      <c r="EL378" s="32"/>
      <c r="EM378" s="32"/>
      <c r="EN378" s="32"/>
      <c r="EO378" s="32"/>
      <c r="EP378" s="32"/>
      <c r="EQ378" s="32"/>
      <c r="ER378" s="32"/>
      <c r="ES378" s="32"/>
      <c r="ET378" s="32"/>
      <c r="EU378" s="32"/>
      <c r="EV378" s="32"/>
      <c r="EW378" s="32"/>
      <c r="EX378" s="32"/>
      <c r="EY378" s="32"/>
      <c r="EZ378" s="32"/>
      <c r="FA378" s="32"/>
      <c r="FB378" s="32"/>
      <c r="FC378" s="32"/>
      <c r="FD378" s="32"/>
      <c r="FE378" s="32"/>
      <c r="FF378" s="32"/>
      <c r="FG378" s="32"/>
      <c r="FH378" s="32"/>
      <c r="FI378" s="32"/>
      <c r="FJ378" s="32"/>
      <c r="FK378" s="32"/>
      <c r="FL378" s="32"/>
      <c r="FM378" s="32"/>
      <c r="FN378" s="32"/>
      <c r="FO378" s="32"/>
      <c r="FP378" s="32"/>
      <c r="FQ378" s="32"/>
      <c r="FR378" s="32"/>
      <c r="FS378" s="32"/>
      <c r="FT378" s="32"/>
      <c r="FU378" s="32"/>
      <c r="FV378" s="32"/>
      <c r="FW378" s="32"/>
      <c r="FX378" s="32"/>
      <c r="FY378" s="32"/>
      <c r="FZ378" s="32"/>
      <c r="GA378" s="32"/>
      <c r="GB378" s="32"/>
      <c r="GC378" s="32"/>
      <c r="GD378" s="32"/>
      <c r="GE378" s="32"/>
      <c r="GF378" s="32"/>
      <c r="GG378" s="32"/>
      <c r="GH378" s="32"/>
      <c r="GI378" s="32"/>
      <c r="GJ378" s="32"/>
      <c r="GK378" s="32"/>
      <c r="GL378" s="32"/>
      <c r="GM378" s="32"/>
      <c r="GN378" s="32"/>
      <c r="GO378" s="32"/>
      <c r="GP378" s="32"/>
      <c r="GQ378" s="32"/>
      <c r="GR378" s="32"/>
      <c r="GS378" s="32"/>
      <c r="GT378" s="32"/>
      <c r="GU378" s="32"/>
      <c r="GV378" s="32"/>
      <c r="GW378" s="32"/>
      <c r="GX378" s="32"/>
      <c r="GY378" s="32"/>
      <c r="GZ378" s="32"/>
      <c r="HA378" s="32"/>
      <c r="HB378" s="32"/>
      <c r="HC378" s="32"/>
      <c r="HD378" s="32"/>
      <c r="HE378" s="32"/>
      <c r="HF378" s="32"/>
      <c r="HG378" s="32"/>
      <c r="HH378" s="32"/>
      <c r="HI378" s="32"/>
      <c r="HJ378" s="32"/>
      <c r="HK378" s="32"/>
      <c r="HL378" s="32"/>
      <c r="HM378" s="32"/>
      <c r="HN378" s="32"/>
      <c r="HO378" s="32"/>
      <c r="HP378" s="32"/>
    </row>
    <row r="379" spans="1:224" x14ac:dyDescent="0.25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  <c r="BG379" s="32"/>
      <c r="BH379" s="32"/>
      <c r="BI379" s="32"/>
      <c r="BJ379" s="32"/>
      <c r="BK379" s="32"/>
      <c r="BL379" s="32"/>
      <c r="BM379" s="32"/>
      <c r="BN379" s="32"/>
      <c r="BO379" s="32"/>
      <c r="BP379" s="32"/>
      <c r="BQ379" s="32"/>
      <c r="BR379" s="32"/>
      <c r="BS379" s="32"/>
      <c r="BT379" s="32"/>
      <c r="BU379" s="32"/>
      <c r="BV379" s="32"/>
      <c r="BW379" s="32"/>
      <c r="BX379" s="32"/>
      <c r="BY379" s="32"/>
      <c r="BZ379" s="32"/>
      <c r="CA379" s="32"/>
      <c r="CB379" s="32"/>
      <c r="CC379" s="32"/>
      <c r="CD379" s="32"/>
      <c r="CE379" s="32"/>
      <c r="CF379" s="32"/>
      <c r="CG379" s="32"/>
      <c r="CH379" s="32"/>
      <c r="CI379" s="32"/>
      <c r="CJ379" s="32"/>
      <c r="CK379" s="32"/>
      <c r="CL379" s="32"/>
      <c r="CM379" s="32"/>
      <c r="CN379" s="32"/>
      <c r="CO379" s="32"/>
      <c r="CP379" s="32"/>
      <c r="CQ379" s="32"/>
      <c r="CR379" s="32"/>
      <c r="CS379" s="32"/>
      <c r="CT379" s="32"/>
      <c r="CU379" s="32"/>
      <c r="CV379" s="32"/>
      <c r="CW379" s="32"/>
      <c r="CX379" s="32"/>
      <c r="CY379" s="32"/>
      <c r="CZ379" s="32"/>
      <c r="DA379" s="32"/>
      <c r="DB379" s="32"/>
      <c r="DC379" s="32"/>
      <c r="DD379" s="32"/>
      <c r="DE379" s="32"/>
      <c r="DF379" s="32"/>
      <c r="DG379" s="32"/>
      <c r="DH379" s="32"/>
      <c r="DI379" s="32"/>
      <c r="DJ379" s="32"/>
      <c r="DK379" s="32"/>
      <c r="DL379" s="32"/>
      <c r="DM379" s="32"/>
      <c r="DN379" s="32"/>
      <c r="DO379" s="32"/>
      <c r="DP379" s="32"/>
      <c r="DQ379" s="32"/>
      <c r="DR379" s="32"/>
      <c r="DS379" s="32"/>
      <c r="DT379" s="32"/>
      <c r="DU379" s="32"/>
      <c r="DV379" s="32"/>
      <c r="DW379" s="32"/>
      <c r="DX379" s="32"/>
      <c r="DY379" s="32"/>
      <c r="DZ379" s="32"/>
      <c r="EA379" s="32"/>
      <c r="EB379" s="32"/>
      <c r="EC379" s="32"/>
      <c r="ED379" s="32"/>
      <c r="EE379" s="32"/>
      <c r="EF379" s="32"/>
      <c r="EG379" s="32"/>
      <c r="EH379" s="32"/>
      <c r="EI379" s="32"/>
      <c r="EJ379" s="32"/>
      <c r="EK379" s="32"/>
      <c r="EL379" s="32"/>
      <c r="EM379" s="32"/>
      <c r="EN379" s="32"/>
      <c r="EO379" s="32"/>
      <c r="EP379" s="32"/>
      <c r="EQ379" s="32"/>
      <c r="ER379" s="32"/>
      <c r="ES379" s="32"/>
      <c r="ET379" s="32"/>
      <c r="EU379" s="32"/>
      <c r="EV379" s="32"/>
      <c r="EW379" s="32"/>
      <c r="EX379" s="32"/>
      <c r="EY379" s="32"/>
      <c r="EZ379" s="32"/>
      <c r="FA379" s="32"/>
      <c r="FB379" s="32"/>
      <c r="FC379" s="32"/>
      <c r="FD379" s="32"/>
      <c r="FE379" s="32"/>
      <c r="FF379" s="32"/>
      <c r="FG379" s="32"/>
      <c r="FH379" s="32"/>
      <c r="FI379" s="32"/>
      <c r="FJ379" s="32"/>
      <c r="FK379" s="32"/>
      <c r="FL379" s="32"/>
      <c r="FM379" s="32"/>
      <c r="FN379" s="32"/>
      <c r="FO379" s="32"/>
      <c r="FP379" s="32"/>
      <c r="FQ379" s="32"/>
      <c r="FR379" s="32"/>
      <c r="FS379" s="32"/>
      <c r="FT379" s="32"/>
      <c r="FU379" s="32"/>
      <c r="FV379" s="32"/>
      <c r="FW379" s="32"/>
      <c r="FX379" s="32"/>
      <c r="FY379" s="32"/>
      <c r="FZ379" s="32"/>
      <c r="GA379" s="32"/>
      <c r="GB379" s="32"/>
      <c r="GC379" s="32"/>
      <c r="GD379" s="32"/>
      <c r="GE379" s="32"/>
      <c r="GF379" s="32"/>
      <c r="GG379" s="32"/>
      <c r="GH379" s="32"/>
      <c r="GI379" s="32"/>
      <c r="GJ379" s="32"/>
      <c r="GK379" s="32"/>
      <c r="GL379" s="32"/>
      <c r="GM379" s="32"/>
      <c r="GN379" s="32"/>
      <c r="GO379" s="32"/>
      <c r="GP379" s="32"/>
      <c r="GQ379" s="32"/>
      <c r="GR379" s="32"/>
      <c r="GS379" s="32"/>
      <c r="GT379" s="32"/>
      <c r="GU379" s="32"/>
      <c r="GV379" s="32"/>
      <c r="GW379" s="32"/>
      <c r="GX379" s="32"/>
      <c r="GY379" s="32"/>
      <c r="GZ379" s="32"/>
      <c r="HA379" s="32"/>
      <c r="HB379" s="32"/>
      <c r="HC379" s="32"/>
      <c r="HD379" s="32"/>
      <c r="HE379" s="32"/>
      <c r="HF379" s="32"/>
      <c r="HG379" s="32"/>
      <c r="HH379" s="32"/>
      <c r="HI379" s="32"/>
      <c r="HJ379" s="32"/>
      <c r="HK379" s="32"/>
      <c r="HL379" s="32"/>
      <c r="HM379" s="32"/>
      <c r="HN379" s="32"/>
      <c r="HO379" s="32"/>
      <c r="HP379" s="32"/>
    </row>
    <row r="380" spans="1:224" x14ac:dyDescent="0.25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  <c r="BG380" s="32"/>
      <c r="BH380" s="32"/>
      <c r="BI380" s="32"/>
      <c r="BJ380" s="32"/>
      <c r="BK380" s="32"/>
      <c r="BL380" s="32"/>
      <c r="BM380" s="32"/>
      <c r="BN380" s="32"/>
      <c r="BO380" s="32"/>
      <c r="BP380" s="32"/>
      <c r="BQ380" s="32"/>
      <c r="BR380" s="32"/>
      <c r="BS380" s="32"/>
      <c r="BT380" s="32"/>
      <c r="BU380" s="32"/>
      <c r="BV380" s="32"/>
      <c r="BW380" s="32"/>
      <c r="BX380" s="32"/>
      <c r="BY380" s="32"/>
      <c r="BZ380" s="32"/>
      <c r="CA380" s="32"/>
      <c r="CB380" s="32"/>
      <c r="CC380" s="32"/>
      <c r="CD380" s="32"/>
      <c r="CE380" s="32"/>
      <c r="CF380" s="32"/>
      <c r="CG380" s="32"/>
      <c r="CH380" s="32"/>
      <c r="CI380" s="32"/>
      <c r="CJ380" s="32"/>
      <c r="CK380" s="32"/>
      <c r="CL380" s="32"/>
      <c r="CM380" s="32"/>
      <c r="CN380" s="32"/>
      <c r="CO380" s="32"/>
      <c r="CP380" s="32"/>
      <c r="CQ380" s="32"/>
      <c r="CR380" s="32"/>
      <c r="CS380" s="32"/>
      <c r="CT380" s="32"/>
      <c r="CU380" s="32"/>
      <c r="CV380" s="32"/>
      <c r="CW380" s="32"/>
      <c r="CX380" s="32"/>
      <c r="CY380" s="32"/>
      <c r="CZ380" s="32"/>
      <c r="DA380" s="32"/>
      <c r="DB380" s="32"/>
      <c r="DC380" s="32"/>
      <c r="DD380" s="32"/>
      <c r="DE380" s="32"/>
      <c r="DF380" s="32"/>
      <c r="DG380" s="32"/>
      <c r="DH380" s="32"/>
      <c r="DI380" s="32"/>
      <c r="DJ380" s="32"/>
      <c r="DK380" s="32"/>
      <c r="DL380" s="32"/>
      <c r="DM380" s="32"/>
      <c r="DN380" s="32"/>
      <c r="DO380" s="32"/>
      <c r="DP380" s="32"/>
      <c r="DQ380" s="32"/>
      <c r="DR380" s="32"/>
      <c r="DS380" s="32"/>
      <c r="DT380" s="32"/>
      <c r="DU380" s="32"/>
      <c r="DV380" s="32"/>
      <c r="DW380" s="32"/>
      <c r="DX380" s="32"/>
      <c r="DY380" s="32"/>
      <c r="DZ380" s="32"/>
      <c r="EA380" s="32"/>
      <c r="EB380" s="32"/>
      <c r="EC380" s="32"/>
      <c r="ED380" s="32"/>
      <c r="EE380" s="32"/>
      <c r="EF380" s="32"/>
      <c r="EG380" s="32"/>
      <c r="EH380" s="32"/>
      <c r="EI380" s="32"/>
      <c r="EJ380" s="32"/>
      <c r="EK380" s="32"/>
      <c r="EL380" s="32"/>
      <c r="EM380" s="32"/>
      <c r="EN380" s="32"/>
      <c r="EO380" s="32"/>
      <c r="EP380" s="32"/>
      <c r="EQ380" s="32"/>
      <c r="ER380" s="32"/>
      <c r="ES380" s="32"/>
      <c r="ET380" s="32"/>
      <c r="EU380" s="32"/>
      <c r="EV380" s="32"/>
      <c r="EW380" s="32"/>
      <c r="EX380" s="32"/>
      <c r="EY380" s="32"/>
      <c r="EZ380" s="32"/>
      <c r="FA380" s="32"/>
      <c r="FB380" s="32"/>
      <c r="FC380" s="32"/>
      <c r="FD380" s="32"/>
      <c r="FE380" s="32"/>
      <c r="FF380" s="32"/>
      <c r="FG380" s="32"/>
      <c r="FH380" s="32"/>
      <c r="FI380" s="32"/>
      <c r="FJ380" s="32"/>
      <c r="FK380" s="32"/>
      <c r="FL380" s="32"/>
      <c r="FM380" s="32"/>
      <c r="FN380" s="32"/>
      <c r="FO380" s="32"/>
      <c r="FP380" s="32"/>
      <c r="FQ380" s="32"/>
      <c r="FR380" s="32"/>
      <c r="FS380" s="32"/>
      <c r="FT380" s="32"/>
      <c r="FU380" s="32"/>
      <c r="FV380" s="32"/>
      <c r="FW380" s="32"/>
      <c r="FX380" s="32"/>
      <c r="FY380" s="32"/>
      <c r="FZ380" s="32"/>
      <c r="GA380" s="32"/>
      <c r="GB380" s="32"/>
      <c r="GC380" s="32"/>
      <c r="GD380" s="32"/>
      <c r="GE380" s="32"/>
      <c r="GF380" s="32"/>
      <c r="GG380" s="32"/>
      <c r="GH380" s="32"/>
      <c r="GI380" s="32"/>
      <c r="GJ380" s="32"/>
      <c r="GK380" s="32"/>
      <c r="GL380" s="32"/>
      <c r="GM380" s="32"/>
      <c r="GN380" s="32"/>
      <c r="GO380" s="32"/>
      <c r="GP380" s="32"/>
      <c r="GQ380" s="32"/>
      <c r="GR380" s="32"/>
      <c r="GS380" s="32"/>
      <c r="GT380" s="32"/>
      <c r="GU380" s="32"/>
      <c r="GV380" s="32"/>
      <c r="GW380" s="32"/>
      <c r="GX380" s="32"/>
      <c r="GY380" s="32"/>
      <c r="GZ380" s="32"/>
      <c r="HA380" s="32"/>
      <c r="HB380" s="32"/>
      <c r="HC380" s="32"/>
      <c r="HD380" s="32"/>
      <c r="HE380" s="32"/>
      <c r="HF380" s="32"/>
      <c r="HG380" s="32"/>
      <c r="HH380" s="32"/>
      <c r="HI380" s="32"/>
      <c r="HJ380" s="32"/>
      <c r="HK380" s="32"/>
      <c r="HL380" s="32"/>
      <c r="HM380" s="32"/>
      <c r="HN380" s="32"/>
      <c r="HO380" s="32"/>
      <c r="HP380" s="32"/>
    </row>
    <row r="381" spans="1:224" x14ac:dyDescent="0.25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  <c r="BF381" s="32"/>
      <c r="BG381" s="32"/>
      <c r="BH381" s="32"/>
      <c r="BI381" s="32"/>
      <c r="BJ381" s="32"/>
      <c r="BK381" s="32"/>
      <c r="BL381" s="32"/>
      <c r="BM381" s="32"/>
      <c r="BN381" s="32"/>
      <c r="BO381" s="32"/>
      <c r="BP381" s="32"/>
      <c r="BQ381" s="32"/>
      <c r="BR381" s="32"/>
      <c r="BS381" s="32"/>
      <c r="BT381" s="32"/>
      <c r="BU381" s="32"/>
      <c r="BV381" s="32"/>
      <c r="BW381" s="32"/>
      <c r="BX381" s="32"/>
      <c r="BY381" s="32"/>
      <c r="BZ381" s="32"/>
      <c r="CA381" s="32"/>
      <c r="CB381" s="32"/>
      <c r="CC381" s="32"/>
      <c r="CD381" s="32"/>
      <c r="CE381" s="32"/>
      <c r="CF381" s="32"/>
      <c r="CG381" s="32"/>
      <c r="CH381" s="32"/>
      <c r="CI381" s="32"/>
      <c r="CJ381" s="32"/>
      <c r="CK381" s="32"/>
      <c r="CL381" s="32"/>
      <c r="CM381" s="32"/>
      <c r="CN381" s="32"/>
      <c r="CO381" s="32"/>
      <c r="CP381" s="32"/>
      <c r="CQ381" s="32"/>
      <c r="CR381" s="32"/>
      <c r="CS381" s="32"/>
      <c r="CT381" s="32"/>
      <c r="CU381" s="32"/>
      <c r="CV381" s="32"/>
      <c r="CW381" s="32"/>
      <c r="CX381" s="32"/>
      <c r="CY381" s="32"/>
      <c r="CZ381" s="32"/>
      <c r="DA381" s="32"/>
      <c r="DB381" s="32"/>
      <c r="DC381" s="32"/>
      <c r="DD381" s="32"/>
      <c r="DE381" s="32"/>
      <c r="DF381" s="32"/>
      <c r="DG381" s="32"/>
      <c r="DH381" s="32"/>
      <c r="DI381" s="32"/>
      <c r="DJ381" s="32"/>
      <c r="DK381" s="32"/>
      <c r="DL381" s="32"/>
      <c r="DM381" s="32"/>
      <c r="DN381" s="32"/>
      <c r="DO381" s="32"/>
      <c r="DP381" s="32"/>
      <c r="DQ381" s="32"/>
      <c r="DR381" s="32"/>
      <c r="DS381" s="32"/>
      <c r="DT381" s="32"/>
      <c r="DU381" s="32"/>
      <c r="DV381" s="32"/>
      <c r="DW381" s="32"/>
      <c r="DX381" s="32"/>
      <c r="DY381" s="32"/>
      <c r="DZ381" s="32"/>
      <c r="EA381" s="32"/>
      <c r="EB381" s="32"/>
      <c r="EC381" s="32"/>
      <c r="ED381" s="32"/>
      <c r="EE381" s="32"/>
      <c r="EF381" s="32"/>
      <c r="EG381" s="32"/>
      <c r="EH381" s="32"/>
      <c r="EI381" s="32"/>
      <c r="EJ381" s="32"/>
      <c r="EK381" s="32"/>
      <c r="EL381" s="32"/>
      <c r="EM381" s="32"/>
      <c r="EN381" s="32"/>
      <c r="EO381" s="32"/>
      <c r="EP381" s="32"/>
      <c r="EQ381" s="32"/>
      <c r="ER381" s="32"/>
      <c r="ES381" s="32"/>
      <c r="ET381" s="32"/>
      <c r="EU381" s="32"/>
      <c r="EV381" s="32"/>
      <c r="EW381" s="32"/>
      <c r="EX381" s="32"/>
      <c r="EY381" s="32"/>
      <c r="EZ381" s="32"/>
      <c r="FA381" s="32"/>
      <c r="FB381" s="32"/>
      <c r="FC381" s="32"/>
      <c r="FD381" s="32"/>
      <c r="FE381" s="32"/>
      <c r="FF381" s="32"/>
      <c r="FG381" s="32"/>
      <c r="FH381" s="32"/>
      <c r="FI381" s="32"/>
      <c r="FJ381" s="32"/>
      <c r="FK381" s="32"/>
      <c r="FL381" s="32"/>
      <c r="FM381" s="32"/>
      <c r="FN381" s="32"/>
      <c r="FO381" s="32"/>
      <c r="FP381" s="32"/>
      <c r="FQ381" s="32"/>
      <c r="FR381" s="32"/>
      <c r="FS381" s="32"/>
      <c r="FT381" s="32"/>
      <c r="FU381" s="32"/>
      <c r="FV381" s="32"/>
      <c r="FW381" s="32"/>
      <c r="FX381" s="32"/>
      <c r="FY381" s="32"/>
      <c r="FZ381" s="32"/>
      <c r="GA381" s="32"/>
      <c r="GB381" s="32"/>
      <c r="GC381" s="32"/>
      <c r="GD381" s="32"/>
      <c r="GE381" s="32"/>
      <c r="GF381" s="32"/>
      <c r="GG381" s="32"/>
      <c r="GH381" s="32"/>
      <c r="GI381" s="32"/>
      <c r="GJ381" s="32"/>
      <c r="GK381" s="32"/>
      <c r="GL381" s="32"/>
      <c r="GM381" s="32"/>
      <c r="GN381" s="32"/>
      <c r="GO381" s="32"/>
      <c r="GP381" s="32"/>
      <c r="GQ381" s="32"/>
      <c r="GR381" s="32"/>
      <c r="GS381" s="32"/>
      <c r="GT381" s="32"/>
      <c r="GU381" s="32"/>
      <c r="GV381" s="32"/>
      <c r="GW381" s="32"/>
      <c r="GX381" s="32"/>
      <c r="GY381" s="32"/>
      <c r="GZ381" s="32"/>
      <c r="HA381" s="32"/>
      <c r="HB381" s="32"/>
      <c r="HC381" s="32"/>
      <c r="HD381" s="32"/>
      <c r="HE381" s="32"/>
      <c r="HF381" s="32"/>
      <c r="HG381" s="32"/>
      <c r="HH381" s="32"/>
      <c r="HI381" s="32"/>
      <c r="HJ381" s="32"/>
      <c r="HK381" s="32"/>
      <c r="HL381" s="32"/>
      <c r="HM381" s="32"/>
      <c r="HN381" s="32"/>
      <c r="HO381" s="32"/>
      <c r="HP381" s="32"/>
    </row>
    <row r="382" spans="1:224" x14ac:dyDescent="0.25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  <c r="BG382" s="32"/>
      <c r="BH382" s="32"/>
      <c r="BI382" s="32"/>
      <c r="BJ382" s="32"/>
      <c r="BK382" s="32"/>
      <c r="BL382" s="32"/>
      <c r="BM382" s="32"/>
      <c r="BN382" s="32"/>
      <c r="BO382" s="32"/>
      <c r="BP382" s="32"/>
      <c r="BQ382" s="32"/>
      <c r="BR382" s="32"/>
      <c r="BS382" s="32"/>
      <c r="BT382" s="32"/>
      <c r="BU382" s="32"/>
      <c r="BV382" s="32"/>
      <c r="BW382" s="32"/>
      <c r="BX382" s="32"/>
      <c r="BY382" s="32"/>
      <c r="BZ382" s="32"/>
      <c r="CA382" s="32"/>
      <c r="CB382" s="32"/>
      <c r="CC382" s="32"/>
      <c r="CD382" s="32"/>
      <c r="CE382" s="32"/>
      <c r="CF382" s="32"/>
      <c r="CG382" s="32"/>
      <c r="CH382" s="32"/>
      <c r="CI382" s="32"/>
      <c r="CJ382" s="32"/>
      <c r="CK382" s="32"/>
      <c r="CL382" s="32"/>
      <c r="CM382" s="32"/>
      <c r="CN382" s="32"/>
      <c r="CO382" s="32"/>
      <c r="CP382" s="32"/>
      <c r="CQ382" s="32"/>
      <c r="CR382" s="32"/>
      <c r="CS382" s="32"/>
      <c r="CT382" s="32"/>
      <c r="CU382" s="32"/>
      <c r="CV382" s="32"/>
      <c r="CW382" s="32"/>
      <c r="CX382" s="32"/>
      <c r="CY382" s="32"/>
      <c r="CZ382" s="32"/>
      <c r="DA382" s="32"/>
      <c r="DB382" s="32"/>
      <c r="DC382" s="32"/>
      <c r="DD382" s="32"/>
      <c r="DE382" s="32"/>
      <c r="DF382" s="32"/>
      <c r="DG382" s="32"/>
      <c r="DH382" s="32"/>
      <c r="DI382" s="32"/>
      <c r="DJ382" s="32"/>
      <c r="DK382" s="32"/>
      <c r="DL382" s="32"/>
      <c r="DM382" s="32"/>
      <c r="DN382" s="32"/>
      <c r="DO382" s="32"/>
      <c r="DP382" s="32"/>
      <c r="DQ382" s="32"/>
      <c r="DR382" s="32"/>
      <c r="DS382" s="32"/>
      <c r="DT382" s="32"/>
      <c r="DU382" s="32"/>
      <c r="DV382" s="32"/>
      <c r="DW382" s="32"/>
      <c r="DX382" s="32"/>
      <c r="DY382" s="32"/>
      <c r="DZ382" s="32"/>
      <c r="EA382" s="32"/>
      <c r="EB382" s="32"/>
      <c r="EC382" s="32"/>
      <c r="ED382" s="32"/>
      <c r="EE382" s="32"/>
      <c r="EF382" s="32"/>
      <c r="EG382" s="32"/>
      <c r="EH382" s="32"/>
      <c r="EI382" s="32"/>
      <c r="EJ382" s="32"/>
      <c r="EK382" s="32"/>
      <c r="EL382" s="32"/>
      <c r="EM382" s="32"/>
      <c r="EN382" s="32"/>
      <c r="EO382" s="32"/>
      <c r="EP382" s="32"/>
      <c r="EQ382" s="32"/>
      <c r="ER382" s="32"/>
      <c r="ES382" s="32"/>
      <c r="ET382" s="32"/>
      <c r="EU382" s="32"/>
      <c r="EV382" s="32"/>
      <c r="EW382" s="32"/>
      <c r="EX382" s="32"/>
      <c r="EY382" s="32"/>
      <c r="EZ382" s="32"/>
      <c r="FA382" s="32"/>
      <c r="FB382" s="32"/>
      <c r="FC382" s="32"/>
      <c r="FD382" s="32"/>
      <c r="FE382" s="32"/>
      <c r="FF382" s="32"/>
      <c r="FG382" s="32"/>
      <c r="FH382" s="32"/>
      <c r="FI382" s="32"/>
      <c r="FJ382" s="32"/>
      <c r="FK382" s="32"/>
      <c r="FL382" s="32"/>
      <c r="FM382" s="32"/>
      <c r="FN382" s="32"/>
      <c r="FO382" s="32"/>
      <c r="FP382" s="32"/>
      <c r="FQ382" s="32"/>
      <c r="FR382" s="32"/>
      <c r="FS382" s="32"/>
      <c r="FT382" s="32"/>
      <c r="FU382" s="32"/>
      <c r="FV382" s="32"/>
      <c r="FW382" s="32"/>
      <c r="FX382" s="32"/>
      <c r="FY382" s="32"/>
      <c r="FZ382" s="32"/>
      <c r="GA382" s="32"/>
      <c r="GB382" s="32"/>
      <c r="GC382" s="32"/>
      <c r="GD382" s="32"/>
      <c r="GE382" s="32"/>
      <c r="GF382" s="32"/>
      <c r="GG382" s="32"/>
      <c r="GH382" s="32"/>
      <c r="GI382" s="32"/>
      <c r="GJ382" s="32"/>
      <c r="GK382" s="32"/>
      <c r="GL382" s="32"/>
      <c r="GM382" s="32"/>
      <c r="GN382" s="32"/>
      <c r="GO382" s="32"/>
      <c r="GP382" s="32"/>
      <c r="GQ382" s="32"/>
      <c r="GR382" s="32"/>
      <c r="GS382" s="32"/>
      <c r="GT382" s="32"/>
      <c r="GU382" s="32"/>
      <c r="GV382" s="32"/>
      <c r="GW382" s="32"/>
      <c r="GX382" s="32"/>
      <c r="GY382" s="32"/>
      <c r="GZ382" s="32"/>
      <c r="HA382" s="32"/>
      <c r="HB382" s="32"/>
      <c r="HC382" s="32"/>
      <c r="HD382" s="32"/>
      <c r="HE382" s="32"/>
      <c r="HF382" s="32"/>
      <c r="HG382" s="32"/>
      <c r="HH382" s="32"/>
      <c r="HI382" s="32"/>
      <c r="HJ382" s="32"/>
      <c r="HK382" s="32"/>
      <c r="HL382" s="32"/>
      <c r="HM382" s="32"/>
      <c r="HN382" s="32"/>
      <c r="HO382" s="32"/>
      <c r="HP382" s="32"/>
    </row>
    <row r="383" spans="1:224" x14ac:dyDescent="0.25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  <c r="BF383" s="32"/>
      <c r="BG383" s="32"/>
      <c r="BH383" s="32"/>
      <c r="BI383" s="32"/>
      <c r="BJ383" s="32"/>
      <c r="BK383" s="32"/>
      <c r="BL383" s="32"/>
      <c r="BM383" s="32"/>
      <c r="BN383" s="32"/>
      <c r="BO383" s="32"/>
      <c r="BP383" s="32"/>
      <c r="BQ383" s="32"/>
      <c r="BR383" s="32"/>
      <c r="BS383" s="32"/>
      <c r="BT383" s="32"/>
      <c r="BU383" s="32"/>
      <c r="BV383" s="32"/>
      <c r="BW383" s="32"/>
      <c r="BX383" s="32"/>
      <c r="BY383" s="32"/>
      <c r="BZ383" s="32"/>
      <c r="CA383" s="32"/>
      <c r="CB383" s="32"/>
      <c r="CC383" s="32"/>
      <c r="CD383" s="32"/>
      <c r="CE383" s="32"/>
      <c r="CF383" s="32"/>
      <c r="CG383" s="32"/>
      <c r="CH383" s="32"/>
      <c r="CI383" s="32"/>
      <c r="CJ383" s="32"/>
      <c r="CK383" s="32"/>
      <c r="CL383" s="32"/>
      <c r="CM383" s="32"/>
      <c r="CN383" s="32"/>
      <c r="CO383" s="32"/>
      <c r="CP383" s="32"/>
      <c r="CQ383" s="32"/>
      <c r="CR383" s="32"/>
      <c r="CS383" s="32"/>
      <c r="CT383" s="32"/>
      <c r="CU383" s="32"/>
      <c r="CV383" s="32"/>
      <c r="CW383" s="32"/>
      <c r="CX383" s="32"/>
      <c r="CY383" s="32"/>
      <c r="CZ383" s="32"/>
      <c r="DA383" s="32"/>
      <c r="DB383" s="32"/>
      <c r="DC383" s="32"/>
      <c r="DD383" s="32"/>
      <c r="DE383" s="32"/>
      <c r="DF383" s="32"/>
      <c r="DG383" s="32"/>
      <c r="DH383" s="32"/>
      <c r="DI383" s="32"/>
      <c r="DJ383" s="32"/>
      <c r="DK383" s="32"/>
      <c r="DL383" s="32"/>
      <c r="DM383" s="32"/>
      <c r="DN383" s="32"/>
      <c r="DO383" s="32"/>
      <c r="DP383" s="32"/>
      <c r="DQ383" s="32"/>
      <c r="DR383" s="32"/>
      <c r="DS383" s="32"/>
      <c r="DT383" s="32"/>
      <c r="DU383" s="32"/>
      <c r="DV383" s="32"/>
      <c r="DW383" s="32"/>
      <c r="DX383" s="32"/>
      <c r="DY383" s="32"/>
      <c r="DZ383" s="32"/>
      <c r="EA383" s="32"/>
      <c r="EB383" s="32"/>
      <c r="EC383" s="32"/>
      <c r="ED383" s="32"/>
      <c r="EE383" s="32"/>
      <c r="EF383" s="32"/>
      <c r="EG383" s="32"/>
      <c r="EH383" s="32"/>
      <c r="EI383" s="32"/>
      <c r="EJ383" s="32"/>
      <c r="EK383" s="32"/>
      <c r="EL383" s="32"/>
      <c r="EM383" s="32"/>
      <c r="EN383" s="32"/>
      <c r="EO383" s="32"/>
      <c r="EP383" s="32"/>
      <c r="EQ383" s="32"/>
      <c r="ER383" s="32"/>
      <c r="ES383" s="32"/>
      <c r="ET383" s="32"/>
      <c r="EU383" s="32"/>
      <c r="EV383" s="32"/>
      <c r="EW383" s="32"/>
      <c r="EX383" s="32"/>
      <c r="EY383" s="32"/>
      <c r="EZ383" s="32"/>
      <c r="FA383" s="32"/>
      <c r="FB383" s="32"/>
      <c r="FC383" s="32"/>
      <c r="FD383" s="32"/>
      <c r="FE383" s="32"/>
      <c r="FF383" s="32"/>
      <c r="FG383" s="32"/>
      <c r="FH383" s="32"/>
      <c r="FI383" s="32"/>
      <c r="FJ383" s="32"/>
      <c r="FK383" s="32"/>
      <c r="FL383" s="32"/>
      <c r="FM383" s="32"/>
      <c r="FN383" s="32"/>
      <c r="FO383" s="32"/>
      <c r="FP383" s="32"/>
      <c r="FQ383" s="32"/>
      <c r="FR383" s="32"/>
      <c r="FS383" s="32"/>
      <c r="FT383" s="32"/>
      <c r="FU383" s="32"/>
      <c r="FV383" s="32"/>
      <c r="FW383" s="32"/>
      <c r="FX383" s="32"/>
      <c r="FY383" s="32"/>
      <c r="FZ383" s="32"/>
      <c r="GA383" s="32"/>
      <c r="GB383" s="32"/>
      <c r="GC383" s="32"/>
      <c r="GD383" s="32"/>
      <c r="GE383" s="32"/>
      <c r="GF383" s="32"/>
      <c r="GG383" s="32"/>
      <c r="GH383" s="32"/>
      <c r="GI383" s="32"/>
      <c r="GJ383" s="32"/>
      <c r="GK383" s="32"/>
      <c r="GL383" s="32"/>
      <c r="GM383" s="32"/>
      <c r="GN383" s="32"/>
      <c r="GO383" s="32"/>
      <c r="GP383" s="32"/>
      <c r="GQ383" s="32"/>
      <c r="GR383" s="32"/>
      <c r="GS383" s="32"/>
      <c r="GT383" s="32"/>
      <c r="GU383" s="32"/>
      <c r="GV383" s="32"/>
      <c r="GW383" s="32"/>
      <c r="GX383" s="32"/>
      <c r="GY383" s="32"/>
      <c r="GZ383" s="32"/>
      <c r="HA383" s="32"/>
      <c r="HB383" s="32"/>
      <c r="HC383" s="32"/>
      <c r="HD383" s="32"/>
      <c r="HE383" s="32"/>
      <c r="HF383" s="32"/>
      <c r="HG383" s="32"/>
      <c r="HH383" s="32"/>
      <c r="HI383" s="32"/>
      <c r="HJ383" s="32"/>
      <c r="HK383" s="32"/>
      <c r="HL383" s="32"/>
      <c r="HM383" s="32"/>
      <c r="HN383" s="32"/>
      <c r="HO383" s="32"/>
      <c r="HP383" s="32"/>
    </row>
    <row r="384" spans="1:224" x14ac:dyDescent="0.25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  <c r="BG384" s="32"/>
      <c r="BH384" s="32"/>
      <c r="BI384" s="32"/>
      <c r="BJ384" s="32"/>
      <c r="BK384" s="32"/>
      <c r="BL384" s="32"/>
      <c r="BM384" s="32"/>
      <c r="BN384" s="32"/>
      <c r="BO384" s="32"/>
      <c r="BP384" s="32"/>
      <c r="BQ384" s="32"/>
      <c r="BR384" s="32"/>
      <c r="BS384" s="32"/>
      <c r="BT384" s="32"/>
      <c r="BU384" s="32"/>
      <c r="BV384" s="32"/>
      <c r="BW384" s="32"/>
      <c r="BX384" s="32"/>
      <c r="BY384" s="32"/>
      <c r="BZ384" s="32"/>
      <c r="CA384" s="32"/>
      <c r="CB384" s="32"/>
      <c r="CC384" s="32"/>
      <c r="CD384" s="32"/>
      <c r="CE384" s="32"/>
      <c r="CF384" s="32"/>
      <c r="CG384" s="32"/>
      <c r="CH384" s="32"/>
      <c r="CI384" s="32"/>
      <c r="CJ384" s="32"/>
      <c r="CK384" s="32"/>
      <c r="CL384" s="32"/>
      <c r="CM384" s="32"/>
      <c r="CN384" s="32"/>
      <c r="CO384" s="32"/>
      <c r="CP384" s="32"/>
      <c r="CQ384" s="32"/>
      <c r="CR384" s="32"/>
      <c r="CS384" s="32"/>
      <c r="CT384" s="32"/>
      <c r="CU384" s="32"/>
      <c r="CV384" s="32"/>
      <c r="CW384" s="32"/>
      <c r="CX384" s="32"/>
      <c r="CY384" s="32"/>
      <c r="CZ384" s="32"/>
      <c r="DA384" s="32"/>
      <c r="DB384" s="32"/>
      <c r="DC384" s="32"/>
      <c r="DD384" s="32"/>
      <c r="DE384" s="32"/>
      <c r="DF384" s="32"/>
      <c r="DG384" s="32"/>
      <c r="DH384" s="32"/>
      <c r="DI384" s="32"/>
      <c r="DJ384" s="32"/>
      <c r="DK384" s="32"/>
      <c r="DL384" s="32"/>
      <c r="DM384" s="32"/>
      <c r="DN384" s="32"/>
      <c r="DO384" s="32"/>
      <c r="DP384" s="32"/>
      <c r="DQ384" s="32"/>
      <c r="DR384" s="32"/>
      <c r="DS384" s="32"/>
      <c r="DT384" s="32"/>
      <c r="DU384" s="32"/>
      <c r="DV384" s="32"/>
      <c r="DW384" s="32"/>
      <c r="DX384" s="32"/>
      <c r="DY384" s="32"/>
      <c r="DZ384" s="32"/>
      <c r="EA384" s="32"/>
      <c r="EB384" s="32"/>
      <c r="EC384" s="32"/>
      <c r="ED384" s="32"/>
      <c r="EE384" s="32"/>
      <c r="EF384" s="32"/>
      <c r="EG384" s="32"/>
      <c r="EH384" s="32"/>
      <c r="EI384" s="32"/>
      <c r="EJ384" s="32"/>
      <c r="EK384" s="32"/>
      <c r="EL384" s="32"/>
      <c r="EM384" s="32"/>
      <c r="EN384" s="32"/>
      <c r="EO384" s="32"/>
      <c r="EP384" s="32"/>
      <c r="EQ384" s="32"/>
      <c r="ER384" s="32"/>
      <c r="ES384" s="32"/>
      <c r="ET384" s="32"/>
      <c r="EU384" s="32"/>
      <c r="EV384" s="32"/>
      <c r="EW384" s="32"/>
      <c r="EX384" s="32"/>
      <c r="EY384" s="32"/>
      <c r="EZ384" s="32"/>
      <c r="FA384" s="32"/>
      <c r="FB384" s="32"/>
      <c r="FC384" s="32"/>
      <c r="FD384" s="32"/>
      <c r="FE384" s="32"/>
      <c r="FF384" s="32"/>
      <c r="FG384" s="32"/>
      <c r="FH384" s="32"/>
      <c r="FI384" s="32"/>
      <c r="FJ384" s="32"/>
      <c r="FK384" s="32"/>
      <c r="FL384" s="32"/>
      <c r="FM384" s="32"/>
      <c r="FN384" s="32"/>
      <c r="FO384" s="32"/>
      <c r="FP384" s="32"/>
      <c r="FQ384" s="32"/>
      <c r="FR384" s="32"/>
      <c r="FS384" s="32"/>
      <c r="FT384" s="32"/>
      <c r="FU384" s="32"/>
      <c r="FV384" s="32"/>
      <c r="FW384" s="32"/>
      <c r="FX384" s="32"/>
      <c r="FY384" s="32"/>
      <c r="FZ384" s="32"/>
      <c r="GA384" s="32"/>
      <c r="GB384" s="32"/>
      <c r="GC384" s="32"/>
      <c r="GD384" s="32"/>
      <c r="GE384" s="32"/>
      <c r="GF384" s="32"/>
      <c r="GG384" s="32"/>
      <c r="GH384" s="32"/>
      <c r="GI384" s="32"/>
      <c r="GJ384" s="32"/>
      <c r="GK384" s="32"/>
      <c r="GL384" s="32"/>
      <c r="GM384" s="32"/>
      <c r="GN384" s="32"/>
      <c r="GO384" s="32"/>
      <c r="GP384" s="32"/>
      <c r="GQ384" s="32"/>
      <c r="GR384" s="32"/>
      <c r="GS384" s="32"/>
      <c r="GT384" s="32"/>
      <c r="GU384" s="32"/>
      <c r="GV384" s="32"/>
      <c r="GW384" s="32"/>
      <c r="GX384" s="32"/>
      <c r="GY384" s="32"/>
      <c r="GZ384" s="32"/>
      <c r="HA384" s="32"/>
      <c r="HB384" s="32"/>
      <c r="HC384" s="32"/>
      <c r="HD384" s="32"/>
      <c r="HE384" s="32"/>
      <c r="HF384" s="32"/>
      <c r="HG384" s="32"/>
      <c r="HH384" s="32"/>
      <c r="HI384" s="32"/>
      <c r="HJ384" s="32"/>
      <c r="HK384" s="32"/>
      <c r="HL384" s="32"/>
      <c r="HM384" s="32"/>
      <c r="HN384" s="32"/>
      <c r="HO384" s="32"/>
      <c r="HP384" s="32"/>
    </row>
    <row r="385" spans="1:224" x14ac:dyDescent="0.2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2"/>
      <c r="BE385" s="32"/>
      <c r="BF385" s="32"/>
      <c r="BG385" s="32"/>
      <c r="BH385" s="32"/>
      <c r="BI385" s="32"/>
      <c r="BJ385" s="32"/>
      <c r="BK385" s="32"/>
      <c r="BL385" s="32"/>
      <c r="BM385" s="32"/>
      <c r="BN385" s="32"/>
      <c r="BO385" s="32"/>
      <c r="BP385" s="32"/>
      <c r="BQ385" s="32"/>
      <c r="BR385" s="32"/>
      <c r="BS385" s="32"/>
      <c r="BT385" s="32"/>
      <c r="BU385" s="32"/>
      <c r="BV385" s="32"/>
      <c r="BW385" s="32"/>
      <c r="BX385" s="32"/>
      <c r="BY385" s="32"/>
      <c r="BZ385" s="32"/>
      <c r="CA385" s="32"/>
      <c r="CB385" s="32"/>
      <c r="CC385" s="32"/>
      <c r="CD385" s="32"/>
      <c r="CE385" s="32"/>
      <c r="CF385" s="32"/>
      <c r="CG385" s="32"/>
      <c r="CH385" s="32"/>
      <c r="CI385" s="32"/>
      <c r="CJ385" s="32"/>
      <c r="CK385" s="32"/>
      <c r="CL385" s="32"/>
      <c r="CM385" s="32"/>
      <c r="CN385" s="32"/>
      <c r="CO385" s="32"/>
      <c r="CP385" s="32"/>
      <c r="CQ385" s="32"/>
      <c r="CR385" s="32"/>
      <c r="CS385" s="32"/>
      <c r="CT385" s="32"/>
      <c r="CU385" s="32"/>
      <c r="CV385" s="32"/>
      <c r="CW385" s="32"/>
      <c r="CX385" s="32"/>
      <c r="CY385" s="32"/>
      <c r="CZ385" s="32"/>
      <c r="DA385" s="32"/>
      <c r="DB385" s="32"/>
      <c r="DC385" s="32"/>
      <c r="DD385" s="32"/>
      <c r="DE385" s="32"/>
      <c r="DF385" s="32"/>
      <c r="DG385" s="32"/>
      <c r="DH385" s="32"/>
      <c r="DI385" s="32"/>
      <c r="DJ385" s="32"/>
      <c r="DK385" s="32"/>
      <c r="DL385" s="32"/>
      <c r="DM385" s="32"/>
      <c r="DN385" s="32"/>
      <c r="DO385" s="32"/>
      <c r="DP385" s="32"/>
      <c r="DQ385" s="32"/>
      <c r="DR385" s="32"/>
      <c r="DS385" s="32"/>
      <c r="DT385" s="32"/>
      <c r="DU385" s="32"/>
      <c r="DV385" s="32"/>
      <c r="DW385" s="32"/>
      <c r="DX385" s="32"/>
      <c r="DY385" s="32"/>
      <c r="DZ385" s="32"/>
      <c r="EA385" s="32"/>
      <c r="EB385" s="32"/>
      <c r="EC385" s="32"/>
      <c r="ED385" s="32"/>
      <c r="EE385" s="32"/>
      <c r="EF385" s="32"/>
      <c r="EG385" s="32"/>
      <c r="EH385" s="32"/>
      <c r="EI385" s="32"/>
      <c r="EJ385" s="32"/>
      <c r="EK385" s="32"/>
      <c r="EL385" s="32"/>
      <c r="EM385" s="32"/>
      <c r="EN385" s="32"/>
      <c r="EO385" s="32"/>
      <c r="EP385" s="32"/>
      <c r="EQ385" s="32"/>
      <c r="ER385" s="32"/>
      <c r="ES385" s="32"/>
      <c r="ET385" s="32"/>
      <c r="EU385" s="32"/>
      <c r="EV385" s="32"/>
      <c r="EW385" s="32"/>
      <c r="EX385" s="32"/>
      <c r="EY385" s="32"/>
      <c r="EZ385" s="32"/>
      <c r="FA385" s="32"/>
      <c r="FB385" s="32"/>
      <c r="FC385" s="32"/>
      <c r="FD385" s="32"/>
      <c r="FE385" s="32"/>
      <c r="FF385" s="32"/>
      <c r="FG385" s="32"/>
      <c r="FH385" s="32"/>
      <c r="FI385" s="32"/>
      <c r="FJ385" s="32"/>
      <c r="FK385" s="32"/>
      <c r="FL385" s="32"/>
      <c r="FM385" s="32"/>
      <c r="FN385" s="32"/>
      <c r="FO385" s="32"/>
      <c r="FP385" s="32"/>
      <c r="FQ385" s="32"/>
      <c r="FR385" s="32"/>
      <c r="FS385" s="32"/>
      <c r="FT385" s="32"/>
      <c r="FU385" s="32"/>
      <c r="FV385" s="32"/>
      <c r="FW385" s="32"/>
      <c r="FX385" s="32"/>
      <c r="FY385" s="32"/>
      <c r="FZ385" s="32"/>
      <c r="GA385" s="32"/>
      <c r="GB385" s="32"/>
      <c r="GC385" s="32"/>
      <c r="GD385" s="32"/>
      <c r="GE385" s="32"/>
      <c r="GF385" s="32"/>
      <c r="GG385" s="32"/>
      <c r="GH385" s="32"/>
      <c r="GI385" s="32"/>
      <c r="GJ385" s="32"/>
      <c r="GK385" s="32"/>
      <c r="GL385" s="32"/>
      <c r="GM385" s="32"/>
      <c r="GN385" s="32"/>
      <c r="GO385" s="32"/>
      <c r="GP385" s="32"/>
      <c r="GQ385" s="32"/>
      <c r="GR385" s="32"/>
      <c r="GS385" s="32"/>
      <c r="GT385" s="32"/>
      <c r="GU385" s="32"/>
      <c r="GV385" s="32"/>
      <c r="GW385" s="32"/>
      <c r="GX385" s="32"/>
      <c r="GY385" s="32"/>
      <c r="GZ385" s="32"/>
      <c r="HA385" s="32"/>
      <c r="HB385" s="32"/>
      <c r="HC385" s="32"/>
      <c r="HD385" s="32"/>
      <c r="HE385" s="32"/>
      <c r="HF385" s="32"/>
      <c r="HG385" s="32"/>
      <c r="HH385" s="32"/>
      <c r="HI385" s="32"/>
      <c r="HJ385" s="32"/>
      <c r="HK385" s="32"/>
      <c r="HL385" s="32"/>
      <c r="HM385" s="32"/>
      <c r="HN385" s="32"/>
      <c r="HO385" s="32"/>
      <c r="HP385" s="32"/>
    </row>
    <row r="386" spans="1:224" x14ac:dyDescent="0.25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2"/>
      <c r="BF386" s="32"/>
      <c r="BG386" s="32"/>
      <c r="BH386" s="32"/>
      <c r="BI386" s="32"/>
      <c r="BJ386" s="32"/>
      <c r="BK386" s="32"/>
      <c r="BL386" s="32"/>
      <c r="BM386" s="32"/>
      <c r="BN386" s="32"/>
      <c r="BO386" s="32"/>
      <c r="BP386" s="32"/>
      <c r="BQ386" s="32"/>
      <c r="BR386" s="32"/>
      <c r="BS386" s="32"/>
      <c r="BT386" s="32"/>
      <c r="BU386" s="32"/>
      <c r="BV386" s="32"/>
      <c r="BW386" s="32"/>
      <c r="BX386" s="32"/>
      <c r="BY386" s="32"/>
      <c r="BZ386" s="32"/>
      <c r="CA386" s="32"/>
      <c r="CB386" s="32"/>
      <c r="CC386" s="32"/>
      <c r="CD386" s="32"/>
      <c r="CE386" s="32"/>
      <c r="CF386" s="32"/>
      <c r="CG386" s="32"/>
      <c r="CH386" s="32"/>
      <c r="CI386" s="32"/>
      <c r="CJ386" s="32"/>
      <c r="CK386" s="32"/>
      <c r="CL386" s="32"/>
      <c r="CM386" s="32"/>
      <c r="CN386" s="32"/>
      <c r="CO386" s="32"/>
      <c r="CP386" s="32"/>
      <c r="CQ386" s="32"/>
      <c r="CR386" s="32"/>
      <c r="CS386" s="32"/>
      <c r="CT386" s="32"/>
      <c r="CU386" s="32"/>
      <c r="CV386" s="32"/>
      <c r="CW386" s="32"/>
      <c r="CX386" s="32"/>
      <c r="CY386" s="32"/>
      <c r="CZ386" s="32"/>
      <c r="DA386" s="32"/>
      <c r="DB386" s="32"/>
      <c r="DC386" s="32"/>
      <c r="DD386" s="32"/>
      <c r="DE386" s="32"/>
      <c r="DF386" s="32"/>
      <c r="DG386" s="32"/>
      <c r="DH386" s="32"/>
      <c r="DI386" s="32"/>
      <c r="DJ386" s="32"/>
      <c r="DK386" s="32"/>
      <c r="DL386" s="32"/>
      <c r="DM386" s="32"/>
      <c r="DN386" s="32"/>
      <c r="DO386" s="32"/>
      <c r="DP386" s="32"/>
      <c r="DQ386" s="32"/>
      <c r="DR386" s="32"/>
      <c r="DS386" s="32"/>
      <c r="DT386" s="32"/>
      <c r="DU386" s="32"/>
      <c r="DV386" s="32"/>
      <c r="DW386" s="32"/>
      <c r="DX386" s="32"/>
      <c r="DY386" s="32"/>
      <c r="DZ386" s="32"/>
      <c r="EA386" s="32"/>
      <c r="EB386" s="32"/>
      <c r="EC386" s="32"/>
      <c r="ED386" s="32"/>
      <c r="EE386" s="32"/>
      <c r="EF386" s="32"/>
      <c r="EG386" s="32"/>
      <c r="EH386" s="32"/>
      <c r="EI386" s="32"/>
      <c r="EJ386" s="32"/>
      <c r="EK386" s="32"/>
      <c r="EL386" s="32"/>
      <c r="EM386" s="32"/>
      <c r="EN386" s="32"/>
      <c r="EO386" s="32"/>
      <c r="EP386" s="32"/>
      <c r="EQ386" s="32"/>
      <c r="ER386" s="32"/>
      <c r="ES386" s="32"/>
      <c r="ET386" s="32"/>
      <c r="EU386" s="32"/>
      <c r="EV386" s="32"/>
      <c r="EW386" s="32"/>
      <c r="EX386" s="32"/>
      <c r="EY386" s="32"/>
      <c r="EZ386" s="32"/>
      <c r="FA386" s="32"/>
      <c r="FB386" s="32"/>
      <c r="FC386" s="32"/>
      <c r="FD386" s="32"/>
      <c r="FE386" s="32"/>
      <c r="FF386" s="32"/>
      <c r="FG386" s="32"/>
      <c r="FH386" s="32"/>
      <c r="FI386" s="32"/>
      <c r="FJ386" s="32"/>
      <c r="FK386" s="32"/>
      <c r="FL386" s="32"/>
      <c r="FM386" s="32"/>
      <c r="FN386" s="32"/>
      <c r="FO386" s="32"/>
      <c r="FP386" s="32"/>
      <c r="FQ386" s="32"/>
      <c r="FR386" s="32"/>
      <c r="FS386" s="32"/>
      <c r="FT386" s="32"/>
      <c r="FU386" s="32"/>
      <c r="FV386" s="32"/>
      <c r="FW386" s="32"/>
      <c r="FX386" s="32"/>
      <c r="FY386" s="32"/>
      <c r="FZ386" s="32"/>
      <c r="GA386" s="32"/>
      <c r="GB386" s="32"/>
      <c r="GC386" s="32"/>
      <c r="GD386" s="32"/>
      <c r="GE386" s="32"/>
      <c r="GF386" s="32"/>
      <c r="GG386" s="32"/>
      <c r="GH386" s="32"/>
      <c r="GI386" s="32"/>
      <c r="GJ386" s="32"/>
      <c r="GK386" s="32"/>
      <c r="GL386" s="32"/>
      <c r="GM386" s="32"/>
      <c r="GN386" s="32"/>
      <c r="GO386" s="32"/>
      <c r="GP386" s="32"/>
      <c r="GQ386" s="32"/>
      <c r="GR386" s="32"/>
      <c r="GS386" s="32"/>
      <c r="GT386" s="32"/>
      <c r="GU386" s="32"/>
      <c r="GV386" s="32"/>
      <c r="GW386" s="32"/>
      <c r="GX386" s="32"/>
      <c r="GY386" s="32"/>
      <c r="GZ386" s="32"/>
      <c r="HA386" s="32"/>
      <c r="HB386" s="32"/>
      <c r="HC386" s="32"/>
      <c r="HD386" s="32"/>
      <c r="HE386" s="32"/>
      <c r="HF386" s="32"/>
      <c r="HG386" s="32"/>
      <c r="HH386" s="32"/>
      <c r="HI386" s="32"/>
      <c r="HJ386" s="32"/>
      <c r="HK386" s="32"/>
      <c r="HL386" s="32"/>
      <c r="HM386" s="32"/>
      <c r="HN386" s="32"/>
      <c r="HO386" s="32"/>
      <c r="HP386" s="32"/>
    </row>
    <row r="387" spans="1:224" x14ac:dyDescent="0.25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  <c r="BG387" s="32"/>
      <c r="BH387" s="32"/>
      <c r="BI387" s="32"/>
      <c r="BJ387" s="32"/>
      <c r="BK387" s="32"/>
      <c r="BL387" s="32"/>
      <c r="BM387" s="32"/>
      <c r="BN387" s="32"/>
      <c r="BO387" s="32"/>
      <c r="BP387" s="32"/>
      <c r="BQ387" s="32"/>
      <c r="BR387" s="32"/>
      <c r="BS387" s="32"/>
      <c r="BT387" s="32"/>
      <c r="BU387" s="32"/>
      <c r="BV387" s="32"/>
      <c r="BW387" s="32"/>
      <c r="BX387" s="32"/>
      <c r="BY387" s="32"/>
      <c r="BZ387" s="32"/>
      <c r="CA387" s="32"/>
      <c r="CB387" s="32"/>
      <c r="CC387" s="32"/>
      <c r="CD387" s="32"/>
      <c r="CE387" s="32"/>
      <c r="CF387" s="32"/>
      <c r="CG387" s="32"/>
      <c r="CH387" s="32"/>
      <c r="CI387" s="32"/>
      <c r="CJ387" s="32"/>
      <c r="CK387" s="32"/>
      <c r="CL387" s="32"/>
      <c r="CM387" s="32"/>
      <c r="CN387" s="32"/>
      <c r="CO387" s="32"/>
      <c r="CP387" s="32"/>
      <c r="CQ387" s="32"/>
      <c r="CR387" s="32"/>
      <c r="CS387" s="32"/>
      <c r="CT387" s="32"/>
      <c r="CU387" s="32"/>
      <c r="CV387" s="32"/>
      <c r="CW387" s="32"/>
      <c r="CX387" s="32"/>
      <c r="CY387" s="32"/>
      <c r="CZ387" s="32"/>
      <c r="DA387" s="32"/>
      <c r="DB387" s="32"/>
      <c r="DC387" s="32"/>
      <c r="DD387" s="32"/>
      <c r="DE387" s="32"/>
      <c r="DF387" s="32"/>
      <c r="DG387" s="32"/>
      <c r="DH387" s="32"/>
      <c r="DI387" s="32"/>
      <c r="DJ387" s="32"/>
      <c r="DK387" s="32"/>
      <c r="DL387" s="32"/>
      <c r="DM387" s="32"/>
      <c r="DN387" s="32"/>
      <c r="DO387" s="32"/>
      <c r="DP387" s="32"/>
      <c r="DQ387" s="32"/>
      <c r="DR387" s="32"/>
      <c r="DS387" s="32"/>
      <c r="DT387" s="32"/>
      <c r="DU387" s="32"/>
      <c r="DV387" s="32"/>
      <c r="DW387" s="32"/>
      <c r="DX387" s="32"/>
      <c r="DY387" s="32"/>
      <c r="DZ387" s="32"/>
      <c r="EA387" s="32"/>
      <c r="EB387" s="32"/>
      <c r="EC387" s="32"/>
      <c r="ED387" s="32"/>
      <c r="EE387" s="32"/>
      <c r="EF387" s="32"/>
      <c r="EG387" s="32"/>
      <c r="EH387" s="32"/>
      <c r="EI387" s="32"/>
      <c r="EJ387" s="32"/>
      <c r="EK387" s="32"/>
      <c r="EL387" s="32"/>
      <c r="EM387" s="32"/>
      <c r="EN387" s="32"/>
      <c r="EO387" s="32"/>
      <c r="EP387" s="32"/>
      <c r="EQ387" s="32"/>
      <c r="ER387" s="32"/>
      <c r="ES387" s="32"/>
      <c r="ET387" s="32"/>
      <c r="EU387" s="32"/>
      <c r="EV387" s="32"/>
      <c r="EW387" s="32"/>
      <c r="EX387" s="32"/>
      <c r="EY387" s="32"/>
      <c r="EZ387" s="32"/>
      <c r="FA387" s="32"/>
      <c r="FB387" s="32"/>
      <c r="FC387" s="32"/>
      <c r="FD387" s="32"/>
      <c r="FE387" s="32"/>
      <c r="FF387" s="32"/>
      <c r="FG387" s="32"/>
      <c r="FH387" s="32"/>
      <c r="FI387" s="32"/>
      <c r="FJ387" s="32"/>
      <c r="FK387" s="32"/>
      <c r="FL387" s="32"/>
      <c r="FM387" s="32"/>
      <c r="FN387" s="32"/>
      <c r="FO387" s="32"/>
      <c r="FP387" s="32"/>
      <c r="FQ387" s="32"/>
      <c r="FR387" s="32"/>
      <c r="FS387" s="32"/>
      <c r="FT387" s="32"/>
      <c r="FU387" s="32"/>
      <c r="FV387" s="32"/>
      <c r="FW387" s="32"/>
      <c r="FX387" s="32"/>
      <c r="FY387" s="32"/>
      <c r="FZ387" s="32"/>
      <c r="GA387" s="32"/>
      <c r="GB387" s="32"/>
      <c r="GC387" s="32"/>
      <c r="GD387" s="32"/>
      <c r="GE387" s="32"/>
      <c r="GF387" s="32"/>
      <c r="GG387" s="32"/>
      <c r="GH387" s="32"/>
      <c r="GI387" s="32"/>
      <c r="GJ387" s="32"/>
      <c r="GK387" s="32"/>
      <c r="GL387" s="32"/>
      <c r="GM387" s="32"/>
      <c r="GN387" s="32"/>
      <c r="GO387" s="32"/>
      <c r="GP387" s="32"/>
      <c r="GQ387" s="32"/>
      <c r="GR387" s="32"/>
      <c r="GS387" s="32"/>
      <c r="GT387" s="32"/>
      <c r="GU387" s="32"/>
      <c r="GV387" s="32"/>
      <c r="GW387" s="32"/>
      <c r="GX387" s="32"/>
      <c r="GY387" s="32"/>
      <c r="GZ387" s="32"/>
      <c r="HA387" s="32"/>
      <c r="HB387" s="32"/>
      <c r="HC387" s="32"/>
      <c r="HD387" s="32"/>
      <c r="HE387" s="32"/>
      <c r="HF387" s="32"/>
      <c r="HG387" s="32"/>
      <c r="HH387" s="32"/>
      <c r="HI387" s="32"/>
      <c r="HJ387" s="32"/>
      <c r="HK387" s="32"/>
      <c r="HL387" s="32"/>
      <c r="HM387" s="32"/>
      <c r="HN387" s="32"/>
      <c r="HO387" s="32"/>
      <c r="HP387" s="32"/>
    </row>
    <row r="388" spans="1:224" x14ac:dyDescent="0.25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  <c r="BF388" s="32"/>
      <c r="BG388" s="32"/>
      <c r="BH388" s="32"/>
      <c r="BI388" s="32"/>
      <c r="BJ388" s="32"/>
      <c r="BK388" s="32"/>
      <c r="BL388" s="32"/>
      <c r="BM388" s="32"/>
      <c r="BN388" s="32"/>
      <c r="BO388" s="32"/>
      <c r="BP388" s="32"/>
      <c r="BQ388" s="32"/>
      <c r="BR388" s="32"/>
      <c r="BS388" s="32"/>
      <c r="BT388" s="32"/>
      <c r="BU388" s="32"/>
      <c r="BV388" s="32"/>
      <c r="BW388" s="32"/>
      <c r="BX388" s="32"/>
      <c r="BY388" s="32"/>
      <c r="BZ388" s="32"/>
      <c r="CA388" s="32"/>
      <c r="CB388" s="32"/>
      <c r="CC388" s="32"/>
      <c r="CD388" s="32"/>
      <c r="CE388" s="32"/>
      <c r="CF388" s="32"/>
      <c r="CG388" s="32"/>
      <c r="CH388" s="32"/>
      <c r="CI388" s="32"/>
      <c r="CJ388" s="32"/>
      <c r="CK388" s="32"/>
      <c r="CL388" s="32"/>
      <c r="CM388" s="32"/>
      <c r="CN388" s="32"/>
      <c r="CO388" s="32"/>
      <c r="CP388" s="32"/>
      <c r="CQ388" s="32"/>
      <c r="CR388" s="32"/>
      <c r="CS388" s="32"/>
      <c r="CT388" s="32"/>
      <c r="CU388" s="32"/>
      <c r="CV388" s="32"/>
      <c r="CW388" s="32"/>
      <c r="CX388" s="32"/>
      <c r="CY388" s="32"/>
      <c r="CZ388" s="32"/>
      <c r="DA388" s="32"/>
      <c r="DB388" s="32"/>
      <c r="DC388" s="32"/>
      <c r="DD388" s="32"/>
      <c r="DE388" s="32"/>
      <c r="DF388" s="32"/>
      <c r="DG388" s="32"/>
      <c r="DH388" s="32"/>
      <c r="DI388" s="32"/>
      <c r="DJ388" s="32"/>
      <c r="DK388" s="32"/>
      <c r="DL388" s="32"/>
      <c r="DM388" s="32"/>
      <c r="DN388" s="32"/>
      <c r="DO388" s="32"/>
      <c r="DP388" s="32"/>
      <c r="DQ388" s="32"/>
      <c r="DR388" s="32"/>
      <c r="DS388" s="32"/>
      <c r="DT388" s="32"/>
      <c r="DU388" s="32"/>
      <c r="DV388" s="32"/>
      <c r="DW388" s="32"/>
      <c r="DX388" s="32"/>
      <c r="DY388" s="32"/>
      <c r="DZ388" s="32"/>
      <c r="EA388" s="32"/>
      <c r="EB388" s="32"/>
      <c r="EC388" s="32"/>
      <c r="ED388" s="32"/>
      <c r="EE388" s="32"/>
      <c r="EF388" s="32"/>
      <c r="EG388" s="32"/>
      <c r="EH388" s="32"/>
      <c r="EI388" s="32"/>
      <c r="EJ388" s="32"/>
      <c r="EK388" s="32"/>
      <c r="EL388" s="32"/>
      <c r="EM388" s="32"/>
      <c r="EN388" s="32"/>
      <c r="EO388" s="32"/>
      <c r="EP388" s="32"/>
      <c r="EQ388" s="32"/>
      <c r="ER388" s="32"/>
      <c r="ES388" s="32"/>
      <c r="ET388" s="32"/>
      <c r="EU388" s="32"/>
      <c r="EV388" s="32"/>
      <c r="EW388" s="32"/>
      <c r="EX388" s="32"/>
      <c r="EY388" s="32"/>
      <c r="EZ388" s="32"/>
      <c r="FA388" s="32"/>
      <c r="FB388" s="32"/>
      <c r="FC388" s="32"/>
      <c r="FD388" s="32"/>
      <c r="FE388" s="32"/>
      <c r="FF388" s="32"/>
      <c r="FG388" s="32"/>
      <c r="FH388" s="32"/>
      <c r="FI388" s="32"/>
      <c r="FJ388" s="32"/>
      <c r="FK388" s="32"/>
      <c r="FL388" s="32"/>
      <c r="FM388" s="32"/>
      <c r="FN388" s="32"/>
      <c r="FO388" s="32"/>
      <c r="FP388" s="32"/>
      <c r="FQ388" s="32"/>
      <c r="FR388" s="32"/>
      <c r="FS388" s="32"/>
      <c r="FT388" s="32"/>
      <c r="FU388" s="32"/>
      <c r="FV388" s="32"/>
      <c r="FW388" s="32"/>
      <c r="FX388" s="32"/>
      <c r="FY388" s="32"/>
      <c r="FZ388" s="32"/>
      <c r="GA388" s="32"/>
      <c r="GB388" s="32"/>
      <c r="GC388" s="32"/>
      <c r="GD388" s="32"/>
      <c r="GE388" s="32"/>
      <c r="GF388" s="32"/>
      <c r="GG388" s="32"/>
      <c r="GH388" s="32"/>
      <c r="GI388" s="32"/>
      <c r="GJ388" s="32"/>
      <c r="GK388" s="32"/>
      <c r="GL388" s="32"/>
      <c r="GM388" s="32"/>
      <c r="GN388" s="32"/>
      <c r="GO388" s="32"/>
      <c r="GP388" s="32"/>
      <c r="GQ388" s="32"/>
      <c r="GR388" s="32"/>
      <c r="GS388" s="32"/>
      <c r="GT388" s="32"/>
      <c r="GU388" s="32"/>
      <c r="GV388" s="32"/>
      <c r="GW388" s="32"/>
      <c r="GX388" s="32"/>
      <c r="GY388" s="32"/>
      <c r="GZ388" s="32"/>
      <c r="HA388" s="32"/>
      <c r="HB388" s="32"/>
      <c r="HC388" s="32"/>
      <c r="HD388" s="32"/>
      <c r="HE388" s="32"/>
      <c r="HF388" s="32"/>
      <c r="HG388" s="32"/>
      <c r="HH388" s="32"/>
      <c r="HI388" s="32"/>
      <c r="HJ388" s="32"/>
      <c r="HK388" s="32"/>
      <c r="HL388" s="32"/>
      <c r="HM388" s="32"/>
      <c r="HN388" s="32"/>
      <c r="HO388" s="32"/>
      <c r="HP388" s="32"/>
    </row>
    <row r="389" spans="1:224" x14ac:dyDescent="0.25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  <c r="BG389" s="32"/>
      <c r="BH389" s="32"/>
      <c r="BI389" s="32"/>
      <c r="BJ389" s="32"/>
      <c r="BK389" s="32"/>
      <c r="BL389" s="32"/>
      <c r="BM389" s="32"/>
      <c r="BN389" s="32"/>
      <c r="BO389" s="32"/>
      <c r="BP389" s="32"/>
      <c r="BQ389" s="32"/>
      <c r="BR389" s="32"/>
      <c r="BS389" s="32"/>
      <c r="BT389" s="32"/>
      <c r="BU389" s="32"/>
      <c r="BV389" s="32"/>
      <c r="BW389" s="32"/>
      <c r="BX389" s="32"/>
      <c r="BY389" s="32"/>
      <c r="BZ389" s="32"/>
      <c r="CA389" s="32"/>
      <c r="CB389" s="32"/>
      <c r="CC389" s="32"/>
      <c r="CD389" s="32"/>
      <c r="CE389" s="32"/>
      <c r="CF389" s="32"/>
      <c r="CG389" s="32"/>
      <c r="CH389" s="32"/>
      <c r="CI389" s="32"/>
      <c r="CJ389" s="32"/>
      <c r="CK389" s="32"/>
      <c r="CL389" s="32"/>
      <c r="CM389" s="32"/>
      <c r="CN389" s="32"/>
      <c r="CO389" s="32"/>
      <c r="CP389" s="32"/>
      <c r="CQ389" s="32"/>
      <c r="CR389" s="32"/>
      <c r="CS389" s="32"/>
      <c r="CT389" s="32"/>
      <c r="CU389" s="32"/>
      <c r="CV389" s="32"/>
      <c r="CW389" s="32"/>
      <c r="CX389" s="32"/>
      <c r="CY389" s="32"/>
      <c r="CZ389" s="32"/>
      <c r="DA389" s="32"/>
      <c r="DB389" s="32"/>
      <c r="DC389" s="32"/>
      <c r="DD389" s="32"/>
      <c r="DE389" s="32"/>
      <c r="DF389" s="32"/>
      <c r="DG389" s="32"/>
      <c r="DH389" s="32"/>
      <c r="DI389" s="32"/>
      <c r="DJ389" s="32"/>
      <c r="DK389" s="32"/>
      <c r="DL389" s="32"/>
      <c r="DM389" s="32"/>
      <c r="DN389" s="32"/>
      <c r="DO389" s="32"/>
      <c r="DP389" s="32"/>
      <c r="DQ389" s="32"/>
      <c r="DR389" s="32"/>
      <c r="DS389" s="32"/>
      <c r="DT389" s="32"/>
      <c r="DU389" s="32"/>
      <c r="DV389" s="32"/>
      <c r="DW389" s="32"/>
      <c r="DX389" s="32"/>
      <c r="DY389" s="32"/>
      <c r="DZ389" s="32"/>
      <c r="EA389" s="32"/>
      <c r="EB389" s="32"/>
      <c r="EC389" s="32"/>
      <c r="ED389" s="32"/>
      <c r="EE389" s="32"/>
      <c r="EF389" s="32"/>
      <c r="EG389" s="32"/>
      <c r="EH389" s="32"/>
      <c r="EI389" s="32"/>
      <c r="EJ389" s="32"/>
      <c r="EK389" s="32"/>
      <c r="EL389" s="32"/>
      <c r="EM389" s="32"/>
      <c r="EN389" s="32"/>
      <c r="EO389" s="32"/>
      <c r="EP389" s="32"/>
      <c r="EQ389" s="32"/>
      <c r="ER389" s="32"/>
      <c r="ES389" s="32"/>
      <c r="ET389" s="32"/>
      <c r="EU389" s="32"/>
      <c r="EV389" s="32"/>
      <c r="EW389" s="32"/>
      <c r="EX389" s="32"/>
      <c r="EY389" s="32"/>
      <c r="EZ389" s="32"/>
      <c r="FA389" s="32"/>
      <c r="FB389" s="32"/>
      <c r="FC389" s="32"/>
      <c r="FD389" s="32"/>
      <c r="FE389" s="32"/>
      <c r="FF389" s="32"/>
      <c r="FG389" s="32"/>
      <c r="FH389" s="32"/>
      <c r="FI389" s="32"/>
      <c r="FJ389" s="32"/>
      <c r="FK389" s="32"/>
      <c r="FL389" s="32"/>
      <c r="FM389" s="32"/>
      <c r="FN389" s="32"/>
      <c r="FO389" s="32"/>
      <c r="FP389" s="32"/>
      <c r="FQ389" s="32"/>
      <c r="FR389" s="32"/>
      <c r="FS389" s="32"/>
      <c r="FT389" s="32"/>
      <c r="FU389" s="32"/>
      <c r="FV389" s="32"/>
      <c r="FW389" s="32"/>
      <c r="FX389" s="32"/>
      <c r="FY389" s="32"/>
      <c r="FZ389" s="32"/>
      <c r="GA389" s="32"/>
      <c r="GB389" s="32"/>
      <c r="GC389" s="32"/>
      <c r="GD389" s="32"/>
      <c r="GE389" s="32"/>
      <c r="GF389" s="32"/>
      <c r="GG389" s="32"/>
      <c r="GH389" s="32"/>
      <c r="GI389" s="32"/>
      <c r="GJ389" s="32"/>
      <c r="GK389" s="32"/>
      <c r="GL389" s="32"/>
      <c r="GM389" s="32"/>
      <c r="GN389" s="32"/>
      <c r="GO389" s="32"/>
      <c r="GP389" s="32"/>
      <c r="GQ389" s="32"/>
      <c r="GR389" s="32"/>
      <c r="GS389" s="32"/>
      <c r="GT389" s="32"/>
      <c r="GU389" s="32"/>
      <c r="GV389" s="32"/>
      <c r="GW389" s="32"/>
      <c r="GX389" s="32"/>
      <c r="GY389" s="32"/>
      <c r="GZ389" s="32"/>
      <c r="HA389" s="32"/>
      <c r="HB389" s="32"/>
      <c r="HC389" s="32"/>
      <c r="HD389" s="32"/>
      <c r="HE389" s="32"/>
      <c r="HF389" s="32"/>
      <c r="HG389" s="32"/>
      <c r="HH389" s="32"/>
      <c r="HI389" s="32"/>
      <c r="HJ389" s="32"/>
      <c r="HK389" s="32"/>
      <c r="HL389" s="32"/>
      <c r="HM389" s="32"/>
      <c r="HN389" s="32"/>
      <c r="HO389" s="32"/>
      <c r="HP389" s="32"/>
    </row>
    <row r="390" spans="1:224" x14ac:dyDescent="0.25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2"/>
      <c r="BF390" s="32"/>
      <c r="BG390" s="32"/>
      <c r="BH390" s="32"/>
      <c r="BI390" s="32"/>
      <c r="BJ390" s="32"/>
      <c r="BK390" s="32"/>
      <c r="BL390" s="32"/>
      <c r="BM390" s="32"/>
      <c r="BN390" s="32"/>
      <c r="BO390" s="32"/>
      <c r="BP390" s="32"/>
      <c r="BQ390" s="32"/>
      <c r="BR390" s="32"/>
      <c r="BS390" s="32"/>
      <c r="BT390" s="32"/>
      <c r="BU390" s="32"/>
      <c r="BV390" s="32"/>
      <c r="BW390" s="32"/>
      <c r="BX390" s="32"/>
      <c r="BY390" s="32"/>
      <c r="BZ390" s="32"/>
      <c r="CA390" s="32"/>
      <c r="CB390" s="32"/>
      <c r="CC390" s="32"/>
      <c r="CD390" s="32"/>
      <c r="CE390" s="32"/>
      <c r="CF390" s="32"/>
      <c r="CG390" s="32"/>
      <c r="CH390" s="32"/>
      <c r="CI390" s="32"/>
      <c r="CJ390" s="32"/>
      <c r="CK390" s="32"/>
      <c r="CL390" s="32"/>
      <c r="CM390" s="32"/>
      <c r="CN390" s="32"/>
      <c r="CO390" s="32"/>
      <c r="CP390" s="32"/>
      <c r="CQ390" s="32"/>
      <c r="CR390" s="32"/>
      <c r="CS390" s="32"/>
      <c r="CT390" s="32"/>
      <c r="CU390" s="32"/>
      <c r="CV390" s="32"/>
      <c r="CW390" s="32"/>
      <c r="CX390" s="32"/>
      <c r="CY390" s="32"/>
      <c r="CZ390" s="32"/>
      <c r="DA390" s="32"/>
      <c r="DB390" s="32"/>
      <c r="DC390" s="32"/>
      <c r="DD390" s="32"/>
      <c r="DE390" s="32"/>
      <c r="DF390" s="32"/>
      <c r="DG390" s="32"/>
      <c r="DH390" s="32"/>
      <c r="DI390" s="32"/>
      <c r="DJ390" s="32"/>
      <c r="DK390" s="32"/>
      <c r="DL390" s="32"/>
      <c r="DM390" s="32"/>
      <c r="DN390" s="32"/>
      <c r="DO390" s="32"/>
      <c r="DP390" s="32"/>
      <c r="DQ390" s="32"/>
      <c r="DR390" s="32"/>
      <c r="DS390" s="32"/>
      <c r="DT390" s="32"/>
      <c r="DU390" s="32"/>
      <c r="DV390" s="32"/>
      <c r="DW390" s="32"/>
      <c r="DX390" s="32"/>
      <c r="DY390" s="32"/>
      <c r="DZ390" s="32"/>
      <c r="EA390" s="32"/>
      <c r="EB390" s="32"/>
      <c r="EC390" s="32"/>
      <c r="ED390" s="32"/>
      <c r="EE390" s="32"/>
      <c r="EF390" s="32"/>
      <c r="EG390" s="32"/>
      <c r="EH390" s="32"/>
      <c r="EI390" s="32"/>
      <c r="EJ390" s="32"/>
      <c r="EK390" s="32"/>
      <c r="EL390" s="32"/>
      <c r="EM390" s="32"/>
      <c r="EN390" s="32"/>
      <c r="EO390" s="32"/>
      <c r="EP390" s="32"/>
      <c r="EQ390" s="32"/>
      <c r="ER390" s="32"/>
      <c r="ES390" s="32"/>
      <c r="ET390" s="32"/>
      <c r="EU390" s="32"/>
      <c r="EV390" s="32"/>
      <c r="EW390" s="32"/>
      <c r="EX390" s="32"/>
      <c r="EY390" s="32"/>
      <c r="EZ390" s="32"/>
      <c r="FA390" s="32"/>
      <c r="FB390" s="32"/>
      <c r="FC390" s="32"/>
      <c r="FD390" s="32"/>
      <c r="FE390" s="32"/>
      <c r="FF390" s="32"/>
      <c r="FG390" s="32"/>
      <c r="FH390" s="32"/>
      <c r="FI390" s="32"/>
      <c r="FJ390" s="32"/>
      <c r="FK390" s="32"/>
      <c r="FL390" s="32"/>
      <c r="FM390" s="32"/>
      <c r="FN390" s="32"/>
      <c r="FO390" s="32"/>
      <c r="FP390" s="32"/>
      <c r="FQ390" s="32"/>
      <c r="FR390" s="32"/>
      <c r="FS390" s="32"/>
      <c r="FT390" s="32"/>
      <c r="FU390" s="32"/>
      <c r="FV390" s="32"/>
      <c r="FW390" s="32"/>
      <c r="FX390" s="32"/>
      <c r="FY390" s="32"/>
      <c r="FZ390" s="32"/>
      <c r="GA390" s="32"/>
      <c r="GB390" s="32"/>
      <c r="GC390" s="32"/>
      <c r="GD390" s="32"/>
      <c r="GE390" s="32"/>
      <c r="GF390" s="32"/>
      <c r="GG390" s="32"/>
      <c r="GH390" s="32"/>
      <c r="GI390" s="32"/>
      <c r="GJ390" s="32"/>
      <c r="GK390" s="32"/>
      <c r="GL390" s="32"/>
      <c r="GM390" s="32"/>
      <c r="GN390" s="32"/>
      <c r="GO390" s="32"/>
      <c r="GP390" s="32"/>
      <c r="GQ390" s="32"/>
      <c r="GR390" s="32"/>
      <c r="GS390" s="32"/>
      <c r="GT390" s="32"/>
      <c r="GU390" s="32"/>
      <c r="GV390" s="32"/>
      <c r="GW390" s="32"/>
      <c r="GX390" s="32"/>
      <c r="GY390" s="32"/>
      <c r="GZ390" s="32"/>
      <c r="HA390" s="32"/>
      <c r="HB390" s="32"/>
      <c r="HC390" s="32"/>
      <c r="HD390" s="32"/>
      <c r="HE390" s="32"/>
      <c r="HF390" s="32"/>
      <c r="HG390" s="32"/>
      <c r="HH390" s="32"/>
      <c r="HI390" s="32"/>
      <c r="HJ390" s="32"/>
      <c r="HK390" s="32"/>
      <c r="HL390" s="32"/>
      <c r="HM390" s="32"/>
      <c r="HN390" s="32"/>
      <c r="HO390" s="32"/>
      <c r="HP390" s="32"/>
    </row>
    <row r="391" spans="1:224" x14ac:dyDescent="0.25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  <c r="BF391" s="32"/>
      <c r="BG391" s="32"/>
      <c r="BH391" s="32"/>
      <c r="BI391" s="32"/>
      <c r="BJ391" s="32"/>
      <c r="BK391" s="32"/>
      <c r="BL391" s="32"/>
      <c r="BM391" s="32"/>
      <c r="BN391" s="32"/>
      <c r="BO391" s="32"/>
      <c r="BP391" s="32"/>
      <c r="BQ391" s="32"/>
      <c r="BR391" s="32"/>
      <c r="BS391" s="32"/>
      <c r="BT391" s="32"/>
      <c r="BU391" s="32"/>
      <c r="BV391" s="32"/>
      <c r="BW391" s="32"/>
      <c r="BX391" s="32"/>
      <c r="BY391" s="32"/>
      <c r="BZ391" s="32"/>
      <c r="CA391" s="32"/>
      <c r="CB391" s="32"/>
      <c r="CC391" s="32"/>
      <c r="CD391" s="32"/>
      <c r="CE391" s="32"/>
      <c r="CF391" s="32"/>
      <c r="CG391" s="32"/>
      <c r="CH391" s="32"/>
      <c r="CI391" s="32"/>
      <c r="CJ391" s="32"/>
      <c r="CK391" s="32"/>
      <c r="CL391" s="32"/>
      <c r="CM391" s="32"/>
      <c r="CN391" s="32"/>
      <c r="CO391" s="32"/>
      <c r="CP391" s="32"/>
      <c r="CQ391" s="32"/>
      <c r="CR391" s="32"/>
      <c r="CS391" s="32"/>
      <c r="CT391" s="32"/>
      <c r="CU391" s="32"/>
      <c r="CV391" s="32"/>
      <c r="CW391" s="32"/>
      <c r="CX391" s="32"/>
      <c r="CY391" s="32"/>
      <c r="CZ391" s="32"/>
      <c r="DA391" s="32"/>
      <c r="DB391" s="32"/>
      <c r="DC391" s="32"/>
      <c r="DD391" s="32"/>
      <c r="DE391" s="32"/>
      <c r="DF391" s="32"/>
      <c r="DG391" s="32"/>
      <c r="DH391" s="32"/>
      <c r="DI391" s="32"/>
      <c r="DJ391" s="32"/>
      <c r="DK391" s="32"/>
      <c r="DL391" s="32"/>
      <c r="DM391" s="32"/>
      <c r="DN391" s="32"/>
      <c r="DO391" s="32"/>
      <c r="DP391" s="32"/>
      <c r="DQ391" s="32"/>
      <c r="DR391" s="32"/>
      <c r="DS391" s="32"/>
      <c r="DT391" s="32"/>
      <c r="DU391" s="32"/>
      <c r="DV391" s="32"/>
      <c r="DW391" s="32"/>
      <c r="DX391" s="32"/>
      <c r="DY391" s="32"/>
      <c r="DZ391" s="32"/>
      <c r="EA391" s="32"/>
      <c r="EB391" s="32"/>
      <c r="EC391" s="32"/>
      <c r="ED391" s="32"/>
      <c r="EE391" s="32"/>
      <c r="EF391" s="32"/>
      <c r="EG391" s="32"/>
      <c r="EH391" s="32"/>
      <c r="EI391" s="32"/>
      <c r="EJ391" s="32"/>
      <c r="EK391" s="32"/>
      <c r="EL391" s="32"/>
      <c r="EM391" s="32"/>
      <c r="EN391" s="32"/>
      <c r="EO391" s="32"/>
      <c r="EP391" s="32"/>
      <c r="EQ391" s="32"/>
      <c r="ER391" s="32"/>
      <c r="ES391" s="32"/>
      <c r="ET391" s="32"/>
      <c r="EU391" s="32"/>
      <c r="EV391" s="32"/>
      <c r="EW391" s="32"/>
      <c r="EX391" s="32"/>
      <c r="EY391" s="32"/>
      <c r="EZ391" s="32"/>
      <c r="FA391" s="32"/>
      <c r="FB391" s="32"/>
      <c r="FC391" s="32"/>
      <c r="FD391" s="32"/>
      <c r="FE391" s="32"/>
      <c r="FF391" s="32"/>
      <c r="FG391" s="32"/>
      <c r="FH391" s="32"/>
      <c r="FI391" s="32"/>
      <c r="FJ391" s="32"/>
      <c r="FK391" s="32"/>
      <c r="FL391" s="32"/>
      <c r="FM391" s="32"/>
      <c r="FN391" s="32"/>
      <c r="FO391" s="32"/>
      <c r="FP391" s="32"/>
      <c r="FQ391" s="32"/>
      <c r="FR391" s="32"/>
      <c r="FS391" s="32"/>
      <c r="FT391" s="32"/>
      <c r="FU391" s="32"/>
      <c r="FV391" s="32"/>
      <c r="FW391" s="32"/>
      <c r="FX391" s="32"/>
      <c r="FY391" s="32"/>
      <c r="FZ391" s="32"/>
      <c r="GA391" s="32"/>
      <c r="GB391" s="32"/>
      <c r="GC391" s="32"/>
      <c r="GD391" s="32"/>
      <c r="GE391" s="32"/>
      <c r="GF391" s="32"/>
      <c r="GG391" s="32"/>
      <c r="GH391" s="32"/>
      <c r="GI391" s="32"/>
      <c r="GJ391" s="32"/>
      <c r="GK391" s="32"/>
      <c r="GL391" s="32"/>
      <c r="GM391" s="32"/>
      <c r="GN391" s="32"/>
      <c r="GO391" s="32"/>
      <c r="GP391" s="32"/>
      <c r="GQ391" s="32"/>
      <c r="GR391" s="32"/>
      <c r="GS391" s="32"/>
      <c r="GT391" s="32"/>
      <c r="GU391" s="32"/>
      <c r="GV391" s="32"/>
      <c r="GW391" s="32"/>
      <c r="GX391" s="32"/>
      <c r="GY391" s="32"/>
      <c r="GZ391" s="32"/>
      <c r="HA391" s="32"/>
      <c r="HB391" s="32"/>
      <c r="HC391" s="32"/>
      <c r="HD391" s="32"/>
      <c r="HE391" s="32"/>
      <c r="HF391" s="32"/>
      <c r="HG391" s="32"/>
      <c r="HH391" s="32"/>
      <c r="HI391" s="32"/>
      <c r="HJ391" s="32"/>
      <c r="HK391" s="32"/>
      <c r="HL391" s="32"/>
      <c r="HM391" s="32"/>
      <c r="HN391" s="32"/>
      <c r="HO391" s="32"/>
      <c r="HP391" s="32"/>
    </row>
    <row r="392" spans="1:224" x14ac:dyDescent="0.25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2"/>
      <c r="BF392" s="32"/>
      <c r="BG392" s="32"/>
      <c r="BH392" s="32"/>
      <c r="BI392" s="32"/>
      <c r="BJ392" s="32"/>
      <c r="BK392" s="32"/>
      <c r="BL392" s="32"/>
      <c r="BM392" s="32"/>
      <c r="BN392" s="32"/>
      <c r="BO392" s="32"/>
      <c r="BP392" s="32"/>
      <c r="BQ392" s="32"/>
      <c r="BR392" s="32"/>
      <c r="BS392" s="32"/>
      <c r="BT392" s="32"/>
      <c r="BU392" s="32"/>
      <c r="BV392" s="32"/>
      <c r="BW392" s="32"/>
      <c r="BX392" s="32"/>
      <c r="BY392" s="32"/>
      <c r="BZ392" s="32"/>
      <c r="CA392" s="32"/>
      <c r="CB392" s="32"/>
      <c r="CC392" s="32"/>
      <c r="CD392" s="32"/>
      <c r="CE392" s="32"/>
      <c r="CF392" s="32"/>
      <c r="CG392" s="32"/>
      <c r="CH392" s="32"/>
      <c r="CI392" s="32"/>
      <c r="CJ392" s="32"/>
      <c r="CK392" s="32"/>
      <c r="CL392" s="32"/>
      <c r="CM392" s="32"/>
      <c r="CN392" s="32"/>
      <c r="CO392" s="32"/>
      <c r="CP392" s="32"/>
      <c r="CQ392" s="32"/>
      <c r="CR392" s="32"/>
      <c r="CS392" s="32"/>
      <c r="CT392" s="32"/>
      <c r="CU392" s="32"/>
      <c r="CV392" s="32"/>
      <c r="CW392" s="32"/>
      <c r="CX392" s="32"/>
      <c r="CY392" s="32"/>
      <c r="CZ392" s="32"/>
      <c r="DA392" s="32"/>
      <c r="DB392" s="32"/>
      <c r="DC392" s="32"/>
      <c r="DD392" s="32"/>
      <c r="DE392" s="32"/>
      <c r="DF392" s="32"/>
      <c r="DG392" s="32"/>
      <c r="DH392" s="32"/>
      <c r="DI392" s="32"/>
      <c r="DJ392" s="32"/>
      <c r="DK392" s="32"/>
      <c r="DL392" s="32"/>
      <c r="DM392" s="32"/>
      <c r="DN392" s="32"/>
      <c r="DO392" s="32"/>
      <c r="DP392" s="32"/>
      <c r="DQ392" s="32"/>
      <c r="DR392" s="32"/>
      <c r="DS392" s="32"/>
      <c r="DT392" s="32"/>
      <c r="DU392" s="32"/>
      <c r="DV392" s="32"/>
      <c r="DW392" s="32"/>
      <c r="DX392" s="32"/>
      <c r="DY392" s="32"/>
      <c r="DZ392" s="32"/>
      <c r="EA392" s="32"/>
      <c r="EB392" s="32"/>
      <c r="EC392" s="32"/>
      <c r="ED392" s="32"/>
      <c r="EE392" s="32"/>
      <c r="EF392" s="32"/>
      <c r="EG392" s="32"/>
      <c r="EH392" s="32"/>
      <c r="EI392" s="32"/>
      <c r="EJ392" s="32"/>
      <c r="EK392" s="32"/>
      <c r="EL392" s="32"/>
      <c r="EM392" s="32"/>
      <c r="EN392" s="32"/>
      <c r="EO392" s="32"/>
      <c r="EP392" s="32"/>
      <c r="EQ392" s="32"/>
      <c r="ER392" s="32"/>
      <c r="ES392" s="32"/>
      <c r="ET392" s="32"/>
      <c r="EU392" s="32"/>
      <c r="EV392" s="32"/>
      <c r="EW392" s="32"/>
      <c r="EX392" s="32"/>
      <c r="EY392" s="32"/>
      <c r="EZ392" s="32"/>
      <c r="FA392" s="32"/>
      <c r="FB392" s="32"/>
      <c r="FC392" s="32"/>
      <c r="FD392" s="32"/>
      <c r="FE392" s="32"/>
      <c r="FF392" s="32"/>
      <c r="FG392" s="32"/>
      <c r="FH392" s="32"/>
      <c r="FI392" s="32"/>
      <c r="FJ392" s="32"/>
      <c r="FK392" s="32"/>
      <c r="FL392" s="32"/>
      <c r="FM392" s="32"/>
      <c r="FN392" s="32"/>
      <c r="FO392" s="32"/>
      <c r="FP392" s="32"/>
      <c r="FQ392" s="32"/>
      <c r="FR392" s="32"/>
      <c r="FS392" s="32"/>
      <c r="FT392" s="32"/>
      <c r="FU392" s="32"/>
      <c r="FV392" s="32"/>
      <c r="FW392" s="32"/>
      <c r="FX392" s="32"/>
      <c r="FY392" s="32"/>
      <c r="FZ392" s="32"/>
      <c r="GA392" s="32"/>
      <c r="GB392" s="32"/>
      <c r="GC392" s="32"/>
      <c r="GD392" s="32"/>
      <c r="GE392" s="32"/>
      <c r="GF392" s="32"/>
      <c r="GG392" s="32"/>
      <c r="GH392" s="32"/>
      <c r="GI392" s="32"/>
      <c r="GJ392" s="32"/>
      <c r="GK392" s="32"/>
      <c r="GL392" s="32"/>
      <c r="GM392" s="32"/>
      <c r="GN392" s="32"/>
      <c r="GO392" s="32"/>
      <c r="GP392" s="32"/>
      <c r="GQ392" s="32"/>
      <c r="GR392" s="32"/>
      <c r="GS392" s="32"/>
      <c r="GT392" s="32"/>
      <c r="GU392" s="32"/>
      <c r="GV392" s="32"/>
      <c r="GW392" s="32"/>
      <c r="GX392" s="32"/>
      <c r="GY392" s="32"/>
      <c r="GZ392" s="32"/>
      <c r="HA392" s="32"/>
      <c r="HB392" s="32"/>
      <c r="HC392" s="32"/>
      <c r="HD392" s="32"/>
      <c r="HE392" s="32"/>
      <c r="HF392" s="32"/>
      <c r="HG392" s="32"/>
      <c r="HH392" s="32"/>
      <c r="HI392" s="32"/>
      <c r="HJ392" s="32"/>
      <c r="HK392" s="32"/>
      <c r="HL392" s="32"/>
      <c r="HM392" s="32"/>
      <c r="HN392" s="32"/>
      <c r="HO392" s="32"/>
      <c r="HP392" s="32"/>
    </row>
    <row r="393" spans="1:224" x14ac:dyDescent="0.25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  <c r="BF393" s="32"/>
      <c r="BG393" s="32"/>
      <c r="BH393" s="32"/>
      <c r="BI393" s="32"/>
      <c r="BJ393" s="32"/>
      <c r="BK393" s="32"/>
      <c r="BL393" s="32"/>
      <c r="BM393" s="32"/>
      <c r="BN393" s="32"/>
      <c r="BO393" s="32"/>
      <c r="BP393" s="32"/>
      <c r="BQ393" s="32"/>
      <c r="BR393" s="32"/>
      <c r="BS393" s="32"/>
      <c r="BT393" s="32"/>
      <c r="BU393" s="32"/>
      <c r="BV393" s="32"/>
      <c r="BW393" s="32"/>
      <c r="BX393" s="32"/>
      <c r="BY393" s="32"/>
      <c r="BZ393" s="32"/>
      <c r="CA393" s="32"/>
      <c r="CB393" s="32"/>
      <c r="CC393" s="32"/>
      <c r="CD393" s="32"/>
      <c r="CE393" s="32"/>
      <c r="CF393" s="32"/>
      <c r="CG393" s="32"/>
      <c r="CH393" s="32"/>
      <c r="CI393" s="32"/>
      <c r="CJ393" s="32"/>
      <c r="CK393" s="32"/>
      <c r="CL393" s="32"/>
      <c r="CM393" s="32"/>
      <c r="CN393" s="32"/>
      <c r="CO393" s="32"/>
      <c r="CP393" s="32"/>
      <c r="CQ393" s="32"/>
      <c r="CR393" s="32"/>
      <c r="CS393" s="32"/>
      <c r="CT393" s="32"/>
      <c r="CU393" s="32"/>
      <c r="CV393" s="32"/>
      <c r="CW393" s="32"/>
      <c r="CX393" s="32"/>
      <c r="CY393" s="32"/>
      <c r="CZ393" s="32"/>
      <c r="DA393" s="32"/>
      <c r="DB393" s="32"/>
      <c r="DC393" s="32"/>
      <c r="DD393" s="32"/>
      <c r="DE393" s="32"/>
      <c r="DF393" s="32"/>
      <c r="DG393" s="32"/>
      <c r="DH393" s="32"/>
      <c r="DI393" s="32"/>
      <c r="DJ393" s="32"/>
      <c r="DK393" s="32"/>
      <c r="DL393" s="32"/>
      <c r="DM393" s="32"/>
      <c r="DN393" s="32"/>
      <c r="DO393" s="32"/>
      <c r="DP393" s="32"/>
      <c r="DQ393" s="32"/>
      <c r="DR393" s="32"/>
      <c r="DS393" s="32"/>
      <c r="DT393" s="32"/>
      <c r="DU393" s="32"/>
      <c r="DV393" s="32"/>
      <c r="DW393" s="32"/>
      <c r="DX393" s="32"/>
      <c r="DY393" s="32"/>
      <c r="DZ393" s="32"/>
      <c r="EA393" s="32"/>
      <c r="EB393" s="32"/>
      <c r="EC393" s="32"/>
      <c r="ED393" s="32"/>
      <c r="EE393" s="32"/>
      <c r="EF393" s="32"/>
      <c r="EG393" s="32"/>
      <c r="EH393" s="32"/>
      <c r="EI393" s="32"/>
      <c r="EJ393" s="32"/>
      <c r="EK393" s="32"/>
      <c r="EL393" s="32"/>
      <c r="EM393" s="32"/>
      <c r="EN393" s="32"/>
      <c r="EO393" s="32"/>
      <c r="EP393" s="32"/>
      <c r="EQ393" s="32"/>
      <c r="ER393" s="32"/>
      <c r="ES393" s="32"/>
      <c r="ET393" s="32"/>
      <c r="EU393" s="32"/>
      <c r="EV393" s="32"/>
      <c r="EW393" s="32"/>
      <c r="EX393" s="32"/>
      <c r="EY393" s="32"/>
      <c r="EZ393" s="32"/>
      <c r="FA393" s="32"/>
      <c r="FB393" s="32"/>
      <c r="FC393" s="32"/>
      <c r="FD393" s="32"/>
      <c r="FE393" s="32"/>
      <c r="FF393" s="32"/>
      <c r="FG393" s="32"/>
      <c r="FH393" s="32"/>
      <c r="FI393" s="32"/>
      <c r="FJ393" s="32"/>
      <c r="FK393" s="32"/>
      <c r="FL393" s="32"/>
      <c r="FM393" s="32"/>
      <c r="FN393" s="32"/>
      <c r="FO393" s="32"/>
      <c r="FP393" s="32"/>
      <c r="FQ393" s="32"/>
      <c r="FR393" s="32"/>
      <c r="FS393" s="32"/>
      <c r="FT393" s="32"/>
      <c r="FU393" s="32"/>
      <c r="FV393" s="32"/>
      <c r="FW393" s="32"/>
      <c r="FX393" s="32"/>
      <c r="FY393" s="32"/>
      <c r="FZ393" s="32"/>
      <c r="GA393" s="32"/>
      <c r="GB393" s="32"/>
      <c r="GC393" s="32"/>
      <c r="GD393" s="32"/>
      <c r="GE393" s="32"/>
      <c r="GF393" s="32"/>
      <c r="GG393" s="32"/>
      <c r="GH393" s="32"/>
      <c r="GI393" s="32"/>
      <c r="GJ393" s="32"/>
      <c r="GK393" s="32"/>
      <c r="GL393" s="32"/>
      <c r="GM393" s="32"/>
      <c r="GN393" s="32"/>
      <c r="GO393" s="32"/>
      <c r="GP393" s="32"/>
      <c r="GQ393" s="32"/>
      <c r="GR393" s="32"/>
      <c r="GS393" s="32"/>
      <c r="GT393" s="32"/>
      <c r="GU393" s="32"/>
      <c r="GV393" s="32"/>
      <c r="GW393" s="32"/>
      <c r="GX393" s="32"/>
      <c r="GY393" s="32"/>
      <c r="GZ393" s="32"/>
      <c r="HA393" s="32"/>
      <c r="HB393" s="32"/>
      <c r="HC393" s="32"/>
      <c r="HD393" s="32"/>
      <c r="HE393" s="32"/>
      <c r="HF393" s="32"/>
      <c r="HG393" s="32"/>
      <c r="HH393" s="32"/>
      <c r="HI393" s="32"/>
      <c r="HJ393" s="32"/>
      <c r="HK393" s="32"/>
      <c r="HL393" s="32"/>
      <c r="HM393" s="32"/>
      <c r="HN393" s="32"/>
      <c r="HO393" s="32"/>
      <c r="HP393" s="32"/>
    </row>
    <row r="394" spans="1:224" x14ac:dyDescent="0.25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  <c r="BE394" s="32"/>
      <c r="BF394" s="32"/>
      <c r="BG394" s="32"/>
      <c r="BH394" s="32"/>
      <c r="BI394" s="32"/>
      <c r="BJ394" s="32"/>
      <c r="BK394" s="32"/>
      <c r="BL394" s="32"/>
      <c r="BM394" s="32"/>
      <c r="BN394" s="32"/>
      <c r="BO394" s="32"/>
      <c r="BP394" s="32"/>
      <c r="BQ394" s="32"/>
      <c r="BR394" s="32"/>
      <c r="BS394" s="32"/>
      <c r="BT394" s="32"/>
      <c r="BU394" s="32"/>
      <c r="BV394" s="32"/>
      <c r="BW394" s="32"/>
      <c r="BX394" s="32"/>
      <c r="BY394" s="32"/>
      <c r="BZ394" s="32"/>
      <c r="CA394" s="32"/>
      <c r="CB394" s="32"/>
      <c r="CC394" s="32"/>
      <c r="CD394" s="32"/>
      <c r="CE394" s="32"/>
      <c r="CF394" s="32"/>
      <c r="CG394" s="32"/>
      <c r="CH394" s="32"/>
      <c r="CI394" s="32"/>
      <c r="CJ394" s="32"/>
      <c r="CK394" s="32"/>
      <c r="CL394" s="32"/>
      <c r="CM394" s="32"/>
      <c r="CN394" s="32"/>
      <c r="CO394" s="32"/>
      <c r="CP394" s="32"/>
      <c r="CQ394" s="32"/>
      <c r="CR394" s="32"/>
      <c r="CS394" s="32"/>
      <c r="CT394" s="32"/>
      <c r="CU394" s="32"/>
      <c r="CV394" s="32"/>
      <c r="CW394" s="32"/>
      <c r="CX394" s="32"/>
      <c r="CY394" s="32"/>
      <c r="CZ394" s="32"/>
      <c r="DA394" s="32"/>
      <c r="DB394" s="32"/>
      <c r="DC394" s="32"/>
      <c r="DD394" s="32"/>
      <c r="DE394" s="32"/>
      <c r="DF394" s="32"/>
      <c r="DG394" s="32"/>
      <c r="DH394" s="32"/>
      <c r="DI394" s="32"/>
      <c r="DJ394" s="32"/>
      <c r="DK394" s="32"/>
      <c r="DL394" s="32"/>
      <c r="DM394" s="32"/>
      <c r="DN394" s="32"/>
      <c r="DO394" s="32"/>
      <c r="DP394" s="32"/>
      <c r="DQ394" s="32"/>
      <c r="DR394" s="32"/>
      <c r="DS394" s="32"/>
      <c r="DT394" s="32"/>
      <c r="DU394" s="32"/>
      <c r="DV394" s="32"/>
      <c r="DW394" s="32"/>
      <c r="DX394" s="32"/>
      <c r="DY394" s="32"/>
      <c r="DZ394" s="32"/>
      <c r="EA394" s="32"/>
      <c r="EB394" s="32"/>
      <c r="EC394" s="32"/>
      <c r="ED394" s="32"/>
      <c r="EE394" s="32"/>
      <c r="EF394" s="32"/>
      <c r="EG394" s="32"/>
      <c r="EH394" s="32"/>
      <c r="EI394" s="32"/>
      <c r="EJ394" s="32"/>
      <c r="EK394" s="32"/>
      <c r="EL394" s="32"/>
      <c r="EM394" s="32"/>
      <c r="EN394" s="32"/>
      <c r="EO394" s="32"/>
      <c r="EP394" s="32"/>
      <c r="EQ394" s="32"/>
      <c r="ER394" s="32"/>
      <c r="ES394" s="32"/>
      <c r="ET394" s="32"/>
      <c r="EU394" s="32"/>
      <c r="EV394" s="32"/>
      <c r="EW394" s="32"/>
      <c r="EX394" s="32"/>
      <c r="EY394" s="32"/>
      <c r="EZ394" s="32"/>
      <c r="FA394" s="32"/>
      <c r="FB394" s="32"/>
      <c r="FC394" s="32"/>
      <c r="FD394" s="32"/>
      <c r="FE394" s="32"/>
      <c r="FF394" s="32"/>
      <c r="FG394" s="32"/>
      <c r="FH394" s="32"/>
      <c r="FI394" s="32"/>
      <c r="FJ394" s="32"/>
      <c r="FK394" s="32"/>
      <c r="FL394" s="32"/>
      <c r="FM394" s="32"/>
      <c r="FN394" s="32"/>
      <c r="FO394" s="32"/>
      <c r="FP394" s="32"/>
      <c r="FQ394" s="32"/>
      <c r="FR394" s="32"/>
      <c r="FS394" s="32"/>
      <c r="FT394" s="32"/>
      <c r="FU394" s="32"/>
      <c r="FV394" s="32"/>
      <c r="FW394" s="32"/>
      <c r="FX394" s="32"/>
      <c r="FY394" s="32"/>
      <c r="FZ394" s="32"/>
      <c r="GA394" s="32"/>
      <c r="GB394" s="32"/>
      <c r="GC394" s="32"/>
      <c r="GD394" s="32"/>
      <c r="GE394" s="32"/>
      <c r="GF394" s="32"/>
      <c r="GG394" s="32"/>
      <c r="GH394" s="32"/>
      <c r="GI394" s="32"/>
      <c r="GJ394" s="32"/>
      <c r="GK394" s="32"/>
      <c r="GL394" s="32"/>
      <c r="GM394" s="32"/>
      <c r="GN394" s="32"/>
      <c r="GO394" s="32"/>
      <c r="GP394" s="32"/>
      <c r="GQ394" s="32"/>
      <c r="GR394" s="32"/>
      <c r="GS394" s="32"/>
      <c r="GT394" s="32"/>
      <c r="GU394" s="32"/>
      <c r="GV394" s="32"/>
      <c r="GW394" s="32"/>
      <c r="GX394" s="32"/>
      <c r="GY394" s="32"/>
      <c r="GZ394" s="32"/>
      <c r="HA394" s="32"/>
      <c r="HB394" s="32"/>
      <c r="HC394" s="32"/>
      <c r="HD394" s="32"/>
      <c r="HE394" s="32"/>
      <c r="HF394" s="32"/>
      <c r="HG394" s="32"/>
      <c r="HH394" s="32"/>
      <c r="HI394" s="32"/>
      <c r="HJ394" s="32"/>
      <c r="HK394" s="32"/>
      <c r="HL394" s="32"/>
      <c r="HM394" s="32"/>
      <c r="HN394" s="32"/>
      <c r="HO394" s="32"/>
      <c r="HP394" s="32"/>
    </row>
    <row r="395" spans="1:224" x14ac:dyDescent="0.2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  <c r="BE395" s="32"/>
      <c r="BF395" s="32"/>
      <c r="BG395" s="32"/>
      <c r="BH395" s="32"/>
      <c r="BI395" s="32"/>
      <c r="BJ395" s="32"/>
      <c r="BK395" s="32"/>
      <c r="BL395" s="32"/>
      <c r="BM395" s="32"/>
      <c r="BN395" s="32"/>
      <c r="BO395" s="32"/>
      <c r="BP395" s="32"/>
      <c r="BQ395" s="32"/>
      <c r="BR395" s="32"/>
      <c r="BS395" s="32"/>
      <c r="BT395" s="32"/>
      <c r="BU395" s="32"/>
      <c r="BV395" s="32"/>
      <c r="BW395" s="32"/>
      <c r="BX395" s="32"/>
      <c r="BY395" s="32"/>
      <c r="BZ395" s="32"/>
      <c r="CA395" s="32"/>
      <c r="CB395" s="32"/>
      <c r="CC395" s="32"/>
      <c r="CD395" s="32"/>
      <c r="CE395" s="32"/>
      <c r="CF395" s="32"/>
      <c r="CG395" s="32"/>
      <c r="CH395" s="32"/>
      <c r="CI395" s="32"/>
      <c r="CJ395" s="32"/>
      <c r="CK395" s="32"/>
      <c r="CL395" s="32"/>
      <c r="CM395" s="32"/>
      <c r="CN395" s="32"/>
      <c r="CO395" s="32"/>
      <c r="CP395" s="32"/>
      <c r="CQ395" s="32"/>
      <c r="CR395" s="32"/>
      <c r="CS395" s="32"/>
      <c r="CT395" s="32"/>
      <c r="CU395" s="32"/>
      <c r="CV395" s="32"/>
      <c r="CW395" s="32"/>
      <c r="CX395" s="32"/>
      <c r="CY395" s="32"/>
      <c r="CZ395" s="32"/>
      <c r="DA395" s="32"/>
      <c r="DB395" s="32"/>
      <c r="DC395" s="32"/>
      <c r="DD395" s="32"/>
      <c r="DE395" s="32"/>
      <c r="DF395" s="32"/>
      <c r="DG395" s="32"/>
      <c r="DH395" s="32"/>
      <c r="DI395" s="32"/>
      <c r="DJ395" s="32"/>
      <c r="DK395" s="32"/>
      <c r="DL395" s="32"/>
      <c r="DM395" s="32"/>
      <c r="DN395" s="32"/>
      <c r="DO395" s="32"/>
      <c r="DP395" s="32"/>
      <c r="DQ395" s="32"/>
      <c r="DR395" s="32"/>
      <c r="DS395" s="32"/>
      <c r="DT395" s="32"/>
      <c r="DU395" s="32"/>
      <c r="DV395" s="32"/>
      <c r="DW395" s="32"/>
      <c r="DX395" s="32"/>
      <c r="DY395" s="32"/>
      <c r="DZ395" s="32"/>
      <c r="EA395" s="32"/>
      <c r="EB395" s="32"/>
      <c r="EC395" s="32"/>
      <c r="ED395" s="32"/>
      <c r="EE395" s="32"/>
      <c r="EF395" s="32"/>
      <c r="EG395" s="32"/>
      <c r="EH395" s="32"/>
      <c r="EI395" s="32"/>
      <c r="EJ395" s="32"/>
      <c r="EK395" s="32"/>
      <c r="EL395" s="32"/>
      <c r="EM395" s="32"/>
      <c r="EN395" s="32"/>
      <c r="EO395" s="32"/>
      <c r="EP395" s="32"/>
      <c r="EQ395" s="32"/>
      <c r="ER395" s="32"/>
      <c r="ES395" s="32"/>
      <c r="ET395" s="32"/>
      <c r="EU395" s="32"/>
      <c r="EV395" s="32"/>
      <c r="EW395" s="32"/>
      <c r="EX395" s="32"/>
      <c r="EY395" s="32"/>
      <c r="EZ395" s="32"/>
      <c r="FA395" s="32"/>
      <c r="FB395" s="32"/>
      <c r="FC395" s="32"/>
      <c r="FD395" s="32"/>
      <c r="FE395" s="32"/>
      <c r="FF395" s="32"/>
      <c r="FG395" s="32"/>
      <c r="FH395" s="32"/>
      <c r="FI395" s="32"/>
      <c r="FJ395" s="32"/>
      <c r="FK395" s="32"/>
      <c r="FL395" s="32"/>
      <c r="FM395" s="32"/>
      <c r="FN395" s="32"/>
      <c r="FO395" s="32"/>
      <c r="FP395" s="32"/>
      <c r="FQ395" s="32"/>
      <c r="FR395" s="32"/>
      <c r="FS395" s="32"/>
      <c r="FT395" s="32"/>
      <c r="FU395" s="32"/>
      <c r="FV395" s="32"/>
      <c r="FW395" s="32"/>
      <c r="FX395" s="32"/>
      <c r="FY395" s="32"/>
      <c r="FZ395" s="32"/>
      <c r="GA395" s="32"/>
      <c r="GB395" s="32"/>
      <c r="GC395" s="32"/>
      <c r="GD395" s="32"/>
      <c r="GE395" s="32"/>
      <c r="GF395" s="32"/>
      <c r="GG395" s="32"/>
      <c r="GH395" s="32"/>
      <c r="GI395" s="32"/>
      <c r="GJ395" s="32"/>
      <c r="GK395" s="32"/>
      <c r="GL395" s="32"/>
      <c r="GM395" s="32"/>
      <c r="GN395" s="32"/>
      <c r="GO395" s="32"/>
      <c r="GP395" s="32"/>
      <c r="GQ395" s="32"/>
      <c r="GR395" s="32"/>
      <c r="GS395" s="32"/>
      <c r="GT395" s="32"/>
      <c r="GU395" s="32"/>
      <c r="GV395" s="32"/>
      <c r="GW395" s="32"/>
      <c r="GX395" s="32"/>
      <c r="GY395" s="32"/>
      <c r="GZ395" s="32"/>
      <c r="HA395" s="32"/>
      <c r="HB395" s="32"/>
      <c r="HC395" s="32"/>
      <c r="HD395" s="32"/>
      <c r="HE395" s="32"/>
      <c r="HF395" s="32"/>
      <c r="HG395" s="32"/>
      <c r="HH395" s="32"/>
      <c r="HI395" s="32"/>
      <c r="HJ395" s="32"/>
      <c r="HK395" s="32"/>
      <c r="HL395" s="32"/>
      <c r="HM395" s="32"/>
      <c r="HN395" s="32"/>
      <c r="HO395" s="32"/>
      <c r="HP395" s="32"/>
    </row>
    <row r="396" spans="1:224" x14ac:dyDescent="0.25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  <c r="BE396" s="32"/>
      <c r="BF396" s="32"/>
      <c r="BG396" s="32"/>
      <c r="BH396" s="32"/>
      <c r="BI396" s="32"/>
      <c r="BJ396" s="32"/>
      <c r="BK396" s="32"/>
      <c r="BL396" s="32"/>
      <c r="BM396" s="32"/>
      <c r="BN396" s="32"/>
      <c r="BO396" s="32"/>
      <c r="BP396" s="32"/>
      <c r="BQ396" s="32"/>
      <c r="BR396" s="32"/>
      <c r="BS396" s="32"/>
      <c r="BT396" s="32"/>
      <c r="BU396" s="32"/>
      <c r="BV396" s="32"/>
      <c r="BW396" s="32"/>
      <c r="BX396" s="32"/>
      <c r="BY396" s="32"/>
      <c r="BZ396" s="32"/>
      <c r="CA396" s="32"/>
      <c r="CB396" s="32"/>
      <c r="CC396" s="32"/>
      <c r="CD396" s="32"/>
      <c r="CE396" s="32"/>
      <c r="CF396" s="32"/>
      <c r="CG396" s="32"/>
      <c r="CH396" s="32"/>
      <c r="CI396" s="32"/>
      <c r="CJ396" s="32"/>
      <c r="CK396" s="32"/>
      <c r="CL396" s="32"/>
      <c r="CM396" s="32"/>
      <c r="CN396" s="32"/>
      <c r="CO396" s="32"/>
      <c r="CP396" s="32"/>
      <c r="CQ396" s="32"/>
      <c r="CR396" s="32"/>
      <c r="CS396" s="32"/>
      <c r="CT396" s="32"/>
      <c r="CU396" s="32"/>
      <c r="CV396" s="32"/>
      <c r="CW396" s="32"/>
      <c r="CX396" s="32"/>
      <c r="CY396" s="32"/>
      <c r="CZ396" s="32"/>
      <c r="DA396" s="32"/>
      <c r="DB396" s="32"/>
      <c r="DC396" s="32"/>
      <c r="DD396" s="32"/>
      <c r="DE396" s="32"/>
      <c r="DF396" s="32"/>
      <c r="DG396" s="32"/>
      <c r="DH396" s="32"/>
      <c r="DI396" s="32"/>
      <c r="DJ396" s="32"/>
      <c r="DK396" s="32"/>
      <c r="DL396" s="32"/>
      <c r="DM396" s="32"/>
      <c r="DN396" s="32"/>
      <c r="DO396" s="32"/>
      <c r="DP396" s="32"/>
      <c r="DQ396" s="32"/>
      <c r="DR396" s="32"/>
      <c r="DS396" s="32"/>
      <c r="DT396" s="32"/>
      <c r="DU396" s="32"/>
      <c r="DV396" s="32"/>
      <c r="DW396" s="32"/>
      <c r="DX396" s="32"/>
      <c r="DY396" s="32"/>
      <c r="DZ396" s="32"/>
      <c r="EA396" s="32"/>
      <c r="EB396" s="32"/>
      <c r="EC396" s="32"/>
      <c r="ED396" s="32"/>
      <c r="EE396" s="32"/>
      <c r="EF396" s="32"/>
      <c r="EG396" s="32"/>
      <c r="EH396" s="32"/>
      <c r="EI396" s="32"/>
      <c r="EJ396" s="32"/>
      <c r="EK396" s="32"/>
      <c r="EL396" s="32"/>
      <c r="EM396" s="32"/>
      <c r="EN396" s="32"/>
      <c r="EO396" s="32"/>
      <c r="EP396" s="32"/>
      <c r="EQ396" s="32"/>
      <c r="ER396" s="32"/>
      <c r="ES396" s="32"/>
      <c r="ET396" s="32"/>
      <c r="EU396" s="32"/>
      <c r="EV396" s="32"/>
      <c r="EW396" s="32"/>
      <c r="EX396" s="32"/>
      <c r="EY396" s="32"/>
      <c r="EZ396" s="32"/>
      <c r="FA396" s="32"/>
      <c r="FB396" s="32"/>
      <c r="FC396" s="32"/>
      <c r="FD396" s="32"/>
      <c r="FE396" s="32"/>
      <c r="FF396" s="32"/>
      <c r="FG396" s="32"/>
      <c r="FH396" s="32"/>
      <c r="FI396" s="32"/>
      <c r="FJ396" s="32"/>
      <c r="FK396" s="32"/>
      <c r="FL396" s="32"/>
      <c r="FM396" s="32"/>
      <c r="FN396" s="32"/>
      <c r="FO396" s="32"/>
      <c r="FP396" s="32"/>
      <c r="FQ396" s="32"/>
      <c r="FR396" s="32"/>
      <c r="FS396" s="32"/>
      <c r="FT396" s="32"/>
      <c r="FU396" s="32"/>
      <c r="FV396" s="32"/>
      <c r="FW396" s="32"/>
      <c r="FX396" s="32"/>
      <c r="FY396" s="32"/>
      <c r="FZ396" s="32"/>
      <c r="GA396" s="32"/>
      <c r="GB396" s="32"/>
      <c r="GC396" s="32"/>
      <c r="GD396" s="32"/>
      <c r="GE396" s="32"/>
      <c r="GF396" s="32"/>
      <c r="GG396" s="32"/>
      <c r="GH396" s="32"/>
      <c r="GI396" s="32"/>
      <c r="GJ396" s="32"/>
      <c r="GK396" s="32"/>
      <c r="GL396" s="32"/>
      <c r="GM396" s="32"/>
      <c r="GN396" s="32"/>
      <c r="GO396" s="32"/>
      <c r="GP396" s="32"/>
      <c r="GQ396" s="32"/>
      <c r="GR396" s="32"/>
      <c r="GS396" s="32"/>
      <c r="GT396" s="32"/>
      <c r="GU396" s="32"/>
      <c r="GV396" s="32"/>
      <c r="GW396" s="32"/>
      <c r="GX396" s="32"/>
      <c r="GY396" s="32"/>
      <c r="GZ396" s="32"/>
      <c r="HA396" s="32"/>
      <c r="HB396" s="32"/>
      <c r="HC396" s="32"/>
      <c r="HD396" s="32"/>
      <c r="HE396" s="32"/>
      <c r="HF396" s="32"/>
      <c r="HG396" s="32"/>
      <c r="HH396" s="32"/>
      <c r="HI396" s="32"/>
      <c r="HJ396" s="32"/>
      <c r="HK396" s="32"/>
      <c r="HL396" s="32"/>
      <c r="HM396" s="32"/>
      <c r="HN396" s="32"/>
      <c r="HO396" s="32"/>
      <c r="HP396" s="32"/>
    </row>
    <row r="397" spans="1:224" x14ac:dyDescent="0.25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  <c r="BG397" s="32"/>
      <c r="BH397" s="32"/>
      <c r="BI397" s="32"/>
      <c r="BJ397" s="32"/>
      <c r="BK397" s="32"/>
      <c r="BL397" s="32"/>
      <c r="BM397" s="32"/>
      <c r="BN397" s="32"/>
      <c r="BO397" s="32"/>
      <c r="BP397" s="32"/>
      <c r="BQ397" s="32"/>
      <c r="BR397" s="32"/>
      <c r="BS397" s="32"/>
      <c r="BT397" s="32"/>
      <c r="BU397" s="32"/>
      <c r="BV397" s="32"/>
      <c r="BW397" s="32"/>
      <c r="BX397" s="32"/>
      <c r="BY397" s="32"/>
      <c r="BZ397" s="32"/>
      <c r="CA397" s="32"/>
      <c r="CB397" s="32"/>
      <c r="CC397" s="32"/>
      <c r="CD397" s="32"/>
      <c r="CE397" s="32"/>
      <c r="CF397" s="32"/>
      <c r="CG397" s="32"/>
      <c r="CH397" s="32"/>
      <c r="CI397" s="32"/>
      <c r="CJ397" s="32"/>
      <c r="CK397" s="32"/>
      <c r="CL397" s="32"/>
      <c r="CM397" s="32"/>
      <c r="CN397" s="32"/>
      <c r="CO397" s="32"/>
      <c r="CP397" s="32"/>
      <c r="CQ397" s="32"/>
      <c r="CR397" s="32"/>
      <c r="CS397" s="32"/>
      <c r="CT397" s="32"/>
      <c r="CU397" s="32"/>
      <c r="CV397" s="32"/>
      <c r="CW397" s="32"/>
      <c r="CX397" s="32"/>
      <c r="CY397" s="32"/>
      <c r="CZ397" s="32"/>
      <c r="DA397" s="32"/>
      <c r="DB397" s="32"/>
      <c r="DC397" s="32"/>
      <c r="DD397" s="32"/>
      <c r="DE397" s="32"/>
      <c r="DF397" s="32"/>
      <c r="DG397" s="32"/>
      <c r="DH397" s="32"/>
      <c r="DI397" s="32"/>
      <c r="DJ397" s="32"/>
      <c r="DK397" s="32"/>
      <c r="DL397" s="32"/>
      <c r="DM397" s="32"/>
      <c r="DN397" s="32"/>
      <c r="DO397" s="32"/>
      <c r="DP397" s="32"/>
      <c r="DQ397" s="32"/>
      <c r="DR397" s="32"/>
      <c r="DS397" s="32"/>
      <c r="DT397" s="32"/>
      <c r="DU397" s="32"/>
      <c r="DV397" s="32"/>
      <c r="DW397" s="32"/>
      <c r="DX397" s="32"/>
      <c r="DY397" s="32"/>
      <c r="DZ397" s="32"/>
      <c r="EA397" s="32"/>
      <c r="EB397" s="32"/>
      <c r="EC397" s="32"/>
      <c r="ED397" s="32"/>
      <c r="EE397" s="32"/>
      <c r="EF397" s="32"/>
      <c r="EG397" s="32"/>
      <c r="EH397" s="32"/>
      <c r="EI397" s="32"/>
      <c r="EJ397" s="32"/>
      <c r="EK397" s="32"/>
      <c r="EL397" s="32"/>
      <c r="EM397" s="32"/>
      <c r="EN397" s="32"/>
      <c r="EO397" s="32"/>
      <c r="EP397" s="32"/>
      <c r="EQ397" s="32"/>
      <c r="ER397" s="32"/>
      <c r="ES397" s="32"/>
      <c r="ET397" s="32"/>
      <c r="EU397" s="32"/>
      <c r="EV397" s="32"/>
      <c r="EW397" s="32"/>
      <c r="EX397" s="32"/>
      <c r="EY397" s="32"/>
      <c r="EZ397" s="32"/>
      <c r="FA397" s="32"/>
      <c r="FB397" s="32"/>
      <c r="FC397" s="32"/>
      <c r="FD397" s="32"/>
      <c r="FE397" s="32"/>
      <c r="FF397" s="32"/>
      <c r="FG397" s="32"/>
      <c r="FH397" s="32"/>
      <c r="FI397" s="32"/>
      <c r="FJ397" s="32"/>
      <c r="FK397" s="32"/>
      <c r="FL397" s="32"/>
      <c r="FM397" s="32"/>
      <c r="FN397" s="32"/>
      <c r="FO397" s="32"/>
      <c r="FP397" s="32"/>
      <c r="FQ397" s="32"/>
      <c r="FR397" s="32"/>
      <c r="FS397" s="32"/>
      <c r="FT397" s="32"/>
      <c r="FU397" s="32"/>
      <c r="FV397" s="32"/>
      <c r="FW397" s="32"/>
      <c r="FX397" s="32"/>
      <c r="FY397" s="32"/>
      <c r="FZ397" s="32"/>
      <c r="GA397" s="32"/>
      <c r="GB397" s="32"/>
      <c r="GC397" s="32"/>
      <c r="GD397" s="32"/>
      <c r="GE397" s="32"/>
      <c r="GF397" s="32"/>
      <c r="GG397" s="32"/>
      <c r="GH397" s="32"/>
      <c r="GI397" s="32"/>
      <c r="GJ397" s="32"/>
      <c r="GK397" s="32"/>
      <c r="GL397" s="32"/>
      <c r="GM397" s="32"/>
      <c r="GN397" s="32"/>
      <c r="GO397" s="32"/>
      <c r="GP397" s="32"/>
      <c r="GQ397" s="32"/>
      <c r="GR397" s="32"/>
      <c r="GS397" s="32"/>
      <c r="GT397" s="32"/>
      <c r="GU397" s="32"/>
      <c r="GV397" s="32"/>
      <c r="GW397" s="32"/>
      <c r="GX397" s="32"/>
      <c r="GY397" s="32"/>
      <c r="GZ397" s="32"/>
      <c r="HA397" s="32"/>
      <c r="HB397" s="32"/>
      <c r="HC397" s="32"/>
      <c r="HD397" s="32"/>
      <c r="HE397" s="32"/>
      <c r="HF397" s="32"/>
      <c r="HG397" s="32"/>
      <c r="HH397" s="32"/>
      <c r="HI397" s="32"/>
      <c r="HJ397" s="32"/>
      <c r="HK397" s="32"/>
      <c r="HL397" s="32"/>
      <c r="HM397" s="32"/>
      <c r="HN397" s="32"/>
      <c r="HO397" s="32"/>
      <c r="HP397" s="32"/>
    </row>
    <row r="398" spans="1:224" x14ac:dyDescent="0.25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  <c r="BF398" s="32"/>
      <c r="BG398" s="32"/>
      <c r="BH398" s="32"/>
      <c r="BI398" s="32"/>
      <c r="BJ398" s="32"/>
      <c r="BK398" s="32"/>
      <c r="BL398" s="32"/>
      <c r="BM398" s="32"/>
      <c r="BN398" s="32"/>
      <c r="BO398" s="32"/>
      <c r="BP398" s="32"/>
      <c r="BQ398" s="32"/>
      <c r="BR398" s="32"/>
      <c r="BS398" s="32"/>
      <c r="BT398" s="32"/>
      <c r="BU398" s="32"/>
      <c r="BV398" s="32"/>
      <c r="BW398" s="32"/>
      <c r="BX398" s="32"/>
      <c r="BY398" s="32"/>
      <c r="BZ398" s="32"/>
      <c r="CA398" s="32"/>
      <c r="CB398" s="32"/>
      <c r="CC398" s="32"/>
      <c r="CD398" s="32"/>
      <c r="CE398" s="32"/>
      <c r="CF398" s="32"/>
      <c r="CG398" s="32"/>
      <c r="CH398" s="32"/>
      <c r="CI398" s="32"/>
      <c r="CJ398" s="32"/>
      <c r="CK398" s="32"/>
      <c r="CL398" s="32"/>
      <c r="CM398" s="32"/>
      <c r="CN398" s="32"/>
      <c r="CO398" s="32"/>
      <c r="CP398" s="32"/>
      <c r="CQ398" s="32"/>
      <c r="CR398" s="32"/>
      <c r="CS398" s="32"/>
      <c r="CT398" s="32"/>
      <c r="CU398" s="32"/>
      <c r="CV398" s="32"/>
      <c r="CW398" s="32"/>
      <c r="CX398" s="32"/>
      <c r="CY398" s="32"/>
      <c r="CZ398" s="32"/>
      <c r="DA398" s="32"/>
      <c r="DB398" s="32"/>
      <c r="DC398" s="32"/>
      <c r="DD398" s="32"/>
      <c r="DE398" s="32"/>
      <c r="DF398" s="32"/>
      <c r="DG398" s="32"/>
      <c r="DH398" s="32"/>
      <c r="DI398" s="32"/>
      <c r="DJ398" s="32"/>
      <c r="DK398" s="32"/>
      <c r="DL398" s="32"/>
      <c r="DM398" s="32"/>
      <c r="DN398" s="32"/>
      <c r="DO398" s="32"/>
      <c r="DP398" s="32"/>
      <c r="DQ398" s="32"/>
      <c r="DR398" s="32"/>
      <c r="DS398" s="32"/>
      <c r="DT398" s="32"/>
      <c r="DU398" s="32"/>
      <c r="DV398" s="32"/>
      <c r="DW398" s="32"/>
      <c r="DX398" s="32"/>
      <c r="DY398" s="32"/>
      <c r="DZ398" s="32"/>
      <c r="EA398" s="32"/>
      <c r="EB398" s="32"/>
      <c r="EC398" s="32"/>
      <c r="ED398" s="32"/>
      <c r="EE398" s="32"/>
      <c r="EF398" s="32"/>
      <c r="EG398" s="32"/>
      <c r="EH398" s="32"/>
      <c r="EI398" s="32"/>
      <c r="EJ398" s="32"/>
      <c r="EK398" s="32"/>
      <c r="EL398" s="32"/>
      <c r="EM398" s="32"/>
      <c r="EN398" s="32"/>
      <c r="EO398" s="32"/>
      <c r="EP398" s="32"/>
      <c r="EQ398" s="32"/>
      <c r="ER398" s="32"/>
      <c r="ES398" s="32"/>
      <c r="ET398" s="32"/>
      <c r="EU398" s="32"/>
      <c r="EV398" s="32"/>
      <c r="EW398" s="32"/>
      <c r="EX398" s="32"/>
      <c r="EY398" s="32"/>
      <c r="EZ398" s="32"/>
      <c r="FA398" s="32"/>
      <c r="FB398" s="32"/>
      <c r="FC398" s="32"/>
      <c r="FD398" s="32"/>
      <c r="FE398" s="32"/>
      <c r="FF398" s="32"/>
      <c r="FG398" s="32"/>
      <c r="FH398" s="32"/>
      <c r="FI398" s="32"/>
      <c r="FJ398" s="32"/>
      <c r="FK398" s="32"/>
      <c r="FL398" s="32"/>
      <c r="FM398" s="32"/>
      <c r="FN398" s="32"/>
      <c r="FO398" s="32"/>
      <c r="FP398" s="32"/>
      <c r="FQ398" s="32"/>
      <c r="FR398" s="32"/>
      <c r="FS398" s="32"/>
      <c r="FT398" s="32"/>
      <c r="FU398" s="32"/>
      <c r="FV398" s="32"/>
      <c r="FW398" s="32"/>
      <c r="FX398" s="32"/>
      <c r="FY398" s="32"/>
      <c r="FZ398" s="32"/>
      <c r="GA398" s="32"/>
      <c r="GB398" s="32"/>
      <c r="GC398" s="32"/>
      <c r="GD398" s="32"/>
      <c r="GE398" s="32"/>
      <c r="GF398" s="32"/>
      <c r="GG398" s="32"/>
      <c r="GH398" s="32"/>
      <c r="GI398" s="32"/>
      <c r="GJ398" s="32"/>
      <c r="GK398" s="32"/>
      <c r="GL398" s="32"/>
      <c r="GM398" s="32"/>
      <c r="GN398" s="32"/>
      <c r="GO398" s="32"/>
      <c r="GP398" s="32"/>
      <c r="GQ398" s="32"/>
      <c r="GR398" s="32"/>
      <c r="GS398" s="32"/>
      <c r="GT398" s="32"/>
      <c r="GU398" s="32"/>
      <c r="GV398" s="32"/>
      <c r="GW398" s="32"/>
      <c r="GX398" s="32"/>
      <c r="GY398" s="32"/>
      <c r="GZ398" s="32"/>
      <c r="HA398" s="32"/>
      <c r="HB398" s="32"/>
      <c r="HC398" s="32"/>
      <c r="HD398" s="32"/>
      <c r="HE398" s="32"/>
      <c r="HF398" s="32"/>
      <c r="HG398" s="32"/>
      <c r="HH398" s="32"/>
      <c r="HI398" s="32"/>
      <c r="HJ398" s="32"/>
      <c r="HK398" s="32"/>
      <c r="HL398" s="32"/>
      <c r="HM398" s="32"/>
      <c r="HN398" s="32"/>
      <c r="HO398" s="32"/>
      <c r="HP398" s="32"/>
    </row>
    <row r="399" spans="1:224" x14ac:dyDescent="0.25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  <c r="BF399" s="32"/>
      <c r="BG399" s="32"/>
      <c r="BH399" s="32"/>
      <c r="BI399" s="32"/>
      <c r="BJ399" s="32"/>
      <c r="BK399" s="32"/>
      <c r="BL399" s="32"/>
      <c r="BM399" s="32"/>
      <c r="BN399" s="32"/>
      <c r="BO399" s="32"/>
      <c r="BP399" s="32"/>
      <c r="BQ399" s="32"/>
      <c r="BR399" s="32"/>
      <c r="BS399" s="32"/>
      <c r="BT399" s="32"/>
      <c r="BU399" s="32"/>
      <c r="BV399" s="32"/>
      <c r="BW399" s="32"/>
      <c r="BX399" s="32"/>
      <c r="BY399" s="32"/>
      <c r="BZ399" s="32"/>
      <c r="CA399" s="32"/>
      <c r="CB399" s="32"/>
      <c r="CC399" s="32"/>
      <c r="CD399" s="32"/>
      <c r="CE399" s="32"/>
      <c r="CF399" s="32"/>
      <c r="CG399" s="32"/>
      <c r="CH399" s="32"/>
      <c r="CI399" s="32"/>
      <c r="CJ399" s="32"/>
      <c r="CK399" s="32"/>
      <c r="CL399" s="32"/>
      <c r="CM399" s="32"/>
      <c r="CN399" s="32"/>
      <c r="CO399" s="32"/>
      <c r="CP399" s="32"/>
      <c r="CQ399" s="32"/>
      <c r="CR399" s="32"/>
      <c r="CS399" s="32"/>
      <c r="CT399" s="32"/>
      <c r="CU399" s="32"/>
      <c r="CV399" s="32"/>
      <c r="CW399" s="32"/>
      <c r="CX399" s="32"/>
      <c r="CY399" s="32"/>
      <c r="CZ399" s="32"/>
      <c r="DA399" s="32"/>
      <c r="DB399" s="32"/>
      <c r="DC399" s="32"/>
      <c r="DD399" s="32"/>
      <c r="DE399" s="32"/>
      <c r="DF399" s="32"/>
      <c r="DG399" s="32"/>
      <c r="DH399" s="32"/>
      <c r="DI399" s="32"/>
      <c r="DJ399" s="32"/>
      <c r="DK399" s="32"/>
      <c r="DL399" s="32"/>
      <c r="DM399" s="32"/>
      <c r="DN399" s="32"/>
      <c r="DO399" s="32"/>
      <c r="DP399" s="32"/>
      <c r="DQ399" s="32"/>
      <c r="DR399" s="32"/>
      <c r="DS399" s="32"/>
      <c r="DT399" s="32"/>
      <c r="DU399" s="32"/>
      <c r="DV399" s="32"/>
      <c r="DW399" s="32"/>
      <c r="DX399" s="32"/>
      <c r="DY399" s="32"/>
      <c r="DZ399" s="32"/>
      <c r="EA399" s="32"/>
      <c r="EB399" s="32"/>
      <c r="EC399" s="32"/>
      <c r="ED399" s="32"/>
      <c r="EE399" s="32"/>
      <c r="EF399" s="32"/>
      <c r="EG399" s="32"/>
      <c r="EH399" s="32"/>
      <c r="EI399" s="32"/>
      <c r="EJ399" s="32"/>
      <c r="EK399" s="32"/>
      <c r="EL399" s="32"/>
      <c r="EM399" s="32"/>
      <c r="EN399" s="32"/>
      <c r="EO399" s="32"/>
      <c r="EP399" s="32"/>
      <c r="EQ399" s="32"/>
      <c r="ER399" s="32"/>
      <c r="ES399" s="32"/>
      <c r="ET399" s="32"/>
      <c r="EU399" s="32"/>
      <c r="EV399" s="32"/>
      <c r="EW399" s="32"/>
      <c r="EX399" s="32"/>
      <c r="EY399" s="32"/>
      <c r="EZ399" s="32"/>
      <c r="FA399" s="32"/>
      <c r="FB399" s="32"/>
      <c r="FC399" s="32"/>
      <c r="FD399" s="32"/>
      <c r="FE399" s="32"/>
      <c r="FF399" s="32"/>
      <c r="FG399" s="32"/>
      <c r="FH399" s="32"/>
      <c r="FI399" s="32"/>
      <c r="FJ399" s="32"/>
      <c r="FK399" s="32"/>
      <c r="FL399" s="32"/>
      <c r="FM399" s="32"/>
      <c r="FN399" s="32"/>
      <c r="FO399" s="32"/>
      <c r="FP399" s="32"/>
      <c r="FQ399" s="32"/>
      <c r="FR399" s="32"/>
      <c r="FS399" s="32"/>
      <c r="FT399" s="32"/>
      <c r="FU399" s="32"/>
      <c r="FV399" s="32"/>
      <c r="FW399" s="32"/>
      <c r="FX399" s="32"/>
      <c r="FY399" s="32"/>
      <c r="FZ399" s="32"/>
      <c r="GA399" s="32"/>
      <c r="GB399" s="32"/>
      <c r="GC399" s="32"/>
      <c r="GD399" s="32"/>
      <c r="GE399" s="32"/>
      <c r="GF399" s="32"/>
      <c r="GG399" s="32"/>
      <c r="GH399" s="32"/>
      <c r="GI399" s="32"/>
      <c r="GJ399" s="32"/>
      <c r="GK399" s="32"/>
      <c r="GL399" s="32"/>
      <c r="GM399" s="32"/>
      <c r="GN399" s="32"/>
      <c r="GO399" s="32"/>
      <c r="GP399" s="32"/>
      <c r="GQ399" s="32"/>
      <c r="GR399" s="32"/>
      <c r="GS399" s="32"/>
      <c r="GT399" s="32"/>
      <c r="GU399" s="32"/>
      <c r="GV399" s="32"/>
      <c r="GW399" s="32"/>
      <c r="GX399" s="32"/>
      <c r="GY399" s="32"/>
      <c r="GZ399" s="32"/>
      <c r="HA399" s="32"/>
      <c r="HB399" s="32"/>
      <c r="HC399" s="32"/>
      <c r="HD399" s="32"/>
      <c r="HE399" s="32"/>
      <c r="HF399" s="32"/>
      <c r="HG399" s="32"/>
      <c r="HH399" s="32"/>
      <c r="HI399" s="32"/>
      <c r="HJ399" s="32"/>
      <c r="HK399" s="32"/>
      <c r="HL399" s="32"/>
      <c r="HM399" s="32"/>
      <c r="HN399" s="32"/>
      <c r="HO399" s="32"/>
      <c r="HP399" s="32"/>
    </row>
    <row r="400" spans="1:224" x14ac:dyDescent="0.25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  <c r="BE400" s="32"/>
      <c r="BF400" s="32"/>
      <c r="BG400" s="32"/>
      <c r="BH400" s="32"/>
      <c r="BI400" s="32"/>
      <c r="BJ400" s="32"/>
      <c r="BK400" s="32"/>
      <c r="BL400" s="32"/>
      <c r="BM400" s="32"/>
      <c r="BN400" s="32"/>
      <c r="BO400" s="32"/>
      <c r="BP400" s="32"/>
      <c r="BQ400" s="32"/>
      <c r="BR400" s="32"/>
      <c r="BS400" s="32"/>
      <c r="BT400" s="32"/>
      <c r="BU400" s="32"/>
      <c r="BV400" s="32"/>
      <c r="BW400" s="32"/>
      <c r="BX400" s="32"/>
      <c r="BY400" s="32"/>
      <c r="BZ400" s="32"/>
      <c r="CA400" s="32"/>
      <c r="CB400" s="32"/>
      <c r="CC400" s="32"/>
      <c r="CD400" s="32"/>
      <c r="CE400" s="32"/>
      <c r="CF400" s="32"/>
      <c r="CG400" s="32"/>
      <c r="CH400" s="32"/>
      <c r="CI400" s="32"/>
      <c r="CJ400" s="32"/>
      <c r="CK400" s="32"/>
      <c r="CL400" s="32"/>
      <c r="CM400" s="32"/>
      <c r="CN400" s="32"/>
      <c r="CO400" s="32"/>
      <c r="CP400" s="32"/>
      <c r="CQ400" s="32"/>
      <c r="CR400" s="32"/>
      <c r="CS400" s="32"/>
      <c r="CT400" s="32"/>
      <c r="CU400" s="32"/>
      <c r="CV400" s="32"/>
      <c r="CW400" s="32"/>
      <c r="CX400" s="32"/>
      <c r="CY400" s="32"/>
      <c r="CZ400" s="32"/>
      <c r="DA400" s="32"/>
      <c r="DB400" s="32"/>
      <c r="DC400" s="32"/>
      <c r="DD400" s="32"/>
      <c r="DE400" s="32"/>
      <c r="DF400" s="32"/>
      <c r="DG400" s="32"/>
      <c r="DH400" s="32"/>
      <c r="DI400" s="32"/>
      <c r="DJ400" s="32"/>
      <c r="DK400" s="32"/>
      <c r="DL400" s="32"/>
      <c r="DM400" s="32"/>
      <c r="DN400" s="32"/>
      <c r="DO400" s="32"/>
      <c r="DP400" s="32"/>
      <c r="DQ400" s="32"/>
      <c r="DR400" s="32"/>
      <c r="DS400" s="32"/>
      <c r="DT400" s="32"/>
      <c r="DU400" s="32"/>
      <c r="DV400" s="32"/>
      <c r="DW400" s="32"/>
      <c r="DX400" s="32"/>
      <c r="DY400" s="32"/>
      <c r="DZ400" s="32"/>
      <c r="EA400" s="32"/>
      <c r="EB400" s="32"/>
      <c r="EC400" s="32"/>
      <c r="ED400" s="32"/>
      <c r="EE400" s="32"/>
      <c r="EF400" s="32"/>
      <c r="EG400" s="32"/>
      <c r="EH400" s="32"/>
      <c r="EI400" s="32"/>
      <c r="EJ400" s="32"/>
      <c r="EK400" s="32"/>
      <c r="EL400" s="32"/>
      <c r="EM400" s="32"/>
      <c r="EN400" s="32"/>
      <c r="EO400" s="32"/>
      <c r="EP400" s="32"/>
      <c r="EQ400" s="32"/>
      <c r="ER400" s="32"/>
      <c r="ES400" s="32"/>
      <c r="ET400" s="32"/>
      <c r="EU400" s="32"/>
      <c r="EV400" s="32"/>
      <c r="EW400" s="32"/>
      <c r="EX400" s="32"/>
      <c r="EY400" s="32"/>
      <c r="EZ400" s="32"/>
      <c r="FA400" s="32"/>
      <c r="FB400" s="32"/>
      <c r="FC400" s="32"/>
      <c r="FD400" s="32"/>
      <c r="FE400" s="32"/>
      <c r="FF400" s="32"/>
      <c r="FG400" s="32"/>
      <c r="FH400" s="32"/>
      <c r="FI400" s="32"/>
      <c r="FJ400" s="32"/>
      <c r="FK400" s="32"/>
      <c r="FL400" s="32"/>
      <c r="FM400" s="32"/>
      <c r="FN400" s="32"/>
      <c r="FO400" s="32"/>
      <c r="FP400" s="32"/>
      <c r="FQ400" s="32"/>
      <c r="FR400" s="32"/>
      <c r="FS400" s="32"/>
      <c r="FT400" s="32"/>
      <c r="FU400" s="32"/>
      <c r="FV400" s="32"/>
      <c r="FW400" s="32"/>
      <c r="FX400" s="32"/>
      <c r="FY400" s="32"/>
      <c r="FZ400" s="32"/>
      <c r="GA400" s="32"/>
      <c r="GB400" s="32"/>
      <c r="GC400" s="32"/>
      <c r="GD400" s="32"/>
      <c r="GE400" s="32"/>
      <c r="GF400" s="32"/>
      <c r="GG400" s="32"/>
      <c r="GH400" s="32"/>
      <c r="GI400" s="32"/>
      <c r="GJ400" s="32"/>
      <c r="GK400" s="32"/>
      <c r="GL400" s="32"/>
      <c r="GM400" s="32"/>
      <c r="GN400" s="32"/>
      <c r="GO400" s="32"/>
      <c r="GP400" s="32"/>
      <c r="GQ400" s="32"/>
      <c r="GR400" s="32"/>
      <c r="GS400" s="32"/>
      <c r="GT400" s="32"/>
      <c r="GU400" s="32"/>
      <c r="GV400" s="32"/>
      <c r="GW400" s="32"/>
      <c r="GX400" s="32"/>
      <c r="GY400" s="32"/>
      <c r="GZ400" s="32"/>
      <c r="HA400" s="32"/>
      <c r="HB400" s="32"/>
      <c r="HC400" s="32"/>
      <c r="HD400" s="32"/>
      <c r="HE400" s="32"/>
      <c r="HF400" s="32"/>
      <c r="HG400" s="32"/>
      <c r="HH400" s="32"/>
      <c r="HI400" s="32"/>
      <c r="HJ400" s="32"/>
      <c r="HK400" s="32"/>
      <c r="HL400" s="32"/>
      <c r="HM400" s="32"/>
      <c r="HN400" s="32"/>
      <c r="HO400" s="32"/>
      <c r="HP400" s="32"/>
    </row>
    <row r="401" spans="1:224" x14ac:dyDescent="0.25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  <c r="BE401" s="32"/>
      <c r="BF401" s="32"/>
      <c r="BG401" s="32"/>
      <c r="BH401" s="32"/>
      <c r="BI401" s="32"/>
      <c r="BJ401" s="32"/>
      <c r="BK401" s="32"/>
      <c r="BL401" s="32"/>
      <c r="BM401" s="32"/>
      <c r="BN401" s="32"/>
      <c r="BO401" s="32"/>
      <c r="BP401" s="32"/>
      <c r="BQ401" s="32"/>
      <c r="BR401" s="32"/>
      <c r="BS401" s="32"/>
      <c r="BT401" s="32"/>
      <c r="BU401" s="32"/>
      <c r="BV401" s="32"/>
      <c r="BW401" s="32"/>
      <c r="BX401" s="32"/>
      <c r="BY401" s="32"/>
      <c r="BZ401" s="32"/>
      <c r="CA401" s="32"/>
      <c r="CB401" s="32"/>
      <c r="CC401" s="32"/>
      <c r="CD401" s="32"/>
      <c r="CE401" s="32"/>
      <c r="CF401" s="32"/>
      <c r="CG401" s="32"/>
      <c r="CH401" s="32"/>
      <c r="CI401" s="32"/>
      <c r="CJ401" s="32"/>
      <c r="CK401" s="32"/>
      <c r="CL401" s="32"/>
      <c r="CM401" s="32"/>
      <c r="CN401" s="32"/>
      <c r="CO401" s="32"/>
      <c r="CP401" s="32"/>
      <c r="CQ401" s="32"/>
      <c r="CR401" s="32"/>
      <c r="CS401" s="32"/>
      <c r="CT401" s="32"/>
      <c r="CU401" s="32"/>
      <c r="CV401" s="32"/>
      <c r="CW401" s="32"/>
      <c r="CX401" s="32"/>
      <c r="CY401" s="32"/>
      <c r="CZ401" s="32"/>
      <c r="DA401" s="32"/>
      <c r="DB401" s="32"/>
      <c r="DC401" s="32"/>
      <c r="DD401" s="32"/>
      <c r="DE401" s="32"/>
      <c r="DF401" s="32"/>
      <c r="DG401" s="32"/>
      <c r="DH401" s="32"/>
      <c r="DI401" s="32"/>
      <c r="DJ401" s="32"/>
      <c r="DK401" s="32"/>
      <c r="DL401" s="32"/>
      <c r="DM401" s="32"/>
      <c r="DN401" s="32"/>
      <c r="DO401" s="32"/>
      <c r="DP401" s="32"/>
      <c r="DQ401" s="32"/>
      <c r="DR401" s="32"/>
      <c r="DS401" s="32"/>
      <c r="DT401" s="32"/>
      <c r="DU401" s="32"/>
      <c r="DV401" s="32"/>
      <c r="DW401" s="32"/>
      <c r="DX401" s="32"/>
      <c r="DY401" s="32"/>
      <c r="DZ401" s="32"/>
      <c r="EA401" s="32"/>
      <c r="EB401" s="32"/>
      <c r="EC401" s="32"/>
      <c r="ED401" s="32"/>
      <c r="EE401" s="32"/>
      <c r="EF401" s="32"/>
      <c r="EG401" s="32"/>
      <c r="EH401" s="32"/>
      <c r="EI401" s="32"/>
      <c r="EJ401" s="32"/>
      <c r="EK401" s="32"/>
      <c r="EL401" s="32"/>
      <c r="EM401" s="32"/>
      <c r="EN401" s="32"/>
      <c r="EO401" s="32"/>
      <c r="EP401" s="32"/>
      <c r="EQ401" s="32"/>
      <c r="ER401" s="32"/>
      <c r="ES401" s="32"/>
      <c r="ET401" s="32"/>
      <c r="EU401" s="32"/>
      <c r="EV401" s="32"/>
      <c r="EW401" s="32"/>
      <c r="EX401" s="32"/>
      <c r="EY401" s="32"/>
      <c r="EZ401" s="32"/>
      <c r="FA401" s="32"/>
      <c r="FB401" s="32"/>
      <c r="FC401" s="32"/>
      <c r="FD401" s="32"/>
      <c r="FE401" s="32"/>
      <c r="FF401" s="32"/>
      <c r="FG401" s="32"/>
      <c r="FH401" s="32"/>
      <c r="FI401" s="32"/>
      <c r="FJ401" s="32"/>
      <c r="FK401" s="32"/>
      <c r="FL401" s="32"/>
      <c r="FM401" s="32"/>
      <c r="FN401" s="32"/>
      <c r="FO401" s="32"/>
      <c r="FP401" s="32"/>
      <c r="FQ401" s="32"/>
      <c r="FR401" s="32"/>
      <c r="FS401" s="32"/>
      <c r="FT401" s="32"/>
      <c r="FU401" s="32"/>
      <c r="FV401" s="32"/>
      <c r="FW401" s="32"/>
      <c r="FX401" s="32"/>
      <c r="FY401" s="32"/>
      <c r="FZ401" s="32"/>
      <c r="GA401" s="32"/>
      <c r="GB401" s="32"/>
      <c r="GC401" s="32"/>
      <c r="GD401" s="32"/>
      <c r="GE401" s="32"/>
      <c r="GF401" s="32"/>
      <c r="GG401" s="32"/>
      <c r="GH401" s="32"/>
      <c r="GI401" s="32"/>
      <c r="GJ401" s="32"/>
      <c r="GK401" s="32"/>
      <c r="GL401" s="32"/>
      <c r="GM401" s="32"/>
      <c r="GN401" s="32"/>
      <c r="GO401" s="32"/>
      <c r="GP401" s="32"/>
      <c r="GQ401" s="32"/>
      <c r="GR401" s="32"/>
      <c r="GS401" s="32"/>
      <c r="GT401" s="32"/>
      <c r="GU401" s="32"/>
      <c r="GV401" s="32"/>
      <c r="GW401" s="32"/>
      <c r="GX401" s="32"/>
      <c r="GY401" s="32"/>
      <c r="GZ401" s="32"/>
      <c r="HA401" s="32"/>
      <c r="HB401" s="32"/>
      <c r="HC401" s="32"/>
      <c r="HD401" s="32"/>
      <c r="HE401" s="32"/>
      <c r="HF401" s="32"/>
      <c r="HG401" s="32"/>
      <c r="HH401" s="32"/>
      <c r="HI401" s="32"/>
      <c r="HJ401" s="32"/>
      <c r="HK401" s="32"/>
      <c r="HL401" s="32"/>
      <c r="HM401" s="32"/>
      <c r="HN401" s="32"/>
      <c r="HO401" s="32"/>
      <c r="HP401" s="32"/>
    </row>
    <row r="402" spans="1:224" x14ac:dyDescent="0.25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32"/>
      <c r="BC402" s="32"/>
      <c r="BD402" s="32"/>
      <c r="BE402" s="32"/>
      <c r="BF402" s="32"/>
      <c r="BG402" s="32"/>
      <c r="BH402" s="32"/>
      <c r="BI402" s="32"/>
      <c r="BJ402" s="32"/>
      <c r="BK402" s="32"/>
      <c r="BL402" s="32"/>
      <c r="BM402" s="32"/>
      <c r="BN402" s="32"/>
      <c r="BO402" s="32"/>
      <c r="BP402" s="32"/>
      <c r="BQ402" s="32"/>
      <c r="BR402" s="32"/>
      <c r="BS402" s="32"/>
      <c r="BT402" s="32"/>
      <c r="BU402" s="32"/>
      <c r="BV402" s="32"/>
      <c r="BW402" s="32"/>
      <c r="BX402" s="32"/>
      <c r="BY402" s="32"/>
      <c r="BZ402" s="32"/>
      <c r="CA402" s="32"/>
      <c r="CB402" s="32"/>
      <c r="CC402" s="32"/>
      <c r="CD402" s="32"/>
      <c r="CE402" s="32"/>
      <c r="CF402" s="32"/>
      <c r="CG402" s="32"/>
      <c r="CH402" s="32"/>
      <c r="CI402" s="32"/>
      <c r="CJ402" s="32"/>
      <c r="CK402" s="32"/>
      <c r="CL402" s="32"/>
      <c r="CM402" s="32"/>
      <c r="CN402" s="32"/>
      <c r="CO402" s="32"/>
      <c r="CP402" s="32"/>
      <c r="CQ402" s="32"/>
      <c r="CR402" s="32"/>
      <c r="CS402" s="32"/>
      <c r="CT402" s="32"/>
      <c r="CU402" s="32"/>
      <c r="CV402" s="32"/>
      <c r="CW402" s="32"/>
      <c r="CX402" s="32"/>
      <c r="CY402" s="32"/>
      <c r="CZ402" s="32"/>
      <c r="DA402" s="32"/>
      <c r="DB402" s="32"/>
      <c r="DC402" s="32"/>
      <c r="DD402" s="32"/>
      <c r="DE402" s="32"/>
      <c r="DF402" s="32"/>
      <c r="DG402" s="32"/>
      <c r="DH402" s="32"/>
      <c r="DI402" s="32"/>
      <c r="DJ402" s="32"/>
      <c r="DK402" s="32"/>
      <c r="DL402" s="32"/>
      <c r="DM402" s="32"/>
      <c r="DN402" s="32"/>
      <c r="DO402" s="32"/>
      <c r="DP402" s="32"/>
      <c r="DQ402" s="32"/>
      <c r="DR402" s="32"/>
      <c r="DS402" s="32"/>
      <c r="DT402" s="32"/>
      <c r="DU402" s="32"/>
      <c r="DV402" s="32"/>
      <c r="DW402" s="32"/>
      <c r="DX402" s="32"/>
      <c r="DY402" s="32"/>
      <c r="DZ402" s="32"/>
      <c r="EA402" s="32"/>
      <c r="EB402" s="32"/>
      <c r="EC402" s="32"/>
      <c r="ED402" s="32"/>
      <c r="EE402" s="32"/>
      <c r="EF402" s="32"/>
      <c r="EG402" s="32"/>
      <c r="EH402" s="32"/>
      <c r="EI402" s="32"/>
      <c r="EJ402" s="32"/>
      <c r="EK402" s="32"/>
      <c r="EL402" s="32"/>
      <c r="EM402" s="32"/>
      <c r="EN402" s="32"/>
      <c r="EO402" s="32"/>
      <c r="EP402" s="32"/>
      <c r="EQ402" s="32"/>
      <c r="ER402" s="32"/>
      <c r="ES402" s="32"/>
      <c r="ET402" s="32"/>
      <c r="EU402" s="32"/>
      <c r="EV402" s="32"/>
      <c r="EW402" s="32"/>
      <c r="EX402" s="32"/>
      <c r="EY402" s="32"/>
      <c r="EZ402" s="32"/>
      <c r="FA402" s="32"/>
      <c r="FB402" s="32"/>
      <c r="FC402" s="32"/>
      <c r="FD402" s="32"/>
      <c r="FE402" s="32"/>
      <c r="FF402" s="32"/>
      <c r="FG402" s="32"/>
      <c r="FH402" s="32"/>
      <c r="FI402" s="32"/>
      <c r="FJ402" s="32"/>
      <c r="FK402" s="32"/>
      <c r="FL402" s="32"/>
      <c r="FM402" s="32"/>
      <c r="FN402" s="32"/>
      <c r="FO402" s="32"/>
      <c r="FP402" s="32"/>
      <c r="FQ402" s="32"/>
      <c r="FR402" s="32"/>
      <c r="FS402" s="32"/>
      <c r="FT402" s="32"/>
      <c r="FU402" s="32"/>
      <c r="FV402" s="32"/>
      <c r="FW402" s="32"/>
      <c r="FX402" s="32"/>
      <c r="FY402" s="32"/>
      <c r="FZ402" s="32"/>
      <c r="GA402" s="32"/>
      <c r="GB402" s="32"/>
      <c r="GC402" s="32"/>
      <c r="GD402" s="32"/>
      <c r="GE402" s="32"/>
      <c r="GF402" s="32"/>
      <c r="GG402" s="32"/>
      <c r="GH402" s="32"/>
      <c r="GI402" s="32"/>
      <c r="GJ402" s="32"/>
      <c r="GK402" s="32"/>
      <c r="GL402" s="32"/>
      <c r="GM402" s="32"/>
      <c r="GN402" s="32"/>
      <c r="GO402" s="32"/>
      <c r="GP402" s="32"/>
      <c r="GQ402" s="32"/>
      <c r="GR402" s="32"/>
      <c r="GS402" s="32"/>
      <c r="GT402" s="32"/>
      <c r="GU402" s="32"/>
      <c r="GV402" s="32"/>
      <c r="GW402" s="32"/>
      <c r="GX402" s="32"/>
      <c r="GY402" s="32"/>
      <c r="GZ402" s="32"/>
      <c r="HA402" s="32"/>
      <c r="HB402" s="32"/>
      <c r="HC402" s="32"/>
      <c r="HD402" s="32"/>
      <c r="HE402" s="32"/>
      <c r="HF402" s="32"/>
      <c r="HG402" s="32"/>
      <c r="HH402" s="32"/>
      <c r="HI402" s="32"/>
      <c r="HJ402" s="32"/>
      <c r="HK402" s="32"/>
      <c r="HL402" s="32"/>
      <c r="HM402" s="32"/>
      <c r="HN402" s="32"/>
      <c r="HO402" s="32"/>
      <c r="HP402" s="32"/>
    </row>
    <row r="403" spans="1:224" x14ac:dyDescent="0.25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  <c r="BF403" s="32"/>
      <c r="BG403" s="32"/>
      <c r="BH403" s="32"/>
      <c r="BI403" s="32"/>
      <c r="BJ403" s="32"/>
      <c r="BK403" s="32"/>
      <c r="BL403" s="32"/>
      <c r="BM403" s="32"/>
      <c r="BN403" s="32"/>
      <c r="BO403" s="32"/>
      <c r="BP403" s="32"/>
      <c r="BQ403" s="32"/>
      <c r="BR403" s="32"/>
      <c r="BS403" s="32"/>
      <c r="BT403" s="32"/>
      <c r="BU403" s="32"/>
      <c r="BV403" s="32"/>
      <c r="BW403" s="32"/>
      <c r="BX403" s="32"/>
      <c r="BY403" s="32"/>
      <c r="BZ403" s="32"/>
      <c r="CA403" s="32"/>
      <c r="CB403" s="32"/>
      <c r="CC403" s="32"/>
      <c r="CD403" s="32"/>
      <c r="CE403" s="32"/>
      <c r="CF403" s="32"/>
      <c r="CG403" s="32"/>
      <c r="CH403" s="32"/>
      <c r="CI403" s="32"/>
      <c r="CJ403" s="32"/>
      <c r="CK403" s="32"/>
      <c r="CL403" s="32"/>
      <c r="CM403" s="32"/>
      <c r="CN403" s="32"/>
      <c r="CO403" s="32"/>
      <c r="CP403" s="32"/>
      <c r="CQ403" s="32"/>
      <c r="CR403" s="32"/>
      <c r="CS403" s="32"/>
      <c r="CT403" s="32"/>
      <c r="CU403" s="32"/>
      <c r="CV403" s="32"/>
      <c r="CW403" s="32"/>
      <c r="CX403" s="32"/>
      <c r="CY403" s="32"/>
      <c r="CZ403" s="32"/>
      <c r="DA403" s="32"/>
      <c r="DB403" s="32"/>
      <c r="DC403" s="32"/>
      <c r="DD403" s="32"/>
      <c r="DE403" s="32"/>
      <c r="DF403" s="32"/>
      <c r="DG403" s="32"/>
      <c r="DH403" s="32"/>
      <c r="DI403" s="32"/>
      <c r="DJ403" s="32"/>
      <c r="DK403" s="32"/>
      <c r="DL403" s="32"/>
      <c r="DM403" s="32"/>
      <c r="DN403" s="32"/>
      <c r="DO403" s="32"/>
      <c r="DP403" s="32"/>
      <c r="DQ403" s="32"/>
      <c r="DR403" s="32"/>
      <c r="DS403" s="32"/>
      <c r="DT403" s="32"/>
      <c r="DU403" s="32"/>
      <c r="DV403" s="32"/>
      <c r="DW403" s="32"/>
      <c r="DX403" s="32"/>
      <c r="DY403" s="32"/>
      <c r="DZ403" s="32"/>
      <c r="EA403" s="32"/>
      <c r="EB403" s="32"/>
      <c r="EC403" s="32"/>
      <c r="ED403" s="32"/>
      <c r="EE403" s="32"/>
      <c r="EF403" s="32"/>
      <c r="EG403" s="32"/>
      <c r="EH403" s="32"/>
      <c r="EI403" s="32"/>
      <c r="EJ403" s="32"/>
      <c r="EK403" s="32"/>
      <c r="EL403" s="32"/>
      <c r="EM403" s="32"/>
      <c r="EN403" s="32"/>
      <c r="EO403" s="32"/>
      <c r="EP403" s="32"/>
      <c r="EQ403" s="32"/>
      <c r="ER403" s="32"/>
      <c r="ES403" s="32"/>
      <c r="ET403" s="32"/>
      <c r="EU403" s="32"/>
      <c r="EV403" s="32"/>
      <c r="EW403" s="32"/>
      <c r="EX403" s="32"/>
      <c r="EY403" s="32"/>
      <c r="EZ403" s="32"/>
      <c r="FA403" s="32"/>
      <c r="FB403" s="32"/>
      <c r="FC403" s="32"/>
      <c r="FD403" s="32"/>
      <c r="FE403" s="32"/>
      <c r="FF403" s="32"/>
      <c r="FG403" s="32"/>
      <c r="FH403" s="32"/>
      <c r="FI403" s="32"/>
      <c r="FJ403" s="32"/>
      <c r="FK403" s="32"/>
      <c r="FL403" s="32"/>
      <c r="FM403" s="32"/>
      <c r="FN403" s="32"/>
      <c r="FO403" s="32"/>
      <c r="FP403" s="32"/>
      <c r="FQ403" s="32"/>
      <c r="FR403" s="32"/>
      <c r="FS403" s="32"/>
      <c r="FT403" s="32"/>
      <c r="FU403" s="32"/>
      <c r="FV403" s="32"/>
      <c r="FW403" s="32"/>
      <c r="FX403" s="32"/>
      <c r="FY403" s="32"/>
      <c r="FZ403" s="32"/>
      <c r="GA403" s="32"/>
      <c r="GB403" s="32"/>
      <c r="GC403" s="32"/>
      <c r="GD403" s="32"/>
      <c r="GE403" s="32"/>
      <c r="GF403" s="32"/>
      <c r="GG403" s="32"/>
      <c r="GH403" s="32"/>
      <c r="GI403" s="32"/>
      <c r="GJ403" s="32"/>
      <c r="GK403" s="32"/>
      <c r="GL403" s="32"/>
      <c r="GM403" s="32"/>
      <c r="GN403" s="32"/>
      <c r="GO403" s="32"/>
      <c r="GP403" s="32"/>
      <c r="GQ403" s="32"/>
      <c r="GR403" s="32"/>
      <c r="GS403" s="32"/>
      <c r="GT403" s="32"/>
      <c r="GU403" s="32"/>
      <c r="GV403" s="32"/>
      <c r="GW403" s="32"/>
      <c r="GX403" s="32"/>
      <c r="GY403" s="32"/>
      <c r="GZ403" s="32"/>
      <c r="HA403" s="32"/>
      <c r="HB403" s="32"/>
      <c r="HC403" s="32"/>
      <c r="HD403" s="32"/>
      <c r="HE403" s="32"/>
      <c r="HF403" s="32"/>
      <c r="HG403" s="32"/>
      <c r="HH403" s="32"/>
      <c r="HI403" s="32"/>
      <c r="HJ403" s="32"/>
      <c r="HK403" s="32"/>
      <c r="HL403" s="32"/>
      <c r="HM403" s="32"/>
      <c r="HN403" s="32"/>
      <c r="HO403" s="32"/>
      <c r="HP403" s="32"/>
    </row>
    <row r="404" spans="1:224" x14ac:dyDescent="0.25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  <c r="BG404" s="32"/>
      <c r="BH404" s="32"/>
      <c r="BI404" s="32"/>
      <c r="BJ404" s="32"/>
      <c r="BK404" s="32"/>
      <c r="BL404" s="32"/>
      <c r="BM404" s="32"/>
      <c r="BN404" s="32"/>
      <c r="BO404" s="32"/>
      <c r="BP404" s="32"/>
      <c r="BQ404" s="32"/>
      <c r="BR404" s="32"/>
      <c r="BS404" s="32"/>
      <c r="BT404" s="32"/>
      <c r="BU404" s="32"/>
      <c r="BV404" s="32"/>
      <c r="BW404" s="32"/>
      <c r="BX404" s="32"/>
      <c r="BY404" s="32"/>
      <c r="BZ404" s="32"/>
      <c r="CA404" s="32"/>
      <c r="CB404" s="32"/>
      <c r="CC404" s="32"/>
      <c r="CD404" s="32"/>
      <c r="CE404" s="32"/>
      <c r="CF404" s="32"/>
      <c r="CG404" s="32"/>
      <c r="CH404" s="32"/>
      <c r="CI404" s="32"/>
      <c r="CJ404" s="32"/>
      <c r="CK404" s="32"/>
      <c r="CL404" s="32"/>
      <c r="CM404" s="32"/>
      <c r="CN404" s="32"/>
      <c r="CO404" s="32"/>
      <c r="CP404" s="32"/>
      <c r="CQ404" s="32"/>
      <c r="CR404" s="32"/>
      <c r="CS404" s="32"/>
      <c r="CT404" s="32"/>
      <c r="CU404" s="32"/>
      <c r="CV404" s="32"/>
      <c r="CW404" s="32"/>
      <c r="CX404" s="32"/>
      <c r="CY404" s="32"/>
      <c r="CZ404" s="32"/>
      <c r="DA404" s="32"/>
      <c r="DB404" s="32"/>
      <c r="DC404" s="32"/>
      <c r="DD404" s="32"/>
      <c r="DE404" s="32"/>
      <c r="DF404" s="32"/>
      <c r="DG404" s="32"/>
      <c r="DH404" s="32"/>
      <c r="DI404" s="32"/>
      <c r="DJ404" s="32"/>
      <c r="DK404" s="32"/>
      <c r="DL404" s="32"/>
      <c r="DM404" s="32"/>
      <c r="DN404" s="32"/>
      <c r="DO404" s="32"/>
      <c r="DP404" s="32"/>
      <c r="DQ404" s="32"/>
      <c r="DR404" s="32"/>
      <c r="DS404" s="32"/>
      <c r="DT404" s="32"/>
      <c r="DU404" s="32"/>
      <c r="DV404" s="32"/>
      <c r="DW404" s="32"/>
      <c r="DX404" s="32"/>
      <c r="DY404" s="32"/>
      <c r="DZ404" s="32"/>
      <c r="EA404" s="32"/>
      <c r="EB404" s="32"/>
      <c r="EC404" s="32"/>
      <c r="ED404" s="32"/>
      <c r="EE404" s="32"/>
      <c r="EF404" s="32"/>
      <c r="EG404" s="32"/>
      <c r="EH404" s="32"/>
      <c r="EI404" s="32"/>
      <c r="EJ404" s="32"/>
      <c r="EK404" s="32"/>
      <c r="EL404" s="32"/>
      <c r="EM404" s="32"/>
      <c r="EN404" s="32"/>
      <c r="EO404" s="32"/>
      <c r="EP404" s="32"/>
      <c r="EQ404" s="32"/>
      <c r="ER404" s="32"/>
      <c r="ES404" s="32"/>
      <c r="ET404" s="32"/>
      <c r="EU404" s="32"/>
      <c r="EV404" s="32"/>
      <c r="EW404" s="32"/>
      <c r="EX404" s="32"/>
      <c r="EY404" s="32"/>
      <c r="EZ404" s="32"/>
      <c r="FA404" s="32"/>
      <c r="FB404" s="32"/>
      <c r="FC404" s="32"/>
      <c r="FD404" s="32"/>
      <c r="FE404" s="32"/>
      <c r="FF404" s="32"/>
      <c r="FG404" s="32"/>
      <c r="FH404" s="32"/>
      <c r="FI404" s="32"/>
      <c r="FJ404" s="32"/>
      <c r="FK404" s="32"/>
      <c r="FL404" s="32"/>
      <c r="FM404" s="32"/>
      <c r="FN404" s="32"/>
      <c r="FO404" s="32"/>
      <c r="FP404" s="32"/>
      <c r="FQ404" s="32"/>
      <c r="FR404" s="32"/>
      <c r="FS404" s="32"/>
      <c r="FT404" s="32"/>
      <c r="FU404" s="32"/>
      <c r="FV404" s="32"/>
      <c r="FW404" s="32"/>
      <c r="FX404" s="32"/>
      <c r="FY404" s="32"/>
      <c r="FZ404" s="32"/>
      <c r="GA404" s="32"/>
      <c r="GB404" s="32"/>
      <c r="GC404" s="32"/>
      <c r="GD404" s="32"/>
      <c r="GE404" s="32"/>
      <c r="GF404" s="32"/>
      <c r="GG404" s="32"/>
      <c r="GH404" s="32"/>
      <c r="GI404" s="32"/>
      <c r="GJ404" s="32"/>
      <c r="GK404" s="32"/>
      <c r="GL404" s="32"/>
      <c r="GM404" s="32"/>
      <c r="GN404" s="32"/>
      <c r="GO404" s="32"/>
      <c r="GP404" s="32"/>
      <c r="GQ404" s="32"/>
      <c r="GR404" s="32"/>
      <c r="GS404" s="32"/>
      <c r="GT404" s="32"/>
      <c r="GU404" s="32"/>
      <c r="GV404" s="32"/>
      <c r="GW404" s="32"/>
      <c r="GX404" s="32"/>
      <c r="GY404" s="32"/>
      <c r="GZ404" s="32"/>
      <c r="HA404" s="32"/>
      <c r="HB404" s="32"/>
      <c r="HC404" s="32"/>
      <c r="HD404" s="32"/>
      <c r="HE404" s="32"/>
      <c r="HF404" s="32"/>
      <c r="HG404" s="32"/>
      <c r="HH404" s="32"/>
      <c r="HI404" s="32"/>
      <c r="HJ404" s="32"/>
      <c r="HK404" s="32"/>
      <c r="HL404" s="32"/>
      <c r="HM404" s="32"/>
      <c r="HN404" s="32"/>
      <c r="HO404" s="32"/>
      <c r="HP404" s="32"/>
    </row>
    <row r="405" spans="1:224" x14ac:dyDescent="0.2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  <c r="BG405" s="32"/>
      <c r="BH405" s="32"/>
      <c r="BI405" s="32"/>
      <c r="BJ405" s="32"/>
      <c r="BK405" s="32"/>
      <c r="BL405" s="32"/>
      <c r="BM405" s="32"/>
      <c r="BN405" s="32"/>
      <c r="BO405" s="32"/>
      <c r="BP405" s="32"/>
      <c r="BQ405" s="32"/>
      <c r="BR405" s="32"/>
      <c r="BS405" s="32"/>
      <c r="BT405" s="32"/>
      <c r="BU405" s="32"/>
      <c r="BV405" s="32"/>
      <c r="BW405" s="32"/>
      <c r="BX405" s="32"/>
      <c r="BY405" s="32"/>
      <c r="BZ405" s="32"/>
      <c r="CA405" s="32"/>
      <c r="CB405" s="32"/>
      <c r="CC405" s="32"/>
      <c r="CD405" s="32"/>
      <c r="CE405" s="32"/>
      <c r="CF405" s="32"/>
      <c r="CG405" s="32"/>
      <c r="CH405" s="32"/>
      <c r="CI405" s="32"/>
      <c r="CJ405" s="32"/>
      <c r="CK405" s="32"/>
      <c r="CL405" s="32"/>
      <c r="CM405" s="32"/>
      <c r="CN405" s="32"/>
      <c r="CO405" s="32"/>
      <c r="CP405" s="32"/>
      <c r="CQ405" s="32"/>
      <c r="CR405" s="32"/>
      <c r="CS405" s="32"/>
      <c r="CT405" s="32"/>
      <c r="CU405" s="32"/>
      <c r="CV405" s="32"/>
      <c r="CW405" s="32"/>
      <c r="CX405" s="32"/>
      <c r="CY405" s="32"/>
      <c r="CZ405" s="32"/>
      <c r="DA405" s="32"/>
      <c r="DB405" s="32"/>
      <c r="DC405" s="32"/>
      <c r="DD405" s="32"/>
      <c r="DE405" s="32"/>
      <c r="DF405" s="32"/>
      <c r="DG405" s="32"/>
      <c r="DH405" s="32"/>
      <c r="DI405" s="32"/>
      <c r="DJ405" s="32"/>
      <c r="DK405" s="32"/>
      <c r="DL405" s="32"/>
      <c r="DM405" s="32"/>
      <c r="DN405" s="32"/>
      <c r="DO405" s="32"/>
      <c r="DP405" s="32"/>
      <c r="DQ405" s="32"/>
      <c r="DR405" s="32"/>
      <c r="DS405" s="32"/>
      <c r="DT405" s="32"/>
      <c r="DU405" s="32"/>
      <c r="DV405" s="32"/>
      <c r="DW405" s="32"/>
      <c r="DX405" s="32"/>
      <c r="DY405" s="32"/>
      <c r="DZ405" s="32"/>
      <c r="EA405" s="32"/>
      <c r="EB405" s="32"/>
      <c r="EC405" s="32"/>
      <c r="ED405" s="32"/>
      <c r="EE405" s="32"/>
      <c r="EF405" s="32"/>
      <c r="EG405" s="32"/>
      <c r="EH405" s="32"/>
      <c r="EI405" s="32"/>
      <c r="EJ405" s="32"/>
      <c r="EK405" s="32"/>
      <c r="EL405" s="32"/>
      <c r="EM405" s="32"/>
      <c r="EN405" s="32"/>
      <c r="EO405" s="32"/>
      <c r="EP405" s="32"/>
      <c r="EQ405" s="32"/>
      <c r="ER405" s="32"/>
      <c r="ES405" s="32"/>
      <c r="ET405" s="32"/>
      <c r="EU405" s="32"/>
      <c r="EV405" s="32"/>
      <c r="EW405" s="32"/>
      <c r="EX405" s="32"/>
      <c r="EY405" s="32"/>
      <c r="EZ405" s="32"/>
      <c r="FA405" s="32"/>
      <c r="FB405" s="32"/>
      <c r="FC405" s="32"/>
      <c r="FD405" s="32"/>
      <c r="FE405" s="32"/>
      <c r="FF405" s="32"/>
      <c r="FG405" s="32"/>
      <c r="FH405" s="32"/>
      <c r="FI405" s="32"/>
      <c r="FJ405" s="32"/>
      <c r="FK405" s="32"/>
      <c r="FL405" s="32"/>
      <c r="FM405" s="32"/>
      <c r="FN405" s="32"/>
      <c r="FO405" s="32"/>
      <c r="FP405" s="32"/>
      <c r="FQ405" s="32"/>
      <c r="FR405" s="32"/>
      <c r="FS405" s="32"/>
      <c r="FT405" s="32"/>
      <c r="FU405" s="32"/>
      <c r="FV405" s="32"/>
      <c r="FW405" s="32"/>
      <c r="FX405" s="32"/>
      <c r="FY405" s="32"/>
      <c r="FZ405" s="32"/>
      <c r="GA405" s="32"/>
      <c r="GB405" s="32"/>
      <c r="GC405" s="32"/>
      <c r="GD405" s="32"/>
      <c r="GE405" s="32"/>
      <c r="GF405" s="32"/>
      <c r="GG405" s="32"/>
      <c r="GH405" s="32"/>
      <c r="GI405" s="32"/>
      <c r="GJ405" s="32"/>
      <c r="GK405" s="32"/>
      <c r="GL405" s="32"/>
      <c r="GM405" s="32"/>
      <c r="GN405" s="32"/>
      <c r="GO405" s="32"/>
      <c r="GP405" s="32"/>
      <c r="GQ405" s="32"/>
      <c r="GR405" s="32"/>
      <c r="GS405" s="32"/>
      <c r="GT405" s="32"/>
      <c r="GU405" s="32"/>
      <c r="GV405" s="32"/>
      <c r="GW405" s="32"/>
      <c r="GX405" s="32"/>
      <c r="GY405" s="32"/>
      <c r="GZ405" s="32"/>
      <c r="HA405" s="32"/>
      <c r="HB405" s="32"/>
      <c r="HC405" s="32"/>
      <c r="HD405" s="32"/>
      <c r="HE405" s="32"/>
      <c r="HF405" s="32"/>
      <c r="HG405" s="32"/>
      <c r="HH405" s="32"/>
      <c r="HI405" s="32"/>
      <c r="HJ405" s="32"/>
      <c r="HK405" s="32"/>
      <c r="HL405" s="32"/>
      <c r="HM405" s="32"/>
      <c r="HN405" s="32"/>
      <c r="HO405" s="32"/>
      <c r="HP405" s="32"/>
    </row>
    <row r="406" spans="1:224" x14ac:dyDescent="0.25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  <c r="BF406" s="32"/>
      <c r="BG406" s="32"/>
      <c r="BH406" s="32"/>
      <c r="BI406" s="32"/>
      <c r="BJ406" s="32"/>
      <c r="BK406" s="32"/>
      <c r="BL406" s="32"/>
      <c r="BM406" s="32"/>
      <c r="BN406" s="32"/>
      <c r="BO406" s="32"/>
      <c r="BP406" s="32"/>
      <c r="BQ406" s="32"/>
      <c r="BR406" s="32"/>
      <c r="BS406" s="32"/>
      <c r="BT406" s="32"/>
      <c r="BU406" s="32"/>
      <c r="BV406" s="32"/>
      <c r="BW406" s="32"/>
      <c r="BX406" s="32"/>
      <c r="BY406" s="32"/>
      <c r="BZ406" s="32"/>
      <c r="CA406" s="32"/>
      <c r="CB406" s="32"/>
      <c r="CC406" s="32"/>
      <c r="CD406" s="32"/>
      <c r="CE406" s="32"/>
      <c r="CF406" s="32"/>
      <c r="CG406" s="32"/>
      <c r="CH406" s="32"/>
      <c r="CI406" s="32"/>
      <c r="CJ406" s="32"/>
      <c r="CK406" s="32"/>
      <c r="CL406" s="32"/>
      <c r="CM406" s="32"/>
      <c r="CN406" s="32"/>
      <c r="CO406" s="32"/>
      <c r="CP406" s="32"/>
      <c r="CQ406" s="32"/>
      <c r="CR406" s="32"/>
      <c r="CS406" s="32"/>
      <c r="CT406" s="32"/>
      <c r="CU406" s="32"/>
      <c r="CV406" s="32"/>
      <c r="CW406" s="32"/>
      <c r="CX406" s="32"/>
      <c r="CY406" s="32"/>
      <c r="CZ406" s="32"/>
      <c r="DA406" s="32"/>
      <c r="DB406" s="32"/>
      <c r="DC406" s="32"/>
      <c r="DD406" s="32"/>
      <c r="DE406" s="32"/>
      <c r="DF406" s="32"/>
      <c r="DG406" s="32"/>
      <c r="DH406" s="32"/>
      <c r="DI406" s="32"/>
      <c r="DJ406" s="32"/>
      <c r="DK406" s="32"/>
      <c r="DL406" s="32"/>
      <c r="DM406" s="32"/>
      <c r="DN406" s="32"/>
      <c r="DO406" s="32"/>
      <c r="DP406" s="32"/>
      <c r="DQ406" s="32"/>
      <c r="DR406" s="32"/>
      <c r="DS406" s="32"/>
      <c r="DT406" s="32"/>
      <c r="DU406" s="32"/>
      <c r="DV406" s="32"/>
      <c r="DW406" s="32"/>
      <c r="DX406" s="32"/>
      <c r="DY406" s="32"/>
      <c r="DZ406" s="32"/>
      <c r="EA406" s="32"/>
      <c r="EB406" s="32"/>
      <c r="EC406" s="32"/>
      <c r="ED406" s="32"/>
      <c r="EE406" s="32"/>
      <c r="EF406" s="32"/>
      <c r="EG406" s="32"/>
      <c r="EH406" s="32"/>
      <c r="EI406" s="32"/>
      <c r="EJ406" s="32"/>
      <c r="EK406" s="32"/>
      <c r="EL406" s="32"/>
      <c r="EM406" s="32"/>
      <c r="EN406" s="32"/>
      <c r="EO406" s="32"/>
      <c r="EP406" s="32"/>
      <c r="EQ406" s="32"/>
      <c r="ER406" s="32"/>
      <c r="ES406" s="32"/>
      <c r="ET406" s="32"/>
      <c r="EU406" s="32"/>
      <c r="EV406" s="32"/>
      <c r="EW406" s="32"/>
      <c r="EX406" s="32"/>
      <c r="EY406" s="32"/>
      <c r="EZ406" s="32"/>
      <c r="FA406" s="32"/>
      <c r="FB406" s="32"/>
      <c r="FC406" s="32"/>
      <c r="FD406" s="32"/>
      <c r="FE406" s="32"/>
      <c r="FF406" s="32"/>
      <c r="FG406" s="32"/>
      <c r="FH406" s="32"/>
      <c r="FI406" s="32"/>
      <c r="FJ406" s="32"/>
      <c r="FK406" s="32"/>
      <c r="FL406" s="32"/>
      <c r="FM406" s="32"/>
      <c r="FN406" s="32"/>
      <c r="FO406" s="32"/>
      <c r="FP406" s="32"/>
      <c r="FQ406" s="32"/>
      <c r="FR406" s="32"/>
      <c r="FS406" s="32"/>
      <c r="FT406" s="32"/>
      <c r="FU406" s="32"/>
      <c r="FV406" s="32"/>
      <c r="FW406" s="32"/>
      <c r="FX406" s="32"/>
      <c r="FY406" s="32"/>
      <c r="FZ406" s="32"/>
      <c r="GA406" s="32"/>
      <c r="GB406" s="32"/>
      <c r="GC406" s="32"/>
      <c r="GD406" s="32"/>
      <c r="GE406" s="32"/>
      <c r="GF406" s="32"/>
      <c r="GG406" s="32"/>
      <c r="GH406" s="32"/>
      <c r="GI406" s="32"/>
      <c r="GJ406" s="32"/>
      <c r="GK406" s="32"/>
      <c r="GL406" s="32"/>
      <c r="GM406" s="32"/>
      <c r="GN406" s="32"/>
      <c r="GO406" s="32"/>
      <c r="GP406" s="32"/>
      <c r="GQ406" s="32"/>
      <c r="GR406" s="32"/>
      <c r="GS406" s="32"/>
      <c r="GT406" s="32"/>
      <c r="GU406" s="32"/>
      <c r="GV406" s="32"/>
      <c r="GW406" s="32"/>
      <c r="GX406" s="32"/>
      <c r="GY406" s="32"/>
      <c r="GZ406" s="32"/>
      <c r="HA406" s="32"/>
      <c r="HB406" s="32"/>
      <c r="HC406" s="32"/>
      <c r="HD406" s="32"/>
      <c r="HE406" s="32"/>
      <c r="HF406" s="32"/>
      <c r="HG406" s="32"/>
      <c r="HH406" s="32"/>
      <c r="HI406" s="32"/>
      <c r="HJ406" s="32"/>
      <c r="HK406" s="32"/>
      <c r="HL406" s="32"/>
      <c r="HM406" s="32"/>
      <c r="HN406" s="32"/>
      <c r="HO406" s="32"/>
      <c r="HP406" s="32"/>
    </row>
    <row r="407" spans="1:224" x14ac:dyDescent="0.25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  <c r="BD407" s="32"/>
      <c r="BE407" s="32"/>
      <c r="BF407" s="32"/>
      <c r="BG407" s="32"/>
      <c r="BH407" s="32"/>
      <c r="BI407" s="32"/>
      <c r="BJ407" s="32"/>
      <c r="BK407" s="32"/>
      <c r="BL407" s="32"/>
      <c r="BM407" s="32"/>
      <c r="BN407" s="32"/>
      <c r="BO407" s="32"/>
      <c r="BP407" s="32"/>
      <c r="BQ407" s="32"/>
      <c r="BR407" s="32"/>
      <c r="BS407" s="32"/>
      <c r="BT407" s="32"/>
      <c r="BU407" s="32"/>
      <c r="BV407" s="32"/>
      <c r="BW407" s="32"/>
      <c r="BX407" s="32"/>
      <c r="BY407" s="32"/>
      <c r="BZ407" s="32"/>
      <c r="CA407" s="32"/>
      <c r="CB407" s="32"/>
      <c r="CC407" s="32"/>
      <c r="CD407" s="32"/>
      <c r="CE407" s="32"/>
      <c r="CF407" s="32"/>
      <c r="CG407" s="32"/>
      <c r="CH407" s="32"/>
      <c r="CI407" s="32"/>
      <c r="CJ407" s="32"/>
      <c r="CK407" s="32"/>
      <c r="CL407" s="32"/>
      <c r="CM407" s="32"/>
      <c r="CN407" s="32"/>
      <c r="CO407" s="32"/>
      <c r="CP407" s="32"/>
      <c r="CQ407" s="32"/>
      <c r="CR407" s="32"/>
      <c r="CS407" s="32"/>
      <c r="CT407" s="32"/>
      <c r="CU407" s="32"/>
      <c r="CV407" s="32"/>
      <c r="CW407" s="32"/>
      <c r="CX407" s="32"/>
      <c r="CY407" s="32"/>
      <c r="CZ407" s="32"/>
      <c r="DA407" s="32"/>
      <c r="DB407" s="32"/>
      <c r="DC407" s="32"/>
      <c r="DD407" s="32"/>
      <c r="DE407" s="32"/>
      <c r="DF407" s="32"/>
      <c r="DG407" s="32"/>
      <c r="DH407" s="32"/>
      <c r="DI407" s="32"/>
      <c r="DJ407" s="32"/>
      <c r="DK407" s="32"/>
      <c r="DL407" s="32"/>
      <c r="DM407" s="32"/>
      <c r="DN407" s="32"/>
      <c r="DO407" s="32"/>
      <c r="DP407" s="32"/>
      <c r="DQ407" s="32"/>
      <c r="DR407" s="32"/>
      <c r="DS407" s="32"/>
      <c r="DT407" s="32"/>
      <c r="DU407" s="32"/>
      <c r="DV407" s="32"/>
      <c r="DW407" s="32"/>
      <c r="DX407" s="32"/>
      <c r="DY407" s="32"/>
      <c r="DZ407" s="32"/>
      <c r="EA407" s="32"/>
      <c r="EB407" s="32"/>
      <c r="EC407" s="32"/>
      <c r="ED407" s="32"/>
      <c r="EE407" s="32"/>
      <c r="EF407" s="32"/>
      <c r="EG407" s="32"/>
      <c r="EH407" s="32"/>
      <c r="EI407" s="32"/>
      <c r="EJ407" s="32"/>
      <c r="EK407" s="32"/>
      <c r="EL407" s="32"/>
      <c r="EM407" s="32"/>
      <c r="EN407" s="32"/>
      <c r="EO407" s="32"/>
      <c r="EP407" s="32"/>
      <c r="EQ407" s="32"/>
      <c r="ER407" s="32"/>
      <c r="ES407" s="32"/>
      <c r="ET407" s="32"/>
      <c r="EU407" s="32"/>
      <c r="EV407" s="32"/>
      <c r="EW407" s="32"/>
      <c r="EX407" s="32"/>
      <c r="EY407" s="32"/>
      <c r="EZ407" s="32"/>
      <c r="FA407" s="32"/>
      <c r="FB407" s="32"/>
      <c r="FC407" s="32"/>
      <c r="FD407" s="32"/>
      <c r="FE407" s="32"/>
      <c r="FF407" s="32"/>
      <c r="FG407" s="32"/>
      <c r="FH407" s="32"/>
      <c r="FI407" s="32"/>
      <c r="FJ407" s="32"/>
      <c r="FK407" s="32"/>
      <c r="FL407" s="32"/>
      <c r="FM407" s="32"/>
      <c r="FN407" s="32"/>
      <c r="FO407" s="32"/>
      <c r="FP407" s="32"/>
      <c r="FQ407" s="32"/>
      <c r="FR407" s="32"/>
      <c r="FS407" s="32"/>
      <c r="FT407" s="32"/>
      <c r="FU407" s="32"/>
      <c r="FV407" s="32"/>
      <c r="FW407" s="32"/>
      <c r="FX407" s="32"/>
      <c r="FY407" s="32"/>
      <c r="FZ407" s="32"/>
      <c r="GA407" s="32"/>
      <c r="GB407" s="32"/>
      <c r="GC407" s="32"/>
      <c r="GD407" s="32"/>
      <c r="GE407" s="32"/>
      <c r="GF407" s="32"/>
      <c r="GG407" s="32"/>
      <c r="GH407" s="32"/>
      <c r="GI407" s="32"/>
      <c r="GJ407" s="32"/>
      <c r="GK407" s="32"/>
      <c r="GL407" s="32"/>
      <c r="GM407" s="32"/>
      <c r="GN407" s="32"/>
      <c r="GO407" s="32"/>
      <c r="GP407" s="32"/>
      <c r="GQ407" s="32"/>
      <c r="GR407" s="32"/>
      <c r="GS407" s="32"/>
      <c r="GT407" s="32"/>
      <c r="GU407" s="32"/>
      <c r="GV407" s="32"/>
      <c r="GW407" s="32"/>
      <c r="GX407" s="32"/>
      <c r="GY407" s="32"/>
      <c r="GZ407" s="32"/>
      <c r="HA407" s="32"/>
      <c r="HB407" s="32"/>
      <c r="HC407" s="32"/>
      <c r="HD407" s="32"/>
      <c r="HE407" s="32"/>
      <c r="HF407" s="32"/>
      <c r="HG407" s="32"/>
      <c r="HH407" s="32"/>
      <c r="HI407" s="32"/>
      <c r="HJ407" s="32"/>
      <c r="HK407" s="32"/>
      <c r="HL407" s="32"/>
      <c r="HM407" s="32"/>
      <c r="HN407" s="32"/>
      <c r="HO407" s="32"/>
      <c r="HP407" s="32"/>
    </row>
    <row r="408" spans="1:224" x14ac:dyDescent="0.25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  <c r="BC408" s="32"/>
      <c r="BD408" s="32"/>
      <c r="BE408" s="32"/>
      <c r="BF408" s="32"/>
      <c r="BG408" s="32"/>
      <c r="BH408" s="32"/>
      <c r="BI408" s="32"/>
      <c r="BJ408" s="32"/>
      <c r="BK408" s="32"/>
      <c r="BL408" s="32"/>
      <c r="BM408" s="32"/>
      <c r="BN408" s="32"/>
      <c r="BO408" s="32"/>
      <c r="BP408" s="32"/>
      <c r="BQ408" s="32"/>
      <c r="BR408" s="32"/>
      <c r="BS408" s="32"/>
      <c r="BT408" s="32"/>
      <c r="BU408" s="32"/>
      <c r="BV408" s="32"/>
      <c r="BW408" s="32"/>
      <c r="BX408" s="32"/>
      <c r="BY408" s="32"/>
      <c r="BZ408" s="32"/>
      <c r="CA408" s="32"/>
      <c r="CB408" s="32"/>
      <c r="CC408" s="32"/>
      <c r="CD408" s="32"/>
      <c r="CE408" s="32"/>
      <c r="CF408" s="32"/>
      <c r="CG408" s="32"/>
      <c r="CH408" s="32"/>
      <c r="CI408" s="32"/>
      <c r="CJ408" s="32"/>
      <c r="CK408" s="32"/>
      <c r="CL408" s="32"/>
      <c r="CM408" s="32"/>
      <c r="CN408" s="32"/>
      <c r="CO408" s="32"/>
      <c r="CP408" s="32"/>
      <c r="CQ408" s="32"/>
      <c r="CR408" s="32"/>
      <c r="CS408" s="32"/>
      <c r="CT408" s="32"/>
      <c r="CU408" s="32"/>
      <c r="CV408" s="32"/>
      <c r="CW408" s="32"/>
      <c r="CX408" s="32"/>
      <c r="CY408" s="32"/>
      <c r="CZ408" s="32"/>
      <c r="DA408" s="32"/>
      <c r="DB408" s="32"/>
      <c r="DC408" s="32"/>
      <c r="DD408" s="32"/>
      <c r="DE408" s="32"/>
      <c r="DF408" s="32"/>
      <c r="DG408" s="32"/>
      <c r="DH408" s="32"/>
      <c r="DI408" s="32"/>
      <c r="DJ408" s="32"/>
      <c r="DK408" s="32"/>
      <c r="DL408" s="32"/>
      <c r="DM408" s="32"/>
      <c r="DN408" s="32"/>
      <c r="DO408" s="32"/>
      <c r="DP408" s="32"/>
      <c r="DQ408" s="32"/>
      <c r="DR408" s="32"/>
      <c r="DS408" s="32"/>
      <c r="DT408" s="32"/>
      <c r="DU408" s="32"/>
      <c r="DV408" s="32"/>
      <c r="DW408" s="32"/>
      <c r="DX408" s="32"/>
      <c r="DY408" s="32"/>
      <c r="DZ408" s="32"/>
      <c r="EA408" s="32"/>
      <c r="EB408" s="32"/>
      <c r="EC408" s="32"/>
      <c r="ED408" s="32"/>
      <c r="EE408" s="32"/>
      <c r="EF408" s="32"/>
      <c r="EG408" s="32"/>
      <c r="EH408" s="32"/>
      <c r="EI408" s="32"/>
      <c r="EJ408" s="32"/>
      <c r="EK408" s="32"/>
      <c r="EL408" s="32"/>
      <c r="EM408" s="32"/>
      <c r="EN408" s="32"/>
      <c r="EO408" s="32"/>
      <c r="EP408" s="32"/>
      <c r="EQ408" s="32"/>
      <c r="ER408" s="32"/>
      <c r="ES408" s="32"/>
      <c r="ET408" s="32"/>
      <c r="EU408" s="32"/>
      <c r="EV408" s="32"/>
      <c r="EW408" s="32"/>
      <c r="EX408" s="32"/>
      <c r="EY408" s="32"/>
      <c r="EZ408" s="32"/>
      <c r="FA408" s="32"/>
      <c r="FB408" s="32"/>
      <c r="FC408" s="32"/>
      <c r="FD408" s="32"/>
      <c r="FE408" s="32"/>
      <c r="FF408" s="32"/>
      <c r="FG408" s="32"/>
      <c r="FH408" s="32"/>
      <c r="FI408" s="32"/>
      <c r="FJ408" s="32"/>
      <c r="FK408" s="32"/>
      <c r="FL408" s="32"/>
      <c r="FM408" s="32"/>
      <c r="FN408" s="32"/>
      <c r="FO408" s="32"/>
      <c r="FP408" s="32"/>
      <c r="FQ408" s="32"/>
      <c r="FR408" s="32"/>
      <c r="FS408" s="32"/>
      <c r="FT408" s="32"/>
      <c r="FU408" s="32"/>
      <c r="FV408" s="32"/>
      <c r="FW408" s="32"/>
      <c r="FX408" s="32"/>
      <c r="FY408" s="32"/>
      <c r="FZ408" s="32"/>
      <c r="GA408" s="32"/>
      <c r="GB408" s="32"/>
      <c r="GC408" s="32"/>
      <c r="GD408" s="32"/>
      <c r="GE408" s="32"/>
      <c r="GF408" s="32"/>
      <c r="GG408" s="32"/>
      <c r="GH408" s="32"/>
      <c r="GI408" s="32"/>
      <c r="GJ408" s="32"/>
      <c r="GK408" s="32"/>
      <c r="GL408" s="32"/>
      <c r="GM408" s="32"/>
      <c r="GN408" s="32"/>
      <c r="GO408" s="32"/>
      <c r="GP408" s="32"/>
      <c r="GQ408" s="32"/>
      <c r="GR408" s="32"/>
      <c r="GS408" s="32"/>
      <c r="GT408" s="32"/>
      <c r="GU408" s="32"/>
      <c r="GV408" s="32"/>
      <c r="GW408" s="32"/>
      <c r="GX408" s="32"/>
      <c r="GY408" s="32"/>
      <c r="GZ408" s="32"/>
      <c r="HA408" s="32"/>
      <c r="HB408" s="32"/>
      <c r="HC408" s="32"/>
      <c r="HD408" s="32"/>
      <c r="HE408" s="32"/>
      <c r="HF408" s="32"/>
      <c r="HG408" s="32"/>
      <c r="HH408" s="32"/>
      <c r="HI408" s="32"/>
      <c r="HJ408" s="32"/>
      <c r="HK408" s="32"/>
      <c r="HL408" s="32"/>
      <c r="HM408" s="32"/>
      <c r="HN408" s="32"/>
      <c r="HO408" s="32"/>
      <c r="HP408" s="32"/>
    </row>
    <row r="409" spans="1:224" x14ac:dyDescent="0.25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  <c r="BC409" s="32"/>
      <c r="BD409" s="32"/>
      <c r="BE409" s="32"/>
      <c r="BF409" s="32"/>
      <c r="BG409" s="32"/>
      <c r="BH409" s="32"/>
      <c r="BI409" s="32"/>
      <c r="BJ409" s="32"/>
      <c r="BK409" s="32"/>
      <c r="BL409" s="32"/>
      <c r="BM409" s="32"/>
      <c r="BN409" s="32"/>
      <c r="BO409" s="32"/>
      <c r="BP409" s="32"/>
      <c r="BQ409" s="32"/>
      <c r="BR409" s="32"/>
      <c r="BS409" s="32"/>
      <c r="BT409" s="32"/>
      <c r="BU409" s="32"/>
      <c r="BV409" s="32"/>
      <c r="BW409" s="32"/>
      <c r="BX409" s="32"/>
      <c r="BY409" s="32"/>
      <c r="BZ409" s="32"/>
      <c r="CA409" s="32"/>
      <c r="CB409" s="32"/>
      <c r="CC409" s="32"/>
      <c r="CD409" s="32"/>
      <c r="CE409" s="32"/>
      <c r="CF409" s="32"/>
      <c r="CG409" s="32"/>
      <c r="CH409" s="32"/>
      <c r="CI409" s="32"/>
      <c r="CJ409" s="32"/>
      <c r="CK409" s="32"/>
      <c r="CL409" s="32"/>
      <c r="CM409" s="32"/>
      <c r="CN409" s="32"/>
      <c r="CO409" s="32"/>
      <c r="CP409" s="32"/>
      <c r="CQ409" s="32"/>
      <c r="CR409" s="32"/>
      <c r="CS409" s="32"/>
      <c r="CT409" s="32"/>
      <c r="CU409" s="32"/>
      <c r="CV409" s="32"/>
      <c r="CW409" s="32"/>
      <c r="CX409" s="32"/>
      <c r="CY409" s="32"/>
      <c r="CZ409" s="32"/>
      <c r="DA409" s="32"/>
      <c r="DB409" s="32"/>
      <c r="DC409" s="32"/>
      <c r="DD409" s="32"/>
      <c r="DE409" s="32"/>
      <c r="DF409" s="32"/>
      <c r="DG409" s="32"/>
      <c r="DH409" s="32"/>
      <c r="DI409" s="32"/>
      <c r="DJ409" s="32"/>
      <c r="DK409" s="32"/>
      <c r="DL409" s="32"/>
      <c r="DM409" s="32"/>
      <c r="DN409" s="32"/>
      <c r="DO409" s="32"/>
      <c r="DP409" s="32"/>
      <c r="DQ409" s="32"/>
      <c r="DR409" s="32"/>
      <c r="DS409" s="32"/>
      <c r="DT409" s="32"/>
      <c r="DU409" s="32"/>
      <c r="DV409" s="32"/>
      <c r="DW409" s="32"/>
      <c r="DX409" s="32"/>
      <c r="DY409" s="32"/>
      <c r="DZ409" s="32"/>
      <c r="EA409" s="32"/>
      <c r="EB409" s="32"/>
      <c r="EC409" s="32"/>
      <c r="ED409" s="32"/>
      <c r="EE409" s="32"/>
      <c r="EF409" s="32"/>
      <c r="EG409" s="32"/>
      <c r="EH409" s="32"/>
      <c r="EI409" s="32"/>
      <c r="EJ409" s="32"/>
      <c r="EK409" s="32"/>
      <c r="EL409" s="32"/>
      <c r="EM409" s="32"/>
      <c r="EN409" s="32"/>
      <c r="EO409" s="32"/>
      <c r="EP409" s="32"/>
      <c r="EQ409" s="32"/>
      <c r="ER409" s="32"/>
      <c r="ES409" s="32"/>
      <c r="ET409" s="32"/>
      <c r="EU409" s="32"/>
      <c r="EV409" s="32"/>
      <c r="EW409" s="32"/>
      <c r="EX409" s="32"/>
      <c r="EY409" s="32"/>
      <c r="EZ409" s="32"/>
      <c r="FA409" s="32"/>
      <c r="FB409" s="32"/>
      <c r="FC409" s="32"/>
      <c r="FD409" s="32"/>
      <c r="FE409" s="32"/>
      <c r="FF409" s="32"/>
      <c r="FG409" s="32"/>
      <c r="FH409" s="32"/>
      <c r="FI409" s="32"/>
      <c r="FJ409" s="32"/>
      <c r="FK409" s="32"/>
      <c r="FL409" s="32"/>
      <c r="FM409" s="32"/>
      <c r="FN409" s="32"/>
      <c r="FO409" s="32"/>
      <c r="FP409" s="32"/>
      <c r="FQ409" s="32"/>
      <c r="FR409" s="32"/>
      <c r="FS409" s="32"/>
      <c r="FT409" s="32"/>
      <c r="FU409" s="32"/>
      <c r="FV409" s="32"/>
      <c r="FW409" s="32"/>
      <c r="FX409" s="32"/>
      <c r="FY409" s="32"/>
      <c r="FZ409" s="32"/>
      <c r="GA409" s="32"/>
      <c r="GB409" s="32"/>
      <c r="GC409" s="32"/>
      <c r="GD409" s="32"/>
      <c r="GE409" s="32"/>
      <c r="GF409" s="32"/>
      <c r="GG409" s="32"/>
      <c r="GH409" s="32"/>
      <c r="GI409" s="32"/>
      <c r="GJ409" s="32"/>
      <c r="GK409" s="32"/>
      <c r="GL409" s="32"/>
      <c r="GM409" s="32"/>
      <c r="GN409" s="32"/>
      <c r="GO409" s="32"/>
      <c r="GP409" s="32"/>
      <c r="GQ409" s="32"/>
      <c r="GR409" s="32"/>
      <c r="GS409" s="32"/>
      <c r="GT409" s="32"/>
      <c r="GU409" s="32"/>
      <c r="GV409" s="32"/>
      <c r="GW409" s="32"/>
      <c r="GX409" s="32"/>
      <c r="GY409" s="32"/>
      <c r="GZ409" s="32"/>
      <c r="HA409" s="32"/>
      <c r="HB409" s="32"/>
      <c r="HC409" s="32"/>
      <c r="HD409" s="32"/>
      <c r="HE409" s="32"/>
      <c r="HF409" s="32"/>
      <c r="HG409" s="32"/>
      <c r="HH409" s="32"/>
      <c r="HI409" s="32"/>
      <c r="HJ409" s="32"/>
      <c r="HK409" s="32"/>
      <c r="HL409" s="32"/>
      <c r="HM409" s="32"/>
      <c r="HN409" s="32"/>
      <c r="HO409" s="32"/>
      <c r="HP409" s="32"/>
    </row>
    <row r="410" spans="1:224" x14ac:dyDescent="0.25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  <c r="BC410" s="32"/>
      <c r="BD410" s="32"/>
      <c r="BE410" s="32"/>
      <c r="BF410" s="32"/>
      <c r="BG410" s="32"/>
      <c r="BH410" s="32"/>
      <c r="BI410" s="32"/>
      <c r="BJ410" s="32"/>
      <c r="BK410" s="32"/>
      <c r="BL410" s="32"/>
      <c r="BM410" s="32"/>
      <c r="BN410" s="32"/>
      <c r="BO410" s="32"/>
      <c r="BP410" s="32"/>
      <c r="BQ410" s="32"/>
      <c r="BR410" s="32"/>
      <c r="BS410" s="32"/>
      <c r="BT410" s="32"/>
      <c r="BU410" s="32"/>
      <c r="BV410" s="32"/>
      <c r="BW410" s="32"/>
      <c r="BX410" s="32"/>
      <c r="BY410" s="32"/>
      <c r="BZ410" s="32"/>
      <c r="CA410" s="32"/>
      <c r="CB410" s="32"/>
      <c r="CC410" s="32"/>
      <c r="CD410" s="32"/>
      <c r="CE410" s="32"/>
      <c r="CF410" s="32"/>
      <c r="CG410" s="32"/>
      <c r="CH410" s="32"/>
      <c r="CI410" s="32"/>
      <c r="CJ410" s="32"/>
      <c r="CK410" s="32"/>
      <c r="CL410" s="32"/>
      <c r="CM410" s="32"/>
      <c r="CN410" s="32"/>
      <c r="CO410" s="32"/>
      <c r="CP410" s="32"/>
      <c r="CQ410" s="32"/>
      <c r="CR410" s="32"/>
      <c r="CS410" s="32"/>
      <c r="CT410" s="32"/>
      <c r="CU410" s="32"/>
      <c r="CV410" s="32"/>
      <c r="CW410" s="32"/>
      <c r="CX410" s="32"/>
      <c r="CY410" s="32"/>
      <c r="CZ410" s="32"/>
      <c r="DA410" s="32"/>
      <c r="DB410" s="32"/>
      <c r="DC410" s="32"/>
      <c r="DD410" s="32"/>
      <c r="DE410" s="32"/>
      <c r="DF410" s="32"/>
      <c r="DG410" s="32"/>
      <c r="DH410" s="32"/>
      <c r="DI410" s="32"/>
      <c r="DJ410" s="32"/>
      <c r="DK410" s="32"/>
      <c r="DL410" s="32"/>
      <c r="DM410" s="32"/>
      <c r="DN410" s="32"/>
      <c r="DO410" s="32"/>
      <c r="DP410" s="32"/>
      <c r="DQ410" s="32"/>
      <c r="DR410" s="32"/>
      <c r="DS410" s="32"/>
      <c r="DT410" s="32"/>
      <c r="DU410" s="32"/>
      <c r="DV410" s="32"/>
      <c r="DW410" s="32"/>
      <c r="DX410" s="32"/>
      <c r="DY410" s="32"/>
      <c r="DZ410" s="32"/>
      <c r="EA410" s="32"/>
      <c r="EB410" s="32"/>
      <c r="EC410" s="32"/>
      <c r="ED410" s="32"/>
      <c r="EE410" s="32"/>
      <c r="EF410" s="32"/>
      <c r="EG410" s="32"/>
      <c r="EH410" s="32"/>
      <c r="EI410" s="32"/>
      <c r="EJ410" s="32"/>
      <c r="EK410" s="32"/>
      <c r="EL410" s="32"/>
      <c r="EM410" s="32"/>
      <c r="EN410" s="32"/>
      <c r="EO410" s="32"/>
      <c r="EP410" s="32"/>
      <c r="EQ410" s="32"/>
      <c r="ER410" s="32"/>
      <c r="ES410" s="32"/>
      <c r="ET410" s="32"/>
      <c r="EU410" s="32"/>
      <c r="EV410" s="32"/>
      <c r="EW410" s="32"/>
      <c r="EX410" s="32"/>
      <c r="EY410" s="32"/>
      <c r="EZ410" s="32"/>
      <c r="FA410" s="32"/>
      <c r="FB410" s="32"/>
      <c r="FC410" s="32"/>
      <c r="FD410" s="32"/>
      <c r="FE410" s="32"/>
      <c r="FF410" s="32"/>
      <c r="FG410" s="32"/>
      <c r="FH410" s="32"/>
      <c r="FI410" s="32"/>
      <c r="FJ410" s="32"/>
      <c r="FK410" s="32"/>
      <c r="FL410" s="32"/>
      <c r="FM410" s="32"/>
      <c r="FN410" s="32"/>
      <c r="FO410" s="32"/>
      <c r="FP410" s="32"/>
      <c r="FQ410" s="32"/>
      <c r="FR410" s="32"/>
      <c r="FS410" s="32"/>
      <c r="FT410" s="32"/>
      <c r="FU410" s="32"/>
      <c r="FV410" s="32"/>
      <c r="FW410" s="32"/>
      <c r="FX410" s="32"/>
      <c r="FY410" s="32"/>
      <c r="FZ410" s="32"/>
      <c r="GA410" s="32"/>
      <c r="GB410" s="32"/>
      <c r="GC410" s="32"/>
      <c r="GD410" s="32"/>
      <c r="GE410" s="32"/>
      <c r="GF410" s="32"/>
      <c r="GG410" s="32"/>
      <c r="GH410" s="32"/>
      <c r="GI410" s="32"/>
      <c r="GJ410" s="32"/>
      <c r="GK410" s="32"/>
      <c r="GL410" s="32"/>
      <c r="GM410" s="32"/>
      <c r="GN410" s="32"/>
      <c r="GO410" s="32"/>
      <c r="GP410" s="32"/>
      <c r="GQ410" s="32"/>
      <c r="GR410" s="32"/>
      <c r="GS410" s="32"/>
      <c r="GT410" s="32"/>
      <c r="GU410" s="32"/>
      <c r="GV410" s="32"/>
      <c r="GW410" s="32"/>
      <c r="GX410" s="32"/>
      <c r="GY410" s="32"/>
      <c r="GZ410" s="32"/>
      <c r="HA410" s="32"/>
      <c r="HB410" s="32"/>
      <c r="HC410" s="32"/>
      <c r="HD410" s="32"/>
      <c r="HE410" s="32"/>
      <c r="HF410" s="32"/>
      <c r="HG410" s="32"/>
      <c r="HH410" s="32"/>
      <c r="HI410" s="32"/>
      <c r="HJ410" s="32"/>
      <c r="HK410" s="32"/>
      <c r="HL410" s="32"/>
      <c r="HM410" s="32"/>
      <c r="HN410" s="32"/>
      <c r="HO410" s="32"/>
      <c r="HP410" s="32"/>
    </row>
    <row r="411" spans="1:224" x14ac:dyDescent="0.25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  <c r="BD411" s="32"/>
      <c r="BE411" s="32"/>
      <c r="BF411" s="32"/>
      <c r="BG411" s="32"/>
      <c r="BH411" s="32"/>
      <c r="BI411" s="32"/>
      <c r="BJ411" s="32"/>
      <c r="BK411" s="32"/>
      <c r="BL411" s="32"/>
      <c r="BM411" s="32"/>
      <c r="BN411" s="32"/>
      <c r="BO411" s="32"/>
      <c r="BP411" s="32"/>
      <c r="BQ411" s="32"/>
      <c r="BR411" s="32"/>
      <c r="BS411" s="32"/>
      <c r="BT411" s="32"/>
      <c r="BU411" s="32"/>
      <c r="BV411" s="32"/>
      <c r="BW411" s="32"/>
      <c r="BX411" s="32"/>
      <c r="BY411" s="32"/>
      <c r="BZ411" s="32"/>
      <c r="CA411" s="32"/>
      <c r="CB411" s="32"/>
      <c r="CC411" s="32"/>
      <c r="CD411" s="32"/>
      <c r="CE411" s="32"/>
      <c r="CF411" s="32"/>
      <c r="CG411" s="32"/>
      <c r="CH411" s="32"/>
      <c r="CI411" s="32"/>
      <c r="CJ411" s="32"/>
      <c r="CK411" s="32"/>
      <c r="CL411" s="32"/>
      <c r="CM411" s="32"/>
      <c r="CN411" s="32"/>
      <c r="CO411" s="32"/>
      <c r="CP411" s="32"/>
      <c r="CQ411" s="32"/>
      <c r="CR411" s="32"/>
      <c r="CS411" s="32"/>
      <c r="CT411" s="32"/>
      <c r="CU411" s="32"/>
      <c r="CV411" s="32"/>
      <c r="CW411" s="32"/>
      <c r="CX411" s="32"/>
      <c r="CY411" s="32"/>
      <c r="CZ411" s="32"/>
      <c r="DA411" s="32"/>
      <c r="DB411" s="32"/>
      <c r="DC411" s="32"/>
      <c r="DD411" s="32"/>
      <c r="DE411" s="32"/>
      <c r="DF411" s="32"/>
      <c r="DG411" s="32"/>
      <c r="DH411" s="32"/>
      <c r="DI411" s="32"/>
      <c r="DJ411" s="32"/>
      <c r="DK411" s="32"/>
      <c r="DL411" s="32"/>
      <c r="DM411" s="32"/>
      <c r="DN411" s="32"/>
      <c r="DO411" s="32"/>
      <c r="DP411" s="32"/>
      <c r="DQ411" s="32"/>
      <c r="DR411" s="32"/>
      <c r="DS411" s="32"/>
      <c r="DT411" s="32"/>
      <c r="DU411" s="32"/>
      <c r="DV411" s="32"/>
      <c r="DW411" s="32"/>
      <c r="DX411" s="32"/>
      <c r="DY411" s="32"/>
      <c r="DZ411" s="32"/>
      <c r="EA411" s="32"/>
      <c r="EB411" s="32"/>
      <c r="EC411" s="32"/>
      <c r="ED411" s="32"/>
      <c r="EE411" s="32"/>
      <c r="EF411" s="32"/>
      <c r="EG411" s="32"/>
      <c r="EH411" s="32"/>
      <c r="EI411" s="32"/>
      <c r="EJ411" s="32"/>
      <c r="EK411" s="32"/>
      <c r="EL411" s="32"/>
      <c r="EM411" s="32"/>
      <c r="EN411" s="32"/>
      <c r="EO411" s="32"/>
      <c r="EP411" s="32"/>
      <c r="EQ411" s="32"/>
      <c r="ER411" s="32"/>
      <c r="ES411" s="32"/>
      <c r="ET411" s="32"/>
      <c r="EU411" s="32"/>
      <c r="EV411" s="32"/>
      <c r="EW411" s="32"/>
      <c r="EX411" s="32"/>
      <c r="EY411" s="32"/>
      <c r="EZ411" s="32"/>
      <c r="FA411" s="32"/>
      <c r="FB411" s="32"/>
      <c r="FC411" s="32"/>
      <c r="FD411" s="32"/>
      <c r="FE411" s="32"/>
      <c r="FF411" s="32"/>
      <c r="FG411" s="32"/>
      <c r="FH411" s="32"/>
      <c r="FI411" s="32"/>
      <c r="FJ411" s="32"/>
      <c r="FK411" s="32"/>
      <c r="FL411" s="32"/>
      <c r="FM411" s="32"/>
      <c r="FN411" s="32"/>
      <c r="FO411" s="32"/>
      <c r="FP411" s="32"/>
      <c r="FQ411" s="32"/>
      <c r="FR411" s="32"/>
      <c r="FS411" s="32"/>
      <c r="FT411" s="32"/>
      <c r="FU411" s="32"/>
      <c r="FV411" s="32"/>
      <c r="FW411" s="32"/>
      <c r="FX411" s="32"/>
      <c r="FY411" s="32"/>
      <c r="FZ411" s="32"/>
      <c r="GA411" s="32"/>
      <c r="GB411" s="32"/>
      <c r="GC411" s="32"/>
      <c r="GD411" s="32"/>
      <c r="GE411" s="32"/>
      <c r="GF411" s="32"/>
      <c r="GG411" s="32"/>
      <c r="GH411" s="32"/>
      <c r="GI411" s="32"/>
      <c r="GJ411" s="32"/>
      <c r="GK411" s="32"/>
      <c r="GL411" s="32"/>
      <c r="GM411" s="32"/>
      <c r="GN411" s="32"/>
      <c r="GO411" s="32"/>
      <c r="GP411" s="32"/>
      <c r="GQ411" s="32"/>
      <c r="GR411" s="32"/>
      <c r="GS411" s="32"/>
      <c r="GT411" s="32"/>
      <c r="GU411" s="32"/>
      <c r="GV411" s="32"/>
      <c r="GW411" s="32"/>
      <c r="GX411" s="32"/>
      <c r="GY411" s="32"/>
      <c r="GZ411" s="32"/>
      <c r="HA411" s="32"/>
      <c r="HB411" s="32"/>
      <c r="HC411" s="32"/>
      <c r="HD411" s="32"/>
      <c r="HE411" s="32"/>
      <c r="HF411" s="32"/>
      <c r="HG411" s="32"/>
      <c r="HH411" s="32"/>
      <c r="HI411" s="32"/>
      <c r="HJ411" s="32"/>
      <c r="HK411" s="32"/>
      <c r="HL411" s="32"/>
      <c r="HM411" s="32"/>
      <c r="HN411" s="32"/>
      <c r="HO411" s="32"/>
      <c r="HP411" s="32"/>
    </row>
    <row r="412" spans="1:224" x14ac:dyDescent="0.25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32"/>
      <c r="BC412" s="32"/>
      <c r="BD412" s="32"/>
      <c r="BE412" s="32"/>
      <c r="BF412" s="32"/>
      <c r="BG412" s="32"/>
      <c r="BH412" s="32"/>
      <c r="BI412" s="32"/>
      <c r="BJ412" s="32"/>
      <c r="BK412" s="32"/>
      <c r="BL412" s="32"/>
      <c r="BM412" s="32"/>
      <c r="BN412" s="32"/>
      <c r="BO412" s="32"/>
      <c r="BP412" s="32"/>
      <c r="BQ412" s="32"/>
      <c r="BR412" s="32"/>
      <c r="BS412" s="32"/>
      <c r="BT412" s="32"/>
      <c r="BU412" s="32"/>
      <c r="BV412" s="32"/>
      <c r="BW412" s="32"/>
      <c r="BX412" s="32"/>
      <c r="BY412" s="32"/>
      <c r="BZ412" s="32"/>
      <c r="CA412" s="32"/>
      <c r="CB412" s="32"/>
      <c r="CC412" s="32"/>
      <c r="CD412" s="32"/>
      <c r="CE412" s="32"/>
      <c r="CF412" s="32"/>
      <c r="CG412" s="32"/>
      <c r="CH412" s="32"/>
      <c r="CI412" s="32"/>
      <c r="CJ412" s="32"/>
      <c r="CK412" s="32"/>
      <c r="CL412" s="32"/>
      <c r="CM412" s="32"/>
      <c r="CN412" s="32"/>
      <c r="CO412" s="32"/>
      <c r="CP412" s="32"/>
      <c r="CQ412" s="32"/>
      <c r="CR412" s="32"/>
      <c r="CS412" s="32"/>
      <c r="CT412" s="32"/>
      <c r="CU412" s="32"/>
      <c r="CV412" s="32"/>
      <c r="CW412" s="32"/>
      <c r="CX412" s="32"/>
      <c r="CY412" s="32"/>
      <c r="CZ412" s="32"/>
      <c r="DA412" s="32"/>
      <c r="DB412" s="32"/>
      <c r="DC412" s="32"/>
      <c r="DD412" s="32"/>
      <c r="DE412" s="32"/>
      <c r="DF412" s="32"/>
      <c r="DG412" s="32"/>
      <c r="DH412" s="32"/>
      <c r="DI412" s="32"/>
      <c r="DJ412" s="32"/>
      <c r="DK412" s="32"/>
      <c r="DL412" s="32"/>
      <c r="DM412" s="32"/>
      <c r="DN412" s="32"/>
      <c r="DO412" s="32"/>
      <c r="DP412" s="32"/>
      <c r="DQ412" s="32"/>
      <c r="DR412" s="32"/>
      <c r="DS412" s="32"/>
      <c r="DT412" s="32"/>
      <c r="DU412" s="32"/>
      <c r="DV412" s="32"/>
      <c r="DW412" s="32"/>
      <c r="DX412" s="32"/>
      <c r="DY412" s="32"/>
      <c r="DZ412" s="32"/>
      <c r="EA412" s="32"/>
      <c r="EB412" s="32"/>
      <c r="EC412" s="32"/>
      <c r="ED412" s="32"/>
      <c r="EE412" s="32"/>
      <c r="EF412" s="32"/>
      <c r="EG412" s="32"/>
      <c r="EH412" s="32"/>
      <c r="EI412" s="32"/>
      <c r="EJ412" s="32"/>
      <c r="EK412" s="32"/>
      <c r="EL412" s="32"/>
      <c r="EM412" s="32"/>
      <c r="EN412" s="32"/>
      <c r="EO412" s="32"/>
      <c r="EP412" s="32"/>
      <c r="EQ412" s="32"/>
      <c r="ER412" s="32"/>
      <c r="ES412" s="32"/>
      <c r="ET412" s="32"/>
      <c r="EU412" s="32"/>
      <c r="EV412" s="32"/>
      <c r="EW412" s="32"/>
      <c r="EX412" s="32"/>
      <c r="EY412" s="32"/>
      <c r="EZ412" s="32"/>
      <c r="FA412" s="32"/>
      <c r="FB412" s="32"/>
      <c r="FC412" s="32"/>
      <c r="FD412" s="32"/>
      <c r="FE412" s="32"/>
      <c r="FF412" s="32"/>
      <c r="FG412" s="32"/>
      <c r="FH412" s="32"/>
      <c r="FI412" s="32"/>
      <c r="FJ412" s="32"/>
      <c r="FK412" s="32"/>
      <c r="FL412" s="32"/>
      <c r="FM412" s="32"/>
      <c r="FN412" s="32"/>
      <c r="FO412" s="32"/>
      <c r="FP412" s="32"/>
      <c r="FQ412" s="32"/>
      <c r="FR412" s="32"/>
      <c r="FS412" s="32"/>
      <c r="FT412" s="32"/>
      <c r="FU412" s="32"/>
      <c r="FV412" s="32"/>
      <c r="FW412" s="32"/>
      <c r="FX412" s="32"/>
      <c r="FY412" s="32"/>
      <c r="FZ412" s="32"/>
      <c r="GA412" s="32"/>
      <c r="GB412" s="32"/>
      <c r="GC412" s="32"/>
      <c r="GD412" s="32"/>
      <c r="GE412" s="32"/>
      <c r="GF412" s="32"/>
      <c r="GG412" s="32"/>
      <c r="GH412" s="32"/>
      <c r="GI412" s="32"/>
      <c r="GJ412" s="32"/>
      <c r="GK412" s="32"/>
      <c r="GL412" s="32"/>
      <c r="GM412" s="32"/>
      <c r="GN412" s="32"/>
      <c r="GO412" s="32"/>
      <c r="GP412" s="32"/>
      <c r="GQ412" s="32"/>
      <c r="GR412" s="32"/>
      <c r="GS412" s="32"/>
      <c r="GT412" s="32"/>
      <c r="GU412" s="32"/>
      <c r="GV412" s="32"/>
      <c r="GW412" s="32"/>
      <c r="GX412" s="32"/>
      <c r="GY412" s="32"/>
      <c r="GZ412" s="32"/>
      <c r="HA412" s="32"/>
      <c r="HB412" s="32"/>
      <c r="HC412" s="32"/>
      <c r="HD412" s="32"/>
      <c r="HE412" s="32"/>
      <c r="HF412" s="32"/>
      <c r="HG412" s="32"/>
      <c r="HH412" s="32"/>
      <c r="HI412" s="32"/>
      <c r="HJ412" s="32"/>
      <c r="HK412" s="32"/>
      <c r="HL412" s="32"/>
      <c r="HM412" s="32"/>
      <c r="HN412" s="32"/>
      <c r="HO412" s="32"/>
      <c r="HP412" s="32"/>
    </row>
    <row r="413" spans="1:224" x14ac:dyDescent="0.25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32"/>
      <c r="BC413" s="32"/>
      <c r="BD413" s="32"/>
      <c r="BE413" s="32"/>
      <c r="BF413" s="32"/>
      <c r="BG413" s="32"/>
      <c r="BH413" s="32"/>
      <c r="BI413" s="32"/>
      <c r="BJ413" s="32"/>
      <c r="BK413" s="32"/>
      <c r="BL413" s="32"/>
      <c r="BM413" s="32"/>
      <c r="BN413" s="32"/>
      <c r="BO413" s="32"/>
      <c r="BP413" s="32"/>
      <c r="BQ413" s="32"/>
      <c r="BR413" s="32"/>
      <c r="BS413" s="32"/>
      <c r="BT413" s="32"/>
      <c r="BU413" s="32"/>
      <c r="BV413" s="32"/>
      <c r="BW413" s="32"/>
      <c r="BX413" s="32"/>
      <c r="BY413" s="32"/>
      <c r="BZ413" s="32"/>
      <c r="CA413" s="32"/>
      <c r="CB413" s="32"/>
      <c r="CC413" s="32"/>
      <c r="CD413" s="32"/>
      <c r="CE413" s="32"/>
      <c r="CF413" s="32"/>
      <c r="CG413" s="32"/>
      <c r="CH413" s="32"/>
      <c r="CI413" s="32"/>
      <c r="CJ413" s="32"/>
      <c r="CK413" s="32"/>
      <c r="CL413" s="32"/>
      <c r="CM413" s="32"/>
      <c r="CN413" s="32"/>
      <c r="CO413" s="32"/>
      <c r="CP413" s="32"/>
      <c r="CQ413" s="32"/>
      <c r="CR413" s="32"/>
      <c r="CS413" s="32"/>
      <c r="CT413" s="32"/>
      <c r="CU413" s="32"/>
      <c r="CV413" s="32"/>
      <c r="CW413" s="32"/>
      <c r="CX413" s="32"/>
      <c r="CY413" s="32"/>
      <c r="CZ413" s="32"/>
      <c r="DA413" s="32"/>
      <c r="DB413" s="32"/>
      <c r="DC413" s="32"/>
      <c r="DD413" s="32"/>
      <c r="DE413" s="32"/>
      <c r="DF413" s="32"/>
      <c r="DG413" s="32"/>
      <c r="DH413" s="32"/>
      <c r="DI413" s="32"/>
      <c r="DJ413" s="32"/>
      <c r="DK413" s="32"/>
      <c r="DL413" s="32"/>
      <c r="DM413" s="32"/>
      <c r="DN413" s="32"/>
      <c r="DO413" s="32"/>
      <c r="DP413" s="32"/>
      <c r="DQ413" s="32"/>
      <c r="DR413" s="32"/>
      <c r="DS413" s="32"/>
      <c r="DT413" s="32"/>
      <c r="DU413" s="32"/>
      <c r="DV413" s="32"/>
      <c r="DW413" s="32"/>
      <c r="DX413" s="32"/>
      <c r="DY413" s="32"/>
      <c r="DZ413" s="32"/>
      <c r="EA413" s="32"/>
      <c r="EB413" s="32"/>
      <c r="EC413" s="32"/>
      <c r="ED413" s="32"/>
      <c r="EE413" s="32"/>
      <c r="EF413" s="32"/>
      <c r="EG413" s="32"/>
      <c r="EH413" s="32"/>
      <c r="EI413" s="32"/>
      <c r="EJ413" s="32"/>
      <c r="EK413" s="32"/>
      <c r="EL413" s="32"/>
      <c r="EM413" s="32"/>
      <c r="EN413" s="32"/>
      <c r="EO413" s="32"/>
      <c r="EP413" s="32"/>
      <c r="EQ413" s="32"/>
      <c r="ER413" s="32"/>
      <c r="ES413" s="32"/>
      <c r="ET413" s="32"/>
      <c r="EU413" s="32"/>
      <c r="EV413" s="32"/>
      <c r="EW413" s="32"/>
      <c r="EX413" s="32"/>
      <c r="EY413" s="32"/>
      <c r="EZ413" s="32"/>
      <c r="FA413" s="32"/>
      <c r="FB413" s="32"/>
      <c r="FC413" s="32"/>
      <c r="FD413" s="32"/>
      <c r="FE413" s="32"/>
      <c r="FF413" s="32"/>
      <c r="FG413" s="32"/>
      <c r="FH413" s="32"/>
      <c r="FI413" s="32"/>
      <c r="FJ413" s="32"/>
      <c r="FK413" s="32"/>
      <c r="FL413" s="32"/>
      <c r="FM413" s="32"/>
      <c r="FN413" s="32"/>
      <c r="FO413" s="32"/>
      <c r="FP413" s="32"/>
      <c r="FQ413" s="32"/>
      <c r="FR413" s="32"/>
      <c r="FS413" s="32"/>
      <c r="FT413" s="32"/>
      <c r="FU413" s="32"/>
      <c r="FV413" s="32"/>
      <c r="FW413" s="32"/>
      <c r="FX413" s="32"/>
      <c r="FY413" s="32"/>
      <c r="FZ413" s="32"/>
      <c r="GA413" s="32"/>
      <c r="GB413" s="32"/>
      <c r="GC413" s="32"/>
      <c r="GD413" s="32"/>
      <c r="GE413" s="32"/>
      <c r="GF413" s="32"/>
      <c r="GG413" s="32"/>
      <c r="GH413" s="32"/>
      <c r="GI413" s="32"/>
      <c r="GJ413" s="32"/>
      <c r="GK413" s="32"/>
      <c r="GL413" s="32"/>
      <c r="GM413" s="32"/>
      <c r="GN413" s="32"/>
      <c r="GO413" s="32"/>
      <c r="GP413" s="32"/>
      <c r="GQ413" s="32"/>
      <c r="GR413" s="32"/>
      <c r="GS413" s="32"/>
      <c r="GT413" s="32"/>
      <c r="GU413" s="32"/>
      <c r="GV413" s="32"/>
      <c r="GW413" s="32"/>
      <c r="GX413" s="32"/>
      <c r="GY413" s="32"/>
      <c r="GZ413" s="32"/>
      <c r="HA413" s="32"/>
      <c r="HB413" s="32"/>
      <c r="HC413" s="32"/>
      <c r="HD413" s="32"/>
      <c r="HE413" s="32"/>
      <c r="HF413" s="32"/>
      <c r="HG413" s="32"/>
      <c r="HH413" s="32"/>
      <c r="HI413" s="32"/>
      <c r="HJ413" s="32"/>
      <c r="HK413" s="32"/>
      <c r="HL413" s="32"/>
      <c r="HM413" s="32"/>
      <c r="HN413" s="32"/>
      <c r="HO413" s="32"/>
      <c r="HP413" s="32"/>
    </row>
    <row r="414" spans="1:224" x14ac:dyDescent="0.25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  <c r="BD414" s="32"/>
      <c r="BE414" s="32"/>
      <c r="BF414" s="32"/>
      <c r="BG414" s="32"/>
      <c r="BH414" s="32"/>
      <c r="BI414" s="32"/>
      <c r="BJ414" s="32"/>
      <c r="BK414" s="32"/>
      <c r="BL414" s="32"/>
      <c r="BM414" s="32"/>
      <c r="BN414" s="32"/>
      <c r="BO414" s="32"/>
      <c r="BP414" s="32"/>
      <c r="BQ414" s="32"/>
      <c r="BR414" s="32"/>
      <c r="BS414" s="32"/>
      <c r="BT414" s="32"/>
      <c r="BU414" s="32"/>
      <c r="BV414" s="32"/>
      <c r="BW414" s="32"/>
      <c r="BX414" s="32"/>
      <c r="BY414" s="32"/>
      <c r="BZ414" s="32"/>
      <c r="CA414" s="32"/>
      <c r="CB414" s="32"/>
      <c r="CC414" s="32"/>
      <c r="CD414" s="32"/>
      <c r="CE414" s="32"/>
      <c r="CF414" s="32"/>
      <c r="CG414" s="32"/>
      <c r="CH414" s="32"/>
      <c r="CI414" s="32"/>
      <c r="CJ414" s="32"/>
      <c r="CK414" s="32"/>
      <c r="CL414" s="32"/>
      <c r="CM414" s="32"/>
      <c r="CN414" s="32"/>
      <c r="CO414" s="32"/>
      <c r="CP414" s="32"/>
      <c r="CQ414" s="32"/>
      <c r="CR414" s="32"/>
      <c r="CS414" s="32"/>
      <c r="CT414" s="32"/>
      <c r="CU414" s="32"/>
      <c r="CV414" s="32"/>
      <c r="CW414" s="32"/>
      <c r="CX414" s="32"/>
      <c r="CY414" s="32"/>
      <c r="CZ414" s="32"/>
      <c r="DA414" s="32"/>
      <c r="DB414" s="32"/>
      <c r="DC414" s="32"/>
      <c r="DD414" s="32"/>
      <c r="DE414" s="32"/>
      <c r="DF414" s="32"/>
      <c r="DG414" s="32"/>
      <c r="DH414" s="32"/>
      <c r="DI414" s="32"/>
      <c r="DJ414" s="32"/>
      <c r="DK414" s="32"/>
      <c r="DL414" s="32"/>
      <c r="DM414" s="32"/>
      <c r="DN414" s="32"/>
      <c r="DO414" s="32"/>
      <c r="DP414" s="32"/>
      <c r="DQ414" s="32"/>
      <c r="DR414" s="32"/>
      <c r="DS414" s="32"/>
      <c r="DT414" s="32"/>
      <c r="DU414" s="32"/>
      <c r="DV414" s="32"/>
      <c r="DW414" s="32"/>
      <c r="DX414" s="32"/>
      <c r="DY414" s="32"/>
      <c r="DZ414" s="32"/>
      <c r="EA414" s="32"/>
      <c r="EB414" s="32"/>
      <c r="EC414" s="32"/>
      <c r="ED414" s="32"/>
      <c r="EE414" s="32"/>
      <c r="EF414" s="32"/>
      <c r="EG414" s="32"/>
      <c r="EH414" s="32"/>
      <c r="EI414" s="32"/>
      <c r="EJ414" s="32"/>
      <c r="EK414" s="32"/>
      <c r="EL414" s="32"/>
      <c r="EM414" s="32"/>
      <c r="EN414" s="32"/>
      <c r="EO414" s="32"/>
      <c r="EP414" s="32"/>
      <c r="EQ414" s="32"/>
      <c r="ER414" s="32"/>
      <c r="ES414" s="32"/>
      <c r="ET414" s="32"/>
      <c r="EU414" s="32"/>
      <c r="EV414" s="32"/>
      <c r="EW414" s="32"/>
      <c r="EX414" s="32"/>
      <c r="EY414" s="32"/>
      <c r="EZ414" s="32"/>
      <c r="FA414" s="32"/>
      <c r="FB414" s="32"/>
      <c r="FC414" s="32"/>
      <c r="FD414" s="32"/>
      <c r="FE414" s="32"/>
      <c r="FF414" s="32"/>
      <c r="FG414" s="32"/>
      <c r="FH414" s="32"/>
      <c r="FI414" s="32"/>
      <c r="FJ414" s="32"/>
      <c r="FK414" s="32"/>
      <c r="FL414" s="32"/>
      <c r="FM414" s="32"/>
      <c r="FN414" s="32"/>
      <c r="FO414" s="32"/>
      <c r="FP414" s="32"/>
      <c r="FQ414" s="32"/>
      <c r="FR414" s="32"/>
      <c r="FS414" s="32"/>
      <c r="FT414" s="32"/>
      <c r="FU414" s="32"/>
      <c r="FV414" s="32"/>
      <c r="FW414" s="32"/>
      <c r="FX414" s="32"/>
      <c r="FY414" s="32"/>
      <c r="FZ414" s="32"/>
      <c r="GA414" s="32"/>
      <c r="GB414" s="32"/>
      <c r="GC414" s="32"/>
      <c r="GD414" s="32"/>
      <c r="GE414" s="32"/>
      <c r="GF414" s="32"/>
      <c r="GG414" s="32"/>
      <c r="GH414" s="32"/>
      <c r="GI414" s="32"/>
      <c r="GJ414" s="32"/>
      <c r="GK414" s="32"/>
      <c r="GL414" s="32"/>
      <c r="GM414" s="32"/>
      <c r="GN414" s="32"/>
      <c r="GO414" s="32"/>
      <c r="GP414" s="32"/>
      <c r="GQ414" s="32"/>
      <c r="GR414" s="32"/>
      <c r="GS414" s="32"/>
      <c r="GT414" s="32"/>
      <c r="GU414" s="32"/>
      <c r="GV414" s="32"/>
      <c r="GW414" s="32"/>
      <c r="GX414" s="32"/>
      <c r="GY414" s="32"/>
      <c r="GZ414" s="32"/>
      <c r="HA414" s="32"/>
      <c r="HB414" s="32"/>
      <c r="HC414" s="32"/>
      <c r="HD414" s="32"/>
      <c r="HE414" s="32"/>
      <c r="HF414" s="32"/>
      <c r="HG414" s="32"/>
      <c r="HH414" s="32"/>
      <c r="HI414" s="32"/>
      <c r="HJ414" s="32"/>
      <c r="HK414" s="32"/>
      <c r="HL414" s="32"/>
      <c r="HM414" s="32"/>
      <c r="HN414" s="32"/>
      <c r="HO414" s="32"/>
      <c r="HP414" s="32"/>
    </row>
    <row r="415" spans="1:224" x14ac:dyDescent="0.2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  <c r="BW415" s="32"/>
      <c r="BX415" s="32"/>
      <c r="BY415" s="32"/>
      <c r="BZ415" s="32"/>
      <c r="CA415" s="32"/>
      <c r="CB415" s="32"/>
      <c r="CC415" s="32"/>
      <c r="CD415" s="32"/>
      <c r="CE415" s="32"/>
      <c r="CF415" s="32"/>
      <c r="CG415" s="32"/>
      <c r="CH415" s="32"/>
      <c r="CI415" s="32"/>
      <c r="CJ415" s="32"/>
      <c r="CK415" s="32"/>
      <c r="CL415" s="32"/>
      <c r="CM415" s="32"/>
      <c r="CN415" s="32"/>
      <c r="CO415" s="32"/>
      <c r="CP415" s="32"/>
      <c r="CQ415" s="32"/>
      <c r="CR415" s="32"/>
      <c r="CS415" s="32"/>
      <c r="CT415" s="32"/>
      <c r="CU415" s="32"/>
      <c r="CV415" s="32"/>
      <c r="CW415" s="32"/>
      <c r="CX415" s="32"/>
      <c r="CY415" s="32"/>
      <c r="CZ415" s="32"/>
      <c r="DA415" s="32"/>
      <c r="DB415" s="32"/>
      <c r="DC415" s="32"/>
      <c r="DD415" s="32"/>
      <c r="DE415" s="32"/>
      <c r="DF415" s="32"/>
      <c r="DG415" s="32"/>
      <c r="DH415" s="32"/>
      <c r="DI415" s="32"/>
      <c r="DJ415" s="32"/>
      <c r="DK415" s="32"/>
      <c r="DL415" s="32"/>
      <c r="DM415" s="32"/>
      <c r="DN415" s="32"/>
      <c r="DO415" s="32"/>
      <c r="DP415" s="32"/>
      <c r="DQ415" s="32"/>
      <c r="DR415" s="32"/>
      <c r="DS415" s="32"/>
      <c r="DT415" s="32"/>
      <c r="DU415" s="32"/>
      <c r="DV415" s="32"/>
      <c r="DW415" s="32"/>
      <c r="DX415" s="32"/>
      <c r="DY415" s="32"/>
      <c r="DZ415" s="32"/>
      <c r="EA415" s="32"/>
      <c r="EB415" s="32"/>
      <c r="EC415" s="32"/>
      <c r="ED415" s="32"/>
      <c r="EE415" s="32"/>
      <c r="EF415" s="32"/>
      <c r="EG415" s="32"/>
      <c r="EH415" s="32"/>
      <c r="EI415" s="32"/>
      <c r="EJ415" s="32"/>
      <c r="EK415" s="32"/>
      <c r="EL415" s="32"/>
      <c r="EM415" s="32"/>
      <c r="EN415" s="32"/>
      <c r="EO415" s="32"/>
      <c r="EP415" s="32"/>
      <c r="EQ415" s="32"/>
      <c r="ER415" s="32"/>
      <c r="ES415" s="32"/>
      <c r="ET415" s="32"/>
      <c r="EU415" s="32"/>
      <c r="EV415" s="32"/>
      <c r="EW415" s="32"/>
      <c r="EX415" s="32"/>
      <c r="EY415" s="32"/>
      <c r="EZ415" s="32"/>
      <c r="FA415" s="32"/>
      <c r="FB415" s="32"/>
      <c r="FC415" s="32"/>
      <c r="FD415" s="32"/>
      <c r="FE415" s="32"/>
      <c r="FF415" s="32"/>
      <c r="FG415" s="32"/>
      <c r="FH415" s="32"/>
      <c r="FI415" s="32"/>
      <c r="FJ415" s="32"/>
      <c r="FK415" s="32"/>
      <c r="FL415" s="32"/>
      <c r="FM415" s="32"/>
      <c r="FN415" s="32"/>
      <c r="FO415" s="32"/>
      <c r="FP415" s="32"/>
      <c r="FQ415" s="32"/>
      <c r="FR415" s="32"/>
      <c r="FS415" s="32"/>
      <c r="FT415" s="32"/>
      <c r="FU415" s="32"/>
      <c r="FV415" s="32"/>
      <c r="FW415" s="32"/>
      <c r="FX415" s="32"/>
      <c r="FY415" s="32"/>
      <c r="FZ415" s="32"/>
      <c r="GA415" s="32"/>
      <c r="GB415" s="32"/>
      <c r="GC415" s="32"/>
      <c r="GD415" s="32"/>
      <c r="GE415" s="32"/>
      <c r="GF415" s="32"/>
      <c r="GG415" s="32"/>
      <c r="GH415" s="32"/>
      <c r="GI415" s="32"/>
      <c r="GJ415" s="32"/>
      <c r="GK415" s="32"/>
      <c r="GL415" s="32"/>
      <c r="GM415" s="32"/>
      <c r="GN415" s="32"/>
      <c r="GO415" s="32"/>
      <c r="GP415" s="32"/>
      <c r="GQ415" s="32"/>
      <c r="GR415" s="32"/>
      <c r="GS415" s="32"/>
      <c r="GT415" s="32"/>
      <c r="GU415" s="32"/>
      <c r="GV415" s="32"/>
      <c r="GW415" s="32"/>
      <c r="GX415" s="32"/>
      <c r="GY415" s="32"/>
      <c r="GZ415" s="32"/>
      <c r="HA415" s="32"/>
      <c r="HB415" s="32"/>
      <c r="HC415" s="32"/>
      <c r="HD415" s="32"/>
      <c r="HE415" s="32"/>
      <c r="HF415" s="32"/>
      <c r="HG415" s="32"/>
      <c r="HH415" s="32"/>
      <c r="HI415" s="32"/>
      <c r="HJ415" s="32"/>
      <c r="HK415" s="32"/>
      <c r="HL415" s="32"/>
      <c r="HM415" s="32"/>
      <c r="HN415" s="32"/>
      <c r="HO415" s="32"/>
      <c r="HP415" s="32"/>
    </row>
    <row r="416" spans="1:224" x14ac:dyDescent="0.25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  <c r="BE416" s="32"/>
      <c r="BF416" s="32"/>
      <c r="BG416" s="32"/>
      <c r="BH416" s="32"/>
      <c r="BI416" s="32"/>
      <c r="BJ416" s="32"/>
      <c r="BK416" s="32"/>
      <c r="BL416" s="32"/>
      <c r="BM416" s="32"/>
      <c r="BN416" s="32"/>
      <c r="BO416" s="32"/>
      <c r="BP416" s="32"/>
      <c r="BQ416" s="32"/>
      <c r="BR416" s="32"/>
      <c r="BS416" s="32"/>
      <c r="BT416" s="32"/>
      <c r="BU416" s="32"/>
      <c r="BV416" s="32"/>
      <c r="BW416" s="32"/>
      <c r="BX416" s="32"/>
      <c r="BY416" s="32"/>
      <c r="BZ416" s="32"/>
      <c r="CA416" s="32"/>
      <c r="CB416" s="32"/>
      <c r="CC416" s="32"/>
      <c r="CD416" s="32"/>
      <c r="CE416" s="32"/>
      <c r="CF416" s="32"/>
      <c r="CG416" s="32"/>
      <c r="CH416" s="32"/>
      <c r="CI416" s="32"/>
      <c r="CJ416" s="32"/>
      <c r="CK416" s="32"/>
      <c r="CL416" s="32"/>
      <c r="CM416" s="32"/>
      <c r="CN416" s="32"/>
      <c r="CO416" s="32"/>
      <c r="CP416" s="32"/>
      <c r="CQ416" s="32"/>
      <c r="CR416" s="32"/>
      <c r="CS416" s="32"/>
      <c r="CT416" s="32"/>
      <c r="CU416" s="32"/>
      <c r="CV416" s="32"/>
      <c r="CW416" s="32"/>
      <c r="CX416" s="32"/>
      <c r="CY416" s="32"/>
      <c r="CZ416" s="32"/>
      <c r="DA416" s="32"/>
      <c r="DB416" s="32"/>
      <c r="DC416" s="32"/>
      <c r="DD416" s="32"/>
      <c r="DE416" s="32"/>
      <c r="DF416" s="32"/>
      <c r="DG416" s="32"/>
      <c r="DH416" s="32"/>
      <c r="DI416" s="32"/>
      <c r="DJ416" s="32"/>
      <c r="DK416" s="32"/>
      <c r="DL416" s="32"/>
      <c r="DM416" s="32"/>
      <c r="DN416" s="32"/>
      <c r="DO416" s="32"/>
      <c r="DP416" s="32"/>
      <c r="DQ416" s="32"/>
      <c r="DR416" s="32"/>
      <c r="DS416" s="32"/>
      <c r="DT416" s="32"/>
      <c r="DU416" s="32"/>
      <c r="DV416" s="32"/>
      <c r="DW416" s="32"/>
      <c r="DX416" s="32"/>
      <c r="DY416" s="32"/>
      <c r="DZ416" s="32"/>
      <c r="EA416" s="32"/>
      <c r="EB416" s="32"/>
      <c r="EC416" s="32"/>
      <c r="ED416" s="32"/>
      <c r="EE416" s="32"/>
      <c r="EF416" s="32"/>
      <c r="EG416" s="32"/>
      <c r="EH416" s="32"/>
      <c r="EI416" s="32"/>
      <c r="EJ416" s="32"/>
      <c r="EK416" s="32"/>
      <c r="EL416" s="32"/>
      <c r="EM416" s="32"/>
      <c r="EN416" s="32"/>
      <c r="EO416" s="32"/>
      <c r="EP416" s="32"/>
      <c r="EQ416" s="32"/>
      <c r="ER416" s="32"/>
      <c r="ES416" s="32"/>
      <c r="ET416" s="32"/>
      <c r="EU416" s="32"/>
      <c r="EV416" s="32"/>
      <c r="EW416" s="32"/>
      <c r="EX416" s="32"/>
      <c r="EY416" s="32"/>
      <c r="EZ416" s="32"/>
      <c r="FA416" s="32"/>
      <c r="FB416" s="32"/>
      <c r="FC416" s="32"/>
      <c r="FD416" s="32"/>
      <c r="FE416" s="32"/>
      <c r="FF416" s="32"/>
      <c r="FG416" s="32"/>
      <c r="FH416" s="32"/>
      <c r="FI416" s="32"/>
      <c r="FJ416" s="32"/>
      <c r="FK416" s="32"/>
      <c r="FL416" s="32"/>
      <c r="FM416" s="32"/>
      <c r="FN416" s="32"/>
      <c r="FO416" s="32"/>
      <c r="FP416" s="32"/>
      <c r="FQ416" s="32"/>
      <c r="FR416" s="32"/>
      <c r="FS416" s="32"/>
      <c r="FT416" s="32"/>
      <c r="FU416" s="32"/>
      <c r="FV416" s="32"/>
      <c r="FW416" s="32"/>
      <c r="FX416" s="32"/>
      <c r="FY416" s="32"/>
      <c r="FZ416" s="32"/>
      <c r="GA416" s="32"/>
      <c r="GB416" s="32"/>
      <c r="GC416" s="32"/>
      <c r="GD416" s="32"/>
      <c r="GE416" s="32"/>
      <c r="GF416" s="32"/>
      <c r="GG416" s="32"/>
      <c r="GH416" s="32"/>
      <c r="GI416" s="32"/>
      <c r="GJ416" s="32"/>
      <c r="GK416" s="32"/>
      <c r="GL416" s="32"/>
      <c r="GM416" s="32"/>
      <c r="GN416" s="32"/>
      <c r="GO416" s="32"/>
      <c r="GP416" s="32"/>
      <c r="GQ416" s="32"/>
      <c r="GR416" s="32"/>
      <c r="GS416" s="32"/>
      <c r="GT416" s="32"/>
      <c r="GU416" s="32"/>
      <c r="GV416" s="32"/>
      <c r="GW416" s="32"/>
      <c r="GX416" s="32"/>
      <c r="GY416" s="32"/>
      <c r="GZ416" s="32"/>
      <c r="HA416" s="32"/>
      <c r="HB416" s="32"/>
      <c r="HC416" s="32"/>
      <c r="HD416" s="32"/>
      <c r="HE416" s="32"/>
      <c r="HF416" s="32"/>
      <c r="HG416" s="32"/>
      <c r="HH416" s="32"/>
      <c r="HI416" s="32"/>
      <c r="HJ416" s="32"/>
      <c r="HK416" s="32"/>
      <c r="HL416" s="32"/>
      <c r="HM416" s="32"/>
      <c r="HN416" s="32"/>
      <c r="HO416" s="32"/>
      <c r="HP416" s="32"/>
    </row>
    <row r="417" spans="1:224" x14ac:dyDescent="0.25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  <c r="BD417" s="32"/>
      <c r="BE417" s="32"/>
      <c r="BF417" s="32"/>
      <c r="BG417" s="32"/>
      <c r="BH417" s="32"/>
      <c r="BI417" s="32"/>
      <c r="BJ417" s="32"/>
      <c r="BK417" s="32"/>
      <c r="BL417" s="32"/>
      <c r="BM417" s="32"/>
      <c r="BN417" s="32"/>
      <c r="BO417" s="32"/>
      <c r="BP417" s="32"/>
      <c r="BQ417" s="32"/>
      <c r="BR417" s="32"/>
      <c r="BS417" s="32"/>
      <c r="BT417" s="32"/>
      <c r="BU417" s="32"/>
      <c r="BV417" s="32"/>
      <c r="BW417" s="32"/>
      <c r="BX417" s="32"/>
      <c r="BY417" s="32"/>
      <c r="BZ417" s="32"/>
      <c r="CA417" s="32"/>
      <c r="CB417" s="32"/>
      <c r="CC417" s="32"/>
      <c r="CD417" s="32"/>
      <c r="CE417" s="32"/>
      <c r="CF417" s="32"/>
      <c r="CG417" s="32"/>
      <c r="CH417" s="32"/>
      <c r="CI417" s="32"/>
      <c r="CJ417" s="32"/>
      <c r="CK417" s="32"/>
      <c r="CL417" s="32"/>
      <c r="CM417" s="32"/>
      <c r="CN417" s="32"/>
      <c r="CO417" s="32"/>
      <c r="CP417" s="32"/>
      <c r="CQ417" s="32"/>
      <c r="CR417" s="32"/>
      <c r="CS417" s="32"/>
      <c r="CT417" s="32"/>
      <c r="CU417" s="32"/>
      <c r="CV417" s="32"/>
      <c r="CW417" s="32"/>
      <c r="CX417" s="32"/>
      <c r="CY417" s="32"/>
      <c r="CZ417" s="32"/>
      <c r="DA417" s="32"/>
      <c r="DB417" s="32"/>
      <c r="DC417" s="32"/>
      <c r="DD417" s="32"/>
      <c r="DE417" s="32"/>
      <c r="DF417" s="32"/>
      <c r="DG417" s="32"/>
      <c r="DH417" s="32"/>
      <c r="DI417" s="32"/>
      <c r="DJ417" s="32"/>
      <c r="DK417" s="32"/>
      <c r="DL417" s="32"/>
      <c r="DM417" s="32"/>
      <c r="DN417" s="32"/>
      <c r="DO417" s="32"/>
      <c r="DP417" s="32"/>
      <c r="DQ417" s="32"/>
      <c r="DR417" s="32"/>
      <c r="DS417" s="32"/>
      <c r="DT417" s="32"/>
      <c r="DU417" s="32"/>
      <c r="DV417" s="32"/>
      <c r="DW417" s="32"/>
      <c r="DX417" s="32"/>
      <c r="DY417" s="32"/>
      <c r="DZ417" s="32"/>
      <c r="EA417" s="32"/>
      <c r="EB417" s="32"/>
      <c r="EC417" s="32"/>
      <c r="ED417" s="32"/>
      <c r="EE417" s="32"/>
      <c r="EF417" s="32"/>
      <c r="EG417" s="32"/>
      <c r="EH417" s="32"/>
      <c r="EI417" s="32"/>
      <c r="EJ417" s="32"/>
      <c r="EK417" s="32"/>
      <c r="EL417" s="32"/>
      <c r="EM417" s="32"/>
      <c r="EN417" s="32"/>
      <c r="EO417" s="32"/>
      <c r="EP417" s="32"/>
      <c r="EQ417" s="32"/>
      <c r="ER417" s="32"/>
      <c r="ES417" s="32"/>
      <c r="ET417" s="32"/>
      <c r="EU417" s="32"/>
      <c r="EV417" s="32"/>
      <c r="EW417" s="32"/>
      <c r="EX417" s="32"/>
      <c r="EY417" s="32"/>
      <c r="EZ417" s="32"/>
      <c r="FA417" s="32"/>
      <c r="FB417" s="32"/>
      <c r="FC417" s="32"/>
      <c r="FD417" s="32"/>
      <c r="FE417" s="32"/>
      <c r="FF417" s="32"/>
      <c r="FG417" s="32"/>
      <c r="FH417" s="32"/>
      <c r="FI417" s="32"/>
      <c r="FJ417" s="32"/>
      <c r="FK417" s="32"/>
      <c r="FL417" s="32"/>
      <c r="FM417" s="32"/>
      <c r="FN417" s="32"/>
      <c r="FO417" s="32"/>
      <c r="FP417" s="32"/>
      <c r="FQ417" s="32"/>
      <c r="FR417" s="32"/>
      <c r="FS417" s="32"/>
      <c r="FT417" s="32"/>
      <c r="FU417" s="32"/>
      <c r="FV417" s="32"/>
      <c r="FW417" s="32"/>
      <c r="FX417" s="32"/>
      <c r="FY417" s="32"/>
      <c r="FZ417" s="32"/>
      <c r="GA417" s="32"/>
      <c r="GB417" s="32"/>
      <c r="GC417" s="32"/>
      <c r="GD417" s="32"/>
      <c r="GE417" s="32"/>
      <c r="GF417" s="32"/>
      <c r="GG417" s="32"/>
      <c r="GH417" s="32"/>
      <c r="GI417" s="32"/>
      <c r="GJ417" s="32"/>
      <c r="GK417" s="32"/>
      <c r="GL417" s="32"/>
      <c r="GM417" s="32"/>
      <c r="GN417" s="32"/>
      <c r="GO417" s="32"/>
      <c r="GP417" s="32"/>
      <c r="GQ417" s="32"/>
      <c r="GR417" s="32"/>
      <c r="GS417" s="32"/>
      <c r="GT417" s="32"/>
      <c r="GU417" s="32"/>
      <c r="GV417" s="32"/>
      <c r="GW417" s="32"/>
      <c r="GX417" s="32"/>
      <c r="GY417" s="32"/>
      <c r="GZ417" s="32"/>
      <c r="HA417" s="32"/>
      <c r="HB417" s="32"/>
      <c r="HC417" s="32"/>
      <c r="HD417" s="32"/>
      <c r="HE417" s="32"/>
      <c r="HF417" s="32"/>
      <c r="HG417" s="32"/>
      <c r="HH417" s="32"/>
      <c r="HI417" s="32"/>
      <c r="HJ417" s="32"/>
      <c r="HK417" s="32"/>
      <c r="HL417" s="32"/>
      <c r="HM417" s="32"/>
      <c r="HN417" s="32"/>
      <c r="HO417" s="32"/>
      <c r="HP417" s="32"/>
    </row>
    <row r="418" spans="1:224" x14ac:dyDescent="0.25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  <c r="BF418" s="32"/>
      <c r="BG418" s="32"/>
      <c r="BH418" s="32"/>
      <c r="BI418" s="32"/>
      <c r="BJ418" s="32"/>
      <c r="BK418" s="32"/>
      <c r="BL418" s="32"/>
      <c r="BM418" s="32"/>
      <c r="BN418" s="32"/>
      <c r="BO418" s="32"/>
      <c r="BP418" s="32"/>
      <c r="BQ418" s="32"/>
      <c r="BR418" s="32"/>
      <c r="BS418" s="32"/>
      <c r="BT418" s="32"/>
      <c r="BU418" s="32"/>
      <c r="BV418" s="32"/>
      <c r="BW418" s="32"/>
      <c r="BX418" s="32"/>
      <c r="BY418" s="32"/>
      <c r="BZ418" s="32"/>
      <c r="CA418" s="32"/>
      <c r="CB418" s="32"/>
      <c r="CC418" s="32"/>
      <c r="CD418" s="32"/>
      <c r="CE418" s="32"/>
      <c r="CF418" s="32"/>
      <c r="CG418" s="32"/>
      <c r="CH418" s="32"/>
      <c r="CI418" s="32"/>
      <c r="CJ418" s="32"/>
      <c r="CK418" s="32"/>
      <c r="CL418" s="32"/>
      <c r="CM418" s="32"/>
      <c r="CN418" s="32"/>
      <c r="CO418" s="32"/>
      <c r="CP418" s="32"/>
      <c r="CQ418" s="32"/>
      <c r="CR418" s="32"/>
      <c r="CS418" s="32"/>
      <c r="CT418" s="32"/>
      <c r="CU418" s="32"/>
      <c r="CV418" s="32"/>
      <c r="CW418" s="32"/>
      <c r="CX418" s="32"/>
      <c r="CY418" s="32"/>
      <c r="CZ418" s="32"/>
      <c r="DA418" s="32"/>
      <c r="DB418" s="32"/>
      <c r="DC418" s="32"/>
      <c r="DD418" s="32"/>
      <c r="DE418" s="32"/>
      <c r="DF418" s="32"/>
      <c r="DG418" s="32"/>
      <c r="DH418" s="32"/>
      <c r="DI418" s="32"/>
      <c r="DJ418" s="32"/>
      <c r="DK418" s="32"/>
      <c r="DL418" s="32"/>
      <c r="DM418" s="32"/>
      <c r="DN418" s="32"/>
      <c r="DO418" s="32"/>
      <c r="DP418" s="32"/>
      <c r="DQ418" s="32"/>
      <c r="DR418" s="32"/>
      <c r="DS418" s="32"/>
      <c r="DT418" s="32"/>
      <c r="DU418" s="32"/>
      <c r="DV418" s="32"/>
      <c r="DW418" s="32"/>
      <c r="DX418" s="32"/>
      <c r="DY418" s="32"/>
      <c r="DZ418" s="32"/>
      <c r="EA418" s="32"/>
      <c r="EB418" s="32"/>
      <c r="EC418" s="32"/>
      <c r="ED418" s="32"/>
      <c r="EE418" s="32"/>
      <c r="EF418" s="32"/>
      <c r="EG418" s="32"/>
      <c r="EH418" s="32"/>
      <c r="EI418" s="32"/>
      <c r="EJ418" s="32"/>
      <c r="EK418" s="32"/>
      <c r="EL418" s="32"/>
      <c r="EM418" s="32"/>
      <c r="EN418" s="32"/>
      <c r="EO418" s="32"/>
      <c r="EP418" s="32"/>
      <c r="EQ418" s="32"/>
      <c r="ER418" s="32"/>
      <c r="ES418" s="32"/>
      <c r="ET418" s="32"/>
      <c r="EU418" s="32"/>
      <c r="EV418" s="32"/>
      <c r="EW418" s="32"/>
      <c r="EX418" s="32"/>
      <c r="EY418" s="32"/>
      <c r="EZ418" s="32"/>
      <c r="FA418" s="32"/>
      <c r="FB418" s="32"/>
      <c r="FC418" s="32"/>
      <c r="FD418" s="32"/>
      <c r="FE418" s="32"/>
      <c r="FF418" s="32"/>
      <c r="FG418" s="32"/>
      <c r="FH418" s="32"/>
      <c r="FI418" s="32"/>
      <c r="FJ418" s="32"/>
      <c r="FK418" s="32"/>
      <c r="FL418" s="32"/>
      <c r="FM418" s="32"/>
      <c r="FN418" s="32"/>
      <c r="FO418" s="32"/>
      <c r="FP418" s="32"/>
      <c r="FQ418" s="32"/>
      <c r="FR418" s="32"/>
      <c r="FS418" s="32"/>
      <c r="FT418" s="32"/>
      <c r="FU418" s="32"/>
      <c r="FV418" s="32"/>
      <c r="FW418" s="32"/>
      <c r="FX418" s="32"/>
      <c r="FY418" s="32"/>
      <c r="FZ418" s="32"/>
      <c r="GA418" s="32"/>
      <c r="GB418" s="32"/>
      <c r="GC418" s="32"/>
      <c r="GD418" s="32"/>
      <c r="GE418" s="32"/>
      <c r="GF418" s="32"/>
      <c r="GG418" s="32"/>
      <c r="GH418" s="32"/>
      <c r="GI418" s="32"/>
      <c r="GJ418" s="32"/>
      <c r="GK418" s="32"/>
      <c r="GL418" s="32"/>
      <c r="GM418" s="32"/>
      <c r="GN418" s="32"/>
      <c r="GO418" s="32"/>
      <c r="GP418" s="32"/>
      <c r="GQ418" s="32"/>
      <c r="GR418" s="32"/>
      <c r="GS418" s="32"/>
      <c r="GT418" s="32"/>
      <c r="GU418" s="32"/>
      <c r="GV418" s="32"/>
      <c r="GW418" s="32"/>
      <c r="GX418" s="32"/>
      <c r="GY418" s="32"/>
      <c r="GZ418" s="32"/>
      <c r="HA418" s="32"/>
      <c r="HB418" s="32"/>
      <c r="HC418" s="32"/>
      <c r="HD418" s="32"/>
      <c r="HE418" s="32"/>
      <c r="HF418" s="32"/>
      <c r="HG418" s="32"/>
      <c r="HH418" s="32"/>
      <c r="HI418" s="32"/>
      <c r="HJ418" s="32"/>
      <c r="HK418" s="32"/>
      <c r="HL418" s="32"/>
      <c r="HM418" s="32"/>
      <c r="HN418" s="32"/>
      <c r="HO418" s="32"/>
      <c r="HP418" s="32"/>
    </row>
    <row r="419" spans="1:224" x14ac:dyDescent="0.25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  <c r="BD419" s="32"/>
      <c r="BE419" s="32"/>
      <c r="BF419" s="32"/>
      <c r="BG419" s="32"/>
      <c r="BH419" s="32"/>
      <c r="BI419" s="32"/>
      <c r="BJ419" s="32"/>
      <c r="BK419" s="32"/>
      <c r="BL419" s="32"/>
      <c r="BM419" s="32"/>
      <c r="BN419" s="32"/>
      <c r="BO419" s="32"/>
      <c r="BP419" s="32"/>
      <c r="BQ419" s="32"/>
      <c r="BR419" s="32"/>
      <c r="BS419" s="32"/>
      <c r="BT419" s="32"/>
      <c r="BU419" s="32"/>
      <c r="BV419" s="32"/>
      <c r="BW419" s="32"/>
      <c r="BX419" s="32"/>
      <c r="BY419" s="32"/>
      <c r="BZ419" s="32"/>
      <c r="CA419" s="32"/>
      <c r="CB419" s="32"/>
      <c r="CC419" s="32"/>
      <c r="CD419" s="32"/>
      <c r="CE419" s="32"/>
      <c r="CF419" s="32"/>
      <c r="CG419" s="32"/>
      <c r="CH419" s="32"/>
      <c r="CI419" s="32"/>
      <c r="CJ419" s="32"/>
      <c r="CK419" s="32"/>
      <c r="CL419" s="32"/>
      <c r="CM419" s="32"/>
      <c r="CN419" s="32"/>
      <c r="CO419" s="32"/>
      <c r="CP419" s="32"/>
      <c r="CQ419" s="32"/>
      <c r="CR419" s="32"/>
      <c r="CS419" s="32"/>
      <c r="CT419" s="32"/>
      <c r="CU419" s="32"/>
      <c r="CV419" s="32"/>
      <c r="CW419" s="32"/>
      <c r="CX419" s="32"/>
      <c r="CY419" s="32"/>
      <c r="CZ419" s="32"/>
      <c r="DA419" s="32"/>
      <c r="DB419" s="32"/>
      <c r="DC419" s="32"/>
      <c r="DD419" s="32"/>
      <c r="DE419" s="32"/>
      <c r="DF419" s="32"/>
      <c r="DG419" s="32"/>
      <c r="DH419" s="32"/>
      <c r="DI419" s="32"/>
      <c r="DJ419" s="32"/>
      <c r="DK419" s="32"/>
      <c r="DL419" s="32"/>
      <c r="DM419" s="32"/>
      <c r="DN419" s="32"/>
      <c r="DO419" s="32"/>
      <c r="DP419" s="32"/>
      <c r="DQ419" s="32"/>
      <c r="DR419" s="32"/>
      <c r="DS419" s="32"/>
      <c r="DT419" s="32"/>
      <c r="DU419" s="32"/>
      <c r="DV419" s="32"/>
      <c r="DW419" s="32"/>
      <c r="DX419" s="32"/>
      <c r="DY419" s="32"/>
      <c r="DZ419" s="32"/>
      <c r="EA419" s="32"/>
      <c r="EB419" s="32"/>
      <c r="EC419" s="32"/>
      <c r="ED419" s="32"/>
      <c r="EE419" s="32"/>
      <c r="EF419" s="32"/>
      <c r="EG419" s="32"/>
      <c r="EH419" s="32"/>
      <c r="EI419" s="32"/>
      <c r="EJ419" s="32"/>
      <c r="EK419" s="32"/>
      <c r="EL419" s="32"/>
      <c r="EM419" s="32"/>
      <c r="EN419" s="32"/>
      <c r="EO419" s="32"/>
      <c r="EP419" s="32"/>
      <c r="EQ419" s="32"/>
      <c r="ER419" s="32"/>
      <c r="ES419" s="32"/>
      <c r="ET419" s="32"/>
      <c r="EU419" s="32"/>
      <c r="EV419" s="32"/>
      <c r="EW419" s="32"/>
      <c r="EX419" s="32"/>
      <c r="EY419" s="32"/>
      <c r="EZ419" s="32"/>
      <c r="FA419" s="32"/>
      <c r="FB419" s="32"/>
      <c r="FC419" s="32"/>
      <c r="FD419" s="32"/>
      <c r="FE419" s="32"/>
      <c r="FF419" s="32"/>
      <c r="FG419" s="32"/>
      <c r="FH419" s="32"/>
      <c r="FI419" s="32"/>
      <c r="FJ419" s="32"/>
      <c r="FK419" s="32"/>
      <c r="FL419" s="32"/>
      <c r="FM419" s="32"/>
      <c r="FN419" s="32"/>
      <c r="FO419" s="32"/>
      <c r="FP419" s="32"/>
      <c r="FQ419" s="32"/>
      <c r="FR419" s="32"/>
      <c r="FS419" s="32"/>
      <c r="FT419" s="32"/>
      <c r="FU419" s="32"/>
      <c r="FV419" s="32"/>
      <c r="FW419" s="32"/>
      <c r="FX419" s="32"/>
      <c r="FY419" s="32"/>
      <c r="FZ419" s="32"/>
      <c r="GA419" s="32"/>
      <c r="GB419" s="32"/>
      <c r="GC419" s="32"/>
      <c r="GD419" s="32"/>
      <c r="GE419" s="32"/>
      <c r="GF419" s="32"/>
      <c r="GG419" s="32"/>
      <c r="GH419" s="32"/>
      <c r="GI419" s="32"/>
      <c r="GJ419" s="32"/>
      <c r="GK419" s="32"/>
      <c r="GL419" s="32"/>
      <c r="GM419" s="32"/>
      <c r="GN419" s="32"/>
      <c r="GO419" s="32"/>
      <c r="GP419" s="32"/>
      <c r="GQ419" s="32"/>
      <c r="GR419" s="32"/>
      <c r="GS419" s="32"/>
      <c r="GT419" s="32"/>
      <c r="GU419" s="32"/>
      <c r="GV419" s="32"/>
      <c r="GW419" s="32"/>
      <c r="GX419" s="32"/>
      <c r="GY419" s="32"/>
      <c r="GZ419" s="32"/>
      <c r="HA419" s="32"/>
      <c r="HB419" s="32"/>
      <c r="HC419" s="32"/>
      <c r="HD419" s="32"/>
      <c r="HE419" s="32"/>
      <c r="HF419" s="32"/>
      <c r="HG419" s="32"/>
      <c r="HH419" s="32"/>
      <c r="HI419" s="32"/>
      <c r="HJ419" s="32"/>
      <c r="HK419" s="32"/>
      <c r="HL419" s="32"/>
      <c r="HM419" s="32"/>
      <c r="HN419" s="32"/>
      <c r="HO419" s="32"/>
      <c r="HP419" s="32"/>
    </row>
    <row r="420" spans="1:224" x14ac:dyDescent="0.25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  <c r="BD420" s="32"/>
      <c r="BE420" s="32"/>
      <c r="BF420" s="32"/>
      <c r="BG420" s="32"/>
      <c r="BH420" s="32"/>
      <c r="BI420" s="32"/>
      <c r="BJ420" s="32"/>
      <c r="BK420" s="32"/>
      <c r="BL420" s="32"/>
      <c r="BM420" s="32"/>
      <c r="BN420" s="32"/>
      <c r="BO420" s="32"/>
      <c r="BP420" s="32"/>
      <c r="BQ420" s="32"/>
      <c r="BR420" s="32"/>
      <c r="BS420" s="32"/>
      <c r="BT420" s="32"/>
      <c r="BU420" s="32"/>
      <c r="BV420" s="32"/>
      <c r="BW420" s="32"/>
      <c r="BX420" s="32"/>
      <c r="BY420" s="32"/>
      <c r="BZ420" s="32"/>
      <c r="CA420" s="32"/>
      <c r="CB420" s="32"/>
      <c r="CC420" s="32"/>
      <c r="CD420" s="32"/>
      <c r="CE420" s="32"/>
      <c r="CF420" s="32"/>
      <c r="CG420" s="32"/>
      <c r="CH420" s="32"/>
      <c r="CI420" s="32"/>
      <c r="CJ420" s="32"/>
      <c r="CK420" s="32"/>
      <c r="CL420" s="32"/>
      <c r="CM420" s="32"/>
      <c r="CN420" s="32"/>
      <c r="CO420" s="32"/>
      <c r="CP420" s="32"/>
      <c r="CQ420" s="32"/>
      <c r="CR420" s="32"/>
      <c r="CS420" s="32"/>
      <c r="CT420" s="32"/>
      <c r="CU420" s="32"/>
      <c r="CV420" s="32"/>
      <c r="CW420" s="32"/>
      <c r="CX420" s="32"/>
      <c r="CY420" s="32"/>
      <c r="CZ420" s="32"/>
      <c r="DA420" s="32"/>
      <c r="DB420" s="32"/>
      <c r="DC420" s="32"/>
      <c r="DD420" s="32"/>
      <c r="DE420" s="32"/>
      <c r="DF420" s="32"/>
      <c r="DG420" s="32"/>
      <c r="DH420" s="32"/>
      <c r="DI420" s="32"/>
      <c r="DJ420" s="32"/>
      <c r="DK420" s="32"/>
      <c r="DL420" s="32"/>
      <c r="DM420" s="32"/>
      <c r="DN420" s="32"/>
      <c r="DO420" s="32"/>
      <c r="DP420" s="32"/>
      <c r="DQ420" s="32"/>
      <c r="DR420" s="32"/>
      <c r="DS420" s="32"/>
      <c r="DT420" s="32"/>
      <c r="DU420" s="32"/>
      <c r="DV420" s="32"/>
      <c r="DW420" s="32"/>
      <c r="DX420" s="32"/>
      <c r="DY420" s="32"/>
      <c r="DZ420" s="32"/>
      <c r="EA420" s="32"/>
      <c r="EB420" s="32"/>
      <c r="EC420" s="32"/>
      <c r="ED420" s="32"/>
      <c r="EE420" s="32"/>
      <c r="EF420" s="32"/>
      <c r="EG420" s="32"/>
      <c r="EH420" s="32"/>
      <c r="EI420" s="32"/>
      <c r="EJ420" s="32"/>
      <c r="EK420" s="32"/>
      <c r="EL420" s="32"/>
      <c r="EM420" s="32"/>
      <c r="EN420" s="32"/>
      <c r="EO420" s="32"/>
      <c r="EP420" s="32"/>
      <c r="EQ420" s="32"/>
      <c r="ER420" s="32"/>
      <c r="ES420" s="32"/>
      <c r="ET420" s="32"/>
      <c r="EU420" s="32"/>
      <c r="EV420" s="32"/>
      <c r="EW420" s="32"/>
      <c r="EX420" s="32"/>
      <c r="EY420" s="32"/>
      <c r="EZ420" s="32"/>
      <c r="FA420" s="32"/>
      <c r="FB420" s="32"/>
      <c r="FC420" s="32"/>
      <c r="FD420" s="32"/>
      <c r="FE420" s="32"/>
      <c r="FF420" s="32"/>
      <c r="FG420" s="32"/>
      <c r="FH420" s="32"/>
      <c r="FI420" s="32"/>
      <c r="FJ420" s="32"/>
      <c r="FK420" s="32"/>
      <c r="FL420" s="32"/>
      <c r="FM420" s="32"/>
      <c r="FN420" s="32"/>
      <c r="FO420" s="32"/>
      <c r="FP420" s="32"/>
      <c r="FQ420" s="32"/>
      <c r="FR420" s="32"/>
      <c r="FS420" s="32"/>
      <c r="FT420" s="32"/>
      <c r="FU420" s="32"/>
      <c r="FV420" s="32"/>
      <c r="FW420" s="32"/>
      <c r="FX420" s="32"/>
      <c r="FY420" s="32"/>
      <c r="FZ420" s="32"/>
      <c r="GA420" s="32"/>
      <c r="GB420" s="32"/>
      <c r="GC420" s="32"/>
      <c r="GD420" s="32"/>
      <c r="GE420" s="32"/>
      <c r="GF420" s="32"/>
      <c r="GG420" s="32"/>
      <c r="GH420" s="32"/>
      <c r="GI420" s="32"/>
      <c r="GJ420" s="32"/>
      <c r="GK420" s="32"/>
      <c r="GL420" s="32"/>
      <c r="GM420" s="32"/>
      <c r="GN420" s="32"/>
      <c r="GO420" s="32"/>
      <c r="GP420" s="32"/>
      <c r="GQ420" s="32"/>
      <c r="GR420" s="32"/>
      <c r="GS420" s="32"/>
      <c r="GT420" s="32"/>
      <c r="GU420" s="32"/>
      <c r="GV420" s="32"/>
      <c r="GW420" s="32"/>
      <c r="GX420" s="32"/>
      <c r="GY420" s="32"/>
      <c r="GZ420" s="32"/>
      <c r="HA420" s="32"/>
      <c r="HB420" s="32"/>
      <c r="HC420" s="32"/>
      <c r="HD420" s="32"/>
      <c r="HE420" s="32"/>
      <c r="HF420" s="32"/>
      <c r="HG420" s="32"/>
      <c r="HH420" s="32"/>
      <c r="HI420" s="32"/>
      <c r="HJ420" s="32"/>
      <c r="HK420" s="32"/>
      <c r="HL420" s="32"/>
      <c r="HM420" s="32"/>
      <c r="HN420" s="32"/>
      <c r="HO420" s="32"/>
      <c r="HP420" s="32"/>
    </row>
    <row r="421" spans="1:224" x14ac:dyDescent="0.25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2"/>
      <c r="BU421" s="32"/>
      <c r="BV421" s="32"/>
      <c r="BW421" s="32"/>
      <c r="BX421" s="32"/>
      <c r="BY421" s="32"/>
      <c r="BZ421" s="32"/>
      <c r="CA421" s="32"/>
      <c r="CB421" s="32"/>
      <c r="CC421" s="32"/>
      <c r="CD421" s="32"/>
      <c r="CE421" s="32"/>
      <c r="CF421" s="32"/>
      <c r="CG421" s="32"/>
      <c r="CH421" s="32"/>
      <c r="CI421" s="32"/>
      <c r="CJ421" s="32"/>
      <c r="CK421" s="32"/>
      <c r="CL421" s="32"/>
      <c r="CM421" s="32"/>
      <c r="CN421" s="32"/>
      <c r="CO421" s="32"/>
      <c r="CP421" s="32"/>
      <c r="CQ421" s="32"/>
      <c r="CR421" s="32"/>
      <c r="CS421" s="32"/>
      <c r="CT421" s="32"/>
      <c r="CU421" s="32"/>
      <c r="CV421" s="32"/>
      <c r="CW421" s="32"/>
      <c r="CX421" s="32"/>
      <c r="CY421" s="32"/>
      <c r="CZ421" s="32"/>
      <c r="DA421" s="32"/>
      <c r="DB421" s="32"/>
      <c r="DC421" s="32"/>
      <c r="DD421" s="32"/>
      <c r="DE421" s="32"/>
      <c r="DF421" s="32"/>
      <c r="DG421" s="32"/>
      <c r="DH421" s="32"/>
      <c r="DI421" s="32"/>
      <c r="DJ421" s="32"/>
      <c r="DK421" s="32"/>
      <c r="DL421" s="32"/>
      <c r="DM421" s="32"/>
      <c r="DN421" s="32"/>
      <c r="DO421" s="32"/>
      <c r="DP421" s="32"/>
      <c r="DQ421" s="32"/>
      <c r="DR421" s="32"/>
      <c r="DS421" s="32"/>
      <c r="DT421" s="32"/>
      <c r="DU421" s="32"/>
      <c r="DV421" s="32"/>
      <c r="DW421" s="32"/>
      <c r="DX421" s="32"/>
      <c r="DY421" s="32"/>
      <c r="DZ421" s="32"/>
      <c r="EA421" s="32"/>
      <c r="EB421" s="32"/>
      <c r="EC421" s="32"/>
      <c r="ED421" s="32"/>
      <c r="EE421" s="32"/>
      <c r="EF421" s="32"/>
      <c r="EG421" s="32"/>
      <c r="EH421" s="32"/>
      <c r="EI421" s="32"/>
      <c r="EJ421" s="32"/>
      <c r="EK421" s="32"/>
      <c r="EL421" s="32"/>
      <c r="EM421" s="32"/>
      <c r="EN421" s="32"/>
      <c r="EO421" s="32"/>
      <c r="EP421" s="32"/>
      <c r="EQ421" s="32"/>
      <c r="ER421" s="32"/>
      <c r="ES421" s="32"/>
      <c r="ET421" s="32"/>
      <c r="EU421" s="32"/>
      <c r="EV421" s="32"/>
      <c r="EW421" s="32"/>
      <c r="EX421" s="32"/>
      <c r="EY421" s="32"/>
      <c r="EZ421" s="32"/>
      <c r="FA421" s="32"/>
      <c r="FB421" s="32"/>
      <c r="FC421" s="32"/>
      <c r="FD421" s="32"/>
      <c r="FE421" s="32"/>
      <c r="FF421" s="32"/>
      <c r="FG421" s="32"/>
      <c r="FH421" s="32"/>
      <c r="FI421" s="32"/>
      <c r="FJ421" s="32"/>
      <c r="FK421" s="32"/>
      <c r="FL421" s="32"/>
      <c r="FM421" s="32"/>
      <c r="FN421" s="32"/>
      <c r="FO421" s="32"/>
      <c r="FP421" s="32"/>
      <c r="FQ421" s="32"/>
      <c r="FR421" s="32"/>
      <c r="FS421" s="32"/>
      <c r="FT421" s="32"/>
      <c r="FU421" s="32"/>
      <c r="FV421" s="32"/>
      <c r="FW421" s="32"/>
      <c r="FX421" s="32"/>
      <c r="FY421" s="32"/>
      <c r="FZ421" s="32"/>
      <c r="GA421" s="32"/>
      <c r="GB421" s="32"/>
      <c r="GC421" s="32"/>
      <c r="GD421" s="32"/>
      <c r="GE421" s="32"/>
      <c r="GF421" s="32"/>
      <c r="GG421" s="32"/>
      <c r="GH421" s="32"/>
      <c r="GI421" s="32"/>
      <c r="GJ421" s="32"/>
      <c r="GK421" s="32"/>
      <c r="GL421" s="32"/>
      <c r="GM421" s="32"/>
      <c r="GN421" s="32"/>
      <c r="GO421" s="32"/>
      <c r="GP421" s="32"/>
      <c r="GQ421" s="32"/>
      <c r="GR421" s="32"/>
      <c r="GS421" s="32"/>
      <c r="GT421" s="32"/>
      <c r="GU421" s="32"/>
      <c r="GV421" s="32"/>
      <c r="GW421" s="32"/>
      <c r="GX421" s="32"/>
      <c r="GY421" s="32"/>
      <c r="GZ421" s="32"/>
      <c r="HA421" s="32"/>
      <c r="HB421" s="32"/>
      <c r="HC421" s="32"/>
      <c r="HD421" s="32"/>
      <c r="HE421" s="32"/>
      <c r="HF421" s="32"/>
      <c r="HG421" s="32"/>
      <c r="HH421" s="32"/>
      <c r="HI421" s="32"/>
      <c r="HJ421" s="32"/>
      <c r="HK421" s="32"/>
      <c r="HL421" s="32"/>
      <c r="HM421" s="32"/>
      <c r="HN421" s="32"/>
      <c r="HO421" s="32"/>
      <c r="HP421" s="32"/>
    </row>
    <row r="422" spans="1:224" x14ac:dyDescent="0.25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  <c r="BE422" s="32"/>
      <c r="BF422" s="32"/>
      <c r="BG422" s="32"/>
      <c r="BH422" s="32"/>
      <c r="BI422" s="32"/>
      <c r="BJ422" s="32"/>
      <c r="BK422" s="32"/>
      <c r="BL422" s="32"/>
      <c r="BM422" s="32"/>
      <c r="BN422" s="32"/>
      <c r="BO422" s="32"/>
      <c r="BP422" s="32"/>
      <c r="BQ422" s="32"/>
      <c r="BR422" s="32"/>
      <c r="BS422" s="32"/>
      <c r="BT422" s="32"/>
      <c r="BU422" s="32"/>
      <c r="BV422" s="32"/>
      <c r="BW422" s="32"/>
      <c r="BX422" s="32"/>
      <c r="BY422" s="32"/>
      <c r="BZ422" s="32"/>
      <c r="CA422" s="32"/>
      <c r="CB422" s="32"/>
      <c r="CC422" s="32"/>
      <c r="CD422" s="32"/>
      <c r="CE422" s="32"/>
      <c r="CF422" s="32"/>
      <c r="CG422" s="32"/>
      <c r="CH422" s="32"/>
      <c r="CI422" s="32"/>
      <c r="CJ422" s="32"/>
      <c r="CK422" s="32"/>
      <c r="CL422" s="32"/>
      <c r="CM422" s="32"/>
      <c r="CN422" s="32"/>
      <c r="CO422" s="32"/>
      <c r="CP422" s="32"/>
      <c r="CQ422" s="32"/>
      <c r="CR422" s="32"/>
      <c r="CS422" s="32"/>
      <c r="CT422" s="32"/>
      <c r="CU422" s="32"/>
      <c r="CV422" s="32"/>
      <c r="CW422" s="32"/>
      <c r="CX422" s="32"/>
      <c r="CY422" s="32"/>
      <c r="CZ422" s="32"/>
      <c r="DA422" s="32"/>
      <c r="DB422" s="32"/>
      <c r="DC422" s="32"/>
      <c r="DD422" s="32"/>
      <c r="DE422" s="32"/>
      <c r="DF422" s="32"/>
      <c r="DG422" s="32"/>
      <c r="DH422" s="32"/>
      <c r="DI422" s="32"/>
      <c r="DJ422" s="32"/>
      <c r="DK422" s="32"/>
      <c r="DL422" s="32"/>
      <c r="DM422" s="32"/>
      <c r="DN422" s="32"/>
      <c r="DO422" s="32"/>
      <c r="DP422" s="32"/>
      <c r="DQ422" s="32"/>
      <c r="DR422" s="32"/>
      <c r="DS422" s="32"/>
      <c r="DT422" s="32"/>
      <c r="DU422" s="32"/>
      <c r="DV422" s="32"/>
      <c r="DW422" s="32"/>
      <c r="DX422" s="32"/>
      <c r="DY422" s="32"/>
      <c r="DZ422" s="32"/>
      <c r="EA422" s="32"/>
      <c r="EB422" s="32"/>
      <c r="EC422" s="32"/>
      <c r="ED422" s="32"/>
      <c r="EE422" s="32"/>
      <c r="EF422" s="32"/>
      <c r="EG422" s="32"/>
      <c r="EH422" s="32"/>
      <c r="EI422" s="32"/>
      <c r="EJ422" s="32"/>
      <c r="EK422" s="32"/>
      <c r="EL422" s="32"/>
      <c r="EM422" s="32"/>
      <c r="EN422" s="32"/>
      <c r="EO422" s="32"/>
      <c r="EP422" s="32"/>
      <c r="EQ422" s="32"/>
      <c r="ER422" s="32"/>
      <c r="ES422" s="32"/>
      <c r="ET422" s="32"/>
      <c r="EU422" s="32"/>
      <c r="EV422" s="32"/>
      <c r="EW422" s="32"/>
      <c r="EX422" s="32"/>
      <c r="EY422" s="32"/>
      <c r="EZ422" s="32"/>
      <c r="FA422" s="32"/>
      <c r="FB422" s="32"/>
      <c r="FC422" s="32"/>
      <c r="FD422" s="32"/>
      <c r="FE422" s="32"/>
      <c r="FF422" s="32"/>
      <c r="FG422" s="32"/>
      <c r="FH422" s="32"/>
      <c r="FI422" s="32"/>
      <c r="FJ422" s="32"/>
      <c r="FK422" s="32"/>
      <c r="FL422" s="32"/>
      <c r="FM422" s="32"/>
      <c r="FN422" s="32"/>
      <c r="FO422" s="32"/>
      <c r="FP422" s="32"/>
      <c r="FQ422" s="32"/>
      <c r="FR422" s="32"/>
      <c r="FS422" s="32"/>
      <c r="FT422" s="32"/>
      <c r="FU422" s="32"/>
      <c r="FV422" s="32"/>
      <c r="FW422" s="32"/>
      <c r="FX422" s="32"/>
      <c r="FY422" s="32"/>
      <c r="FZ422" s="32"/>
      <c r="GA422" s="32"/>
      <c r="GB422" s="32"/>
      <c r="GC422" s="32"/>
      <c r="GD422" s="32"/>
      <c r="GE422" s="32"/>
      <c r="GF422" s="32"/>
      <c r="GG422" s="32"/>
      <c r="GH422" s="32"/>
      <c r="GI422" s="32"/>
      <c r="GJ422" s="32"/>
      <c r="GK422" s="32"/>
      <c r="GL422" s="32"/>
      <c r="GM422" s="32"/>
      <c r="GN422" s="32"/>
      <c r="GO422" s="32"/>
      <c r="GP422" s="32"/>
      <c r="GQ422" s="32"/>
      <c r="GR422" s="32"/>
      <c r="GS422" s="32"/>
      <c r="GT422" s="32"/>
      <c r="GU422" s="32"/>
      <c r="GV422" s="32"/>
      <c r="GW422" s="32"/>
      <c r="GX422" s="32"/>
      <c r="GY422" s="32"/>
      <c r="GZ422" s="32"/>
      <c r="HA422" s="32"/>
      <c r="HB422" s="32"/>
      <c r="HC422" s="32"/>
      <c r="HD422" s="32"/>
      <c r="HE422" s="32"/>
      <c r="HF422" s="32"/>
      <c r="HG422" s="32"/>
      <c r="HH422" s="32"/>
      <c r="HI422" s="32"/>
      <c r="HJ422" s="32"/>
      <c r="HK422" s="32"/>
      <c r="HL422" s="32"/>
      <c r="HM422" s="32"/>
      <c r="HN422" s="32"/>
      <c r="HO422" s="32"/>
      <c r="HP422" s="32"/>
    </row>
    <row r="423" spans="1:224" x14ac:dyDescent="0.25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2"/>
      <c r="BB423" s="32"/>
      <c r="BC423" s="32"/>
      <c r="BD423" s="32"/>
      <c r="BE423" s="32"/>
      <c r="BF423" s="32"/>
      <c r="BG423" s="32"/>
      <c r="BH423" s="32"/>
      <c r="BI423" s="32"/>
      <c r="BJ423" s="32"/>
      <c r="BK423" s="32"/>
      <c r="BL423" s="32"/>
      <c r="BM423" s="32"/>
      <c r="BN423" s="32"/>
      <c r="BO423" s="32"/>
      <c r="BP423" s="32"/>
      <c r="BQ423" s="32"/>
      <c r="BR423" s="32"/>
      <c r="BS423" s="32"/>
      <c r="BT423" s="32"/>
      <c r="BU423" s="32"/>
      <c r="BV423" s="32"/>
      <c r="BW423" s="32"/>
      <c r="BX423" s="32"/>
      <c r="BY423" s="32"/>
      <c r="BZ423" s="32"/>
      <c r="CA423" s="32"/>
      <c r="CB423" s="32"/>
      <c r="CC423" s="32"/>
      <c r="CD423" s="32"/>
      <c r="CE423" s="32"/>
      <c r="CF423" s="32"/>
      <c r="CG423" s="32"/>
      <c r="CH423" s="32"/>
      <c r="CI423" s="32"/>
      <c r="CJ423" s="32"/>
      <c r="CK423" s="32"/>
      <c r="CL423" s="32"/>
      <c r="CM423" s="32"/>
      <c r="CN423" s="32"/>
      <c r="CO423" s="32"/>
      <c r="CP423" s="32"/>
      <c r="CQ423" s="32"/>
      <c r="CR423" s="32"/>
      <c r="CS423" s="32"/>
      <c r="CT423" s="32"/>
      <c r="CU423" s="32"/>
      <c r="CV423" s="32"/>
      <c r="CW423" s="32"/>
      <c r="CX423" s="32"/>
      <c r="CY423" s="32"/>
      <c r="CZ423" s="32"/>
      <c r="DA423" s="32"/>
      <c r="DB423" s="32"/>
      <c r="DC423" s="32"/>
      <c r="DD423" s="32"/>
      <c r="DE423" s="32"/>
      <c r="DF423" s="32"/>
      <c r="DG423" s="32"/>
      <c r="DH423" s="32"/>
      <c r="DI423" s="32"/>
      <c r="DJ423" s="32"/>
      <c r="DK423" s="32"/>
      <c r="DL423" s="32"/>
      <c r="DM423" s="32"/>
      <c r="DN423" s="32"/>
      <c r="DO423" s="32"/>
      <c r="DP423" s="32"/>
      <c r="DQ423" s="32"/>
      <c r="DR423" s="32"/>
      <c r="DS423" s="32"/>
      <c r="DT423" s="32"/>
      <c r="DU423" s="32"/>
      <c r="DV423" s="32"/>
      <c r="DW423" s="32"/>
      <c r="DX423" s="32"/>
      <c r="DY423" s="32"/>
      <c r="DZ423" s="32"/>
      <c r="EA423" s="32"/>
      <c r="EB423" s="32"/>
      <c r="EC423" s="32"/>
      <c r="ED423" s="32"/>
      <c r="EE423" s="32"/>
      <c r="EF423" s="32"/>
      <c r="EG423" s="32"/>
      <c r="EH423" s="32"/>
      <c r="EI423" s="32"/>
      <c r="EJ423" s="32"/>
      <c r="EK423" s="32"/>
      <c r="EL423" s="32"/>
      <c r="EM423" s="32"/>
      <c r="EN423" s="32"/>
      <c r="EO423" s="32"/>
      <c r="EP423" s="32"/>
      <c r="EQ423" s="32"/>
      <c r="ER423" s="32"/>
      <c r="ES423" s="32"/>
      <c r="ET423" s="32"/>
      <c r="EU423" s="32"/>
      <c r="EV423" s="32"/>
      <c r="EW423" s="32"/>
      <c r="EX423" s="32"/>
      <c r="EY423" s="32"/>
      <c r="EZ423" s="32"/>
      <c r="FA423" s="32"/>
      <c r="FB423" s="32"/>
      <c r="FC423" s="32"/>
      <c r="FD423" s="32"/>
      <c r="FE423" s="32"/>
      <c r="FF423" s="32"/>
      <c r="FG423" s="32"/>
      <c r="FH423" s="32"/>
      <c r="FI423" s="32"/>
      <c r="FJ423" s="32"/>
      <c r="FK423" s="32"/>
      <c r="FL423" s="32"/>
      <c r="FM423" s="32"/>
      <c r="FN423" s="32"/>
      <c r="FO423" s="32"/>
      <c r="FP423" s="32"/>
      <c r="FQ423" s="32"/>
      <c r="FR423" s="32"/>
      <c r="FS423" s="32"/>
      <c r="FT423" s="32"/>
      <c r="FU423" s="32"/>
      <c r="FV423" s="32"/>
      <c r="FW423" s="32"/>
      <c r="FX423" s="32"/>
      <c r="FY423" s="32"/>
      <c r="FZ423" s="32"/>
      <c r="GA423" s="32"/>
      <c r="GB423" s="32"/>
      <c r="GC423" s="32"/>
      <c r="GD423" s="32"/>
      <c r="GE423" s="32"/>
      <c r="GF423" s="32"/>
      <c r="GG423" s="32"/>
      <c r="GH423" s="32"/>
      <c r="GI423" s="32"/>
      <c r="GJ423" s="32"/>
      <c r="GK423" s="32"/>
      <c r="GL423" s="32"/>
      <c r="GM423" s="32"/>
      <c r="GN423" s="32"/>
      <c r="GO423" s="32"/>
      <c r="GP423" s="32"/>
      <c r="GQ423" s="32"/>
      <c r="GR423" s="32"/>
      <c r="GS423" s="32"/>
      <c r="GT423" s="32"/>
      <c r="GU423" s="32"/>
      <c r="GV423" s="32"/>
      <c r="GW423" s="32"/>
      <c r="GX423" s="32"/>
      <c r="GY423" s="32"/>
      <c r="GZ423" s="32"/>
      <c r="HA423" s="32"/>
      <c r="HB423" s="32"/>
      <c r="HC423" s="32"/>
      <c r="HD423" s="32"/>
      <c r="HE423" s="32"/>
      <c r="HF423" s="32"/>
      <c r="HG423" s="32"/>
      <c r="HH423" s="32"/>
      <c r="HI423" s="32"/>
      <c r="HJ423" s="32"/>
      <c r="HK423" s="32"/>
      <c r="HL423" s="32"/>
      <c r="HM423" s="32"/>
      <c r="HN423" s="32"/>
      <c r="HO423" s="32"/>
      <c r="HP423" s="32"/>
    </row>
    <row r="424" spans="1:224" x14ac:dyDescent="0.25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  <c r="BD424" s="32"/>
      <c r="BE424" s="32"/>
      <c r="BF424" s="32"/>
      <c r="BG424" s="32"/>
      <c r="BH424" s="32"/>
      <c r="BI424" s="32"/>
      <c r="BJ424" s="32"/>
      <c r="BK424" s="32"/>
      <c r="BL424" s="32"/>
      <c r="BM424" s="32"/>
      <c r="BN424" s="32"/>
      <c r="BO424" s="32"/>
      <c r="BP424" s="32"/>
      <c r="BQ424" s="32"/>
      <c r="BR424" s="32"/>
      <c r="BS424" s="32"/>
      <c r="BT424" s="32"/>
      <c r="BU424" s="32"/>
      <c r="BV424" s="32"/>
      <c r="BW424" s="32"/>
      <c r="BX424" s="32"/>
      <c r="BY424" s="32"/>
      <c r="BZ424" s="32"/>
      <c r="CA424" s="32"/>
      <c r="CB424" s="32"/>
      <c r="CC424" s="32"/>
      <c r="CD424" s="32"/>
      <c r="CE424" s="32"/>
      <c r="CF424" s="32"/>
      <c r="CG424" s="32"/>
      <c r="CH424" s="32"/>
      <c r="CI424" s="32"/>
      <c r="CJ424" s="32"/>
      <c r="CK424" s="32"/>
      <c r="CL424" s="32"/>
      <c r="CM424" s="32"/>
      <c r="CN424" s="32"/>
      <c r="CO424" s="32"/>
      <c r="CP424" s="32"/>
      <c r="CQ424" s="32"/>
      <c r="CR424" s="32"/>
      <c r="CS424" s="32"/>
      <c r="CT424" s="32"/>
      <c r="CU424" s="32"/>
      <c r="CV424" s="32"/>
      <c r="CW424" s="32"/>
      <c r="CX424" s="32"/>
      <c r="CY424" s="32"/>
      <c r="CZ424" s="32"/>
      <c r="DA424" s="32"/>
      <c r="DB424" s="32"/>
      <c r="DC424" s="32"/>
      <c r="DD424" s="32"/>
      <c r="DE424" s="32"/>
      <c r="DF424" s="32"/>
      <c r="DG424" s="32"/>
      <c r="DH424" s="32"/>
      <c r="DI424" s="32"/>
      <c r="DJ424" s="32"/>
      <c r="DK424" s="32"/>
      <c r="DL424" s="32"/>
      <c r="DM424" s="32"/>
      <c r="DN424" s="32"/>
      <c r="DO424" s="32"/>
      <c r="DP424" s="32"/>
      <c r="DQ424" s="32"/>
      <c r="DR424" s="32"/>
      <c r="DS424" s="32"/>
      <c r="DT424" s="32"/>
      <c r="DU424" s="32"/>
      <c r="DV424" s="32"/>
      <c r="DW424" s="32"/>
      <c r="DX424" s="32"/>
      <c r="DY424" s="32"/>
      <c r="DZ424" s="32"/>
      <c r="EA424" s="32"/>
      <c r="EB424" s="32"/>
      <c r="EC424" s="32"/>
      <c r="ED424" s="32"/>
      <c r="EE424" s="32"/>
      <c r="EF424" s="32"/>
      <c r="EG424" s="32"/>
      <c r="EH424" s="32"/>
      <c r="EI424" s="32"/>
      <c r="EJ424" s="32"/>
      <c r="EK424" s="32"/>
      <c r="EL424" s="32"/>
      <c r="EM424" s="32"/>
      <c r="EN424" s="32"/>
      <c r="EO424" s="32"/>
      <c r="EP424" s="32"/>
      <c r="EQ424" s="32"/>
      <c r="ER424" s="32"/>
      <c r="ES424" s="32"/>
      <c r="ET424" s="32"/>
      <c r="EU424" s="32"/>
      <c r="EV424" s="32"/>
      <c r="EW424" s="32"/>
      <c r="EX424" s="32"/>
      <c r="EY424" s="32"/>
      <c r="EZ424" s="32"/>
      <c r="FA424" s="32"/>
      <c r="FB424" s="32"/>
      <c r="FC424" s="32"/>
      <c r="FD424" s="32"/>
      <c r="FE424" s="32"/>
      <c r="FF424" s="32"/>
      <c r="FG424" s="32"/>
      <c r="FH424" s="32"/>
      <c r="FI424" s="32"/>
      <c r="FJ424" s="32"/>
      <c r="FK424" s="32"/>
      <c r="FL424" s="32"/>
      <c r="FM424" s="32"/>
      <c r="FN424" s="32"/>
      <c r="FO424" s="32"/>
      <c r="FP424" s="32"/>
      <c r="FQ424" s="32"/>
      <c r="FR424" s="32"/>
      <c r="FS424" s="32"/>
      <c r="FT424" s="32"/>
      <c r="FU424" s="32"/>
      <c r="FV424" s="32"/>
      <c r="FW424" s="32"/>
      <c r="FX424" s="32"/>
      <c r="FY424" s="32"/>
      <c r="FZ424" s="32"/>
      <c r="GA424" s="32"/>
      <c r="GB424" s="32"/>
      <c r="GC424" s="32"/>
      <c r="GD424" s="32"/>
      <c r="GE424" s="32"/>
      <c r="GF424" s="32"/>
      <c r="GG424" s="32"/>
      <c r="GH424" s="32"/>
      <c r="GI424" s="32"/>
      <c r="GJ424" s="32"/>
      <c r="GK424" s="32"/>
      <c r="GL424" s="32"/>
      <c r="GM424" s="32"/>
      <c r="GN424" s="32"/>
      <c r="GO424" s="32"/>
      <c r="GP424" s="32"/>
      <c r="GQ424" s="32"/>
      <c r="GR424" s="32"/>
      <c r="GS424" s="32"/>
      <c r="GT424" s="32"/>
      <c r="GU424" s="32"/>
      <c r="GV424" s="32"/>
      <c r="GW424" s="32"/>
      <c r="GX424" s="32"/>
      <c r="GY424" s="32"/>
      <c r="GZ424" s="32"/>
      <c r="HA424" s="32"/>
      <c r="HB424" s="32"/>
      <c r="HC424" s="32"/>
      <c r="HD424" s="32"/>
      <c r="HE424" s="32"/>
      <c r="HF424" s="32"/>
      <c r="HG424" s="32"/>
      <c r="HH424" s="32"/>
      <c r="HI424" s="32"/>
      <c r="HJ424" s="32"/>
      <c r="HK424" s="32"/>
      <c r="HL424" s="32"/>
      <c r="HM424" s="32"/>
      <c r="HN424" s="32"/>
      <c r="HO424" s="32"/>
      <c r="HP424" s="32"/>
    </row>
    <row r="425" spans="1:224" x14ac:dyDescent="0.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2"/>
      <c r="BB425" s="32"/>
      <c r="BC425" s="32"/>
      <c r="BD425" s="32"/>
      <c r="BE425" s="32"/>
      <c r="BF425" s="32"/>
      <c r="BG425" s="32"/>
      <c r="BH425" s="32"/>
      <c r="BI425" s="32"/>
      <c r="BJ425" s="32"/>
      <c r="BK425" s="32"/>
      <c r="BL425" s="32"/>
      <c r="BM425" s="32"/>
      <c r="BN425" s="32"/>
      <c r="BO425" s="32"/>
      <c r="BP425" s="32"/>
      <c r="BQ425" s="32"/>
      <c r="BR425" s="32"/>
      <c r="BS425" s="32"/>
      <c r="BT425" s="32"/>
      <c r="BU425" s="32"/>
      <c r="BV425" s="32"/>
      <c r="BW425" s="32"/>
      <c r="BX425" s="32"/>
      <c r="BY425" s="32"/>
      <c r="BZ425" s="32"/>
      <c r="CA425" s="32"/>
      <c r="CB425" s="32"/>
      <c r="CC425" s="32"/>
      <c r="CD425" s="32"/>
      <c r="CE425" s="32"/>
      <c r="CF425" s="32"/>
      <c r="CG425" s="32"/>
      <c r="CH425" s="32"/>
      <c r="CI425" s="32"/>
      <c r="CJ425" s="32"/>
      <c r="CK425" s="32"/>
      <c r="CL425" s="32"/>
      <c r="CM425" s="32"/>
      <c r="CN425" s="32"/>
      <c r="CO425" s="32"/>
      <c r="CP425" s="32"/>
      <c r="CQ425" s="32"/>
      <c r="CR425" s="32"/>
      <c r="CS425" s="32"/>
      <c r="CT425" s="32"/>
      <c r="CU425" s="32"/>
      <c r="CV425" s="32"/>
      <c r="CW425" s="32"/>
      <c r="CX425" s="32"/>
      <c r="CY425" s="32"/>
      <c r="CZ425" s="32"/>
      <c r="DA425" s="32"/>
      <c r="DB425" s="32"/>
      <c r="DC425" s="32"/>
      <c r="DD425" s="32"/>
      <c r="DE425" s="32"/>
      <c r="DF425" s="32"/>
      <c r="DG425" s="32"/>
      <c r="DH425" s="32"/>
      <c r="DI425" s="32"/>
      <c r="DJ425" s="32"/>
      <c r="DK425" s="32"/>
      <c r="DL425" s="32"/>
      <c r="DM425" s="32"/>
      <c r="DN425" s="32"/>
      <c r="DO425" s="32"/>
      <c r="DP425" s="32"/>
      <c r="DQ425" s="32"/>
      <c r="DR425" s="32"/>
      <c r="DS425" s="32"/>
      <c r="DT425" s="32"/>
      <c r="DU425" s="32"/>
      <c r="DV425" s="32"/>
      <c r="DW425" s="32"/>
      <c r="DX425" s="32"/>
      <c r="DY425" s="32"/>
      <c r="DZ425" s="32"/>
      <c r="EA425" s="32"/>
      <c r="EB425" s="32"/>
      <c r="EC425" s="32"/>
      <c r="ED425" s="32"/>
      <c r="EE425" s="32"/>
      <c r="EF425" s="32"/>
      <c r="EG425" s="32"/>
      <c r="EH425" s="32"/>
      <c r="EI425" s="32"/>
      <c r="EJ425" s="32"/>
      <c r="EK425" s="32"/>
      <c r="EL425" s="32"/>
      <c r="EM425" s="32"/>
      <c r="EN425" s="32"/>
      <c r="EO425" s="32"/>
      <c r="EP425" s="32"/>
      <c r="EQ425" s="32"/>
      <c r="ER425" s="32"/>
      <c r="ES425" s="32"/>
      <c r="ET425" s="32"/>
      <c r="EU425" s="32"/>
      <c r="EV425" s="32"/>
      <c r="EW425" s="32"/>
      <c r="EX425" s="32"/>
      <c r="EY425" s="32"/>
      <c r="EZ425" s="32"/>
      <c r="FA425" s="32"/>
      <c r="FB425" s="32"/>
      <c r="FC425" s="32"/>
      <c r="FD425" s="32"/>
      <c r="FE425" s="32"/>
      <c r="FF425" s="32"/>
      <c r="FG425" s="32"/>
      <c r="FH425" s="32"/>
      <c r="FI425" s="32"/>
      <c r="FJ425" s="32"/>
      <c r="FK425" s="32"/>
      <c r="FL425" s="32"/>
      <c r="FM425" s="32"/>
      <c r="FN425" s="32"/>
      <c r="FO425" s="32"/>
      <c r="FP425" s="32"/>
      <c r="FQ425" s="32"/>
      <c r="FR425" s="32"/>
      <c r="FS425" s="32"/>
      <c r="FT425" s="32"/>
      <c r="FU425" s="32"/>
      <c r="FV425" s="32"/>
      <c r="FW425" s="32"/>
      <c r="FX425" s="32"/>
      <c r="FY425" s="32"/>
      <c r="FZ425" s="32"/>
      <c r="GA425" s="32"/>
      <c r="GB425" s="32"/>
      <c r="GC425" s="32"/>
      <c r="GD425" s="32"/>
      <c r="GE425" s="32"/>
      <c r="GF425" s="32"/>
      <c r="GG425" s="32"/>
      <c r="GH425" s="32"/>
      <c r="GI425" s="32"/>
      <c r="GJ425" s="32"/>
      <c r="GK425" s="32"/>
      <c r="GL425" s="32"/>
      <c r="GM425" s="32"/>
      <c r="GN425" s="32"/>
      <c r="GO425" s="32"/>
      <c r="GP425" s="32"/>
      <c r="GQ425" s="32"/>
      <c r="GR425" s="32"/>
      <c r="GS425" s="32"/>
      <c r="GT425" s="32"/>
      <c r="GU425" s="32"/>
      <c r="GV425" s="32"/>
      <c r="GW425" s="32"/>
      <c r="GX425" s="32"/>
      <c r="GY425" s="32"/>
      <c r="GZ425" s="32"/>
      <c r="HA425" s="32"/>
      <c r="HB425" s="32"/>
      <c r="HC425" s="32"/>
      <c r="HD425" s="32"/>
      <c r="HE425" s="32"/>
      <c r="HF425" s="32"/>
      <c r="HG425" s="32"/>
      <c r="HH425" s="32"/>
      <c r="HI425" s="32"/>
      <c r="HJ425" s="32"/>
      <c r="HK425" s="32"/>
      <c r="HL425" s="32"/>
      <c r="HM425" s="32"/>
      <c r="HN425" s="32"/>
      <c r="HO425" s="32"/>
      <c r="HP425" s="32"/>
    </row>
    <row r="426" spans="1:224" x14ac:dyDescent="0.25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2"/>
      <c r="BB426" s="32"/>
      <c r="BC426" s="32"/>
      <c r="BD426" s="32"/>
      <c r="BE426" s="32"/>
      <c r="BF426" s="32"/>
      <c r="BG426" s="32"/>
      <c r="BH426" s="32"/>
      <c r="BI426" s="32"/>
      <c r="BJ426" s="32"/>
      <c r="BK426" s="32"/>
      <c r="BL426" s="32"/>
      <c r="BM426" s="32"/>
      <c r="BN426" s="32"/>
      <c r="BO426" s="32"/>
      <c r="BP426" s="32"/>
      <c r="BQ426" s="32"/>
      <c r="BR426" s="32"/>
      <c r="BS426" s="32"/>
      <c r="BT426" s="32"/>
      <c r="BU426" s="32"/>
      <c r="BV426" s="32"/>
      <c r="BW426" s="32"/>
      <c r="BX426" s="32"/>
      <c r="BY426" s="32"/>
      <c r="BZ426" s="32"/>
      <c r="CA426" s="32"/>
      <c r="CB426" s="32"/>
      <c r="CC426" s="32"/>
      <c r="CD426" s="32"/>
      <c r="CE426" s="32"/>
      <c r="CF426" s="32"/>
      <c r="CG426" s="32"/>
      <c r="CH426" s="32"/>
      <c r="CI426" s="32"/>
      <c r="CJ426" s="32"/>
      <c r="CK426" s="32"/>
      <c r="CL426" s="32"/>
      <c r="CM426" s="32"/>
      <c r="CN426" s="32"/>
      <c r="CO426" s="32"/>
      <c r="CP426" s="32"/>
      <c r="CQ426" s="32"/>
      <c r="CR426" s="32"/>
      <c r="CS426" s="32"/>
      <c r="CT426" s="32"/>
      <c r="CU426" s="32"/>
      <c r="CV426" s="32"/>
      <c r="CW426" s="32"/>
      <c r="CX426" s="32"/>
      <c r="CY426" s="32"/>
      <c r="CZ426" s="32"/>
      <c r="DA426" s="32"/>
      <c r="DB426" s="32"/>
      <c r="DC426" s="32"/>
      <c r="DD426" s="32"/>
      <c r="DE426" s="32"/>
      <c r="DF426" s="32"/>
      <c r="DG426" s="32"/>
      <c r="DH426" s="32"/>
      <c r="DI426" s="32"/>
      <c r="DJ426" s="32"/>
      <c r="DK426" s="32"/>
      <c r="DL426" s="32"/>
      <c r="DM426" s="32"/>
      <c r="DN426" s="32"/>
      <c r="DO426" s="32"/>
      <c r="DP426" s="32"/>
      <c r="DQ426" s="32"/>
      <c r="DR426" s="32"/>
      <c r="DS426" s="32"/>
      <c r="DT426" s="32"/>
      <c r="DU426" s="32"/>
      <c r="DV426" s="32"/>
      <c r="DW426" s="32"/>
      <c r="DX426" s="32"/>
      <c r="DY426" s="32"/>
      <c r="DZ426" s="32"/>
      <c r="EA426" s="32"/>
      <c r="EB426" s="32"/>
      <c r="EC426" s="32"/>
      <c r="ED426" s="32"/>
      <c r="EE426" s="32"/>
      <c r="EF426" s="32"/>
      <c r="EG426" s="32"/>
      <c r="EH426" s="32"/>
      <c r="EI426" s="32"/>
      <c r="EJ426" s="32"/>
      <c r="EK426" s="32"/>
      <c r="EL426" s="32"/>
      <c r="EM426" s="32"/>
      <c r="EN426" s="32"/>
      <c r="EO426" s="32"/>
      <c r="EP426" s="32"/>
      <c r="EQ426" s="32"/>
      <c r="ER426" s="32"/>
      <c r="ES426" s="32"/>
      <c r="ET426" s="32"/>
      <c r="EU426" s="32"/>
      <c r="EV426" s="32"/>
      <c r="EW426" s="32"/>
      <c r="EX426" s="32"/>
      <c r="EY426" s="32"/>
      <c r="EZ426" s="32"/>
      <c r="FA426" s="32"/>
      <c r="FB426" s="32"/>
      <c r="FC426" s="32"/>
      <c r="FD426" s="32"/>
      <c r="FE426" s="32"/>
      <c r="FF426" s="32"/>
      <c r="FG426" s="32"/>
      <c r="FH426" s="32"/>
      <c r="FI426" s="32"/>
      <c r="FJ426" s="32"/>
      <c r="FK426" s="32"/>
      <c r="FL426" s="32"/>
      <c r="FM426" s="32"/>
      <c r="FN426" s="32"/>
      <c r="FO426" s="32"/>
      <c r="FP426" s="32"/>
      <c r="FQ426" s="32"/>
      <c r="FR426" s="32"/>
      <c r="FS426" s="32"/>
      <c r="FT426" s="32"/>
      <c r="FU426" s="32"/>
      <c r="FV426" s="32"/>
      <c r="FW426" s="32"/>
      <c r="FX426" s="32"/>
      <c r="FY426" s="32"/>
      <c r="FZ426" s="32"/>
      <c r="GA426" s="32"/>
      <c r="GB426" s="32"/>
      <c r="GC426" s="32"/>
      <c r="GD426" s="32"/>
      <c r="GE426" s="32"/>
      <c r="GF426" s="32"/>
      <c r="GG426" s="32"/>
      <c r="GH426" s="32"/>
      <c r="GI426" s="32"/>
      <c r="GJ426" s="32"/>
      <c r="GK426" s="32"/>
      <c r="GL426" s="32"/>
      <c r="GM426" s="32"/>
      <c r="GN426" s="32"/>
      <c r="GO426" s="32"/>
      <c r="GP426" s="32"/>
      <c r="GQ426" s="32"/>
      <c r="GR426" s="32"/>
      <c r="GS426" s="32"/>
      <c r="GT426" s="32"/>
      <c r="GU426" s="32"/>
      <c r="GV426" s="32"/>
      <c r="GW426" s="32"/>
      <c r="GX426" s="32"/>
      <c r="GY426" s="32"/>
      <c r="GZ426" s="32"/>
      <c r="HA426" s="32"/>
      <c r="HB426" s="32"/>
      <c r="HC426" s="32"/>
      <c r="HD426" s="32"/>
      <c r="HE426" s="32"/>
      <c r="HF426" s="32"/>
      <c r="HG426" s="32"/>
      <c r="HH426" s="32"/>
      <c r="HI426" s="32"/>
      <c r="HJ426" s="32"/>
      <c r="HK426" s="32"/>
      <c r="HL426" s="32"/>
      <c r="HM426" s="32"/>
      <c r="HN426" s="32"/>
      <c r="HO426" s="32"/>
      <c r="HP426" s="32"/>
    </row>
    <row r="427" spans="1:224" x14ac:dyDescent="0.25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2"/>
      <c r="BB427" s="32"/>
      <c r="BC427" s="32"/>
      <c r="BD427" s="32"/>
      <c r="BE427" s="32"/>
      <c r="BF427" s="32"/>
      <c r="BG427" s="32"/>
      <c r="BH427" s="32"/>
      <c r="BI427" s="32"/>
      <c r="BJ427" s="32"/>
      <c r="BK427" s="32"/>
      <c r="BL427" s="32"/>
      <c r="BM427" s="32"/>
      <c r="BN427" s="32"/>
      <c r="BO427" s="32"/>
      <c r="BP427" s="32"/>
      <c r="BQ427" s="32"/>
      <c r="BR427" s="32"/>
      <c r="BS427" s="32"/>
      <c r="BT427" s="32"/>
      <c r="BU427" s="32"/>
      <c r="BV427" s="32"/>
      <c r="BW427" s="32"/>
      <c r="BX427" s="32"/>
      <c r="BY427" s="32"/>
      <c r="BZ427" s="32"/>
      <c r="CA427" s="32"/>
      <c r="CB427" s="32"/>
      <c r="CC427" s="32"/>
      <c r="CD427" s="32"/>
      <c r="CE427" s="32"/>
      <c r="CF427" s="32"/>
      <c r="CG427" s="32"/>
      <c r="CH427" s="32"/>
      <c r="CI427" s="32"/>
      <c r="CJ427" s="32"/>
      <c r="CK427" s="32"/>
      <c r="CL427" s="32"/>
      <c r="CM427" s="32"/>
      <c r="CN427" s="32"/>
      <c r="CO427" s="32"/>
      <c r="CP427" s="32"/>
      <c r="CQ427" s="32"/>
      <c r="CR427" s="32"/>
      <c r="CS427" s="32"/>
      <c r="CT427" s="32"/>
      <c r="CU427" s="32"/>
      <c r="CV427" s="32"/>
      <c r="CW427" s="32"/>
      <c r="CX427" s="32"/>
      <c r="CY427" s="32"/>
      <c r="CZ427" s="32"/>
      <c r="DA427" s="32"/>
      <c r="DB427" s="32"/>
      <c r="DC427" s="32"/>
      <c r="DD427" s="32"/>
      <c r="DE427" s="32"/>
      <c r="DF427" s="32"/>
      <c r="DG427" s="32"/>
      <c r="DH427" s="32"/>
      <c r="DI427" s="32"/>
      <c r="DJ427" s="32"/>
      <c r="DK427" s="32"/>
      <c r="DL427" s="32"/>
      <c r="DM427" s="32"/>
      <c r="DN427" s="32"/>
      <c r="DO427" s="32"/>
      <c r="DP427" s="32"/>
      <c r="DQ427" s="32"/>
      <c r="DR427" s="32"/>
      <c r="DS427" s="32"/>
      <c r="DT427" s="32"/>
      <c r="DU427" s="32"/>
      <c r="DV427" s="32"/>
      <c r="DW427" s="32"/>
      <c r="DX427" s="32"/>
      <c r="DY427" s="32"/>
      <c r="DZ427" s="32"/>
      <c r="EA427" s="32"/>
      <c r="EB427" s="32"/>
      <c r="EC427" s="32"/>
      <c r="ED427" s="32"/>
      <c r="EE427" s="32"/>
      <c r="EF427" s="32"/>
      <c r="EG427" s="32"/>
      <c r="EH427" s="32"/>
      <c r="EI427" s="32"/>
      <c r="EJ427" s="32"/>
      <c r="EK427" s="32"/>
      <c r="EL427" s="32"/>
      <c r="EM427" s="32"/>
      <c r="EN427" s="32"/>
      <c r="EO427" s="32"/>
      <c r="EP427" s="32"/>
      <c r="EQ427" s="32"/>
      <c r="ER427" s="32"/>
      <c r="ES427" s="32"/>
      <c r="ET427" s="32"/>
      <c r="EU427" s="32"/>
      <c r="EV427" s="32"/>
      <c r="EW427" s="32"/>
      <c r="EX427" s="32"/>
      <c r="EY427" s="32"/>
      <c r="EZ427" s="32"/>
      <c r="FA427" s="32"/>
      <c r="FB427" s="32"/>
      <c r="FC427" s="32"/>
      <c r="FD427" s="32"/>
      <c r="FE427" s="32"/>
      <c r="FF427" s="32"/>
      <c r="FG427" s="32"/>
      <c r="FH427" s="32"/>
      <c r="FI427" s="32"/>
      <c r="FJ427" s="32"/>
      <c r="FK427" s="32"/>
      <c r="FL427" s="32"/>
      <c r="FM427" s="32"/>
      <c r="FN427" s="32"/>
      <c r="FO427" s="32"/>
      <c r="FP427" s="32"/>
      <c r="FQ427" s="32"/>
      <c r="FR427" s="32"/>
      <c r="FS427" s="32"/>
      <c r="FT427" s="32"/>
      <c r="FU427" s="32"/>
      <c r="FV427" s="32"/>
      <c r="FW427" s="32"/>
      <c r="FX427" s="32"/>
      <c r="FY427" s="32"/>
      <c r="FZ427" s="32"/>
      <c r="GA427" s="32"/>
      <c r="GB427" s="32"/>
      <c r="GC427" s="32"/>
      <c r="GD427" s="32"/>
      <c r="GE427" s="32"/>
      <c r="GF427" s="32"/>
      <c r="GG427" s="32"/>
      <c r="GH427" s="32"/>
      <c r="GI427" s="32"/>
      <c r="GJ427" s="32"/>
      <c r="GK427" s="32"/>
      <c r="GL427" s="32"/>
      <c r="GM427" s="32"/>
      <c r="GN427" s="32"/>
      <c r="GO427" s="32"/>
      <c r="GP427" s="32"/>
      <c r="GQ427" s="32"/>
      <c r="GR427" s="32"/>
      <c r="GS427" s="32"/>
      <c r="GT427" s="32"/>
      <c r="GU427" s="32"/>
      <c r="GV427" s="32"/>
      <c r="GW427" s="32"/>
      <c r="GX427" s="32"/>
      <c r="GY427" s="32"/>
      <c r="GZ427" s="32"/>
      <c r="HA427" s="32"/>
      <c r="HB427" s="32"/>
      <c r="HC427" s="32"/>
      <c r="HD427" s="32"/>
      <c r="HE427" s="32"/>
      <c r="HF427" s="32"/>
      <c r="HG427" s="32"/>
      <c r="HH427" s="32"/>
      <c r="HI427" s="32"/>
      <c r="HJ427" s="32"/>
      <c r="HK427" s="32"/>
      <c r="HL427" s="32"/>
      <c r="HM427" s="32"/>
      <c r="HN427" s="32"/>
      <c r="HO427" s="32"/>
      <c r="HP427" s="32"/>
    </row>
    <row r="428" spans="1:224" x14ac:dyDescent="0.25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  <c r="BP428" s="32"/>
      <c r="BQ428" s="32"/>
      <c r="BR428" s="32"/>
      <c r="BS428" s="32"/>
      <c r="BT428" s="32"/>
      <c r="BU428" s="32"/>
      <c r="BV428" s="32"/>
      <c r="BW428" s="32"/>
      <c r="BX428" s="32"/>
      <c r="BY428" s="32"/>
      <c r="BZ428" s="32"/>
      <c r="CA428" s="32"/>
      <c r="CB428" s="32"/>
      <c r="CC428" s="32"/>
      <c r="CD428" s="32"/>
      <c r="CE428" s="32"/>
      <c r="CF428" s="32"/>
      <c r="CG428" s="32"/>
      <c r="CH428" s="32"/>
      <c r="CI428" s="32"/>
      <c r="CJ428" s="32"/>
      <c r="CK428" s="32"/>
      <c r="CL428" s="32"/>
      <c r="CM428" s="32"/>
      <c r="CN428" s="32"/>
      <c r="CO428" s="32"/>
      <c r="CP428" s="32"/>
      <c r="CQ428" s="32"/>
      <c r="CR428" s="32"/>
      <c r="CS428" s="32"/>
      <c r="CT428" s="32"/>
      <c r="CU428" s="32"/>
      <c r="CV428" s="32"/>
      <c r="CW428" s="32"/>
      <c r="CX428" s="32"/>
      <c r="CY428" s="32"/>
      <c r="CZ428" s="32"/>
      <c r="DA428" s="32"/>
      <c r="DB428" s="32"/>
      <c r="DC428" s="32"/>
      <c r="DD428" s="32"/>
      <c r="DE428" s="32"/>
      <c r="DF428" s="32"/>
      <c r="DG428" s="32"/>
      <c r="DH428" s="32"/>
      <c r="DI428" s="32"/>
      <c r="DJ428" s="32"/>
      <c r="DK428" s="32"/>
      <c r="DL428" s="32"/>
      <c r="DM428" s="32"/>
      <c r="DN428" s="32"/>
      <c r="DO428" s="32"/>
      <c r="DP428" s="32"/>
      <c r="DQ428" s="32"/>
      <c r="DR428" s="32"/>
      <c r="DS428" s="32"/>
      <c r="DT428" s="32"/>
      <c r="DU428" s="32"/>
      <c r="DV428" s="32"/>
      <c r="DW428" s="32"/>
      <c r="DX428" s="32"/>
      <c r="DY428" s="32"/>
      <c r="DZ428" s="32"/>
      <c r="EA428" s="32"/>
      <c r="EB428" s="32"/>
      <c r="EC428" s="32"/>
      <c r="ED428" s="32"/>
      <c r="EE428" s="32"/>
      <c r="EF428" s="32"/>
      <c r="EG428" s="32"/>
      <c r="EH428" s="32"/>
      <c r="EI428" s="32"/>
      <c r="EJ428" s="32"/>
      <c r="EK428" s="32"/>
      <c r="EL428" s="32"/>
      <c r="EM428" s="32"/>
      <c r="EN428" s="32"/>
      <c r="EO428" s="32"/>
      <c r="EP428" s="32"/>
      <c r="EQ428" s="32"/>
      <c r="ER428" s="32"/>
      <c r="ES428" s="32"/>
      <c r="ET428" s="32"/>
      <c r="EU428" s="32"/>
      <c r="EV428" s="32"/>
      <c r="EW428" s="32"/>
      <c r="EX428" s="32"/>
      <c r="EY428" s="32"/>
      <c r="EZ428" s="32"/>
      <c r="FA428" s="32"/>
      <c r="FB428" s="32"/>
      <c r="FC428" s="32"/>
      <c r="FD428" s="32"/>
      <c r="FE428" s="32"/>
      <c r="FF428" s="32"/>
      <c r="FG428" s="32"/>
      <c r="FH428" s="32"/>
      <c r="FI428" s="32"/>
      <c r="FJ428" s="32"/>
      <c r="FK428" s="32"/>
      <c r="FL428" s="32"/>
      <c r="FM428" s="32"/>
      <c r="FN428" s="32"/>
      <c r="FO428" s="32"/>
      <c r="FP428" s="32"/>
      <c r="FQ428" s="32"/>
      <c r="FR428" s="32"/>
      <c r="FS428" s="32"/>
      <c r="FT428" s="32"/>
      <c r="FU428" s="32"/>
      <c r="FV428" s="32"/>
      <c r="FW428" s="32"/>
      <c r="FX428" s="32"/>
      <c r="FY428" s="32"/>
      <c r="FZ428" s="32"/>
      <c r="GA428" s="32"/>
      <c r="GB428" s="32"/>
      <c r="GC428" s="32"/>
      <c r="GD428" s="32"/>
      <c r="GE428" s="32"/>
      <c r="GF428" s="32"/>
      <c r="GG428" s="32"/>
      <c r="GH428" s="32"/>
      <c r="GI428" s="32"/>
      <c r="GJ428" s="32"/>
      <c r="GK428" s="32"/>
      <c r="GL428" s="32"/>
      <c r="GM428" s="32"/>
      <c r="GN428" s="32"/>
      <c r="GO428" s="32"/>
      <c r="GP428" s="32"/>
      <c r="GQ428" s="32"/>
      <c r="GR428" s="32"/>
      <c r="GS428" s="32"/>
      <c r="GT428" s="32"/>
      <c r="GU428" s="32"/>
      <c r="GV428" s="32"/>
      <c r="GW428" s="32"/>
      <c r="GX428" s="32"/>
      <c r="GY428" s="32"/>
      <c r="GZ428" s="32"/>
      <c r="HA428" s="32"/>
      <c r="HB428" s="32"/>
      <c r="HC428" s="32"/>
      <c r="HD428" s="32"/>
      <c r="HE428" s="32"/>
      <c r="HF428" s="32"/>
      <c r="HG428" s="32"/>
      <c r="HH428" s="32"/>
      <c r="HI428" s="32"/>
      <c r="HJ428" s="32"/>
      <c r="HK428" s="32"/>
      <c r="HL428" s="32"/>
      <c r="HM428" s="32"/>
      <c r="HN428" s="32"/>
      <c r="HO428" s="32"/>
      <c r="HP428" s="32"/>
    </row>
    <row r="429" spans="1:224" x14ac:dyDescent="0.25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2"/>
      <c r="BF429" s="32"/>
      <c r="BG429" s="32"/>
      <c r="BH429" s="32"/>
      <c r="BI429" s="32"/>
      <c r="BJ429" s="32"/>
      <c r="BK429" s="32"/>
      <c r="BL429" s="32"/>
      <c r="BM429" s="32"/>
      <c r="BN429" s="32"/>
      <c r="BO429" s="32"/>
      <c r="BP429" s="32"/>
      <c r="BQ429" s="32"/>
      <c r="BR429" s="32"/>
      <c r="BS429" s="32"/>
      <c r="BT429" s="32"/>
      <c r="BU429" s="32"/>
      <c r="BV429" s="32"/>
      <c r="BW429" s="32"/>
      <c r="BX429" s="32"/>
      <c r="BY429" s="32"/>
      <c r="BZ429" s="32"/>
      <c r="CA429" s="32"/>
      <c r="CB429" s="32"/>
      <c r="CC429" s="32"/>
      <c r="CD429" s="32"/>
      <c r="CE429" s="32"/>
      <c r="CF429" s="32"/>
      <c r="CG429" s="32"/>
      <c r="CH429" s="32"/>
      <c r="CI429" s="32"/>
      <c r="CJ429" s="32"/>
      <c r="CK429" s="32"/>
      <c r="CL429" s="32"/>
      <c r="CM429" s="32"/>
      <c r="CN429" s="32"/>
      <c r="CO429" s="32"/>
      <c r="CP429" s="32"/>
      <c r="CQ429" s="32"/>
      <c r="CR429" s="32"/>
      <c r="CS429" s="32"/>
      <c r="CT429" s="32"/>
      <c r="CU429" s="32"/>
      <c r="CV429" s="32"/>
      <c r="CW429" s="32"/>
      <c r="CX429" s="32"/>
      <c r="CY429" s="32"/>
      <c r="CZ429" s="32"/>
      <c r="DA429" s="32"/>
      <c r="DB429" s="32"/>
      <c r="DC429" s="32"/>
      <c r="DD429" s="32"/>
      <c r="DE429" s="32"/>
      <c r="DF429" s="32"/>
      <c r="DG429" s="32"/>
      <c r="DH429" s="32"/>
      <c r="DI429" s="32"/>
      <c r="DJ429" s="32"/>
      <c r="DK429" s="32"/>
      <c r="DL429" s="32"/>
      <c r="DM429" s="32"/>
      <c r="DN429" s="32"/>
      <c r="DO429" s="32"/>
      <c r="DP429" s="32"/>
      <c r="DQ429" s="32"/>
      <c r="DR429" s="32"/>
      <c r="DS429" s="32"/>
      <c r="DT429" s="32"/>
      <c r="DU429" s="32"/>
      <c r="DV429" s="32"/>
      <c r="DW429" s="32"/>
      <c r="DX429" s="32"/>
      <c r="DY429" s="32"/>
      <c r="DZ429" s="32"/>
      <c r="EA429" s="32"/>
      <c r="EB429" s="32"/>
      <c r="EC429" s="32"/>
      <c r="ED429" s="32"/>
      <c r="EE429" s="32"/>
      <c r="EF429" s="32"/>
      <c r="EG429" s="32"/>
      <c r="EH429" s="32"/>
      <c r="EI429" s="32"/>
      <c r="EJ429" s="32"/>
      <c r="EK429" s="32"/>
      <c r="EL429" s="32"/>
      <c r="EM429" s="32"/>
      <c r="EN429" s="32"/>
      <c r="EO429" s="32"/>
      <c r="EP429" s="32"/>
      <c r="EQ429" s="32"/>
      <c r="ER429" s="32"/>
      <c r="ES429" s="32"/>
      <c r="ET429" s="32"/>
      <c r="EU429" s="32"/>
      <c r="EV429" s="32"/>
      <c r="EW429" s="32"/>
      <c r="EX429" s="32"/>
      <c r="EY429" s="32"/>
      <c r="EZ429" s="32"/>
      <c r="FA429" s="32"/>
      <c r="FB429" s="32"/>
      <c r="FC429" s="32"/>
      <c r="FD429" s="32"/>
      <c r="FE429" s="32"/>
      <c r="FF429" s="32"/>
      <c r="FG429" s="32"/>
      <c r="FH429" s="32"/>
      <c r="FI429" s="32"/>
      <c r="FJ429" s="32"/>
      <c r="FK429" s="32"/>
      <c r="FL429" s="32"/>
      <c r="FM429" s="32"/>
      <c r="FN429" s="32"/>
      <c r="FO429" s="32"/>
      <c r="FP429" s="32"/>
      <c r="FQ429" s="32"/>
      <c r="FR429" s="32"/>
      <c r="FS429" s="32"/>
      <c r="FT429" s="32"/>
      <c r="FU429" s="32"/>
      <c r="FV429" s="32"/>
      <c r="FW429" s="32"/>
      <c r="FX429" s="32"/>
      <c r="FY429" s="32"/>
      <c r="FZ429" s="32"/>
      <c r="GA429" s="32"/>
      <c r="GB429" s="32"/>
      <c r="GC429" s="32"/>
      <c r="GD429" s="32"/>
      <c r="GE429" s="32"/>
      <c r="GF429" s="32"/>
      <c r="GG429" s="32"/>
      <c r="GH429" s="32"/>
      <c r="GI429" s="32"/>
      <c r="GJ429" s="32"/>
      <c r="GK429" s="32"/>
      <c r="GL429" s="32"/>
      <c r="GM429" s="32"/>
      <c r="GN429" s="32"/>
      <c r="GO429" s="32"/>
      <c r="GP429" s="32"/>
      <c r="GQ429" s="32"/>
      <c r="GR429" s="32"/>
      <c r="GS429" s="32"/>
      <c r="GT429" s="32"/>
      <c r="GU429" s="32"/>
      <c r="GV429" s="32"/>
      <c r="GW429" s="32"/>
      <c r="GX429" s="32"/>
      <c r="GY429" s="32"/>
      <c r="GZ429" s="32"/>
      <c r="HA429" s="32"/>
      <c r="HB429" s="32"/>
      <c r="HC429" s="32"/>
      <c r="HD429" s="32"/>
      <c r="HE429" s="32"/>
      <c r="HF429" s="32"/>
      <c r="HG429" s="32"/>
      <c r="HH429" s="32"/>
      <c r="HI429" s="32"/>
      <c r="HJ429" s="32"/>
      <c r="HK429" s="32"/>
      <c r="HL429" s="32"/>
      <c r="HM429" s="32"/>
      <c r="HN429" s="32"/>
      <c r="HO429" s="32"/>
      <c r="HP429" s="32"/>
    </row>
    <row r="430" spans="1:224" x14ac:dyDescent="0.25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2"/>
      <c r="BB430" s="32"/>
      <c r="BC430" s="32"/>
      <c r="BD430" s="32"/>
      <c r="BE430" s="32"/>
      <c r="BF430" s="32"/>
      <c r="BG430" s="32"/>
      <c r="BH430" s="32"/>
      <c r="BI430" s="32"/>
      <c r="BJ430" s="32"/>
      <c r="BK430" s="32"/>
      <c r="BL430" s="32"/>
      <c r="BM430" s="32"/>
      <c r="BN430" s="32"/>
      <c r="BO430" s="32"/>
      <c r="BP430" s="32"/>
      <c r="BQ430" s="32"/>
      <c r="BR430" s="32"/>
      <c r="BS430" s="32"/>
      <c r="BT430" s="32"/>
      <c r="BU430" s="32"/>
      <c r="BV430" s="32"/>
      <c r="BW430" s="32"/>
      <c r="BX430" s="32"/>
      <c r="BY430" s="32"/>
      <c r="BZ430" s="32"/>
      <c r="CA430" s="32"/>
      <c r="CB430" s="32"/>
      <c r="CC430" s="32"/>
      <c r="CD430" s="32"/>
      <c r="CE430" s="32"/>
      <c r="CF430" s="32"/>
      <c r="CG430" s="32"/>
      <c r="CH430" s="32"/>
      <c r="CI430" s="32"/>
      <c r="CJ430" s="32"/>
      <c r="CK430" s="32"/>
      <c r="CL430" s="32"/>
      <c r="CM430" s="32"/>
      <c r="CN430" s="32"/>
      <c r="CO430" s="32"/>
      <c r="CP430" s="32"/>
      <c r="CQ430" s="32"/>
      <c r="CR430" s="32"/>
      <c r="CS430" s="32"/>
      <c r="CT430" s="32"/>
      <c r="CU430" s="32"/>
      <c r="CV430" s="32"/>
      <c r="CW430" s="32"/>
      <c r="CX430" s="32"/>
      <c r="CY430" s="32"/>
      <c r="CZ430" s="32"/>
      <c r="DA430" s="32"/>
      <c r="DB430" s="32"/>
      <c r="DC430" s="32"/>
      <c r="DD430" s="32"/>
      <c r="DE430" s="32"/>
      <c r="DF430" s="32"/>
      <c r="DG430" s="32"/>
      <c r="DH430" s="32"/>
      <c r="DI430" s="32"/>
      <c r="DJ430" s="32"/>
      <c r="DK430" s="32"/>
      <c r="DL430" s="32"/>
      <c r="DM430" s="32"/>
      <c r="DN430" s="32"/>
      <c r="DO430" s="32"/>
      <c r="DP430" s="32"/>
      <c r="DQ430" s="32"/>
      <c r="DR430" s="32"/>
      <c r="DS430" s="32"/>
      <c r="DT430" s="32"/>
      <c r="DU430" s="32"/>
      <c r="DV430" s="32"/>
      <c r="DW430" s="32"/>
      <c r="DX430" s="32"/>
      <c r="DY430" s="32"/>
      <c r="DZ430" s="32"/>
      <c r="EA430" s="32"/>
      <c r="EB430" s="32"/>
      <c r="EC430" s="32"/>
      <c r="ED430" s="32"/>
      <c r="EE430" s="32"/>
      <c r="EF430" s="32"/>
      <c r="EG430" s="32"/>
      <c r="EH430" s="32"/>
      <c r="EI430" s="32"/>
      <c r="EJ430" s="32"/>
      <c r="EK430" s="32"/>
      <c r="EL430" s="32"/>
      <c r="EM430" s="32"/>
      <c r="EN430" s="32"/>
      <c r="EO430" s="32"/>
      <c r="EP430" s="32"/>
      <c r="EQ430" s="32"/>
      <c r="ER430" s="32"/>
      <c r="ES430" s="32"/>
      <c r="ET430" s="32"/>
      <c r="EU430" s="32"/>
      <c r="EV430" s="32"/>
      <c r="EW430" s="32"/>
      <c r="EX430" s="32"/>
      <c r="EY430" s="32"/>
      <c r="EZ430" s="32"/>
      <c r="FA430" s="32"/>
      <c r="FB430" s="32"/>
      <c r="FC430" s="32"/>
      <c r="FD430" s="32"/>
      <c r="FE430" s="32"/>
      <c r="FF430" s="32"/>
      <c r="FG430" s="32"/>
      <c r="FH430" s="32"/>
      <c r="FI430" s="32"/>
      <c r="FJ430" s="32"/>
      <c r="FK430" s="32"/>
      <c r="FL430" s="32"/>
      <c r="FM430" s="32"/>
      <c r="FN430" s="32"/>
      <c r="FO430" s="32"/>
      <c r="FP430" s="32"/>
      <c r="FQ430" s="32"/>
      <c r="FR430" s="32"/>
      <c r="FS430" s="32"/>
      <c r="FT430" s="32"/>
      <c r="FU430" s="32"/>
      <c r="FV430" s="32"/>
      <c r="FW430" s="32"/>
      <c r="FX430" s="32"/>
      <c r="FY430" s="32"/>
      <c r="FZ430" s="32"/>
      <c r="GA430" s="32"/>
      <c r="GB430" s="32"/>
      <c r="GC430" s="32"/>
      <c r="GD430" s="32"/>
      <c r="GE430" s="32"/>
      <c r="GF430" s="32"/>
      <c r="GG430" s="32"/>
      <c r="GH430" s="32"/>
      <c r="GI430" s="32"/>
      <c r="GJ430" s="32"/>
      <c r="GK430" s="32"/>
      <c r="GL430" s="32"/>
      <c r="GM430" s="32"/>
      <c r="GN430" s="32"/>
      <c r="GO430" s="32"/>
      <c r="GP430" s="32"/>
      <c r="GQ430" s="32"/>
      <c r="GR430" s="32"/>
      <c r="GS430" s="32"/>
      <c r="GT430" s="32"/>
      <c r="GU430" s="32"/>
      <c r="GV430" s="32"/>
      <c r="GW430" s="32"/>
      <c r="GX430" s="32"/>
      <c r="GY430" s="32"/>
      <c r="GZ430" s="32"/>
      <c r="HA430" s="32"/>
      <c r="HB430" s="32"/>
      <c r="HC430" s="32"/>
      <c r="HD430" s="32"/>
      <c r="HE430" s="32"/>
      <c r="HF430" s="32"/>
      <c r="HG430" s="32"/>
      <c r="HH430" s="32"/>
      <c r="HI430" s="32"/>
      <c r="HJ430" s="32"/>
      <c r="HK430" s="32"/>
      <c r="HL430" s="32"/>
      <c r="HM430" s="32"/>
      <c r="HN430" s="32"/>
      <c r="HO430" s="32"/>
      <c r="HP430" s="32"/>
    </row>
    <row r="431" spans="1:224" x14ac:dyDescent="0.25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  <c r="BD431" s="32"/>
      <c r="BE431" s="32"/>
      <c r="BF431" s="32"/>
      <c r="BG431" s="32"/>
      <c r="BH431" s="32"/>
      <c r="BI431" s="32"/>
      <c r="BJ431" s="32"/>
      <c r="BK431" s="32"/>
      <c r="BL431" s="32"/>
      <c r="BM431" s="32"/>
      <c r="BN431" s="32"/>
      <c r="BO431" s="32"/>
      <c r="BP431" s="32"/>
      <c r="BQ431" s="32"/>
      <c r="BR431" s="32"/>
      <c r="BS431" s="32"/>
      <c r="BT431" s="32"/>
      <c r="BU431" s="32"/>
      <c r="BV431" s="32"/>
      <c r="BW431" s="32"/>
      <c r="BX431" s="32"/>
      <c r="BY431" s="32"/>
      <c r="BZ431" s="32"/>
      <c r="CA431" s="32"/>
      <c r="CB431" s="32"/>
      <c r="CC431" s="32"/>
      <c r="CD431" s="32"/>
      <c r="CE431" s="32"/>
      <c r="CF431" s="32"/>
      <c r="CG431" s="32"/>
      <c r="CH431" s="32"/>
      <c r="CI431" s="32"/>
      <c r="CJ431" s="32"/>
      <c r="CK431" s="32"/>
      <c r="CL431" s="32"/>
      <c r="CM431" s="32"/>
      <c r="CN431" s="32"/>
      <c r="CO431" s="32"/>
      <c r="CP431" s="32"/>
      <c r="CQ431" s="32"/>
      <c r="CR431" s="32"/>
      <c r="CS431" s="32"/>
      <c r="CT431" s="32"/>
      <c r="CU431" s="32"/>
      <c r="CV431" s="32"/>
      <c r="CW431" s="32"/>
      <c r="CX431" s="32"/>
      <c r="CY431" s="32"/>
      <c r="CZ431" s="32"/>
      <c r="DA431" s="32"/>
      <c r="DB431" s="32"/>
      <c r="DC431" s="32"/>
      <c r="DD431" s="32"/>
      <c r="DE431" s="32"/>
      <c r="DF431" s="32"/>
      <c r="DG431" s="32"/>
      <c r="DH431" s="32"/>
      <c r="DI431" s="32"/>
      <c r="DJ431" s="32"/>
      <c r="DK431" s="32"/>
      <c r="DL431" s="32"/>
      <c r="DM431" s="32"/>
      <c r="DN431" s="32"/>
      <c r="DO431" s="32"/>
      <c r="DP431" s="32"/>
      <c r="DQ431" s="32"/>
      <c r="DR431" s="32"/>
      <c r="DS431" s="32"/>
      <c r="DT431" s="32"/>
      <c r="DU431" s="32"/>
      <c r="DV431" s="32"/>
      <c r="DW431" s="32"/>
      <c r="DX431" s="32"/>
      <c r="DY431" s="32"/>
      <c r="DZ431" s="32"/>
      <c r="EA431" s="32"/>
      <c r="EB431" s="32"/>
      <c r="EC431" s="32"/>
      <c r="ED431" s="32"/>
      <c r="EE431" s="32"/>
      <c r="EF431" s="32"/>
      <c r="EG431" s="32"/>
      <c r="EH431" s="32"/>
      <c r="EI431" s="32"/>
      <c r="EJ431" s="32"/>
      <c r="EK431" s="32"/>
      <c r="EL431" s="32"/>
      <c r="EM431" s="32"/>
      <c r="EN431" s="32"/>
      <c r="EO431" s="32"/>
      <c r="EP431" s="32"/>
      <c r="EQ431" s="32"/>
      <c r="ER431" s="32"/>
      <c r="ES431" s="32"/>
      <c r="ET431" s="32"/>
      <c r="EU431" s="32"/>
      <c r="EV431" s="32"/>
      <c r="EW431" s="32"/>
      <c r="EX431" s="32"/>
      <c r="EY431" s="32"/>
      <c r="EZ431" s="32"/>
      <c r="FA431" s="32"/>
      <c r="FB431" s="32"/>
      <c r="FC431" s="32"/>
      <c r="FD431" s="32"/>
      <c r="FE431" s="32"/>
      <c r="FF431" s="32"/>
      <c r="FG431" s="32"/>
      <c r="FH431" s="32"/>
      <c r="FI431" s="32"/>
      <c r="FJ431" s="32"/>
      <c r="FK431" s="32"/>
      <c r="FL431" s="32"/>
      <c r="FM431" s="32"/>
      <c r="FN431" s="32"/>
      <c r="FO431" s="32"/>
      <c r="FP431" s="32"/>
      <c r="FQ431" s="32"/>
      <c r="FR431" s="32"/>
      <c r="FS431" s="32"/>
      <c r="FT431" s="32"/>
      <c r="FU431" s="32"/>
      <c r="FV431" s="32"/>
      <c r="FW431" s="32"/>
      <c r="FX431" s="32"/>
      <c r="FY431" s="32"/>
      <c r="FZ431" s="32"/>
      <c r="GA431" s="32"/>
      <c r="GB431" s="32"/>
      <c r="GC431" s="32"/>
      <c r="GD431" s="32"/>
      <c r="GE431" s="32"/>
      <c r="GF431" s="32"/>
      <c r="GG431" s="32"/>
      <c r="GH431" s="32"/>
      <c r="GI431" s="32"/>
      <c r="GJ431" s="32"/>
      <c r="GK431" s="32"/>
      <c r="GL431" s="32"/>
      <c r="GM431" s="32"/>
      <c r="GN431" s="32"/>
      <c r="GO431" s="32"/>
      <c r="GP431" s="32"/>
      <c r="GQ431" s="32"/>
      <c r="GR431" s="32"/>
      <c r="GS431" s="32"/>
      <c r="GT431" s="32"/>
      <c r="GU431" s="32"/>
      <c r="GV431" s="32"/>
      <c r="GW431" s="32"/>
      <c r="GX431" s="32"/>
      <c r="GY431" s="32"/>
      <c r="GZ431" s="32"/>
      <c r="HA431" s="32"/>
      <c r="HB431" s="32"/>
      <c r="HC431" s="32"/>
      <c r="HD431" s="32"/>
      <c r="HE431" s="32"/>
      <c r="HF431" s="32"/>
      <c r="HG431" s="32"/>
      <c r="HH431" s="32"/>
      <c r="HI431" s="32"/>
      <c r="HJ431" s="32"/>
      <c r="HK431" s="32"/>
      <c r="HL431" s="32"/>
      <c r="HM431" s="32"/>
      <c r="HN431" s="32"/>
      <c r="HO431" s="32"/>
      <c r="HP431" s="32"/>
    </row>
    <row r="432" spans="1:224" x14ac:dyDescent="0.25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2"/>
      <c r="BB432" s="32"/>
      <c r="BC432" s="32"/>
      <c r="BD432" s="32"/>
      <c r="BE432" s="32"/>
      <c r="BF432" s="32"/>
      <c r="BG432" s="32"/>
      <c r="BH432" s="32"/>
      <c r="BI432" s="32"/>
      <c r="BJ432" s="32"/>
      <c r="BK432" s="32"/>
      <c r="BL432" s="32"/>
      <c r="BM432" s="32"/>
      <c r="BN432" s="32"/>
      <c r="BO432" s="32"/>
      <c r="BP432" s="32"/>
      <c r="BQ432" s="32"/>
      <c r="BR432" s="32"/>
      <c r="BS432" s="32"/>
      <c r="BT432" s="32"/>
      <c r="BU432" s="32"/>
      <c r="BV432" s="32"/>
      <c r="BW432" s="32"/>
      <c r="BX432" s="32"/>
      <c r="BY432" s="32"/>
      <c r="BZ432" s="32"/>
      <c r="CA432" s="32"/>
      <c r="CB432" s="32"/>
      <c r="CC432" s="32"/>
      <c r="CD432" s="32"/>
      <c r="CE432" s="32"/>
      <c r="CF432" s="32"/>
      <c r="CG432" s="32"/>
      <c r="CH432" s="32"/>
      <c r="CI432" s="32"/>
      <c r="CJ432" s="32"/>
      <c r="CK432" s="32"/>
      <c r="CL432" s="32"/>
      <c r="CM432" s="32"/>
      <c r="CN432" s="32"/>
      <c r="CO432" s="32"/>
      <c r="CP432" s="32"/>
      <c r="CQ432" s="32"/>
      <c r="CR432" s="32"/>
      <c r="CS432" s="32"/>
      <c r="CT432" s="32"/>
      <c r="CU432" s="32"/>
      <c r="CV432" s="32"/>
      <c r="CW432" s="32"/>
      <c r="CX432" s="32"/>
      <c r="CY432" s="32"/>
      <c r="CZ432" s="32"/>
      <c r="DA432" s="32"/>
      <c r="DB432" s="32"/>
      <c r="DC432" s="32"/>
      <c r="DD432" s="32"/>
      <c r="DE432" s="32"/>
      <c r="DF432" s="32"/>
      <c r="DG432" s="32"/>
      <c r="DH432" s="32"/>
      <c r="DI432" s="32"/>
      <c r="DJ432" s="32"/>
      <c r="DK432" s="32"/>
      <c r="DL432" s="32"/>
      <c r="DM432" s="32"/>
      <c r="DN432" s="32"/>
      <c r="DO432" s="32"/>
      <c r="DP432" s="32"/>
      <c r="DQ432" s="32"/>
      <c r="DR432" s="32"/>
      <c r="DS432" s="32"/>
      <c r="DT432" s="32"/>
      <c r="DU432" s="32"/>
      <c r="DV432" s="32"/>
      <c r="DW432" s="32"/>
      <c r="DX432" s="32"/>
      <c r="DY432" s="32"/>
      <c r="DZ432" s="32"/>
      <c r="EA432" s="32"/>
      <c r="EB432" s="32"/>
      <c r="EC432" s="32"/>
      <c r="ED432" s="32"/>
      <c r="EE432" s="32"/>
      <c r="EF432" s="32"/>
      <c r="EG432" s="32"/>
      <c r="EH432" s="32"/>
      <c r="EI432" s="32"/>
      <c r="EJ432" s="32"/>
      <c r="EK432" s="32"/>
      <c r="EL432" s="32"/>
      <c r="EM432" s="32"/>
      <c r="EN432" s="32"/>
      <c r="EO432" s="32"/>
      <c r="EP432" s="32"/>
      <c r="EQ432" s="32"/>
      <c r="ER432" s="32"/>
      <c r="ES432" s="32"/>
      <c r="ET432" s="32"/>
      <c r="EU432" s="32"/>
      <c r="EV432" s="32"/>
      <c r="EW432" s="32"/>
      <c r="EX432" s="32"/>
      <c r="EY432" s="32"/>
      <c r="EZ432" s="32"/>
      <c r="FA432" s="32"/>
      <c r="FB432" s="32"/>
      <c r="FC432" s="32"/>
      <c r="FD432" s="32"/>
      <c r="FE432" s="32"/>
      <c r="FF432" s="32"/>
      <c r="FG432" s="32"/>
      <c r="FH432" s="32"/>
      <c r="FI432" s="32"/>
      <c r="FJ432" s="32"/>
      <c r="FK432" s="32"/>
      <c r="FL432" s="32"/>
      <c r="FM432" s="32"/>
      <c r="FN432" s="32"/>
      <c r="FO432" s="32"/>
      <c r="FP432" s="32"/>
      <c r="FQ432" s="32"/>
      <c r="FR432" s="32"/>
      <c r="FS432" s="32"/>
      <c r="FT432" s="32"/>
      <c r="FU432" s="32"/>
      <c r="FV432" s="32"/>
      <c r="FW432" s="32"/>
      <c r="FX432" s="32"/>
      <c r="FY432" s="32"/>
      <c r="FZ432" s="32"/>
      <c r="GA432" s="32"/>
      <c r="GB432" s="32"/>
      <c r="GC432" s="32"/>
      <c r="GD432" s="32"/>
      <c r="GE432" s="32"/>
      <c r="GF432" s="32"/>
      <c r="GG432" s="32"/>
      <c r="GH432" s="32"/>
      <c r="GI432" s="32"/>
      <c r="GJ432" s="32"/>
      <c r="GK432" s="32"/>
      <c r="GL432" s="32"/>
      <c r="GM432" s="32"/>
      <c r="GN432" s="32"/>
      <c r="GO432" s="32"/>
      <c r="GP432" s="32"/>
      <c r="GQ432" s="32"/>
      <c r="GR432" s="32"/>
      <c r="GS432" s="32"/>
      <c r="GT432" s="32"/>
      <c r="GU432" s="32"/>
      <c r="GV432" s="32"/>
      <c r="GW432" s="32"/>
      <c r="GX432" s="32"/>
      <c r="GY432" s="32"/>
      <c r="GZ432" s="32"/>
      <c r="HA432" s="32"/>
      <c r="HB432" s="32"/>
      <c r="HC432" s="32"/>
      <c r="HD432" s="32"/>
      <c r="HE432" s="32"/>
      <c r="HF432" s="32"/>
      <c r="HG432" s="32"/>
      <c r="HH432" s="32"/>
      <c r="HI432" s="32"/>
      <c r="HJ432" s="32"/>
      <c r="HK432" s="32"/>
      <c r="HL432" s="32"/>
      <c r="HM432" s="32"/>
      <c r="HN432" s="32"/>
      <c r="HO432" s="32"/>
      <c r="HP432" s="32"/>
    </row>
    <row r="433" spans="1:224" x14ac:dyDescent="0.25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2"/>
      <c r="BU433" s="32"/>
      <c r="BV433" s="32"/>
      <c r="BW433" s="32"/>
      <c r="BX433" s="32"/>
      <c r="BY433" s="32"/>
      <c r="BZ433" s="32"/>
      <c r="CA433" s="32"/>
      <c r="CB433" s="32"/>
      <c r="CC433" s="32"/>
      <c r="CD433" s="32"/>
      <c r="CE433" s="32"/>
      <c r="CF433" s="32"/>
      <c r="CG433" s="32"/>
      <c r="CH433" s="32"/>
      <c r="CI433" s="32"/>
      <c r="CJ433" s="32"/>
      <c r="CK433" s="32"/>
      <c r="CL433" s="32"/>
      <c r="CM433" s="32"/>
      <c r="CN433" s="32"/>
      <c r="CO433" s="32"/>
      <c r="CP433" s="32"/>
      <c r="CQ433" s="32"/>
      <c r="CR433" s="32"/>
      <c r="CS433" s="32"/>
      <c r="CT433" s="32"/>
      <c r="CU433" s="32"/>
      <c r="CV433" s="32"/>
      <c r="CW433" s="32"/>
      <c r="CX433" s="32"/>
      <c r="CY433" s="32"/>
      <c r="CZ433" s="32"/>
      <c r="DA433" s="32"/>
      <c r="DB433" s="32"/>
      <c r="DC433" s="32"/>
      <c r="DD433" s="32"/>
      <c r="DE433" s="32"/>
      <c r="DF433" s="32"/>
      <c r="DG433" s="32"/>
      <c r="DH433" s="32"/>
      <c r="DI433" s="32"/>
      <c r="DJ433" s="32"/>
      <c r="DK433" s="32"/>
      <c r="DL433" s="32"/>
      <c r="DM433" s="32"/>
      <c r="DN433" s="32"/>
      <c r="DO433" s="32"/>
      <c r="DP433" s="32"/>
      <c r="DQ433" s="32"/>
      <c r="DR433" s="32"/>
      <c r="DS433" s="32"/>
      <c r="DT433" s="32"/>
      <c r="DU433" s="32"/>
      <c r="DV433" s="32"/>
      <c r="DW433" s="32"/>
      <c r="DX433" s="32"/>
      <c r="DY433" s="32"/>
      <c r="DZ433" s="32"/>
      <c r="EA433" s="32"/>
      <c r="EB433" s="32"/>
      <c r="EC433" s="32"/>
      <c r="ED433" s="32"/>
      <c r="EE433" s="32"/>
      <c r="EF433" s="32"/>
      <c r="EG433" s="32"/>
      <c r="EH433" s="32"/>
      <c r="EI433" s="32"/>
      <c r="EJ433" s="32"/>
      <c r="EK433" s="32"/>
      <c r="EL433" s="32"/>
      <c r="EM433" s="32"/>
      <c r="EN433" s="32"/>
      <c r="EO433" s="32"/>
      <c r="EP433" s="32"/>
      <c r="EQ433" s="32"/>
      <c r="ER433" s="32"/>
      <c r="ES433" s="32"/>
      <c r="ET433" s="32"/>
      <c r="EU433" s="32"/>
      <c r="EV433" s="32"/>
      <c r="EW433" s="32"/>
      <c r="EX433" s="32"/>
      <c r="EY433" s="32"/>
      <c r="EZ433" s="32"/>
      <c r="FA433" s="32"/>
      <c r="FB433" s="32"/>
      <c r="FC433" s="32"/>
      <c r="FD433" s="32"/>
      <c r="FE433" s="32"/>
      <c r="FF433" s="32"/>
      <c r="FG433" s="32"/>
      <c r="FH433" s="32"/>
      <c r="FI433" s="32"/>
      <c r="FJ433" s="32"/>
      <c r="FK433" s="32"/>
      <c r="FL433" s="32"/>
      <c r="FM433" s="32"/>
      <c r="FN433" s="32"/>
      <c r="FO433" s="32"/>
      <c r="FP433" s="32"/>
      <c r="FQ433" s="32"/>
      <c r="FR433" s="32"/>
      <c r="FS433" s="32"/>
      <c r="FT433" s="32"/>
      <c r="FU433" s="32"/>
      <c r="FV433" s="32"/>
      <c r="FW433" s="32"/>
      <c r="FX433" s="32"/>
      <c r="FY433" s="32"/>
      <c r="FZ433" s="32"/>
      <c r="GA433" s="32"/>
      <c r="GB433" s="32"/>
      <c r="GC433" s="32"/>
      <c r="GD433" s="32"/>
      <c r="GE433" s="32"/>
      <c r="GF433" s="32"/>
      <c r="GG433" s="32"/>
      <c r="GH433" s="32"/>
      <c r="GI433" s="32"/>
      <c r="GJ433" s="32"/>
      <c r="GK433" s="32"/>
      <c r="GL433" s="32"/>
      <c r="GM433" s="32"/>
      <c r="GN433" s="32"/>
      <c r="GO433" s="32"/>
      <c r="GP433" s="32"/>
      <c r="GQ433" s="32"/>
      <c r="GR433" s="32"/>
      <c r="GS433" s="32"/>
      <c r="GT433" s="32"/>
      <c r="GU433" s="32"/>
      <c r="GV433" s="32"/>
      <c r="GW433" s="32"/>
      <c r="GX433" s="32"/>
      <c r="GY433" s="32"/>
      <c r="GZ433" s="32"/>
      <c r="HA433" s="32"/>
      <c r="HB433" s="32"/>
      <c r="HC433" s="32"/>
      <c r="HD433" s="32"/>
      <c r="HE433" s="32"/>
      <c r="HF433" s="32"/>
      <c r="HG433" s="32"/>
      <c r="HH433" s="32"/>
      <c r="HI433" s="32"/>
      <c r="HJ433" s="32"/>
      <c r="HK433" s="32"/>
      <c r="HL433" s="32"/>
      <c r="HM433" s="32"/>
      <c r="HN433" s="32"/>
      <c r="HO433" s="32"/>
      <c r="HP433" s="32"/>
    </row>
    <row r="434" spans="1:224" x14ac:dyDescent="0.25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2"/>
      <c r="BB434" s="32"/>
      <c r="BC434" s="32"/>
      <c r="BD434" s="32"/>
      <c r="BE434" s="32"/>
      <c r="BF434" s="32"/>
      <c r="BG434" s="32"/>
      <c r="BH434" s="32"/>
      <c r="BI434" s="32"/>
      <c r="BJ434" s="32"/>
      <c r="BK434" s="32"/>
      <c r="BL434" s="32"/>
      <c r="BM434" s="32"/>
      <c r="BN434" s="32"/>
      <c r="BO434" s="32"/>
      <c r="BP434" s="32"/>
      <c r="BQ434" s="32"/>
      <c r="BR434" s="32"/>
      <c r="BS434" s="32"/>
      <c r="BT434" s="32"/>
      <c r="BU434" s="32"/>
      <c r="BV434" s="32"/>
      <c r="BW434" s="32"/>
      <c r="BX434" s="32"/>
      <c r="BY434" s="32"/>
      <c r="BZ434" s="32"/>
      <c r="CA434" s="32"/>
      <c r="CB434" s="32"/>
      <c r="CC434" s="32"/>
      <c r="CD434" s="32"/>
      <c r="CE434" s="32"/>
      <c r="CF434" s="32"/>
      <c r="CG434" s="32"/>
      <c r="CH434" s="32"/>
      <c r="CI434" s="32"/>
      <c r="CJ434" s="32"/>
      <c r="CK434" s="32"/>
      <c r="CL434" s="32"/>
      <c r="CM434" s="32"/>
      <c r="CN434" s="32"/>
      <c r="CO434" s="32"/>
      <c r="CP434" s="32"/>
      <c r="CQ434" s="32"/>
      <c r="CR434" s="32"/>
      <c r="CS434" s="32"/>
      <c r="CT434" s="32"/>
      <c r="CU434" s="32"/>
      <c r="CV434" s="32"/>
      <c r="CW434" s="32"/>
      <c r="CX434" s="32"/>
      <c r="CY434" s="32"/>
      <c r="CZ434" s="32"/>
      <c r="DA434" s="32"/>
      <c r="DB434" s="32"/>
      <c r="DC434" s="32"/>
      <c r="DD434" s="32"/>
      <c r="DE434" s="32"/>
      <c r="DF434" s="32"/>
      <c r="DG434" s="32"/>
      <c r="DH434" s="32"/>
      <c r="DI434" s="32"/>
      <c r="DJ434" s="32"/>
      <c r="DK434" s="32"/>
      <c r="DL434" s="32"/>
      <c r="DM434" s="32"/>
      <c r="DN434" s="32"/>
      <c r="DO434" s="32"/>
      <c r="DP434" s="32"/>
      <c r="DQ434" s="32"/>
      <c r="DR434" s="32"/>
      <c r="DS434" s="32"/>
      <c r="DT434" s="32"/>
      <c r="DU434" s="32"/>
      <c r="DV434" s="32"/>
      <c r="DW434" s="32"/>
      <c r="DX434" s="32"/>
      <c r="DY434" s="32"/>
      <c r="DZ434" s="32"/>
      <c r="EA434" s="32"/>
      <c r="EB434" s="32"/>
      <c r="EC434" s="32"/>
      <c r="ED434" s="32"/>
      <c r="EE434" s="32"/>
      <c r="EF434" s="32"/>
      <c r="EG434" s="32"/>
      <c r="EH434" s="32"/>
      <c r="EI434" s="32"/>
      <c r="EJ434" s="32"/>
      <c r="EK434" s="32"/>
      <c r="EL434" s="32"/>
      <c r="EM434" s="32"/>
      <c r="EN434" s="32"/>
      <c r="EO434" s="32"/>
      <c r="EP434" s="32"/>
      <c r="EQ434" s="32"/>
      <c r="ER434" s="32"/>
      <c r="ES434" s="32"/>
      <c r="ET434" s="32"/>
      <c r="EU434" s="32"/>
      <c r="EV434" s="32"/>
      <c r="EW434" s="32"/>
      <c r="EX434" s="32"/>
      <c r="EY434" s="32"/>
      <c r="EZ434" s="32"/>
      <c r="FA434" s="32"/>
      <c r="FB434" s="32"/>
      <c r="FC434" s="32"/>
      <c r="FD434" s="32"/>
      <c r="FE434" s="32"/>
      <c r="FF434" s="32"/>
      <c r="FG434" s="32"/>
      <c r="FH434" s="32"/>
      <c r="FI434" s="32"/>
      <c r="FJ434" s="32"/>
      <c r="FK434" s="32"/>
      <c r="FL434" s="32"/>
      <c r="FM434" s="32"/>
      <c r="FN434" s="32"/>
      <c r="FO434" s="32"/>
      <c r="FP434" s="32"/>
      <c r="FQ434" s="32"/>
      <c r="FR434" s="32"/>
      <c r="FS434" s="32"/>
      <c r="FT434" s="32"/>
      <c r="FU434" s="32"/>
      <c r="FV434" s="32"/>
      <c r="FW434" s="32"/>
      <c r="FX434" s="32"/>
      <c r="FY434" s="32"/>
      <c r="FZ434" s="32"/>
      <c r="GA434" s="32"/>
      <c r="GB434" s="32"/>
      <c r="GC434" s="32"/>
      <c r="GD434" s="32"/>
      <c r="GE434" s="32"/>
      <c r="GF434" s="32"/>
      <c r="GG434" s="32"/>
      <c r="GH434" s="32"/>
      <c r="GI434" s="32"/>
      <c r="GJ434" s="32"/>
      <c r="GK434" s="32"/>
      <c r="GL434" s="32"/>
      <c r="GM434" s="32"/>
      <c r="GN434" s="32"/>
      <c r="GO434" s="32"/>
      <c r="GP434" s="32"/>
      <c r="GQ434" s="32"/>
      <c r="GR434" s="32"/>
      <c r="GS434" s="32"/>
      <c r="GT434" s="32"/>
      <c r="GU434" s="32"/>
      <c r="GV434" s="32"/>
      <c r="GW434" s="32"/>
      <c r="GX434" s="32"/>
      <c r="GY434" s="32"/>
      <c r="GZ434" s="32"/>
      <c r="HA434" s="32"/>
      <c r="HB434" s="32"/>
      <c r="HC434" s="32"/>
      <c r="HD434" s="32"/>
      <c r="HE434" s="32"/>
      <c r="HF434" s="32"/>
      <c r="HG434" s="32"/>
      <c r="HH434" s="32"/>
      <c r="HI434" s="32"/>
      <c r="HJ434" s="32"/>
      <c r="HK434" s="32"/>
      <c r="HL434" s="32"/>
      <c r="HM434" s="32"/>
      <c r="HN434" s="32"/>
      <c r="HO434" s="32"/>
      <c r="HP434" s="32"/>
    </row>
    <row r="435" spans="1:224" x14ac:dyDescent="0.2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2"/>
      <c r="BB435" s="32"/>
      <c r="BC435" s="32"/>
      <c r="BD435" s="32"/>
      <c r="BE435" s="32"/>
      <c r="BF435" s="32"/>
      <c r="BG435" s="32"/>
      <c r="BH435" s="32"/>
      <c r="BI435" s="32"/>
      <c r="BJ435" s="32"/>
      <c r="BK435" s="32"/>
      <c r="BL435" s="32"/>
      <c r="BM435" s="32"/>
      <c r="BN435" s="32"/>
      <c r="BO435" s="32"/>
      <c r="BP435" s="32"/>
      <c r="BQ435" s="32"/>
      <c r="BR435" s="32"/>
      <c r="BS435" s="32"/>
      <c r="BT435" s="32"/>
      <c r="BU435" s="32"/>
      <c r="BV435" s="32"/>
      <c r="BW435" s="32"/>
      <c r="BX435" s="32"/>
      <c r="BY435" s="32"/>
      <c r="BZ435" s="32"/>
      <c r="CA435" s="32"/>
      <c r="CB435" s="32"/>
      <c r="CC435" s="32"/>
      <c r="CD435" s="32"/>
      <c r="CE435" s="32"/>
      <c r="CF435" s="32"/>
      <c r="CG435" s="32"/>
      <c r="CH435" s="32"/>
      <c r="CI435" s="32"/>
      <c r="CJ435" s="32"/>
      <c r="CK435" s="32"/>
      <c r="CL435" s="32"/>
      <c r="CM435" s="32"/>
      <c r="CN435" s="32"/>
      <c r="CO435" s="32"/>
      <c r="CP435" s="32"/>
      <c r="CQ435" s="32"/>
      <c r="CR435" s="32"/>
      <c r="CS435" s="32"/>
      <c r="CT435" s="32"/>
      <c r="CU435" s="32"/>
      <c r="CV435" s="32"/>
      <c r="CW435" s="32"/>
      <c r="CX435" s="32"/>
      <c r="CY435" s="32"/>
      <c r="CZ435" s="32"/>
      <c r="DA435" s="32"/>
      <c r="DB435" s="32"/>
      <c r="DC435" s="32"/>
      <c r="DD435" s="32"/>
      <c r="DE435" s="32"/>
      <c r="DF435" s="32"/>
      <c r="DG435" s="32"/>
      <c r="DH435" s="32"/>
      <c r="DI435" s="32"/>
      <c r="DJ435" s="32"/>
      <c r="DK435" s="32"/>
      <c r="DL435" s="32"/>
      <c r="DM435" s="32"/>
      <c r="DN435" s="32"/>
      <c r="DO435" s="32"/>
      <c r="DP435" s="32"/>
      <c r="DQ435" s="32"/>
      <c r="DR435" s="32"/>
      <c r="DS435" s="32"/>
      <c r="DT435" s="32"/>
      <c r="DU435" s="32"/>
      <c r="DV435" s="32"/>
      <c r="DW435" s="32"/>
      <c r="DX435" s="32"/>
      <c r="DY435" s="32"/>
      <c r="DZ435" s="32"/>
      <c r="EA435" s="32"/>
      <c r="EB435" s="32"/>
      <c r="EC435" s="32"/>
      <c r="ED435" s="32"/>
      <c r="EE435" s="32"/>
      <c r="EF435" s="32"/>
      <c r="EG435" s="32"/>
      <c r="EH435" s="32"/>
      <c r="EI435" s="32"/>
      <c r="EJ435" s="32"/>
      <c r="EK435" s="32"/>
      <c r="EL435" s="32"/>
      <c r="EM435" s="32"/>
      <c r="EN435" s="32"/>
      <c r="EO435" s="32"/>
      <c r="EP435" s="32"/>
      <c r="EQ435" s="32"/>
      <c r="ER435" s="32"/>
      <c r="ES435" s="32"/>
      <c r="ET435" s="32"/>
      <c r="EU435" s="32"/>
      <c r="EV435" s="32"/>
      <c r="EW435" s="32"/>
      <c r="EX435" s="32"/>
      <c r="EY435" s="32"/>
      <c r="EZ435" s="32"/>
      <c r="FA435" s="32"/>
      <c r="FB435" s="32"/>
      <c r="FC435" s="32"/>
      <c r="FD435" s="32"/>
      <c r="FE435" s="32"/>
      <c r="FF435" s="32"/>
      <c r="FG435" s="32"/>
      <c r="FH435" s="32"/>
      <c r="FI435" s="32"/>
      <c r="FJ435" s="32"/>
      <c r="FK435" s="32"/>
      <c r="FL435" s="32"/>
      <c r="FM435" s="32"/>
      <c r="FN435" s="32"/>
      <c r="FO435" s="32"/>
      <c r="FP435" s="32"/>
      <c r="FQ435" s="32"/>
      <c r="FR435" s="32"/>
      <c r="FS435" s="32"/>
      <c r="FT435" s="32"/>
      <c r="FU435" s="32"/>
      <c r="FV435" s="32"/>
      <c r="FW435" s="32"/>
      <c r="FX435" s="32"/>
      <c r="FY435" s="32"/>
      <c r="FZ435" s="32"/>
      <c r="GA435" s="32"/>
      <c r="GB435" s="32"/>
      <c r="GC435" s="32"/>
      <c r="GD435" s="32"/>
      <c r="GE435" s="32"/>
      <c r="GF435" s="32"/>
      <c r="GG435" s="32"/>
      <c r="GH435" s="32"/>
      <c r="GI435" s="32"/>
      <c r="GJ435" s="32"/>
      <c r="GK435" s="32"/>
      <c r="GL435" s="32"/>
      <c r="GM435" s="32"/>
      <c r="GN435" s="32"/>
      <c r="GO435" s="32"/>
      <c r="GP435" s="32"/>
      <c r="GQ435" s="32"/>
      <c r="GR435" s="32"/>
      <c r="GS435" s="32"/>
      <c r="GT435" s="32"/>
      <c r="GU435" s="32"/>
      <c r="GV435" s="32"/>
      <c r="GW435" s="32"/>
      <c r="GX435" s="32"/>
      <c r="GY435" s="32"/>
      <c r="GZ435" s="32"/>
      <c r="HA435" s="32"/>
      <c r="HB435" s="32"/>
      <c r="HC435" s="32"/>
      <c r="HD435" s="32"/>
      <c r="HE435" s="32"/>
      <c r="HF435" s="32"/>
      <c r="HG435" s="32"/>
      <c r="HH435" s="32"/>
      <c r="HI435" s="32"/>
      <c r="HJ435" s="32"/>
      <c r="HK435" s="32"/>
      <c r="HL435" s="32"/>
      <c r="HM435" s="32"/>
      <c r="HN435" s="32"/>
      <c r="HO435" s="32"/>
      <c r="HP435" s="32"/>
    </row>
    <row r="436" spans="1:224" x14ac:dyDescent="0.25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2"/>
      <c r="BB436" s="32"/>
      <c r="BC436" s="32"/>
      <c r="BD436" s="32"/>
      <c r="BE436" s="32"/>
      <c r="BF436" s="32"/>
      <c r="BG436" s="32"/>
      <c r="BH436" s="32"/>
      <c r="BI436" s="32"/>
      <c r="BJ436" s="32"/>
      <c r="BK436" s="32"/>
      <c r="BL436" s="32"/>
      <c r="BM436" s="32"/>
      <c r="BN436" s="32"/>
      <c r="BO436" s="32"/>
      <c r="BP436" s="32"/>
      <c r="BQ436" s="32"/>
      <c r="BR436" s="32"/>
      <c r="BS436" s="32"/>
      <c r="BT436" s="32"/>
      <c r="BU436" s="32"/>
      <c r="BV436" s="32"/>
      <c r="BW436" s="32"/>
      <c r="BX436" s="32"/>
      <c r="BY436" s="32"/>
      <c r="BZ436" s="32"/>
      <c r="CA436" s="32"/>
      <c r="CB436" s="32"/>
      <c r="CC436" s="32"/>
      <c r="CD436" s="32"/>
      <c r="CE436" s="32"/>
      <c r="CF436" s="32"/>
      <c r="CG436" s="32"/>
      <c r="CH436" s="32"/>
      <c r="CI436" s="32"/>
      <c r="CJ436" s="32"/>
      <c r="CK436" s="32"/>
      <c r="CL436" s="32"/>
      <c r="CM436" s="32"/>
      <c r="CN436" s="32"/>
      <c r="CO436" s="32"/>
      <c r="CP436" s="32"/>
      <c r="CQ436" s="32"/>
      <c r="CR436" s="32"/>
      <c r="CS436" s="32"/>
      <c r="CT436" s="32"/>
      <c r="CU436" s="32"/>
      <c r="CV436" s="32"/>
      <c r="CW436" s="32"/>
      <c r="CX436" s="32"/>
      <c r="CY436" s="32"/>
      <c r="CZ436" s="32"/>
      <c r="DA436" s="32"/>
      <c r="DB436" s="32"/>
      <c r="DC436" s="32"/>
      <c r="DD436" s="32"/>
      <c r="DE436" s="32"/>
      <c r="DF436" s="32"/>
      <c r="DG436" s="32"/>
      <c r="DH436" s="32"/>
      <c r="DI436" s="32"/>
      <c r="DJ436" s="32"/>
      <c r="DK436" s="32"/>
      <c r="DL436" s="32"/>
      <c r="DM436" s="32"/>
      <c r="DN436" s="32"/>
      <c r="DO436" s="32"/>
      <c r="DP436" s="32"/>
      <c r="DQ436" s="32"/>
      <c r="DR436" s="32"/>
      <c r="DS436" s="32"/>
      <c r="DT436" s="32"/>
      <c r="DU436" s="32"/>
      <c r="DV436" s="32"/>
      <c r="DW436" s="32"/>
      <c r="DX436" s="32"/>
      <c r="DY436" s="32"/>
      <c r="DZ436" s="32"/>
      <c r="EA436" s="32"/>
      <c r="EB436" s="32"/>
      <c r="EC436" s="32"/>
      <c r="ED436" s="32"/>
      <c r="EE436" s="32"/>
      <c r="EF436" s="32"/>
      <c r="EG436" s="32"/>
      <c r="EH436" s="32"/>
      <c r="EI436" s="32"/>
      <c r="EJ436" s="32"/>
      <c r="EK436" s="32"/>
      <c r="EL436" s="32"/>
      <c r="EM436" s="32"/>
      <c r="EN436" s="32"/>
      <c r="EO436" s="32"/>
      <c r="EP436" s="32"/>
      <c r="EQ436" s="32"/>
      <c r="ER436" s="32"/>
      <c r="ES436" s="32"/>
      <c r="ET436" s="32"/>
      <c r="EU436" s="32"/>
      <c r="EV436" s="32"/>
      <c r="EW436" s="32"/>
      <c r="EX436" s="32"/>
      <c r="EY436" s="32"/>
      <c r="EZ436" s="32"/>
      <c r="FA436" s="32"/>
      <c r="FB436" s="32"/>
      <c r="FC436" s="32"/>
      <c r="FD436" s="32"/>
      <c r="FE436" s="32"/>
      <c r="FF436" s="32"/>
      <c r="FG436" s="32"/>
      <c r="FH436" s="32"/>
      <c r="FI436" s="32"/>
      <c r="FJ436" s="32"/>
      <c r="FK436" s="32"/>
      <c r="FL436" s="32"/>
      <c r="FM436" s="32"/>
      <c r="FN436" s="32"/>
      <c r="FO436" s="32"/>
      <c r="FP436" s="32"/>
      <c r="FQ436" s="32"/>
      <c r="FR436" s="32"/>
      <c r="FS436" s="32"/>
      <c r="FT436" s="32"/>
      <c r="FU436" s="32"/>
      <c r="FV436" s="32"/>
      <c r="FW436" s="32"/>
      <c r="FX436" s="32"/>
      <c r="FY436" s="32"/>
      <c r="FZ436" s="32"/>
      <c r="GA436" s="32"/>
      <c r="GB436" s="32"/>
      <c r="GC436" s="32"/>
      <c r="GD436" s="32"/>
      <c r="GE436" s="32"/>
      <c r="GF436" s="32"/>
      <c r="GG436" s="32"/>
      <c r="GH436" s="32"/>
      <c r="GI436" s="32"/>
      <c r="GJ436" s="32"/>
      <c r="GK436" s="32"/>
      <c r="GL436" s="32"/>
      <c r="GM436" s="32"/>
      <c r="GN436" s="32"/>
      <c r="GO436" s="32"/>
      <c r="GP436" s="32"/>
      <c r="GQ436" s="32"/>
      <c r="GR436" s="32"/>
      <c r="GS436" s="32"/>
      <c r="GT436" s="32"/>
      <c r="GU436" s="32"/>
      <c r="GV436" s="32"/>
      <c r="GW436" s="32"/>
      <c r="GX436" s="32"/>
      <c r="GY436" s="32"/>
      <c r="GZ436" s="32"/>
      <c r="HA436" s="32"/>
      <c r="HB436" s="32"/>
      <c r="HC436" s="32"/>
      <c r="HD436" s="32"/>
      <c r="HE436" s="32"/>
      <c r="HF436" s="32"/>
      <c r="HG436" s="32"/>
      <c r="HH436" s="32"/>
      <c r="HI436" s="32"/>
      <c r="HJ436" s="32"/>
      <c r="HK436" s="32"/>
      <c r="HL436" s="32"/>
      <c r="HM436" s="32"/>
      <c r="HN436" s="32"/>
      <c r="HO436" s="32"/>
      <c r="HP436" s="32"/>
    </row>
    <row r="437" spans="1:224" x14ac:dyDescent="0.25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  <c r="BD437" s="32"/>
      <c r="BE437" s="32"/>
      <c r="BF437" s="32"/>
      <c r="BG437" s="32"/>
      <c r="BH437" s="32"/>
      <c r="BI437" s="32"/>
      <c r="BJ437" s="32"/>
      <c r="BK437" s="32"/>
      <c r="BL437" s="32"/>
      <c r="BM437" s="32"/>
      <c r="BN437" s="32"/>
      <c r="BO437" s="32"/>
      <c r="BP437" s="32"/>
      <c r="BQ437" s="32"/>
      <c r="BR437" s="32"/>
      <c r="BS437" s="32"/>
      <c r="BT437" s="32"/>
      <c r="BU437" s="32"/>
      <c r="BV437" s="32"/>
      <c r="BW437" s="32"/>
      <c r="BX437" s="32"/>
      <c r="BY437" s="32"/>
      <c r="BZ437" s="32"/>
      <c r="CA437" s="32"/>
      <c r="CB437" s="32"/>
      <c r="CC437" s="32"/>
      <c r="CD437" s="32"/>
      <c r="CE437" s="32"/>
      <c r="CF437" s="32"/>
      <c r="CG437" s="32"/>
      <c r="CH437" s="32"/>
      <c r="CI437" s="32"/>
      <c r="CJ437" s="32"/>
      <c r="CK437" s="32"/>
      <c r="CL437" s="32"/>
      <c r="CM437" s="32"/>
      <c r="CN437" s="32"/>
      <c r="CO437" s="32"/>
      <c r="CP437" s="32"/>
      <c r="CQ437" s="32"/>
      <c r="CR437" s="32"/>
      <c r="CS437" s="32"/>
      <c r="CT437" s="32"/>
      <c r="CU437" s="32"/>
      <c r="CV437" s="32"/>
      <c r="CW437" s="32"/>
      <c r="CX437" s="32"/>
      <c r="CY437" s="32"/>
      <c r="CZ437" s="32"/>
      <c r="DA437" s="32"/>
      <c r="DB437" s="32"/>
      <c r="DC437" s="32"/>
      <c r="DD437" s="32"/>
      <c r="DE437" s="32"/>
      <c r="DF437" s="32"/>
      <c r="DG437" s="32"/>
      <c r="DH437" s="32"/>
      <c r="DI437" s="32"/>
      <c r="DJ437" s="32"/>
      <c r="DK437" s="32"/>
      <c r="DL437" s="32"/>
      <c r="DM437" s="32"/>
      <c r="DN437" s="32"/>
      <c r="DO437" s="32"/>
      <c r="DP437" s="32"/>
      <c r="DQ437" s="32"/>
      <c r="DR437" s="32"/>
      <c r="DS437" s="32"/>
      <c r="DT437" s="32"/>
      <c r="DU437" s="32"/>
      <c r="DV437" s="32"/>
      <c r="DW437" s="32"/>
      <c r="DX437" s="32"/>
      <c r="DY437" s="32"/>
      <c r="DZ437" s="32"/>
      <c r="EA437" s="32"/>
      <c r="EB437" s="32"/>
      <c r="EC437" s="32"/>
      <c r="ED437" s="32"/>
      <c r="EE437" s="32"/>
      <c r="EF437" s="32"/>
      <c r="EG437" s="32"/>
      <c r="EH437" s="32"/>
      <c r="EI437" s="32"/>
      <c r="EJ437" s="32"/>
      <c r="EK437" s="32"/>
      <c r="EL437" s="32"/>
      <c r="EM437" s="32"/>
      <c r="EN437" s="32"/>
      <c r="EO437" s="32"/>
      <c r="EP437" s="32"/>
      <c r="EQ437" s="32"/>
      <c r="ER437" s="32"/>
      <c r="ES437" s="32"/>
      <c r="ET437" s="32"/>
      <c r="EU437" s="32"/>
      <c r="EV437" s="32"/>
      <c r="EW437" s="32"/>
      <c r="EX437" s="32"/>
      <c r="EY437" s="32"/>
      <c r="EZ437" s="32"/>
      <c r="FA437" s="32"/>
      <c r="FB437" s="32"/>
      <c r="FC437" s="32"/>
      <c r="FD437" s="32"/>
      <c r="FE437" s="32"/>
      <c r="FF437" s="32"/>
      <c r="FG437" s="32"/>
      <c r="FH437" s="32"/>
      <c r="FI437" s="32"/>
      <c r="FJ437" s="32"/>
      <c r="FK437" s="32"/>
      <c r="FL437" s="32"/>
      <c r="FM437" s="32"/>
      <c r="FN437" s="32"/>
      <c r="FO437" s="32"/>
      <c r="FP437" s="32"/>
      <c r="FQ437" s="32"/>
      <c r="FR437" s="32"/>
      <c r="FS437" s="32"/>
      <c r="FT437" s="32"/>
      <c r="FU437" s="32"/>
      <c r="FV437" s="32"/>
      <c r="FW437" s="32"/>
      <c r="FX437" s="32"/>
      <c r="FY437" s="32"/>
      <c r="FZ437" s="32"/>
      <c r="GA437" s="32"/>
      <c r="GB437" s="32"/>
      <c r="GC437" s="32"/>
      <c r="GD437" s="32"/>
      <c r="GE437" s="32"/>
      <c r="GF437" s="32"/>
      <c r="GG437" s="32"/>
      <c r="GH437" s="32"/>
      <c r="GI437" s="32"/>
      <c r="GJ437" s="32"/>
      <c r="GK437" s="32"/>
      <c r="GL437" s="32"/>
      <c r="GM437" s="32"/>
      <c r="GN437" s="32"/>
      <c r="GO437" s="32"/>
      <c r="GP437" s="32"/>
      <c r="GQ437" s="32"/>
      <c r="GR437" s="32"/>
      <c r="GS437" s="32"/>
      <c r="GT437" s="32"/>
      <c r="GU437" s="32"/>
      <c r="GV437" s="32"/>
      <c r="GW437" s="32"/>
      <c r="GX437" s="32"/>
      <c r="GY437" s="32"/>
      <c r="GZ437" s="32"/>
      <c r="HA437" s="32"/>
      <c r="HB437" s="32"/>
      <c r="HC437" s="32"/>
      <c r="HD437" s="32"/>
      <c r="HE437" s="32"/>
      <c r="HF437" s="32"/>
      <c r="HG437" s="32"/>
      <c r="HH437" s="32"/>
      <c r="HI437" s="32"/>
      <c r="HJ437" s="32"/>
      <c r="HK437" s="32"/>
      <c r="HL437" s="32"/>
      <c r="HM437" s="32"/>
      <c r="HN437" s="32"/>
      <c r="HO437" s="32"/>
      <c r="HP437" s="32"/>
    </row>
    <row r="438" spans="1:224" x14ac:dyDescent="0.25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2"/>
      <c r="BB438" s="32"/>
      <c r="BC438" s="32"/>
      <c r="BD438" s="32"/>
      <c r="BE438" s="32"/>
      <c r="BF438" s="32"/>
      <c r="BG438" s="32"/>
      <c r="BH438" s="32"/>
      <c r="BI438" s="32"/>
      <c r="BJ438" s="32"/>
      <c r="BK438" s="32"/>
      <c r="BL438" s="32"/>
      <c r="BM438" s="32"/>
      <c r="BN438" s="32"/>
      <c r="BO438" s="32"/>
      <c r="BP438" s="32"/>
      <c r="BQ438" s="32"/>
      <c r="BR438" s="32"/>
      <c r="BS438" s="32"/>
      <c r="BT438" s="32"/>
      <c r="BU438" s="32"/>
      <c r="BV438" s="32"/>
      <c r="BW438" s="32"/>
      <c r="BX438" s="32"/>
      <c r="BY438" s="32"/>
      <c r="BZ438" s="32"/>
      <c r="CA438" s="32"/>
      <c r="CB438" s="32"/>
      <c r="CC438" s="32"/>
      <c r="CD438" s="32"/>
      <c r="CE438" s="32"/>
      <c r="CF438" s="32"/>
      <c r="CG438" s="32"/>
      <c r="CH438" s="32"/>
      <c r="CI438" s="32"/>
      <c r="CJ438" s="32"/>
      <c r="CK438" s="32"/>
      <c r="CL438" s="32"/>
      <c r="CM438" s="32"/>
      <c r="CN438" s="32"/>
      <c r="CO438" s="32"/>
      <c r="CP438" s="32"/>
      <c r="CQ438" s="32"/>
      <c r="CR438" s="32"/>
      <c r="CS438" s="32"/>
      <c r="CT438" s="32"/>
      <c r="CU438" s="32"/>
      <c r="CV438" s="32"/>
      <c r="CW438" s="32"/>
      <c r="CX438" s="32"/>
      <c r="CY438" s="32"/>
      <c r="CZ438" s="32"/>
      <c r="DA438" s="32"/>
      <c r="DB438" s="32"/>
      <c r="DC438" s="32"/>
      <c r="DD438" s="32"/>
      <c r="DE438" s="32"/>
      <c r="DF438" s="32"/>
      <c r="DG438" s="32"/>
      <c r="DH438" s="32"/>
      <c r="DI438" s="32"/>
      <c r="DJ438" s="32"/>
      <c r="DK438" s="32"/>
      <c r="DL438" s="32"/>
      <c r="DM438" s="32"/>
      <c r="DN438" s="32"/>
      <c r="DO438" s="32"/>
      <c r="DP438" s="32"/>
      <c r="DQ438" s="32"/>
      <c r="DR438" s="32"/>
      <c r="DS438" s="32"/>
      <c r="DT438" s="32"/>
      <c r="DU438" s="32"/>
      <c r="DV438" s="32"/>
      <c r="DW438" s="32"/>
      <c r="DX438" s="32"/>
      <c r="DY438" s="32"/>
      <c r="DZ438" s="32"/>
      <c r="EA438" s="32"/>
      <c r="EB438" s="32"/>
      <c r="EC438" s="32"/>
      <c r="ED438" s="32"/>
      <c r="EE438" s="32"/>
      <c r="EF438" s="32"/>
      <c r="EG438" s="32"/>
      <c r="EH438" s="32"/>
      <c r="EI438" s="32"/>
      <c r="EJ438" s="32"/>
      <c r="EK438" s="32"/>
      <c r="EL438" s="32"/>
      <c r="EM438" s="32"/>
      <c r="EN438" s="32"/>
      <c r="EO438" s="32"/>
      <c r="EP438" s="32"/>
      <c r="EQ438" s="32"/>
      <c r="ER438" s="32"/>
      <c r="ES438" s="32"/>
      <c r="ET438" s="32"/>
      <c r="EU438" s="32"/>
      <c r="EV438" s="32"/>
      <c r="EW438" s="32"/>
      <c r="EX438" s="32"/>
      <c r="EY438" s="32"/>
      <c r="EZ438" s="32"/>
      <c r="FA438" s="32"/>
      <c r="FB438" s="32"/>
      <c r="FC438" s="32"/>
      <c r="FD438" s="32"/>
      <c r="FE438" s="32"/>
      <c r="FF438" s="32"/>
      <c r="FG438" s="32"/>
      <c r="FH438" s="32"/>
      <c r="FI438" s="32"/>
      <c r="FJ438" s="32"/>
      <c r="FK438" s="32"/>
      <c r="FL438" s="32"/>
      <c r="FM438" s="32"/>
      <c r="FN438" s="32"/>
      <c r="FO438" s="32"/>
      <c r="FP438" s="32"/>
      <c r="FQ438" s="32"/>
      <c r="FR438" s="32"/>
      <c r="FS438" s="32"/>
      <c r="FT438" s="32"/>
      <c r="FU438" s="32"/>
      <c r="FV438" s="32"/>
      <c r="FW438" s="32"/>
      <c r="FX438" s="32"/>
      <c r="FY438" s="32"/>
      <c r="FZ438" s="32"/>
      <c r="GA438" s="32"/>
      <c r="GB438" s="32"/>
      <c r="GC438" s="32"/>
      <c r="GD438" s="32"/>
      <c r="GE438" s="32"/>
      <c r="GF438" s="32"/>
      <c r="GG438" s="32"/>
      <c r="GH438" s="32"/>
      <c r="GI438" s="32"/>
      <c r="GJ438" s="32"/>
      <c r="GK438" s="32"/>
      <c r="GL438" s="32"/>
      <c r="GM438" s="32"/>
      <c r="GN438" s="32"/>
      <c r="GO438" s="32"/>
      <c r="GP438" s="32"/>
      <c r="GQ438" s="32"/>
      <c r="GR438" s="32"/>
      <c r="GS438" s="32"/>
      <c r="GT438" s="32"/>
      <c r="GU438" s="32"/>
      <c r="GV438" s="32"/>
      <c r="GW438" s="32"/>
      <c r="GX438" s="32"/>
      <c r="GY438" s="32"/>
      <c r="GZ438" s="32"/>
      <c r="HA438" s="32"/>
      <c r="HB438" s="32"/>
      <c r="HC438" s="32"/>
      <c r="HD438" s="32"/>
      <c r="HE438" s="32"/>
      <c r="HF438" s="32"/>
      <c r="HG438" s="32"/>
      <c r="HH438" s="32"/>
      <c r="HI438" s="32"/>
      <c r="HJ438" s="32"/>
      <c r="HK438" s="32"/>
      <c r="HL438" s="32"/>
      <c r="HM438" s="32"/>
      <c r="HN438" s="32"/>
      <c r="HO438" s="32"/>
      <c r="HP438" s="32"/>
    </row>
    <row r="439" spans="1:224" x14ac:dyDescent="0.25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2"/>
      <c r="BB439" s="32"/>
      <c r="BC439" s="32"/>
      <c r="BD439" s="32"/>
      <c r="BE439" s="32"/>
      <c r="BF439" s="32"/>
      <c r="BG439" s="32"/>
      <c r="BH439" s="32"/>
      <c r="BI439" s="32"/>
      <c r="BJ439" s="32"/>
      <c r="BK439" s="32"/>
      <c r="BL439" s="32"/>
      <c r="BM439" s="32"/>
      <c r="BN439" s="32"/>
      <c r="BO439" s="32"/>
      <c r="BP439" s="32"/>
      <c r="BQ439" s="32"/>
      <c r="BR439" s="32"/>
      <c r="BS439" s="32"/>
      <c r="BT439" s="32"/>
      <c r="BU439" s="32"/>
      <c r="BV439" s="32"/>
      <c r="BW439" s="32"/>
      <c r="BX439" s="32"/>
      <c r="BY439" s="32"/>
      <c r="BZ439" s="32"/>
      <c r="CA439" s="32"/>
      <c r="CB439" s="32"/>
      <c r="CC439" s="32"/>
      <c r="CD439" s="32"/>
      <c r="CE439" s="32"/>
      <c r="CF439" s="32"/>
      <c r="CG439" s="32"/>
      <c r="CH439" s="32"/>
      <c r="CI439" s="32"/>
      <c r="CJ439" s="32"/>
      <c r="CK439" s="32"/>
      <c r="CL439" s="32"/>
      <c r="CM439" s="32"/>
      <c r="CN439" s="32"/>
      <c r="CO439" s="32"/>
      <c r="CP439" s="32"/>
      <c r="CQ439" s="32"/>
      <c r="CR439" s="32"/>
      <c r="CS439" s="32"/>
      <c r="CT439" s="32"/>
      <c r="CU439" s="32"/>
      <c r="CV439" s="32"/>
      <c r="CW439" s="32"/>
      <c r="CX439" s="32"/>
      <c r="CY439" s="32"/>
      <c r="CZ439" s="32"/>
      <c r="DA439" s="32"/>
      <c r="DB439" s="32"/>
      <c r="DC439" s="32"/>
      <c r="DD439" s="32"/>
      <c r="DE439" s="32"/>
      <c r="DF439" s="32"/>
      <c r="DG439" s="32"/>
      <c r="DH439" s="32"/>
      <c r="DI439" s="32"/>
      <c r="DJ439" s="32"/>
      <c r="DK439" s="32"/>
      <c r="DL439" s="32"/>
      <c r="DM439" s="32"/>
      <c r="DN439" s="32"/>
      <c r="DO439" s="32"/>
      <c r="DP439" s="32"/>
      <c r="DQ439" s="32"/>
      <c r="DR439" s="32"/>
      <c r="DS439" s="32"/>
      <c r="DT439" s="32"/>
      <c r="DU439" s="32"/>
      <c r="DV439" s="32"/>
      <c r="DW439" s="32"/>
      <c r="DX439" s="32"/>
      <c r="DY439" s="32"/>
      <c r="DZ439" s="32"/>
      <c r="EA439" s="32"/>
      <c r="EB439" s="32"/>
      <c r="EC439" s="32"/>
      <c r="ED439" s="32"/>
      <c r="EE439" s="32"/>
      <c r="EF439" s="32"/>
      <c r="EG439" s="32"/>
      <c r="EH439" s="32"/>
      <c r="EI439" s="32"/>
      <c r="EJ439" s="32"/>
      <c r="EK439" s="32"/>
      <c r="EL439" s="32"/>
      <c r="EM439" s="32"/>
      <c r="EN439" s="32"/>
      <c r="EO439" s="32"/>
      <c r="EP439" s="32"/>
      <c r="EQ439" s="32"/>
      <c r="ER439" s="32"/>
      <c r="ES439" s="32"/>
      <c r="ET439" s="32"/>
      <c r="EU439" s="32"/>
      <c r="EV439" s="32"/>
      <c r="EW439" s="32"/>
      <c r="EX439" s="32"/>
      <c r="EY439" s="32"/>
      <c r="EZ439" s="32"/>
      <c r="FA439" s="32"/>
      <c r="FB439" s="32"/>
      <c r="FC439" s="32"/>
      <c r="FD439" s="32"/>
      <c r="FE439" s="32"/>
      <c r="FF439" s="32"/>
      <c r="FG439" s="32"/>
      <c r="FH439" s="32"/>
      <c r="FI439" s="32"/>
      <c r="FJ439" s="32"/>
      <c r="FK439" s="32"/>
      <c r="FL439" s="32"/>
      <c r="FM439" s="32"/>
      <c r="FN439" s="32"/>
      <c r="FO439" s="32"/>
      <c r="FP439" s="32"/>
      <c r="FQ439" s="32"/>
      <c r="FR439" s="32"/>
      <c r="FS439" s="32"/>
      <c r="FT439" s="32"/>
      <c r="FU439" s="32"/>
      <c r="FV439" s="32"/>
      <c r="FW439" s="32"/>
      <c r="FX439" s="32"/>
      <c r="FY439" s="32"/>
      <c r="FZ439" s="32"/>
      <c r="GA439" s="32"/>
      <c r="GB439" s="32"/>
      <c r="GC439" s="32"/>
      <c r="GD439" s="32"/>
      <c r="GE439" s="32"/>
      <c r="GF439" s="32"/>
      <c r="GG439" s="32"/>
      <c r="GH439" s="32"/>
      <c r="GI439" s="32"/>
      <c r="GJ439" s="32"/>
      <c r="GK439" s="32"/>
      <c r="GL439" s="32"/>
      <c r="GM439" s="32"/>
      <c r="GN439" s="32"/>
      <c r="GO439" s="32"/>
      <c r="GP439" s="32"/>
      <c r="GQ439" s="32"/>
      <c r="GR439" s="32"/>
      <c r="GS439" s="32"/>
      <c r="GT439" s="32"/>
      <c r="GU439" s="32"/>
      <c r="GV439" s="32"/>
      <c r="GW439" s="32"/>
      <c r="GX439" s="32"/>
      <c r="GY439" s="32"/>
      <c r="GZ439" s="32"/>
      <c r="HA439" s="32"/>
      <c r="HB439" s="32"/>
      <c r="HC439" s="32"/>
      <c r="HD439" s="32"/>
      <c r="HE439" s="32"/>
      <c r="HF439" s="32"/>
      <c r="HG439" s="32"/>
      <c r="HH439" s="32"/>
      <c r="HI439" s="32"/>
      <c r="HJ439" s="32"/>
      <c r="HK439" s="32"/>
      <c r="HL439" s="32"/>
      <c r="HM439" s="32"/>
      <c r="HN439" s="32"/>
      <c r="HO439" s="32"/>
      <c r="HP439" s="32"/>
    </row>
    <row r="440" spans="1:224" x14ac:dyDescent="0.25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  <c r="BD440" s="32"/>
      <c r="BE440" s="32"/>
      <c r="BF440" s="32"/>
      <c r="BG440" s="32"/>
      <c r="BH440" s="32"/>
      <c r="BI440" s="32"/>
      <c r="BJ440" s="32"/>
      <c r="BK440" s="32"/>
      <c r="BL440" s="32"/>
      <c r="BM440" s="32"/>
      <c r="BN440" s="32"/>
      <c r="BO440" s="32"/>
      <c r="BP440" s="32"/>
      <c r="BQ440" s="32"/>
      <c r="BR440" s="32"/>
      <c r="BS440" s="32"/>
      <c r="BT440" s="32"/>
      <c r="BU440" s="32"/>
      <c r="BV440" s="32"/>
      <c r="BW440" s="32"/>
      <c r="BX440" s="32"/>
      <c r="BY440" s="32"/>
      <c r="BZ440" s="32"/>
      <c r="CA440" s="32"/>
      <c r="CB440" s="32"/>
      <c r="CC440" s="32"/>
      <c r="CD440" s="32"/>
      <c r="CE440" s="32"/>
      <c r="CF440" s="32"/>
      <c r="CG440" s="32"/>
      <c r="CH440" s="32"/>
      <c r="CI440" s="32"/>
      <c r="CJ440" s="32"/>
      <c r="CK440" s="32"/>
      <c r="CL440" s="32"/>
      <c r="CM440" s="32"/>
      <c r="CN440" s="32"/>
      <c r="CO440" s="32"/>
      <c r="CP440" s="32"/>
      <c r="CQ440" s="32"/>
      <c r="CR440" s="32"/>
      <c r="CS440" s="32"/>
      <c r="CT440" s="32"/>
      <c r="CU440" s="32"/>
      <c r="CV440" s="32"/>
      <c r="CW440" s="32"/>
      <c r="CX440" s="32"/>
      <c r="CY440" s="32"/>
      <c r="CZ440" s="32"/>
      <c r="DA440" s="32"/>
      <c r="DB440" s="32"/>
      <c r="DC440" s="32"/>
      <c r="DD440" s="32"/>
      <c r="DE440" s="32"/>
      <c r="DF440" s="32"/>
      <c r="DG440" s="32"/>
      <c r="DH440" s="32"/>
      <c r="DI440" s="32"/>
      <c r="DJ440" s="32"/>
      <c r="DK440" s="32"/>
      <c r="DL440" s="32"/>
      <c r="DM440" s="32"/>
      <c r="DN440" s="32"/>
      <c r="DO440" s="32"/>
      <c r="DP440" s="32"/>
      <c r="DQ440" s="32"/>
      <c r="DR440" s="32"/>
      <c r="DS440" s="32"/>
      <c r="DT440" s="32"/>
      <c r="DU440" s="32"/>
      <c r="DV440" s="32"/>
      <c r="DW440" s="32"/>
      <c r="DX440" s="32"/>
      <c r="DY440" s="32"/>
      <c r="DZ440" s="32"/>
      <c r="EA440" s="32"/>
      <c r="EB440" s="32"/>
      <c r="EC440" s="32"/>
      <c r="ED440" s="32"/>
      <c r="EE440" s="32"/>
      <c r="EF440" s="32"/>
      <c r="EG440" s="32"/>
      <c r="EH440" s="32"/>
      <c r="EI440" s="32"/>
      <c r="EJ440" s="32"/>
      <c r="EK440" s="32"/>
      <c r="EL440" s="32"/>
      <c r="EM440" s="32"/>
      <c r="EN440" s="32"/>
      <c r="EO440" s="32"/>
      <c r="EP440" s="32"/>
      <c r="EQ440" s="32"/>
      <c r="ER440" s="32"/>
      <c r="ES440" s="32"/>
      <c r="ET440" s="32"/>
      <c r="EU440" s="32"/>
      <c r="EV440" s="32"/>
      <c r="EW440" s="32"/>
      <c r="EX440" s="32"/>
      <c r="EY440" s="32"/>
      <c r="EZ440" s="32"/>
      <c r="FA440" s="32"/>
      <c r="FB440" s="32"/>
      <c r="FC440" s="32"/>
      <c r="FD440" s="32"/>
      <c r="FE440" s="32"/>
      <c r="FF440" s="32"/>
      <c r="FG440" s="32"/>
      <c r="FH440" s="32"/>
      <c r="FI440" s="32"/>
      <c r="FJ440" s="32"/>
      <c r="FK440" s="32"/>
      <c r="FL440" s="32"/>
      <c r="FM440" s="32"/>
      <c r="FN440" s="32"/>
      <c r="FO440" s="32"/>
      <c r="FP440" s="32"/>
      <c r="FQ440" s="32"/>
      <c r="FR440" s="32"/>
      <c r="FS440" s="32"/>
      <c r="FT440" s="32"/>
      <c r="FU440" s="32"/>
      <c r="FV440" s="32"/>
      <c r="FW440" s="32"/>
      <c r="FX440" s="32"/>
      <c r="FY440" s="32"/>
      <c r="FZ440" s="32"/>
      <c r="GA440" s="32"/>
      <c r="GB440" s="32"/>
      <c r="GC440" s="32"/>
      <c r="GD440" s="32"/>
      <c r="GE440" s="32"/>
      <c r="GF440" s="32"/>
      <c r="GG440" s="32"/>
      <c r="GH440" s="32"/>
      <c r="GI440" s="32"/>
      <c r="GJ440" s="32"/>
      <c r="GK440" s="32"/>
      <c r="GL440" s="32"/>
      <c r="GM440" s="32"/>
      <c r="GN440" s="32"/>
      <c r="GO440" s="32"/>
      <c r="GP440" s="32"/>
      <c r="GQ440" s="32"/>
      <c r="GR440" s="32"/>
      <c r="GS440" s="32"/>
      <c r="GT440" s="32"/>
      <c r="GU440" s="32"/>
      <c r="GV440" s="32"/>
      <c r="GW440" s="32"/>
      <c r="GX440" s="32"/>
      <c r="GY440" s="32"/>
      <c r="GZ440" s="32"/>
      <c r="HA440" s="32"/>
      <c r="HB440" s="32"/>
      <c r="HC440" s="32"/>
      <c r="HD440" s="32"/>
      <c r="HE440" s="32"/>
      <c r="HF440" s="32"/>
      <c r="HG440" s="32"/>
      <c r="HH440" s="32"/>
      <c r="HI440" s="32"/>
      <c r="HJ440" s="32"/>
      <c r="HK440" s="32"/>
      <c r="HL440" s="32"/>
      <c r="HM440" s="32"/>
      <c r="HN440" s="32"/>
      <c r="HO440" s="32"/>
      <c r="HP440" s="32"/>
    </row>
    <row r="441" spans="1:224" x14ac:dyDescent="0.25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  <c r="BD441" s="32"/>
      <c r="BE441" s="32"/>
      <c r="BF441" s="32"/>
      <c r="BG441" s="32"/>
      <c r="BH441" s="32"/>
      <c r="BI441" s="32"/>
      <c r="BJ441" s="32"/>
      <c r="BK441" s="32"/>
      <c r="BL441" s="32"/>
      <c r="BM441" s="32"/>
      <c r="BN441" s="32"/>
      <c r="BO441" s="32"/>
      <c r="BP441" s="32"/>
      <c r="BQ441" s="32"/>
      <c r="BR441" s="32"/>
      <c r="BS441" s="32"/>
      <c r="BT441" s="32"/>
      <c r="BU441" s="32"/>
      <c r="BV441" s="32"/>
      <c r="BW441" s="32"/>
      <c r="BX441" s="32"/>
      <c r="BY441" s="32"/>
      <c r="BZ441" s="32"/>
      <c r="CA441" s="32"/>
      <c r="CB441" s="32"/>
      <c r="CC441" s="32"/>
      <c r="CD441" s="32"/>
      <c r="CE441" s="32"/>
      <c r="CF441" s="32"/>
      <c r="CG441" s="32"/>
      <c r="CH441" s="32"/>
      <c r="CI441" s="32"/>
      <c r="CJ441" s="32"/>
      <c r="CK441" s="32"/>
      <c r="CL441" s="32"/>
      <c r="CM441" s="32"/>
      <c r="CN441" s="32"/>
      <c r="CO441" s="32"/>
      <c r="CP441" s="32"/>
      <c r="CQ441" s="32"/>
      <c r="CR441" s="32"/>
      <c r="CS441" s="32"/>
      <c r="CT441" s="32"/>
      <c r="CU441" s="32"/>
      <c r="CV441" s="32"/>
      <c r="CW441" s="32"/>
      <c r="CX441" s="32"/>
      <c r="CY441" s="32"/>
      <c r="CZ441" s="32"/>
      <c r="DA441" s="32"/>
      <c r="DB441" s="32"/>
      <c r="DC441" s="32"/>
      <c r="DD441" s="32"/>
      <c r="DE441" s="32"/>
      <c r="DF441" s="32"/>
      <c r="DG441" s="32"/>
      <c r="DH441" s="32"/>
      <c r="DI441" s="32"/>
      <c r="DJ441" s="32"/>
      <c r="DK441" s="32"/>
      <c r="DL441" s="32"/>
      <c r="DM441" s="32"/>
      <c r="DN441" s="32"/>
      <c r="DO441" s="32"/>
      <c r="DP441" s="32"/>
      <c r="DQ441" s="32"/>
      <c r="DR441" s="32"/>
      <c r="DS441" s="32"/>
      <c r="DT441" s="32"/>
      <c r="DU441" s="32"/>
      <c r="DV441" s="32"/>
      <c r="DW441" s="32"/>
      <c r="DX441" s="32"/>
      <c r="DY441" s="32"/>
      <c r="DZ441" s="32"/>
      <c r="EA441" s="32"/>
      <c r="EB441" s="32"/>
      <c r="EC441" s="32"/>
      <c r="ED441" s="32"/>
      <c r="EE441" s="32"/>
      <c r="EF441" s="32"/>
      <c r="EG441" s="32"/>
      <c r="EH441" s="32"/>
      <c r="EI441" s="32"/>
      <c r="EJ441" s="32"/>
      <c r="EK441" s="32"/>
      <c r="EL441" s="32"/>
      <c r="EM441" s="32"/>
      <c r="EN441" s="32"/>
      <c r="EO441" s="32"/>
      <c r="EP441" s="32"/>
      <c r="EQ441" s="32"/>
      <c r="ER441" s="32"/>
      <c r="ES441" s="32"/>
      <c r="ET441" s="32"/>
      <c r="EU441" s="32"/>
      <c r="EV441" s="32"/>
      <c r="EW441" s="32"/>
      <c r="EX441" s="32"/>
      <c r="EY441" s="32"/>
      <c r="EZ441" s="32"/>
      <c r="FA441" s="32"/>
      <c r="FB441" s="32"/>
      <c r="FC441" s="32"/>
      <c r="FD441" s="32"/>
      <c r="FE441" s="32"/>
      <c r="FF441" s="32"/>
      <c r="FG441" s="32"/>
      <c r="FH441" s="32"/>
      <c r="FI441" s="32"/>
      <c r="FJ441" s="32"/>
      <c r="FK441" s="32"/>
      <c r="FL441" s="32"/>
      <c r="FM441" s="32"/>
      <c r="FN441" s="32"/>
      <c r="FO441" s="32"/>
      <c r="FP441" s="32"/>
      <c r="FQ441" s="32"/>
      <c r="FR441" s="32"/>
      <c r="FS441" s="32"/>
      <c r="FT441" s="32"/>
      <c r="FU441" s="32"/>
      <c r="FV441" s="32"/>
      <c r="FW441" s="32"/>
      <c r="FX441" s="32"/>
      <c r="FY441" s="32"/>
      <c r="FZ441" s="32"/>
      <c r="GA441" s="32"/>
      <c r="GB441" s="32"/>
      <c r="GC441" s="32"/>
      <c r="GD441" s="32"/>
      <c r="GE441" s="32"/>
      <c r="GF441" s="32"/>
      <c r="GG441" s="32"/>
      <c r="GH441" s="32"/>
      <c r="GI441" s="32"/>
      <c r="GJ441" s="32"/>
      <c r="GK441" s="32"/>
      <c r="GL441" s="32"/>
      <c r="GM441" s="32"/>
      <c r="GN441" s="32"/>
      <c r="GO441" s="32"/>
      <c r="GP441" s="32"/>
      <c r="GQ441" s="32"/>
      <c r="GR441" s="32"/>
      <c r="GS441" s="32"/>
      <c r="GT441" s="32"/>
      <c r="GU441" s="32"/>
      <c r="GV441" s="32"/>
      <c r="GW441" s="32"/>
      <c r="GX441" s="32"/>
      <c r="GY441" s="32"/>
      <c r="GZ441" s="32"/>
      <c r="HA441" s="32"/>
      <c r="HB441" s="32"/>
      <c r="HC441" s="32"/>
      <c r="HD441" s="32"/>
      <c r="HE441" s="32"/>
      <c r="HF441" s="32"/>
      <c r="HG441" s="32"/>
      <c r="HH441" s="32"/>
      <c r="HI441" s="32"/>
      <c r="HJ441" s="32"/>
      <c r="HK441" s="32"/>
      <c r="HL441" s="32"/>
      <c r="HM441" s="32"/>
      <c r="HN441" s="32"/>
      <c r="HO441" s="32"/>
      <c r="HP441" s="32"/>
    </row>
    <row r="442" spans="1:224" x14ac:dyDescent="0.25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2"/>
      <c r="BB442" s="32"/>
      <c r="BC442" s="32"/>
      <c r="BD442" s="32"/>
      <c r="BE442" s="32"/>
      <c r="BF442" s="32"/>
      <c r="BG442" s="32"/>
      <c r="BH442" s="32"/>
      <c r="BI442" s="32"/>
      <c r="BJ442" s="32"/>
      <c r="BK442" s="32"/>
      <c r="BL442" s="32"/>
      <c r="BM442" s="32"/>
      <c r="BN442" s="32"/>
      <c r="BO442" s="32"/>
      <c r="BP442" s="32"/>
      <c r="BQ442" s="32"/>
      <c r="BR442" s="32"/>
      <c r="BS442" s="32"/>
      <c r="BT442" s="32"/>
      <c r="BU442" s="32"/>
      <c r="BV442" s="32"/>
      <c r="BW442" s="32"/>
      <c r="BX442" s="32"/>
      <c r="BY442" s="32"/>
      <c r="BZ442" s="32"/>
      <c r="CA442" s="32"/>
      <c r="CB442" s="32"/>
      <c r="CC442" s="32"/>
      <c r="CD442" s="32"/>
      <c r="CE442" s="32"/>
      <c r="CF442" s="32"/>
      <c r="CG442" s="32"/>
      <c r="CH442" s="32"/>
      <c r="CI442" s="32"/>
      <c r="CJ442" s="32"/>
      <c r="CK442" s="32"/>
      <c r="CL442" s="32"/>
      <c r="CM442" s="32"/>
      <c r="CN442" s="32"/>
      <c r="CO442" s="32"/>
      <c r="CP442" s="32"/>
      <c r="CQ442" s="32"/>
      <c r="CR442" s="32"/>
      <c r="CS442" s="32"/>
      <c r="CT442" s="32"/>
      <c r="CU442" s="32"/>
      <c r="CV442" s="32"/>
      <c r="CW442" s="32"/>
      <c r="CX442" s="32"/>
      <c r="CY442" s="32"/>
      <c r="CZ442" s="32"/>
      <c r="DA442" s="32"/>
      <c r="DB442" s="32"/>
      <c r="DC442" s="32"/>
      <c r="DD442" s="32"/>
      <c r="DE442" s="32"/>
      <c r="DF442" s="32"/>
      <c r="DG442" s="32"/>
      <c r="DH442" s="32"/>
      <c r="DI442" s="32"/>
      <c r="DJ442" s="32"/>
      <c r="DK442" s="32"/>
      <c r="DL442" s="32"/>
      <c r="DM442" s="32"/>
      <c r="DN442" s="32"/>
      <c r="DO442" s="32"/>
      <c r="DP442" s="32"/>
      <c r="DQ442" s="32"/>
      <c r="DR442" s="32"/>
      <c r="DS442" s="32"/>
      <c r="DT442" s="32"/>
      <c r="DU442" s="32"/>
      <c r="DV442" s="32"/>
      <c r="DW442" s="32"/>
      <c r="DX442" s="32"/>
      <c r="DY442" s="32"/>
      <c r="DZ442" s="32"/>
      <c r="EA442" s="32"/>
      <c r="EB442" s="32"/>
      <c r="EC442" s="32"/>
      <c r="ED442" s="32"/>
      <c r="EE442" s="32"/>
      <c r="EF442" s="32"/>
      <c r="EG442" s="32"/>
      <c r="EH442" s="32"/>
      <c r="EI442" s="32"/>
      <c r="EJ442" s="32"/>
      <c r="EK442" s="32"/>
      <c r="EL442" s="32"/>
      <c r="EM442" s="32"/>
      <c r="EN442" s="32"/>
      <c r="EO442" s="32"/>
      <c r="EP442" s="32"/>
      <c r="EQ442" s="32"/>
      <c r="ER442" s="32"/>
      <c r="ES442" s="32"/>
      <c r="ET442" s="32"/>
      <c r="EU442" s="32"/>
      <c r="EV442" s="32"/>
      <c r="EW442" s="32"/>
      <c r="EX442" s="32"/>
      <c r="EY442" s="32"/>
      <c r="EZ442" s="32"/>
      <c r="FA442" s="32"/>
      <c r="FB442" s="32"/>
      <c r="FC442" s="32"/>
      <c r="FD442" s="32"/>
      <c r="FE442" s="32"/>
      <c r="FF442" s="32"/>
      <c r="FG442" s="32"/>
      <c r="FH442" s="32"/>
      <c r="FI442" s="32"/>
      <c r="FJ442" s="32"/>
      <c r="FK442" s="32"/>
      <c r="FL442" s="32"/>
      <c r="FM442" s="32"/>
      <c r="FN442" s="32"/>
      <c r="FO442" s="32"/>
      <c r="FP442" s="32"/>
      <c r="FQ442" s="32"/>
      <c r="FR442" s="32"/>
      <c r="FS442" s="32"/>
      <c r="FT442" s="32"/>
      <c r="FU442" s="32"/>
      <c r="FV442" s="32"/>
      <c r="FW442" s="32"/>
      <c r="FX442" s="32"/>
      <c r="FY442" s="32"/>
      <c r="FZ442" s="32"/>
      <c r="GA442" s="32"/>
      <c r="GB442" s="32"/>
      <c r="GC442" s="32"/>
      <c r="GD442" s="32"/>
      <c r="GE442" s="32"/>
      <c r="GF442" s="32"/>
      <c r="GG442" s="32"/>
      <c r="GH442" s="32"/>
      <c r="GI442" s="32"/>
      <c r="GJ442" s="32"/>
      <c r="GK442" s="32"/>
      <c r="GL442" s="32"/>
      <c r="GM442" s="32"/>
      <c r="GN442" s="32"/>
      <c r="GO442" s="32"/>
      <c r="GP442" s="32"/>
      <c r="GQ442" s="32"/>
      <c r="GR442" s="32"/>
      <c r="GS442" s="32"/>
      <c r="GT442" s="32"/>
      <c r="GU442" s="32"/>
      <c r="GV442" s="32"/>
      <c r="GW442" s="32"/>
      <c r="GX442" s="32"/>
      <c r="GY442" s="32"/>
      <c r="GZ442" s="32"/>
      <c r="HA442" s="32"/>
      <c r="HB442" s="32"/>
      <c r="HC442" s="32"/>
      <c r="HD442" s="32"/>
      <c r="HE442" s="32"/>
      <c r="HF442" s="32"/>
      <c r="HG442" s="32"/>
      <c r="HH442" s="32"/>
      <c r="HI442" s="32"/>
      <c r="HJ442" s="32"/>
      <c r="HK442" s="32"/>
      <c r="HL442" s="32"/>
      <c r="HM442" s="32"/>
      <c r="HN442" s="32"/>
      <c r="HO442" s="32"/>
      <c r="HP442" s="32"/>
    </row>
    <row r="443" spans="1:224" x14ac:dyDescent="0.25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  <c r="BE443" s="32"/>
      <c r="BF443" s="32"/>
      <c r="BG443" s="32"/>
      <c r="BH443" s="32"/>
      <c r="BI443" s="32"/>
      <c r="BJ443" s="32"/>
      <c r="BK443" s="32"/>
      <c r="BL443" s="32"/>
      <c r="BM443" s="32"/>
      <c r="BN443" s="32"/>
      <c r="BO443" s="32"/>
      <c r="BP443" s="32"/>
      <c r="BQ443" s="32"/>
      <c r="BR443" s="32"/>
      <c r="BS443" s="32"/>
      <c r="BT443" s="32"/>
      <c r="BU443" s="32"/>
      <c r="BV443" s="32"/>
      <c r="BW443" s="32"/>
      <c r="BX443" s="32"/>
      <c r="BY443" s="32"/>
      <c r="BZ443" s="32"/>
      <c r="CA443" s="32"/>
      <c r="CB443" s="32"/>
      <c r="CC443" s="32"/>
      <c r="CD443" s="32"/>
      <c r="CE443" s="32"/>
      <c r="CF443" s="32"/>
      <c r="CG443" s="32"/>
      <c r="CH443" s="32"/>
      <c r="CI443" s="32"/>
      <c r="CJ443" s="32"/>
      <c r="CK443" s="32"/>
      <c r="CL443" s="32"/>
      <c r="CM443" s="32"/>
      <c r="CN443" s="32"/>
      <c r="CO443" s="32"/>
      <c r="CP443" s="32"/>
      <c r="CQ443" s="32"/>
      <c r="CR443" s="32"/>
      <c r="CS443" s="32"/>
      <c r="CT443" s="32"/>
      <c r="CU443" s="32"/>
      <c r="CV443" s="32"/>
      <c r="CW443" s="32"/>
      <c r="CX443" s="32"/>
      <c r="CY443" s="32"/>
      <c r="CZ443" s="32"/>
      <c r="DA443" s="32"/>
      <c r="DB443" s="32"/>
      <c r="DC443" s="32"/>
      <c r="DD443" s="32"/>
      <c r="DE443" s="32"/>
      <c r="DF443" s="32"/>
      <c r="DG443" s="32"/>
      <c r="DH443" s="32"/>
      <c r="DI443" s="32"/>
      <c r="DJ443" s="32"/>
      <c r="DK443" s="32"/>
      <c r="DL443" s="32"/>
      <c r="DM443" s="32"/>
      <c r="DN443" s="32"/>
      <c r="DO443" s="32"/>
      <c r="DP443" s="32"/>
      <c r="DQ443" s="32"/>
      <c r="DR443" s="32"/>
      <c r="DS443" s="32"/>
      <c r="DT443" s="32"/>
      <c r="DU443" s="32"/>
      <c r="DV443" s="32"/>
      <c r="DW443" s="32"/>
      <c r="DX443" s="32"/>
      <c r="DY443" s="32"/>
      <c r="DZ443" s="32"/>
      <c r="EA443" s="32"/>
      <c r="EB443" s="32"/>
      <c r="EC443" s="32"/>
      <c r="ED443" s="32"/>
      <c r="EE443" s="32"/>
      <c r="EF443" s="32"/>
      <c r="EG443" s="32"/>
      <c r="EH443" s="32"/>
      <c r="EI443" s="32"/>
      <c r="EJ443" s="32"/>
      <c r="EK443" s="32"/>
      <c r="EL443" s="32"/>
      <c r="EM443" s="32"/>
      <c r="EN443" s="32"/>
      <c r="EO443" s="32"/>
      <c r="EP443" s="32"/>
      <c r="EQ443" s="32"/>
      <c r="ER443" s="32"/>
      <c r="ES443" s="32"/>
      <c r="ET443" s="32"/>
      <c r="EU443" s="32"/>
      <c r="EV443" s="32"/>
      <c r="EW443" s="32"/>
      <c r="EX443" s="32"/>
      <c r="EY443" s="32"/>
      <c r="EZ443" s="32"/>
      <c r="FA443" s="32"/>
      <c r="FB443" s="32"/>
      <c r="FC443" s="32"/>
      <c r="FD443" s="32"/>
      <c r="FE443" s="32"/>
      <c r="FF443" s="32"/>
      <c r="FG443" s="32"/>
      <c r="FH443" s="32"/>
      <c r="FI443" s="32"/>
      <c r="FJ443" s="32"/>
      <c r="FK443" s="32"/>
      <c r="FL443" s="32"/>
      <c r="FM443" s="32"/>
      <c r="FN443" s="32"/>
      <c r="FO443" s="32"/>
      <c r="FP443" s="32"/>
      <c r="FQ443" s="32"/>
      <c r="FR443" s="32"/>
      <c r="FS443" s="32"/>
      <c r="FT443" s="32"/>
      <c r="FU443" s="32"/>
      <c r="FV443" s="32"/>
      <c r="FW443" s="32"/>
      <c r="FX443" s="32"/>
      <c r="FY443" s="32"/>
      <c r="FZ443" s="32"/>
      <c r="GA443" s="32"/>
      <c r="GB443" s="32"/>
      <c r="GC443" s="32"/>
      <c r="GD443" s="32"/>
      <c r="GE443" s="32"/>
      <c r="GF443" s="32"/>
      <c r="GG443" s="32"/>
      <c r="GH443" s="32"/>
      <c r="GI443" s="32"/>
      <c r="GJ443" s="32"/>
      <c r="GK443" s="32"/>
      <c r="GL443" s="32"/>
      <c r="GM443" s="32"/>
      <c r="GN443" s="32"/>
      <c r="GO443" s="32"/>
      <c r="GP443" s="32"/>
      <c r="GQ443" s="32"/>
      <c r="GR443" s="32"/>
      <c r="GS443" s="32"/>
      <c r="GT443" s="32"/>
      <c r="GU443" s="32"/>
      <c r="GV443" s="32"/>
      <c r="GW443" s="32"/>
      <c r="GX443" s="32"/>
      <c r="GY443" s="32"/>
      <c r="GZ443" s="32"/>
      <c r="HA443" s="32"/>
      <c r="HB443" s="32"/>
      <c r="HC443" s="32"/>
      <c r="HD443" s="32"/>
      <c r="HE443" s="32"/>
      <c r="HF443" s="32"/>
      <c r="HG443" s="32"/>
      <c r="HH443" s="32"/>
      <c r="HI443" s="32"/>
      <c r="HJ443" s="32"/>
      <c r="HK443" s="32"/>
      <c r="HL443" s="32"/>
      <c r="HM443" s="32"/>
      <c r="HN443" s="32"/>
      <c r="HO443" s="32"/>
      <c r="HP443" s="32"/>
    </row>
    <row r="444" spans="1:224" x14ac:dyDescent="0.25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  <c r="BD444" s="32"/>
      <c r="BE444" s="32"/>
      <c r="BF444" s="32"/>
      <c r="BG444" s="32"/>
      <c r="BH444" s="32"/>
      <c r="BI444" s="32"/>
      <c r="BJ444" s="32"/>
      <c r="BK444" s="32"/>
      <c r="BL444" s="32"/>
      <c r="BM444" s="32"/>
      <c r="BN444" s="32"/>
      <c r="BO444" s="32"/>
      <c r="BP444" s="32"/>
      <c r="BQ444" s="32"/>
      <c r="BR444" s="32"/>
      <c r="BS444" s="32"/>
      <c r="BT444" s="32"/>
      <c r="BU444" s="32"/>
      <c r="BV444" s="32"/>
      <c r="BW444" s="32"/>
      <c r="BX444" s="32"/>
      <c r="BY444" s="32"/>
      <c r="BZ444" s="32"/>
      <c r="CA444" s="32"/>
      <c r="CB444" s="32"/>
      <c r="CC444" s="32"/>
      <c r="CD444" s="32"/>
      <c r="CE444" s="32"/>
      <c r="CF444" s="32"/>
      <c r="CG444" s="32"/>
      <c r="CH444" s="32"/>
      <c r="CI444" s="32"/>
      <c r="CJ444" s="32"/>
      <c r="CK444" s="32"/>
      <c r="CL444" s="32"/>
      <c r="CM444" s="32"/>
      <c r="CN444" s="32"/>
      <c r="CO444" s="32"/>
      <c r="CP444" s="32"/>
      <c r="CQ444" s="32"/>
      <c r="CR444" s="32"/>
      <c r="CS444" s="32"/>
      <c r="CT444" s="32"/>
      <c r="CU444" s="32"/>
      <c r="CV444" s="32"/>
      <c r="CW444" s="32"/>
      <c r="CX444" s="32"/>
      <c r="CY444" s="32"/>
      <c r="CZ444" s="32"/>
      <c r="DA444" s="32"/>
      <c r="DB444" s="32"/>
      <c r="DC444" s="32"/>
      <c r="DD444" s="32"/>
      <c r="DE444" s="32"/>
      <c r="DF444" s="32"/>
      <c r="DG444" s="32"/>
      <c r="DH444" s="32"/>
      <c r="DI444" s="32"/>
      <c r="DJ444" s="32"/>
      <c r="DK444" s="32"/>
      <c r="DL444" s="32"/>
      <c r="DM444" s="32"/>
      <c r="DN444" s="32"/>
      <c r="DO444" s="32"/>
      <c r="DP444" s="32"/>
      <c r="DQ444" s="32"/>
      <c r="DR444" s="32"/>
      <c r="DS444" s="32"/>
      <c r="DT444" s="32"/>
      <c r="DU444" s="32"/>
      <c r="DV444" s="32"/>
      <c r="DW444" s="32"/>
      <c r="DX444" s="32"/>
      <c r="DY444" s="32"/>
      <c r="DZ444" s="32"/>
      <c r="EA444" s="32"/>
      <c r="EB444" s="32"/>
      <c r="EC444" s="32"/>
      <c r="ED444" s="32"/>
      <c r="EE444" s="32"/>
      <c r="EF444" s="32"/>
      <c r="EG444" s="32"/>
      <c r="EH444" s="32"/>
      <c r="EI444" s="32"/>
      <c r="EJ444" s="32"/>
      <c r="EK444" s="32"/>
      <c r="EL444" s="32"/>
      <c r="EM444" s="32"/>
      <c r="EN444" s="32"/>
      <c r="EO444" s="32"/>
      <c r="EP444" s="32"/>
      <c r="EQ444" s="32"/>
      <c r="ER444" s="32"/>
      <c r="ES444" s="32"/>
      <c r="ET444" s="32"/>
      <c r="EU444" s="32"/>
      <c r="EV444" s="32"/>
      <c r="EW444" s="32"/>
      <c r="EX444" s="32"/>
      <c r="EY444" s="32"/>
      <c r="EZ444" s="32"/>
      <c r="FA444" s="32"/>
      <c r="FB444" s="32"/>
      <c r="FC444" s="32"/>
      <c r="FD444" s="32"/>
      <c r="FE444" s="32"/>
      <c r="FF444" s="32"/>
      <c r="FG444" s="32"/>
      <c r="FH444" s="32"/>
      <c r="FI444" s="32"/>
      <c r="FJ444" s="32"/>
      <c r="FK444" s="32"/>
      <c r="FL444" s="32"/>
      <c r="FM444" s="32"/>
      <c r="FN444" s="32"/>
      <c r="FO444" s="32"/>
      <c r="FP444" s="32"/>
      <c r="FQ444" s="32"/>
      <c r="FR444" s="32"/>
      <c r="FS444" s="32"/>
      <c r="FT444" s="32"/>
      <c r="FU444" s="32"/>
      <c r="FV444" s="32"/>
      <c r="FW444" s="32"/>
      <c r="FX444" s="32"/>
      <c r="FY444" s="32"/>
      <c r="FZ444" s="32"/>
      <c r="GA444" s="32"/>
      <c r="GB444" s="32"/>
      <c r="GC444" s="32"/>
      <c r="GD444" s="32"/>
      <c r="GE444" s="32"/>
      <c r="GF444" s="32"/>
      <c r="GG444" s="32"/>
      <c r="GH444" s="32"/>
      <c r="GI444" s="32"/>
      <c r="GJ444" s="32"/>
      <c r="GK444" s="32"/>
      <c r="GL444" s="32"/>
      <c r="GM444" s="32"/>
      <c r="GN444" s="32"/>
      <c r="GO444" s="32"/>
      <c r="GP444" s="32"/>
      <c r="GQ444" s="32"/>
      <c r="GR444" s="32"/>
      <c r="GS444" s="32"/>
      <c r="GT444" s="32"/>
      <c r="GU444" s="32"/>
      <c r="GV444" s="32"/>
      <c r="GW444" s="32"/>
      <c r="GX444" s="32"/>
      <c r="GY444" s="32"/>
      <c r="GZ444" s="32"/>
      <c r="HA444" s="32"/>
      <c r="HB444" s="32"/>
      <c r="HC444" s="32"/>
      <c r="HD444" s="32"/>
      <c r="HE444" s="32"/>
      <c r="HF444" s="32"/>
      <c r="HG444" s="32"/>
      <c r="HH444" s="32"/>
      <c r="HI444" s="32"/>
      <c r="HJ444" s="32"/>
      <c r="HK444" s="32"/>
      <c r="HL444" s="32"/>
      <c r="HM444" s="32"/>
      <c r="HN444" s="32"/>
      <c r="HO444" s="32"/>
      <c r="HP444" s="32"/>
    </row>
    <row r="445" spans="1:224" x14ac:dyDescent="0.2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  <c r="BE445" s="32"/>
      <c r="BF445" s="32"/>
      <c r="BG445" s="32"/>
      <c r="BH445" s="32"/>
      <c r="BI445" s="32"/>
      <c r="BJ445" s="32"/>
      <c r="BK445" s="32"/>
      <c r="BL445" s="32"/>
      <c r="BM445" s="32"/>
      <c r="BN445" s="32"/>
      <c r="BO445" s="32"/>
      <c r="BP445" s="32"/>
      <c r="BQ445" s="32"/>
      <c r="BR445" s="32"/>
      <c r="BS445" s="32"/>
      <c r="BT445" s="32"/>
      <c r="BU445" s="32"/>
      <c r="BV445" s="32"/>
      <c r="BW445" s="32"/>
      <c r="BX445" s="32"/>
      <c r="BY445" s="32"/>
      <c r="BZ445" s="32"/>
      <c r="CA445" s="32"/>
      <c r="CB445" s="32"/>
      <c r="CC445" s="32"/>
      <c r="CD445" s="32"/>
      <c r="CE445" s="32"/>
      <c r="CF445" s="32"/>
      <c r="CG445" s="32"/>
      <c r="CH445" s="32"/>
      <c r="CI445" s="32"/>
      <c r="CJ445" s="32"/>
      <c r="CK445" s="32"/>
      <c r="CL445" s="32"/>
      <c r="CM445" s="32"/>
      <c r="CN445" s="32"/>
      <c r="CO445" s="32"/>
      <c r="CP445" s="32"/>
      <c r="CQ445" s="32"/>
      <c r="CR445" s="32"/>
      <c r="CS445" s="32"/>
      <c r="CT445" s="32"/>
      <c r="CU445" s="32"/>
      <c r="CV445" s="32"/>
      <c r="CW445" s="32"/>
      <c r="CX445" s="32"/>
      <c r="CY445" s="32"/>
      <c r="CZ445" s="32"/>
      <c r="DA445" s="32"/>
      <c r="DB445" s="32"/>
      <c r="DC445" s="32"/>
      <c r="DD445" s="32"/>
      <c r="DE445" s="32"/>
      <c r="DF445" s="32"/>
      <c r="DG445" s="32"/>
      <c r="DH445" s="32"/>
      <c r="DI445" s="32"/>
      <c r="DJ445" s="32"/>
      <c r="DK445" s="32"/>
      <c r="DL445" s="32"/>
      <c r="DM445" s="32"/>
      <c r="DN445" s="32"/>
      <c r="DO445" s="32"/>
      <c r="DP445" s="32"/>
      <c r="DQ445" s="32"/>
      <c r="DR445" s="32"/>
      <c r="DS445" s="32"/>
      <c r="DT445" s="32"/>
      <c r="DU445" s="32"/>
      <c r="DV445" s="32"/>
      <c r="DW445" s="32"/>
      <c r="DX445" s="32"/>
      <c r="DY445" s="32"/>
      <c r="DZ445" s="32"/>
      <c r="EA445" s="32"/>
      <c r="EB445" s="32"/>
      <c r="EC445" s="32"/>
      <c r="ED445" s="32"/>
      <c r="EE445" s="32"/>
      <c r="EF445" s="32"/>
      <c r="EG445" s="32"/>
      <c r="EH445" s="32"/>
      <c r="EI445" s="32"/>
      <c r="EJ445" s="32"/>
      <c r="EK445" s="32"/>
      <c r="EL445" s="32"/>
      <c r="EM445" s="32"/>
      <c r="EN445" s="32"/>
      <c r="EO445" s="32"/>
      <c r="EP445" s="32"/>
      <c r="EQ445" s="32"/>
      <c r="ER445" s="32"/>
      <c r="ES445" s="32"/>
      <c r="ET445" s="32"/>
      <c r="EU445" s="32"/>
      <c r="EV445" s="32"/>
      <c r="EW445" s="32"/>
      <c r="EX445" s="32"/>
      <c r="EY445" s="32"/>
      <c r="EZ445" s="32"/>
      <c r="FA445" s="32"/>
      <c r="FB445" s="32"/>
      <c r="FC445" s="32"/>
      <c r="FD445" s="32"/>
      <c r="FE445" s="32"/>
      <c r="FF445" s="32"/>
      <c r="FG445" s="32"/>
      <c r="FH445" s="32"/>
      <c r="FI445" s="32"/>
      <c r="FJ445" s="32"/>
      <c r="FK445" s="32"/>
      <c r="FL445" s="32"/>
      <c r="FM445" s="32"/>
      <c r="FN445" s="32"/>
      <c r="FO445" s="32"/>
      <c r="FP445" s="32"/>
      <c r="FQ445" s="32"/>
      <c r="FR445" s="32"/>
      <c r="FS445" s="32"/>
      <c r="FT445" s="32"/>
      <c r="FU445" s="32"/>
      <c r="FV445" s="32"/>
      <c r="FW445" s="32"/>
      <c r="FX445" s="32"/>
      <c r="FY445" s="32"/>
      <c r="FZ445" s="32"/>
      <c r="GA445" s="32"/>
      <c r="GB445" s="32"/>
      <c r="GC445" s="32"/>
      <c r="GD445" s="32"/>
      <c r="GE445" s="32"/>
      <c r="GF445" s="32"/>
      <c r="GG445" s="32"/>
      <c r="GH445" s="32"/>
      <c r="GI445" s="32"/>
      <c r="GJ445" s="32"/>
      <c r="GK445" s="32"/>
      <c r="GL445" s="32"/>
      <c r="GM445" s="32"/>
      <c r="GN445" s="32"/>
      <c r="GO445" s="32"/>
      <c r="GP445" s="32"/>
      <c r="GQ445" s="32"/>
      <c r="GR445" s="32"/>
      <c r="GS445" s="32"/>
      <c r="GT445" s="32"/>
      <c r="GU445" s="32"/>
      <c r="GV445" s="32"/>
      <c r="GW445" s="32"/>
      <c r="GX445" s="32"/>
      <c r="GY445" s="32"/>
      <c r="GZ445" s="32"/>
      <c r="HA445" s="32"/>
      <c r="HB445" s="32"/>
      <c r="HC445" s="32"/>
      <c r="HD445" s="32"/>
      <c r="HE445" s="32"/>
      <c r="HF445" s="32"/>
      <c r="HG445" s="32"/>
      <c r="HH445" s="32"/>
      <c r="HI445" s="32"/>
      <c r="HJ445" s="32"/>
      <c r="HK445" s="32"/>
      <c r="HL445" s="32"/>
      <c r="HM445" s="32"/>
      <c r="HN445" s="32"/>
      <c r="HO445" s="32"/>
      <c r="HP445" s="32"/>
    </row>
    <row r="446" spans="1:224" x14ac:dyDescent="0.25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2"/>
      <c r="BB446" s="32"/>
      <c r="BC446" s="32"/>
      <c r="BD446" s="32"/>
      <c r="BE446" s="32"/>
      <c r="BF446" s="32"/>
      <c r="BG446" s="32"/>
      <c r="BH446" s="32"/>
      <c r="BI446" s="32"/>
      <c r="BJ446" s="32"/>
      <c r="BK446" s="32"/>
      <c r="BL446" s="32"/>
      <c r="BM446" s="32"/>
      <c r="BN446" s="32"/>
      <c r="BO446" s="32"/>
      <c r="BP446" s="32"/>
      <c r="BQ446" s="32"/>
      <c r="BR446" s="32"/>
      <c r="BS446" s="32"/>
      <c r="BT446" s="32"/>
      <c r="BU446" s="32"/>
      <c r="BV446" s="32"/>
      <c r="BW446" s="32"/>
      <c r="BX446" s="32"/>
      <c r="BY446" s="32"/>
      <c r="BZ446" s="32"/>
      <c r="CA446" s="32"/>
      <c r="CB446" s="32"/>
      <c r="CC446" s="32"/>
      <c r="CD446" s="32"/>
      <c r="CE446" s="32"/>
      <c r="CF446" s="32"/>
      <c r="CG446" s="32"/>
      <c r="CH446" s="32"/>
      <c r="CI446" s="32"/>
      <c r="CJ446" s="32"/>
      <c r="CK446" s="32"/>
      <c r="CL446" s="32"/>
      <c r="CM446" s="32"/>
      <c r="CN446" s="32"/>
      <c r="CO446" s="32"/>
      <c r="CP446" s="32"/>
      <c r="CQ446" s="32"/>
      <c r="CR446" s="32"/>
      <c r="CS446" s="32"/>
      <c r="CT446" s="32"/>
      <c r="CU446" s="32"/>
      <c r="CV446" s="32"/>
      <c r="CW446" s="32"/>
      <c r="CX446" s="32"/>
      <c r="CY446" s="32"/>
      <c r="CZ446" s="32"/>
      <c r="DA446" s="32"/>
      <c r="DB446" s="32"/>
      <c r="DC446" s="32"/>
      <c r="DD446" s="32"/>
      <c r="DE446" s="32"/>
      <c r="DF446" s="32"/>
      <c r="DG446" s="32"/>
      <c r="DH446" s="32"/>
      <c r="DI446" s="32"/>
      <c r="DJ446" s="32"/>
      <c r="DK446" s="32"/>
      <c r="DL446" s="32"/>
      <c r="DM446" s="32"/>
      <c r="DN446" s="32"/>
      <c r="DO446" s="32"/>
      <c r="DP446" s="32"/>
      <c r="DQ446" s="32"/>
      <c r="DR446" s="32"/>
      <c r="DS446" s="32"/>
      <c r="DT446" s="32"/>
      <c r="DU446" s="32"/>
      <c r="DV446" s="32"/>
      <c r="DW446" s="32"/>
      <c r="DX446" s="32"/>
      <c r="DY446" s="32"/>
      <c r="DZ446" s="32"/>
      <c r="EA446" s="32"/>
      <c r="EB446" s="32"/>
      <c r="EC446" s="32"/>
      <c r="ED446" s="32"/>
      <c r="EE446" s="32"/>
      <c r="EF446" s="32"/>
      <c r="EG446" s="32"/>
      <c r="EH446" s="32"/>
      <c r="EI446" s="32"/>
      <c r="EJ446" s="32"/>
      <c r="EK446" s="32"/>
      <c r="EL446" s="32"/>
      <c r="EM446" s="32"/>
      <c r="EN446" s="32"/>
      <c r="EO446" s="32"/>
      <c r="EP446" s="32"/>
      <c r="EQ446" s="32"/>
      <c r="ER446" s="32"/>
      <c r="ES446" s="32"/>
      <c r="ET446" s="32"/>
      <c r="EU446" s="32"/>
      <c r="EV446" s="32"/>
      <c r="EW446" s="32"/>
      <c r="EX446" s="32"/>
      <c r="EY446" s="32"/>
      <c r="EZ446" s="32"/>
      <c r="FA446" s="32"/>
      <c r="FB446" s="32"/>
      <c r="FC446" s="32"/>
      <c r="FD446" s="32"/>
      <c r="FE446" s="32"/>
      <c r="FF446" s="32"/>
      <c r="FG446" s="32"/>
      <c r="FH446" s="32"/>
      <c r="FI446" s="32"/>
      <c r="FJ446" s="32"/>
      <c r="FK446" s="32"/>
      <c r="FL446" s="32"/>
      <c r="FM446" s="32"/>
      <c r="FN446" s="32"/>
      <c r="FO446" s="32"/>
      <c r="FP446" s="32"/>
      <c r="FQ446" s="32"/>
      <c r="FR446" s="32"/>
      <c r="FS446" s="32"/>
      <c r="FT446" s="32"/>
      <c r="FU446" s="32"/>
      <c r="FV446" s="32"/>
      <c r="FW446" s="32"/>
      <c r="FX446" s="32"/>
      <c r="FY446" s="32"/>
      <c r="FZ446" s="32"/>
      <c r="GA446" s="32"/>
      <c r="GB446" s="32"/>
      <c r="GC446" s="32"/>
      <c r="GD446" s="32"/>
      <c r="GE446" s="32"/>
      <c r="GF446" s="32"/>
      <c r="GG446" s="32"/>
      <c r="GH446" s="32"/>
      <c r="GI446" s="32"/>
      <c r="GJ446" s="32"/>
      <c r="GK446" s="32"/>
      <c r="GL446" s="32"/>
      <c r="GM446" s="32"/>
      <c r="GN446" s="32"/>
      <c r="GO446" s="32"/>
      <c r="GP446" s="32"/>
      <c r="GQ446" s="32"/>
      <c r="GR446" s="32"/>
      <c r="GS446" s="32"/>
      <c r="GT446" s="32"/>
      <c r="GU446" s="32"/>
      <c r="GV446" s="32"/>
      <c r="GW446" s="32"/>
      <c r="GX446" s="32"/>
      <c r="GY446" s="32"/>
      <c r="GZ446" s="32"/>
      <c r="HA446" s="32"/>
      <c r="HB446" s="32"/>
      <c r="HC446" s="32"/>
      <c r="HD446" s="32"/>
      <c r="HE446" s="32"/>
      <c r="HF446" s="32"/>
      <c r="HG446" s="32"/>
      <c r="HH446" s="32"/>
      <c r="HI446" s="32"/>
      <c r="HJ446" s="32"/>
      <c r="HK446" s="32"/>
      <c r="HL446" s="32"/>
      <c r="HM446" s="32"/>
      <c r="HN446" s="32"/>
      <c r="HO446" s="32"/>
      <c r="HP446" s="32"/>
    </row>
    <row r="447" spans="1:224" x14ac:dyDescent="0.25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  <c r="BD447" s="32"/>
      <c r="BE447" s="32"/>
      <c r="BF447" s="32"/>
      <c r="BG447" s="32"/>
      <c r="BH447" s="32"/>
      <c r="BI447" s="32"/>
      <c r="BJ447" s="32"/>
      <c r="BK447" s="32"/>
      <c r="BL447" s="32"/>
      <c r="BM447" s="32"/>
      <c r="BN447" s="32"/>
      <c r="BO447" s="32"/>
      <c r="BP447" s="32"/>
      <c r="BQ447" s="32"/>
      <c r="BR447" s="32"/>
      <c r="BS447" s="32"/>
      <c r="BT447" s="32"/>
      <c r="BU447" s="32"/>
      <c r="BV447" s="32"/>
      <c r="BW447" s="32"/>
      <c r="BX447" s="32"/>
      <c r="BY447" s="32"/>
      <c r="BZ447" s="32"/>
      <c r="CA447" s="32"/>
      <c r="CB447" s="32"/>
      <c r="CC447" s="32"/>
      <c r="CD447" s="32"/>
      <c r="CE447" s="32"/>
      <c r="CF447" s="32"/>
      <c r="CG447" s="32"/>
      <c r="CH447" s="32"/>
      <c r="CI447" s="32"/>
      <c r="CJ447" s="32"/>
      <c r="CK447" s="32"/>
      <c r="CL447" s="32"/>
      <c r="CM447" s="32"/>
      <c r="CN447" s="32"/>
      <c r="CO447" s="32"/>
      <c r="CP447" s="32"/>
      <c r="CQ447" s="32"/>
      <c r="CR447" s="32"/>
      <c r="CS447" s="32"/>
      <c r="CT447" s="32"/>
      <c r="CU447" s="32"/>
      <c r="CV447" s="32"/>
      <c r="CW447" s="32"/>
      <c r="CX447" s="32"/>
      <c r="CY447" s="32"/>
      <c r="CZ447" s="32"/>
      <c r="DA447" s="32"/>
      <c r="DB447" s="32"/>
      <c r="DC447" s="32"/>
      <c r="DD447" s="32"/>
      <c r="DE447" s="32"/>
      <c r="DF447" s="32"/>
      <c r="DG447" s="32"/>
      <c r="DH447" s="32"/>
      <c r="DI447" s="32"/>
      <c r="DJ447" s="32"/>
      <c r="DK447" s="32"/>
      <c r="DL447" s="32"/>
      <c r="DM447" s="32"/>
      <c r="DN447" s="32"/>
      <c r="DO447" s="32"/>
      <c r="DP447" s="32"/>
      <c r="DQ447" s="32"/>
      <c r="DR447" s="32"/>
      <c r="DS447" s="32"/>
      <c r="DT447" s="32"/>
      <c r="DU447" s="32"/>
      <c r="DV447" s="32"/>
      <c r="DW447" s="32"/>
      <c r="DX447" s="32"/>
      <c r="DY447" s="32"/>
      <c r="DZ447" s="32"/>
      <c r="EA447" s="32"/>
      <c r="EB447" s="32"/>
      <c r="EC447" s="32"/>
      <c r="ED447" s="32"/>
      <c r="EE447" s="32"/>
      <c r="EF447" s="32"/>
      <c r="EG447" s="32"/>
      <c r="EH447" s="32"/>
      <c r="EI447" s="32"/>
      <c r="EJ447" s="32"/>
      <c r="EK447" s="32"/>
      <c r="EL447" s="32"/>
      <c r="EM447" s="32"/>
      <c r="EN447" s="32"/>
      <c r="EO447" s="32"/>
      <c r="EP447" s="32"/>
      <c r="EQ447" s="32"/>
      <c r="ER447" s="32"/>
      <c r="ES447" s="32"/>
      <c r="ET447" s="32"/>
      <c r="EU447" s="32"/>
      <c r="EV447" s="32"/>
      <c r="EW447" s="32"/>
      <c r="EX447" s="32"/>
      <c r="EY447" s="32"/>
      <c r="EZ447" s="32"/>
      <c r="FA447" s="32"/>
      <c r="FB447" s="32"/>
      <c r="FC447" s="32"/>
      <c r="FD447" s="32"/>
      <c r="FE447" s="32"/>
      <c r="FF447" s="32"/>
      <c r="FG447" s="32"/>
      <c r="FH447" s="32"/>
      <c r="FI447" s="32"/>
      <c r="FJ447" s="32"/>
      <c r="FK447" s="32"/>
      <c r="FL447" s="32"/>
      <c r="FM447" s="32"/>
      <c r="FN447" s="32"/>
      <c r="FO447" s="32"/>
      <c r="FP447" s="32"/>
      <c r="FQ447" s="32"/>
      <c r="FR447" s="32"/>
      <c r="FS447" s="32"/>
      <c r="FT447" s="32"/>
      <c r="FU447" s="32"/>
      <c r="FV447" s="32"/>
      <c r="FW447" s="32"/>
      <c r="FX447" s="32"/>
      <c r="FY447" s="32"/>
      <c r="FZ447" s="32"/>
      <c r="GA447" s="32"/>
      <c r="GB447" s="32"/>
      <c r="GC447" s="32"/>
      <c r="GD447" s="32"/>
      <c r="GE447" s="32"/>
      <c r="GF447" s="32"/>
      <c r="GG447" s="32"/>
      <c r="GH447" s="32"/>
      <c r="GI447" s="32"/>
      <c r="GJ447" s="32"/>
      <c r="GK447" s="32"/>
      <c r="GL447" s="32"/>
      <c r="GM447" s="32"/>
      <c r="GN447" s="32"/>
      <c r="GO447" s="32"/>
      <c r="GP447" s="32"/>
      <c r="GQ447" s="32"/>
      <c r="GR447" s="32"/>
      <c r="GS447" s="32"/>
      <c r="GT447" s="32"/>
      <c r="GU447" s="32"/>
      <c r="GV447" s="32"/>
      <c r="GW447" s="32"/>
      <c r="GX447" s="32"/>
      <c r="GY447" s="32"/>
      <c r="GZ447" s="32"/>
      <c r="HA447" s="32"/>
      <c r="HB447" s="32"/>
      <c r="HC447" s="32"/>
      <c r="HD447" s="32"/>
      <c r="HE447" s="32"/>
      <c r="HF447" s="32"/>
      <c r="HG447" s="32"/>
      <c r="HH447" s="32"/>
      <c r="HI447" s="32"/>
      <c r="HJ447" s="32"/>
      <c r="HK447" s="32"/>
      <c r="HL447" s="32"/>
      <c r="HM447" s="32"/>
      <c r="HN447" s="32"/>
      <c r="HO447" s="32"/>
      <c r="HP447" s="32"/>
    </row>
    <row r="448" spans="1:224" x14ac:dyDescent="0.25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2"/>
      <c r="BB448" s="32"/>
      <c r="BC448" s="32"/>
      <c r="BD448" s="32"/>
      <c r="BE448" s="32"/>
      <c r="BF448" s="32"/>
      <c r="BG448" s="32"/>
      <c r="BH448" s="32"/>
      <c r="BI448" s="32"/>
      <c r="BJ448" s="32"/>
      <c r="BK448" s="32"/>
      <c r="BL448" s="32"/>
      <c r="BM448" s="32"/>
      <c r="BN448" s="32"/>
      <c r="BO448" s="32"/>
      <c r="BP448" s="32"/>
      <c r="BQ448" s="32"/>
      <c r="BR448" s="32"/>
      <c r="BS448" s="32"/>
      <c r="BT448" s="32"/>
      <c r="BU448" s="32"/>
      <c r="BV448" s="32"/>
      <c r="BW448" s="32"/>
      <c r="BX448" s="32"/>
      <c r="BY448" s="32"/>
      <c r="BZ448" s="32"/>
      <c r="CA448" s="32"/>
      <c r="CB448" s="32"/>
      <c r="CC448" s="32"/>
      <c r="CD448" s="32"/>
      <c r="CE448" s="32"/>
      <c r="CF448" s="32"/>
      <c r="CG448" s="32"/>
      <c r="CH448" s="32"/>
      <c r="CI448" s="32"/>
      <c r="CJ448" s="32"/>
      <c r="CK448" s="32"/>
      <c r="CL448" s="32"/>
      <c r="CM448" s="32"/>
      <c r="CN448" s="32"/>
      <c r="CO448" s="32"/>
      <c r="CP448" s="32"/>
      <c r="CQ448" s="32"/>
      <c r="CR448" s="32"/>
      <c r="CS448" s="32"/>
      <c r="CT448" s="32"/>
      <c r="CU448" s="32"/>
      <c r="CV448" s="32"/>
      <c r="CW448" s="32"/>
      <c r="CX448" s="32"/>
      <c r="CY448" s="32"/>
      <c r="CZ448" s="32"/>
      <c r="DA448" s="32"/>
      <c r="DB448" s="32"/>
      <c r="DC448" s="32"/>
      <c r="DD448" s="32"/>
      <c r="DE448" s="32"/>
      <c r="DF448" s="32"/>
      <c r="DG448" s="32"/>
      <c r="DH448" s="32"/>
      <c r="DI448" s="32"/>
      <c r="DJ448" s="32"/>
      <c r="DK448" s="32"/>
      <c r="DL448" s="32"/>
      <c r="DM448" s="32"/>
      <c r="DN448" s="32"/>
      <c r="DO448" s="32"/>
      <c r="DP448" s="32"/>
      <c r="DQ448" s="32"/>
      <c r="DR448" s="32"/>
      <c r="DS448" s="32"/>
      <c r="DT448" s="32"/>
      <c r="DU448" s="32"/>
      <c r="DV448" s="32"/>
      <c r="DW448" s="32"/>
      <c r="DX448" s="32"/>
      <c r="DY448" s="32"/>
      <c r="DZ448" s="32"/>
      <c r="EA448" s="32"/>
      <c r="EB448" s="32"/>
      <c r="EC448" s="32"/>
      <c r="ED448" s="32"/>
      <c r="EE448" s="32"/>
      <c r="EF448" s="32"/>
      <c r="EG448" s="32"/>
      <c r="EH448" s="32"/>
      <c r="EI448" s="32"/>
      <c r="EJ448" s="32"/>
      <c r="EK448" s="32"/>
      <c r="EL448" s="32"/>
      <c r="EM448" s="32"/>
      <c r="EN448" s="32"/>
      <c r="EO448" s="32"/>
      <c r="EP448" s="32"/>
      <c r="EQ448" s="32"/>
      <c r="ER448" s="32"/>
      <c r="ES448" s="32"/>
      <c r="ET448" s="32"/>
      <c r="EU448" s="32"/>
      <c r="EV448" s="32"/>
      <c r="EW448" s="32"/>
      <c r="EX448" s="32"/>
      <c r="EY448" s="32"/>
      <c r="EZ448" s="32"/>
      <c r="FA448" s="32"/>
      <c r="FB448" s="32"/>
      <c r="FC448" s="32"/>
      <c r="FD448" s="32"/>
      <c r="FE448" s="32"/>
      <c r="FF448" s="32"/>
      <c r="FG448" s="32"/>
      <c r="FH448" s="32"/>
      <c r="FI448" s="32"/>
      <c r="FJ448" s="32"/>
      <c r="FK448" s="32"/>
      <c r="FL448" s="32"/>
      <c r="FM448" s="32"/>
      <c r="FN448" s="32"/>
      <c r="FO448" s="32"/>
      <c r="FP448" s="32"/>
      <c r="FQ448" s="32"/>
      <c r="FR448" s="32"/>
      <c r="FS448" s="32"/>
      <c r="FT448" s="32"/>
      <c r="FU448" s="32"/>
      <c r="FV448" s="32"/>
      <c r="FW448" s="32"/>
      <c r="FX448" s="32"/>
      <c r="FY448" s="32"/>
      <c r="FZ448" s="32"/>
      <c r="GA448" s="32"/>
      <c r="GB448" s="32"/>
      <c r="GC448" s="32"/>
      <c r="GD448" s="32"/>
      <c r="GE448" s="32"/>
      <c r="GF448" s="32"/>
      <c r="GG448" s="32"/>
      <c r="GH448" s="32"/>
      <c r="GI448" s="32"/>
      <c r="GJ448" s="32"/>
      <c r="GK448" s="32"/>
      <c r="GL448" s="32"/>
      <c r="GM448" s="32"/>
      <c r="GN448" s="32"/>
      <c r="GO448" s="32"/>
      <c r="GP448" s="32"/>
      <c r="GQ448" s="32"/>
      <c r="GR448" s="32"/>
      <c r="GS448" s="32"/>
      <c r="GT448" s="32"/>
      <c r="GU448" s="32"/>
      <c r="GV448" s="32"/>
      <c r="GW448" s="32"/>
      <c r="GX448" s="32"/>
      <c r="GY448" s="32"/>
      <c r="GZ448" s="32"/>
      <c r="HA448" s="32"/>
      <c r="HB448" s="32"/>
      <c r="HC448" s="32"/>
      <c r="HD448" s="32"/>
      <c r="HE448" s="32"/>
      <c r="HF448" s="32"/>
      <c r="HG448" s="32"/>
      <c r="HH448" s="32"/>
      <c r="HI448" s="32"/>
      <c r="HJ448" s="32"/>
      <c r="HK448" s="32"/>
      <c r="HL448" s="32"/>
      <c r="HM448" s="32"/>
      <c r="HN448" s="32"/>
      <c r="HO448" s="32"/>
      <c r="HP448" s="32"/>
    </row>
    <row r="449" spans="1:224" x14ac:dyDescent="0.25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  <c r="BD449" s="32"/>
      <c r="BE449" s="32"/>
      <c r="BF449" s="32"/>
      <c r="BG449" s="32"/>
      <c r="BH449" s="32"/>
      <c r="BI449" s="32"/>
      <c r="BJ449" s="32"/>
      <c r="BK449" s="32"/>
      <c r="BL449" s="32"/>
      <c r="BM449" s="32"/>
      <c r="BN449" s="32"/>
      <c r="BO449" s="32"/>
      <c r="BP449" s="32"/>
      <c r="BQ449" s="32"/>
      <c r="BR449" s="32"/>
      <c r="BS449" s="32"/>
      <c r="BT449" s="32"/>
      <c r="BU449" s="32"/>
      <c r="BV449" s="32"/>
      <c r="BW449" s="32"/>
      <c r="BX449" s="32"/>
      <c r="BY449" s="32"/>
      <c r="BZ449" s="32"/>
      <c r="CA449" s="32"/>
      <c r="CB449" s="32"/>
      <c r="CC449" s="32"/>
      <c r="CD449" s="32"/>
      <c r="CE449" s="32"/>
      <c r="CF449" s="32"/>
      <c r="CG449" s="32"/>
      <c r="CH449" s="32"/>
      <c r="CI449" s="32"/>
      <c r="CJ449" s="32"/>
      <c r="CK449" s="32"/>
      <c r="CL449" s="32"/>
      <c r="CM449" s="32"/>
      <c r="CN449" s="32"/>
      <c r="CO449" s="32"/>
      <c r="CP449" s="32"/>
      <c r="CQ449" s="32"/>
      <c r="CR449" s="32"/>
      <c r="CS449" s="32"/>
      <c r="CT449" s="32"/>
      <c r="CU449" s="32"/>
      <c r="CV449" s="32"/>
      <c r="CW449" s="32"/>
      <c r="CX449" s="32"/>
      <c r="CY449" s="32"/>
      <c r="CZ449" s="32"/>
      <c r="DA449" s="32"/>
      <c r="DB449" s="32"/>
      <c r="DC449" s="32"/>
      <c r="DD449" s="32"/>
      <c r="DE449" s="32"/>
      <c r="DF449" s="32"/>
      <c r="DG449" s="32"/>
      <c r="DH449" s="32"/>
      <c r="DI449" s="32"/>
      <c r="DJ449" s="32"/>
      <c r="DK449" s="32"/>
      <c r="DL449" s="32"/>
      <c r="DM449" s="32"/>
      <c r="DN449" s="32"/>
      <c r="DO449" s="32"/>
      <c r="DP449" s="32"/>
      <c r="DQ449" s="32"/>
      <c r="DR449" s="32"/>
      <c r="DS449" s="32"/>
      <c r="DT449" s="32"/>
      <c r="DU449" s="32"/>
      <c r="DV449" s="32"/>
      <c r="DW449" s="32"/>
      <c r="DX449" s="32"/>
      <c r="DY449" s="32"/>
      <c r="DZ449" s="32"/>
      <c r="EA449" s="32"/>
      <c r="EB449" s="32"/>
      <c r="EC449" s="32"/>
      <c r="ED449" s="32"/>
      <c r="EE449" s="32"/>
      <c r="EF449" s="32"/>
      <c r="EG449" s="32"/>
      <c r="EH449" s="32"/>
      <c r="EI449" s="32"/>
      <c r="EJ449" s="32"/>
      <c r="EK449" s="32"/>
      <c r="EL449" s="32"/>
      <c r="EM449" s="32"/>
      <c r="EN449" s="32"/>
      <c r="EO449" s="32"/>
      <c r="EP449" s="32"/>
      <c r="EQ449" s="32"/>
      <c r="ER449" s="32"/>
      <c r="ES449" s="32"/>
      <c r="ET449" s="32"/>
      <c r="EU449" s="32"/>
      <c r="EV449" s="32"/>
      <c r="EW449" s="32"/>
      <c r="EX449" s="32"/>
      <c r="EY449" s="32"/>
      <c r="EZ449" s="32"/>
      <c r="FA449" s="32"/>
      <c r="FB449" s="32"/>
      <c r="FC449" s="32"/>
      <c r="FD449" s="32"/>
      <c r="FE449" s="32"/>
      <c r="FF449" s="32"/>
      <c r="FG449" s="32"/>
      <c r="FH449" s="32"/>
      <c r="FI449" s="32"/>
      <c r="FJ449" s="32"/>
      <c r="FK449" s="32"/>
      <c r="FL449" s="32"/>
      <c r="FM449" s="32"/>
      <c r="FN449" s="32"/>
      <c r="FO449" s="32"/>
      <c r="FP449" s="32"/>
      <c r="FQ449" s="32"/>
      <c r="FR449" s="32"/>
      <c r="FS449" s="32"/>
      <c r="FT449" s="32"/>
      <c r="FU449" s="32"/>
      <c r="FV449" s="32"/>
      <c r="FW449" s="32"/>
      <c r="FX449" s="32"/>
      <c r="FY449" s="32"/>
      <c r="FZ449" s="32"/>
      <c r="GA449" s="32"/>
      <c r="GB449" s="32"/>
      <c r="GC449" s="32"/>
      <c r="GD449" s="32"/>
      <c r="GE449" s="32"/>
      <c r="GF449" s="32"/>
      <c r="GG449" s="32"/>
      <c r="GH449" s="32"/>
      <c r="GI449" s="32"/>
      <c r="GJ449" s="32"/>
      <c r="GK449" s="32"/>
      <c r="GL449" s="32"/>
      <c r="GM449" s="32"/>
      <c r="GN449" s="32"/>
      <c r="GO449" s="32"/>
      <c r="GP449" s="32"/>
      <c r="GQ449" s="32"/>
      <c r="GR449" s="32"/>
      <c r="GS449" s="32"/>
      <c r="GT449" s="32"/>
      <c r="GU449" s="32"/>
      <c r="GV449" s="32"/>
      <c r="GW449" s="32"/>
      <c r="GX449" s="32"/>
      <c r="GY449" s="32"/>
      <c r="GZ449" s="32"/>
      <c r="HA449" s="32"/>
      <c r="HB449" s="32"/>
      <c r="HC449" s="32"/>
      <c r="HD449" s="32"/>
      <c r="HE449" s="32"/>
      <c r="HF449" s="32"/>
      <c r="HG449" s="32"/>
      <c r="HH449" s="32"/>
      <c r="HI449" s="32"/>
      <c r="HJ449" s="32"/>
      <c r="HK449" s="32"/>
      <c r="HL449" s="32"/>
      <c r="HM449" s="32"/>
      <c r="HN449" s="32"/>
      <c r="HO449" s="32"/>
      <c r="HP449" s="32"/>
    </row>
    <row r="450" spans="1:224" x14ac:dyDescent="0.25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  <c r="BE450" s="32"/>
      <c r="BF450" s="32"/>
      <c r="BG450" s="32"/>
      <c r="BH450" s="32"/>
      <c r="BI450" s="32"/>
      <c r="BJ450" s="32"/>
      <c r="BK450" s="32"/>
      <c r="BL450" s="32"/>
      <c r="BM450" s="32"/>
      <c r="BN450" s="32"/>
      <c r="BO450" s="32"/>
      <c r="BP450" s="32"/>
      <c r="BQ450" s="32"/>
      <c r="BR450" s="32"/>
      <c r="BS450" s="32"/>
      <c r="BT450" s="32"/>
      <c r="BU450" s="32"/>
      <c r="BV450" s="32"/>
      <c r="BW450" s="32"/>
      <c r="BX450" s="32"/>
      <c r="BY450" s="32"/>
      <c r="BZ450" s="32"/>
      <c r="CA450" s="32"/>
      <c r="CB450" s="32"/>
      <c r="CC450" s="32"/>
      <c r="CD450" s="32"/>
      <c r="CE450" s="32"/>
      <c r="CF450" s="32"/>
      <c r="CG450" s="32"/>
      <c r="CH450" s="32"/>
      <c r="CI450" s="32"/>
      <c r="CJ450" s="32"/>
      <c r="CK450" s="32"/>
      <c r="CL450" s="32"/>
      <c r="CM450" s="32"/>
      <c r="CN450" s="32"/>
      <c r="CO450" s="32"/>
      <c r="CP450" s="32"/>
      <c r="CQ450" s="32"/>
      <c r="CR450" s="32"/>
      <c r="CS450" s="32"/>
      <c r="CT450" s="32"/>
      <c r="CU450" s="32"/>
      <c r="CV450" s="32"/>
      <c r="CW450" s="32"/>
      <c r="CX450" s="32"/>
      <c r="CY450" s="32"/>
      <c r="CZ450" s="32"/>
      <c r="DA450" s="32"/>
      <c r="DB450" s="32"/>
      <c r="DC450" s="32"/>
      <c r="DD450" s="32"/>
      <c r="DE450" s="32"/>
      <c r="DF450" s="32"/>
      <c r="DG450" s="32"/>
      <c r="DH450" s="32"/>
      <c r="DI450" s="32"/>
      <c r="DJ450" s="32"/>
      <c r="DK450" s="32"/>
      <c r="DL450" s="32"/>
      <c r="DM450" s="32"/>
      <c r="DN450" s="32"/>
      <c r="DO450" s="32"/>
      <c r="DP450" s="32"/>
      <c r="DQ450" s="32"/>
      <c r="DR450" s="32"/>
      <c r="DS450" s="32"/>
      <c r="DT450" s="32"/>
      <c r="DU450" s="32"/>
      <c r="DV450" s="32"/>
      <c r="DW450" s="32"/>
      <c r="DX450" s="32"/>
      <c r="DY450" s="32"/>
      <c r="DZ450" s="32"/>
      <c r="EA450" s="32"/>
      <c r="EB450" s="32"/>
      <c r="EC450" s="32"/>
      <c r="ED450" s="32"/>
      <c r="EE450" s="32"/>
      <c r="EF450" s="32"/>
      <c r="EG450" s="32"/>
      <c r="EH450" s="32"/>
      <c r="EI450" s="32"/>
      <c r="EJ450" s="32"/>
      <c r="EK450" s="32"/>
      <c r="EL450" s="32"/>
      <c r="EM450" s="32"/>
      <c r="EN450" s="32"/>
      <c r="EO450" s="32"/>
      <c r="EP450" s="32"/>
      <c r="EQ450" s="32"/>
      <c r="ER450" s="32"/>
      <c r="ES450" s="32"/>
      <c r="ET450" s="32"/>
      <c r="EU450" s="32"/>
      <c r="EV450" s="32"/>
      <c r="EW450" s="32"/>
      <c r="EX450" s="32"/>
      <c r="EY450" s="32"/>
      <c r="EZ450" s="32"/>
      <c r="FA450" s="32"/>
      <c r="FB450" s="32"/>
      <c r="FC450" s="32"/>
      <c r="FD450" s="32"/>
      <c r="FE450" s="32"/>
      <c r="FF450" s="32"/>
      <c r="FG450" s="32"/>
      <c r="FH450" s="32"/>
      <c r="FI450" s="32"/>
      <c r="FJ450" s="32"/>
      <c r="FK450" s="32"/>
      <c r="FL450" s="32"/>
      <c r="FM450" s="32"/>
      <c r="FN450" s="32"/>
      <c r="FO450" s="32"/>
      <c r="FP450" s="32"/>
      <c r="FQ450" s="32"/>
      <c r="FR450" s="32"/>
      <c r="FS450" s="32"/>
      <c r="FT450" s="32"/>
      <c r="FU450" s="32"/>
      <c r="FV450" s="32"/>
      <c r="FW450" s="32"/>
      <c r="FX450" s="32"/>
      <c r="FY450" s="32"/>
      <c r="FZ450" s="32"/>
      <c r="GA450" s="32"/>
      <c r="GB450" s="32"/>
      <c r="GC450" s="32"/>
      <c r="GD450" s="32"/>
      <c r="GE450" s="32"/>
      <c r="GF450" s="32"/>
      <c r="GG450" s="32"/>
      <c r="GH450" s="32"/>
      <c r="GI450" s="32"/>
      <c r="GJ450" s="32"/>
      <c r="GK450" s="32"/>
      <c r="GL450" s="32"/>
      <c r="GM450" s="32"/>
      <c r="GN450" s="32"/>
      <c r="GO450" s="32"/>
      <c r="GP450" s="32"/>
      <c r="GQ450" s="32"/>
      <c r="GR450" s="32"/>
      <c r="GS450" s="32"/>
      <c r="GT450" s="32"/>
      <c r="GU450" s="32"/>
      <c r="GV450" s="32"/>
      <c r="GW450" s="32"/>
      <c r="GX450" s="32"/>
      <c r="GY450" s="32"/>
      <c r="GZ450" s="32"/>
      <c r="HA450" s="32"/>
      <c r="HB450" s="32"/>
      <c r="HC450" s="32"/>
      <c r="HD450" s="32"/>
      <c r="HE450" s="32"/>
      <c r="HF450" s="32"/>
      <c r="HG450" s="32"/>
      <c r="HH450" s="32"/>
      <c r="HI450" s="32"/>
      <c r="HJ450" s="32"/>
      <c r="HK450" s="32"/>
      <c r="HL450" s="32"/>
      <c r="HM450" s="32"/>
      <c r="HN450" s="32"/>
      <c r="HO450" s="32"/>
      <c r="HP450" s="32"/>
    </row>
    <row r="451" spans="1:224" x14ac:dyDescent="0.25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  <c r="BE451" s="32"/>
      <c r="BF451" s="32"/>
      <c r="BG451" s="32"/>
      <c r="BH451" s="32"/>
      <c r="BI451" s="32"/>
      <c r="BJ451" s="32"/>
      <c r="BK451" s="32"/>
      <c r="BL451" s="32"/>
      <c r="BM451" s="32"/>
      <c r="BN451" s="32"/>
      <c r="BO451" s="32"/>
      <c r="BP451" s="32"/>
      <c r="BQ451" s="32"/>
      <c r="BR451" s="32"/>
      <c r="BS451" s="32"/>
      <c r="BT451" s="32"/>
      <c r="BU451" s="32"/>
      <c r="BV451" s="32"/>
      <c r="BW451" s="32"/>
      <c r="BX451" s="32"/>
      <c r="BY451" s="32"/>
      <c r="BZ451" s="32"/>
      <c r="CA451" s="32"/>
      <c r="CB451" s="32"/>
      <c r="CC451" s="32"/>
      <c r="CD451" s="32"/>
      <c r="CE451" s="32"/>
      <c r="CF451" s="32"/>
      <c r="CG451" s="32"/>
      <c r="CH451" s="32"/>
      <c r="CI451" s="32"/>
      <c r="CJ451" s="32"/>
      <c r="CK451" s="32"/>
      <c r="CL451" s="32"/>
      <c r="CM451" s="32"/>
      <c r="CN451" s="32"/>
      <c r="CO451" s="32"/>
      <c r="CP451" s="32"/>
      <c r="CQ451" s="32"/>
      <c r="CR451" s="32"/>
      <c r="CS451" s="32"/>
      <c r="CT451" s="32"/>
      <c r="CU451" s="32"/>
      <c r="CV451" s="32"/>
      <c r="CW451" s="32"/>
      <c r="CX451" s="32"/>
      <c r="CY451" s="32"/>
      <c r="CZ451" s="32"/>
      <c r="DA451" s="32"/>
      <c r="DB451" s="32"/>
      <c r="DC451" s="32"/>
      <c r="DD451" s="32"/>
      <c r="DE451" s="32"/>
      <c r="DF451" s="32"/>
      <c r="DG451" s="32"/>
      <c r="DH451" s="32"/>
      <c r="DI451" s="32"/>
      <c r="DJ451" s="32"/>
      <c r="DK451" s="32"/>
      <c r="DL451" s="32"/>
      <c r="DM451" s="32"/>
      <c r="DN451" s="32"/>
      <c r="DO451" s="32"/>
      <c r="DP451" s="32"/>
      <c r="DQ451" s="32"/>
      <c r="DR451" s="32"/>
      <c r="DS451" s="32"/>
      <c r="DT451" s="32"/>
      <c r="DU451" s="32"/>
      <c r="DV451" s="32"/>
      <c r="DW451" s="32"/>
      <c r="DX451" s="32"/>
      <c r="DY451" s="32"/>
      <c r="DZ451" s="32"/>
      <c r="EA451" s="32"/>
      <c r="EB451" s="32"/>
      <c r="EC451" s="32"/>
      <c r="ED451" s="32"/>
      <c r="EE451" s="32"/>
      <c r="EF451" s="32"/>
      <c r="EG451" s="32"/>
      <c r="EH451" s="32"/>
      <c r="EI451" s="32"/>
      <c r="EJ451" s="32"/>
      <c r="EK451" s="32"/>
      <c r="EL451" s="32"/>
      <c r="EM451" s="32"/>
      <c r="EN451" s="32"/>
      <c r="EO451" s="32"/>
      <c r="EP451" s="32"/>
      <c r="EQ451" s="32"/>
      <c r="ER451" s="32"/>
      <c r="ES451" s="32"/>
      <c r="ET451" s="32"/>
      <c r="EU451" s="32"/>
      <c r="EV451" s="32"/>
      <c r="EW451" s="32"/>
      <c r="EX451" s="32"/>
      <c r="EY451" s="32"/>
      <c r="EZ451" s="32"/>
      <c r="FA451" s="32"/>
      <c r="FB451" s="32"/>
      <c r="FC451" s="32"/>
      <c r="FD451" s="32"/>
      <c r="FE451" s="32"/>
      <c r="FF451" s="32"/>
      <c r="FG451" s="32"/>
      <c r="FH451" s="32"/>
      <c r="FI451" s="32"/>
      <c r="FJ451" s="32"/>
      <c r="FK451" s="32"/>
      <c r="FL451" s="32"/>
      <c r="FM451" s="32"/>
      <c r="FN451" s="32"/>
      <c r="FO451" s="32"/>
      <c r="FP451" s="32"/>
      <c r="FQ451" s="32"/>
      <c r="FR451" s="32"/>
      <c r="FS451" s="32"/>
      <c r="FT451" s="32"/>
      <c r="FU451" s="32"/>
      <c r="FV451" s="32"/>
      <c r="FW451" s="32"/>
      <c r="FX451" s="32"/>
      <c r="FY451" s="32"/>
      <c r="FZ451" s="32"/>
      <c r="GA451" s="32"/>
      <c r="GB451" s="32"/>
      <c r="GC451" s="32"/>
      <c r="GD451" s="32"/>
      <c r="GE451" s="32"/>
      <c r="GF451" s="32"/>
      <c r="GG451" s="32"/>
      <c r="GH451" s="32"/>
      <c r="GI451" s="32"/>
      <c r="GJ451" s="32"/>
      <c r="GK451" s="32"/>
      <c r="GL451" s="32"/>
      <c r="GM451" s="32"/>
      <c r="GN451" s="32"/>
      <c r="GO451" s="32"/>
      <c r="GP451" s="32"/>
      <c r="GQ451" s="32"/>
      <c r="GR451" s="32"/>
      <c r="GS451" s="32"/>
      <c r="GT451" s="32"/>
      <c r="GU451" s="32"/>
      <c r="GV451" s="32"/>
      <c r="GW451" s="32"/>
      <c r="GX451" s="32"/>
      <c r="GY451" s="32"/>
      <c r="GZ451" s="32"/>
      <c r="HA451" s="32"/>
      <c r="HB451" s="32"/>
      <c r="HC451" s="32"/>
      <c r="HD451" s="32"/>
      <c r="HE451" s="32"/>
      <c r="HF451" s="32"/>
      <c r="HG451" s="32"/>
      <c r="HH451" s="32"/>
      <c r="HI451" s="32"/>
      <c r="HJ451" s="32"/>
      <c r="HK451" s="32"/>
      <c r="HL451" s="32"/>
      <c r="HM451" s="32"/>
      <c r="HN451" s="32"/>
      <c r="HO451" s="32"/>
      <c r="HP451" s="32"/>
    </row>
    <row r="452" spans="1:224" x14ac:dyDescent="0.25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  <c r="BE452" s="32"/>
      <c r="BF452" s="32"/>
      <c r="BG452" s="32"/>
      <c r="BH452" s="32"/>
      <c r="BI452" s="32"/>
      <c r="BJ452" s="32"/>
      <c r="BK452" s="32"/>
      <c r="BL452" s="32"/>
      <c r="BM452" s="32"/>
      <c r="BN452" s="32"/>
      <c r="BO452" s="32"/>
      <c r="BP452" s="32"/>
      <c r="BQ452" s="32"/>
      <c r="BR452" s="32"/>
      <c r="BS452" s="32"/>
      <c r="BT452" s="32"/>
      <c r="BU452" s="32"/>
      <c r="BV452" s="32"/>
      <c r="BW452" s="32"/>
      <c r="BX452" s="32"/>
      <c r="BY452" s="32"/>
      <c r="BZ452" s="32"/>
      <c r="CA452" s="32"/>
      <c r="CB452" s="32"/>
      <c r="CC452" s="32"/>
      <c r="CD452" s="32"/>
      <c r="CE452" s="32"/>
      <c r="CF452" s="32"/>
      <c r="CG452" s="32"/>
      <c r="CH452" s="32"/>
      <c r="CI452" s="32"/>
      <c r="CJ452" s="32"/>
      <c r="CK452" s="32"/>
      <c r="CL452" s="32"/>
      <c r="CM452" s="32"/>
      <c r="CN452" s="32"/>
      <c r="CO452" s="32"/>
      <c r="CP452" s="32"/>
      <c r="CQ452" s="32"/>
      <c r="CR452" s="32"/>
      <c r="CS452" s="32"/>
      <c r="CT452" s="32"/>
      <c r="CU452" s="32"/>
      <c r="CV452" s="32"/>
      <c r="CW452" s="32"/>
      <c r="CX452" s="32"/>
      <c r="CY452" s="32"/>
      <c r="CZ452" s="32"/>
      <c r="DA452" s="32"/>
      <c r="DB452" s="32"/>
      <c r="DC452" s="32"/>
      <c r="DD452" s="32"/>
      <c r="DE452" s="32"/>
      <c r="DF452" s="32"/>
      <c r="DG452" s="32"/>
      <c r="DH452" s="32"/>
      <c r="DI452" s="32"/>
      <c r="DJ452" s="32"/>
      <c r="DK452" s="32"/>
      <c r="DL452" s="32"/>
      <c r="DM452" s="32"/>
      <c r="DN452" s="32"/>
      <c r="DO452" s="32"/>
      <c r="DP452" s="32"/>
      <c r="DQ452" s="32"/>
      <c r="DR452" s="32"/>
      <c r="DS452" s="32"/>
      <c r="DT452" s="32"/>
      <c r="DU452" s="32"/>
      <c r="DV452" s="32"/>
      <c r="DW452" s="32"/>
      <c r="DX452" s="32"/>
      <c r="DY452" s="32"/>
      <c r="DZ452" s="32"/>
      <c r="EA452" s="32"/>
      <c r="EB452" s="32"/>
      <c r="EC452" s="32"/>
      <c r="ED452" s="32"/>
      <c r="EE452" s="32"/>
      <c r="EF452" s="32"/>
      <c r="EG452" s="32"/>
      <c r="EH452" s="32"/>
      <c r="EI452" s="32"/>
      <c r="EJ452" s="32"/>
      <c r="EK452" s="32"/>
      <c r="EL452" s="32"/>
      <c r="EM452" s="32"/>
      <c r="EN452" s="32"/>
      <c r="EO452" s="32"/>
      <c r="EP452" s="32"/>
      <c r="EQ452" s="32"/>
      <c r="ER452" s="32"/>
      <c r="ES452" s="32"/>
      <c r="ET452" s="32"/>
      <c r="EU452" s="32"/>
      <c r="EV452" s="32"/>
      <c r="EW452" s="32"/>
      <c r="EX452" s="32"/>
      <c r="EY452" s="32"/>
      <c r="EZ452" s="32"/>
      <c r="FA452" s="32"/>
      <c r="FB452" s="32"/>
      <c r="FC452" s="32"/>
      <c r="FD452" s="32"/>
      <c r="FE452" s="32"/>
      <c r="FF452" s="32"/>
      <c r="FG452" s="32"/>
      <c r="FH452" s="32"/>
      <c r="FI452" s="32"/>
      <c r="FJ452" s="32"/>
      <c r="FK452" s="32"/>
      <c r="FL452" s="32"/>
      <c r="FM452" s="32"/>
      <c r="FN452" s="32"/>
      <c r="FO452" s="32"/>
      <c r="FP452" s="32"/>
      <c r="FQ452" s="32"/>
      <c r="FR452" s="32"/>
      <c r="FS452" s="32"/>
      <c r="FT452" s="32"/>
      <c r="FU452" s="32"/>
      <c r="FV452" s="32"/>
      <c r="FW452" s="32"/>
      <c r="FX452" s="32"/>
      <c r="FY452" s="32"/>
      <c r="FZ452" s="32"/>
      <c r="GA452" s="32"/>
      <c r="GB452" s="32"/>
      <c r="GC452" s="32"/>
      <c r="GD452" s="32"/>
      <c r="GE452" s="32"/>
      <c r="GF452" s="32"/>
      <c r="GG452" s="32"/>
      <c r="GH452" s="32"/>
      <c r="GI452" s="32"/>
      <c r="GJ452" s="32"/>
      <c r="GK452" s="32"/>
      <c r="GL452" s="32"/>
      <c r="GM452" s="32"/>
      <c r="GN452" s="32"/>
      <c r="GO452" s="32"/>
      <c r="GP452" s="32"/>
      <c r="GQ452" s="32"/>
      <c r="GR452" s="32"/>
      <c r="GS452" s="32"/>
      <c r="GT452" s="32"/>
      <c r="GU452" s="32"/>
      <c r="GV452" s="32"/>
      <c r="GW452" s="32"/>
      <c r="GX452" s="32"/>
      <c r="GY452" s="32"/>
      <c r="GZ452" s="32"/>
      <c r="HA452" s="32"/>
      <c r="HB452" s="32"/>
      <c r="HC452" s="32"/>
      <c r="HD452" s="32"/>
      <c r="HE452" s="32"/>
      <c r="HF452" s="32"/>
      <c r="HG452" s="32"/>
      <c r="HH452" s="32"/>
      <c r="HI452" s="32"/>
      <c r="HJ452" s="32"/>
      <c r="HK452" s="32"/>
      <c r="HL452" s="32"/>
      <c r="HM452" s="32"/>
      <c r="HN452" s="32"/>
      <c r="HO452" s="32"/>
      <c r="HP452" s="32"/>
    </row>
    <row r="453" spans="1:224" x14ac:dyDescent="0.25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  <c r="BE453" s="32"/>
      <c r="BF453" s="32"/>
      <c r="BG453" s="32"/>
      <c r="BH453" s="32"/>
      <c r="BI453" s="32"/>
      <c r="BJ453" s="32"/>
      <c r="BK453" s="32"/>
      <c r="BL453" s="32"/>
      <c r="BM453" s="32"/>
      <c r="BN453" s="32"/>
      <c r="BO453" s="32"/>
      <c r="BP453" s="32"/>
      <c r="BQ453" s="32"/>
      <c r="BR453" s="32"/>
      <c r="BS453" s="32"/>
      <c r="BT453" s="32"/>
      <c r="BU453" s="32"/>
      <c r="BV453" s="32"/>
      <c r="BW453" s="32"/>
      <c r="BX453" s="32"/>
      <c r="BY453" s="32"/>
      <c r="BZ453" s="32"/>
      <c r="CA453" s="32"/>
      <c r="CB453" s="32"/>
      <c r="CC453" s="32"/>
      <c r="CD453" s="32"/>
      <c r="CE453" s="32"/>
      <c r="CF453" s="32"/>
      <c r="CG453" s="32"/>
      <c r="CH453" s="32"/>
      <c r="CI453" s="32"/>
      <c r="CJ453" s="32"/>
      <c r="CK453" s="32"/>
      <c r="CL453" s="32"/>
      <c r="CM453" s="32"/>
      <c r="CN453" s="32"/>
      <c r="CO453" s="32"/>
      <c r="CP453" s="32"/>
      <c r="CQ453" s="32"/>
      <c r="CR453" s="32"/>
      <c r="CS453" s="32"/>
      <c r="CT453" s="32"/>
      <c r="CU453" s="32"/>
      <c r="CV453" s="32"/>
      <c r="CW453" s="32"/>
      <c r="CX453" s="32"/>
      <c r="CY453" s="32"/>
      <c r="CZ453" s="32"/>
      <c r="DA453" s="32"/>
      <c r="DB453" s="32"/>
      <c r="DC453" s="32"/>
      <c r="DD453" s="32"/>
      <c r="DE453" s="32"/>
      <c r="DF453" s="32"/>
      <c r="DG453" s="32"/>
      <c r="DH453" s="32"/>
      <c r="DI453" s="32"/>
      <c r="DJ453" s="32"/>
      <c r="DK453" s="32"/>
      <c r="DL453" s="32"/>
      <c r="DM453" s="32"/>
      <c r="DN453" s="32"/>
      <c r="DO453" s="32"/>
      <c r="DP453" s="32"/>
      <c r="DQ453" s="32"/>
      <c r="DR453" s="32"/>
      <c r="DS453" s="32"/>
      <c r="DT453" s="32"/>
      <c r="DU453" s="32"/>
      <c r="DV453" s="32"/>
      <c r="DW453" s="32"/>
      <c r="DX453" s="32"/>
      <c r="DY453" s="32"/>
      <c r="DZ453" s="32"/>
      <c r="EA453" s="32"/>
      <c r="EB453" s="32"/>
      <c r="EC453" s="32"/>
      <c r="ED453" s="32"/>
      <c r="EE453" s="32"/>
      <c r="EF453" s="32"/>
      <c r="EG453" s="32"/>
      <c r="EH453" s="32"/>
      <c r="EI453" s="32"/>
      <c r="EJ453" s="32"/>
      <c r="EK453" s="32"/>
      <c r="EL453" s="32"/>
      <c r="EM453" s="32"/>
      <c r="EN453" s="32"/>
      <c r="EO453" s="32"/>
      <c r="EP453" s="32"/>
      <c r="EQ453" s="32"/>
      <c r="ER453" s="32"/>
      <c r="ES453" s="32"/>
      <c r="ET453" s="32"/>
      <c r="EU453" s="32"/>
      <c r="EV453" s="32"/>
      <c r="EW453" s="32"/>
      <c r="EX453" s="32"/>
      <c r="EY453" s="32"/>
      <c r="EZ453" s="32"/>
      <c r="FA453" s="32"/>
      <c r="FB453" s="32"/>
      <c r="FC453" s="32"/>
      <c r="FD453" s="32"/>
      <c r="FE453" s="32"/>
      <c r="FF453" s="32"/>
      <c r="FG453" s="32"/>
      <c r="FH453" s="32"/>
      <c r="FI453" s="32"/>
      <c r="FJ453" s="32"/>
      <c r="FK453" s="32"/>
      <c r="FL453" s="32"/>
      <c r="FM453" s="32"/>
      <c r="FN453" s="32"/>
      <c r="FO453" s="32"/>
      <c r="FP453" s="32"/>
      <c r="FQ453" s="32"/>
      <c r="FR453" s="32"/>
      <c r="FS453" s="32"/>
      <c r="FT453" s="32"/>
      <c r="FU453" s="32"/>
      <c r="FV453" s="32"/>
      <c r="FW453" s="32"/>
      <c r="FX453" s="32"/>
      <c r="FY453" s="32"/>
      <c r="FZ453" s="32"/>
      <c r="GA453" s="32"/>
      <c r="GB453" s="32"/>
      <c r="GC453" s="32"/>
      <c r="GD453" s="32"/>
      <c r="GE453" s="32"/>
      <c r="GF453" s="32"/>
      <c r="GG453" s="32"/>
      <c r="GH453" s="32"/>
      <c r="GI453" s="32"/>
      <c r="GJ453" s="32"/>
      <c r="GK453" s="32"/>
      <c r="GL453" s="32"/>
      <c r="GM453" s="32"/>
      <c r="GN453" s="32"/>
      <c r="GO453" s="32"/>
      <c r="GP453" s="32"/>
      <c r="GQ453" s="32"/>
      <c r="GR453" s="32"/>
      <c r="GS453" s="32"/>
      <c r="GT453" s="32"/>
      <c r="GU453" s="32"/>
      <c r="GV453" s="32"/>
      <c r="GW453" s="32"/>
      <c r="GX453" s="32"/>
      <c r="GY453" s="32"/>
      <c r="GZ453" s="32"/>
      <c r="HA453" s="32"/>
      <c r="HB453" s="32"/>
      <c r="HC453" s="32"/>
      <c r="HD453" s="32"/>
      <c r="HE453" s="32"/>
      <c r="HF453" s="32"/>
      <c r="HG453" s="32"/>
      <c r="HH453" s="32"/>
      <c r="HI453" s="32"/>
      <c r="HJ453" s="32"/>
      <c r="HK453" s="32"/>
      <c r="HL453" s="32"/>
      <c r="HM453" s="32"/>
      <c r="HN453" s="32"/>
      <c r="HO453" s="32"/>
      <c r="HP453" s="32"/>
    </row>
    <row r="454" spans="1:224" x14ac:dyDescent="0.25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  <c r="BE454" s="32"/>
      <c r="BF454" s="32"/>
      <c r="BG454" s="32"/>
      <c r="BH454" s="32"/>
      <c r="BI454" s="32"/>
      <c r="BJ454" s="32"/>
      <c r="BK454" s="32"/>
      <c r="BL454" s="32"/>
      <c r="BM454" s="32"/>
      <c r="BN454" s="32"/>
      <c r="BO454" s="32"/>
      <c r="BP454" s="32"/>
      <c r="BQ454" s="32"/>
      <c r="BR454" s="32"/>
      <c r="BS454" s="32"/>
      <c r="BT454" s="32"/>
      <c r="BU454" s="32"/>
      <c r="BV454" s="32"/>
      <c r="BW454" s="32"/>
      <c r="BX454" s="32"/>
      <c r="BY454" s="32"/>
      <c r="BZ454" s="32"/>
      <c r="CA454" s="32"/>
      <c r="CB454" s="32"/>
      <c r="CC454" s="32"/>
      <c r="CD454" s="32"/>
      <c r="CE454" s="32"/>
      <c r="CF454" s="32"/>
      <c r="CG454" s="32"/>
      <c r="CH454" s="32"/>
      <c r="CI454" s="32"/>
      <c r="CJ454" s="32"/>
      <c r="CK454" s="32"/>
      <c r="CL454" s="32"/>
      <c r="CM454" s="32"/>
      <c r="CN454" s="32"/>
      <c r="CO454" s="32"/>
      <c r="CP454" s="32"/>
      <c r="CQ454" s="32"/>
      <c r="CR454" s="32"/>
      <c r="CS454" s="32"/>
      <c r="CT454" s="32"/>
      <c r="CU454" s="32"/>
      <c r="CV454" s="32"/>
      <c r="CW454" s="32"/>
      <c r="CX454" s="32"/>
      <c r="CY454" s="32"/>
      <c r="CZ454" s="32"/>
      <c r="DA454" s="32"/>
      <c r="DB454" s="32"/>
      <c r="DC454" s="32"/>
      <c r="DD454" s="32"/>
      <c r="DE454" s="32"/>
      <c r="DF454" s="32"/>
      <c r="DG454" s="32"/>
      <c r="DH454" s="32"/>
      <c r="DI454" s="32"/>
      <c r="DJ454" s="32"/>
      <c r="DK454" s="32"/>
      <c r="DL454" s="32"/>
      <c r="DM454" s="32"/>
      <c r="DN454" s="32"/>
      <c r="DO454" s="32"/>
      <c r="DP454" s="32"/>
      <c r="DQ454" s="32"/>
      <c r="DR454" s="32"/>
      <c r="DS454" s="32"/>
      <c r="DT454" s="32"/>
      <c r="DU454" s="32"/>
      <c r="DV454" s="32"/>
      <c r="DW454" s="32"/>
      <c r="DX454" s="32"/>
      <c r="DY454" s="32"/>
      <c r="DZ454" s="32"/>
      <c r="EA454" s="32"/>
      <c r="EB454" s="32"/>
      <c r="EC454" s="32"/>
      <c r="ED454" s="32"/>
      <c r="EE454" s="32"/>
      <c r="EF454" s="32"/>
      <c r="EG454" s="32"/>
      <c r="EH454" s="32"/>
      <c r="EI454" s="32"/>
      <c r="EJ454" s="32"/>
      <c r="EK454" s="32"/>
      <c r="EL454" s="32"/>
      <c r="EM454" s="32"/>
      <c r="EN454" s="32"/>
      <c r="EO454" s="32"/>
      <c r="EP454" s="32"/>
      <c r="EQ454" s="32"/>
      <c r="ER454" s="32"/>
      <c r="ES454" s="32"/>
      <c r="ET454" s="32"/>
      <c r="EU454" s="32"/>
      <c r="EV454" s="32"/>
      <c r="EW454" s="32"/>
      <c r="EX454" s="32"/>
      <c r="EY454" s="32"/>
      <c r="EZ454" s="32"/>
      <c r="FA454" s="32"/>
      <c r="FB454" s="32"/>
      <c r="FC454" s="32"/>
      <c r="FD454" s="32"/>
      <c r="FE454" s="32"/>
      <c r="FF454" s="32"/>
      <c r="FG454" s="32"/>
      <c r="FH454" s="32"/>
      <c r="FI454" s="32"/>
      <c r="FJ454" s="32"/>
      <c r="FK454" s="32"/>
      <c r="FL454" s="32"/>
      <c r="FM454" s="32"/>
      <c r="FN454" s="32"/>
      <c r="FO454" s="32"/>
      <c r="FP454" s="32"/>
      <c r="FQ454" s="32"/>
      <c r="FR454" s="32"/>
      <c r="FS454" s="32"/>
      <c r="FT454" s="32"/>
      <c r="FU454" s="32"/>
      <c r="FV454" s="32"/>
      <c r="FW454" s="32"/>
      <c r="FX454" s="32"/>
      <c r="FY454" s="32"/>
      <c r="FZ454" s="32"/>
      <c r="GA454" s="32"/>
      <c r="GB454" s="32"/>
      <c r="GC454" s="32"/>
      <c r="GD454" s="32"/>
      <c r="GE454" s="32"/>
      <c r="GF454" s="32"/>
      <c r="GG454" s="32"/>
      <c r="GH454" s="32"/>
      <c r="GI454" s="32"/>
      <c r="GJ454" s="32"/>
      <c r="GK454" s="32"/>
      <c r="GL454" s="32"/>
      <c r="GM454" s="32"/>
      <c r="GN454" s="32"/>
      <c r="GO454" s="32"/>
      <c r="GP454" s="32"/>
      <c r="GQ454" s="32"/>
      <c r="GR454" s="32"/>
      <c r="GS454" s="32"/>
      <c r="GT454" s="32"/>
      <c r="GU454" s="32"/>
      <c r="GV454" s="32"/>
      <c r="GW454" s="32"/>
      <c r="GX454" s="32"/>
      <c r="GY454" s="32"/>
      <c r="GZ454" s="32"/>
      <c r="HA454" s="32"/>
      <c r="HB454" s="32"/>
      <c r="HC454" s="32"/>
      <c r="HD454" s="32"/>
      <c r="HE454" s="32"/>
      <c r="HF454" s="32"/>
      <c r="HG454" s="32"/>
      <c r="HH454" s="32"/>
      <c r="HI454" s="32"/>
      <c r="HJ454" s="32"/>
      <c r="HK454" s="32"/>
      <c r="HL454" s="32"/>
      <c r="HM454" s="32"/>
      <c r="HN454" s="32"/>
      <c r="HO454" s="32"/>
      <c r="HP454" s="32"/>
    </row>
    <row r="455" spans="1:224" x14ac:dyDescent="0.2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2"/>
      <c r="BF455" s="32"/>
      <c r="BG455" s="32"/>
      <c r="BH455" s="32"/>
      <c r="BI455" s="32"/>
      <c r="BJ455" s="32"/>
      <c r="BK455" s="32"/>
      <c r="BL455" s="32"/>
      <c r="BM455" s="32"/>
      <c r="BN455" s="32"/>
      <c r="BO455" s="32"/>
      <c r="BP455" s="32"/>
      <c r="BQ455" s="32"/>
      <c r="BR455" s="32"/>
      <c r="BS455" s="32"/>
      <c r="BT455" s="32"/>
      <c r="BU455" s="32"/>
      <c r="BV455" s="32"/>
      <c r="BW455" s="32"/>
      <c r="BX455" s="32"/>
      <c r="BY455" s="32"/>
      <c r="BZ455" s="32"/>
      <c r="CA455" s="32"/>
      <c r="CB455" s="32"/>
      <c r="CC455" s="32"/>
      <c r="CD455" s="32"/>
      <c r="CE455" s="32"/>
      <c r="CF455" s="32"/>
      <c r="CG455" s="32"/>
      <c r="CH455" s="32"/>
      <c r="CI455" s="32"/>
      <c r="CJ455" s="32"/>
      <c r="CK455" s="32"/>
      <c r="CL455" s="32"/>
      <c r="CM455" s="32"/>
      <c r="CN455" s="32"/>
      <c r="CO455" s="32"/>
      <c r="CP455" s="32"/>
      <c r="CQ455" s="32"/>
      <c r="CR455" s="32"/>
      <c r="CS455" s="32"/>
      <c r="CT455" s="32"/>
      <c r="CU455" s="32"/>
      <c r="CV455" s="32"/>
      <c r="CW455" s="32"/>
      <c r="CX455" s="32"/>
      <c r="CY455" s="32"/>
      <c r="CZ455" s="32"/>
      <c r="DA455" s="32"/>
      <c r="DB455" s="32"/>
      <c r="DC455" s="32"/>
      <c r="DD455" s="32"/>
      <c r="DE455" s="32"/>
      <c r="DF455" s="32"/>
      <c r="DG455" s="32"/>
      <c r="DH455" s="32"/>
      <c r="DI455" s="32"/>
      <c r="DJ455" s="32"/>
      <c r="DK455" s="32"/>
      <c r="DL455" s="32"/>
      <c r="DM455" s="32"/>
      <c r="DN455" s="32"/>
      <c r="DO455" s="32"/>
      <c r="DP455" s="32"/>
      <c r="DQ455" s="32"/>
      <c r="DR455" s="32"/>
      <c r="DS455" s="32"/>
      <c r="DT455" s="32"/>
      <c r="DU455" s="32"/>
      <c r="DV455" s="32"/>
      <c r="DW455" s="32"/>
      <c r="DX455" s="32"/>
      <c r="DY455" s="32"/>
      <c r="DZ455" s="32"/>
      <c r="EA455" s="32"/>
      <c r="EB455" s="32"/>
      <c r="EC455" s="32"/>
      <c r="ED455" s="32"/>
      <c r="EE455" s="32"/>
      <c r="EF455" s="32"/>
      <c r="EG455" s="32"/>
      <c r="EH455" s="32"/>
      <c r="EI455" s="32"/>
      <c r="EJ455" s="32"/>
      <c r="EK455" s="32"/>
      <c r="EL455" s="32"/>
      <c r="EM455" s="32"/>
      <c r="EN455" s="32"/>
      <c r="EO455" s="32"/>
      <c r="EP455" s="32"/>
      <c r="EQ455" s="32"/>
      <c r="ER455" s="32"/>
      <c r="ES455" s="32"/>
      <c r="ET455" s="32"/>
      <c r="EU455" s="32"/>
      <c r="EV455" s="32"/>
      <c r="EW455" s="32"/>
      <c r="EX455" s="32"/>
      <c r="EY455" s="32"/>
      <c r="EZ455" s="32"/>
      <c r="FA455" s="32"/>
      <c r="FB455" s="32"/>
      <c r="FC455" s="32"/>
      <c r="FD455" s="32"/>
      <c r="FE455" s="32"/>
      <c r="FF455" s="32"/>
      <c r="FG455" s="32"/>
      <c r="FH455" s="32"/>
      <c r="FI455" s="32"/>
      <c r="FJ455" s="32"/>
      <c r="FK455" s="32"/>
      <c r="FL455" s="32"/>
      <c r="FM455" s="32"/>
      <c r="FN455" s="32"/>
      <c r="FO455" s="32"/>
      <c r="FP455" s="32"/>
      <c r="FQ455" s="32"/>
      <c r="FR455" s="32"/>
      <c r="FS455" s="32"/>
      <c r="FT455" s="32"/>
      <c r="FU455" s="32"/>
      <c r="FV455" s="32"/>
      <c r="FW455" s="32"/>
      <c r="FX455" s="32"/>
      <c r="FY455" s="32"/>
      <c r="FZ455" s="32"/>
      <c r="GA455" s="32"/>
      <c r="GB455" s="32"/>
      <c r="GC455" s="32"/>
      <c r="GD455" s="32"/>
      <c r="GE455" s="32"/>
      <c r="GF455" s="32"/>
      <c r="GG455" s="32"/>
      <c r="GH455" s="32"/>
      <c r="GI455" s="32"/>
      <c r="GJ455" s="32"/>
      <c r="GK455" s="32"/>
      <c r="GL455" s="32"/>
      <c r="GM455" s="32"/>
      <c r="GN455" s="32"/>
      <c r="GO455" s="32"/>
      <c r="GP455" s="32"/>
      <c r="GQ455" s="32"/>
      <c r="GR455" s="32"/>
      <c r="GS455" s="32"/>
      <c r="GT455" s="32"/>
      <c r="GU455" s="32"/>
      <c r="GV455" s="32"/>
      <c r="GW455" s="32"/>
      <c r="GX455" s="32"/>
      <c r="GY455" s="32"/>
      <c r="GZ455" s="32"/>
      <c r="HA455" s="32"/>
      <c r="HB455" s="32"/>
      <c r="HC455" s="32"/>
      <c r="HD455" s="32"/>
      <c r="HE455" s="32"/>
      <c r="HF455" s="32"/>
      <c r="HG455" s="32"/>
      <c r="HH455" s="32"/>
      <c r="HI455" s="32"/>
      <c r="HJ455" s="32"/>
      <c r="HK455" s="32"/>
      <c r="HL455" s="32"/>
      <c r="HM455" s="32"/>
      <c r="HN455" s="32"/>
      <c r="HO455" s="32"/>
      <c r="HP455" s="32"/>
    </row>
    <row r="456" spans="1:224" x14ac:dyDescent="0.25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  <c r="BE456" s="32"/>
      <c r="BF456" s="32"/>
      <c r="BG456" s="32"/>
      <c r="BH456" s="32"/>
      <c r="BI456" s="32"/>
      <c r="BJ456" s="32"/>
      <c r="BK456" s="32"/>
      <c r="BL456" s="32"/>
      <c r="BM456" s="32"/>
      <c r="BN456" s="32"/>
      <c r="BO456" s="32"/>
      <c r="BP456" s="32"/>
      <c r="BQ456" s="32"/>
      <c r="BR456" s="32"/>
      <c r="BS456" s="32"/>
      <c r="BT456" s="32"/>
      <c r="BU456" s="32"/>
      <c r="BV456" s="32"/>
      <c r="BW456" s="32"/>
      <c r="BX456" s="32"/>
      <c r="BY456" s="32"/>
      <c r="BZ456" s="32"/>
      <c r="CA456" s="32"/>
      <c r="CB456" s="32"/>
      <c r="CC456" s="32"/>
      <c r="CD456" s="32"/>
      <c r="CE456" s="32"/>
      <c r="CF456" s="32"/>
      <c r="CG456" s="32"/>
      <c r="CH456" s="32"/>
      <c r="CI456" s="32"/>
      <c r="CJ456" s="32"/>
      <c r="CK456" s="32"/>
      <c r="CL456" s="32"/>
      <c r="CM456" s="32"/>
      <c r="CN456" s="32"/>
      <c r="CO456" s="32"/>
      <c r="CP456" s="32"/>
      <c r="CQ456" s="32"/>
      <c r="CR456" s="32"/>
      <c r="CS456" s="32"/>
      <c r="CT456" s="32"/>
      <c r="CU456" s="32"/>
      <c r="CV456" s="32"/>
      <c r="CW456" s="32"/>
      <c r="CX456" s="32"/>
      <c r="CY456" s="32"/>
      <c r="CZ456" s="32"/>
      <c r="DA456" s="32"/>
      <c r="DB456" s="32"/>
      <c r="DC456" s="32"/>
      <c r="DD456" s="32"/>
      <c r="DE456" s="32"/>
      <c r="DF456" s="32"/>
      <c r="DG456" s="32"/>
      <c r="DH456" s="32"/>
      <c r="DI456" s="32"/>
      <c r="DJ456" s="32"/>
      <c r="DK456" s="32"/>
      <c r="DL456" s="32"/>
      <c r="DM456" s="32"/>
      <c r="DN456" s="32"/>
      <c r="DO456" s="32"/>
      <c r="DP456" s="32"/>
      <c r="DQ456" s="32"/>
      <c r="DR456" s="32"/>
      <c r="DS456" s="32"/>
      <c r="DT456" s="32"/>
      <c r="DU456" s="32"/>
      <c r="DV456" s="32"/>
      <c r="DW456" s="32"/>
      <c r="DX456" s="32"/>
      <c r="DY456" s="32"/>
      <c r="DZ456" s="32"/>
      <c r="EA456" s="32"/>
      <c r="EB456" s="32"/>
      <c r="EC456" s="32"/>
      <c r="ED456" s="32"/>
      <c r="EE456" s="32"/>
      <c r="EF456" s="32"/>
      <c r="EG456" s="32"/>
      <c r="EH456" s="32"/>
      <c r="EI456" s="32"/>
      <c r="EJ456" s="32"/>
      <c r="EK456" s="32"/>
      <c r="EL456" s="32"/>
      <c r="EM456" s="32"/>
      <c r="EN456" s="32"/>
      <c r="EO456" s="32"/>
      <c r="EP456" s="32"/>
      <c r="EQ456" s="32"/>
      <c r="ER456" s="32"/>
      <c r="ES456" s="32"/>
      <c r="ET456" s="32"/>
      <c r="EU456" s="32"/>
      <c r="EV456" s="32"/>
      <c r="EW456" s="32"/>
      <c r="EX456" s="32"/>
      <c r="EY456" s="32"/>
      <c r="EZ456" s="32"/>
      <c r="FA456" s="32"/>
      <c r="FB456" s="32"/>
      <c r="FC456" s="32"/>
      <c r="FD456" s="32"/>
      <c r="FE456" s="32"/>
      <c r="FF456" s="32"/>
      <c r="FG456" s="32"/>
      <c r="FH456" s="32"/>
      <c r="FI456" s="32"/>
      <c r="FJ456" s="32"/>
      <c r="FK456" s="32"/>
      <c r="FL456" s="32"/>
      <c r="FM456" s="32"/>
      <c r="FN456" s="32"/>
      <c r="FO456" s="32"/>
      <c r="FP456" s="32"/>
      <c r="FQ456" s="32"/>
      <c r="FR456" s="32"/>
      <c r="FS456" s="32"/>
      <c r="FT456" s="32"/>
      <c r="FU456" s="32"/>
      <c r="FV456" s="32"/>
      <c r="FW456" s="32"/>
      <c r="FX456" s="32"/>
      <c r="FY456" s="32"/>
      <c r="FZ456" s="32"/>
      <c r="GA456" s="32"/>
      <c r="GB456" s="32"/>
      <c r="GC456" s="32"/>
      <c r="GD456" s="32"/>
      <c r="GE456" s="32"/>
      <c r="GF456" s="32"/>
      <c r="GG456" s="32"/>
      <c r="GH456" s="32"/>
      <c r="GI456" s="32"/>
      <c r="GJ456" s="32"/>
      <c r="GK456" s="32"/>
      <c r="GL456" s="32"/>
      <c r="GM456" s="32"/>
      <c r="GN456" s="32"/>
      <c r="GO456" s="32"/>
      <c r="GP456" s="32"/>
      <c r="GQ456" s="32"/>
      <c r="GR456" s="32"/>
      <c r="GS456" s="32"/>
      <c r="GT456" s="32"/>
      <c r="GU456" s="32"/>
      <c r="GV456" s="32"/>
      <c r="GW456" s="32"/>
      <c r="GX456" s="32"/>
      <c r="GY456" s="32"/>
      <c r="GZ456" s="32"/>
      <c r="HA456" s="32"/>
      <c r="HB456" s="32"/>
      <c r="HC456" s="32"/>
      <c r="HD456" s="32"/>
      <c r="HE456" s="32"/>
      <c r="HF456" s="32"/>
      <c r="HG456" s="32"/>
      <c r="HH456" s="32"/>
      <c r="HI456" s="32"/>
      <c r="HJ456" s="32"/>
      <c r="HK456" s="32"/>
      <c r="HL456" s="32"/>
      <c r="HM456" s="32"/>
      <c r="HN456" s="32"/>
      <c r="HO456" s="32"/>
      <c r="HP456" s="32"/>
    </row>
    <row r="457" spans="1:224" x14ac:dyDescent="0.25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  <c r="BE457" s="32"/>
      <c r="BF457" s="32"/>
      <c r="BG457" s="32"/>
      <c r="BH457" s="32"/>
      <c r="BI457" s="32"/>
      <c r="BJ457" s="32"/>
      <c r="BK457" s="32"/>
      <c r="BL457" s="32"/>
      <c r="BM457" s="32"/>
      <c r="BN457" s="32"/>
      <c r="BO457" s="32"/>
      <c r="BP457" s="32"/>
      <c r="BQ457" s="32"/>
      <c r="BR457" s="32"/>
      <c r="BS457" s="32"/>
      <c r="BT457" s="32"/>
      <c r="BU457" s="32"/>
      <c r="BV457" s="32"/>
      <c r="BW457" s="32"/>
      <c r="BX457" s="32"/>
      <c r="BY457" s="32"/>
      <c r="BZ457" s="32"/>
      <c r="CA457" s="32"/>
      <c r="CB457" s="32"/>
      <c r="CC457" s="32"/>
      <c r="CD457" s="32"/>
      <c r="CE457" s="32"/>
      <c r="CF457" s="32"/>
      <c r="CG457" s="32"/>
      <c r="CH457" s="32"/>
      <c r="CI457" s="32"/>
      <c r="CJ457" s="32"/>
      <c r="CK457" s="32"/>
      <c r="CL457" s="32"/>
      <c r="CM457" s="32"/>
      <c r="CN457" s="32"/>
      <c r="CO457" s="32"/>
      <c r="CP457" s="32"/>
      <c r="CQ457" s="32"/>
      <c r="CR457" s="32"/>
      <c r="CS457" s="32"/>
      <c r="CT457" s="32"/>
      <c r="CU457" s="32"/>
      <c r="CV457" s="32"/>
      <c r="CW457" s="32"/>
      <c r="CX457" s="32"/>
      <c r="CY457" s="32"/>
      <c r="CZ457" s="32"/>
      <c r="DA457" s="32"/>
      <c r="DB457" s="32"/>
      <c r="DC457" s="32"/>
      <c r="DD457" s="32"/>
      <c r="DE457" s="32"/>
      <c r="DF457" s="32"/>
      <c r="DG457" s="32"/>
      <c r="DH457" s="32"/>
      <c r="DI457" s="32"/>
      <c r="DJ457" s="32"/>
      <c r="DK457" s="32"/>
      <c r="DL457" s="32"/>
      <c r="DM457" s="32"/>
      <c r="DN457" s="32"/>
      <c r="DO457" s="32"/>
      <c r="DP457" s="32"/>
      <c r="DQ457" s="32"/>
      <c r="DR457" s="32"/>
      <c r="DS457" s="32"/>
      <c r="DT457" s="32"/>
      <c r="DU457" s="32"/>
      <c r="DV457" s="32"/>
      <c r="DW457" s="32"/>
      <c r="DX457" s="32"/>
      <c r="DY457" s="32"/>
      <c r="DZ457" s="32"/>
      <c r="EA457" s="32"/>
      <c r="EB457" s="32"/>
      <c r="EC457" s="32"/>
      <c r="ED457" s="32"/>
      <c r="EE457" s="32"/>
      <c r="EF457" s="32"/>
      <c r="EG457" s="32"/>
      <c r="EH457" s="32"/>
      <c r="EI457" s="32"/>
      <c r="EJ457" s="32"/>
      <c r="EK457" s="32"/>
      <c r="EL457" s="32"/>
      <c r="EM457" s="32"/>
      <c r="EN457" s="32"/>
      <c r="EO457" s="32"/>
      <c r="EP457" s="32"/>
      <c r="EQ457" s="32"/>
      <c r="ER457" s="32"/>
      <c r="ES457" s="32"/>
      <c r="ET457" s="32"/>
      <c r="EU457" s="32"/>
      <c r="EV457" s="32"/>
      <c r="EW457" s="32"/>
      <c r="EX457" s="32"/>
      <c r="EY457" s="32"/>
      <c r="EZ457" s="32"/>
      <c r="FA457" s="32"/>
      <c r="FB457" s="32"/>
      <c r="FC457" s="32"/>
      <c r="FD457" s="32"/>
      <c r="FE457" s="32"/>
      <c r="FF457" s="32"/>
      <c r="FG457" s="32"/>
      <c r="FH457" s="32"/>
      <c r="FI457" s="32"/>
      <c r="FJ457" s="32"/>
      <c r="FK457" s="32"/>
      <c r="FL457" s="32"/>
      <c r="FM457" s="32"/>
      <c r="FN457" s="32"/>
      <c r="FO457" s="32"/>
      <c r="FP457" s="32"/>
      <c r="FQ457" s="32"/>
      <c r="FR457" s="32"/>
      <c r="FS457" s="32"/>
      <c r="FT457" s="32"/>
      <c r="FU457" s="32"/>
      <c r="FV457" s="32"/>
      <c r="FW457" s="32"/>
      <c r="FX457" s="32"/>
      <c r="FY457" s="32"/>
      <c r="FZ457" s="32"/>
      <c r="GA457" s="32"/>
      <c r="GB457" s="32"/>
      <c r="GC457" s="32"/>
      <c r="GD457" s="32"/>
      <c r="GE457" s="32"/>
      <c r="GF457" s="32"/>
      <c r="GG457" s="32"/>
      <c r="GH457" s="32"/>
      <c r="GI457" s="32"/>
      <c r="GJ457" s="32"/>
      <c r="GK457" s="32"/>
      <c r="GL457" s="32"/>
      <c r="GM457" s="32"/>
      <c r="GN457" s="32"/>
      <c r="GO457" s="32"/>
      <c r="GP457" s="32"/>
      <c r="GQ457" s="32"/>
      <c r="GR457" s="32"/>
      <c r="GS457" s="32"/>
      <c r="GT457" s="32"/>
      <c r="GU457" s="32"/>
      <c r="GV457" s="32"/>
      <c r="GW457" s="32"/>
      <c r="GX457" s="32"/>
      <c r="GY457" s="32"/>
      <c r="GZ457" s="32"/>
      <c r="HA457" s="32"/>
      <c r="HB457" s="32"/>
      <c r="HC457" s="32"/>
      <c r="HD457" s="32"/>
      <c r="HE457" s="32"/>
      <c r="HF457" s="32"/>
      <c r="HG457" s="32"/>
      <c r="HH457" s="32"/>
      <c r="HI457" s="32"/>
      <c r="HJ457" s="32"/>
      <c r="HK457" s="32"/>
      <c r="HL457" s="32"/>
      <c r="HM457" s="32"/>
      <c r="HN457" s="32"/>
      <c r="HO457" s="32"/>
      <c r="HP457" s="32"/>
    </row>
    <row r="458" spans="1:224" x14ac:dyDescent="0.25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2"/>
      <c r="BF458" s="32"/>
      <c r="BG458" s="32"/>
      <c r="BH458" s="32"/>
      <c r="BI458" s="32"/>
      <c r="BJ458" s="32"/>
      <c r="BK458" s="32"/>
      <c r="BL458" s="32"/>
      <c r="BM458" s="32"/>
      <c r="BN458" s="32"/>
      <c r="BO458" s="32"/>
      <c r="BP458" s="32"/>
      <c r="BQ458" s="32"/>
      <c r="BR458" s="32"/>
      <c r="BS458" s="32"/>
      <c r="BT458" s="32"/>
      <c r="BU458" s="32"/>
      <c r="BV458" s="32"/>
      <c r="BW458" s="32"/>
      <c r="BX458" s="32"/>
      <c r="BY458" s="32"/>
      <c r="BZ458" s="32"/>
      <c r="CA458" s="32"/>
      <c r="CB458" s="32"/>
      <c r="CC458" s="32"/>
      <c r="CD458" s="32"/>
      <c r="CE458" s="32"/>
      <c r="CF458" s="32"/>
      <c r="CG458" s="32"/>
      <c r="CH458" s="32"/>
      <c r="CI458" s="32"/>
      <c r="CJ458" s="32"/>
      <c r="CK458" s="32"/>
      <c r="CL458" s="32"/>
      <c r="CM458" s="32"/>
      <c r="CN458" s="32"/>
      <c r="CO458" s="32"/>
      <c r="CP458" s="32"/>
      <c r="CQ458" s="32"/>
      <c r="CR458" s="32"/>
      <c r="CS458" s="32"/>
      <c r="CT458" s="32"/>
      <c r="CU458" s="32"/>
      <c r="CV458" s="32"/>
      <c r="CW458" s="32"/>
      <c r="CX458" s="32"/>
      <c r="CY458" s="32"/>
      <c r="CZ458" s="32"/>
      <c r="DA458" s="32"/>
      <c r="DB458" s="32"/>
      <c r="DC458" s="32"/>
      <c r="DD458" s="32"/>
      <c r="DE458" s="32"/>
      <c r="DF458" s="32"/>
      <c r="DG458" s="32"/>
      <c r="DH458" s="32"/>
      <c r="DI458" s="32"/>
      <c r="DJ458" s="32"/>
      <c r="DK458" s="32"/>
      <c r="DL458" s="32"/>
      <c r="DM458" s="32"/>
      <c r="DN458" s="32"/>
      <c r="DO458" s="32"/>
      <c r="DP458" s="32"/>
      <c r="DQ458" s="32"/>
      <c r="DR458" s="32"/>
      <c r="DS458" s="32"/>
      <c r="DT458" s="32"/>
      <c r="DU458" s="32"/>
      <c r="DV458" s="32"/>
      <c r="DW458" s="32"/>
      <c r="DX458" s="32"/>
      <c r="DY458" s="32"/>
      <c r="DZ458" s="32"/>
      <c r="EA458" s="32"/>
      <c r="EB458" s="32"/>
      <c r="EC458" s="32"/>
      <c r="ED458" s="32"/>
      <c r="EE458" s="32"/>
      <c r="EF458" s="32"/>
      <c r="EG458" s="32"/>
      <c r="EH458" s="32"/>
      <c r="EI458" s="32"/>
      <c r="EJ458" s="32"/>
      <c r="EK458" s="32"/>
      <c r="EL458" s="32"/>
      <c r="EM458" s="32"/>
      <c r="EN458" s="32"/>
      <c r="EO458" s="32"/>
      <c r="EP458" s="32"/>
      <c r="EQ458" s="32"/>
      <c r="ER458" s="32"/>
      <c r="ES458" s="32"/>
      <c r="ET458" s="32"/>
      <c r="EU458" s="32"/>
      <c r="EV458" s="32"/>
      <c r="EW458" s="32"/>
      <c r="EX458" s="32"/>
      <c r="EY458" s="32"/>
      <c r="EZ458" s="32"/>
      <c r="FA458" s="32"/>
      <c r="FB458" s="32"/>
      <c r="FC458" s="32"/>
      <c r="FD458" s="32"/>
      <c r="FE458" s="32"/>
      <c r="FF458" s="32"/>
      <c r="FG458" s="32"/>
      <c r="FH458" s="32"/>
      <c r="FI458" s="32"/>
      <c r="FJ458" s="32"/>
      <c r="FK458" s="32"/>
      <c r="FL458" s="32"/>
      <c r="FM458" s="32"/>
      <c r="FN458" s="32"/>
      <c r="FO458" s="32"/>
      <c r="FP458" s="32"/>
      <c r="FQ458" s="32"/>
      <c r="FR458" s="32"/>
      <c r="FS458" s="32"/>
      <c r="FT458" s="32"/>
      <c r="FU458" s="32"/>
      <c r="FV458" s="32"/>
      <c r="FW458" s="32"/>
      <c r="FX458" s="32"/>
      <c r="FY458" s="32"/>
      <c r="FZ458" s="32"/>
      <c r="GA458" s="32"/>
      <c r="GB458" s="32"/>
      <c r="GC458" s="32"/>
      <c r="GD458" s="32"/>
      <c r="GE458" s="32"/>
      <c r="GF458" s="32"/>
      <c r="GG458" s="32"/>
      <c r="GH458" s="32"/>
      <c r="GI458" s="32"/>
      <c r="GJ458" s="32"/>
      <c r="GK458" s="32"/>
      <c r="GL458" s="32"/>
      <c r="GM458" s="32"/>
      <c r="GN458" s="32"/>
      <c r="GO458" s="32"/>
      <c r="GP458" s="32"/>
      <c r="GQ458" s="32"/>
      <c r="GR458" s="32"/>
      <c r="GS458" s="32"/>
      <c r="GT458" s="32"/>
      <c r="GU458" s="32"/>
      <c r="GV458" s="32"/>
      <c r="GW458" s="32"/>
      <c r="GX458" s="32"/>
      <c r="GY458" s="32"/>
      <c r="GZ458" s="32"/>
      <c r="HA458" s="32"/>
      <c r="HB458" s="32"/>
      <c r="HC458" s="32"/>
      <c r="HD458" s="32"/>
      <c r="HE458" s="32"/>
      <c r="HF458" s="32"/>
      <c r="HG458" s="32"/>
      <c r="HH458" s="32"/>
      <c r="HI458" s="32"/>
      <c r="HJ458" s="32"/>
      <c r="HK458" s="32"/>
      <c r="HL458" s="32"/>
      <c r="HM458" s="32"/>
      <c r="HN458" s="32"/>
      <c r="HO458" s="32"/>
      <c r="HP458" s="32"/>
    </row>
    <row r="459" spans="1:224" x14ac:dyDescent="0.25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  <c r="BE459" s="32"/>
      <c r="BF459" s="32"/>
      <c r="BG459" s="32"/>
      <c r="BH459" s="32"/>
      <c r="BI459" s="32"/>
      <c r="BJ459" s="32"/>
      <c r="BK459" s="32"/>
      <c r="BL459" s="32"/>
      <c r="BM459" s="32"/>
      <c r="BN459" s="32"/>
      <c r="BO459" s="32"/>
      <c r="BP459" s="32"/>
      <c r="BQ459" s="32"/>
      <c r="BR459" s="32"/>
      <c r="BS459" s="32"/>
      <c r="BT459" s="32"/>
      <c r="BU459" s="32"/>
      <c r="BV459" s="32"/>
      <c r="BW459" s="32"/>
      <c r="BX459" s="32"/>
      <c r="BY459" s="32"/>
      <c r="BZ459" s="32"/>
      <c r="CA459" s="32"/>
      <c r="CB459" s="32"/>
      <c r="CC459" s="32"/>
      <c r="CD459" s="32"/>
      <c r="CE459" s="32"/>
      <c r="CF459" s="32"/>
      <c r="CG459" s="32"/>
      <c r="CH459" s="32"/>
      <c r="CI459" s="32"/>
      <c r="CJ459" s="32"/>
      <c r="CK459" s="32"/>
      <c r="CL459" s="32"/>
      <c r="CM459" s="32"/>
      <c r="CN459" s="32"/>
      <c r="CO459" s="32"/>
      <c r="CP459" s="32"/>
      <c r="CQ459" s="32"/>
      <c r="CR459" s="32"/>
      <c r="CS459" s="32"/>
      <c r="CT459" s="32"/>
      <c r="CU459" s="32"/>
      <c r="CV459" s="32"/>
      <c r="CW459" s="32"/>
      <c r="CX459" s="32"/>
      <c r="CY459" s="32"/>
      <c r="CZ459" s="32"/>
      <c r="DA459" s="32"/>
      <c r="DB459" s="32"/>
      <c r="DC459" s="32"/>
      <c r="DD459" s="32"/>
      <c r="DE459" s="32"/>
      <c r="DF459" s="32"/>
      <c r="DG459" s="32"/>
      <c r="DH459" s="32"/>
      <c r="DI459" s="32"/>
      <c r="DJ459" s="32"/>
      <c r="DK459" s="32"/>
      <c r="DL459" s="32"/>
      <c r="DM459" s="32"/>
      <c r="DN459" s="32"/>
      <c r="DO459" s="32"/>
      <c r="DP459" s="32"/>
      <c r="DQ459" s="32"/>
      <c r="DR459" s="32"/>
      <c r="DS459" s="32"/>
      <c r="DT459" s="32"/>
      <c r="DU459" s="32"/>
      <c r="DV459" s="32"/>
      <c r="DW459" s="32"/>
      <c r="DX459" s="32"/>
      <c r="DY459" s="32"/>
      <c r="DZ459" s="32"/>
      <c r="EA459" s="32"/>
      <c r="EB459" s="32"/>
      <c r="EC459" s="32"/>
      <c r="ED459" s="32"/>
      <c r="EE459" s="32"/>
      <c r="EF459" s="32"/>
      <c r="EG459" s="32"/>
      <c r="EH459" s="32"/>
      <c r="EI459" s="32"/>
      <c r="EJ459" s="32"/>
      <c r="EK459" s="32"/>
      <c r="EL459" s="32"/>
      <c r="EM459" s="32"/>
      <c r="EN459" s="32"/>
      <c r="EO459" s="32"/>
      <c r="EP459" s="32"/>
      <c r="EQ459" s="32"/>
      <c r="ER459" s="32"/>
      <c r="ES459" s="32"/>
      <c r="ET459" s="32"/>
      <c r="EU459" s="32"/>
      <c r="EV459" s="32"/>
      <c r="EW459" s="32"/>
      <c r="EX459" s="32"/>
      <c r="EY459" s="32"/>
      <c r="EZ459" s="32"/>
      <c r="FA459" s="32"/>
      <c r="FB459" s="32"/>
      <c r="FC459" s="32"/>
      <c r="FD459" s="32"/>
      <c r="FE459" s="32"/>
      <c r="FF459" s="32"/>
      <c r="FG459" s="32"/>
      <c r="FH459" s="32"/>
      <c r="FI459" s="32"/>
      <c r="FJ459" s="32"/>
      <c r="FK459" s="32"/>
      <c r="FL459" s="32"/>
      <c r="FM459" s="32"/>
      <c r="FN459" s="32"/>
      <c r="FO459" s="32"/>
      <c r="FP459" s="32"/>
      <c r="FQ459" s="32"/>
      <c r="FR459" s="32"/>
      <c r="FS459" s="32"/>
      <c r="FT459" s="32"/>
      <c r="FU459" s="32"/>
      <c r="FV459" s="32"/>
      <c r="FW459" s="32"/>
      <c r="FX459" s="32"/>
      <c r="FY459" s="32"/>
      <c r="FZ459" s="32"/>
      <c r="GA459" s="32"/>
      <c r="GB459" s="32"/>
      <c r="GC459" s="32"/>
      <c r="GD459" s="32"/>
      <c r="GE459" s="32"/>
      <c r="GF459" s="32"/>
      <c r="GG459" s="32"/>
      <c r="GH459" s="32"/>
      <c r="GI459" s="32"/>
      <c r="GJ459" s="32"/>
      <c r="GK459" s="32"/>
      <c r="GL459" s="32"/>
      <c r="GM459" s="32"/>
      <c r="GN459" s="32"/>
      <c r="GO459" s="32"/>
      <c r="GP459" s="32"/>
      <c r="GQ459" s="32"/>
      <c r="GR459" s="32"/>
      <c r="GS459" s="32"/>
      <c r="GT459" s="32"/>
      <c r="GU459" s="32"/>
      <c r="GV459" s="32"/>
      <c r="GW459" s="32"/>
      <c r="GX459" s="32"/>
      <c r="GY459" s="32"/>
      <c r="GZ459" s="32"/>
      <c r="HA459" s="32"/>
      <c r="HB459" s="32"/>
      <c r="HC459" s="32"/>
      <c r="HD459" s="32"/>
      <c r="HE459" s="32"/>
      <c r="HF459" s="32"/>
      <c r="HG459" s="32"/>
      <c r="HH459" s="32"/>
      <c r="HI459" s="32"/>
      <c r="HJ459" s="32"/>
      <c r="HK459" s="32"/>
      <c r="HL459" s="32"/>
      <c r="HM459" s="32"/>
      <c r="HN459" s="32"/>
      <c r="HO459" s="32"/>
      <c r="HP459" s="32"/>
    </row>
    <row r="460" spans="1:224" x14ac:dyDescent="0.25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  <c r="BG460" s="32"/>
      <c r="BH460" s="32"/>
      <c r="BI460" s="32"/>
      <c r="BJ460" s="32"/>
      <c r="BK460" s="32"/>
      <c r="BL460" s="32"/>
      <c r="BM460" s="32"/>
      <c r="BN460" s="32"/>
      <c r="BO460" s="32"/>
      <c r="BP460" s="32"/>
      <c r="BQ460" s="32"/>
      <c r="BR460" s="32"/>
      <c r="BS460" s="32"/>
      <c r="BT460" s="32"/>
      <c r="BU460" s="32"/>
      <c r="BV460" s="32"/>
      <c r="BW460" s="32"/>
      <c r="BX460" s="32"/>
      <c r="BY460" s="32"/>
      <c r="BZ460" s="32"/>
      <c r="CA460" s="32"/>
      <c r="CB460" s="32"/>
      <c r="CC460" s="32"/>
      <c r="CD460" s="32"/>
      <c r="CE460" s="32"/>
      <c r="CF460" s="32"/>
      <c r="CG460" s="32"/>
      <c r="CH460" s="32"/>
      <c r="CI460" s="32"/>
      <c r="CJ460" s="32"/>
      <c r="CK460" s="32"/>
      <c r="CL460" s="32"/>
      <c r="CM460" s="32"/>
      <c r="CN460" s="32"/>
      <c r="CO460" s="32"/>
      <c r="CP460" s="32"/>
      <c r="CQ460" s="32"/>
      <c r="CR460" s="32"/>
      <c r="CS460" s="32"/>
      <c r="CT460" s="32"/>
      <c r="CU460" s="32"/>
      <c r="CV460" s="32"/>
      <c r="CW460" s="32"/>
      <c r="CX460" s="32"/>
      <c r="CY460" s="32"/>
      <c r="CZ460" s="32"/>
      <c r="DA460" s="32"/>
      <c r="DB460" s="32"/>
      <c r="DC460" s="32"/>
      <c r="DD460" s="32"/>
      <c r="DE460" s="32"/>
      <c r="DF460" s="32"/>
      <c r="DG460" s="32"/>
      <c r="DH460" s="32"/>
      <c r="DI460" s="32"/>
      <c r="DJ460" s="32"/>
      <c r="DK460" s="32"/>
      <c r="DL460" s="32"/>
      <c r="DM460" s="32"/>
      <c r="DN460" s="32"/>
      <c r="DO460" s="32"/>
      <c r="DP460" s="32"/>
      <c r="DQ460" s="32"/>
      <c r="DR460" s="32"/>
      <c r="DS460" s="32"/>
      <c r="DT460" s="32"/>
      <c r="DU460" s="32"/>
      <c r="DV460" s="32"/>
      <c r="DW460" s="32"/>
      <c r="DX460" s="32"/>
      <c r="DY460" s="32"/>
      <c r="DZ460" s="32"/>
      <c r="EA460" s="32"/>
      <c r="EB460" s="32"/>
      <c r="EC460" s="32"/>
      <c r="ED460" s="32"/>
      <c r="EE460" s="32"/>
      <c r="EF460" s="32"/>
      <c r="EG460" s="32"/>
      <c r="EH460" s="32"/>
      <c r="EI460" s="32"/>
      <c r="EJ460" s="32"/>
      <c r="EK460" s="32"/>
      <c r="EL460" s="32"/>
      <c r="EM460" s="32"/>
      <c r="EN460" s="32"/>
      <c r="EO460" s="32"/>
      <c r="EP460" s="32"/>
      <c r="EQ460" s="32"/>
      <c r="ER460" s="32"/>
      <c r="ES460" s="32"/>
      <c r="ET460" s="32"/>
      <c r="EU460" s="32"/>
      <c r="EV460" s="32"/>
      <c r="EW460" s="32"/>
      <c r="EX460" s="32"/>
      <c r="EY460" s="32"/>
      <c r="EZ460" s="32"/>
      <c r="FA460" s="32"/>
      <c r="FB460" s="32"/>
      <c r="FC460" s="32"/>
      <c r="FD460" s="32"/>
      <c r="FE460" s="32"/>
      <c r="FF460" s="32"/>
      <c r="FG460" s="32"/>
      <c r="FH460" s="32"/>
      <c r="FI460" s="32"/>
      <c r="FJ460" s="32"/>
      <c r="FK460" s="32"/>
      <c r="FL460" s="32"/>
      <c r="FM460" s="32"/>
      <c r="FN460" s="32"/>
      <c r="FO460" s="32"/>
      <c r="FP460" s="32"/>
      <c r="FQ460" s="32"/>
      <c r="FR460" s="32"/>
      <c r="FS460" s="32"/>
      <c r="FT460" s="32"/>
      <c r="FU460" s="32"/>
      <c r="FV460" s="32"/>
      <c r="FW460" s="32"/>
      <c r="FX460" s="32"/>
      <c r="FY460" s="32"/>
      <c r="FZ460" s="32"/>
      <c r="GA460" s="32"/>
      <c r="GB460" s="32"/>
      <c r="GC460" s="32"/>
      <c r="GD460" s="32"/>
      <c r="GE460" s="32"/>
      <c r="GF460" s="32"/>
      <c r="GG460" s="32"/>
      <c r="GH460" s="32"/>
      <c r="GI460" s="32"/>
      <c r="GJ460" s="32"/>
      <c r="GK460" s="32"/>
      <c r="GL460" s="32"/>
      <c r="GM460" s="32"/>
      <c r="GN460" s="32"/>
      <c r="GO460" s="32"/>
      <c r="GP460" s="32"/>
      <c r="GQ460" s="32"/>
      <c r="GR460" s="32"/>
      <c r="GS460" s="32"/>
      <c r="GT460" s="32"/>
      <c r="GU460" s="32"/>
      <c r="GV460" s="32"/>
      <c r="GW460" s="32"/>
      <c r="GX460" s="32"/>
      <c r="GY460" s="32"/>
      <c r="GZ460" s="32"/>
      <c r="HA460" s="32"/>
      <c r="HB460" s="32"/>
      <c r="HC460" s="32"/>
      <c r="HD460" s="32"/>
      <c r="HE460" s="32"/>
      <c r="HF460" s="32"/>
      <c r="HG460" s="32"/>
      <c r="HH460" s="32"/>
      <c r="HI460" s="32"/>
      <c r="HJ460" s="32"/>
      <c r="HK460" s="32"/>
      <c r="HL460" s="32"/>
      <c r="HM460" s="32"/>
      <c r="HN460" s="32"/>
      <c r="HO460" s="32"/>
      <c r="HP460" s="32"/>
    </row>
    <row r="461" spans="1:224" x14ac:dyDescent="0.25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  <c r="BG461" s="32"/>
      <c r="BH461" s="32"/>
      <c r="BI461" s="32"/>
      <c r="BJ461" s="32"/>
      <c r="BK461" s="32"/>
      <c r="BL461" s="32"/>
      <c r="BM461" s="32"/>
      <c r="BN461" s="32"/>
      <c r="BO461" s="32"/>
      <c r="BP461" s="32"/>
      <c r="BQ461" s="32"/>
      <c r="BR461" s="32"/>
      <c r="BS461" s="32"/>
      <c r="BT461" s="32"/>
      <c r="BU461" s="32"/>
      <c r="BV461" s="32"/>
      <c r="BW461" s="32"/>
      <c r="BX461" s="32"/>
      <c r="BY461" s="32"/>
      <c r="BZ461" s="32"/>
      <c r="CA461" s="32"/>
      <c r="CB461" s="32"/>
      <c r="CC461" s="32"/>
      <c r="CD461" s="32"/>
      <c r="CE461" s="32"/>
      <c r="CF461" s="32"/>
      <c r="CG461" s="32"/>
      <c r="CH461" s="32"/>
      <c r="CI461" s="32"/>
      <c r="CJ461" s="32"/>
      <c r="CK461" s="32"/>
      <c r="CL461" s="32"/>
      <c r="CM461" s="32"/>
      <c r="CN461" s="32"/>
      <c r="CO461" s="32"/>
      <c r="CP461" s="32"/>
      <c r="CQ461" s="32"/>
      <c r="CR461" s="32"/>
      <c r="CS461" s="32"/>
      <c r="CT461" s="32"/>
      <c r="CU461" s="32"/>
      <c r="CV461" s="32"/>
      <c r="CW461" s="32"/>
      <c r="CX461" s="32"/>
      <c r="CY461" s="32"/>
      <c r="CZ461" s="32"/>
      <c r="DA461" s="32"/>
      <c r="DB461" s="32"/>
      <c r="DC461" s="32"/>
      <c r="DD461" s="32"/>
      <c r="DE461" s="32"/>
      <c r="DF461" s="32"/>
      <c r="DG461" s="32"/>
      <c r="DH461" s="32"/>
      <c r="DI461" s="32"/>
      <c r="DJ461" s="32"/>
      <c r="DK461" s="32"/>
      <c r="DL461" s="32"/>
      <c r="DM461" s="32"/>
      <c r="DN461" s="32"/>
      <c r="DO461" s="32"/>
      <c r="DP461" s="32"/>
      <c r="DQ461" s="32"/>
      <c r="DR461" s="32"/>
      <c r="DS461" s="32"/>
      <c r="DT461" s="32"/>
      <c r="DU461" s="32"/>
      <c r="DV461" s="32"/>
      <c r="DW461" s="32"/>
      <c r="DX461" s="32"/>
      <c r="DY461" s="32"/>
      <c r="DZ461" s="32"/>
      <c r="EA461" s="32"/>
      <c r="EB461" s="32"/>
      <c r="EC461" s="32"/>
      <c r="ED461" s="32"/>
      <c r="EE461" s="32"/>
      <c r="EF461" s="32"/>
      <c r="EG461" s="32"/>
      <c r="EH461" s="32"/>
      <c r="EI461" s="32"/>
      <c r="EJ461" s="32"/>
      <c r="EK461" s="32"/>
      <c r="EL461" s="32"/>
      <c r="EM461" s="32"/>
      <c r="EN461" s="32"/>
      <c r="EO461" s="32"/>
      <c r="EP461" s="32"/>
      <c r="EQ461" s="32"/>
      <c r="ER461" s="32"/>
      <c r="ES461" s="32"/>
      <c r="ET461" s="32"/>
      <c r="EU461" s="32"/>
      <c r="EV461" s="32"/>
      <c r="EW461" s="32"/>
      <c r="EX461" s="32"/>
      <c r="EY461" s="32"/>
      <c r="EZ461" s="32"/>
      <c r="FA461" s="32"/>
      <c r="FB461" s="32"/>
      <c r="FC461" s="32"/>
      <c r="FD461" s="32"/>
      <c r="FE461" s="32"/>
      <c r="FF461" s="32"/>
      <c r="FG461" s="32"/>
      <c r="FH461" s="32"/>
      <c r="FI461" s="32"/>
      <c r="FJ461" s="32"/>
      <c r="FK461" s="32"/>
      <c r="FL461" s="32"/>
      <c r="FM461" s="32"/>
      <c r="FN461" s="32"/>
      <c r="FO461" s="32"/>
      <c r="FP461" s="32"/>
      <c r="FQ461" s="32"/>
      <c r="FR461" s="32"/>
      <c r="FS461" s="32"/>
      <c r="FT461" s="32"/>
      <c r="FU461" s="32"/>
      <c r="FV461" s="32"/>
      <c r="FW461" s="32"/>
      <c r="FX461" s="32"/>
      <c r="FY461" s="32"/>
      <c r="FZ461" s="32"/>
      <c r="GA461" s="32"/>
      <c r="GB461" s="32"/>
      <c r="GC461" s="32"/>
      <c r="GD461" s="32"/>
      <c r="GE461" s="32"/>
      <c r="GF461" s="32"/>
      <c r="GG461" s="32"/>
      <c r="GH461" s="32"/>
      <c r="GI461" s="32"/>
      <c r="GJ461" s="32"/>
      <c r="GK461" s="32"/>
      <c r="GL461" s="32"/>
      <c r="GM461" s="32"/>
      <c r="GN461" s="32"/>
      <c r="GO461" s="32"/>
      <c r="GP461" s="32"/>
      <c r="GQ461" s="32"/>
      <c r="GR461" s="32"/>
      <c r="GS461" s="32"/>
      <c r="GT461" s="32"/>
      <c r="GU461" s="32"/>
      <c r="GV461" s="32"/>
      <c r="GW461" s="32"/>
      <c r="GX461" s="32"/>
      <c r="GY461" s="32"/>
      <c r="GZ461" s="32"/>
      <c r="HA461" s="32"/>
      <c r="HB461" s="32"/>
      <c r="HC461" s="32"/>
      <c r="HD461" s="32"/>
      <c r="HE461" s="32"/>
      <c r="HF461" s="32"/>
      <c r="HG461" s="32"/>
      <c r="HH461" s="32"/>
      <c r="HI461" s="32"/>
      <c r="HJ461" s="32"/>
      <c r="HK461" s="32"/>
      <c r="HL461" s="32"/>
      <c r="HM461" s="32"/>
      <c r="HN461" s="32"/>
      <c r="HO461" s="32"/>
      <c r="HP461" s="32"/>
    </row>
    <row r="462" spans="1:224" x14ac:dyDescent="0.25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2"/>
      <c r="BF462" s="32"/>
      <c r="BG462" s="32"/>
      <c r="BH462" s="32"/>
      <c r="BI462" s="32"/>
      <c r="BJ462" s="32"/>
      <c r="BK462" s="32"/>
      <c r="BL462" s="32"/>
      <c r="BM462" s="32"/>
      <c r="BN462" s="32"/>
      <c r="BO462" s="32"/>
      <c r="BP462" s="32"/>
      <c r="BQ462" s="32"/>
      <c r="BR462" s="32"/>
      <c r="BS462" s="32"/>
      <c r="BT462" s="32"/>
      <c r="BU462" s="32"/>
      <c r="BV462" s="32"/>
      <c r="BW462" s="32"/>
      <c r="BX462" s="32"/>
      <c r="BY462" s="32"/>
      <c r="BZ462" s="32"/>
      <c r="CA462" s="32"/>
      <c r="CB462" s="32"/>
      <c r="CC462" s="32"/>
      <c r="CD462" s="32"/>
      <c r="CE462" s="32"/>
      <c r="CF462" s="32"/>
      <c r="CG462" s="32"/>
      <c r="CH462" s="32"/>
      <c r="CI462" s="32"/>
      <c r="CJ462" s="32"/>
      <c r="CK462" s="32"/>
      <c r="CL462" s="32"/>
      <c r="CM462" s="32"/>
      <c r="CN462" s="32"/>
      <c r="CO462" s="32"/>
      <c r="CP462" s="32"/>
      <c r="CQ462" s="32"/>
      <c r="CR462" s="32"/>
      <c r="CS462" s="32"/>
      <c r="CT462" s="32"/>
      <c r="CU462" s="32"/>
      <c r="CV462" s="32"/>
      <c r="CW462" s="32"/>
      <c r="CX462" s="32"/>
      <c r="CY462" s="32"/>
      <c r="CZ462" s="32"/>
      <c r="DA462" s="32"/>
      <c r="DB462" s="32"/>
      <c r="DC462" s="32"/>
      <c r="DD462" s="32"/>
      <c r="DE462" s="32"/>
      <c r="DF462" s="32"/>
      <c r="DG462" s="32"/>
      <c r="DH462" s="32"/>
      <c r="DI462" s="32"/>
      <c r="DJ462" s="32"/>
      <c r="DK462" s="32"/>
      <c r="DL462" s="32"/>
      <c r="DM462" s="32"/>
      <c r="DN462" s="32"/>
      <c r="DO462" s="32"/>
      <c r="DP462" s="32"/>
      <c r="DQ462" s="32"/>
      <c r="DR462" s="32"/>
      <c r="DS462" s="32"/>
      <c r="DT462" s="32"/>
      <c r="DU462" s="32"/>
      <c r="DV462" s="32"/>
      <c r="DW462" s="32"/>
      <c r="DX462" s="32"/>
      <c r="DY462" s="32"/>
      <c r="DZ462" s="32"/>
      <c r="EA462" s="32"/>
      <c r="EB462" s="32"/>
      <c r="EC462" s="32"/>
      <c r="ED462" s="32"/>
      <c r="EE462" s="32"/>
      <c r="EF462" s="32"/>
      <c r="EG462" s="32"/>
      <c r="EH462" s="32"/>
      <c r="EI462" s="32"/>
      <c r="EJ462" s="32"/>
      <c r="EK462" s="32"/>
      <c r="EL462" s="32"/>
      <c r="EM462" s="32"/>
      <c r="EN462" s="32"/>
      <c r="EO462" s="32"/>
      <c r="EP462" s="32"/>
      <c r="EQ462" s="32"/>
      <c r="ER462" s="32"/>
      <c r="ES462" s="32"/>
      <c r="ET462" s="32"/>
      <c r="EU462" s="32"/>
      <c r="EV462" s="32"/>
      <c r="EW462" s="32"/>
      <c r="EX462" s="32"/>
      <c r="EY462" s="32"/>
      <c r="EZ462" s="32"/>
      <c r="FA462" s="32"/>
      <c r="FB462" s="32"/>
      <c r="FC462" s="32"/>
      <c r="FD462" s="32"/>
      <c r="FE462" s="32"/>
      <c r="FF462" s="32"/>
      <c r="FG462" s="32"/>
      <c r="FH462" s="32"/>
      <c r="FI462" s="32"/>
      <c r="FJ462" s="32"/>
      <c r="FK462" s="32"/>
      <c r="FL462" s="32"/>
      <c r="FM462" s="32"/>
      <c r="FN462" s="32"/>
      <c r="FO462" s="32"/>
      <c r="FP462" s="32"/>
      <c r="FQ462" s="32"/>
      <c r="FR462" s="32"/>
      <c r="FS462" s="32"/>
      <c r="FT462" s="32"/>
      <c r="FU462" s="32"/>
      <c r="FV462" s="32"/>
      <c r="FW462" s="32"/>
      <c r="FX462" s="32"/>
      <c r="FY462" s="32"/>
      <c r="FZ462" s="32"/>
      <c r="GA462" s="32"/>
      <c r="GB462" s="32"/>
      <c r="GC462" s="32"/>
      <c r="GD462" s="32"/>
      <c r="GE462" s="32"/>
      <c r="GF462" s="32"/>
      <c r="GG462" s="32"/>
      <c r="GH462" s="32"/>
      <c r="GI462" s="32"/>
      <c r="GJ462" s="32"/>
      <c r="GK462" s="32"/>
      <c r="GL462" s="32"/>
      <c r="GM462" s="32"/>
      <c r="GN462" s="32"/>
      <c r="GO462" s="32"/>
      <c r="GP462" s="32"/>
      <c r="GQ462" s="32"/>
      <c r="GR462" s="32"/>
      <c r="GS462" s="32"/>
      <c r="GT462" s="32"/>
      <c r="GU462" s="32"/>
      <c r="GV462" s="32"/>
      <c r="GW462" s="32"/>
      <c r="GX462" s="32"/>
      <c r="GY462" s="32"/>
      <c r="GZ462" s="32"/>
      <c r="HA462" s="32"/>
      <c r="HB462" s="32"/>
      <c r="HC462" s="32"/>
      <c r="HD462" s="32"/>
      <c r="HE462" s="32"/>
      <c r="HF462" s="32"/>
      <c r="HG462" s="32"/>
      <c r="HH462" s="32"/>
      <c r="HI462" s="32"/>
      <c r="HJ462" s="32"/>
      <c r="HK462" s="32"/>
      <c r="HL462" s="32"/>
      <c r="HM462" s="32"/>
      <c r="HN462" s="32"/>
      <c r="HO462" s="32"/>
      <c r="HP462" s="32"/>
    </row>
    <row r="463" spans="1:224" x14ac:dyDescent="0.25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2"/>
      <c r="BB463" s="32"/>
      <c r="BC463" s="32"/>
      <c r="BD463" s="32"/>
      <c r="BE463" s="32"/>
      <c r="BF463" s="32"/>
      <c r="BG463" s="32"/>
      <c r="BH463" s="32"/>
      <c r="BI463" s="32"/>
      <c r="BJ463" s="32"/>
      <c r="BK463" s="32"/>
      <c r="BL463" s="32"/>
      <c r="BM463" s="32"/>
      <c r="BN463" s="32"/>
      <c r="BO463" s="32"/>
      <c r="BP463" s="32"/>
      <c r="BQ463" s="32"/>
      <c r="BR463" s="32"/>
      <c r="BS463" s="32"/>
      <c r="BT463" s="32"/>
      <c r="BU463" s="32"/>
      <c r="BV463" s="32"/>
      <c r="BW463" s="32"/>
      <c r="BX463" s="32"/>
      <c r="BY463" s="32"/>
      <c r="BZ463" s="32"/>
      <c r="CA463" s="32"/>
      <c r="CB463" s="32"/>
      <c r="CC463" s="32"/>
      <c r="CD463" s="32"/>
      <c r="CE463" s="32"/>
      <c r="CF463" s="32"/>
      <c r="CG463" s="32"/>
      <c r="CH463" s="32"/>
      <c r="CI463" s="32"/>
      <c r="CJ463" s="32"/>
      <c r="CK463" s="32"/>
      <c r="CL463" s="32"/>
      <c r="CM463" s="32"/>
      <c r="CN463" s="32"/>
      <c r="CO463" s="32"/>
      <c r="CP463" s="32"/>
      <c r="CQ463" s="32"/>
      <c r="CR463" s="32"/>
      <c r="CS463" s="32"/>
      <c r="CT463" s="32"/>
      <c r="CU463" s="32"/>
      <c r="CV463" s="32"/>
      <c r="CW463" s="32"/>
      <c r="CX463" s="32"/>
      <c r="CY463" s="32"/>
      <c r="CZ463" s="32"/>
      <c r="DA463" s="32"/>
      <c r="DB463" s="32"/>
      <c r="DC463" s="32"/>
      <c r="DD463" s="32"/>
      <c r="DE463" s="32"/>
      <c r="DF463" s="32"/>
      <c r="DG463" s="32"/>
      <c r="DH463" s="32"/>
      <c r="DI463" s="32"/>
      <c r="DJ463" s="32"/>
      <c r="DK463" s="32"/>
      <c r="DL463" s="32"/>
      <c r="DM463" s="32"/>
      <c r="DN463" s="32"/>
      <c r="DO463" s="32"/>
      <c r="DP463" s="32"/>
      <c r="DQ463" s="32"/>
      <c r="DR463" s="32"/>
      <c r="DS463" s="32"/>
      <c r="DT463" s="32"/>
      <c r="DU463" s="32"/>
      <c r="DV463" s="32"/>
      <c r="DW463" s="32"/>
      <c r="DX463" s="32"/>
      <c r="DY463" s="32"/>
      <c r="DZ463" s="32"/>
      <c r="EA463" s="32"/>
      <c r="EB463" s="32"/>
      <c r="EC463" s="32"/>
      <c r="ED463" s="32"/>
      <c r="EE463" s="32"/>
      <c r="EF463" s="32"/>
      <c r="EG463" s="32"/>
      <c r="EH463" s="32"/>
      <c r="EI463" s="32"/>
      <c r="EJ463" s="32"/>
      <c r="EK463" s="32"/>
      <c r="EL463" s="32"/>
      <c r="EM463" s="32"/>
      <c r="EN463" s="32"/>
      <c r="EO463" s="32"/>
      <c r="EP463" s="32"/>
      <c r="EQ463" s="32"/>
      <c r="ER463" s="32"/>
      <c r="ES463" s="32"/>
      <c r="ET463" s="32"/>
      <c r="EU463" s="32"/>
      <c r="EV463" s="32"/>
      <c r="EW463" s="32"/>
      <c r="EX463" s="32"/>
      <c r="EY463" s="32"/>
      <c r="EZ463" s="32"/>
      <c r="FA463" s="32"/>
      <c r="FB463" s="32"/>
      <c r="FC463" s="32"/>
      <c r="FD463" s="32"/>
      <c r="FE463" s="32"/>
      <c r="FF463" s="32"/>
      <c r="FG463" s="32"/>
      <c r="FH463" s="32"/>
      <c r="FI463" s="32"/>
      <c r="FJ463" s="32"/>
      <c r="FK463" s="32"/>
      <c r="FL463" s="32"/>
      <c r="FM463" s="32"/>
      <c r="FN463" s="32"/>
      <c r="FO463" s="32"/>
      <c r="FP463" s="32"/>
      <c r="FQ463" s="32"/>
      <c r="FR463" s="32"/>
      <c r="FS463" s="32"/>
      <c r="FT463" s="32"/>
      <c r="FU463" s="32"/>
      <c r="FV463" s="32"/>
      <c r="FW463" s="32"/>
      <c r="FX463" s="32"/>
      <c r="FY463" s="32"/>
      <c r="FZ463" s="32"/>
      <c r="GA463" s="32"/>
      <c r="GB463" s="32"/>
      <c r="GC463" s="32"/>
      <c r="GD463" s="32"/>
      <c r="GE463" s="32"/>
      <c r="GF463" s="32"/>
      <c r="GG463" s="32"/>
      <c r="GH463" s="32"/>
      <c r="GI463" s="32"/>
      <c r="GJ463" s="32"/>
      <c r="GK463" s="32"/>
      <c r="GL463" s="32"/>
      <c r="GM463" s="32"/>
      <c r="GN463" s="32"/>
      <c r="GO463" s="32"/>
      <c r="GP463" s="32"/>
      <c r="GQ463" s="32"/>
      <c r="GR463" s="32"/>
      <c r="GS463" s="32"/>
      <c r="GT463" s="32"/>
      <c r="GU463" s="32"/>
      <c r="GV463" s="32"/>
      <c r="GW463" s="32"/>
      <c r="GX463" s="32"/>
      <c r="GY463" s="32"/>
      <c r="GZ463" s="32"/>
      <c r="HA463" s="32"/>
      <c r="HB463" s="32"/>
      <c r="HC463" s="32"/>
      <c r="HD463" s="32"/>
      <c r="HE463" s="32"/>
      <c r="HF463" s="32"/>
      <c r="HG463" s="32"/>
      <c r="HH463" s="32"/>
      <c r="HI463" s="32"/>
      <c r="HJ463" s="32"/>
      <c r="HK463" s="32"/>
      <c r="HL463" s="32"/>
      <c r="HM463" s="32"/>
      <c r="HN463" s="32"/>
      <c r="HO463" s="32"/>
      <c r="HP463" s="32"/>
    </row>
    <row r="464" spans="1:224" x14ac:dyDescent="0.25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  <c r="BE464" s="32"/>
      <c r="BF464" s="32"/>
      <c r="BG464" s="32"/>
      <c r="BH464" s="32"/>
      <c r="BI464" s="32"/>
      <c r="BJ464" s="32"/>
      <c r="BK464" s="32"/>
      <c r="BL464" s="32"/>
      <c r="BM464" s="32"/>
      <c r="BN464" s="32"/>
      <c r="BO464" s="32"/>
      <c r="BP464" s="32"/>
      <c r="BQ464" s="32"/>
      <c r="BR464" s="32"/>
      <c r="BS464" s="32"/>
      <c r="BT464" s="32"/>
      <c r="BU464" s="32"/>
      <c r="BV464" s="32"/>
      <c r="BW464" s="32"/>
      <c r="BX464" s="32"/>
      <c r="BY464" s="32"/>
      <c r="BZ464" s="32"/>
      <c r="CA464" s="32"/>
      <c r="CB464" s="32"/>
      <c r="CC464" s="32"/>
      <c r="CD464" s="32"/>
      <c r="CE464" s="32"/>
      <c r="CF464" s="32"/>
      <c r="CG464" s="32"/>
      <c r="CH464" s="32"/>
      <c r="CI464" s="32"/>
      <c r="CJ464" s="32"/>
      <c r="CK464" s="32"/>
      <c r="CL464" s="32"/>
      <c r="CM464" s="32"/>
      <c r="CN464" s="32"/>
      <c r="CO464" s="32"/>
      <c r="CP464" s="32"/>
      <c r="CQ464" s="32"/>
      <c r="CR464" s="32"/>
      <c r="CS464" s="32"/>
      <c r="CT464" s="32"/>
      <c r="CU464" s="32"/>
      <c r="CV464" s="32"/>
      <c r="CW464" s="32"/>
      <c r="CX464" s="32"/>
      <c r="CY464" s="32"/>
      <c r="CZ464" s="32"/>
      <c r="DA464" s="32"/>
      <c r="DB464" s="32"/>
      <c r="DC464" s="32"/>
      <c r="DD464" s="32"/>
      <c r="DE464" s="32"/>
      <c r="DF464" s="32"/>
      <c r="DG464" s="32"/>
      <c r="DH464" s="32"/>
      <c r="DI464" s="32"/>
      <c r="DJ464" s="32"/>
      <c r="DK464" s="32"/>
      <c r="DL464" s="32"/>
      <c r="DM464" s="32"/>
      <c r="DN464" s="32"/>
      <c r="DO464" s="32"/>
      <c r="DP464" s="32"/>
      <c r="DQ464" s="32"/>
      <c r="DR464" s="32"/>
      <c r="DS464" s="32"/>
      <c r="DT464" s="32"/>
      <c r="DU464" s="32"/>
      <c r="DV464" s="32"/>
      <c r="DW464" s="32"/>
      <c r="DX464" s="32"/>
      <c r="DY464" s="32"/>
      <c r="DZ464" s="32"/>
      <c r="EA464" s="32"/>
      <c r="EB464" s="32"/>
      <c r="EC464" s="32"/>
      <c r="ED464" s="32"/>
      <c r="EE464" s="32"/>
      <c r="EF464" s="32"/>
      <c r="EG464" s="32"/>
      <c r="EH464" s="32"/>
      <c r="EI464" s="32"/>
      <c r="EJ464" s="32"/>
      <c r="EK464" s="32"/>
      <c r="EL464" s="32"/>
      <c r="EM464" s="32"/>
      <c r="EN464" s="32"/>
      <c r="EO464" s="32"/>
      <c r="EP464" s="32"/>
      <c r="EQ464" s="32"/>
      <c r="ER464" s="32"/>
      <c r="ES464" s="32"/>
      <c r="ET464" s="32"/>
      <c r="EU464" s="32"/>
      <c r="EV464" s="32"/>
      <c r="EW464" s="32"/>
      <c r="EX464" s="32"/>
      <c r="EY464" s="32"/>
      <c r="EZ464" s="32"/>
      <c r="FA464" s="32"/>
      <c r="FB464" s="32"/>
      <c r="FC464" s="32"/>
      <c r="FD464" s="32"/>
      <c r="FE464" s="32"/>
      <c r="FF464" s="32"/>
      <c r="FG464" s="32"/>
      <c r="FH464" s="32"/>
      <c r="FI464" s="32"/>
      <c r="FJ464" s="32"/>
      <c r="FK464" s="32"/>
      <c r="FL464" s="32"/>
      <c r="FM464" s="32"/>
      <c r="FN464" s="32"/>
      <c r="FO464" s="32"/>
      <c r="FP464" s="32"/>
      <c r="FQ464" s="32"/>
      <c r="FR464" s="32"/>
      <c r="FS464" s="32"/>
      <c r="FT464" s="32"/>
      <c r="FU464" s="32"/>
      <c r="FV464" s="32"/>
      <c r="FW464" s="32"/>
      <c r="FX464" s="32"/>
      <c r="FY464" s="32"/>
      <c r="FZ464" s="32"/>
      <c r="GA464" s="32"/>
      <c r="GB464" s="32"/>
      <c r="GC464" s="32"/>
      <c r="GD464" s="32"/>
      <c r="GE464" s="32"/>
      <c r="GF464" s="32"/>
      <c r="GG464" s="32"/>
      <c r="GH464" s="32"/>
      <c r="GI464" s="32"/>
      <c r="GJ464" s="32"/>
      <c r="GK464" s="32"/>
      <c r="GL464" s="32"/>
      <c r="GM464" s="32"/>
      <c r="GN464" s="32"/>
      <c r="GO464" s="32"/>
      <c r="GP464" s="32"/>
      <c r="GQ464" s="32"/>
      <c r="GR464" s="32"/>
      <c r="GS464" s="32"/>
      <c r="GT464" s="32"/>
      <c r="GU464" s="32"/>
      <c r="GV464" s="32"/>
      <c r="GW464" s="32"/>
      <c r="GX464" s="32"/>
      <c r="GY464" s="32"/>
      <c r="GZ464" s="32"/>
      <c r="HA464" s="32"/>
      <c r="HB464" s="32"/>
      <c r="HC464" s="32"/>
      <c r="HD464" s="32"/>
      <c r="HE464" s="32"/>
      <c r="HF464" s="32"/>
      <c r="HG464" s="32"/>
      <c r="HH464" s="32"/>
      <c r="HI464" s="32"/>
      <c r="HJ464" s="32"/>
      <c r="HK464" s="32"/>
      <c r="HL464" s="32"/>
      <c r="HM464" s="32"/>
      <c r="HN464" s="32"/>
      <c r="HO464" s="32"/>
      <c r="HP464" s="32"/>
    </row>
    <row r="465" spans="1:224" x14ac:dyDescent="0.2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  <c r="BD465" s="32"/>
      <c r="BE465" s="32"/>
      <c r="BF465" s="32"/>
      <c r="BG465" s="32"/>
      <c r="BH465" s="32"/>
      <c r="BI465" s="32"/>
      <c r="BJ465" s="32"/>
      <c r="BK465" s="32"/>
      <c r="BL465" s="32"/>
      <c r="BM465" s="32"/>
      <c r="BN465" s="32"/>
      <c r="BO465" s="32"/>
      <c r="BP465" s="32"/>
      <c r="BQ465" s="32"/>
      <c r="BR465" s="32"/>
      <c r="BS465" s="32"/>
      <c r="BT465" s="32"/>
      <c r="BU465" s="32"/>
      <c r="BV465" s="32"/>
      <c r="BW465" s="32"/>
      <c r="BX465" s="32"/>
      <c r="BY465" s="32"/>
      <c r="BZ465" s="32"/>
      <c r="CA465" s="32"/>
      <c r="CB465" s="32"/>
      <c r="CC465" s="32"/>
      <c r="CD465" s="32"/>
      <c r="CE465" s="32"/>
      <c r="CF465" s="32"/>
      <c r="CG465" s="32"/>
      <c r="CH465" s="32"/>
      <c r="CI465" s="32"/>
      <c r="CJ465" s="32"/>
      <c r="CK465" s="32"/>
      <c r="CL465" s="32"/>
      <c r="CM465" s="32"/>
      <c r="CN465" s="32"/>
      <c r="CO465" s="32"/>
      <c r="CP465" s="32"/>
      <c r="CQ465" s="32"/>
      <c r="CR465" s="32"/>
      <c r="CS465" s="32"/>
      <c r="CT465" s="32"/>
      <c r="CU465" s="32"/>
      <c r="CV465" s="32"/>
      <c r="CW465" s="32"/>
      <c r="CX465" s="32"/>
      <c r="CY465" s="32"/>
      <c r="CZ465" s="32"/>
      <c r="DA465" s="32"/>
      <c r="DB465" s="32"/>
      <c r="DC465" s="32"/>
      <c r="DD465" s="32"/>
      <c r="DE465" s="32"/>
      <c r="DF465" s="32"/>
      <c r="DG465" s="32"/>
      <c r="DH465" s="32"/>
      <c r="DI465" s="32"/>
      <c r="DJ465" s="32"/>
      <c r="DK465" s="32"/>
      <c r="DL465" s="32"/>
      <c r="DM465" s="32"/>
      <c r="DN465" s="32"/>
      <c r="DO465" s="32"/>
      <c r="DP465" s="32"/>
      <c r="DQ465" s="32"/>
      <c r="DR465" s="32"/>
      <c r="DS465" s="32"/>
      <c r="DT465" s="32"/>
      <c r="DU465" s="32"/>
      <c r="DV465" s="32"/>
      <c r="DW465" s="32"/>
      <c r="DX465" s="32"/>
      <c r="DY465" s="32"/>
      <c r="DZ465" s="32"/>
      <c r="EA465" s="32"/>
      <c r="EB465" s="32"/>
      <c r="EC465" s="32"/>
      <c r="ED465" s="32"/>
      <c r="EE465" s="32"/>
      <c r="EF465" s="32"/>
      <c r="EG465" s="32"/>
      <c r="EH465" s="32"/>
      <c r="EI465" s="32"/>
      <c r="EJ465" s="32"/>
      <c r="EK465" s="32"/>
      <c r="EL465" s="32"/>
      <c r="EM465" s="32"/>
      <c r="EN465" s="32"/>
      <c r="EO465" s="32"/>
      <c r="EP465" s="32"/>
      <c r="EQ465" s="32"/>
      <c r="ER465" s="32"/>
      <c r="ES465" s="32"/>
      <c r="ET465" s="32"/>
      <c r="EU465" s="32"/>
      <c r="EV465" s="32"/>
      <c r="EW465" s="32"/>
      <c r="EX465" s="32"/>
      <c r="EY465" s="32"/>
      <c r="EZ465" s="32"/>
      <c r="FA465" s="32"/>
      <c r="FB465" s="32"/>
      <c r="FC465" s="32"/>
      <c r="FD465" s="32"/>
      <c r="FE465" s="32"/>
      <c r="FF465" s="32"/>
      <c r="FG465" s="32"/>
      <c r="FH465" s="32"/>
      <c r="FI465" s="32"/>
      <c r="FJ465" s="32"/>
      <c r="FK465" s="32"/>
      <c r="FL465" s="32"/>
      <c r="FM465" s="32"/>
      <c r="FN465" s="32"/>
      <c r="FO465" s="32"/>
      <c r="FP465" s="32"/>
      <c r="FQ465" s="32"/>
      <c r="FR465" s="32"/>
      <c r="FS465" s="32"/>
      <c r="FT465" s="32"/>
      <c r="FU465" s="32"/>
      <c r="FV465" s="32"/>
      <c r="FW465" s="32"/>
      <c r="FX465" s="32"/>
      <c r="FY465" s="32"/>
      <c r="FZ465" s="32"/>
      <c r="GA465" s="32"/>
      <c r="GB465" s="32"/>
      <c r="GC465" s="32"/>
      <c r="GD465" s="32"/>
      <c r="GE465" s="32"/>
      <c r="GF465" s="32"/>
      <c r="GG465" s="32"/>
      <c r="GH465" s="32"/>
      <c r="GI465" s="32"/>
      <c r="GJ465" s="32"/>
      <c r="GK465" s="32"/>
      <c r="GL465" s="32"/>
      <c r="GM465" s="32"/>
      <c r="GN465" s="32"/>
      <c r="GO465" s="32"/>
      <c r="GP465" s="32"/>
      <c r="GQ465" s="32"/>
      <c r="GR465" s="32"/>
      <c r="GS465" s="32"/>
      <c r="GT465" s="32"/>
      <c r="GU465" s="32"/>
      <c r="GV465" s="32"/>
      <c r="GW465" s="32"/>
      <c r="GX465" s="32"/>
      <c r="GY465" s="32"/>
      <c r="GZ465" s="32"/>
      <c r="HA465" s="32"/>
      <c r="HB465" s="32"/>
      <c r="HC465" s="32"/>
      <c r="HD465" s="32"/>
      <c r="HE465" s="32"/>
      <c r="HF465" s="32"/>
      <c r="HG465" s="32"/>
      <c r="HH465" s="32"/>
      <c r="HI465" s="32"/>
      <c r="HJ465" s="32"/>
      <c r="HK465" s="32"/>
      <c r="HL465" s="32"/>
      <c r="HM465" s="32"/>
      <c r="HN465" s="32"/>
      <c r="HO465" s="32"/>
      <c r="HP465" s="32"/>
    </row>
    <row r="466" spans="1:224" x14ac:dyDescent="0.25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  <c r="BE466" s="32"/>
      <c r="BF466" s="32"/>
      <c r="BG466" s="32"/>
      <c r="BH466" s="32"/>
      <c r="BI466" s="32"/>
      <c r="BJ466" s="32"/>
      <c r="BK466" s="32"/>
      <c r="BL466" s="32"/>
      <c r="BM466" s="32"/>
      <c r="BN466" s="32"/>
      <c r="BO466" s="32"/>
      <c r="BP466" s="32"/>
      <c r="BQ466" s="32"/>
      <c r="BR466" s="32"/>
      <c r="BS466" s="32"/>
      <c r="BT466" s="32"/>
      <c r="BU466" s="32"/>
      <c r="BV466" s="32"/>
      <c r="BW466" s="32"/>
      <c r="BX466" s="32"/>
      <c r="BY466" s="32"/>
      <c r="BZ466" s="32"/>
      <c r="CA466" s="32"/>
      <c r="CB466" s="32"/>
      <c r="CC466" s="32"/>
      <c r="CD466" s="32"/>
      <c r="CE466" s="32"/>
      <c r="CF466" s="32"/>
      <c r="CG466" s="32"/>
      <c r="CH466" s="32"/>
      <c r="CI466" s="32"/>
      <c r="CJ466" s="32"/>
      <c r="CK466" s="32"/>
      <c r="CL466" s="32"/>
      <c r="CM466" s="32"/>
      <c r="CN466" s="32"/>
      <c r="CO466" s="32"/>
      <c r="CP466" s="32"/>
      <c r="CQ466" s="32"/>
      <c r="CR466" s="32"/>
      <c r="CS466" s="32"/>
      <c r="CT466" s="32"/>
      <c r="CU466" s="32"/>
      <c r="CV466" s="32"/>
      <c r="CW466" s="32"/>
      <c r="CX466" s="32"/>
      <c r="CY466" s="32"/>
      <c r="CZ466" s="32"/>
      <c r="DA466" s="32"/>
      <c r="DB466" s="32"/>
      <c r="DC466" s="32"/>
      <c r="DD466" s="32"/>
      <c r="DE466" s="32"/>
      <c r="DF466" s="32"/>
      <c r="DG466" s="32"/>
      <c r="DH466" s="32"/>
      <c r="DI466" s="32"/>
      <c r="DJ466" s="32"/>
      <c r="DK466" s="32"/>
      <c r="DL466" s="32"/>
      <c r="DM466" s="32"/>
      <c r="DN466" s="32"/>
      <c r="DO466" s="32"/>
      <c r="DP466" s="32"/>
      <c r="DQ466" s="32"/>
      <c r="DR466" s="32"/>
      <c r="DS466" s="32"/>
      <c r="DT466" s="32"/>
      <c r="DU466" s="32"/>
      <c r="DV466" s="32"/>
      <c r="DW466" s="32"/>
      <c r="DX466" s="32"/>
      <c r="DY466" s="32"/>
      <c r="DZ466" s="32"/>
      <c r="EA466" s="32"/>
      <c r="EB466" s="32"/>
      <c r="EC466" s="32"/>
      <c r="ED466" s="32"/>
      <c r="EE466" s="32"/>
      <c r="EF466" s="32"/>
      <c r="EG466" s="32"/>
      <c r="EH466" s="32"/>
      <c r="EI466" s="32"/>
      <c r="EJ466" s="32"/>
      <c r="EK466" s="32"/>
      <c r="EL466" s="32"/>
      <c r="EM466" s="32"/>
      <c r="EN466" s="32"/>
      <c r="EO466" s="32"/>
      <c r="EP466" s="32"/>
      <c r="EQ466" s="32"/>
      <c r="ER466" s="32"/>
      <c r="ES466" s="32"/>
      <c r="ET466" s="32"/>
      <c r="EU466" s="32"/>
      <c r="EV466" s="32"/>
      <c r="EW466" s="32"/>
      <c r="EX466" s="32"/>
      <c r="EY466" s="32"/>
      <c r="EZ466" s="32"/>
      <c r="FA466" s="32"/>
      <c r="FB466" s="32"/>
      <c r="FC466" s="32"/>
      <c r="FD466" s="32"/>
      <c r="FE466" s="32"/>
      <c r="FF466" s="32"/>
      <c r="FG466" s="32"/>
      <c r="FH466" s="32"/>
      <c r="FI466" s="32"/>
      <c r="FJ466" s="32"/>
      <c r="FK466" s="32"/>
      <c r="FL466" s="32"/>
      <c r="FM466" s="32"/>
      <c r="FN466" s="32"/>
      <c r="FO466" s="32"/>
      <c r="FP466" s="32"/>
      <c r="FQ466" s="32"/>
      <c r="FR466" s="32"/>
      <c r="FS466" s="32"/>
      <c r="FT466" s="32"/>
      <c r="FU466" s="32"/>
      <c r="FV466" s="32"/>
      <c r="FW466" s="32"/>
      <c r="FX466" s="32"/>
      <c r="FY466" s="32"/>
      <c r="FZ466" s="32"/>
      <c r="GA466" s="32"/>
      <c r="GB466" s="32"/>
      <c r="GC466" s="32"/>
      <c r="GD466" s="32"/>
      <c r="GE466" s="32"/>
      <c r="GF466" s="32"/>
      <c r="GG466" s="32"/>
      <c r="GH466" s="32"/>
      <c r="GI466" s="32"/>
      <c r="GJ466" s="32"/>
      <c r="GK466" s="32"/>
      <c r="GL466" s="32"/>
      <c r="GM466" s="32"/>
      <c r="GN466" s="32"/>
      <c r="GO466" s="32"/>
      <c r="GP466" s="32"/>
      <c r="GQ466" s="32"/>
      <c r="GR466" s="32"/>
      <c r="GS466" s="32"/>
      <c r="GT466" s="32"/>
      <c r="GU466" s="32"/>
      <c r="GV466" s="32"/>
      <c r="GW466" s="32"/>
      <c r="GX466" s="32"/>
      <c r="GY466" s="32"/>
      <c r="GZ466" s="32"/>
      <c r="HA466" s="32"/>
      <c r="HB466" s="32"/>
      <c r="HC466" s="32"/>
      <c r="HD466" s="32"/>
      <c r="HE466" s="32"/>
      <c r="HF466" s="32"/>
      <c r="HG466" s="32"/>
      <c r="HH466" s="32"/>
      <c r="HI466" s="32"/>
      <c r="HJ466" s="32"/>
      <c r="HK466" s="32"/>
      <c r="HL466" s="32"/>
      <c r="HM466" s="32"/>
      <c r="HN466" s="32"/>
      <c r="HO466" s="32"/>
      <c r="HP466" s="32"/>
    </row>
    <row r="467" spans="1:224" x14ac:dyDescent="0.25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  <c r="BE467" s="32"/>
      <c r="BF467" s="32"/>
      <c r="BG467" s="32"/>
      <c r="BH467" s="32"/>
      <c r="BI467" s="32"/>
      <c r="BJ467" s="32"/>
      <c r="BK467" s="32"/>
      <c r="BL467" s="32"/>
      <c r="BM467" s="32"/>
      <c r="BN467" s="32"/>
      <c r="BO467" s="32"/>
      <c r="BP467" s="32"/>
      <c r="BQ467" s="32"/>
      <c r="BR467" s="32"/>
      <c r="BS467" s="32"/>
      <c r="BT467" s="32"/>
      <c r="BU467" s="32"/>
      <c r="BV467" s="32"/>
      <c r="BW467" s="32"/>
      <c r="BX467" s="32"/>
      <c r="BY467" s="32"/>
      <c r="BZ467" s="32"/>
      <c r="CA467" s="32"/>
      <c r="CB467" s="32"/>
      <c r="CC467" s="32"/>
      <c r="CD467" s="32"/>
      <c r="CE467" s="32"/>
      <c r="CF467" s="32"/>
      <c r="CG467" s="32"/>
      <c r="CH467" s="32"/>
      <c r="CI467" s="32"/>
      <c r="CJ467" s="32"/>
      <c r="CK467" s="32"/>
      <c r="CL467" s="32"/>
      <c r="CM467" s="32"/>
      <c r="CN467" s="32"/>
      <c r="CO467" s="32"/>
      <c r="CP467" s="32"/>
      <c r="CQ467" s="32"/>
      <c r="CR467" s="32"/>
      <c r="CS467" s="32"/>
      <c r="CT467" s="32"/>
      <c r="CU467" s="32"/>
      <c r="CV467" s="32"/>
      <c r="CW467" s="32"/>
      <c r="CX467" s="32"/>
      <c r="CY467" s="32"/>
      <c r="CZ467" s="32"/>
      <c r="DA467" s="32"/>
      <c r="DB467" s="32"/>
      <c r="DC467" s="32"/>
      <c r="DD467" s="32"/>
      <c r="DE467" s="32"/>
      <c r="DF467" s="32"/>
      <c r="DG467" s="32"/>
      <c r="DH467" s="32"/>
      <c r="DI467" s="32"/>
      <c r="DJ467" s="32"/>
      <c r="DK467" s="32"/>
      <c r="DL467" s="32"/>
      <c r="DM467" s="32"/>
      <c r="DN467" s="32"/>
      <c r="DO467" s="32"/>
      <c r="DP467" s="32"/>
      <c r="DQ467" s="32"/>
      <c r="DR467" s="32"/>
      <c r="DS467" s="32"/>
      <c r="DT467" s="32"/>
      <c r="DU467" s="32"/>
      <c r="DV467" s="32"/>
      <c r="DW467" s="32"/>
      <c r="DX467" s="32"/>
      <c r="DY467" s="32"/>
      <c r="DZ467" s="32"/>
      <c r="EA467" s="32"/>
      <c r="EB467" s="32"/>
      <c r="EC467" s="32"/>
      <c r="ED467" s="32"/>
      <c r="EE467" s="32"/>
      <c r="EF467" s="32"/>
      <c r="EG467" s="32"/>
      <c r="EH467" s="32"/>
      <c r="EI467" s="32"/>
      <c r="EJ467" s="32"/>
      <c r="EK467" s="32"/>
      <c r="EL467" s="32"/>
      <c r="EM467" s="32"/>
      <c r="EN467" s="32"/>
      <c r="EO467" s="32"/>
      <c r="EP467" s="32"/>
      <c r="EQ467" s="32"/>
      <c r="ER467" s="32"/>
      <c r="ES467" s="32"/>
      <c r="ET467" s="32"/>
      <c r="EU467" s="32"/>
      <c r="EV467" s="32"/>
      <c r="EW467" s="32"/>
      <c r="EX467" s="32"/>
      <c r="EY467" s="32"/>
      <c r="EZ467" s="32"/>
      <c r="FA467" s="32"/>
      <c r="FB467" s="32"/>
      <c r="FC467" s="32"/>
      <c r="FD467" s="32"/>
      <c r="FE467" s="32"/>
      <c r="FF467" s="32"/>
      <c r="FG467" s="32"/>
      <c r="FH467" s="32"/>
      <c r="FI467" s="32"/>
      <c r="FJ467" s="32"/>
      <c r="FK467" s="32"/>
      <c r="FL467" s="32"/>
      <c r="FM467" s="32"/>
      <c r="FN467" s="32"/>
      <c r="FO467" s="32"/>
      <c r="FP467" s="32"/>
      <c r="FQ467" s="32"/>
      <c r="FR467" s="32"/>
      <c r="FS467" s="32"/>
      <c r="FT467" s="32"/>
      <c r="FU467" s="32"/>
      <c r="FV467" s="32"/>
      <c r="FW467" s="32"/>
      <c r="FX467" s="32"/>
      <c r="FY467" s="32"/>
      <c r="FZ467" s="32"/>
      <c r="GA467" s="32"/>
      <c r="GB467" s="32"/>
      <c r="GC467" s="32"/>
      <c r="GD467" s="32"/>
      <c r="GE467" s="32"/>
      <c r="GF467" s="32"/>
      <c r="GG467" s="32"/>
      <c r="GH467" s="32"/>
      <c r="GI467" s="32"/>
      <c r="GJ467" s="32"/>
      <c r="GK467" s="32"/>
      <c r="GL467" s="32"/>
      <c r="GM467" s="32"/>
      <c r="GN467" s="32"/>
      <c r="GO467" s="32"/>
      <c r="GP467" s="32"/>
      <c r="GQ467" s="32"/>
      <c r="GR467" s="32"/>
      <c r="GS467" s="32"/>
      <c r="GT467" s="32"/>
      <c r="GU467" s="32"/>
      <c r="GV467" s="32"/>
      <c r="GW467" s="32"/>
      <c r="GX467" s="32"/>
      <c r="GY467" s="32"/>
      <c r="GZ467" s="32"/>
      <c r="HA467" s="32"/>
      <c r="HB467" s="32"/>
      <c r="HC467" s="32"/>
      <c r="HD467" s="32"/>
      <c r="HE467" s="32"/>
      <c r="HF467" s="32"/>
      <c r="HG467" s="32"/>
      <c r="HH467" s="32"/>
      <c r="HI467" s="32"/>
      <c r="HJ467" s="32"/>
      <c r="HK467" s="32"/>
      <c r="HL467" s="32"/>
      <c r="HM467" s="32"/>
      <c r="HN467" s="32"/>
      <c r="HO467" s="32"/>
      <c r="HP467" s="32"/>
    </row>
    <row r="468" spans="1:224" x14ac:dyDescent="0.25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  <c r="BD468" s="32"/>
      <c r="BE468" s="32"/>
      <c r="BF468" s="32"/>
      <c r="BG468" s="32"/>
      <c r="BH468" s="32"/>
      <c r="BI468" s="32"/>
      <c r="BJ468" s="32"/>
      <c r="BK468" s="32"/>
      <c r="BL468" s="32"/>
      <c r="BM468" s="32"/>
      <c r="BN468" s="32"/>
      <c r="BO468" s="32"/>
      <c r="BP468" s="32"/>
      <c r="BQ468" s="32"/>
      <c r="BR468" s="32"/>
      <c r="BS468" s="32"/>
      <c r="BT468" s="32"/>
      <c r="BU468" s="32"/>
      <c r="BV468" s="32"/>
      <c r="BW468" s="32"/>
      <c r="BX468" s="32"/>
      <c r="BY468" s="32"/>
      <c r="BZ468" s="32"/>
      <c r="CA468" s="32"/>
      <c r="CB468" s="32"/>
      <c r="CC468" s="32"/>
      <c r="CD468" s="32"/>
      <c r="CE468" s="32"/>
      <c r="CF468" s="32"/>
      <c r="CG468" s="32"/>
      <c r="CH468" s="32"/>
      <c r="CI468" s="32"/>
      <c r="CJ468" s="32"/>
      <c r="CK468" s="32"/>
      <c r="CL468" s="32"/>
      <c r="CM468" s="32"/>
      <c r="CN468" s="32"/>
      <c r="CO468" s="32"/>
      <c r="CP468" s="32"/>
      <c r="CQ468" s="32"/>
      <c r="CR468" s="32"/>
      <c r="CS468" s="32"/>
      <c r="CT468" s="32"/>
      <c r="CU468" s="32"/>
      <c r="CV468" s="32"/>
      <c r="CW468" s="32"/>
      <c r="CX468" s="32"/>
      <c r="CY468" s="32"/>
      <c r="CZ468" s="32"/>
      <c r="DA468" s="32"/>
      <c r="DB468" s="32"/>
      <c r="DC468" s="32"/>
      <c r="DD468" s="32"/>
      <c r="DE468" s="32"/>
      <c r="DF468" s="32"/>
      <c r="DG468" s="32"/>
      <c r="DH468" s="32"/>
      <c r="DI468" s="32"/>
      <c r="DJ468" s="32"/>
      <c r="DK468" s="32"/>
      <c r="DL468" s="32"/>
      <c r="DM468" s="32"/>
      <c r="DN468" s="32"/>
      <c r="DO468" s="32"/>
      <c r="DP468" s="32"/>
      <c r="DQ468" s="32"/>
      <c r="DR468" s="32"/>
      <c r="DS468" s="32"/>
      <c r="DT468" s="32"/>
      <c r="DU468" s="32"/>
      <c r="DV468" s="32"/>
      <c r="DW468" s="32"/>
      <c r="DX468" s="32"/>
      <c r="DY468" s="32"/>
      <c r="DZ468" s="32"/>
      <c r="EA468" s="32"/>
      <c r="EB468" s="32"/>
      <c r="EC468" s="32"/>
      <c r="ED468" s="32"/>
      <c r="EE468" s="32"/>
      <c r="EF468" s="32"/>
      <c r="EG468" s="32"/>
      <c r="EH468" s="32"/>
      <c r="EI468" s="32"/>
      <c r="EJ468" s="32"/>
      <c r="EK468" s="32"/>
      <c r="EL468" s="32"/>
      <c r="EM468" s="32"/>
      <c r="EN468" s="32"/>
      <c r="EO468" s="32"/>
      <c r="EP468" s="32"/>
      <c r="EQ468" s="32"/>
      <c r="ER468" s="32"/>
      <c r="ES468" s="32"/>
      <c r="ET468" s="32"/>
      <c r="EU468" s="32"/>
      <c r="EV468" s="32"/>
      <c r="EW468" s="32"/>
      <c r="EX468" s="32"/>
      <c r="EY468" s="32"/>
      <c r="EZ468" s="32"/>
      <c r="FA468" s="32"/>
      <c r="FB468" s="32"/>
      <c r="FC468" s="32"/>
      <c r="FD468" s="32"/>
      <c r="FE468" s="32"/>
      <c r="FF468" s="32"/>
      <c r="FG468" s="32"/>
      <c r="FH468" s="32"/>
      <c r="FI468" s="32"/>
      <c r="FJ468" s="32"/>
      <c r="FK468" s="32"/>
      <c r="FL468" s="32"/>
      <c r="FM468" s="32"/>
      <c r="FN468" s="32"/>
      <c r="FO468" s="32"/>
      <c r="FP468" s="32"/>
      <c r="FQ468" s="32"/>
      <c r="FR468" s="32"/>
      <c r="FS468" s="32"/>
      <c r="FT468" s="32"/>
      <c r="FU468" s="32"/>
      <c r="FV468" s="32"/>
      <c r="FW468" s="32"/>
      <c r="FX468" s="32"/>
      <c r="FY468" s="32"/>
      <c r="FZ468" s="32"/>
      <c r="GA468" s="32"/>
      <c r="GB468" s="32"/>
      <c r="GC468" s="32"/>
      <c r="GD468" s="32"/>
      <c r="GE468" s="32"/>
      <c r="GF468" s="32"/>
      <c r="GG468" s="32"/>
      <c r="GH468" s="32"/>
      <c r="GI468" s="32"/>
      <c r="GJ468" s="32"/>
      <c r="GK468" s="32"/>
      <c r="GL468" s="32"/>
      <c r="GM468" s="32"/>
      <c r="GN468" s="32"/>
      <c r="GO468" s="32"/>
      <c r="GP468" s="32"/>
      <c r="GQ468" s="32"/>
      <c r="GR468" s="32"/>
      <c r="GS468" s="32"/>
      <c r="GT468" s="32"/>
      <c r="GU468" s="32"/>
      <c r="GV468" s="32"/>
      <c r="GW468" s="32"/>
      <c r="GX468" s="32"/>
      <c r="GY468" s="32"/>
      <c r="GZ468" s="32"/>
      <c r="HA468" s="32"/>
      <c r="HB468" s="32"/>
      <c r="HC468" s="32"/>
      <c r="HD468" s="32"/>
      <c r="HE468" s="32"/>
      <c r="HF468" s="32"/>
      <c r="HG468" s="32"/>
      <c r="HH468" s="32"/>
      <c r="HI468" s="32"/>
      <c r="HJ468" s="32"/>
      <c r="HK468" s="32"/>
      <c r="HL468" s="32"/>
      <c r="HM468" s="32"/>
      <c r="HN468" s="32"/>
      <c r="HO468" s="32"/>
      <c r="HP468" s="32"/>
    </row>
    <row r="469" spans="1:224" x14ac:dyDescent="0.25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2"/>
      <c r="BF469" s="32"/>
      <c r="BG469" s="32"/>
      <c r="BH469" s="32"/>
      <c r="BI469" s="32"/>
      <c r="BJ469" s="32"/>
      <c r="BK469" s="32"/>
      <c r="BL469" s="32"/>
      <c r="BM469" s="32"/>
      <c r="BN469" s="32"/>
      <c r="BO469" s="32"/>
      <c r="BP469" s="32"/>
      <c r="BQ469" s="32"/>
      <c r="BR469" s="32"/>
      <c r="BS469" s="32"/>
      <c r="BT469" s="32"/>
      <c r="BU469" s="32"/>
      <c r="BV469" s="32"/>
      <c r="BW469" s="32"/>
      <c r="BX469" s="32"/>
      <c r="BY469" s="32"/>
      <c r="BZ469" s="32"/>
      <c r="CA469" s="32"/>
      <c r="CB469" s="32"/>
      <c r="CC469" s="32"/>
      <c r="CD469" s="32"/>
      <c r="CE469" s="32"/>
      <c r="CF469" s="32"/>
      <c r="CG469" s="32"/>
      <c r="CH469" s="32"/>
      <c r="CI469" s="32"/>
      <c r="CJ469" s="32"/>
      <c r="CK469" s="32"/>
      <c r="CL469" s="32"/>
      <c r="CM469" s="32"/>
      <c r="CN469" s="32"/>
      <c r="CO469" s="32"/>
      <c r="CP469" s="32"/>
      <c r="CQ469" s="32"/>
      <c r="CR469" s="32"/>
      <c r="CS469" s="32"/>
      <c r="CT469" s="32"/>
      <c r="CU469" s="32"/>
      <c r="CV469" s="32"/>
      <c r="CW469" s="32"/>
      <c r="CX469" s="32"/>
      <c r="CY469" s="32"/>
      <c r="CZ469" s="32"/>
      <c r="DA469" s="32"/>
      <c r="DB469" s="32"/>
      <c r="DC469" s="32"/>
      <c r="DD469" s="32"/>
      <c r="DE469" s="32"/>
      <c r="DF469" s="32"/>
      <c r="DG469" s="32"/>
      <c r="DH469" s="32"/>
      <c r="DI469" s="32"/>
      <c r="DJ469" s="32"/>
      <c r="DK469" s="32"/>
      <c r="DL469" s="32"/>
      <c r="DM469" s="32"/>
      <c r="DN469" s="32"/>
      <c r="DO469" s="32"/>
      <c r="DP469" s="32"/>
      <c r="DQ469" s="32"/>
      <c r="DR469" s="32"/>
      <c r="DS469" s="32"/>
      <c r="DT469" s="32"/>
      <c r="DU469" s="32"/>
      <c r="DV469" s="32"/>
      <c r="DW469" s="32"/>
      <c r="DX469" s="32"/>
      <c r="DY469" s="32"/>
      <c r="DZ469" s="32"/>
      <c r="EA469" s="32"/>
      <c r="EB469" s="32"/>
      <c r="EC469" s="32"/>
      <c r="ED469" s="32"/>
      <c r="EE469" s="32"/>
      <c r="EF469" s="32"/>
      <c r="EG469" s="32"/>
      <c r="EH469" s="32"/>
      <c r="EI469" s="32"/>
      <c r="EJ469" s="32"/>
      <c r="EK469" s="32"/>
      <c r="EL469" s="32"/>
      <c r="EM469" s="32"/>
      <c r="EN469" s="32"/>
      <c r="EO469" s="32"/>
      <c r="EP469" s="32"/>
      <c r="EQ469" s="32"/>
      <c r="ER469" s="32"/>
      <c r="ES469" s="32"/>
      <c r="ET469" s="32"/>
      <c r="EU469" s="32"/>
      <c r="EV469" s="32"/>
      <c r="EW469" s="32"/>
      <c r="EX469" s="32"/>
      <c r="EY469" s="32"/>
      <c r="EZ469" s="32"/>
      <c r="FA469" s="32"/>
      <c r="FB469" s="32"/>
      <c r="FC469" s="32"/>
      <c r="FD469" s="32"/>
      <c r="FE469" s="32"/>
      <c r="FF469" s="32"/>
      <c r="FG469" s="32"/>
      <c r="FH469" s="32"/>
      <c r="FI469" s="32"/>
      <c r="FJ469" s="32"/>
      <c r="FK469" s="32"/>
      <c r="FL469" s="32"/>
      <c r="FM469" s="32"/>
      <c r="FN469" s="32"/>
      <c r="FO469" s="32"/>
      <c r="FP469" s="32"/>
      <c r="FQ469" s="32"/>
      <c r="FR469" s="32"/>
      <c r="FS469" s="32"/>
      <c r="FT469" s="32"/>
      <c r="FU469" s="32"/>
      <c r="FV469" s="32"/>
      <c r="FW469" s="32"/>
      <c r="FX469" s="32"/>
      <c r="FY469" s="32"/>
      <c r="FZ469" s="32"/>
      <c r="GA469" s="32"/>
      <c r="GB469" s="32"/>
      <c r="GC469" s="32"/>
      <c r="GD469" s="32"/>
      <c r="GE469" s="32"/>
      <c r="GF469" s="32"/>
      <c r="GG469" s="32"/>
      <c r="GH469" s="32"/>
      <c r="GI469" s="32"/>
      <c r="GJ469" s="32"/>
      <c r="GK469" s="32"/>
      <c r="GL469" s="32"/>
      <c r="GM469" s="32"/>
      <c r="GN469" s="32"/>
      <c r="GO469" s="32"/>
      <c r="GP469" s="32"/>
      <c r="GQ469" s="32"/>
      <c r="GR469" s="32"/>
      <c r="GS469" s="32"/>
      <c r="GT469" s="32"/>
      <c r="GU469" s="32"/>
      <c r="GV469" s="32"/>
      <c r="GW469" s="32"/>
      <c r="GX469" s="32"/>
      <c r="GY469" s="32"/>
      <c r="GZ469" s="32"/>
      <c r="HA469" s="32"/>
      <c r="HB469" s="32"/>
      <c r="HC469" s="32"/>
      <c r="HD469" s="32"/>
      <c r="HE469" s="32"/>
      <c r="HF469" s="32"/>
      <c r="HG469" s="32"/>
      <c r="HH469" s="32"/>
      <c r="HI469" s="32"/>
      <c r="HJ469" s="32"/>
      <c r="HK469" s="32"/>
      <c r="HL469" s="32"/>
      <c r="HM469" s="32"/>
      <c r="HN469" s="32"/>
      <c r="HO469" s="32"/>
      <c r="HP469" s="32"/>
    </row>
    <row r="470" spans="1:224" x14ac:dyDescent="0.25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2"/>
      <c r="BF470" s="32"/>
      <c r="BG470" s="32"/>
      <c r="BH470" s="32"/>
      <c r="BI470" s="32"/>
      <c r="BJ470" s="32"/>
      <c r="BK470" s="32"/>
      <c r="BL470" s="32"/>
      <c r="BM470" s="32"/>
      <c r="BN470" s="32"/>
      <c r="BO470" s="32"/>
      <c r="BP470" s="32"/>
      <c r="BQ470" s="32"/>
      <c r="BR470" s="32"/>
      <c r="BS470" s="32"/>
      <c r="BT470" s="32"/>
      <c r="BU470" s="32"/>
      <c r="BV470" s="32"/>
      <c r="BW470" s="32"/>
      <c r="BX470" s="32"/>
      <c r="BY470" s="32"/>
      <c r="BZ470" s="32"/>
      <c r="CA470" s="32"/>
      <c r="CB470" s="32"/>
      <c r="CC470" s="32"/>
      <c r="CD470" s="32"/>
      <c r="CE470" s="32"/>
      <c r="CF470" s="32"/>
      <c r="CG470" s="32"/>
      <c r="CH470" s="32"/>
      <c r="CI470" s="32"/>
      <c r="CJ470" s="32"/>
      <c r="CK470" s="32"/>
      <c r="CL470" s="32"/>
      <c r="CM470" s="32"/>
      <c r="CN470" s="32"/>
      <c r="CO470" s="32"/>
      <c r="CP470" s="32"/>
      <c r="CQ470" s="32"/>
      <c r="CR470" s="32"/>
      <c r="CS470" s="32"/>
      <c r="CT470" s="32"/>
      <c r="CU470" s="32"/>
      <c r="CV470" s="32"/>
      <c r="CW470" s="32"/>
      <c r="CX470" s="32"/>
      <c r="CY470" s="32"/>
      <c r="CZ470" s="32"/>
      <c r="DA470" s="32"/>
      <c r="DB470" s="32"/>
      <c r="DC470" s="32"/>
      <c r="DD470" s="32"/>
      <c r="DE470" s="32"/>
      <c r="DF470" s="32"/>
      <c r="DG470" s="32"/>
      <c r="DH470" s="32"/>
      <c r="DI470" s="32"/>
      <c r="DJ470" s="32"/>
      <c r="DK470" s="32"/>
      <c r="DL470" s="32"/>
      <c r="DM470" s="32"/>
      <c r="DN470" s="32"/>
      <c r="DO470" s="32"/>
      <c r="DP470" s="32"/>
      <c r="DQ470" s="32"/>
      <c r="DR470" s="32"/>
      <c r="DS470" s="32"/>
      <c r="DT470" s="32"/>
      <c r="DU470" s="32"/>
      <c r="DV470" s="32"/>
      <c r="DW470" s="32"/>
      <c r="DX470" s="32"/>
      <c r="DY470" s="32"/>
      <c r="DZ470" s="32"/>
      <c r="EA470" s="32"/>
      <c r="EB470" s="32"/>
      <c r="EC470" s="32"/>
      <c r="ED470" s="32"/>
      <c r="EE470" s="32"/>
      <c r="EF470" s="32"/>
      <c r="EG470" s="32"/>
      <c r="EH470" s="32"/>
      <c r="EI470" s="32"/>
      <c r="EJ470" s="32"/>
      <c r="EK470" s="32"/>
      <c r="EL470" s="32"/>
      <c r="EM470" s="32"/>
      <c r="EN470" s="32"/>
      <c r="EO470" s="32"/>
      <c r="EP470" s="32"/>
      <c r="EQ470" s="32"/>
      <c r="ER470" s="32"/>
      <c r="ES470" s="32"/>
      <c r="ET470" s="32"/>
      <c r="EU470" s="32"/>
      <c r="EV470" s="32"/>
      <c r="EW470" s="32"/>
      <c r="EX470" s="32"/>
      <c r="EY470" s="32"/>
      <c r="EZ470" s="32"/>
      <c r="FA470" s="32"/>
      <c r="FB470" s="32"/>
      <c r="FC470" s="32"/>
      <c r="FD470" s="32"/>
      <c r="FE470" s="32"/>
      <c r="FF470" s="32"/>
      <c r="FG470" s="32"/>
      <c r="FH470" s="32"/>
      <c r="FI470" s="32"/>
      <c r="FJ470" s="32"/>
      <c r="FK470" s="32"/>
      <c r="FL470" s="32"/>
      <c r="FM470" s="32"/>
      <c r="FN470" s="32"/>
      <c r="FO470" s="32"/>
      <c r="FP470" s="32"/>
      <c r="FQ470" s="32"/>
      <c r="FR470" s="32"/>
      <c r="FS470" s="32"/>
      <c r="FT470" s="32"/>
      <c r="FU470" s="32"/>
      <c r="FV470" s="32"/>
      <c r="FW470" s="32"/>
      <c r="FX470" s="32"/>
      <c r="FY470" s="32"/>
      <c r="FZ470" s="32"/>
      <c r="GA470" s="32"/>
      <c r="GB470" s="32"/>
      <c r="GC470" s="32"/>
      <c r="GD470" s="32"/>
      <c r="GE470" s="32"/>
      <c r="GF470" s="32"/>
      <c r="GG470" s="32"/>
      <c r="GH470" s="32"/>
      <c r="GI470" s="32"/>
      <c r="GJ470" s="32"/>
      <c r="GK470" s="32"/>
      <c r="GL470" s="32"/>
      <c r="GM470" s="32"/>
      <c r="GN470" s="32"/>
      <c r="GO470" s="32"/>
      <c r="GP470" s="32"/>
      <c r="GQ470" s="32"/>
      <c r="GR470" s="32"/>
      <c r="GS470" s="32"/>
      <c r="GT470" s="32"/>
      <c r="GU470" s="32"/>
      <c r="GV470" s="32"/>
      <c r="GW470" s="32"/>
      <c r="GX470" s="32"/>
      <c r="GY470" s="32"/>
      <c r="GZ470" s="32"/>
      <c r="HA470" s="32"/>
      <c r="HB470" s="32"/>
      <c r="HC470" s="32"/>
      <c r="HD470" s="32"/>
      <c r="HE470" s="32"/>
      <c r="HF470" s="32"/>
      <c r="HG470" s="32"/>
      <c r="HH470" s="32"/>
      <c r="HI470" s="32"/>
      <c r="HJ470" s="32"/>
      <c r="HK470" s="32"/>
      <c r="HL470" s="32"/>
      <c r="HM470" s="32"/>
      <c r="HN470" s="32"/>
      <c r="HO470" s="32"/>
      <c r="HP470" s="32"/>
    </row>
    <row r="471" spans="1:224" x14ac:dyDescent="0.25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  <c r="BE471" s="32"/>
      <c r="BF471" s="32"/>
      <c r="BG471" s="32"/>
      <c r="BH471" s="32"/>
      <c r="BI471" s="32"/>
      <c r="BJ471" s="32"/>
      <c r="BK471" s="32"/>
      <c r="BL471" s="32"/>
      <c r="BM471" s="32"/>
      <c r="BN471" s="32"/>
      <c r="BO471" s="32"/>
      <c r="BP471" s="32"/>
      <c r="BQ471" s="32"/>
      <c r="BR471" s="32"/>
      <c r="BS471" s="32"/>
      <c r="BT471" s="32"/>
      <c r="BU471" s="32"/>
      <c r="BV471" s="32"/>
      <c r="BW471" s="32"/>
      <c r="BX471" s="32"/>
      <c r="BY471" s="32"/>
      <c r="BZ471" s="32"/>
      <c r="CA471" s="32"/>
      <c r="CB471" s="32"/>
      <c r="CC471" s="32"/>
      <c r="CD471" s="32"/>
      <c r="CE471" s="32"/>
      <c r="CF471" s="32"/>
      <c r="CG471" s="32"/>
      <c r="CH471" s="32"/>
      <c r="CI471" s="32"/>
      <c r="CJ471" s="32"/>
      <c r="CK471" s="32"/>
      <c r="CL471" s="32"/>
      <c r="CM471" s="32"/>
      <c r="CN471" s="32"/>
      <c r="CO471" s="32"/>
      <c r="CP471" s="32"/>
      <c r="CQ471" s="32"/>
      <c r="CR471" s="32"/>
      <c r="CS471" s="32"/>
      <c r="CT471" s="32"/>
      <c r="CU471" s="32"/>
      <c r="CV471" s="32"/>
      <c r="CW471" s="32"/>
      <c r="CX471" s="32"/>
      <c r="CY471" s="32"/>
      <c r="CZ471" s="32"/>
      <c r="DA471" s="32"/>
      <c r="DB471" s="32"/>
      <c r="DC471" s="32"/>
      <c r="DD471" s="32"/>
      <c r="DE471" s="32"/>
      <c r="DF471" s="32"/>
      <c r="DG471" s="32"/>
      <c r="DH471" s="32"/>
      <c r="DI471" s="32"/>
      <c r="DJ471" s="32"/>
      <c r="DK471" s="32"/>
      <c r="DL471" s="32"/>
      <c r="DM471" s="32"/>
      <c r="DN471" s="32"/>
      <c r="DO471" s="32"/>
      <c r="DP471" s="32"/>
      <c r="DQ471" s="32"/>
      <c r="DR471" s="32"/>
      <c r="DS471" s="32"/>
      <c r="DT471" s="32"/>
      <c r="DU471" s="32"/>
      <c r="DV471" s="32"/>
      <c r="DW471" s="32"/>
      <c r="DX471" s="32"/>
      <c r="DY471" s="32"/>
      <c r="DZ471" s="32"/>
      <c r="EA471" s="32"/>
      <c r="EB471" s="32"/>
      <c r="EC471" s="32"/>
      <c r="ED471" s="32"/>
      <c r="EE471" s="32"/>
      <c r="EF471" s="32"/>
      <c r="EG471" s="32"/>
      <c r="EH471" s="32"/>
      <c r="EI471" s="32"/>
      <c r="EJ471" s="32"/>
      <c r="EK471" s="32"/>
      <c r="EL471" s="32"/>
      <c r="EM471" s="32"/>
      <c r="EN471" s="32"/>
      <c r="EO471" s="32"/>
      <c r="EP471" s="32"/>
      <c r="EQ471" s="32"/>
      <c r="ER471" s="32"/>
      <c r="ES471" s="32"/>
      <c r="ET471" s="32"/>
      <c r="EU471" s="32"/>
      <c r="EV471" s="32"/>
      <c r="EW471" s="32"/>
      <c r="EX471" s="32"/>
      <c r="EY471" s="32"/>
      <c r="EZ471" s="32"/>
      <c r="FA471" s="32"/>
      <c r="FB471" s="32"/>
      <c r="FC471" s="32"/>
      <c r="FD471" s="32"/>
      <c r="FE471" s="32"/>
      <c r="FF471" s="32"/>
      <c r="FG471" s="32"/>
      <c r="FH471" s="32"/>
      <c r="FI471" s="32"/>
      <c r="FJ471" s="32"/>
      <c r="FK471" s="32"/>
      <c r="FL471" s="32"/>
      <c r="FM471" s="32"/>
      <c r="FN471" s="32"/>
      <c r="FO471" s="32"/>
      <c r="FP471" s="32"/>
      <c r="FQ471" s="32"/>
      <c r="FR471" s="32"/>
      <c r="FS471" s="32"/>
      <c r="FT471" s="32"/>
      <c r="FU471" s="32"/>
      <c r="FV471" s="32"/>
      <c r="FW471" s="32"/>
      <c r="FX471" s="32"/>
      <c r="FY471" s="32"/>
      <c r="FZ471" s="32"/>
      <c r="GA471" s="32"/>
      <c r="GB471" s="32"/>
      <c r="GC471" s="32"/>
      <c r="GD471" s="32"/>
      <c r="GE471" s="32"/>
      <c r="GF471" s="32"/>
      <c r="GG471" s="32"/>
      <c r="GH471" s="32"/>
      <c r="GI471" s="32"/>
      <c r="GJ471" s="32"/>
      <c r="GK471" s="32"/>
      <c r="GL471" s="32"/>
      <c r="GM471" s="32"/>
      <c r="GN471" s="32"/>
      <c r="GO471" s="32"/>
      <c r="GP471" s="32"/>
      <c r="GQ471" s="32"/>
      <c r="GR471" s="32"/>
      <c r="GS471" s="32"/>
      <c r="GT471" s="32"/>
      <c r="GU471" s="32"/>
      <c r="GV471" s="32"/>
      <c r="GW471" s="32"/>
      <c r="GX471" s="32"/>
      <c r="GY471" s="32"/>
      <c r="GZ471" s="32"/>
      <c r="HA471" s="32"/>
      <c r="HB471" s="32"/>
      <c r="HC471" s="32"/>
      <c r="HD471" s="32"/>
      <c r="HE471" s="32"/>
      <c r="HF471" s="32"/>
      <c r="HG471" s="32"/>
      <c r="HH471" s="32"/>
      <c r="HI471" s="32"/>
      <c r="HJ471" s="32"/>
      <c r="HK471" s="32"/>
      <c r="HL471" s="32"/>
      <c r="HM471" s="32"/>
      <c r="HN471" s="32"/>
      <c r="HO471" s="32"/>
      <c r="HP471" s="32"/>
    </row>
    <row r="472" spans="1:224" x14ac:dyDescent="0.25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  <c r="BE472" s="32"/>
      <c r="BF472" s="32"/>
      <c r="BG472" s="32"/>
      <c r="BH472" s="32"/>
      <c r="BI472" s="32"/>
      <c r="BJ472" s="32"/>
      <c r="BK472" s="32"/>
      <c r="BL472" s="32"/>
      <c r="BM472" s="32"/>
      <c r="BN472" s="32"/>
      <c r="BO472" s="32"/>
      <c r="BP472" s="32"/>
      <c r="BQ472" s="32"/>
      <c r="BR472" s="32"/>
      <c r="BS472" s="32"/>
      <c r="BT472" s="32"/>
      <c r="BU472" s="32"/>
      <c r="BV472" s="32"/>
      <c r="BW472" s="32"/>
      <c r="BX472" s="32"/>
      <c r="BY472" s="32"/>
      <c r="BZ472" s="32"/>
      <c r="CA472" s="32"/>
      <c r="CB472" s="32"/>
      <c r="CC472" s="32"/>
      <c r="CD472" s="32"/>
      <c r="CE472" s="32"/>
      <c r="CF472" s="32"/>
      <c r="CG472" s="32"/>
      <c r="CH472" s="32"/>
      <c r="CI472" s="32"/>
      <c r="CJ472" s="32"/>
      <c r="CK472" s="32"/>
      <c r="CL472" s="32"/>
      <c r="CM472" s="32"/>
      <c r="CN472" s="32"/>
      <c r="CO472" s="32"/>
      <c r="CP472" s="32"/>
      <c r="CQ472" s="32"/>
      <c r="CR472" s="32"/>
      <c r="CS472" s="32"/>
      <c r="CT472" s="32"/>
      <c r="CU472" s="32"/>
      <c r="CV472" s="32"/>
      <c r="CW472" s="32"/>
      <c r="CX472" s="32"/>
      <c r="CY472" s="32"/>
      <c r="CZ472" s="32"/>
      <c r="DA472" s="32"/>
      <c r="DB472" s="32"/>
      <c r="DC472" s="32"/>
      <c r="DD472" s="32"/>
      <c r="DE472" s="32"/>
      <c r="DF472" s="32"/>
      <c r="DG472" s="32"/>
      <c r="DH472" s="32"/>
      <c r="DI472" s="32"/>
      <c r="DJ472" s="32"/>
      <c r="DK472" s="32"/>
      <c r="DL472" s="32"/>
      <c r="DM472" s="32"/>
      <c r="DN472" s="32"/>
      <c r="DO472" s="32"/>
      <c r="DP472" s="32"/>
      <c r="DQ472" s="32"/>
      <c r="DR472" s="32"/>
      <c r="DS472" s="32"/>
      <c r="DT472" s="32"/>
      <c r="DU472" s="32"/>
      <c r="DV472" s="32"/>
      <c r="DW472" s="32"/>
      <c r="DX472" s="32"/>
      <c r="DY472" s="32"/>
      <c r="DZ472" s="32"/>
      <c r="EA472" s="32"/>
      <c r="EB472" s="32"/>
      <c r="EC472" s="32"/>
      <c r="ED472" s="32"/>
      <c r="EE472" s="32"/>
      <c r="EF472" s="32"/>
      <c r="EG472" s="32"/>
      <c r="EH472" s="32"/>
      <c r="EI472" s="32"/>
      <c r="EJ472" s="32"/>
      <c r="EK472" s="32"/>
      <c r="EL472" s="32"/>
      <c r="EM472" s="32"/>
      <c r="EN472" s="32"/>
      <c r="EO472" s="32"/>
      <c r="EP472" s="32"/>
      <c r="EQ472" s="32"/>
      <c r="ER472" s="32"/>
      <c r="ES472" s="32"/>
      <c r="ET472" s="32"/>
      <c r="EU472" s="32"/>
      <c r="EV472" s="32"/>
      <c r="EW472" s="32"/>
      <c r="EX472" s="32"/>
      <c r="EY472" s="32"/>
      <c r="EZ472" s="32"/>
      <c r="FA472" s="32"/>
      <c r="FB472" s="32"/>
      <c r="FC472" s="32"/>
      <c r="FD472" s="32"/>
      <c r="FE472" s="32"/>
      <c r="FF472" s="32"/>
      <c r="FG472" s="32"/>
      <c r="FH472" s="32"/>
      <c r="FI472" s="32"/>
      <c r="FJ472" s="32"/>
      <c r="FK472" s="32"/>
      <c r="FL472" s="32"/>
      <c r="FM472" s="32"/>
      <c r="FN472" s="32"/>
      <c r="FO472" s="32"/>
      <c r="FP472" s="32"/>
      <c r="FQ472" s="32"/>
      <c r="FR472" s="32"/>
      <c r="FS472" s="32"/>
      <c r="FT472" s="32"/>
      <c r="FU472" s="32"/>
      <c r="FV472" s="32"/>
      <c r="FW472" s="32"/>
      <c r="FX472" s="32"/>
      <c r="FY472" s="32"/>
      <c r="FZ472" s="32"/>
      <c r="GA472" s="32"/>
      <c r="GB472" s="32"/>
      <c r="GC472" s="32"/>
      <c r="GD472" s="32"/>
      <c r="GE472" s="32"/>
      <c r="GF472" s="32"/>
      <c r="GG472" s="32"/>
      <c r="GH472" s="32"/>
      <c r="GI472" s="32"/>
      <c r="GJ472" s="32"/>
      <c r="GK472" s="32"/>
      <c r="GL472" s="32"/>
      <c r="GM472" s="32"/>
      <c r="GN472" s="32"/>
      <c r="GO472" s="32"/>
      <c r="GP472" s="32"/>
      <c r="GQ472" s="32"/>
      <c r="GR472" s="32"/>
      <c r="GS472" s="32"/>
      <c r="GT472" s="32"/>
      <c r="GU472" s="32"/>
      <c r="GV472" s="32"/>
      <c r="GW472" s="32"/>
      <c r="GX472" s="32"/>
      <c r="GY472" s="32"/>
      <c r="GZ472" s="32"/>
      <c r="HA472" s="32"/>
      <c r="HB472" s="32"/>
      <c r="HC472" s="32"/>
      <c r="HD472" s="32"/>
      <c r="HE472" s="32"/>
      <c r="HF472" s="32"/>
      <c r="HG472" s="32"/>
      <c r="HH472" s="32"/>
      <c r="HI472" s="32"/>
      <c r="HJ472" s="32"/>
      <c r="HK472" s="32"/>
      <c r="HL472" s="32"/>
      <c r="HM472" s="32"/>
      <c r="HN472" s="32"/>
      <c r="HO472" s="32"/>
      <c r="HP472" s="32"/>
    </row>
    <row r="473" spans="1:224" x14ac:dyDescent="0.25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  <c r="BE473" s="32"/>
      <c r="BF473" s="32"/>
      <c r="BG473" s="32"/>
      <c r="BH473" s="32"/>
      <c r="BI473" s="32"/>
      <c r="BJ473" s="32"/>
      <c r="BK473" s="32"/>
      <c r="BL473" s="32"/>
      <c r="BM473" s="32"/>
      <c r="BN473" s="32"/>
      <c r="BO473" s="32"/>
      <c r="BP473" s="32"/>
      <c r="BQ473" s="32"/>
      <c r="BR473" s="32"/>
      <c r="BS473" s="32"/>
      <c r="BT473" s="32"/>
      <c r="BU473" s="32"/>
      <c r="BV473" s="32"/>
      <c r="BW473" s="32"/>
      <c r="BX473" s="32"/>
      <c r="BY473" s="32"/>
      <c r="BZ473" s="32"/>
      <c r="CA473" s="32"/>
      <c r="CB473" s="32"/>
      <c r="CC473" s="32"/>
      <c r="CD473" s="32"/>
      <c r="CE473" s="32"/>
      <c r="CF473" s="32"/>
      <c r="CG473" s="32"/>
      <c r="CH473" s="32"/>
      <c r="CI473" s="32"/>
      <c r="CJ473" s="32"/>
      <c r="CK473" s="32"/>
      <c r="CL473" s="32"/>
      <c r="CM473" s="32"/>
      <c r="CN473" s="32"/>
      <c r="CO473" s="32"/>
      <c r="CP473" s="32"/>
      <c r="CQ473" s="32"/>
      <c r="CR473" s="32"/>
      <c r="CS473" s="32"/>
      <c r="CT473" s="32"/>
      <c r="CU473" s="32"/>
      <c r="CV473" s="32"/>
      <c r="CW473" s="32"/>
      <c r="CX473" s="32"/>
      <c r="CY473" s="32"/>
      <c r="CZ473" s="32"/>
      <c r="DA473" s="32"/>
      <c r="DB473" s="32"/>
      <c r="DC473" s="32"/>
      <c r="DD473" s="32"/>
      <c r="DE473" s="32"/>
      <c r="DF473" s="32"/>
      <c r="DG473" s="32"/>
      <c r="DH473" s="32"/>
      <c r="DI473" s="32"/>
      <c r="DJ473" s="32"/>
      <c r="DK473" s="32"/>
      <c r="DL473" s="32"/>
      <c r="DM473" s="32"/>
      <c r="DN473" s="32"/>
      <c r="DO473" s="32"/>
      <c r="DP473" s="32"/>
      <c r="DQ473" s="32"/>
      <c r="DR473" s="32"/>
      <c r="DS473" s="32"/>
      <c r="DT473" s="32"/>
      <c r="DU473" s="32"/>
      <c r="DV473" s="32"/>
      <c r="DW473" s="32"/>
      <c r="DX473" s="32"/>
      <c r="DY473" s="32"/>
      <c r="DZ473" s="32"/>
      <c r="EA473" s="32"/>
      <c r="EB473" s="32"/>
      <c r="EC473" s="32"/>
      <c r="ED473" s="32"/>
      <c r="EE473" s="32"/>
      <c r="EF473" s="32"/>
      <c r="EG473" s="32"/>
      <c r="EH473" s="32"/>
      <c r="EI473" s="32"/>
      <c r="EJ473" s="32"/>
      <c r="EK473" s="32"/>
      <c r="EL473" s="32"/>
      <c r="EM473" s="32"/>
      <c r="EN473" s="32"/>
      <c r="EO473" s="32"/>
      <c r="EP473" s="32"/>
      <c r="EQ473" s="32"/>
      <c r="ER473" s="32"/>
      <c r="ES473" s="32"/>
      <c r="ET473" s="32"/>
      <c r="EU473" s="32"/>
      <c r="EV473" s="32"/>
      <c r="EW473" s="32"/>
      <c r="EX473" s="32"/>
      <c r="EY473" s="32"/>
      <c r="EZ473" s="32"/>
      <c r="FA473" s="32"/>
      <c r="FB473" s="32"/>
      <c r="FC473" s="32"/>
      <c r="FD473" s="32"/>
      <c r="FE473" s="32"/>
      <c r="FF473" s="32"/>
      <c r="FG473" s="32"/>
      <c r="FH473" s="32"/>
      <c r="FI473" s="32"/>
      <c r="FJ473" s="32"/>
      <c r="FK473" s="32"/>
      <c r="FL473" s="32"/>
      <c r="FM473" s="32"/>
      <c r="FN473" s="32"/>
      <c r="FO473" s="32"/>
      <c r="FP473" s="32"/>
      <c r="FQ473" s="32"/>
      <c r="FR473" s="32"/>
      <c r="FS473" s="32"/>
      <c r="FT473" s="32"/>
      <c r="FU473" s="32"/>
      <c r="FV473" s="32"/>
      <c r="FW473" s="32"/>
      <c r="FX473" s="32"/>
      <c r="FY473" s="32"/>
      <c r="FZ473" s="32"/>
      <c r="GA473" s="32"/>
      <c r="GB473" s="32"/>
      <c r="GC473" s="32"/>
      <c r="GD473" s="32"/>
      <c r="GE473" s="32"/>
      <c r="GF473" s="32"/>
      <c r="GG473" s="32"/>
      <c r="GH473" s="32"/>
      <c r="GI473" s="32"/>
      <c r="GJ473" s="32"/>
      <c r="GK473" s="32"/>
      <c r="GL473" s="32"/>
      <c r="GM473" s="32"/>
      <c r="GN473" s="32"/>
      <c r="GO473" s="32"/>
      <c r="GP473" s="32"/>
      <c r="GQ473" s="32"/>
      <c r="GR473" s="32"/>
      <c r="GS473" s="32"/>
      <c r="GT473" s="32"/>
      <c r="GU473" s="32"/>
      <c r="GV473" s="32"/>
      <c r="GW473" s="32"/>
      <c r="GX473" s="32"/>
      <c r="GY473" s="32"/>
      <c r="GZ473" s="32"/>
      <c r="HA473" s="32"/>
      <c r="HB473" s="32"/>
      <c r="HC473" s="32"/>
      <c r="HD473" s="32"/>
      <c r="HE473" s="32"/>
      <c r="HF473" s="32"/>
      <c r="HG473" s="32"/>
      <c r="HH473" s="32"/>
      <c r="HI473" s="32"/>
      <c r="HJ473" s="32"/>
      <c r="HK473" s="32"/>
      <c r="HL473" s="32"/>
      <c r="HM473" s="32"/>
      <c r="HN473" s="32"/>
      <c r="HO473" s="32"/>
      <c r="HP473" s="32"/>
    </row>
    <row r="474" spans="1:224" x14ac:dyDescent="0.25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  <c r="BD474" s="32"/>
      <c r="BE474" s="32"/>
      <c r="BF474" s="32"/>
      <c r="BG474" s="32"/>
      <c r="BH474" s="32"/>
      <c r="BI474" s="32"/>
      <c r="BJ474" s="32"/>
      <c r="BK474" s="32"/>
      <c r="BL474" s="32"/>
      <c r="BM474" s="32"/>
      <c r="BN474" s="32"/>
      <c r="BO474" s="32"/>
      <c r="BP474" s="32"/>
      <c r="BQ474" s="32"/>
      <c r="BR474" s="32"/>
      <c r="BS474" s="32"/>
      <c r="BT474" s="32"/>
      <c r="BU474" s="32"/>
      <c r="BV474" s="32"/>
      <c r="BW474" s="32"/>
      <c r="BX474" s="32"/>
      <c r="BY474" s="32"/>
      <c r="BZ474" s="32"/>
      <c r="CA474" s="32"/>
      <c r="CB474" s="32"/>
      <c r="CC474" s="32"/>
      <c r="CD474" s="32"/>
      <c r="CE474" s="32"/>
      <c r="CF474" s="32"/>
      <c r="CG474" s="32"/>
      <c r="CH474" s="32"/>
      <c r="CI474" s="32"/>
      <c r="CJ474" s="32"/>
      <c r="CK474" s="32"/>
      <c r="CL474" s="32"/>
      <c r="CM474" s="32"/>
      <c r="CN474" s="32"/>
      <c r="CO474" s="32"/>
      <c r="CP474" s="32"/>
      <c r="CQ474" s="32"/>
      <c r="CR474" s="32"/>
      <c r="CS474" s="32"/>
      <c r="CT474" s="32"/>
      <c r="CU474" s="32"/>
      <c r="CV474" s="32"/>
      <c r="CW474" s="32"/>
      <c r="CX474" s="32"/>
      <c r="CY474" s="32"/>
      <c r="CZ474" s="32"/>
      <c r="DA474" s="32"/>
      <c r="DB474" s="32"/>
      <c r="DC474" s="32"/>
      <c r="DD474" s="32"/>
      <c r="DE474" s="32"/>
      <c r="DF474" s="32"/>
      <c r="DG474" s="32"/>
      <c r="DH474" s="32"/>
      <c r="DI474" s="32"/>
      <c r="DJ474" s="32"/>
      <c r="DK474" s="32"/>
      <c r="DL474" s="32"/>
      <c r="DM474" s="32"/>
      <c r="DN474" s="32"/>
      <c r="DO474" s="32"/>
      <c r="DP474" s="32"/>
      <c r="DQ474" s="32"/>
      <c r="DR474" s="32"/>
      <c r="DS474" s="32"/>
      <c r="DT474" s="32"/>
      <c r="DU474" s="32"/>
      <c r="DV474" s="32"/>
      <c r="DW474" s="32"/>
      <c r="DX474" s="32"/>
      <c r="DY474" s="32"/>
      <c r="DZ474" s="32"/>
      <c r="EA474" s="32"/>
      <c r="EB474" s="32"/>
      <c r="EC474" s="32"/>
      <c r="ED474" s="32"/>
      <c r="EE474" s="32"/>
      <c r="EF474" s="32"/>
      <c r="EG474" s="32"/>
      <c r="EH474" s="32"/>
      <c r="EI474" s="32"/>
      <c r="EJ474" s="32"/>
      <c r="EK474" s="32"/>
      <c r="EL474" s="32"/>
      <c r="EM474" s="32"/>
      <c r="EN474" s="32"/>
      <c r="EO474" s="32"/>
      <c r="EP474" s="32"/>
      <c r="EQ474" s="32"/>
      <c r="ER474" s="32"/>
      <c r="ES474" s="32"/>
      <c r="ET474" s="32"/>
      <c r="EU474" s="32"/>
      <c r="EV474" s="32"/>
      <c r="EW474" s="32"/>
      <c r="EX474" s="32"/>
      <c r="EY474" s="32"/>
      <c r="EZ474" s="32"/>
      <c r="FA474" s="32"/>
      <c r="FB474" s="32"/>
      <c r="FC474" s="32"/>
      <c r="FD474" s="32"/>
      <c r="FE474" s="32"/>
      <c r="FF474" s="32"/>
      <c r="FG474" s="32"/>
      <c r="FH474" s="32"/>
      <c r="FI474" s="32"/>
      <c r="FJ474" s="32"/>
      <c r="FK474" s="32"/>
      <c r="FL474" s="32"/>
      <c r="FM474" s="32"/>
      <c r="FN474" s="32"/>
      <c r="FO474" s="32"/>
      <c r="FP474" s="32"/>
      <c r="FQ474" s="32"/>
      <c r="FR474" s="32"/>
      <c r="FS474" s="32"/>
      <c r="FT474" s="32"/>
      <c r="FU474" s="32"/>
      <c r="FV474" s="32"/>
      <c r="FW474" s="32"/>
      <c r="FX474" s="32"/>
      <c r="FY474" s="32"/>
      <c r="FZ474" s="32"/>
      <c r="GA474" s="32"/>
      <c r="GB474" s="32"/>
      <c r="GC474" s="32"/>
      <c r="GD474" s="32"/>
      <c r="GE474" s="32"/>
      <c r="GF474" s="32"/>
      <c r="GG474" s="32"/>
      <c r="GH474" s="32"/>
      <c r="GI474" s="32"/>
      <c r="GJ474" s="32"/>
      <c r="GK474" s="32"/>
      <c r="GL474" s="32"/>
      <c r="GM474" s="32"/>
      <c r="GN474" s="32"/>
      <c r="GO474" s="32"/>
      <c r="GP474" s="32"/>
      <c r="GQ474" s="32"/>
      <c r="GR474" s="32"/>
      <c r="GS474" s="32"/>
      <c r="GT474" s="32"/>
      <c r="GU474" s="32"/>
      <c r="GV474" s="32"/>
      <c r="GW474" s="32"/>
      <c r="GX474" s="32"/>
      <c r="GY474" s="32"/>
      <c r="GZ474" s="32"/>
      <c r="HA474" s="32"/>
      <c r="HB474" s="32"/>
      <c r="HC474" s="32"/>
      <c r="HD474" s="32"/>
      <c r="HE474" s="32"/>
      <c r="HF474" s="32"/>
      <c r="HG474" s="32"/>
      <c r="HH474" s="32"/>
      <c r="HI474" s="32"/>
      <c r="HJ474" s="32"/>
      <c r="HK474" s="32"/>
      <c r="HL474" s="32"/>
      <c r="HM474" s="32"/>
      <c r="HN474" s="32"/>
      <c r="HO474" s="32"/>
      <c r="HP474" s="32"/>
    </row>
    <row r="475" spans="1:224" x14ac:dyDescent="0.2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  <c r="BD475" s="32"/>
      <c r="BE475" s="32"/>
      <c r="BF475" s="32"/>
      <c r="BG475" s="32"/>
      <c r="BH475" s="32"/>
      <c r="BI475" s="32"/>
      <c r="BJ475" s="32"/>
      <c r="BK475" s="32"/>
      <c r="BL475" s="32"/>
      <c r="BM475" s="32"/>
      <c r="BN475" s="32"/>
      <c r="BO475" s="32"/>
      <c r="BP475" s="32"/>
      <c r="BQ475" s="32"/>
      <c r="BR475" s="32"/>
      <c r="BS475" s="32"/>
      <c r="BT475" s="32"/>
      <c r="BU475" s="32"/>
      <c r="BV475" s="32"/>
      <c r="BW475" s="32"/>
      <c r="BX475" s="32"/>
      <c r="BY475" s="32"/>
      <c r="BZ475" s="32"/>
      <c r="CA475" s="32"/>
      <c r="CB475" s="32"/>
      <c r="CC475" s="32"/>
      <c r="CD475" s="32"/>
      <c r="CE475" s="32"/>
      <c r="CF475" s="32"/>
      <c r="CG475" s="32"/>
      <c r="CH475" s="32"/>
      <c r="CI475" s="32"/>
      <c r="CJ475" s="32"/>
      <c r="CK475" s="32"/>
      <c r="CL475" s="32"/>
      <c r="CM475" s="32"/>
      <c r="CN475" s="32"/>
      <c r="CO475" s="32"/>
      <c r="CP475" s="32"/>
      <c r="CQ475" s="32"/>
      <c r="CR475" s="32"/>
      <c r="CS475" s="32"/>
      <c r="CT475" s="32"/>
      <c r="CU475" s="32"/>
      <c r="CV475" s="32"/>
      <c r="CW475" s="32"/>
      <c r="CX475" s="32"/>
      <c r="CY475" s="32"/>
      <c r="CZ475" s="32"/>
      <c r="DA475" s="32"/>
      <c r="DB475" s="32"/>
      <c r="DC475" s="32"/>
      <c r="DD475" s="32"/>
      <c r="DE475" s="32"/>
      <c r="DF475" s="32"/>
      <c r="DG475" s="32"/>
      <c r="DH475" s="32"/>
      <c r="DI475" s="32"/>
      <c r="DJ475" s="32"/>
      <c r="DK475" s="32"/>
      <c r="DL475" s="32"/>
      <c r="DM475" s="32"/>
      <c r="DN475" s="32"/>
      <c r="DO475" s="32"/>
      <c r="DP475" s="32"/>
      <c r="DQ475" s="32"/>
      <c r="DR475" s="32"/>
      <c r="DS475" s="32"/>
      <c r="DT475" s="32"/>
      <c r="DU475" s="32"/>
      <c r="DV475" s="32"/>
      <c r="DW475" s="32"/>
      <c r="DX475" s="32"/>
      <c r="DY475" s="32"/>
      <c r="DZ475" s="32"/>
      <c r="EA475" s="32"/>
      <c r="EB475" s="32"/>
      <c r="EC475" s="32"/>
      <c r="ED475" s="32"/>
      <c r="EE475" s="32"/>
      <c r="EF475" s="32"/>
      <c r="EG475" s="32"/>
      <c r="EH475" s="32"/>
      <c r="EI475" s="32"/>
      <c r="EJ475" s="32"/>
      <c r="EK475" s="32"/>
      <c r="EL475" s="32"/>
      <c r="EM475" s="32"/>
      <c r="EN475" s="32"/>
      <c r="EO475" s="32"/>
      <c r="EP475" s="32"/>
      <c r="EQ475" s="32"/>
      <c r="ER475" s="32"/>
      <c r="ES475" s="32"/>
      <c r="ET475" s="32"/>
      <c r="EU475" s="32"/>
      <c r="EV475" s="32"/>
      <c r="EW475" s="32"/>
      <c r="EX475" s="32"/>
      <c r="EY475" s="32"/>
      <c r="EZ475" s="32"/>
      <c r="FA475" s="32"/>
      <c r="FB475" s="32"/>
      <c r="FC475" s="32"/>
      <c r="FD475" s="32"/>
      <c r="FE475" s="32"/>
      <c r="FF475" s="32"/>
      <c r="FG475" s="32"/>
      <c r="FH475" s="32"/>
      <c r="FI475" s="32"/>
      <c r="FJ475" s="32"/>
      <c r="FK475" s="32"/>
      <c r="FL475" s="32"/>
      <c r="FM475" s="32"/>
      <c r="FN475" s="32"/>
      <c r="FO475" s="32"/>
      <c r="FP475" s="32"/>
      <c r="FQ475" s="32"/>
      <c r="FR475" s="32"/>
      <c r="FS475" s="32"/>
      <c r="FT475" s="32"/>
      <c r="FU475" s="32"/>
      <c r="FV475" s="32"/>
      <c r="FW475" s="32"/>
      <c r="FX475" s="32"/>
      <c r="FY475" s="32"/>
      <c r="FZ475" s="32"/>
      <c r="GA475" s="32"/>
      <c r="GB475" s="32"/>
      <c r="GC475" s="32"/>
      <c r="GD475" s="32"/>
      <c r="GE475" s="32"/>
      <c r="GF475" s="32"/>
      <c r="GG475" s="32"/>
      <c r="GH475" s="32"/>
      <c r="GI475" s="32"/>
      <c r="GJ475" s="32"/>
      <c r="GK475" s="32"/>
      <c r="GL475" s="32"/>
      <c r="GM475" s="32"/>
      <c r="GN475" s="32"/>
      <c r="GO475" s="32"/>
      <c r="GP475" s="32"/>
      <c r="GQ475" s="32"/>
      <c r="GR475" s="32"/>
      <c r="GS475" s="32"/>
      <c r="GT475" s="32"/>
      <c r="GU475" s="32"/>
      <c r="GV475" s="32"/>
      <c r="GW475" s="32"/>
      <c r="GX475" s="32"/>
      <c r="GY475" s="32"/>
      <c r="GZ475" s="32"/>
      <c r="HA475" s="32"/>
      <c r="HB475" s="32"/>
      <c r="HC475" s="32"/>
      <c r="HD475" s="32"/>
      <c r="HE475" s="32"/>
      <c r="HF475" s="32"/>
      <c r="HG475" s="32"/>
      <c r="HH475" s="32"/>
      <c r="HI475" s="32"/>
      <c r="HJ475" s="32"/>
      <c r="HK475" s="32"/>
      <c r="HL475" s="32"/>
      <c r="HM475" s="32"/>
      <c r="HN475" s="32"/>
      <c r="HO475" s="32"/>
      <c r="HP475" s="32"/>
    </row>
    <row r="476" spans="1:224" x14ac:dyDescent="0.25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  <c r="BE476" s="32"/>
      <c r="BF476" s="32"/>
      <c r="BG476" s="32"/>
      <c r="BH476" s="32"/>
      <c r="BI476" s="32"/>
      <c r="BJ476" s="32"/>
      <c r="BK476" s="32"/>
      <c r="BL476" s="32"/>
      <c r="BM476" s="32"/>
      <c r="BN476" s="32"/>
      <c r="BO476" s="32"/>
      <c r="BP476" s="32"/>
      <c r="BQ476" s="32"/>
      <c r="BR476" s="32"/>
      <c r="BS476" s="32"/>
      <c r="BT476" s="32"/>
      <c r="BU476" s="32"/>
      <c r="BV476" s="32"/>
      <c r="BW476" s="32"/>
      <c r="BX476" s="32"/>
      <c r="BY476" s="32"/>
      <c r="BZ476" s="32"/>
      <c r="CA476" s="32"/>
      <c r="CB476" s="32"/>
      <c r="CC476" s="32"/>
      <c r="CD476" s="32"/>
      <c r="CE476" s="32"/>
      <c r="CF476" s="32"/>
      <c r="CG476" s="32"/>
      <c r="CH476" s="32"/>
      <c r="CI476" s="32"/>
      <c r="CJ476" s="32"/>
      <c r="CK476" s="32"/>
      <c r="CL476" s="32"/>
      <c r="CM476" s="32"/>
      <c r="CN476" s="32"/>
      <c r="CO476" s="32"/>
      <c r="CP476" s="32"/>
      <c r="CQ476" s="32"/>
      <c r="CR476" s="32"/>
      <c r="CS476" s="32"/>
      <c r="CT476" s="32"/>
      <c r="CU476" s="32"/>
      <c r="CV476" s="32"/>
      <c r="CW476" s="32"/>
      <c r="CX476" s="32"/>
      <c r="CY476" s="32"/>
      <c r="CZ476" s="32"/>
      <c r="DA476" s="32"/>
      <c r="DB476" s="32"/>
      <c r="DC476" s="32"/>
      <c r="DD476" s="32"/>
      <c r="DE476" s="32"/>
      <c r="DF476" s="32"/>
      <c r="DG476" s="32"/>
      <c r="DH476" s="32"/>
      <c r="DI476" s="32"/>
      <c r="DJ476" s="32"/>
      <c r="DK476" s="32"/>
      <c r="DL476" s="32"/>
      <c r="DM476" s="32"/>
      <c r="DN476" s="32"/>
      <c r="DO476" s="32"/>
      <c r="DP476" s="32"/>
      <c r="DQ476" s="32"/>
      <c r="DR476" s="32"/>
      <c r="DS476" s="32"/>
      <c r="DT476" s="32"/>
      <c r="DU476" s="32"/>
      <c r="DV476" s="32"/>
      <c r="DW476" s="32"/>
      <c r="DX476" s="32"/>
      <c r="DY476" s="32"/>
      <c r="DZ476" s="32"/>
      <c r="EA476" s="32"/>
      <c r="EB476" s="32"/>
      <c r="EC476" s="32"/>
      <c r="ED476" s="32"/>
      <c r="EE476" s="32"/>
      <c r="EF476" s="32"/>
      <c r="EG476" s="32"/>
      <c r="EH476" s="32"/>
      <c r="EI476" s="32"/>
      <c r="EJ476" s="32"/>
      <c r="EK476" s="32"/>
      <c r="EL476" s="32"/>
      <c r="EM476" s="32"/>
      <c r="EN476" s="32"/>
      <c r="EO476" s="32"/>
      <c r="EP476" s="32"/>
      <c r="EQ476" s="32"/>
      <c r="ER476" s="32"/>
      <c r="ES476" s="32"/>
      <c r="ET476" s="32"/>
      <c r="EU476" s="32"/>
      <c r="EV476" s="32"/>
      <c r="EW476" s="32"/>
      <c r="EX476" s="32"/>
      <c r="EY476" s="32"/>
      <c r="EZ476" s="32"/>
      <c r="FA476" s="32"/>
      <c r="FB476" s="32"/>
      <c r="FC476" s="32"/>
      <c r="FD476" s="32"/>
      <c r="FE476" s="32"/>
      <c r="FF476" s="32"/>
      <c r="FG476" s="32"/>
      <c r="FH476" s="32"/>
      <c r="FI476" s="32"/>
      <c r="FJ476" s="32"/>
      <c r="FK476" s="32"/>
      <c r="FL476" s="32"/>
      <c r="FM476" s="32"/>
      <c r="FN476" s="32"/>
      <c r="FO476" s="32"/>
      <c r="FP476" s="32"/>
      <c r="FQ476" s="32"/>
      <c r="FR476" s="32"/>
      <c r="FS476" s="32"/>
      <c r="FT476" s="32"/>
      <c r="FU476" s="32"/>
      <c r="FV476" s="32"/>
      <c r="FW476" s="32"/>
      <c r="FX476" s="32"/>
      <c r="FY476" s="32"/>
      <c r="FZ476" s="32"/>
      <c r="GA476" s="32"/>
      <c r="GB476" s="32"/>
      <c r="GC476" s="32"/>
      <c r="GD476" s="32"/>
      <c r="GE476" s="32"/>
      <c r="GF476" s="32"/>
      <c r="GG476" s="32"/>
      <c r="GH476" s="32"/>
      <c r="GI476" s="32"/>
      <c r="GJ476" s="32"/>
      <c r="GK476" s="32"/>
      <c r="GL476" s="32"/>
      <c r="GM476" s="32"/>
      <c r="GN476" s="32"/>
      <c r="GO476" s="32"/>
      <c r="GP476" s="32"/>
      <c r="GQ476" s="32"/>
      <c r="GR476" s="32"/>
      <c r="GS476" s="32"/>
      <c r="GT476" s="32"/>
      <c r="GU476" s="32"/>
      <c r="GV476" s="32"/>
      <c r="GW476" s="32"/>
      <c r="GX476" s="32"/>
      <c r="GY476" s="32"/>
      <c r="GZ476" s="32"/>
      <c r="HA476" s="32"/>
      <c r="HB476" s="32"/>
      <c r="HC476" s="32"/>
      <c r="HD476" s="32"/>
      <c r="HE476" s="32"/>
      <c r="HF476" s="32"/>
      <c r="HG476" s="32"/>
      <c r="HH476" s="32"/>
      <c r="HI476" s="32"/>
      <c r="HJ476" s="32"/>
      <c r="HK476" s="32"/>
      <c r="HL476" s="32"/>
      <c r="HM476" s="32"/>
      <c r="HN476" s="32"/>
      <c r="HO476" s="32"/>
      <c r="HP476" s="32"/>
    </row>
    <row r="477" spans="1:224" x14ac:dyDescent="0.25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  <c r="BD477" s="32"/>
      <c r="BE477" s="32"/>
      <c r="BF477" s="32"/>
      <c r="BG477" s="32"/>
      <c r="BH477" s="32"/>
      <c r="BI477" s="32"/>
      <c r="BJ477" s="32"/>
      <c r="BK477" s="32"/>
      <c r="BL477" s="32"/>
      <c r="BM477" s="32"/>
      <c r="BN477" s="32"/>
      <c r="BO477" s="32"/>
      <c r="BP477" s="32"/>
      <c r="BQ477" s="32"/>
      <c r="BR477" s="32"/>
      <c r="BS477" s="32"/>
      <c r="BT477" s="32"/>
      <c r="BU477" s="32"/>
      <c r="BV477" s="32"/>
      <c r="BW477" s="32"/>
      <c r="BX477" s="32"/>
      <c r="BY477" s="32"/>
      <c r="BZ477" s="32"/>
      <c r="CA477" s="32"/>
      <c r="CB477" s="32"/>
      <c r="CC477" s="32"/>
      <c r="CD477" s="32"/>
      <c r="CE477" s="32"/>
      <c r="CF477" s="32"/>
      <c r="CG477" s="32"/>
      <c r="CH477" s="32"/>
      <c r="CI477" s="32"/>
      <c r="CJ477" s="32"/>
      <c r="CK477" s="32"/>
      <c r="CL477" s="32"/>
      <c r="CM477" s="32"/>
      <c r="CN477" s="32"/>
      <c r="CO477" s="32"/>
      <c r="CP477" s="32"/>
      <c r="CQ477" s="32"/>
      <c r="CR477" s="32"/>
      <c r="CS477" s="32"/>
      <c r="CT477" s="32"/>
      <c r="CU477" s="32"/>
      <c r="CV477" s="32"/>
      <c r="CW477" s="32"/>
      <c r="CX477" s="32"/>
      <c r="CY477" s="32"/>
      <c r="CZ477" s="32"/>
      <c r="DA477" s="32"/>
      <c r="DB477" s="32"/>
      <c r="DC477" s="32"/>
      <c r="DD477" s="32"/>
      <c r="DE477" s="32"/>
      <c r="DF477" s="32"/>
      <c r="DG477" s="32"/>
      <c r="DH477" s="32"/>
      <c r="DI477" s="32"/>
      <c r="DJ477" s="32"/>
      <c r="DK477" s="32"/>
      <c r="DL477" s="32"/>
      <c r="DM477" s="32"/>
      <c r="DN477" s="32"/>
      <c r="DO477" s="32"/>
      <c r="DP477" s="32"/>
      <c r="DQ477" s="32"/>
      <c r="DR477" s="32"/>
      <c r="DS477" s="32"/>
      <c r="DT477" s="32"/>
      <c r="DU477" s="32"/>
      <c r="DV477" s="32"/>
      <c r="DW477" s="32"/>
      <c r="DX477" s="32"/>
      <c r="DY477" s="32"/>
      <c r="DZ477" s="32"/>
      <c r="EA477" s="32"/>
      <c r="EB477" s="32"/>
      <c r="EC477" s="32"/>
      <c r="ED477" s="32"/>
      <c r="EE477" s="32"/>
      <c r="EF477" s="32"/>
      <c r="EG477" s="32"/>
      <c r="EH477" s="32"/>
      <c r="EI477" s="32"/>
      <c r="EJ477" s="32"/>
      <c r="EK477" s="32"/>
      <c r="EL477" s="32"/>
      <c r="EM477" s="32"/>
      <c r="EN477" s="32"/>
      <c r="EO477" s="32"/>
      <c r="EP477" s="32"/>
      <c r="EQ477" s="32"/>
      <c r="ER477" s="32"/>
      <c r="ES477" s="32"/>
      <c r="ET477" s="32"/>
      <c r="EU477" s="32"/>
      <c r="EV477" s="32"/>
      <c r="EW477" s="32"/>
      <c r="EX477" s="32"/>
      <c r="EY477" s="32"/>
      <c r="EZ477" s="32"/>
      <c r="FA477" s="32"/>
      <c r="FB477" s="32"/>
      <c r="FC477" s="32"/>
      <c r="FD477" s="32"/>
      <c r="FE477" s="32"/>
      <c r="FF477" s="32"/>
      <c r="FG477" s="32"/>
      <c r="FH477" s="32"/>
      <c r="FI477" s="32"/>
      <c r="FJ477" s="32"/>
      <c r="FK477" s="32"/>
      <c r="FL477" s="32"/>
      <c r="FM477" s="32"/>
      <c r="FN477" s="32"/>
      <c r="FO477" s="32"/>
      <c r="FP477" s="32"/>
      <c r="FQ477" s="32"/>
      <c r="FR477" s="32"/>
      <c r="FS477" s="32"/>
      <c r="FT477" s="32"/>
      <c r="FU477" s="32"/>
      <c r="FV477" s="32"/>
      <c r="FW477" s="32"/>
      <c r="FX477" s="32"/>
      <c r="FY477" s="32"/>
      <c r="FZ477" s="32"/>
      <c r="GA477" s="32"/>
      <c r="GB477" s="32"/>
      <c r="GC477" s="32"/>
      <c r="GD477" s="32"/>
      <c r="GE477" s="32"/>
      <c r="GF477" s="32"/>
      <c r="GG477" s="32"/>
      <c r="GH477" s="32"/>
      <c r="GI477" s="32"/>
      <c r="GJ477" s="32"/>
      <c r="GK477" s="32"/>
      <c r="GL477" s="32"/>
      <c r="GM477" s="32"/>
      <c r="GN477" s="32"/>
      <c r="GO477" s="32"/>
      <c r="GP477" s="32"/>
      <c r="GQ477" s="32"/>
      <c r="GR477" s="32"/>
      <c r="GS477" s="32"/>
      <c r="GT477" s="32"/>
      <c r="GU477" s="32"/>
      <c r="GV477" s="32"/>
      <c r="GW477" s="32"/>
      <c r="GX477" s="32"/>
      <c r="GY477" s="32"/>
      <c r="GZ477" s="32"/>
      <c r="HA477" s="32"/>
      <c r="HB477" s="32"/>
      <c r="HC477" s="32"/>
      <c r="HD477" s="32"/>
      <c r="HE477" s="32"/>
      <c r="HF477" s="32"/>
      <c r="HG477" s="32"/>
      <c r="HH477" s="32"/>
      <c r="HI477" s="32"/>
      <c r="HJ477" s="32"/>
      <c r="HK477" s="32"/>
      <c r="HL477" s="32"/>
      <c r="HM477" s="32"/>
      <c r="HN477" s="32"/>
      <c r="HO477" s="32"/>
      <c r="HP477" s="32"/>
    </row>
    <row r="478" spans="1:224" x14ac:dyDescent="0.25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  <c r="BD478" s="32"/>
      <c r="BE478" s="32"/>
      <c r="BF478" s="32"/>
      <c r="BG478" s="32"/>
      <c r="BH478" s="32"/>
      <c r="BI478" s="32"/>
      <c r="BJ478" s="32"/>
      <c r="BK478" s="32"/>
      <c r="BL478" s="32"/>
      <c r="BM478" s="32"/>
      <c r="BN478" s="32"/>
      <c r="BO478" s="32"/>
      <c r="BP478" s="32"/>
      <c r="BQ478" s="32"/>
      <c r="BR478" s="32"/>
      <c r="BS478" s="32"/>
      <c r="BT478" s="32"/>
      <c r="BU478" s="32"/>
      <c r="BV478" s="32"/>
      <c r="BW478" s="32"/>
      <c r="BX478" s="32"/>
      <c r="BY478" s="32"/>
      <c r="BZ478" s="32"/>
      <c r="CA478" s="32"/>
      <c r="CB478" s="32"/>
      <c r="CC478" s="32"/>
      <c r="CD478" s="32"/>
      <c r="CE478" s="32"/>
      <c r="CF478" s="32"/>
      <c r="CG478" s="32"/>
      <c r="CH478" s="32"/>
      <c r="CI478" s="32"/>
      <c r="CJ478" s="32"/>
      <c r="CK478" s="32"/>
      <c r="CL478" s="32"/>
      <c r="CM478" s="32"/>
      <c r="CN478" s="32"/>
      <c r="CO478" s="32"/>
      <c r="CP478" s="32"/>
      <c r="CQ478" s="32"/>
      <c r="CR478" s="32"/>
      <c r="CS478" s="32"/>
      <c r="CT478" s="32"/>
      <c r="CU478" s="32"/>
      <c r="CV478" s="32"/>
      <c r="CW478" s="32"/>
      <c r="CX478" s="32"/>
      <c r="CY478" s="32"/>
      <c r="CZ478" s="32"/>
      <c r="DA478" s="32"/>
      <c r="DB478" s="32"/>
      <c r="DC478" s="32"/>
      <c r="DD478" s="32"/>
      <c r="DE478" s="32"/>
      <c r="DF478" s="32"/>
      <c r="DG478" s="32"/>
      <c r="DH478" s="32"/>
      <c r="DI478" s="32"/>
      <c r="DJ478" s="32"/>
      <c r="DK478" s="32"/>
      <c r="DL478" s="32"/>
      <c r="DM478" s="32"/>
      <c r="DN478" s="32"/>
      <c r="DO478" s="32"/>
      <c r="DP478" s="32"/>
      <c r="DQ478" s="32"/>
      <c r="DR478" s="32"/>
      <c r="DS478" s="32"/>
      <c r="DT478" s="32"/>
      <c r="DU478" s="32"/>
      <c r="DV478" s="32"/>
      <c r="DW478" s="32"/>
      <c r="DX478" s="32"/>
      <c r="DY478" s="32"/>
      <c r="DZ478" s="32"/>
      <c r="EA478" s="32"/>
      <c r="EB478" s="32"/>
      <c r="EC478" s="32"/>
      <c r="ED478" s="32"/>
      <c r="EE478" s="32"/>
      <c r="EF478" s="32"/>
      <c r="EG478" s="32"/>
      <c r="EH478" s="32"/>
      <c r="EI478" s="32"/>
      <c r="EJ478" s="32"/>
      <c r="EK478" s="32"/>
      <c r="EL478" s="32"/>
      <c r="EM478" s="32"/>
      <c r="EN478" s="32"/>
      <c r="EO478" s="32"/>
      <c r="EP478" s="32"/>
      <c r="EQ478" s="32"/>
      <c r="ER478" s="32"/>
      <c r="ES478" s="32"/>
      <c r="ET478" s="32"/>
      <c r="EU478" s="32"/>
      <c r="EV478" s="32"/>
      <c r="EW478" s="32"/>
      <c r="EX478" s="32"/>
      <c r="EY478" s="32"/>
      <c r="EZ478" s="32"/>
      <c r="FA478" s="32"/>
      <c r="FB478" s="32"/>
      <c r="FC478" s="32"/>
      <c r="FD478" s="32"/>
      <c r="FE478" s="32"/>
      <c r="FF478" s="32"/>
      <c r="FG478" s="32"/>
      <c r="FH478" s="32"/>
      <c r="FI478" s="32"/>
      <c r="FJ478" s="32"/>
      <c r="FK478" s="32"/>
      <c r="FL478" s="32"/>
      <c r="FM478" s="32"/>
      <c r="FN478" s="32"/>
      <c r="FO478" s="32"/>
      <c r="FP478" s="32"/>
      <c r="FQ478" s="32"/>
      <c r="FR478" s="32"/>
      <c r="FS478" s="32"/>
      <c r="FT478" s="32"/>
      <c r="FU478" s="32"/>
      <c r="FV478" s="32"/>
      <c r="FW478" s="32"/>
      <c r="FX478" s="32"/>
      <c r="FY478" s="32"/>
      <c r="FZ478" s="32"/>
      <c r="GA478" s="32"/>
      <c r="GB478" s="32"/>
      <c r="GC478" s="32"/>
      <c r="GD478" s="32"/>
      <c r="GE478" s="32"/>
      <c r="GF478" s="32"/>
      <c r="GG478" s="32"/>
      <c r="GH478" s="32"/>
      <c r="GI478" s="32"/>
      <c r="GJ478" s="32"/>
      <c r="GK478" s="32"/>
      <c r="GL478" s="32"/>
      <c r="GM478" s="32"/>
      <c r="GN478" s="32"/>
      <c r="GO478" s="32"/>
      <c r="GP478" s="32"/>
      <c r="GQ478" s="32"/>
      <c r="GR478" s="32"/>
      <c r="GS478" s="32"/>
      <c r="GT478" s="32"/>
      <c r="GU478" s="32"/>
      <c r="GV478" s="32"/>
      <c r="GW478" s="32"/>
      <c r="GX478" s="32"/>
      <c r="GY478" s="32"/>
      <c r="GZ478" s="32"/>
      <c r="HA478" s="32"/>
      <c r="HB478" s="32"/>
      <c r="HC478" s="32"/>
      <c r="HD478" s="32"/>
      <c r="HE478" s="32"/>
      <c r="HF478" s="32"/>
      <c r="HG478" s="32"/>
      <c r="HH478" s="32"/>
      <c r="HI478" s="32"/>
      <c r="HJ478" s="32"/>
      <c r="HK478" s="32"/>
      <c r="HL478" s="32"/>
      <c r="HM478" s="32"/>
      <c r="HN478" s="32"/>
      <c r="HO478" s="32"/>
      <c r="HP478" s="32"/>
    </row>
    <row r="479" spans="1:224" x14ac:dyDescent="0.25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2"/>
      <c r="BB479" s="32"/>
      <c r="BC479" s="32"/>
      <c r="BD479" s="32"/>
      <c r="BE479" s="32"/>
      <c r="BF479" s="32"/>
      <c r="BG479" s="32"/>
      <c r="BH479" s="32"/>
      <c r="BI479" s="32"/>
      <c r="BJ479" s="32"/>
      <c r="BK479" s="32"/>
      <c r="BL479" s="32"/>
      <c r="BM479" s="32"/>
      <c r="BN479" s="32"/>
      <c r="BO479" s="32"/>
      <c r="BP479" s="32"/>
      <c r="BQ479" s="32"/>
      <c r="BR479" s="32"/>
      <c r="BS479" s="32"/>
      <c r="BT479" s="32"/>
      <c r="BU479" s="32"/>
      <c r="BV479" s="32"/>
      <c r="BW479" s="32"/>
      <c r="BX479" s="32"/>
      <c r="BY479" s="32"/>
      <c r="BZ479" s="32"/>
      <c r="CA479" s="32"/>
      <c r="CB479" s="32"/>
      <c r="CC479" s="32"/>
      <c r="CD479" s="32"/>
      <c r="CE479" s="32"/>
      <c r="CF479" s="32"/>
      <c r="CG479" s="32"/>
      <c r="CH479" s="32"/>
      <c r="CI479" s="32"/>
      <c r="CJ479" s="32"/>
      <c r="CK479" s="32"/>
      <c r="CL479" s="32"/>
      <c r="CM479" s="32"/>
      <c r="CN479" s="32"/>
      <c r="CO479" s="32"/>
      <c r="CP479" s="32"/>
      <c r="CQ479" s="32"/>
      <c r="CR479" s="32"/>
      <c r="CS479" s="32"/>
      <c r="CT479" s="32"/>
      <c r="CU479" s="32"/>
      <c r="CV479" s="32"/>
      <c r="CW479" s="32"/>
      <c r="CX479" s="32"/>
      <c r="CY479" s="32"/>
      <c r="CZ479" s="32"/>
      <c r="DA479" s="32"/>
      <c r="DB479" s="32"/>
      <c r="DC479" s="32"/>
      <c r="DD479" s="32"/>
      <c r="DE479" s="32"/>
      <c r="DF479" s="32"/>
      <c r="DG479" s="32"/>
      <c r="DH479" s="32"/>
      <c r="DI479" s="32"/>
      <c r="DJ479" s="32"/>
      <c r="DK479" s="32"/>
      <c r="DL479" s="32"/>
      <c r="DM479" s="32"/>
      <c r="DN479" s="32"/>
      <c r="DO479" s="32"/>
      <c r="DP479" s="32"/>
      <c r="DQ479" s="32"/>
      <c r="DR479" s="32"/>
      <c r="DS479" s="32"/>
      <c r="DT479" s="32"/>
      <c r="DU479" s="32"/>
      <c r="DV479" s="32"/>
      <c r="DW479" s="32"/>
      <c r="DX479" s="32"/>
      <c r="DY479" s="32"/>
      <c r="DZ479" s="32"/>
      <c r="EA479" s="32"/>
      <c r="EB479" s="32"/>
      <c r="EC479" s="32"/>
      <c r="ED479" s="32"/>
      <c r="EE479" s="32"/>
      <c r="EF479" s="32"/>
      <c r="EG479" s="32"/>
      <c r="EH479" s="32"/>
      <c r="EI479" s="32"/>
      <c r="EJ479" s="32"/>
      <c r="EK479" s="32"/>
      <c r="EL479" s="32"/>
      <c r="EM479" s="32"/>
      <c r="EN479" s="32"/>
      <c r="EO479" s="32"/>
      <c r="EP479" s="32"/>
      <c r="EQ479" s="32"/>
      <c r="ER479" s="32"/>
      <c r="ES479" s="32"/>
      <c r="ET479" s="32"/>
      <c r="EU479" s="32"/>
      <c r="EV479" s="32"/>
      <c r="EW479" s="32"/>
      <c r="EX479" s="32"/>
      <c r="EY479" s="32"/>
      <c r="EZ479" s="32"/>
      <c r="FA479" s="32"/>
      <c r="FB479" s="32"/>
      <c r="FC479" s="32"/>
      <c r="FD479" s="32"/>
      <c r="FE479" s="32"/>
      <c r="FF479" s="32"/>
      <c r="FG479" s="32"/>
      <c r="FH479" s="32"/>
      <c r="FI479" s="32"/>
      <c r="FJ479" s="32"/>
      <c r="FK479" s="32"/>
      <c r="FL479" s="32"/>
      <c r="FM479" s="32"/>
      <c r="FN479" s="32"/>
      <c r="FO479" s="32"/>
      <c r="FP479" s="32"/>
      <c r="FQ479" s="32"/>
      <c r="FR479" s="32"/>
      <c r="FS479" s="32"/>
      <c r="FT479" s="32"/>
      <c r="FU479" s="32"/>
      <c r="FV479" s="32"/>
      <c r="FW479" s="32"/>
      <c r="FX479" s="32"/>
      <c r="FY479" s="32"/>
      <c r="FZ479" s="32"/>
      <c r="GA479" s="32"/>
      <c r="GB479" s="32"/>
      <c r="GC479" s="32"/>
      <c r="GD479" s="32"/>
      <c r="GE479" s="32"/>
      <c r="GF479" s="32"/>
      <c r="GG479" s="32"/>
      <c r="GH479" s="32"/>
      <c r="GI479" s="32"/>
      <c r="GJ479" s="32"/>
      <c r="GK479" s="32"/>
      <c r="GL479" s="32"/>
      <c r="GM479" s="32"/>
      <c r="GN479" s="32"/>
      <c r="GO479" s="32"/>
      <c r="GP479" s="32"/>
      <c r="GQ479" s="32"/>
      <c r="GR479" s="32"/>
      <c r="GS479" s="32"/>
      <c r="GT479" s="32"/>
      <c r="GU479" s="32"/>
      <c r="GV479" s="32"/>
      <c r="GW479" s="32"/>
      <c r="GX479" s="32"/>
      <c r="GY479" s="32"/>
      <c r="GZ479" s="32"/>
      <c r="HA479" s="32"/>
      <c r="HB479" s="32"/>
      <c r="HC479" s="32"/>
      <c r="HD479" s="32"/>
      <c r="HE479" s="32"/>
      <c r="HF479" s="32"/>
      <c r="HG479" s="32"/>
      <c r="HH479" s="32"/>
      <c r="HI479" s="32"/>
      <c r="HJ479" s="32"/>
      <c r="HK479" s="32"/>
      <c r="HL479" s="32"/>
      <c r="HM479" s="32"/>
      <c r="HN479" s="32"/>
      <c r="HO479" s="32"/>
      <c r="HP479" s="32"/>
    </row>
    <row r="480" spans="1:224" x14ac:dyDescent="0.25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  <c r="BD480" s="32"/>
      <c r="BE480" s="32"/>
      <c r="BF480" s="32"/>
      <c r="BG480" s="32"/>
      <c r="BH480" s="32"/>
      <c r="BI480" s="32"/>
      <c r="BJ480" s="32"/>
      <c r="BK480" s="32"/>
      <c r="BL480" s="32"/>
      <c r="BM480" s="32"/>
      <c r="BN480" s="32"/>
      <c r="BO480" s="32"/>
      <c r="BP480" s="32"/>
      <c r="BQ480" s="32"/>
      <c r="BR480" s="32"/>
      <c r="BS480" s="32"/>
      <c r="BT480" s="32"/>
      <c r="BU480" s="32"/>
      <c r="BV480" s="32"/>
      <c r="BW480" s="32"/>
      <c r="BX480" s="32"/>
      <c r="BY480" s="32"/>
      <c r="BZ480" s="32"/>
      <c r="CA480" s="32"/>
      <c r="CB480" s="32"/>
      <c r="CC480" s="32"/>
      <c r="CD480" s="32"/>
      <c r="CE480" s="32"/>
      <c r="CF480" s="32"/>
      <c r="CG480" s="32"/>
      <c r="CH480" s="32"/>
      <c r="CI480" s="32"/>
      <c r="CJ480" s="32"/>
      <c r="CK480" s="32"/>
      <c r="CL480" s="32"/>
      <c r="CM480" s="32"/>
      <c r="CN480" s="32"/>
      <c r="CO480" s="32"/>
      <c r="CP480" s="32"/>
      <c r="CQ480" s="32"/>
      <c r="CR480" s="32"/>
      <c r="CS480" s="32"/>
      <c r="CT480" s="32"/>
      <c r="CU480" s="32"/>
      <c r="CV480" s="32"/>
      <c r="CW480" s="32"/>
      <c r="CX480" s="32"/>
      <c r="CY480" s="32"/>
      <c r="CZ480" s="32"/>
      <c r="DA480" s="32"/>
      <c r="DB480" s="32"/>
      <c r="DC480" s="32"/>
      <c r="DD480" s="32"/>
      <c r="DE480" s="32"/>
      <c r="DF480" s="32"/>
      <c r="DG480" s="32"/>
      <c r="DH480" s="32"/>
      <c r="DI480" s="32"/>
      <c r="DJ480" s="32"/>
      <c r="DK480" s="32"/>
      <c r="DL480" s="32"/>
      <c r="DM480" s="32"/>
      <c r="DN480" s="32"/>
      <c r="DO480" s="32"/>
      <c r="DP480" s="32"/>
      <c r="DQ480" s="32"/>
      <c r="DR480" s="32"/>
      <c r="DS480" s="32"/>
      <c r="DT480" s="32"/>
      <c r="DU480" s="32"/>
      <c r="DV480" s="32"/>
      <c r="DW480" s="32"/>
      <c r="DX480" s="32"/>
      <c r="DY480" s="32"/>
      <c r="DZ480" s="32"/>
      <c r="EA480" s="32"/>
      <c r="EB480" s="32"/>
      <c r="EC480" s="32"/>
      <c r="ED480" s="32"/>
      <c r="EE480" s="32"/>
      <c r="EF480" s="32"/>
      <c r="EG480" s="32"/>
      <c r="EH480" s="32"/>
      <c r="EI480" s="32"/>
      <c r="EJ480" s="32"/>
      <c r="EK480" s="32"/>
      <c r="EL480" s="32"/>
      <c r="EM480" s="32"/>
      <c r="EN480" s="32"/>
      <c r="EO480" s="32"/>
      <c r="EP480" s="32"/>
      <c r="EQ480" s="32"/>
      <c r="ER480" s="32"/>
      <c r="ES480" s="32"/>
      <c r="ET480" s="32"/>
      <c r="EU480" s="32"/>
      <c r="EV480" s="32"/>
      <c r="EW480" s="32"/>
      <c r="EX480" s="32"/>
      <c r="EY480" s="32"/>
      <c r="EZ480" s="32"/>
      <c r="FA480" s="32"/>
      <c r="FB480" s="32"/>
      <c r="FC480" s="32"/>
      <c r="FD480" s="32"/>
      <c r="FE480" s="32"/>
      <c r="FF480" s="32"/>
      <c r="FG480" s="32"/>
      <c r="FH480" s="32"/>
      <c r="FI480" s="32"/>
      <c r="FJ480" s="32"/>
      <c r="FK480" s="32"/>
      <c r="FL480" s="32"/>
      <c r="FM480" s="32"/>
      <c r="FN480" s="32"/>
      <c r="FO480" s="32"/>
      <c r="FP480" s="32"/>
      <c r="FQ480" s="32"/>
      <c r="FR480" s="32"/>
      <c r="FS480" s="32"/>
      <c r="FT480" s="32"/>
      <c r="FU480" s="32"/>
      <c r="FV480" s="32"/>
      <c r="FW480" s="32"/>
      <c r="FX480" s="32"/>
      <c r="FY480" s="32"/>
      <c r="FZ480" s="32"/>
      <c r="GA480" s="32"/>
      <c r="GB480" s="32"/>
      <c r="GC480" s="32"/>
      <c r="GD480" s="32"/>
      <c r="GE480" s="32"/>
      <c r="GF480" s="32"/>
      <c r="GG480" s="32"/>
      <c r="GH480" s="32"/>
      <c r="GI480" s="32"/>
      <c r="GJ480" s="32"/>
      <c r="GK480" s="32"/>
      <c r="GL480" s="32"/>
      <c r="GM480" s="32"/>
      <c r="GN480" s="32"/>
      <c r="GO480" s="32"/>
      <c r="GP480" s="32"/>
      <c r="GQ480" s="32"/>
      <c r="GR480" s="32"/>
      <c r="GS480" s="32"/>
      <c r="GT480" s="32"/>
      <c r="GU480" s="32"/>
      <c r="GV480" s="32"/>
      <c r="GW480" s="32"/>
      <c r="GX480" s="32"/>
      <c r="GY480" s="32"/>
      <c r="GZ480" s="32"/>
      <c r="HA480" s="32"/>
      <c r="HB480" s="32"/>
      <c r="HC480" s="32"/>
      <c r="HD480" s="32"/>
      <c r="HE480" s="32"/>
      <c r="HF480" s="32"/>
      <c r="HG480" s="32"/>
      <c r="HH480" s="32"/>
      <c r="HI480" s="32"/>
      <c r="HJ480" s="32"/>
      <c r="HK480" s="32"/>
      <c r="HL480" s="32"/>
      <c r="HM480" s="32"/>
      <c r="HN480" s="32"/>
      <c r="HO480" s="32"/>
      <c r="HP480" s="32"/>
    </row>
    <row r="481" spans="1:224" x14ac:dyDescent="0.25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  <c r="BE481" s="32"/>
      <c r="BF481" s="32"/>
      <c r="BG481" s="32"/>
      <c r="BH481" s="32"/>
      <c r="BI481" s="32"/>
      <c r="BJ481" s="32"/>
      <c r="BK481" s="32"/>
      <c r="BL481" s="32"/>
      <c r="BM481" s="32"/>
      <c r="BN481" s="32"/>
      <c r="BO481" s="32"/>
      <c r="BP481" s="32"/>
      <c r="BQ481" s="32"/>
      <c r="BR481" s="32"/>
      <c r="BS481" s="32"/>
      <c r="BT481" s="32"/>
      <c r="BU481" s="32"/>
      <c r="BV481" s="32"/>
      <c r="BW481" s="32"/>
      <c r="BX481" s="32"/>
      <c r="BY481" s="32"/>
      <c r="BZ481" s="32"/>
      <c r="CA481" s="32"/>
      <c r="CB481" s="32"/>
      <c r="CC481" s="32"/>
      <c r="CD481" s="32"/>
      <c r="CE481" s="32"/>
      <c r="CF481" s="32"/>
      <c r="CG481" s="32"/>
      <c r="CH481" s="32"/>
      <c r="CI481" s="32"/>
      <c r="CJ481" s="32"/>
      <c r="CK481" s="32"/>
      <c r="CL481" s="32"/>
      <c r="CM481" s="32"/>
      <c r="CN481" s="32"/>
      <c r="CO481" s="32"/>
      <c r="CP481" s="32"/>
      <c r="CQ481" s="32"/>
      <c r="CR481" s="32"/>
      <c r="CS481" s="32"/>
      <c r="CT481" s="32"/>
      <c r="CU481" s="32"/>
      <c r="CV481" s="32"/>
      <c r="CW481" s="32"/>
      <c r="CX481" s="32"/>
      <c r="CY481" s="32"/>
      <c r="CZ481" s="32"/>
      <c r="DA481" s="32"/>
      <c r="DB481" s="32"/>
      <c r="DC481" s="32"/>
      <c r="DD481" s="32"/>
      <c r="DE481" s="32"/>
      <c r="DF481" s="32"/>
      <c r="DG481" s="32"/>
      <c r="DH481" s="32"/>
      <c r="DI481" s="32"/>
      <c r="DJ481" s="32"/>
      <c r="DK481" s="32"/>
      <c r="DL481" s="32"/>
      <c r="DM481" s="32"/>
      <c r="DN481" s="32"/>
      <c r="DO481" s="32"/>
      <c r="DP481" s="32"/>
      <c r="DQ481" s="32"/>
      <c r="DR481" s="32"/>
      <c r="DS481" s="32"/>
      <c r="DT481" s="32"/>
      <c r="DU481" s="32"/>
      <c r="DV481" s="32"/>
      <c r="DW481" s="32"/>
      <c r="DX481" s="32"/>
      <c r="DY481" s="32"/>
      <c r="DZ481" s="32"/>
      <c r="EA481" s="32"/>
      <c r="EB481" s="32"/>
      <c r="EC481" s="32"/>
      <c r="ED481" s="32"/>
      <c r="EE481" s="32"/>
      <c r="EF481" s="32"/>
      <c r="EG481" s="32"/>
      <c r="EH481" s="32"/>
      <c r="EI481" s="32"/>
      <c r="EJ481" s="32"/>
      <c r="EK481" s="32"/>
      <c r="EL481" s="32"/>
      <c r="EM481" s="32"/>
      <c r="EN481" s="32"/>
      <c r="EO481" s="32"/>
      <c r="EP481" s="32"/>
      <c r="EQ481" s="32"/>
      <c r="ER481" s="32"/>
      <c r="ES481" s="32"/>
      <c r="ET481" s="32"/>
      <c r="EU481" s="32"/>
      <c r="EV481" s="32"/>
      <c r="EW481" s="32"/>
      <c r="EX481" s="32"/>
      <c r="EY481" s="32"/>
      <c r="EZ481" s="32"/>
      <c r="FA481" s="32"/>
      <c r="FB481" s="32"/>
      <c r="FC481" s="32"/>
      <c r="FD481" s="32"/>
      <c r="FE481" s="32"/>
      <c r="FF481" s="32"/>
      <c r="FG481" s="32"/>
      <c r="FH481" s="32"/>
      <c r="FI481" s="32"/>
      <c r="FJ481" s="32"/>
      <c r="FK481" s="32"/>
      <c r="FL481" s="32"/>
      <c r="FM481" s="32"/>
      <c r="FN481" s="32"/>
      <c r="FO481" s="32"/>
      <c r="FP481" s="32"/>
      <c r="FQ481" s="32"/>
      <c r="FR481" s="32"/>
      <c r="FS481" s="32"/>
      <c r="FT481" s="32"/>
      <c r="FU481" s="32"/>
      <c r="FV481" s="32"/>
      <c r="FW481" s="32"/>
      <c r="FX481" s="32"/>
      <c r="FY481" s="32"/>
      <c r="FZ481" s="32"/>
      <c r="GA481" s="32"/>
      <c r="GB481" s="32"/>
      <c r="GC481" s="32"/>
      <c r="GD481" s="32"/>
      <c r="GE481" s="32"/>
      <c r="GF481" s="32"/>
      <c r="GG481" s="32"/>
      <c r="GH481" s="32"/>
      <c r="GI481" s="32"/>
      <c r="GJ481" s="32"/>
      <c r="GK481" s="32"/>
      <c r="GL481" s="32"/>
      <c r="GM481" s="32"/>
      <c r="GN481" s="32"/>
      <c r="GO481" s="32"/>
      <c r="GP481" s="32"/>
      <c r="GQ481" s="32"/>
      <c r="GR481" s="32"/>
      <c r="GS481" s="32"/>
      <c r="GT481" s="32"/>
      <c r="GU481" s="32"/>
      <c r="GV481" s="32"/>
      <c r="GW481" s="32"/>
      <c r="GX481" s="32"/>
      <c r="GY481" s="32"/>
      <c r="GZ481" s="32"/>
      <c r="HA481" s="32"/>
      <c r="HB481" s="32"/>
      <c r="HC481" s="32"/>
      <c r="HD481" s="32"/>
      <c r="HE481" s="32"/>
      <c r="HF481" s="32"/>
      <c r="HG481" s="32"/>
      <c r="HH481" s="32"/>
      <c r="HI481" s="32"/>
      <c r="HJ481" s="32"/>
      <c r="HK481" s="32"/>
      <c r="HL481" s="32"/>
      <c r="HM481" s="32"/>
      <c r="HN481" s="32"/>
      <c r="HO481" s="32"/>
      <c r="HP481" s="32"/>
    </row>
    <row r="482" spans="1:224" x14ac:dyDescent="0.25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2"/>
      <c r="BF482" s="32"/>
      <c r="BG482" s="32"/>
      <c r="BH482" s="32"/>
      <c r="BI482" s="32"/>
      <c r="BJ482" s="32"/>
      <c r="BK482" s="32"/>
      <c r="BL482" s="32"/>
      <c r="BM482" s="32"/>
      <c r="BN482" s="32"/>
      <c r="BO482" s="32"/>
      <c r="BP482" s="32"/>
      <c r="BQ482" s="32"/>
      <c r="BR482" s="32"/>
      <c r="BS482" s="32"/>
      <c r="BT482" s="32"/>
      <c r="BU482" s="32"/>
      <c r="BV482" s="32"/>
      <c r="BW482" s="32"/>
      <c r="BX482" s="32"/>
      <c r="BY482" s="32"/>
      <c r="BZ482" s="32"/>
      <c r="CA482" s="32"/>
      <c r="CB482" s="32"/>
      <c r="CC482" s="32"/>
      <c r="CD482" s="32"/>
      <c r="CE482" s="32"/>
      <c r="CF482" s="32"/>
      <c r="CG482" s="32"/>
      <c r="CH482" s="32"/>
      <c r="CI482" s="32"/>
      <c r="CJ482" s="32"/>
      <c r="CK482" s="32"/>
      <c r="CL482" s="32"/>
      <c r="CM482" s="32"/>
      <c r="CN482" s="32"/>
      <c r="CO482" s="32"/>
      <c r="CP482" s="32"/>
      <c r="CQ482" s="32"/>
      <c r="CR482" s="32"/>
      <c r="CS482" s="32"/>
      <c r="CT482" s="32"/>
      <c r="CU482" s="32"/>
      <c r="CV482" s="32"/>
      <c r="CW482" s="32"/>
      <c r="CX482" s="32"/>
      <c r="CY482" s="32"/>
      <c r="CZ482" s="32"/>
      <c r="DA482" s="32"/>
      <c r="DB482" s="32"/>
      <c r="DC482" s="32"/>
      <c r="DD482" s="32"/>
      <c r="DE482" s="32"/>
      <c r="DF482" s="32"/>
      <c r="DG482" s="32"/>
      <c r="DH482" s="32"/>
      <c r="DI482" s="32"/>
      <c r="DJ482" s="32"/>
      <c r="DK482" s="32"/>
      <c r="DL482" s="32"/>
      <c r="DM482" s="32"/>
      <c r="DN482" s="32"/>
      <c r="DO482" s="32"/>
      <c r="DP482" s="32"/>
      <c r="DQ482" s="32"/>
      <c r="DR482" s="32"/>
      <c r="DS482" s="32"/>
      <c r="DT482" s="32"/>
      <c r="DU482" s="32"/>
      <c r="DV482" s="32"/>
      <c r="DW482" s="32"/>
      <c r="DX482" s="32"/>
      <c r="DY482" s="32"/>
      <c r="DZ482" s="32"/>
      <c r="EA482" s="32"/>
      <c r="EB482" s="32"/>
      <c r="EC482" s="32"/>
      <c r="ED482" s="32"/>
      <c r="EE482" s="32"/>
      <c r="EF482" s="32"/>
      <c r="EG482" s="32"/>
      <c r="EH482" s="32"/>
      <c r="EI482" s="32"/>
      <c r="EJ482" s="32"/>
      <c r="EK482" s="32"/>
      <c r="EL482" s="32"/>
      <c r="EM482" s="32"/>
      <c r="EN482" s="32"/>
      <c r="EO482" s="32"/>
      <c r="EP482" s="32"/>
      <c r="EQ482" s="32"/>
      <c r="ER482" s="32"/>
      <c r="ES482" s="32"/>
      <c r="ET482" s="32"/>
      <c r="EU482" s="32"/>
      <c r="EV482" s="32"/>
      <c r="EW482" s="32"/>
      <c r="EX482" s="32"/>
      <c r="EY482" s="32"/>
      <c r="EZ482" s="32"/>
      <c r="FA482" s="32"/>
      <c r="FB482" s="32"/>
      <c r="FC482" s="32"/>
      <c r="FD482" s="32"/>
      <c r="FE482" s="32"/>
      <c r="FF482" s="32"/>
      <c r="FG482" s="32"/>
      <c r="FH482" s="32"/>
      <c r="FI482" s="32"/>
      <c r="FJ482" s="32"/>
      <c r="FK482" s="32"/>
      <c r="FL482" s="32"/>
      <c r="FM482" s="32"/>
      <c r="FN482" s="32"/>
      <c r="FO482" s="32"/>
      <c r="FP482" s="32"/>
      <c r="FQ482" s="32"/>
      <c r="FR482" s="32"/>
      <c r="FS482" s="32"/>
      <c r="FT482" s="32"/>
      <c r="FU482" s="32"/>
      <c r="FV482" s="32"/>
      <c r="FW482" s="32"/>
      <c r="FX482" s="32"/>
      <c r="FY482" s="32"/>
      <c r="FZ482" s="32"/>
      <c r="GA482" s="32"/>
      <c r="GB482" s="32"/>
      <c r="GC482" s="32"/>
      <c r="GD482" s="32"/>
      <c r="GE482" s="32"/>
      <c r="GF482" s="32"/>
      <c r="GG482" s="32"/>
      <c r="GH482" s="32"/>
      <c r="GI482" s="32"/>
      <c r="GJ482" s="32"/>
      <c r="GK482" s="32"/>
      <c r="GL482" s="32"/>
      <c r="GM482" s="32"/>
      <c r="GN482" s="32"/>
      <c r="GO482" s="32"/>
      <c r="GP482" s="32"/>
      <c r="GQ482" s="32"/>
      <c r="GR482" s="32"/>
      <c r="GS482" s="32"/>
      <c r="GT482" s="32"/>
      <c r="GU482" s="32"/>
      <c r="GV482" s="32"/>
      <c r="GW482" s="32"/>
      <c r="GX482" s="32"/>
      <c r="GY482" s="32"/>
      <c r="GZ482" s="32"/>
      <c r="HA482" s="32"/>
      <c r="HB482" s="32"/>
      <c r="HC482" s="32"/>
      <c r="HD482" s="32"/>
      <c r="HE482" s="32"/>
      <c r="HF482" s="32"/>
      <c r="HG482" s="32"/>
      <c r="HH482" s="32"/>
      <c r="HI482" s="32"/>
      <c r="HJ482" s="32"/>
      <c r="HK482" s="32"/>
      <c r="HL482" s="32"/>
      <c r="HM482" s="32"/>
      <c r="HN482" s="32"/>
      <c r="HO482" s="32"/>
      <c r="HP482" s="32"/>
    </row>
    <row r="483" spans="1:224" x14ac:dyDescent="0.25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  <c r="BE483" s="32"/>
      <c r="BF483" s="32"/>
      <c r="BG483" s="32"/>
      <c r="BH483" s="32"/>
      <c r="BI483" s="32"/>
      <c r="BJ483" s="32"/>
      <c r="BK483" s="32"/>
      <c r="BL483" s="32"/>
      <c r="BM483" s="32"/>
      <c r="BN483" s="32"/>
      <c r="BO483" s="32"/>
      <c r="BP483" s="32"/>
      <c r="BQ483" s="32"/>
      <c r="BR483" s="32"/>
      <c r="BS483" s="32"/>
      <c r="BT483" s="32"/>
      <c r="BU483" s="32"/>
      <c r="BV483" s="32"/>
      <c r="BW483" s="32"/>
      <c r="BX483" s="32"/>
      <c r="BY483" s="32"/>
      <c r="BZ483" s="32"/>
      <c r="CA483" s="32"/>
      <c r="CB483" s="32"/>
      <c r="CC483" s="32"/>
      <c r="CD483" s="32"/>
      <c r="CE483" s="32"/>
      <c r="CF483" s="32"/>
      <c r="CG483" s="32"/>
      <c r="CH483" s="32"/>
      <c r="CI483" s="32"/>
      <c r="CJ483" s="32"/>
      <c r="CK483" s="32"/>
      <c r="CL483" s="32"/>
      <c r="CM483" s="32"/>
      <c r="CN483" s="32"/>
      <c r="CO483" s="32"/>
      <c r="CP483" s="32"/>
      <c r="CQ483" s="32"/>
      <c r="CR483" s="32"/>
      <c r="CS483" s="32"/>
      <c r="CT483" s="32"/>
      <c r="CU483" s="32"/>
      <c r="CV483" s="32"/>
      <c r="CW483" s="32"/>
      <c r="CX483" s="32"/>
      <c r="CY483" s="32"/>
      <c r="CZ483" s="32"/>
      <c r="DA483" s="32"/>
      <c r="DB483" s="32"/>
      <c r="DC483" s="32"/>
      <c r="DD483" s="32"/>
      <c r="DE483" s="32"/>
      <c r="DF483" s="32"/>
      <c r="DG483" s="32"/>
      <c r="DH483" s="32"/>
      <c r="DI483" s="32"/>
      <c r="DJ483" s="32"/>
      <c r="DK483" s="32"/>
      <c r="DL483" s="32"/>
      <c r="DM483" s="32"/>
      <c r="DN483" s="32"/>
      <c r="DO483" s="32"/>
      <c r="DP483" s="32"/>
      <c r="DQ483" s="32"/>
      <c r="DR483" s="32"/>
      <c r="DS483" s="32"/>
      <c r="DT483" s="32"/>
      <c r="DU483" s="32"/>
      <c r="DV483" s="32"/>
      <c r="DW483" s="32"/>
      <c r="DX483" s="32"/>
      <c r="DY483" s="32"/>
      <c r="DZ483" s="32"/>
      <c r="EA483" s="32"/>
      <c r="EB483" s="32"/>
      <c r="EC483" s="32"/>
      <c r="ED483" s="32"/>
      <c r="EE483" s="32"/>
      <c r="EF483" s="32"/>
      <c r="EG483" s="32"/>
      <c r="EH483" s="32"/>
      <c r="EI483" s="32"/>
      <c r="EJ483" s="32"/>
      <c r="EK483" s="32"/>
      <c r="EL483" s="32"/>
      <c r="EM483" s="32"/>
      <c r="EN483" s="32"/>
      <c r="EO483" s="32"/>
      <c r="EP483" s="32"/>
      <c r="EQ483" s="32"/>
      <c r="ER483" s="32"/>
      <c r="ES483" s="32"/>
      <c r="ET483" s="32"/>
      <c r="EU483" s="32"/>
      <c r="EV483" s="32"/>
      <c r="EW483" s="32"/>
      <c r="EX483" s="32"/>
      <c r="EY483" s="32"/>
      <c r="EZ483" s="32"/>
      <c r="FA483" s="32"/>
      <c r="FB483" s="32"/>
      <c r="FC483" s="32"/>
      <c r="FD483" s="32"/>
      <c r="FE483" s="32"/>
      <c r="FF483" s="32"/>
      <c r="FG483" s="32"/>
      <c r="FH483" s="32"/>
      <c r="FI483" s="32"/>
      <c r="FJ483" s="32"/>
      <c r="FK483" s="32"/>
      <c r="FL483" s="32"/>
      <c r="FM483" s="32"/>
      <c r="FN483" s="32"/>
      <c r="FO483" s="32"/>
      <c r="FP483" s="32"/>
      <c r="FQ483" s="32"/>
      <c r="FR483" s="32"/>
      <c r="FS483" s="32"/>
      <c r="FT483" s="32"/>
      <c r="FU483" s="32"/>
      <c r="FV483" s="32"/>
      <c r="FW483" s="32"/>
      <c r="FX483" s="32"/>
      <c r="FY483" s="32"/>
      <c r="FZ483" s="32"/>
      <c r="GA483" s="32"/>
      <c r="GB483" s="32"/>
      <c r="GC483" s="32"/>
      <c r="GD483" s="32"/>
      <c r="GE483" s="32"/>
      <c r="GF483" s="32"/>
      <c r="GG483" s="32"/>
      <c r="GH483" s="32"/>
      <c r="GI483" s="32"/>
      <c r="GJ483" s="32"/>
      <c r="GK483" s="32"/>
      <c r="GL483" s="32"/>
      <c r="GM483" s="32"/>
      <c r="GN483" s="32"/>
      <c r="GO483" s="32"/>
      <c r="GP483" s="32"/>
      <c r="GQ483" s="32"/>
      <c r="GR483" s="32"/>
      <c r="GS483" s="32"/>
      <c r="GT483" s="32"/>
      <c r="GU483" s="32"/>
      <c r="GV483" s="32"/>
      <c r="GW483" s="32"/>
      <c r="GX483" s="32"/>
      <c r="GY483" s="32"/>
      <c r="GZ483" s="32"/>
      <c r="HA483" s="32"/>
      <c r="HB483" s="32"/>
      <c r="HC483" s="32"/>
      <c r="HD483" s="32"/>
      <c r="HE483" s="32"/>
      <c r="HF483" s="32"/>
      <c r="HG483" s="32"/>
      <c r="HH483" s="32"/>
      <c r="HI483" s="32"/>
      <c r="HJ483" s="32"/>
      <c r="HK483" s="32"/>
      <c r="HL483" s="32"/>
      <c r="HM483" s="32"/>
      <c r="HN483" s="32"/>
      <c r="HO483" s="32"/>
      <c r="HP483" s="32"/>
    </row>
    <row r="484" spans="1:224" x14ac:dyDescent="0.25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  <c r="BE484" s="32"/>
      <c r="BF484" s="32"/>
      <c r="BG484" s="32"/>
      <c r="BH484" s="32"/>
      <c r="BI484" s="32"/>
      <c r="BJ484" s="32"/>
      <c r="BK484" s="32"/>
      <c r="BL484" s="32"/>
      <c r="BM484" s="32"/>
      <c r="BN484" s="32"/>
      <c r="BO484" s="32"/>
      <c r="BP484" s="32"/>
      <c r="BQ484" s="32"/>
      <c r="BR484" s="32"/>
      <c r="BS484" s="32"/>
      <c r="BT484" s="32"/>
      <c r="BU484" s="32"/>
      <c r="BV484" s="32"/>
      <c r="BW484" s="32"/>
      <c r="BX484" s="32"/>
      <c r="BY484" s="32"/>
      <c r="BZ484" s="32"/>
      <c r="CA484" s="32"/>
      <c r="CB484" s="32"/>
      <c r="CC484" s="32"/>
      <c r="CD484" s="32"/>
      <c r="CE484" s="32"/>
      <c r="CF484" s="32"/>
      <c r="CG484" s="32"/>
      <c r="CH484" s="32"/>
      <c r="CI484" s="32"/>
      <c r="CJ484" s="32"/>
      <c r="CK484" s="32"/>
      <c r="CL484" s="32"/>
      <c r="CM484" s="32"/>
      <c r="CN484" s="32"/>
      <c r="CO484" s="32"/>
      <c r="CP484" s="32"/>
      <c r="CQ484" s="32"/>
      <c r="CR484" s="32"/>
      <c r="CS484" s="32"/>
      <c r="CT484" s="32"/>
      <c r="CU484" s="32"/>
      <c r="CV484" s="32"/>
      <c r="CW484" s="32"/>
      <c r="CX484" s="32"/>
      <c r="CY484" s="32"/>
      <c r="CZ484" s="32"/>
      <c r="DA484" s="32"/>
      <c r="DB484" s="32"/>
      <c r="DC484" s="32"/>
      <c r="DD484" s="32"/>
      <c r="DE484" s="32"/>
      <c r="DF484" s="32"/>
      <c r="DG484" s="32"/>
      <c r="DH484" s="32"/>
      <c r="DI484" s="32"/>
      <c r="DJ484" s="32"/>
      <c r="DK484" s="32"/>
      <c r="DL484" s="32"/>
      <c r="DM484" s="32"/>
      <c r="DN484" s="32"/>
      <c r="DO484" s="32"/>
      <c r="DP484" s="32"/>
      <c r="DQ484" s="32"/>
      <c r="DR484" s="32"/>
      <c r="DS484" s="32"/>
      <c r="DT484" s="32"/>
      <c r="DU484" s="32"/>
      <c r="DV484" s="32"/>
      <c r="DW484" s="32"/>
      <c r="DX484" s="32"/>
      <c r="DY484" s="32"/>
      <c r="DZ484" s="32"/>
      <c r="EA484" s="32"/>
      <c r="EB484" s="32"/>
      <c r="EC484" s="32"/>
      <c r="ED484" s="32"/>
      <c r="EE484" s="32"/>
      <c r="EF484" s="32"/>
      <c r="EG484" s="32"/>
      <c r="EH484" s="32"/>
      <c r="EI484" s="32"/>
      <c r="EJ484" s="32"/>
      <c r="EK484" s="32"/>
      <c r="EL484" s="32"/>
      <c r="EM484" s="32"/>
      <c r="EN484" s="32"/>
      <c r="EO484" s="32"/>
      <c r="EP484" s="32"/>
      <c r="EQ484" s="32"/>
      <c r="ER484" s="32"/>
      <c r="ES484" s="32"/>
      <c r="ET484" s="32"/>
      <c r="EU484" s="32"/>
      <c r="EV484" s="32"/>
      <c r="EW484" s="32"/>
      <c r="EX484" s="32"/>
      <c r="EY484" s="32"/>
      <c r="EZ484" s="32"/>
      <c r="FA484" s="32"/>
      <c r="FB484" s="32"/>
      <c r="FC484" s="32"/>
      <c r="FD484" s="32"/>
      <c r="FE484" s="32"/>
      <c r="FF484" s="32"/>
      <c r="FG484" s="32"/>
      <c r="FH484" s="32"/>
      <c r="FI484" s="32"/>
      <c r="FJ484" s="32"/>
      <c r="FK484" s="32"/>
      <c r="FL484" s="32"/>
      <c r="FM484" s="32"/>
      <c r="FN484" s="32"/>
      <c r="FO484" s="32"/>
      <c r="FP484" s="32"/>
      <c r="FQ484" s="32"/>
      <c r="FR484" s="32"/>
      <c r="FS484" s="32"/>
      <c r="FT484" s="32"/>
      <c r="FU484" s="32"/>
      <c r="FV484" s="32"/>
      <c r="FW484" s="32"/>
      <c r="FX484" s="32"/>
      <c r="FY484" s="32"/>
      <c r="FZ484" s="32"/>
      <c r="GA484" s="32"/>
      <c r="GB484" s="32"/>
      <c r="GC484" s="32"/>
      <c r="GD484" s="32"/>
      <c r="GE484" s="32"/>
      <c r="GF484" s="32"/>
      <c r="GG484" s="32"/>
      <c r="GH484" s="32"/>
      <c r="GI484" s="32"/>
      <c r="GJ484" s="32"/>
      <c r="GK484" s="32"/>
      <c r="GL484" s="32"/>
      <c r="GM484" s="32"/>
      <c r="GN484" s="32"/>
      <c r="GO484" s="32"/>
      <c r="GP484" s="32"/>
      <c r="GQ484" s="32"/>
      <c r="GR484" s="32"/>
      <c r="GS484" s="32"/>
      <c r="GT484" s="32"/>
      <c r="GU484" s="32"/>
      <c r="GV484" s="32"/>
      <c r="GW484" s="32"/>
      <c r="GX484" s="32"/>
      <c r="GY484" s="32"/>
      <c r="GZ484" s="32"/>
      <c r="HA484" s="32"/>
      <c r="HB484" s="32"/>
      <c r="HC484" s="32"/>
      <c r="HD484" s="32"/>
      <c r="HE484" s="32"/>
      <c r="HF484" s="32"/>
      <c r="HG484" s="32"/>
      <c r="HH484" s="32"/>
      <c r="HI484" s="32"/>
      <c r="HJ484" s="32"/>
      <c r="HK484" s="32"/>
      <c r="HL484" s="32"/>
      <c r="HM484" s="32"/>
      <c r="HN484" s="32"/>
      <c r="HO484" s="32"/>
      <c r="HP484" s="32"/>
    </row>
    <row r="485" spans="1:224" x14ac:dyDescent="0.2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2"/>
      <c r="BF485" s="32"/>
      <c r="BG485" s="32"/>
      <c r="BH485" s="32"/>
      <c r="BI485" s="32"/>
      <c r="BJ485" s="32"/>
      <c r="BK485" s="32"/>
      <c r="BL485" s="32"/>
      <c r="BM485" s="32"/>
      <c r="BN485" s="32"/>
      <c r="BO485" s="32"/>
      <c r="BP485" s="32"/>
      <c r="BQ485" s="32"/>
      <c r="BR485" s="32"/>
      <c r="BS485" s="32"/>
      <c r="BT485" s="32"/>
      <c r="BU485" s="32"/>
      <c r="BV485" s="32"/>
      <c r="BW485" s="32"/>
      <c r="BX485" s="32"/>
      <c r="BY485" s="32"/>
      <c r="BZ485" s="32"/>
      <c r="CA485" s="32"/>
      <c r="CB485" s="32"/>
      <c r="CC485" s="32"/>
      <c r="CD485" s="32"/>
      <c r="CE485" s="32"/>
      <c r="CF485" s="32"/>
      <c r="CG485" s="32"/>
      <c r="CH485" s="32"/>
      <c r="CI485" s="32"/>
      <c r="CJ485" s="32"/>
      <c r="CK485" s="32"/>
      <c r="CL485" s="32"/>
      <c r="CM485" s="32"/>
      <c r="CN485" s="32"/>
      <c r="CO485" s="32"/>
      <c r="CP485" s="32"/>
      <c r="CQ485" s="32"/>
      <c r="CR485" s="32"/>
      <c r="CS485" s="32"/>
      <c r="CT485" s="32"/>
      <c r="CU485" s="32"/>
      <c r="CV485" s="32"/>
      <c r="CW485" s="32"/>
      <c r="CX485" s="32"/>
      <c r="CY485" s="32"/>
      <c r="CZ485" s="32"/>
      <c r="DA485" s="32"/>
      <c r="DB485" s="32"/>
      <c r="DC485" s="32"/>
      <c r="DD485" s="32"/>
      <c r="DE485" s="32"/>
      <c r="DF485" s="32"/>
      <c r="DG485" s="32"/>
      <c r="DH485" s="32"/>
      <c r="DI485" s="32"/>
      <c r="DJ485" s="32"/>
      <c r="DK485" s="32"/>
      <c r="DL485" s="32"/>
      <c r="DM485" s="32"/>
      <c r="DN485" s="32"/>
      <c r="DO485" s="32"/>
      <c r="DP485" s="32"/>
      <c r="DQ485" s="32"/>
      <c r="DR485" s="32"/>
      <c r="DS485" s="32"/>
      <c r="DT485" s="32"/>
      <c r="DU485" s="32"/>
      <c r="DV485" s="32"/>
      <c r="DW485" s="32"/>
      <c r="DX485" s="32"/>
      <c r="DY485" s="32"/>
      <c r="DZ485" s="32"/>
      <c r="EA485" s="32"/>
      <c r="EB485" s="32"/>
      <c r="EC485" s="32"/>
      <c r="ED485" s="32"/>
      <c r="EE485" s="32"/>
      <c r="EF485" s="32"/>
      <c r="EG485" s="32"/>
      <c r="EH485" s="32"/>
      <c r="EI485" s="32"/>
      <c r="EJ485" s="32"/>
      <c r="EK485" s="32"/>
      <c r="EL485" s="32"/>
      <c r="EM485" s="32"/>
      <c r="EN485" s="32"/>
      <c r="EO485" s="32"/>
      <c r="EP485" s="32"/>
      <c r="EQ485" s="32"/>
      <c r="ER485" s="32"/>
      <c r="ES485" s="32"/>
      <c r="ET485" s="32"/>
      <c r="EU485" s="32"/>
      <c r="EV485" s="32"/>
      <c r="EW485" s="32"/>
      <c r="EX485" s="32"/>
      <c r="EY485" s="32"/>
      <c r="EZ485" s="32"/>
      <c r="FA485" s="32"/>
      <c r="FB485" s="32"/>
      <c r="FC485" s="32"/>
      <c r="FD485" s="32"/>
      <c r="FE485" s="32"/>
      <c r="FF485" s="32"/>
      <c r="FG485" s="32"/>
      <c r="FH485" s="32"/>
      <c r="FI485" s="32"/>
      <c r="FJ485" s="32"/>
      <c r="FK485" s="32"/>
      <c r="FL485" s="32"/>
      <c r="FM485" s="32"/>
      <c r="FN485" s="32"/>
      <c r="FO485" s="32"/>
      <c r="FP485" s="32"/>
      <c r="FQ485" s="32"/>
      <c r="FR485" s="32"/>
      <c r="FS485" s="32"/>
      <c r="FT485" s="32"/>
      <c r="FU485" s="32"/>
      <c r="FV485" s="32"/>
      <c r="FW485" s="32"/>
      <c r="FX485" s="32"/>
      <c r="FY485" s="32"/>
      <c r="FZ485" s="32"/>
      <c r="GA485" s="32"/>
      <c r="GB485" s="32"/>
      <c r="GC485" s="32"/>
      <c r="GD485" s="32"/>
      <c r="GE485" s="32"/>
      <c r="GF485" s="32"/>
      <c r="GG485" s="32"/>
      <c r="GH485" s="32"/>
      <c r="GI485" s="32"/>
      <c r="GJ485" s="32"/>
      <c r="GK485" s="32"/>
      <c r="GL485" s="32"/>
      <c r="GM485" s="32"/>
      <c r="GN485" s="32"/>
      <c r="GO485" s="32"/>
      <c r="GP485" s="32"/>
      <c r="GQ485" s="32"/>
      <c r="GR485" s="32"/>
      <c r="GS485" s="32"/>
      <c r="GT485" s="32"/>
      <c r="GU485" s="32"/>
      <c r="GV485" s="32"/>
      <c r="GW485" s="32"/>
      <c r="GX485" s="32"/>
      <c r="GY485" s="32"/>
      <c r="GZ485" s="32"/>
      <c r="HA485" s="32"/>
      <c r="HB485" s="32"/>
      <c r="HC485" s="32"/>
      <c r="HD485" s="32"/>
      <c r="HE485" s="32"/>
      <c r="HF485" s="32"/>
      <c r="HG485" s="32"/>
      <c r="HH485" s="32"/>
      <c r="HI485" s="32"/>
      <c r="HJ485" s="32"/>
      <c r="HK485" s="32"/>
      <c r="HL485" s="32"/>
      <c r="HM485" s="32"/>
      <c r="HN485" s="32"/>
      <c r="HO485" s="32"/>
      <c r="HP485" s="32"/>
    </row>
    <row r="486" spans="1:224" x14ac:dyDescent="0.25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  <c r="BE486" s="32"/>
      <c r="BF486" s="32"/>
      <c r="BG486" s="32"/>
      <c r="BH486" s="32"/>
      <c r="BI486" s="32"/>
      <c r="BJ486" s="32"/>
      <c r="BK486" s="32"/>
      <c r="BL486" s="32"/>
      <c r="BM486" s="32"/>
      <c r="BN486" s="32"/>
      <c r="BO486" s="32"/>
      <c r="BP486" s="32"/>
      <c r="BQ486" s="32"/>
      <c r="BR486" s="32"/>
      <c r="BS486" s="32"/>
      <c r="BT486" s="32"/>
      <c r="BU486" s="32"/>
      <c r="BV486" s="32"/>
      <c r="BW486" s="32"/>
      <c r="BX486" s="32"/>
      <c r="BY486" s="32"/>
      <c r="BZ486" s="32"/>
      <c r="CA486" s="32"/>
      <c r="CB486" s="32"/>
      <c r="CC486" s="32"/>
      <c r="CD486" s="32"/>
      <c r="CE486" s="32"/>
      <c r="CF486" s="32"/>
      <c r="CG486" s="32"/>
      <c r="CH486" s="32"/>
      <c r="CI486" s="32"/>
      <c r="CJ486" s="32"/>
      <c r="CK486" s="32"/>
      <c r="CL486" s="32"/>
      <c r="CM486" s="32"/>
      <c r="CN486" s="32"/>
      <c r="CO486" s="32"/>
      <c r="CP486" s="32"/>
      <c r="CQ486" s="32"/>
      <c r="CR486" s="32"/>
      <c r="CS486" s="32"/>
      <c r="CT486" s="32"/>
      <c r="CU486" s="32"/>
      <c r="CV486" s="32"/>
      <c r="CW486" s="32"/>
      <c r="CX486" s="32"/>
      <c r="CY486" s="32"/>
      <c r="CZ486" s="32"/>
      <c r="DA486" s="32"/>
      <c r="DB486" s="32"/>
      <c r="DC486" s="32"/>
      <c r="DD486" s="32"/>
      <c r="DE486" s="32"/>
      <c r="DF486" s="32"/>
      <c r="DG486" s="32"/>
      <c r="DH486" s="32"/>
      <c r="DI486" s="32"/>
      <c r="DJ486" s="32"/>
      <c r="DK486" s="32"/>
      <c r="DL486" s="32"/>
      <c r="DM486" s="32"/>
      <c r="DN486" s="32"/>
      <c r="DO486" s="32"/>
      <c r="DP486" s="32"/>
      <c r="DQ486" s="32"/>
      <c r="DR486" s="32"/>
      <c r="DS486" s="32"/>
      <c r="DT486" s="32"/>
      <c r="DU486" s="32"/>
      <c r="DV486" s="32"/>
      <c r="DW486" s="32"/>
      <c r="DX486" s="32"/>
      <c r="DY486" s="32"/>
      <c r="DZ486" s="32"/>
      <c r="EA486" s="32"/>
      <c r="EB486" s="32"/>
      <c r="EC486" s="32"/>
      <c r="ED486" s="32"/>
      <c r="EE486" s="32"/>
      <c r="EF486" s="32"/>
      <c r="EG486" s="32"/>
      <c r="EH486" s="32"/>
      <c r="EI486" s="32"/>
      <c r="EJ486" s="32"/>
      <c r="EK486" s="32"/>
      <c r="EL486" s="32"/>
      <c r="EM486" s="32"/>
      <c r="EN486" s="32"/>
      <c r="EO486" s="32"/>
      <c r="EP486" s="32"/>
      <c r="EQ486" s="32"/>
      <c r="ER486" s="32"/>
      <c r="ES486" s="32"/>
      <c r="ET486" s="32"/>
      <c r="EU486" s="32"/>
      <c r="EV486" s="32"/>
      <c r="EW486" s="32"/>
      <c r="EX486" s="32"/>
      <c r="EY486" s="32"/>
      <c r="EZ486" s="32"/>
      <c r="FA486" s="32"/>
      <c r="FB486" s="32"/>
      <c r="FC486" s="32"/>
      <c r="FD486" s="32"/>
      <c r="FE486" s="32"/>
      <c r="FF486" s="32"/>
      <c r="FG486" s="32"/>
      <c r="FH486" s="32"/>
      <c r="FI486" s="32"/>
      <c r="FJ486" s="32"/>
      <c r="FK486" s="32"/>
      <c r="FL486" s="32"/>
      <c r="FM486" s="32"/>
      <c r="FN486" s="32"/>
      <c r="FO486" s="32"/>
      <c r="FP486" s="32"/>
      <c r="FQ486" s="32"/>
      <c r="FR486" s="32"/>
      <c r="FS486" s="32"/>
      <c r="FT486" s="32"/>
      <c r="FU486" s="32"/>
      <c r="FV486" s="32"/>
      <c r="FW486" s="32"/>
      <c r="FX486" s="32"/>
      <c r="FY486" s="32"/>
      <c r="FZ486" s="32"/>
      <c r="GA486" s="32"/>
      <c r="GB486" s="32"/>
      <c r="GC486" s="32"/>
      <c r="GD486" s="32"/>
      <c r="GE486" s="32"/>
      <c r="GF486" s="32"/>
      <c r="GG486" s="32"/>
      <c r="GH486" s="32"/>
      <c r="GI486" s="32"/>
      <c r="GJ486" s="32"/>
      <c r="GK486" s="32"/>
      <c r="GL486" s="32"/>
      <c r="GM486" s="32"/>
      <c r="GN486" s="32"/>
      <c r="GO486" s="32"/>
      <c r="GP486" s="32"/>
      <c r="GQ486" s="32"/>
      <c r="GR486" s="32"/>
      <c r="GS486" s="32"/>
      <c r="GT486" s="32"/>
      <c r="GU486" s="32"/>
      <c r="GV486" s="32"/>
      <c r="GW486" s="32"/>
      <c r="GX486" s="32"/>
      <c r="GY486" s="32"/>
      <c r="GZ486" s="32"/>
      <c r="HA486" s="32"/>
      <c r="HB486" s="32"/>
      <c r="HC486" s="32"/>
      <c r="HD486" s="32"/>
      <c r="HE486" s="32"/>
      <c r="HF486" s="32"/>
      <c r="HG486" s="32"/>
      <c r="HH486" s="32"/>
      <c r="HI486" s="32"/>
      <c r="HJ486" s="32"/>
      <c r="HK486" s="32"/>
      <c r="HL486" s="32"/>
      <c r="HM486" s="32"/>
      <c r="HN486" s="32"/>
      <c r="HO486" s="32"/>
      <c r="HP486" s="32"/>
    </row>
    <row r="487" spans="1:224" x14ac:dyDescent="0.25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  <c r="BE487" s="32"/>
      <c r="BF487" s="32"/>
      <c r="BG487" s="32"/>
      <c r="BH487" s="32"/>
      <c r="BI487" s="32"/>
      <c r="BJ487" s="32"/>
      <c r="BK487" s="32"/>
      <c r="BL487" s="32"/>
      <c r="BM487" s="32"/>
      <c r="BN487" s="32"/>
      <c r="BO487" s="32"/>
      <c r="BP487" s="32"/>
      <c r="BQ487" s="32"/>
      <c r="BR487" s="32"/>
      <c r="BS487" s="32"/>
      <c r="BT487" s="32"/>
      <c r="BU487" s="32"/>
      <c r="BV487" s="32"/>
      <c r="BW487" s="32"/>
      <c r="BX487" s="32"/>
      <c r="BY487" s="32"/>
      <c r="BZ487" s="32"/>
      <c r="CA487" s="32"/>
      <c r="CB487" s="32"/>
      <c r="CC487" s="32"/>
      <c r="CD487" s="32"/>
      <c r="CE487" s="32"/>
      <c r="CF487" s="32"/>
      <c r="CG487" s="32"/>
      <c r="CH487" s="32"/>
      <c r="CI487" s="32"/>
      <c r="CJ487" s="32"/>
      <c r="CK487" s="32"/>
      <c r="CL487" s="32"/>
      <c r="CM487" s="32"/>
      <c r="CN487" s="32"/>
      <c r="CO487" s="32"/>
      <c r="CP487" s="32"/>
      <c r="CQ487" s="32"/>
      <c r="CR487" s="32"/>
      <c r="CS487" s="32"/>
      <c r="CT487" s="32"/>
      <c r="CU487" s="32"/>
      <c r="CV487" s="32"/>
      <c r="CW487" s="32"/>
      <c r="CX487" s="32"/>
      <c r="CY487" s="32"/>
      <c r="CZ487" s="32"/>
      <c r="DA487" s="32"/>
      <c r="DB487" s="32"/>
      <c r="DC487" s="32"/>
      <c r="DD487" s="32"/>
      <c r="DE487" s="32"/>
      <c r="DF487" s="32"/>
      <c r="DG487" s="32"/>
      <c r="DH487" s="32"/>
      <c r="DI487" s="32"/>
      <c r="DJ487" s="32"/>
      <c r="DK487" s="32"/>
      <c r="DL487" s="32"/>
      <c r="DM487" s="32"/>
      <c r="DN487" s="32"/>
      <c r="DO487" s="32"/>
      <c r="DP487" s="32"/>
      <c r="DQ487" s="32"/>
      <c r="DR487" s="32"/>
      <c r="DS487" s="32"/>
      <c r="DT487" s="32"/>
      <c r="DU487" s="32"/>
      <c r="DV487" s="32"/>
      <c r="DW487" s="32"/>
      <c r="DX487" s="32"/>
      <c r="DY487" s="32"/>
      <c r="DZ487" s="32"/>
      <c r="EA487" s="32"/>
      <c r="EB487" s="32"/>
      <c r="EC487" s="32"/>
      <c r="ED487" s="32"/>
      <c r="EE487" s="32"/>
      <c r="EF487" s="32"/>
      <c r="EG487" s="32"/>
      <c r="EH487" s="32"/>
      <c r="EI487" s="32"/>
      <c r="EJ487" s="32"/>
      <c r="EK487" s="32"/>
      <c r="EL487" s="32"/>
      <c r="EM487" s="32"/>
      <c r="EN487" s="32"/>
      <c r="EO487" s="32"/>
      <c r="EP487" s="32"/>
      <c r="EQ487" s="32"/>
      <c r="ER487" s="32"/>
      <c r="ES487" s="32"/>
      <c r="ET487" s="32"/>
      <c r="EU487" s="32"/>
      <c r="EV487" s="32"/>
      <c r="EW487" s="32"/>
      <c r="EX487" s="32"/>
      <c r="EY487" s="32"/>
      <c r="EZ487" s="32"/>
      <c r="FA487" s="32"/>
      <c r="FB487" s="32"/>
      <c r="FC487" s="32"/>
      <c r="FD487" s="32"/>
      <c r="FE487" s="32"/>
      <c r="FF487" s="32"/>
      <c r="FG487" s="32"/>
      <c r="FH487" s="32"/>
      <c r="FI487" s="32"/>
      <c r="FJ487" s="32"/>
      <c r="FK487" s="32"/>
      <c r="FL487" s="32"/>
      <c r="FM487" s="32"/>
      <c r="FN487" s="32"/>
      <c r="FO487" s="32"/>
      <c r="FP487" s="32"/>
      <c r="FQ487" s="32"/>
      <c r="FR487" s="32"/>
      <c r="FS487" s="32"/>
      <c r="FT487" s="32"/>
      <c r="FU487" s="32"/>
      <c r="FV487" s="32"/>
      <c r="FW487" s="32"/>
      <c r="FX487" s="32"/>
      <c r="FY487" s="32"/>
      <c r="FZ487" s="32"/>
      <c r="GA487" s="32"/>
      <c r="GB487" s="32"/>
      <c r="GC487" s="32"/>
      <c r="GD487" s="32"/>
      <c r="GE487" s="32"/>
      <c r="GF487" s="32"/>
      <c r="GG487" s="32"/>
      <c r="GH487" s="32"/>
      <c r="GI487" s="32"/>
      <c r="GJ487" s="32"/>
      <c r="GK487" s="32"/>
      <c r="GL487" s="32"/>
      <c r="GM487" s="32"/>
      <c r="GN487" s="32"/>
      <c r="GO487" s="32"/>
      <c r="GP487" s="32"/>
      <c r="GQ487" s="32"/>
      <c r="GR487" s="32"/>
      <c r="GS487" s="32"/>
      <c r="GT487" s="32"/>
      <c r="GU487" s="32"/>
      <c r="GV487" s="32"/>
      <c r="GW487" s="32"/>
      <c r="GX487" s="32"/>
      <c r="GY487" s="32"/>
      <c r="GZ487" s="32"/>
      <c r="HA487" s="32"/>
      <c r="HB487" s="32"/>
      <c r="HC487" s="32"/>
      <c r="HD487" s="32"/>
      <c r="HE487" s="32"/>
      <c r="HF487" s="32"/>
      <c r="HG487" s="32"/>
      <c r="HH487" s="32"/>
      <c r="HI487" s="32"/>
      <c r="HJ487" s="32"/>
      <c r="HK487" s="32"/>
      <c r="HL487" s="32"/>
      <c r="HM487" s="32"/>
      <c r="HN487" s="32"/>
      <c r="HO487" s="32"/>
      <c r="HP487" s="32"/>
    </row>
    <row r="488" spans="1:224" x14ac:dyDescent="0.25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2"/>
      <c r="BB488" s="32"/>
      <c r="BC488" s="32"/>
      <c r="BD488" s="32"/>
      <c r="BE488" s="32"/>
      <c r="BF488" s="32"/>
      <c r="BG488" s="32"/>
      <c r="BH488" s="32"/>
      <c r="BI488" s="32"/>
      <c r="BJ488" s="32"/>
      <c r="BK488" s="32"/>
      <c r="BL488" s="32"/>
      <c r="BM488" s="32"/>
      <c r="BN488" s="32"/>
      <c r="BO488" s="32"/>
      <c r="BP488" s="32"/>
      <c r="BQ488" s="32"/>
      <c r="BR488" s="32"/>
      <c r="BS488" s="32"/>
      <c r="BT488" s="32"/>
      <c r="BU488" s="32"/>
      <c r="BV488" s="32"/>
      <c r="BW488" s="32"/>
      <c r="BX488" s="32"/>
      <c r="BY488" s="32"/>
      <c r="BZ488" s="32"/>
      <c r="CA488" s="32"/>
      <c r="CB488" s="32"/>
      <c r="CC488" s="32"/>
      <c r="CD488" s="32"/>
      <c r="CE488" s="32"/>
      <c r="CF488" s="32"/>
      <c r="CG488" s="32"/>
      <c r="CH488" s="32"/>
      <c r="CI488" s="32"/>
      <c r="CJ488" s="32"/>
      <c r="CK488" s="32"/>
      <c r="CL488" s="32"/>
      <c r="CM488" s="32"/>
      <c r="CN488" s="32"/>
      <c r="CO488" s="32"/>
      <c r="CP488" s="32"/>
      <c r="CQ488" s="32"/>
      <c r="CR488" s="32"/>
      <c r="CS488" s="32"/>
      <c r="CT488" s="32"/>
      <c r="CU488" s="32"/>
      <c r="CV488" s="32"/>
      <c r="CW488" s="32"/>
      <c r="CX488" s="32"/>
      <c r="CY488" s="32"/>
      <c r="CZ488" s="32"/>
      <c r="DA488" s="32"/>
      <c r="DB488" s="32"/>
      <c r="DC488" s="32"/>
      <c r="DD488" s="32"/>
      <c r="DE488" s="32"/>
      <c r="DF488" s="32"/>
      <c r="DG488" s="32"/>
      <c r="DH488" s="32"/>
      <c r="DI488" s="32"/>
      <c r="DJ488" s="32"/>
      <c r="DK488" s="32"/>
      <c r="DL488" s="32"/>
      <c r="DM488" s="32"/>
      <c r="DN488" s="32"/>
      <c r="DO488" s="32"/>
      <c r="DP488" s="32"/>
      <c r="DQ488" s="32"/>
      <c r="DR488" s="32"/>
      <c r="DS488" s="32"/>
      <c r="DT488" s="32"/>
      <c r="DU488" s="32"/>
      <c r="DV488" s="32"/>
      <c r="DW488" s="32"/>
      <c r="DX488" s="32"/>
      <c r="DY488" s="32"/>
      <c r="DZ488" s="32"/>
      <c r="EA488" s="32"/>
      <c r="EB488" s="32"/>
      <c r="EC488" s="32"/>
      <c r="ED488" s="32"/>
      <c r="EE488" s="32"/>
      <c r="EF488" s="32"/>
      <c r="EG488" s="32"/>
      <c r="EH488" s="32"/>
      <c r="EI488" s="32"/>
      <c r="EJ488" s="32"/>
      <c r="EK488" s="32"/>
      <c r="EL488" s="32"/>
      <c r="EM488" s="32"/>
      <c r="EN488" s="32"/>
      <c r="EO488" s="32"/>
      <c r="EP488" s="32"/>
      <c r="EQ488" s="32"/>
      <c r="ER488" s="32"/>
      <c r="ES488" s="32"/>
      <c r="ET488" s="32"/>
      <c r="EU488" s="32"/>
      <c r="EV488" s="32"/>
      <c r="EW488" s="32"/>
      <c r="EX488" s="32"/>
      <c r="EY488" s="32"/>
      <c r="EZ488" s="32"/>
      <c r="FA488" s="32"/>
      <c r="FB488" s="32"/>
      <c r="FC488" s="32"/>
      <c r="FD488" s="32"/>
      <c r="FE488" s="32"/>
      <c r="FF488" s="32"/>
      <c r="FG488" s="32"/>
      <c r="FH488" s="32"/>
      <c r="FI488" s="32"/>
      <c r="FJ488" s="32"/>
      <c r="FK488" s="32"/>
      <c r="FL488" s="32"/>
      <c r="FM488" s="32"/>
      <c r="FN488" s="32"/>
      <c r="FO488" s="32"/>
      <c r="FP488" s="32"/>
      <c r="FQ488" s="32"/>
      <c r="FR488" s="32"/>
      <c r="FS488" s="32"/>
      <c r="FT488" s="32"/>
      <c r="FU488" s="32"/>
      <c r="FV488" s="32"/>
      <c r="FW488" s="32"/>
      <c r="FX488" s="32"/>
      <c r="FY488" s="32"/>
      <c r="FZ488" s="32"/>
      <c r="GA488" s="32"/>
      <c r="GB488" s="32"/>
      <c r="GC488" s="32"/>
      <c r="GD488" s="32"/>
      <c r="GE488" s="32"/>
      <c r="GF488" s="32"/>
      <c r="GG488" s="32"/>
      <c r="GH488" s="32"/>
      <c r="GI488" s="32"/>
      <c r="GJ488" s="32"/>
      <c r="GK488" s="32"/>
      <c r="GL488" s="32"/>
      <c r="GM488" s="32"/>
      <c r="GN488" s="32"/>
      <c r="GO488" s="32"/>
      <c r="GP488" s="32"/>
      <c r="GQ488" s="32"/>
      <c r="GR488" s="32"/>
      <c r="GS488" s="32"/>
      <c r="GT488" s="32"/>
      <c r="GU488" s="32"/>
      <c r="GV488" s="32"/>
      <c r="GW488" s="32"/>
      <c r="GX488" s="32"/>
      <c r="GY488" s="32"/>
      <c r="GZ488" s="32"/>
      <c r="HA488" s="32"/>
      <c r="HB488" s="32"/>
      <c r="HC488" s="32"/>
      <c r="HD488" s="32"/>
      <c r="HE488" s="32"/>
      <c r="HF488" s="32"/>
      <c r="HG488" s="32"/>
      <c r="HH488" s="32"/>
      <c r="HI488" s="32"/>
      <c r="HJ488" s="32"/>
      <c r="HK488" s="32"/>
      <c r="HL488" s="32"/>
      <c r="HM488" s="32"/>
      <c r="HN488" s="32"/>
      <c r="HO488" s="32"/>
      <c r="HP488" s="32"/>
    </row>
    <row r="489" spans="1:224" x14ac:dyDescent="0.25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  <c r="BC489" s="32"/>
      <c r="BD489" s="32"/>
      <c r="BE489" s="32"/>
      <c r="BF489" s="32"/>
      <c r="BG489" s="32"/>
      <c r="BH489" s="32"/>
      <c r="BI489" s="32"/>
      <c r="BJ489" s="32"/>
      <c r="BK489" s="32"/>
      <c r="BL489" s="32"/>
      <c r="BM489" s="32"/>
      <c r="BN489" s="32"/>
      <c r="BO489" s="32"/>
      <c r="BP489" s="32"/>
      <c r="BQ489" s="32"/>
      <c r="BR489" s="32"/>
      <c r="BS489" s="32"/>
      <c r="BT489" s="32"/>
      <c r="BU489" s="32"/>
      <c r="BV489" s="32"/>
      <c r="BW489" s="32"/>
      <c r="BX489" s="32"/>
      <c r="BY489" s="32"/>
      <c r="BZ489" s="32"/>
      <c r="CA489" s="32"/>
      <c r="CB489" s="32"/>
      <c r="CC489" s="32"/>
      <c r="CD489" s="32"/>
      <c r="CE489" s="32"/>
      <c r="CF489" s="32"/>
      <c r="CG489" s="32"/>
      <c r="CH489" s="32"/>
      <c r="CI489" s="32"/>
      <c r="CJ489" s="32"/>
      <c r="CK489" s="32"/>
      <c r="CL489" s="32"/>
      <c r="CM489" s="32"/>
      <c r="CN489" s="32"/>
      <c r="CO489" s="32"/>
      <c r="CP489" s="32"/>
      <c r="CQ489" s="32"/>
      <c r="CR489" s="32"/>
      <c r="CS489" s="32"/>
      <c r="CT489" s="32"/>
      <c r="CU489" s="32"/>
      <c r="CV489" s="32"/>
      <c r="CW489" s="32"/>
      <c r="CX489" s="32"/>
      <c r="CY489" s="32"/>
      <c r="CZ489" s="32"/>
      <c r="DA489" s="32"/>
      <c r="DB489" s="32"/>
      <c r="DC489" s="32"/>
      <c r="DD489" s="32"/>
      <c r="DE489" s="32"/>
      <c r="DF489" s="32"/>
      <c r="DG489" s="32"/>
      <c r="DH489" s="32"/>
      <c r="DI489" s="32"/>
      <c r="DJ489" s="32"/>
      <c r="DK489" s="32"/>
      <c r="DL489" s="32"/>
      <c r="DM489" s="32"/>
      <c r="DN489" s="32"/>
      <c r="DO489" s="32"/>
      <c r="DP489" s="32"/>
      <c r="DQ489" s="32"/>
      <c r="DR489" s="32"/>
      <c r="DS489" s="32"/>
      <c r="DT489" s="32"/>
      <c r="DU489" s="32"/>
      <c r="DV489" s="32"/>
      <c r="DW489" s="32"/>
      <c r="DX489" s="32"/>
      <c r="DY489" s="32"/>
      <c r="DZ489" s="32"/>
      <c r="EA489" s="32"/>
      <c r="EB489" s="32"/>
      <c r="EC489" s="32"/>
      <c r="ED489" s="32"/>
      <c r="EE489" s="32"/>
      <c r="EF489" s="32"/>
      <c r="EG489" s="32"/>
      <c r="EH489" s="32"/>
      <c r="EI489" s="32"/>
      <c r="EJ489" s="32"/>
      <c r="EK489" s="32"/>
      <c r="EL489" s="32"/>
      <c r="EM489" s="32"/>
      <c r="EN489" s="32"/>
      <c r="EO489" s="32"/>
      <c r="EP489" s="32"/>
      <c r="EQ489" s="32"/>
      <c r="ER489" s="32"/>
      <c r="ES489" s="32"/>
      <c r="ET489" s="32"/>
      <c r="EU489" s="32"/>
      <c r="EV489" s="32"/>
      <c r="EW489" s="32"/>
      <c r="EX489" s="32"/>
      <c r="EY489" s="32"/>
      <c r="EZ489" s="32"/>
      <c r="FA489" s="32"/>
      <c r="FB489" s="32"/>
      <c r="FC489" s="32"/>
      <c r="FD489" s="32"/>
      <c r="FE489" s="32"/>
      <c r="FF489" s="32"/>
      <c r="FG489" s="32"/>
      <c r="FH489" s="32"/>
      <c r="FI489" s="32"/>
      <c r="FJ489" s="32"/>
      <c r="FK489" s="32"/>
      <c r="FL489" s="32"/>
      <c r="FM489" s="32"/>
      <c r="FN489" s="32"/>
      <c r="FO489" s="32"/>
      <c r="FP489" s="32"/>
      <c r="FQ489" s="32"/>
      <c r="FR489" s="32"/>
      <c r="FS489" s="32"/>
      <c r="FT489" s="32"/>
      <c r="FU489" s="32"/>
      <c r="FV489" s="32"/>
      <c r="FW489" s="32"/>
      <c r="FX489" s="32"/>
      <c r="FY489" s="32"/>
      <c r="FZ489" s="32"/>
      <c r="GA489" s="32"/>
      <c r="GB489" s="32"/>
      <c r="GC489" s="32"/>
      <c r="GD489" s="32"/>
      <c r="GE489" s="32"/>
      <c r="GF489" s="32"/>
      <c r="GG489" s="32"/>
      <c r="GH489" s="32"/>
      <c r="GI489" s="32"/>
      <c r="GJ489" s="32"/>
      <c r="GK489" s="32"/>
      <c r="GL489" s="32"/>
      <c r="GM489" s="32"/>
      <c r="GN489" s="32"/>
      <c r="GO489" s="32"/>
      <c r="GP489" s="32"/>
      <c r="GQ489" s="32"/>
      <c r="GR489" s="32"/>
      <c r="GS489" s="32"/>
      <c r="GT489" s="32"/>
      <c r="GU489" s="32"/>
      <c r="GV489" s="32"/>
      <c r="GW489" s="32"/>
      <c r="GX489" s="32"/>
      <c r="GY489" s="32"/>
      <c r="GZ489" s="32"/>
      <c r="HA489" s="32"/>
      <c r="HB489" s="32"/>
      <c r="HC489" s="32"/>
      <c r="HD489" s="32"/>
      <c r="HE489" s="32"/>
      <c r="HF489" s="32"/>
      <c r="HG489" s="32"/>
      <c r="HH489" s="32"/>
      <c r="HI489" s="32"/>
      <c r="HJ489" s="32"/>
      <c r="HK489" s="32"/>
      <c r="HL489" s="32"/>
      <c r="HM489" s="32"/>
      <c r="HN489" s="32"/>
      <c r="HO489" s="32"/>
      <c r="HP489" s="32"/>
    </row>
    <row r="490" spans="1:224" x14ac:dyDescent="0.25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  <c r="BE490" s="32"/>
      <c r="BF490" s="32"/>
      <c r="BG490" s="32"/>
      <c r="BH490" s="32"/>
      <c r="BI490" s="32"/>
      <c r="BJ490" s="32"/>
      <c r="BK490" s="32"/>
      <c r="BL490" s="32"/>
      <c r="BM490" s="32"/>
      <c r="BN490" s="32"/>
      <c r="BO490" s="32"/>
      <c r="BP490" s="32"/>
      <c r="BQ490" s="32"/>
      <c r="BR490" s="32"/>
      <c r="BS490" s="32"/>
      <c r="BT490" s="32"/>
      <c r="BU490" s="32"/>
      <c r="BV490" s="32"/>
      <c r="BW490" s="32"/>
      <c r="BX490" s="32"/>
      <c r="BY490" s="32"/>
      <c r="BZ490" s="32"/>
      <c r="CA490" s="32"/>
      <c r="CB490" s="32"/>
      <c r="CC490" s="32"/>
      <c r="CD490" s="32"/>
      <c r="CE490" s="32"/>
      <c r="CF490" s="32"/>
      <c r="CG490" s="32"/>
      <c r="CH490" s="32"/>
      <c r="CI490" s="32"/>
      <c r="CJ490" s="32"/>
      <c r="CK490" s="32"/>
      <c r="CL490" s="32"/>
      <c r="CM490" s="32"/>
      <c r="CN490" s="32"/>
      <c r="CO490" s="32"/>
      <c r="CP490" s="32"/>
      <c r="CQ490" s="32"/>
      <c r="CR490" s="32"/>
      <c r="CS490" s="32"/>
      <c r="CT490" s="32"/>
      <c r="CU490" s="32"/>
      <c r="CV490" s="32"/>
      <c r="CW490" s="32"/>
      <c r="CX490" s="32"/>
      <c r="CY490" s="32"/>
      <c r="CZ490" s="32"/>
      <c r="DA490" s="32"/>
      <c r="DB490" s="32"/>
      <c r="DC490" s="32"/>
      <c r="DD490" s="32"/>
      <c r="DE490" s="32"/>
      <c r="DF490" s="32"/>
      <c r="DG490" s="32"/>
      <c r="DH490" s="32"/>
      <c r="DI490" s="32"/>
      <c r="DJ490" s="32"/>
      <c r="DK490" s="32"/>
      <c r="DL490" s="32"/>
      <c r="DM490" s="32"/>
      <c r="DN490" s="32"/>
      <c r="DO490" s="32"/>
      <c r="DP490" s="32"/>
      <c r="DQ490" s="32"/>
      <c r="DR490" s="32"/>
      <c r="DS490" s="32"/>
      <c r="DT490" s="32"/>
      <c r="DU490" s="32"/>
      <c r="DV490" s="32"/>
      <c r="DW490" s="32"/>
      <c r="DX490" s="32"/>
      <c r="DY490" s="32"/>
      <c r="DZ490" s="32"/>
      <c r="EA490" s="32"/>
      <c r="EB490" s="32"/>
      <c r="EC490" s="32"/>
      <c r="ED490" s="32"/>
      <c r="EE490" s="32"/>
      <c r="EF490" s="32"/>
      <c r="EG490" s="32"/>
      <c r="EH490" s="32"/>
      <c r="EI490" s="32"/>
      <c r="EJ490" s="32"/>
      <c r="EK490" s="32"/>
      <c r="EL490" s="32"/>
      <c r="EM490" s="32"/>
      <c r="EN490" s="32"/>
      <c r="EO490" s="32"/>
      <c r="EP490" s="32"/>
      <c r="EQ490" s="32"/>
      <c r="ER490" s="32"/>
      <c r="ES490" s="32"/>
      <c r="ET490" s="32"/>
      <c r="EU490" s="32"/>
      <c r="EV490" s="32"/>
      <c r="EW490" s="32"/>
      <c r="EX490" s="32"/>
      <c r="EY490" s="32"/>
      <c r="EZ490" s="32"/>
      <c r="FA490" s="32"/>
      <c r="FB490" s="32"/>
      <c r="FC490" s="32"/>
      <c r="FD490" s="32"/>
      <c r="FE490" s="32"/>
      <c r="FF490" s="32"/>
      <c r="FG490" s="32"/>
      <c r="FH490" s="32"/>
      <c r="FI490" s="32"/>
      <c r="FJ490" s="32"/>
      <c r="FK490" s="32"/>
      <c r="FL490" s="32"/>
      <c r="FM490" s="32"/>
      <c r="FN490" s="32"/>
      <c r="FO490" s="32"/>
      <c r="FP490" s="32"/>
      <c r="FQ490" s="32"/>
      <c r="FR490" s="32"/>
      <c r="FS490" s="32"/>
      <c r="FT490" s="32"/>
      <c r="FU490" s="32"/>
      <c r="FV490" s="32"/>
      <c r="FW490" s="32"/>
      <c r="FX490" s="32"/>
      <c r="FY490" s="32"/>
      <c r="FZ490" s="32"/>
      <c r="GA490" s="32"/>
      <c r="GB490" s="32"/>
      <c r="GC490" s="32"/>
      <c r="GD490" s="32"/>
      <c r="GE490" s="32"/>
      <c r="GF490" s="32"/>
      <c r="GG490" s="32"/>
      <c r="GH490" s="32"/>
      <c r="GI490" s="32"/>
      <c r="GJ490" s="32"/>
      <c r="GK490" s="32"/>
      <c r="GL490" s="32"/>
      <c r="GM490" s="32"/>
      <c r="GN490" s="32"/>
      <c r="GO490" s="32"/>
      <c r="GP490" s="32"/>
      <c r="GQ490" s="32"/>
      <c r="GR490" s="32"/>
      <c r="GS490" s="32"/>
      <c r="GT490" s="32"/>
      <c r="GU490" s="32"/>
      <c r="GV490" s="32"/>
      <c r="GW490" s="32"/>
      <c r="GX490" s="32"/>
      <c r="GY490" s="32"/>
      <c r="GZ490" s="32"/>
      <c r="HA490" s="32"/>
      <c r="HB490" s="32"/>
      <c r="HC490" s="32"/>
      <c r="HD490" s="32"/>
      <c r="HE490" s="32"/>
      <c r="HF490" s="32"/>
      <c r="HG490" s="32"/>
      <c r="HH490" s="32"/>
      <c r="HI490" s="32"/>
      <c r="HJ490" s="32"/>
      <c r="HK490" s="32"/>
      <c r="HL490" s="32"/>
      <c r="HM490" s="32"/>
      <c r="HN490" s="32"/>
      <c r="HO490" s="32"/>
      <c r="HP490" s="32"/>
    </row>
    <row r="491" spans="1:224" x14ac:dyDescent="0.25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  <c r="BE491" s="32"/>
      <c r="BF491" s="32"/>
      <c r="BG491" s="32"/>
      <c r="BH491" s="32"/>
      <c r="BI491" s="32"/>
      <c r="BJ491" s="32"/>
      <c r="BK491" s="32"/>
      <c r="BL491" s="32"/>
      <c r="BM491" s="32"/>
      <c r="BN491" s="32"/>
      <c r="BO491" s="32"/>
      <c r="BP491" s="32"/>
      <c r="BQ491" s="32"/>
      <c r="BR491" s="32"/>
      <c r="BS491" s="32"/>
      <c r="BT491" s="32"/>
      <c r="BU491" s="32"/>
      <c r="BV491" s="32"/>
      <c r="BW491" s="32"/>
      <c r="BX491" s="32"/>
      <c r="BY491" s="32"/>
      <c r="BZ491" s="32"/>
      <c r="CA491" s="32"/>
      <c r="CB491" s="32"/>
      <c r="CC491" s="32"/>
      <c r="CD491" s="32"/>
      <c r="CE491" s="32"/>
      <c r="CF491" s="32"/>
      <c r="CG491" s="32"/>
      <c r="CH491" s="32"/>
      <c r="CI491" s="32"/>
      <c r="CJ491" s="32"/>
      <c r="CK491" s="32"/>
      <c r="CL491" s="32"/>
      <c r="CM491" s="32"/>
      <c r="CN491" s="32"/>
      <c r="CO491" s="32"/>
      <c r="CP491" s="32"/>
      <c r="CQ491" s="32"/>
      <c r="CR491" s="32"/>
      <c r="CS491" s="32"/>
      <c r="CT491" s="32"/>
      <c r="CU491" s="32"/>
      <c r="CV491" s="32"/>
      <c r="CW491" s="32"/>
      <c r="CX491" s="32"/>
      <c r="CY491" s="32"/>
      <c r="CZ491" s="32"/>
      <c r="DA491" s="32"/>
      <c r="DB491" s="32"/>
      <c r="DC491" s="32"/>
      <c r="DD491" s="32"/>
      <c r="DE491" s="32"/>
      <c r="DF491" s="32"/>
      <c r="DG491" s="32"/>
      <c r="DH491" s="32"/>
      <c r="DI491" s="32"/>
      <c r="DJ491" s="32"/>
      <c r="DK491" s="32"/>
      <c r="DL491" s="32"/>
      <c r="DM491" s="32"/>
      <c r="DN491" s="32"/>
      <c r="DO491" s="32"/>
      <c r="DP491" s="32"/>
      <c r="DQ491" s="32"/>
      <c r="DR491" s="32"/>
      <c r="DS491" s="32"/>
      <c r="DT491" s="32"/>
      <c r="DU491" s="32"/>
      <c r="DV491" s="32"/>
      <c r="DW491" s="32"/>
      <c r="DX491" s="32"/>
      <c r="DY491" s="32"/>
      <c r="DZ491" s="32"/>
      <c r="EA491" s="32"/>
      <c r="EB491" s="32"/>
      <c r="EC491" s="32"/>
      <c r="ED491" s="32"/>
      <c r="EE491" s="32"/>
      <c r="EF491" s="32"/>
      <c r="EG491" s="32"/>
      <c r="EH491" s="32"/>
      <c r="EI491" s="32"/>
      <c r="EJ491" s="32"/>
      <c r="EK491" s="32"/>
      <c r="EL491" s="32"/>
      <c r="EM491" s="32"/>
      <c r="EN491" s="32"/>
      <c r="EO491" s="32"/>
      <c r="EP491" s="32"/>
      <c r="EQ491" s="32"/>
      <c r="ER491" s="32"/>
      <c r="ES491" s="32"/>
      <c r="ET491" s="32"/>
      <c r="EU491" s="32"/>
      <c r="EV491" s="32"/>
      <c r="EW491" s="32"/>
      <c r="EX491" s="32"/>
      <c r="EY491" s="32"/>
      <c r="EZ491" s="32"/>
      <c r="FA491" s="32"/>
      <c r="FB491" s="32"/>
      <c r="FC491" s="32"/>
      <c r="FD491" s="32"/>
      <c r="FE491" s="32"/>
      <c r="FF491" s="32"/>
      <c r="FG491" s="32"/>
      <c r="FH491" s="32"/>
      <c r="FI491" s="32"/>
      <c r="FJ491" s="32"/>
      <c r="FK491" s="32"/>
      <c r="FL491" s="32"/>
      <c r="FM491" s="32"/>
      <c r="FN491" s="32"/>
      <c r="FO491" s="32"/>
      <c r="FP491" s="32"/>
      <c r="FQ491" s="32"/>
      <c r="FR491" s="32"/>
      <c r="FS491" s="32"/>
      <c r="FT491" s="32"/>
      <c r="FU491" s="32"/>
      <c r="FV491" s="32"/>
      <c r="FW491" s="32"/>
      <c r="FX491" s="32"/>
      <c r="FY491" s="32"/>
      <c r="FZ491" s="32"/>
      <c r="GA491" s="32"/>
      <c r="GB491" s="32"/>
      <c r="GC491" s="32"/>
      <c r="GD491" s="32"/>
      <c r="GE491" s="32"/>
      <c r="GF491" s="32"/>
      <c r="GG491" s="32"/>
      <c r="GH491" s="32"/>
      <c r="GI491" s="32"/>
      <c r="GJ491" s="32"/>
      <c r="GK491" s="32"/>
      <c r="GL491" s="32"/>
      <c r="GM491" s="32"/>
      <c r="GN491" s="32"/>
      <c r="GO491" s="32"/>
      <c r="GP491" s="32"/>
      <c r="GQ491" s="32"/>
      <c r="GR491" s="32"/>
      <c r="GS491" s="32"/>
      <c r="GT491" s="32"/>
      <c r="GU491" s="32"/>
      <c r="GV491" s="32"/>
      <c r="GW491" s="32"/>
      <c r="GX491" s="32"/>
      <c r="GY491" s="32"/>
      <c r="GZ491" s="32"/>
      <c r="HA491" s="32"/>
      <c r="HB491" s="32"/>
      <c r="HC491" s="32"/>
      <c r="HD491" s="32"/>
      <c r="HE491" s="32"/>
      <c r="HF491" s="32"/>
      <c r="HG491" s="32"/>
      <c r="HH491" s="32"/>
      <c r="HI491" s="32"/>
      <c r="HJ491" s="32"/>
      <c r="HK491" s="32"/>
      <c r="HL491" s="32"/>
      <c r="HM491" s="32"/>
      <c r="HN491" s="32"/>
      <c r="HO491" s="32"/>
      <c r="HP491" s="32"/>
    </row>
    <row r="492" spans="1:224" x14ac:dyDescent="0.25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  <c r="BD492" s="32"/>
      <c r="BE492" s="32"/>
      <c r="BF492" s="32"/>
      <c r="BG492" s="32"/>
      <c r="BH492" s="32"/>
      <c r="BI492" s="32"/>
      <c r="BJ492" s="32"/>
      <c r="BK492" s="32"/>
      <c r="BL492" s="32"/>
      <c r="BM492" s="32"/>
      <c r="BN492" s="32"/>
      <c r="BO492" s="32"/>
      <c r="BP492" s="32"/>
      <c r="BQ492" s="32"/>
      <c r="BR492" s="32"/>
      <c r="BS492" s="32"/>
      <c r="BT492" s="32"/>
      <c r="BU492" s="32"/>
      <c r="BV492" s="32"/>
      <c r="BW492" s="32"/>
      <c r="BX492" s="32"/>
      <c r="BY492" s="32"/>
      <c r="BZ492" s="32"/>
      <c r="CA492" s="32"/>
      <c r="CB492" s="32"/>
      <c r="CC492" s="32"/>
      <c r="CD492" s="32"/>
      <c r="CE492" s="32"/>
      <c r="CF492" s="32"/>
      <c r="CG492" s="32"/>
      <c r="CH492" s="32"/>
      <c r="CI492" s="32"/>
      <c r="CJ492" s="32"/>
      <c r="CK492" s="32"/>
      <c r="CL492" s="32"/>
      <c r="CM492" s="32"/>
      <c r="CN492" s="32"/>
      <c r="CO492" s="32"/>
      <c r="CP492" s="32"/>
      <c r="CQ492" s="32"/>
      <c r="CR492" s="32"/>
      <c r="CS492" s="32"/>
      <c r="CT492" s="32"/>
      <c r="CU492" s="32"/>
      <c r="CV492" s="32"/>
      <c r="CW492" s="32"/>
      <c r="CX492" s="32"/>
      <c r="CY492" s="32"/>
      <c r="CZ492" s="32"/>
      <c r="DA492" s="32"/>
      <c r="DB492" s="32"/>
      <c r="DC492" s="32"/>
      <c r="DD492" s="32"/>
      <c r="DE492" s="32"/>
      <c r="DF492" s="32"/>
      <c r="DG492" s="32"/>
      <c r="DH492" s="32"/>
      <c r="DI492" s="32"/>
      <c r="DJ492" s="32"/>
      <c r="DK492" s="32"/>
      <c r="DL492" s="32"/>
      <c r="DM492" s="32"/>
      <c r="DN492" s="32"/>
      <c r="DO492" s="32"/>
      <c r="DP492" s="32"/>
      <c r="DQ492" s="32"/>
      <c r="DR492" s="32"/>
      <c r="DS492" s="32"/>
      <c r="DT492" s="32"/>
      <c r="DU492" s="32"/>
      <c r="DV492" s="32"/>
      <c r="DW492" s="32"/>
      <c r="DX492" s="32"/>
      <c r="DY492" s="32"/>
      <c r="DZ492" s="32"/>
      <c r="EA492" s="32"/>
      <c r="EB492" s="32"/>
      <c r="EC492" s="32"/>
      <c r="ED492" s="32"/>
      <c r="EE492" s="32"/>
      <c r="EF492" s="32"/>
      <c r="EG492" s="32"/>
      <c r="EH492" s="32"/>
      <c r="EI492" s="32"/>
      <c r="EJ492" s="32"/>
      <c r="EK492" s="32"/>
      <c r="EL492" s="32"/>
      <c r="EM492" s="32"/>
      <c r="EN492" s="32"/>
      <c r="EO492" s="32"/>
      <c r="EP492" s="32"/>
      <c r="EQ492" s="32"/>
      <c r="ER492" s="32"/>
      <c r="ES492" s="32"/>
      <c r="ET492" s="32"/>
      <c r="EU492" s="32"/>
      <c r="EV492" s="32"/>
      <c r="EW492" s="32"/>
      <c r="EX492" s="32"/>
      <c r="EY492" s="32"/>
      <c r="EZ492" s="32"/>
      <c r="FA492" s="32"/>
      <c r="FB492" s="32"/>
      <c r="FC492" s="32"/>
      <c r="FD492" s="32"/>
      <c r="FE492" s="32"/>
      <c r="FF492" s="32"/>
      <c r="FG492" s="32"/>
      <c r="FH492" s="32"/>
      <c r="FI492" s="32"/>
      <c r="FJ492" s="32"/>
      <c r="FK492" s="32"/>
      <c r="FL492" s="32"/>
      <c r="FM492" s="32"/>
      <c r="FN492" s="32"/>
      <c r="FO492" s="32"/>
      <c r="FP492" s="32"/>
      <c r="FQ492" s="32"/>
      <c r="FR492" s="32"/>
      <c r="FS492" s="32"/>
      <c r="FT492" s="32"/>
      <c r="FU492" s="32"/>
      <c r="FV492" s="32"/>
      <c r="FW492" s="32"/>
      <c r="FX492" s="32"/>
      <c r="FY492" s="32"/>
      <c r="FZ492" s="32"/>
      <c r="GA492" s="32"/>
      <c r="GB492" s="32"/>
      <c r="GC492" s="32"/>
      <c r="GD492" s="32"/>
      <c r="GE492" s="32"/>
      <c r="GF492" s="32"/>
      <c r="GG492" s="32"/>
      <c r="GH492" s="32"/>
      <c r="GI492" s="32"/>
      <c r="GJ492" s="32"/>
      <c r="GK492" s="32"/>
      <c r="GL492" s="32"/>
      <c r="GM492" s="32"/>
      <c r="GN492" s="32"/>
      <c r="GO492" s="32"/>
      <c r="GP492" s="32"/>
      <c r="GQ492" s="32"/>
      <c r="GR492" s="32"/>
      <c r="GS492" s="32"/>
      <c r="GT492" s="32"/>
      <c r="GU492" s="32"/>
      <c r="GV492" s="32"/>
      <c r="GW492" s="32"/>
      <c r="GX492" s="32"/>
      <c r="GY492" s="32"/>
      <c r="GZ492" s="32"/>
      <c r="HA492" s="32"/>
      <c r="HB492" s="32"/>
      <c r="HC492" s="32"/>
      <c r="HD492" s="32"/>
      <c r="HE492" s="32"/>
      <c r="HF492" s="32"/>
      <c r="HG492" s="32"/>
      <c r="HH492" s="32"/>
      <c r="HI492" s="32"/>
      <c r="HJ492" s="32"/>
      <c r="HK492" s="32"/>
      <c r="HL492" s="32"/>
      <c r="HM492" s="32"/>
      <c r="HN492" s="32"/>
      <c r="HO492" s="32"/>
      <c r="HP492" s="32"/>
    </row>
    <row r="493" spans="1:224" x14ac:dyDescent="0.25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  <c r="BE493" s="32"/>
      <c r="BF493" s="32"/>
      <c r="BG493" s="32"/>
      <c r="BH493" s="32"/>
      <c r="BI493" s="32"/>
      <c r="BJ493" s="32"/>
      <c r="BK493" s="32"/>
      <c r="BL493" s="32"/>
      <c r="BM493" s="32"/>
      <c r="BN493" s="32"/>
      <c r="BO493" s="32"/>
      <c r="BP493" s="32"/>
      <c r="BQ493" s="32"/>
      <c r="BR493" s="32"/>
      <c r="BS493" s="32"/>
      <c r="BT493" s="32"/>
      <c r="BU493" s="32"/>
      <c r="BV493" s="32"/>
      <c r="BW493" s="32"/>
      <c r="BX493" s="32"/>
      <c r="BY493" s="32"/>
      <c r="BZ493" s="32"/>
      <c r="CA493" s="32"/>
      <c r="CB493" s="32"/>
      <c r="CC493" s="32"/>
      <c r="CD493" s="32"/>
      <c r="CE493" s="32"/>
      <c r="CF493" s="32"/>
      <c r="CG493" s="32"/>
      <c r="CH493" s="32"/>
      <c r="CI493" s="32"/>
      <c r="CJ493" s="32"/>
      <c r="CK493" s="32"/>
      <c r="CL493" s="32"/>
      <c r="CM493" s="32"/>
      <c r="CN493" s="32"/>
      <c r="CO493" s="32"/>
      <c r="CP493" s="32"/>
      <c r="CQ493" s="32"/>
      <c r="CR493" s="32"/>
      <c r="CS493" s="32"/>
      <c r="CT493" s="32"/>
      <c r="CU493" s="32"/>
      <c r="CV493" s="32"/>
      <c r="CW493" s="32"/>
      <c r="CX493" s="32"/>
      <c r="CY493" s="32"/>
      <c r="CZ493" s="32"/>
      <c r="DA493" s="32"/>
      <c r="DB493" s="32"/>
      <c r="DC493" s="32"/>
      <c r="DD493" s="32"/>
      <c r="DE493" s="32"/>
      <c r="DF493" s="32"/>
      <c r="DG493" s="32"/>
      <c r="DH493" s="32"/>
      <c r="DI493" s="32"/>
      <c r="DJ493" s="32"/>
      <c r="DK493" s="32"/>
      <c r="DL493" s="32"/>
      <c r="DM493" s="32"/>
      <c r="DN493" s="32"/>
      <c r="DO493" s="32"/>
      <c r="DP493" s="32"/>
      <c r="DQ493" s="32"/>
      <c r="DR493" s="32"/>
      <c r="DS493" s="32"/>
      <c r="DT493" s="32"/>
      <c r="DU493" s="32"/>
      <c r="DV493" s="32"/>
      <c r="DW493" s="32"/>
      <c r="DX493" s="32"/>
      <c r="DY493" s="32"/>
      <c r="DZ493" s="32"/>
      <c r="EA493" s="32"/>
      <c r="EB493" s="32"/>
      <c r="EC493" s="32"/>
      <c r="ED493" s="32"/>
      <c r="EE493" s="32"/>
      <c r="EF493" s="32"/>
      <c r="EG493" s="32"/>
      <c r="EH493" s="32"/>
      <c r="EI493" s="32"/>
      <c r="EJ493" s="32"/>
      <c r="EK493" s="32"/>
      <c r="EL493" s="32"/>
      <c r="EM493" s="32"/>
      <c r="EN493" s="32"/>
      <c r="EO493" s="32"/>
      <c r="EP493" s="32"/>
      <c r="EQ493" s="32"/>
      <c r="ER493" s="32"/>
      <c r="ES493" s="32"/>
      <c r="ET493" s="32"/>
      <c r="EU493" s="32"/>
      <c r="EV493" s="32"/>
      <c r="EW493" s="32"/>
      <c r="EX493" s="32"/>
      <c r="EY493" s="32"/>
      <c r="EZ493" s="32"/>
      <c r="FA493" s="32"/>
      <c r="FB493" s="32"/>
      <c r="FC493" s="32"/>
      <c r="FD493" s="32"/>
      <c r="FE493" s="32"/>
      <c r="FF493" s="32"/>
      <c r="FG493" s="32"/>
      <c r="FH493" s="32"/>
      <c r="FI493" s="32"/>
      <c r="FJ493" s="32"/>
      <c r="FK493" s="32"/>
      <c r="FL493" s="32"/>
      <c r="FM493" s="32"/>
      <c r="FN493" s="32"/>
      <c r="FO493" s="32"/>
      <c r="FP493" s="32"/>
      <c r="FQ493" s="32"/>
      <c r="FR493" s="32"/>
      <c r="FS493" s="32"/>
      <c r="FT493" s="32"/>
      <c r="FU493" s="32"/>
      <c r="FV493" s="32"/>
      <c r="FW493" s="32"/>
      <c r="FX493" s="32"/>
      <c r="FY493" s="32"/>
      <c r="FZ493" s="32"/>
      <c r="GA493" s="32"/>
      <c r="GB493" s="32"/>
      <c r="GC493" s="32"/>
      <c r="GD493" s="32"/>
      <c r="GE493" s="32"/>
      <c r="GF493" s="32"/>
      <c r="GG493" s="32"/>
      <c r="GH493" s="32"/>
      <c r="GI493" s="32"/>
      <c r="GJ493" s="32"/>
      <c r="GK493" s="32"/>
      <c r="GL493" s="32"/>
      <c r="GM493" s="32"/>
      <c r="GN493" s="32"/>
      <c r="GO493" s="32"/>
      <c r="GP493" s="32"/>
      <c r="GQ493" s="32"/>
      <c r="GR493" s="32"/>
      <c r="GS493" s="32"/>
      <c r="GT493" s="32"/>
      <c r="GU493" s="32"/>
      <c r="GV493" s="32"/>
      <c r="GW493" s="32"/>
      <c r="GX493" s="32"/>
      <c r="GY493" s="32"/>
      <c r="GZ493" s="32"/>
      <c r="HA493" s="32"/>
      <c r="HB493" s="32"/>
      <c r="HC493" s="32"/>
      <c r="HD493" s="32"/>
      <c r="HE493" s="32"/>
      <c r="HF493" s="32"/>
      <c r="HG493" s="32"/>
      <c r="HH493" s="32"/>
      <c r="HI493" s="32"/>
      <c r="HJ493" s="32"/>
      <c r="HK493" s="32"/>
      <c r="HL493" s="32"/>
      <c r="HM493" s="32"/>
      <c r="HN493" s="32"/>
      <c r="HO493" s="32"/>
      <c r="HP493" s="32"/>
    </row>
    <row r="494" spans="1:224" x14ac:dyDescent="0.25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  <c r="BE494" s="32"/>
      <c r="BF494" s="32"/>
      <c r="BG494" s="32"/>
      <c r="BH494" s="32"/>
      <c r="BI494" s="32"/>
      <c r="BJ494" s="32"/>
      <c r="BK494" s="32"/>
      <c r="BL494" s="32"/>
      <c r="BM494" s="32"/>
      <c r="BN494" s="32"/>
      <c r="BO494" s="32"/>
      <c r="BP494" s="32"/>
      <c r="BQ494" s="32"/>
      <c r="BR494" s="32"/>
      <c r="BS494" s="32"/>
      <c r="BT494" s="32"/>
      <c r="BU494" s="32"/>
      <c r="BV494" s="32"/>
      <c r="BW494" s="32"/>
      <c r="BX494" s="32"/>
      <c r="BY494" s="32"/>
      <c r="BZ494" s="32"/>
      <c r="CA494" s="32"/>
      <c r="CB494" s="32"/>
      <c r="CC494" s="32"/>
      <c r="CD494" s="32"/>
      <c r="CE494" s="32"/>
      <c r="CF494" s="32"/>
      <c r="CG494" s="32"/>
      <c r="CH494" s="32"/>
      <c r="CI494" s="32"/>
      <c r="CJ494" s="32"/>
      <c r="CK494" s="32"/>
      <c r="CL494" s="32"/>
      <c r="CM494" s="32"/>
      <c r="CN494" s="32"/>
      <c r="CO494" s="32"/>
      <c r="CP494" s="32"/>
      <c r="CQ494" s="32"/>
      <c r="CR494" s="32"/>
      <c r="CS494" s="32"/>
      <c r="CT494" s="32"/>
      <c r="CU494" s="32"/>
      <c r="CV494" s="32"/>
      <c r="CW494" s="32"/>
      <c r="CX494" s="32"/>
      <c r="CY494" s="32"/>
      <c r="CZ494" s="32"/>
      <c r="DA494" s="32"/>
      <c r="DB494" s="32"/>
      <c r="DC494" s="32"/>
      <c r="DD494" s="32"/>
      <c r="DE494" s="32"/>
      <c r="DF494" s="32"/>
      <c r="DG494" s="32"/>
      <c r="DH494" s="32"/>
      <c r="DI494" s="32"/>
      <c r="DJ494" s="32"/>
      <c r="DK494" s="32"/>
      <c r="DL494" s="32"/>
      <c r="DM494" s="32"/>
      <c r="DN494" s="32"/>
      <c r="DO494" s="32"/>
      <c r="DP494" s="32"/>
      <c r="DQ494" s="32"/>
      <c r="DR494" s="32"/>
      <c r="DS494" s="32"/>
      <c r="DT494" s="32"/>
      <c r="DU494" s="32"/>
      <c r="DV494" s="32"/>
      <c r="DW494" s="32"/>
      <c r="DX494" s="32"/>
      <c r="DY494" s="32"/>
      <c r="DZ494" s="32"/>
      <c r="EA494" s="32"/>
      <c r="EB494" s="32"/>
      <c r="EC494" s="32"/>
      <c r="ED494" s="32"/>
      <c r="EE494" s="32"/>
      <c r="EF494" s="32"/>
      <c r="EG494" s="32"/>
      <c r="EH494" s="32"/>
      <c r="EI494" s="32"/>
      <c r="EJ494" s="32"/>
      <c r="EK494" s="32"/>
      <c r="EL494" s="32"/>
      <c r="EM494" s="32"/>
      <c r="EN494" s="32"/>
      <c r="EO494" s="32"/>
      <c r="EP494" s="32"/>
      <c r="EQ494" s="32"/>
      <c r="ER494" s="32"/>
      <c r="ES494" s="32"/>
      <c r="ET494" s="32"/>
      <c r="EU494" s="32"/>
      <c r="EV494" s="32"/>
      <c r="EW494" s="32"/>
      <c r="EX494" s="32"/>
      <c r="EY494" s="32"/>
      <c r="EZ494" s="32"/>
      <c r="FA494" s="32"/>
      <c r="FB494" s="32"/>
      <c r="FC494" s="32"/>
      <c r="FD494" s="32"/>
      <c r="FE494" s="32"/>
      <c r="FF494" s="32"/>
      <c r="FG494" s="32"/>
      <c r="FH494" s="32"/>
      <c r="FI494" s="32"/>
      <c r="FJ494" s="32"/>
      <c r="FK494" s="32"/>
      <c r="FL494" s="32"/>
      <c r="FM494" s="32"/>
      <c r="FN494" s="32"/>
      <c r="FO494" s="32"/>
      <c r="FP494" s="32"/>
      <c r="FQ494" s="32"/>
      <c r="FR494" s="32"/>
      <c r="FS494" s="32"/>
      <c r="FT494" s="32"/>
      <c r="FU494" s="32"/>
      <c r="FV494" s="32"/>
      <c r="FW494" s="32"/>
      <c r="FX494" s="32"/>
      <c r="FY494" s="32"/>
      <c r="FZ494" s="32"/>
      <c r="GA494" s="32"/>
      <c r="GB494" s="32"/>
      <c r="GC494" s="32"/>
      <c r="GD494" s="32"/>
      <c r="GE494" s="32"/>
      <c r="GF494" s="32"/>
      <c r="GG494" s="32"/>
      <c r="GH494" s="32"/>
      <c r="GI494" s="32"/>
      <c r="GJ494" s="32"/>
      <c r="GK494" s="32"/>
      <c r="GL494" s="32"/>
      <c r="GM494" s="32"/>
      <c r="GN494" s="32"/>
      <c r="GO494" s="32"/>
      <c r="GP494" s="32"/>
      <c r="GQ494" s="32"/>
      <c r="GR494" s="32"/>
      <c r="GS494" s="32"/>
      <c r="GT494" s="32"/>
      <c r="GU494" s="32"/>
      <c r="GV494" s="32"/>
      <c r="GW494" s="32"/>
      <c r="GX494" s="32"/>
      <c r="GY494" s="32"/>
      <c r="GZ494" s="32"/>
      <c r="HA494" s="32"/>
      <c r="HB494" s="32"/>
      <c r="HC494" s="32"/>
      <c r="HD494" s="32"/>
      <c r="HE494" s="32"/>
      <c r="HF494" s="32"/>
      <c r="HG494" s="32"/>
      <c r="HH494" s="32"/>
      <c r="HI494" s="32"/>
      <c r="HJ494" s="32"/>
      <c r="HK494" s="32"/>
      <c r="HL494" s="32"/>
      <c r="HM494" s="32"/>
      <c r="HN494" s="32"/>
      <c r="HO494" s="32"/>
      <c r="HP494" s="32"/>
    </row>
    <row r="495" spans="1:224" x14ac:dyDescent="0.2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  <c r="BD495" s="32"/>
      <c r="BE495" s="32"/>
      <c r="BF495" s="32"/>
      <c r="BG495" s="32"/>
      <c r="BH495" s="32"/>
      <c r="BI495" s="32"/>
      <c r="BJ495" s="32"/>
      <c r="BK495" s="32"/>
      <c r="BL495" s="32"/>
      <c r="BM495" s="32"/>
      <c r="BN495" s="32"/>
      <c r="BO495" s="32"/>
      <c r="BP495" s="32"/>
      <c r="BQ495" s="32"/>
      <c r="BR495" s="32"/>
      <c r="BS495" s="32"/>
      <c r="BT495" s="32"/>
      <c r="BU495" s="32"/>
      <c r="BV495" s="32"/>
      <c r="BW495" s="32"/>
      <c r="BX495" s="32"/>
      <c r="BY495" s="32"/>
      <c r="BZ495" s="32"/>
      <c r="CA495" s="32"/>
      <c r="CB495" s="32"/>
      <c r="CC495" s="32"/>
      <c r="CD495" s="32"/>
      <c r="CE495" s="32"/>
      <c r="CF495" s="32"/>
      <c r="CG495" s="32"/>
      <c r="CH495" s="32"/>
      <c r="CI495" s="32"/>
      <c r="CJ495" s="32"/>
      <c r="CK495" s="32"/>
      <c r="CL495" s="32"/>
      <c r="CM495" s="32"/>
      <c r="CN495" s="32"/>
      <c r="CO495" s="32"/>
      <c r="CP495" s="32"/>
      <c r="CQ495" s="32"/>
      <c r="CR495" s="32"/>
      <c r="CS495" s="32"/>
      <c r="CT495" s="32"/>
      <c r="CU495" s="32"/>
      <c r="CV495" s="32"/>
      <c r="CW495" s="32"/>
      <c r="CX495" s="32"/>
      <c r="CY495" s="32"/>
      <c r="CZ495" s="32"/>
      <c r="DA495" s="32"/>
      <c r="DB495" s="32"/>
      <c r="DC495" s="32"/>
      <c r="DD495" s="32"/>
      <c r="DE495" s="32"/>
      <c r="DF495" s="32"/>
      <c r="DG495" s="32"/>
      <c r="DH495" s="32"/>
      <c r="DI495" s="32"/>
      <c r="DJ495" s="32"/>
      <c r="DK495" s="32"/>
      <c r="DL495" s="32"/>
      <c r="DM495" s="32"/>
      <c r="DN495" s="32"/>
      <c r="DO495" s="32"/>
      <c r="DP495" s="32"/>
      <c r="DQ495" s="32"/>
      <c r="DR495" s="32"/>
      <c r="DS495" s="32"/>
      <c r="DT495" s="32"/>
      <c r="DU495" s="32"/>
      <c r="DV495" s="32"/>
      <c r="DW495" s="32"/>
      <c r="DX495" s="32"/>
      <c r="DY495" s="32"/>
      <c r="DZ495" s="32"/>
      <c r="EA495" s="32"/>
      <c r="EB495" s="32"/>
      <c r="EC495" s="32"/>
      <c r="ED495" s="32"/>
      <c r="EE495" s="32"/>
      <c r="EF495" s="32"/>
      <c r="EG495" s="32"/>
      <c r="EH495" s="32"/>
      <c r="EI495" s="32"/>
      <c r="EJ495" s="32"/>
      <c r="EK495" s="32"/>
      <c r="EL495" s="32"/>
      <c r="EM495" s="32"/>
      <c r="EN495" s="32"/>
      <c r="EO495" s="32"/>
      <c r="EP495" s="32"/>
      <c r="EQ495" s="32"/>
      <c r="ER495" s="32"/>
      <c r="ES495" s="32"/>
      <c r="ET495" s="32"/>
      <c r="EU495" s="32"/>
      <c r="EV495" s="32"/>
      <c r="EW495" s="32"/>
      <c r="EX495" s="32"/>
      <c r="EY495" s="32"/>
      <c r="EZ495" s="32"/>
      <c r="FA495" s="32"/>
      <c r="FB495" s="32"/>
      <c r="FC495" s="32"/>
      <c r="FD495" s="32"/>
      <c r="FE495" s="32"/>
      <c r="FF495" s="32"/>
      <c r="FG495" s="32"/>
      <c r="FH495" s="32"/>
      <c r="FI495" s="32"/>
      <c r="FJ495" s="32"/>
      <c r="FK495" s="32"/>
      <c r="FL495" s="32"/>
      <c r="FM495" s="32"/>
      <c r="FN495" s="32"/>
      <c r="FO495" s="32"/>
      <c r="FP495" s="32"/>
      <c r="FQ495" s="32"/>
      <c r="FR495" s="32"/>
      <c r="FS495" s="32"/>
      <c r="FT495" s="32"/>
      <c r="FU495" s="32"/>
      <c r="FV495" s="32"/>
      <c r="FW495" s="32"/>
      <c r="FX495" s="32"/>
      <c r="FY495" s="32"/>
      <c r="FZ495" s="32"/>
      <c r="GA495" s="32"/>
      <c r="GB495" s="32"/>
      <c r="GC495" s="32"/>
      <c r="GD495" s="32"/>
      <c r="GE495" s="32"/>
      <c r="GF495" s="32"/>
      <c r="GG495" s="32"/>
      <c r="GH495" s="32"/>
      <c r="GI495" s="32"/>
      <c r="GJ495" s="32"/>
      <c r="GK495" s="32"/>
      <c r="GL495" s="32"/>
      <c r="GM495" s="32"/>
      <c r="GN495" s="32"/>
      <c r="GO495" s="32"/>
      <c r="GP495" s="32"/>
      <c r="GQ495" s="32"/>
      <c r="GR495" s="32"/>
      <c r="GS495" s="32"/>
      <c r="GT495" s="32"/>
      <c r="GU495" s="32"/>
      <c r="GV495" s="32"/>
      <c r="GW495" s="32"/>
      <c r="GX495" s="32"/>
      <c r="GY495" s="32"/>
      <c r="GZ495" s="32"/>
      <c r="HA495" s="32"/>
      <c r="HB495" s="32"/>
      <c r="HC495" s="32"/>
      <c r="HD495" s="32"/>
      <c r="HE495" s="32"/>
      <c r="HF495" s="32"/>
      <c r="HG495" s="32"/>
      <c r="HH495" s="32"/>
      <c r="HI495" s="32"/>
      <c r="HJ495" s="32"/>
      <c r="HK495" s="32"/>
      <c r="HL495" s="32"/>
      <c r="HM495" s="32"/>
      <c r="HN495" s="32"/>
      <c r="HO495" s="32"/>
      <c r="HP495" s="32"/>
    </row>
    <row r="496" spans="1:224" x14ac:dyDescent="0.25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2"/>
      <c r="BF496" s="32"/>
      <c r="BG496" s="32"/>
      <c r="BH496" s="32"/>
      <c r="BI496" s="32"/>
      <c r="BJ496" s="32"/>
      <c r="BK496" s="32"/>
      <c r="BL496" s="32"/>
      <c r="BM496" s="32"/>
      <c r="BN496" s="32"/>
      <c r="BO496" s="32"/>
      <c r="BP496" s="32"/>
      <c r="BQ496" s="32"/>
      <c r="BR496" s="32"/>
      <c r="BS496" s="32"/>
      <c r="BT496" s="32"/>
      <c r="BU496" s="32"/>
      <c r="BV496" s="32"/>
      <c r="BW496" s="32"/>
      <c r="BX496" s="32"/>
      <c r="BY496" s="32"/>
      <c r="BZ496" s="32"/>
      <c r="CA496" s="32"/>
      <c r="CB496" s="32"/>
      <c r="CC496" s="32"/>
      <c r="CD496" s="32"/>
      <c r="CE496" s="32"/>
      <c r="CF496" s="32"/>
      <c r="CG496" s="32"/>
      <c r="CH496" s="32"/>
      <c r="CI496" s="32"/>
      <c r="CJ496" s="32"/>
      <c r="CK496" s="32"/>
      <c r="CL496" s="32"/>
      <c r="CM496" s="32"/>
      <c r="CN496" s="32"/>
      <c r="CO496" s="32"/>
      <c r="CP496" s="32"/>
      <c r="CQ496" s="32"/>
      <c r="CR496" s="32"/>
      <c r="CS496" s="32"/>
      <c r="CT496" s="32"/>
      <c r="CU496" s="32"/>
      <c r="CV496" s="32"/>
      <c r="CW496" s="32"/>
      <c r="CX496" s="32"/>
      <c r="CY496" s="32"/>
      <c r="CZ496" s="32"/>
      <c r="DA496" s="32"/>
      <c r="DB496" s="32"/>
      <c r="DC496" s="32"/>
      <c r="DD496" s="32"/>
      <c r="DE496" s="32"/>
      <c r="DF496" s="32"/>
      <c r="DG496" s="32"/>
      <c r="DH496" s="32"/>
      <c r="DI496" s="32"/>
      <c r="DJ496" s="32"/>
      <c r="DK496" s="32"/>
      <c r="DL496" s="32"/>
      <c r="DM496" s="32"/>
      <c r="DN496" s="32"/>
      <c r="DO496" s="32"/>
      <c r="DP496" s="32"/>
      <c r="DQ496" s="32"/>
      <c r="DR496" s="32"/>
      <c r="DS496" s="32"/>
      <c r="DT496" s="32"/>
      <c r="DU496" s="32"/>
      <c r="DV496" s="32"/>
      <c r="DW496" s="32"/>
      <c r="DX496" s="32"/>
      <c r="DY496" s="32"/>
      <c r="DZ496" s="32"/>
      <c r="EA496" s="32"/>
      <c r="EB496" s="32"/>
      <c r="EC496" s="32"/>
      <c r="ED496" s="32"/>
      <c r="EE496" s="32"/>
      <c r="EF496" s="32"/>
      <c r="EG496" s="32"/>
      <c r="EH496" s="32"/>
      <c r="EI496" s="32"/>
      <c r="EJ496" s="32"/>
      <c r="EK496" s="32"/>
      <c r="EL496" s="32"/>
      <c r="EM496" s="32"/>
      <c r="EN496" s="32"/>
      <c r="EO496" s="32"/>
      <c r="EP496" s="32"/>
      <c r="EQ496" s="32"/>
      <c r="ER496" s="32"/>
      <c r="ES496" s="32"/>
      <c r="ET496" s="32"/>
      <c r="EU496" s="32"/>
      <c r="EV496" s="32"/>
      <c r="EW496" s="32"/>
      <c r="EX496" s="32"/>
      <c r="EY496" s="32"/>
      <c r="EZ496" s="32"/>
      <c r="FA496" s="32"/>
      <c r="FB496" s="32"/>
      <c r="FC496" s="32"/>
      <c r="FD496" s="32"/>
      <c r="FE496" s="32"/>
      <c r="FF496" s="32"/>
      <c r="FG496" s="32"/>
      <c r="FH496" s="32"/>
      <c r="FI496" s="32"/>
      <c r="FJ496" s="32"/>
      <c r="FK496" s="32"/>
      <c r="FL496" s="32"/>
      <c r="FM496" s="32"/>
      <c r="FN496" s="32"/>
      <c r="FO496" s="32"/>
      <c r="FP496" s="32"/>
      <c r="FQ496" s="32"/>
      <c r="FR496" s="32"/>
      <c r="FS496" s="32"/>
      <c r="FT496" s="32"/>
      <c r="FU496" s="32"/>
      <c r="FV496" s="32"/>
      <c r="FW496" s="32"/>
      <c r="FX496" s="32"/>
      <c r="FY496" s="32"/>
      <c r="FZ496" s="32"/>
      <c r="GA496" s="32"/>
      <c r="GB496" s="32"/>
      <c r="GC496" s="32"/>
      <c r="GD496" s="32"/>
      <c r="GE496" s="32"/>
      <c r="GF496" s="32"/>
      <c r="GG496" s="32"/>
      <c r="GH496" s="32"/>
      <c r="GI496" s="32"/>
      <c r="GJ496" s="32"/>
      <c r="GK496" s="32"/>
      <c r="GL496" s="32"/>
      <c r="GM496" s="32"/>
      <c r="GN496" s="32"/>
      <c r="GO496" s="32"/>
      <c r="GP496" s="32"/>
      <c r="GQ496" s="32"/>
      <c r="GR496" s="32"/>
      <c r="GS496" s="32"/>
      <c r="GT496" s="32"/>
      <c r="GU496" s="32"/>
      <c r="GV496" s="32"/>
      <c r="GW496" s="32"/>
      <c r="GX496" s="32"/>
      <c r="GY496" s="32"/>
      <c r="GZ496" s="32"/>
      <c r="HA496" s="32"/>
      <c r="HB496" s="32"/>
      <c r="HC496" s="32"/>
      <c r="HD496" s="32"/>
      <c r="HE496" s="32"/>
      <c r="HF496" s="32"/>
      <c r="HG496" s="32"/>
      <c r="HH496" s="32"/>
      <c r="HI496" s="32"/>
      <c r="HJ496" s="32"/>
      <c r="HK496" s="32"/>
      <c r="HL496" s="32"/>
      <c r="HM496" s="32"/>
      <c r="HN496" s="32"/>
      <c r="HO496" s="32"/>
      <c r="HP496" s="32"/>
    </row>
    <row r="497" spans="1:224" x14ac:dyDescent="0.25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  <c r="BD497" s="32"/>
      <c r="BE497" s="32"/>
      <c r="BF497" s="32"/>
      <c r="BG497" s="32"/>
      <c r="BH497" s="32"/>
      <c r="BI497" s="32"/>
      <c r="BJ497" s="32"/>
      <c r="BK497" s="32"/>
      <c r="BL497" s="32"/>
      <c r="BM497" s="32"/>
      <c r="BN497" s="32"/>
      <c r="BO497" s="32"/>
      <c r="BP497" s="32"/>
      <c r="BQ497" s="32"/>
      <c r="BR497" s="32"/>
      <c r="BS497" s="32"/>
      <c r="BT497" s="32"/>
      <c r="BU497" s="32"/>
      <c r="BV497" s="32"/>
      <c r="BW497" s="32"/>
      <c r="BX497" s="32"/>
      <c r="BY497" s="32"/>
      <c r="BZ497" s="32"/>
      <c r="CA497" s="32"/>
      <c r="CB497" s="32"/>
      <c r="CC497" s="32"/>
      <c r="CD497" s="32"/>
      <c r="CE497" s="32"/>
      <c r="CF497" s="32"/>
      <c r="CG497" s="32"/>
      <c r="CH497" s="32"/>
      <c r="CI497" s="32"/>
      <c r="CJ497" s="32"/>
      <c r="CK497" s="32"/>
      <c r="CL497" s="32"/>
      <c r="CM497" s="32"/>
      <c r="CN497" s="32"/>
      <c r="CO497" s="32"/>
      <c r="CP497" s="32"/>
      <c r="CQ497" s="32"/>
      <c r="CR497" s="32"/>
      <c r="CS497" s="32"/>
      <c r="CT497" s="32"/>
      <c r="CU497" s="32"/>
      <c r="CV497" s="32"/>
      <c r="CW497" s="32"/>
      <c r="CX497" s="32"/>
      <c r="CY497" s="32"/>
      <c r="CZ497" s="32"/>
      <c r="DA497" s="32"/>
      <c r="DB497" s="32"/>
      <c r="DC497" s="32"/>
      <c r="DD497" s="32"/>
      <c r="DE497" s="32"/>
      <c r="DF497" s="32"/>
      <c r="DG497" s="32"/>
      <c r="DH497" s="32"/>
      <c r="DI497" s="32"/>
      <c r="DJ497" s="32"/>
      <c r="DK497" s="32"/>
      <c r="DL497" s="32"/>
      <c r="DM497" s="32"/>
      <c r="DN497" s="32"/>
      <c r="DO497" s="32"/>
      <c r="DP497" s="32"/>
      <c r="DQ497" s="32"/>
      <c r="DR497" s="32"/>
      <c r="DS497" s="32"/>
      <c r="DT497" s="32"/>
      <c r="DU497" s="32"/>
      <c r="DV497" s="32"/>
      <c r="DW497" s="32"/>
      <c r="DX497" s="32"/>
      <c r="DY497" s="32"/>
      <c r="DZ497" s="32"/>
      <c r="EA497" s="32"/>
      <c r="EB497" s="32"/>
      <c r="EC497" s="32"/>
      <c r="ED497" s="32"/>
      <c r="EE497" s="32"/>
      <c r="EF497" s="32"/>
      <c r="EG497" s="32"/>
      <c r="EH497" s="32"/>
      <c r="EI497" s="32"/>
      <c r="EJ497" s="32"/>
      <c r="EK497" s="32"/>
      <c r="EL497" s="32"/>
      <c r="EM497" s="32"/>
      <c r="EN497" s="32"/>
      <c r="EO497" s="32"/>
      <c r="EP497" s="32"/>
      <c r="EQ497" s="32"/>
      <c r="ER497" s="32"/>
      <c r="ES497" s="32"/>
      <c r="ET497" s="32"/>
      <c r="EU497" s="32"/>
      <c r="EV497" s="32"/>
      <c r="EW497" s="32"/>
      <c r="EX497" s="32"/>
      <c r="EY497" s="32"/>
      <c r="EZ497" s="32"/>
      <c r="FA497" s="32"/>
      <c r="FB497" s="32"/>
      <c r="FC497" s="32"/>
      <c r="FD497" s="32"/>
      <c r="FE497" s="32"/>
      <c r="FF497" s="32"/>
      <c r="FG497" s="32"/>
      <c r="FH497" s="32"/>
      <c r="FI497" s="32"/>
      <c r="FJ497" s="32"/>
      <c r="FK497" s="32"/>
      <c r="FL497" s="32"/>
      <c r="FM497" s="32"/>
      <c r="FN497" s="32"/>
      <c r="FO497" s="32"/>
      <c r="FP497" s="32"/>
      <c r="FQ497" s="32"/>
      <c r="FR497" s="32"/>
      <c r="FS497" s="32"/>
      <c r="FT497" s="32"/>
      <c r="FU497" s="32"/>
      <c r="FV497" s="32"/>
      <c r="FW497" s="32"/>
      <c r="FX497" s="32"/>
      <c r="FY497" s="32"/>
      <c r="FZ497" s="32"/>
      <c r="GA497" s="32"/>
      <c r="GB497" s="32"/>
      <c r="GC497" s="32"/>
      <c r="GD497" s="32"/>
      <c r="GE497" s="32"/>
      <c r="GF497" s="32"/>
      <c r="GG497" s="32"/>
      <c r="GH497" s="32"/>
      <c r="GI497" s="32"/>
      <c r="GJ497" s="32"/>
      <c r="GK497" s="32"/>
      <c r="GL497" s="32"/>
      <c r="GM497" s="32"/>
      <c r="GN497" s="32"/>
      <c r="GO497" s="32"/>
      <c r="GP497" s="32"/>
      <c r="GQ497" s="32"/>
      <c r="GR497" s="32"/>
      <c r="GS497" s="32"/>
      <c r="GT497" s="32"/>
      <c r="GU497" s="32"/>
      <c r="GV497" s="32"/>
      <c r="GW497" s="32"/>
      <c r="GX497" s="32"/>
      <c r="GY497" s="32"/>
      <c r="GZ497" s="32"/>
      <c r="HA497" s="32"/>
      <c r="HB497" s="32"/>
      <c r="HC497" s="32"/>
      <c r="HD497" s="32"/>
      <c r="HE497" s="32"/>
      <c r="HF497" s="32"/>
      <c r="HG497" s="32"/>
      <c r="HH497" s="32"/>
      <c r="HI497" s="32"/>
      <c r="HJ497" s="32"/>
      <c r="HK497" s="32"/>
      <c r="HL497" s="32"/>
      <c r="HM497" s="32"/>
      <c r="HN497" s="32"/>
      <c r="HO497" s="32"/>
      <c r="HP497" s="32"/>
    </row>
    <row r="498" spans="1:224" x14ac:dyDescent="0.25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  <c r="BE498" s="32"/>
      <c r="BF498" s="32"/>
      <c r="BG498" s="32"/>
      <c r="BH498" s="32"/>
      <c r="BI498" s="32"/>
      <c r="BJ498" s="32"/>
      <c r="BK498" s="32"/>
      <c r="BL498" s="32"/>
      <c r="BM498" s="32"/>
      <c r="BN498" s="32"/>
      <c r="BO498" s="32"/>
      <c r="BP498" s="32"/>
      <c r="BQ498" s="32"/>
      <c r="BR498" s="32"/>
      <c r="BS498" s="32"/>
      <c r="BT498" s="32"/>
      <c r="BU498" s="32"/>
      <c r="BV498" s="32"/>
      <c r="BW498" s="32"/>
      <c r="BX498" s="32"/>
      <c r="BY498" s="32"/>
      <c r="BZ498" s="32"/>
      <c r="CA498" s="32"/>
      <c r="CB498" s="32"/>
      <c r="CC498" s="32"/>
      <c r="CD498" s="32"/>
      <c r="CE498" s="32"/>
      <c r="CF498" s="32"/>
      <c r="CG498" s="32"/>
      <c r="CH498" s="32"/>
      <c r="CI498" s="32"/>
      <c r="CJ498" s="32"/>
      <c r="CK498" s="32"/>
      <c r="CL498" s="32"/>
      <c r="CM498" s="32"/>
      <c r="CN498" s="32"/>
      <c r="CO498" s="32"/>
      <c r="CP498" s="32"/>
      <c r="CQ498" s="32"/>
      <c r="CR498" s="32"/>
      <c r="CS498" s="32"/>
      <c r="CT498" s="32"/>
      <c r="CU498" s="32"/>
      <c r="CV498" s="32"/>
      <c r="CW498" s="32"/>
      <c r="CX498" s="32"/>
      <c r="CY498" s="32"/>
      <c r="CZ498" s="32"/>
      <c r="DA498" s="32"/>
      <c r="DB498" s="32"/>
      <c r="DC498" s="32"/>
      <c r="DD498" s="32"/>
      <c r="DE498" s="32"/>
      <c r="DF498" s="32"/>
      <c r="DG498" s="32"/>
      <c r="DH498" s="32"/>
      <c r="DI498" s="32"/>
      <c r="DJ498" s="32"/>
      <c r="DK498" s="32"/>
      <c r="DL498" s="32"/>
      <c r="DM498" s="32"/>
      <c r="DN498" s="32"/>
      <c r="DO498" s="32"/>
      <c r="DP498" s="32"/>
      <c r="DQ498" s="32"/>
      <c r="DR498" s="32"/>
      <c r="DS498" s="32"/>
      <c r="DT498" s="32"/>
      <c r="DU498" s="32"/>
      <c r="DV498" s="32"/>
      <c r="DW498" s="32"/>
      <c r="DX498" s="32"/>
      <c r="DY498" s="32"/>
      <c r="DZ498" s="32"/>
      <c r="EA498" s="32"/>
      <c r="EB498" s="32"/>
      <c r="EC498" s="32"/>
      <c r="ED498" s="32"/>
      <c r="EE498" s="32"/>
      <c r="EF498" s="32"/>
      <c r="EG498" s="32"/>
      <c r="EH498" s="32"/>
      <c r="EI498" s="32"/>
      <c r="EJ498" s="32"/>
      <c r="EK498" s="32"/>
      <c r="EL498" s="32"/>
      <c r="EM498" s="32"/>
      <c r="EN498" s="32"/>
      <c r="EO498" s="32"/>
      <c r="EP498" s="32"/>
      <c r="EQ498" s="32"/>
      <c r="ER498" s="32"/>
      <c r="ES498" s="32"/>
      <c r="ET498" s="32"/>
      <c r="EU498" s="32"/>
      <c r="EV498" s="32"/>
      <c r="EW498" s="32"/>
      <c r="EX498" s="32"/>
      <c r="EY498" s="32"/>
      <c r="EZ498" s="32"/>
      <c r="FA498" s="32"/>
      <c r="FB498" s="32"/>
      <c r="FC498" s="32"/>
      <c r="FD498" s="32"/>
      <c r="FE498" s="32"/>
      <c r="FF498" s="32"/>
      <c r="FG498" s="32"/>
      <c r="FH498" s="32"/>
      <c r="FI498" s="32"/>
      <c r="FJ498" s="32"/>
      <c r="FK498" s="32"/>
      <c r="FL498" s="32"/>
      <c r="FM498" s="32"/>
      <c r="FN498" s="32"/>
      <c r="FO498" s="32"/>
      <c r="FP498" s="32"/>
      <c r="FQ498" s="32"/>
      <c r="FR498" s="32"/>
      <c r="FS498" s="32"/>
      <c r="FT498" s="32"/>
      <c r="FU498" s="32"/>
      <c r="FV498" s="32"/>
      <c r="FW498" s="32"/>
      <c r="FX498" s="32"/>
      <c r="FY498" s="32"/>
      <c r="FZ498" s="32"/>
      <c r="GA498" s="32"/>
      <c r="GB498" s="32"/>
      <c r="GC498" s="32"/>
      <c r="GD498" s="32"/>
      <c r="GE498" s="32"/>
      <c r="GF498" s="32"/>
      <c r="GG498" s="32"/>
      <c r="GH498" s="32"/>
      <c r="GI498" s="32"/>
      <c r="GJ498" s="32"/>
      <c r="GK498" s="32"/>
      <c r="GL498" s="32"/>
      <c r="GM498" s="32"/>
      <c r="GN498" s="32"/>
      <c r="GO498" s="32"/>
      <c r="GP498" s="32"/>
      <c r="GQ498" s="32"/>
      <c r="GR498" s="32"/>
      <c r="GS498" s="32"/>
      <c r="GT498" s="32"/>
      <c r="GU498" s="32"/>
      <c r="GV498" s="32"/>
      <c r="GW498" s="32"/>
      <c r="GX498" s="32"/>
      <c r="GY498" s="32"/>
      <c r="GZ498" s="32"/>
      <c r="HA498" s="32"/>
      <c r="HB498" s="32"/>
      <c r="HC498" s="32"/>
      <c r="HD498" s="32"/>
      <c r="HE498" s="32"/>
      <c r="HF498" s="32"/>
      <c r="HG498" s="32"/>
      <c r="HH498" s="32"/>
      <c r="HI498" s="32"/>
      <c r="HJ498" s="32"/>
      <c r="HK498" s="32"/>
      <c r="HL498" s="32"/>
      <c r="HM498" s="32"/>
      <c r="HN498" s="32"/>
      <c r="HO498" s="32"/>
      <c r="HP498" s="32"/>
    </row>
    <row r="499" spans="1:224" x14ac:dyDescent="0.25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  <c r="BE499" s="32"/>
      <c r="BF499" s="32"/>
      <c r="BG499" s="32"/>
      <c r="BH499" s="32"/>
      <c r="BI499" s="32"/>
      <c r="BJ499" s="32"/>
      <c r="BK499" s="32"/>
      <c r="BL499" s="32"/>
      <c r="BM499" s="32"/>
      <c r="BN499" s="32"/>
      <c r="BO499" s="32"/>
      <c r="BP499" s="32"/>
      <c r="BQ499" s="32"/>
      <c r="BR499" s="32"/>
      <c r="BS499" s="32"/>
      <c r="BT499" s="32"/>
      <c r="BU499" s="32"/>
      <c r="BV499" s="32"/>
      <c r="BW499" s="32"/>
      <c r="BX499" s="32"/>
      <c r="BY499" s="32"/>
      <c r="BZ499" s="32"/>
      <c r="CA499" s="32"/>
      <c r="CB499" s="32"/>
      <c r="CC499" s="32"/>
      <c r="CD499" s="32"/>
      <c r="CE499" s="32"/>
      <c r="CF499" s="32"/>
      <c r="CG499" s="32"/>
      <c r="CH499" s="32"/>
      <c r="CI499" s="32"/>
      <c r="CJ499" s="32"/>
      <c r="CK499" s="32"/>
      <c r="CL499" s="32"/>
      <c r="CM499" s="32"/>
      <c r="CN499" s="32"/>
      <c r="CO499" s="32"/>
      <c r="CP499" s="32"/>
      <c r="CQ499" s="32"/>
      <c r="CR499" s="32"/>
      <c r="CS499" s="32"/>
      <c r="CT499" s="32"/>
      <c r="CU499" s="32"/>
      <c r="CV499" s="32"/>
      <c r="CW499" s="32"/>
      <c r="CX499" s="32"/>
      <c r="CY499" s="32"/>
      <c r="CZ499" s="32"/>
      <c r="DA499" s="32"/>
      <c r="DB499" s="32"/>
      <c r="DC499" s="32"/>
      <c r="DD499" s="32"/>
      <c r="DE499" s="32"/>
      <c r="DF499" s="32"/>
      <c r="DG499" s="32"/>
      <c r="DH499" s="32"/>
      <c r="DI499" s="32"/>
      <c r="DJ499" s="32"/>
      <c r="DK499" s="32"/>
      <c r="DL499" s="32"/>
      <c r="DM499" s="32"/>
      <c r="DN499" s="32"/>
      <c r="DO499" s="32"/>
      <c r="DP499" s="32"/>
      <c r="DQ499" s="32"/>
      <c r="DR499" s="32"/>
      <c r="DS499" s="32"/>
      <c r="DT499" s="32"/>
      <c r="DU499" s="32"/>
      <c r="DV499" s="32"/>
      <c r="DW499" s="32"/>
      <c r="DX499" s="32"/>
      <c r="DY499" s="32"/>
      <c r="DZ499" s="32"/>
      <c r="EA499" s="32"/>
      <c r="EB499" s="32"/>
      <c r="EC499" s="32"/>
      <c r="ED499" s="32"/>
      <c r="EE499" s="32"/>
      <c r="EF499" s="32"/>
      <c r="EG499" s="32"/>
      <c r="EH499" s="32"/>
      <c r="EI499" s="32"/>
      <c r="EJ499" s="32"/>
      <c r="EK499" s="32"/>
      <c r="EL499" s="32"/>
      <c r="EM499" s="32"/>
      <c r="EN499" s="32"/>
      <c r="EO499" s="32"/>
      <c r="EP499" s="32"/>
      <c r="EQ499" s="32"/>
      <c r="ER499" s="32"/>
      <c r="ES499" s="32"/>
      <c r="ET499" s="32"/>
      <c r="EU499" s="32"/>
      <c r="EV499" s="32"/>
      <c r="EW499" s="32"/>
      <c r="EX499" s="32"/>
      <c r="EY499" s="32"/>
      <c r="EZ499" s="32"/>
      <c r="FA499" s="32"/>
      <c r="FB499" s="32"/>
      <c r="FC499" s="32"/>
      <c r="FD499" s="32"/>
      <c r="FE499" s="32"/>
      <c r="FF499" s="32"/>
      <c r="FG499" s="32"/>
      <c r="FH499" s="32"/>
      <c r="FI499" s="32"/>
      <c r="FJ499" s="32"/>
      <c r="FK499" s="32"/>
      <c r="FL499" s="32"/>
      <c r="FM499" s="32"/>
      <c r="FN499" s="32"/>
      <c r="FO499" s="32"/>
      <c r="FP499" s="32"/>
      <c r="FQ499" s="32"/>
      <c r="FR499" s="32"/>
      <c r="FS499" s="32"/>
      <c r="FT499" s="32"/>
      <c r="FU499" s="32"/>
      <c r="FV499" s="32"/>
      <c r="FW499" s="32"/>
      <c r="FX499" s="32"/>
      <c r="FY499" s="32"/>
      <c r="FZ499" s="32"/>
      <c r="GA499" s="32"/>
      <c r="GB499" s="32"/>
      <c r="GC499" s="32"/>
      <c r="GD499" s="32"/>
      <c r="GE499" s="32"/>
      <c r="GF499" s="32"/>
      <c r="GG499" s="32"/>
      <c r="GH499" s="32"/>
      <c r="GI499" s="32"/>
      <c r="GJ499" s="32"/>
      <c r="GK499" s="32"/>
      <c r="GL499" s="32"/>
      <c r="GM499" s="32"/>
      <c r="GN499" s="32"/>
      <c r="GO499" s="32"/>
      <c r="GP499" s="32"/>
      <c r="GQ499" s="32"/>
      <c r="GR499" s="32"/>
      <c r="GS499" s="32"/>
      <c r="GT499" s="32"/>
      <c r="GU499" s="32"/>
      <c r="GV499" s="32"/>
      <c r="GW499" s="32"/>
      <c r="GX499" s="32"/>
      <c r="GY499" s="32"/>
      <c r="GZ499" s="32"/>
      <c r="HA499" s="32"/>
      <c r="HB499" s="32"/>
      <c r="HC499" s="32"/>
      <c r="HD499" s="32"/>
      <c r="HE499" s="32"/>
      <c r="HF499" s="32"/>
      <c r="HG499" s="32"/>
      <c r="HH499" s="32"/>
      <c r="HI499" s="32"/>
      <c r="HJ499" s="32"/>
      <c r="HK499" s="32"/>
      <c r="HL499" s="32"/>
      <c r="HM499" s="32"/>
      <c r="HN499" s="32"/>
      <c r="HO499" s="32"/>
      <c r="HP499" s="32"/>
    </row>
    <row r="500" spans="1:224" x14ac:dyDescent="0.25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2"/>
      <c r="BB500" s="32"/>
      <c r="BC500" s="32"/>
      <c r="BD500" s="32"/>
      <c r="BE500" s="32"/>
      <c r="BF500" s="32"/>
      <c r="BG500" s="32"/>
      <c r="BH500" s="32"/>
      <c r="BI500" s="32"/>
      <c r="BJ500" s="32"/>
      <c r="BK500" s="32"/>
      <c r="BL500" s="32"/>
      <c r="BM500" s="32"/>
      <c r="BN500" s="32"/>
      <c r="BO500" s="32"/>
      <c r="BP500" s="32"/>
      <c r="BQ500" s="32"/>
      <c r="BR500" s="32"/>
      <c r="BS500" s="32"/>
      <c r="BT500" s="32"/>
      <c r="BU500" s="32"/>
      <c r="BV500" s="32"/>
      <c r="BW500" s="32"/>
      <c r="BX500" s="32"/>
      <c r="BY500" s="32"/>
      <c r="BZ500" s="32"/>
      <c r="CA500" s="32"/>
      <c r="CB500" s="32"/>
      <c r="CC500" s="32"/>
      <c r="CD500" s="32"/>
      <c r="CE500" s="32"/>
      <c r="CF500" s="32"/>
      <c r="CG500" s="32"/>
      <c r="CH500" s="32"/>
      <c r="CI500" s="32"/>
      <c r="CJ500" s="32"/>
      <c r="CK500" s="32"/>
      <c r="CL500" s="32"/>
      <c r="CM500" s="32"/>
      <c r="CN500" s="32"/>
      <c r="CO500" s="32"/>
      <c r="CP500" s="32"/>
      <c r="CQ500" s="32"/>
      <c r="CR500" s="32"/>
      <c r="CS500" s="32"/>
      <c r="CT500" s="32"/>
      <c r="CU500" s="32"/>
      <c r="CV500" s="32"/>
      <c r="CW500" s="32"/>
      <c r="CX500" s="32"/>
      <c r="CY500" s="32"/>
      <c r="CZ500" s="32"/>
      <c r="DA500" s="32"/>
      <c r="DB500" s="32"/>
      <c r="DC500" s="32"/>
      <c r="DD500" s="32"/>
      <c r="DE500" s="32"/>
      <c r="DF500" s="32"/>
      <c r="DG500" s="32"/>
      <c r="DH500" s="32"/>
      <c r="DI500" s="32"/>
      <c r="DJ500" s="32"/>
      <c r="DK500" s="32"/>
      <c r="DL500" s="32"/>
      <c r="DM500" s="32"/>
      <c r="DN500" s="32"/>
      <c r="DO500" s="32"/>
      <c r="DP500" s="32"/>
      <c r="DQ500" s="32"/>
      <c r="DR500" s="32"/>
      <c r="DS500" s="32"/>
      <c r="DT500" s="32"/>
      <c r="DU500" s="32"/>
      <c r="DV500" s="32"/>
      <c r="DW500" s="32"/>
      <c r="DX500" s="32"/>
      <c r="DY500" s="32"/>
      <c r="DZ500" s="32"/>
      <c r="EA500" s="32"/>
      <c r="EB500" s="32"/>
      <c r="EC500" s="32"/>
      <c r="ED500" s="32"/>
      <c r="EE500" s="32"/>
      <c r="EF500" s="32"/>
      <c r="EG500" s="32"/>
      <c r="EH500" s="32"/>
      <c r="EI500" s="32"/>
      <c r="EJ500" s="32"/>
      <c r="EK500" s="32"/>
      <c r="EL500" s="32"/>
      <c r="EM500" s="32"/>
      <c r="EN500" s="32"/>
      <c r="EO500" s="32"/>
      <c r="EP500" s="32"/>
      <c r="EQ500" s="32"/>
      <c r="ER500" s="32"/>
      <c r="ES500" s="32"/>
      <c r="ET500" s="32"/>
      <c r="EU500" s="32"/>
      <c r="EV500" s="32"/>
      <c r="EW500" s="32"/>
      <c r="EX500" s="32"/>
      <c r="EY500" s="32"/>
      <c r="EZ500" s="32"/>
      <c r="FA500" s="32"/>
      <c r="FB500" s="32"/>
      <c r="FC500" s="32"/>
      <c r="FD500" s="32"/>
      <c r="FE500" s="32"/>
      <c r="FF500" s="32"/>
      <c r="FG500" s="32"/>
      <c r="FH500" s="32"/>
      <c r="FI500" s="32"/>
      <c r="FJ500" s="32"/>
      <c r="FK500" s="32"/>
      <c r="FL500" s="32"/>
      <c r="FM500" s="32"/>
      <c r="FN500" s="32"/>
      <c r="FO500" s="32"/>
      <c r="FP500" s="32"/>
      <c r="FQ500" s="32"/>
      <c r="FR500" s="32"/>
      <c r="FS500" s="32"/>
      <c r="FT500" s="32"/>
      <c r="FU500" s="32"/>
      <c r="FV500" s="32"/>
      <c r="FW500" s="32"/>
      <c r="FX500" s="32"/>
      <c r="FY500" s="32"/>
      <c r="FZ500" s="32"/>
      <c r="GA500" s="32"/>
      <c r="GB500" s="32"/>
      <c r="GC500" s="32"/>
      <c r="GD500" s="32"/>
      <c r="GE500" s="32"/>
      <c r="GF500" s="32"/>
      <c r="GG500" s="32"/>
      <c r="GH500" s="32"/>
      <c r="GI500" s="32"/>
      <c r="GJ500" s="32"/>
      <c r="GK500" s="32"/>
      <c r="GL500" s="32"/>
      <c r="GM500" s="32"/>
      <c r="GN500" s="32"/>
      <c r="GO500" s="32"/>
      <c r="GP500" s="32"/>
      <c r="GQ500" s="32"/>
      <c r="GR500" s="32"/>
      <c r="GS500" s="32"/>
      <c r="GT500" s="32"/>
      <c r="GU500" s="32"/>
      <c r="GV500" s="32"/>
      <c r="GW500" s="32"/>
      <c r="GX500" s="32"/>
      <c r="GY500" s="32"/>
      <c r="GZ500" s="32"/>
      <c r="HA500" s="32"/>
      <c r="HB500" s="32"/>
      <c r="HC500" s="32"/>
      <c r="HD500" s="32"/>
      <c r="HE500" s="32"/>
      <c r="HF500" s="32"/>
      <c r="HG500" s="32"/>
      <c r="HH500" s="32"/>
      <c r="HI500" s="32"/>
      <c r="HJ500" s="32"/>
      <c r="HK500" s="32"/>
      <c r="HL500" s="32"/>
      <c r="HM500" s="32"/>
      <c r="HN500" s="32"/>
      <c r="HO500" s="32"/>
      <c r="HP500" s="32"/>
    </row>
    <row r="501" spans="1:224" x14ac:dyDescent="0.25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2"/>
      <c r="BB501" s="32"/>
      <c r="BC501" s="32"/>
      <c r="BD501" s="32"/>
      <c r="BE501" s="32"/>
      <c r="BF501" s="32"/>
      <c r="BG501" s="32"/>
      <c r="BH501" s="32"/>
      <c r="BI501" s="32"/>
      <c r="BJ501" s="32"/>
      <c r="BK501" s="32"/>
      <c r="BL501" s="32"/>
      <c r="BM501" s="32"/>
      <c r="BN501" s="32"/>
      <c r="BO501" s="32"/>
      <c r="BP501" s="32"/>
      <c r="BQ501" s="32"/>
      <c r="BR501" s="32"/>
      <c r="BS501" s="32"/>
      <c r="BT501" s="32"/>
      <c r="BU501" s="32"/>
      <c r="BV501" s="32"/>
      <c r="BW501" s="32"/>
      <c r="BX501" s="32"/>
      <c r="BY501" s="32"/>
      <c r="BZ501" s="32"/>
      <c r="CA501" s="32"/>
      <c r="CB501" s="32"/>
      <c r="CC501" s="32"/>
      <c r="CD501" s="32"/>
      <c r="CE501" s="32"/>
      <c r="CF501" s="32"/>
      <c r="CG501" s="32"/>
      <c r="CH501" s="32"/>
      <c r="CI501" s="32"/>
      <c r="CJ501" s="32"/>
      <c r="CK501" s="32"/>
      <c r="CL501" s="32"/>
      <c r="CM501" s="32"/>
      <c r="CN501" s="32"/>
      <c r="CO501" s="32"/>
      <c r="CP501" s="32"/>
      <c r="CQ501" s="32"/>
      <c r="CR501" s="32"/>
      <c r="CS501" s="32"/>
      <c r="CT501" s="32"/>
      <c r="CU501" s="32"/>
      <c r="CV501" s="32"/>
      <c r="CW501" s="32"/>
      <c r="CX501" s="32"/>
      <c r="CY501" s="32"/>
      <c r="CZ501" s="32"/>
      <c r="DA501" s="32"/>
      <c r="DB501" s="32"/>
      <c r="DC501" s="32"/>
      <c r="DD501" s="32"/>
      <c r="DE501" s="32"/>
      <c r="DF501" s="32"/>
      <c r="DG501" s="32"/>
      <c r="DH501" s="32"/>
      <c r="DI501" s="32"/>
      <c r="DJ501" s="32"/>
      <c r="DK501" s="32"/>
      <c r="DL501" s="32"/>
      <c r="DM501" s="32"/>
      <c r="DN501" s="32"/>
      <c r="DO501" s="32"/>
      <c r="DP501" s="32"/>
      <c r="DQ501" s="32"/>
      <c r="DR501" s="32"/>
      <c r="DS501" s="32"/>
      <c r="DT501" s="32"/>
      <c r="DU501" s="32"/>
      <c r="DV501" s="32"/>
      <c r="DW501" s="32"/>
      <c r="DX501" s="32"/>
      <c r="DY501" s="32"/>
      <c r="DZ501" s="32"/>
      <c r="EA501" s="32"/>
      <c r="EB501" s="32"/>
      <c r="EC501" s="32"/>
      <c r="ED501" s="32"/>
      <c r="EE501" s="32"/>
      <c r="EF501" s="32"/>
      <c r="EG501" s="32"/>
      <c r="EH501" s="32"/>
      <c r="EI501" s="32"/>
      <c r="EJ501" s="32"/>
      <c r="EK501" s="32"/>
      <c r="EL501" s="32"/>
      <c r="EM501" s="32"/>
      <c r="EN501" s="32"/>
      <c r="EO501" s="32"/>
      <c r="EP501" s="32"/>
      <c r="EQ501" s="32"/>
      <c r="ER501" s="32"/>
      <c r="ES501" s="32"/>
      <c r="ET501" s="32"/>
      <c r="EU501" s="32"/>
      <c r="EV501" s="32"/>
      <c r="EW501" s="32"/>
      <c r="EX501" s="32"/>
      <c r="EY501" s="32"/>
      <c r="EZ501" s="32"/>
      <c r="FA501" s="32"/>
      <c r="FB501" s="32"/>
      <c r="FC501" s="32"/>
      <c r="FD501" s="32"/>
      <c r="FE501" s="32"/>
      <c r="FF501" s="32"/>
      <c r="FG501" s="32"/>
      <c r="FH501" s="32"/>
      <c r="FI501" s="32"/>
      <c r="FJ501" s="32"/>
      <c r="FK501" s="32"/>
      <c r="FL501" s="32"/>
      <c r="FM501" s="32"/>
      <c r="FN501" s="32"/>
      <c r="FO501" s="32"/>
      <c r="FP501" s="32"/>
      <c r="FQ501" s="32"/>
      <c r="FR501" s="32"/>
      <c r="FS501" s="32"/>
      <c r="FT501" s="32"/>
      <c r="FU501" s="32"/>
      <c r="FV501" s="32"/>
      <c r="FW501" s="32"/>
      <c r="FX501" s="32"/>
      <c r="FY501" s="32"/>
      <c r="FZ501" s="32"/>
      <c r="GA501" s="32"/>
      <c r="GB501" s="32"/>
      <c r="GC501" s="32"/>
      <c r="GD501" s="32"/>
      <c r="GE501" s="32"/>
      <c r="GF501" s="32"/>
      <c r="GG501" s="32"/>
      <c r="GH501" s="32"/>
      <c r="GI501" s="32"/>
      <c r="GJ501" s="32"/>
      <c r="GK501" s="32"/>
      <c r="GL501" s="32"/>
      <c r="GM501" s="32"/>
      <c r="GN501" s="32"/>
      <c r="GO501" s="32"/>
      <c r="GP501" s="32"/>
      <c r="GQ501" s="32"/>
      <c r="GR501" s="32"/>
      <c r="GS501" s="32"/>
      <c r="GT501" s="32"/>
      <c r="GU501" s="32"/>
      <c r="GV501" s="32"/>
      <c r="GW501" s="32"/>
      <c r="GX501" s="32"/>
      <c r="GY501" s="32"/>
      <c r="GZ501" s="32"/>
      <c r="HA501" s="32"/>
      <c r="HB501" s="32"/>
      <c r="HC501" s="32"/>
      <c r="HD501" s="32"/>
      <c r="HE501" s="32"/>
      <c r="HF501" s="32"/>
      <c r="HG501" s="32"/>
      <c r="HH501" s="32"/>
      <c r="HI501" s="32"/>
      <c r="HJ501" s="32"/>
      <c r="HK501" s="32"/>
      <c r="HL501" s="32"/>
      <c r="HM501" s="32"/>
      <c r="HN501" s="32"/>
      <c r="HO501" s="32"/>
      <c r="HP501" s="32"/>
    </row>
    <row r="502" spans="1:224" x14ac:dyDescent="0.25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  <c r="BD502" s="32"/>
      <c r="BE502" s="32"/>
      <c r="BF502" s="32"/>
      <c r="BG502" s="32"/>
      <c r="BH502" s="32"/>
      <c r="BI502" s="32"/>
      <c r="BJ502" s="32"/>
      <c r="BK502" s="32"/>
      <c r="BL502" s="32"/>
      <c r="BM502" s="32"/>
      <c r="BN502" s="32"/>
      <c r="BO502" s="32"/>
      <c r="BP502" s="32"/>
      <c r="BQ502" s="32"/>
      <c r="BR502" s="32"/>
      <c r="BS502" s="32"/>
      <c r="BT502" s="32"/>
      <c r="BU502" s="32"/>
      <c r="BV502" s="32"/>
      <c r="BW502" s="32"/>
      <c r="BX502" s="32"/>
      <c r="BY502" s="32"/>
      <c r="BZ502" s="32"/>
      <c r="CA502" s="32"/>
      <c r="CB502" s="32"/>
      <c r="CC502" s="32"/>
      <c r="CD502" s="32"/>
      <c r="CE502" s="32"/>
      <c r="CF502" s="32"/>
      <c r="CG502" s="32"/>
      <c r="CH502" s="32"/>
      <c r="CI502" s="32"/>
      <c r="CJ502" s="32"/>
      <c r="CK502" s="32"/>
      <c r="CL502" s="32"/>
      <c r="CM502" s="32"/>
      <c r="CN502" s="32"/>
      <c r="CO502" s="32"/>
      <c r="CP502" s="32"/>
      <c r="CQ502" s="32"/>
      <c r="CR502" s="32"/>
      <c r="CS502" s="32"/>
      <c r="CT502" s="32"/>
      <c r="CU502" s="32"/>
      <c r="CV502" s="32"/>
      <c r="CW502" s="32"/>
      <c r="CX502" s="32"/>
      <c r="CY502" s="32"/>
      <c r="CZ502" s="32"/>
      <c r="DA502" s="32"/>
      <c r="DB502" s="32"/>
      <c r="DC502" s="32"/>
      <c r="DD502" s="32"/>
      <c r="DE502" s="32"/>
      <c r="DF502" s="32"/>
      <c r="DG502" s="32"/>
      <c r="DH502" s="32"/>
      <c r="DI502" s="32"/>
      <c r="DJ502" s="32"/>
      <c r="DK502" s="32"/>
      <c r="DL502" s="32"/>
      <c r="DM502" s="32"/>
      <c r="DN502" s="32"/>
      <c r="DO502" s="32"/>
      <c r="DP502" s="32"/>
      <c r="DQ502" s="32"/>
      <c r="DR502" s="32"/>
      <c r="DS502" s="32"/>
      <c r="DT502" s="32"/>
      <c r="DU502" s="32"/>
      <c r="DV502" s="32"/>
      <c r="DW502" s="32"/>
      <c r="DX502" s="32"/>
      <c r="DY502" s="32"/>
      <c r="DZ502" s="32"/>
      <c r="EA502" s="32"/>
      <c r="EB502" s="32"/>
      <c r="EC502" s="32"/>
      <c r="ED502" s="32"/>
      <c r="EE502" s="32"/>
      <c r="EF502" s="32"/>
      <c r="EG502" s="32"/>
      <c r="EH502" s="32"/>
      <c r="EI502" s="32"/>
      <c r="EJ502" s="32"/>
      <c r="EK502" s="32"/>
      <c r="EL502" s="32"/>
      <c r="EM502" s="32"/>
      <c r="EN502" s="32"/>
      <c r="EO502" s="32"/>
      <c r="EP502" s="32"/>
      <c r="EQ502" s="32"/>
      <c r="ER502" s="32"/>
      <c r="ES502" s="32"/>
      <c r="ET502" s="32"/>
      <c r="EU502" s="32"/>
      <c r="EV502" s="32"/>
      <c r="EW502" s="32"/>
      <c r="EX502" s="32"/>
      <c r="EY502" s="32"/>
      <c r="EZ502" s="32"/>
      <c r="FA502" s="32"/>
      <c r="FB502" s="32"/>
      <c r="FC502" s="32"/>
      <c r="FD502" s="32"/>
      <c r="FE502" s="32"/>
      <c r="FF502" s="32"/>
      <c r="FG502" s="32"/>
      <c r="FH502" s="32"/>
      <c r="FI502" s="32"/>
      <c r="FJ502" s="32"/>
      <c r="FK502" s="32"/>
      <c r="FL502" s="32"/>
      <c r="FM502" s="32"/>
      <c r="FN502" s="32"/>
      <c r="FO502" s="32"/>
      <c r="FP502" s="32"/>
      <c r="FQ502" s="32"/>
      <c r="FR502" s="32"/>
      <c r="FS502" s="32"/>
      <c r="FT502" s="32"/>
      <c r="FU502" s="32"/>
      <c r="FV502" s="32"/>
      <c r="FW502" s="32"/>
      <c r="FX502" s="32"/>
      <c r="FY502" s="32"/>
      <c r="FZ502" s="32"/>
      <c r="GA502" s="32"/>
      <c r="GB502" s="32"/>
      <c r="GC502" s="32"/>
      <c r="GD502" s="32"/>
      <c r="GE502" s="32"/>
      <c r="GF502" s="32"/>
      <c r="GG502" s="32"/>
      <c r="GH502" s="32"/>
      <c r="GI502" s="32"/>
      <c r="GJ502" s="32"/>
      <c r="GK502" s="32"/>
      <c r="GL502" s="32"/>
      <c r="GM502" s="32"/>
      <c r="GN502" s="32"/>
      <c r="GO502" s="32"/>
      <c r="GP502" s="32"/>
      <c r="GQ502" s="32"/>
      <c r="GR502" s="32"/>
      <c r="GS502" s="32"/>
      <c r="GT502" s="32"/>
      <c r="GU502" s="32"/>
      <c r="GV502" s="32"/>
      <c r="GW502" s="32"/>
      <c r="GX502" s="32"/>
      <c r="GY502" s="32"/>
      <c r="GZ502" s="32"/>
      <c r="HA502" s="32"/>
      <c r="HB502" s="32"/>
      <c r="HC502" s="32"/>
      <c r="HD502" s="32"/>
      <c r="HE502" s="32"/>
      <c r="HF502" s="32"/>
      <c r="HG502" s="32"/>
      <c r="HH502" s="32"/>
      <c r="HI502" s="32"/>
      <c r="HJ502" s="32"/>
      <c r="HK502" s="32"/>
      <c r="HL502" s="32"/>
      <c r="HM502" s="32"/>
      <c r="HN502" s="32"/>
      <c r="HO502" s="32"/>
      <c r="HP502" s="32"/>
    </row>
    <row r="503" spans="1:224" x14ac:dyDescent="0.25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  <c r="BD503" s="32"/>
      <c r="BE503" s="32"/>
      <c r="BF503" s="32"/>
      <c r="BG503" s="32"/>
      <c r="BH503" s="32"/>
      <c r="BI503" s="32"/>
      <c r="BJ503" s="32"/>
      <c r="BK503" s="32"/>
      <c r="BL503" s="32"/>
      <c r="BM503" s="32"/>
      <c r="BN503" s="32"/>
      <c r="BO503" s="32"/>
      <c r="BP503" s="32"/>
      <c r="BQ503" s="32"/>
      <c r="BR503" s="32"/>
      <c r="BS503" s="32"/>
      <c r="BT503" s="32"/>
      <c r="BU503" s="32"/>
      <c r="BV503" s="32"/>
      <c r="BW503" s="32"/>
      <c r="BX503" s="32"/>
      <c r="BY503" s="32"/>
      <c r="BZ503" s="32"/>
      <c r="CA503" s="32"/>
      <c r="CB503" s="32"/>
      <c r="CC503" s="32"/>
      <c r="CD503" s="32"/>
      <c r="CE503" s="32"/>
      <c r="CF503" s="32"/>
      <c r="CG503" s="32"/>
      <c r="CH503" s="32"/>
      <c r="CI503" s="32"/>
      <c r="CJ503" s="32"/>
      <c r="CK503" s="32"/>
      <c r="CL503" s="32"/>
      <c r="CM503" s="32"/>
      <c r="CN503" s="32"/>
      <c r="CO503" s="32"/>
      <c r="CP503" s="32"/>
      <c r="CQ503" s="32"/>
      <c r="CR503" s="32"/>
      <c r="CS503" s="32"/>
      <c r="CT503" s="32"/>
      <c r="CU503" s="32"/>
      <c r="CV503" s="32"/>
      <c r="CW503" s="32"/>
      <c r="CX503" s="32"/>
      <c r="CY503" s="32"/>
      <c r="CZ503" s="32"/>
      <c r="DA503" s="32"/>
      <c r="DB503" s="32"/>
      <c r="DC503" s="32"/>
      <c r="DD503" s="32"/>
      <c r="DE503" s="32"/>
      <c r="DF503" s="32"/>
      <c r="DG503" s="32"/>
      <c r="DH503" s="32"/>
      <c r="DI503" s="32"/>
      <c r="DJ503" s="32"/>
      <c r="DK503" s="32"/>
      <c r="DL503" s="32"/>
      <c r="DM503" s="32"/>
      <c r="DN503" s="32"/>
      <c r="DO503" s="32"/>
      <c r="DP503" s="32"/>
      <c r="DQ503" s="32"/>
      <c r="DR503" s="32"/>
      <c r="DS503" s="32"/>
      <c r="DT503" s="32"/>
      <c r="DU503" s="32"/>
      <c r="DV503" s="32"/>
      <c r="DW503" s="32"/>
      <c r="DX503" s="32"/>
      <c r="DY503" s="32"/>
      <c r="DZ503" s="32"/>
      <c r="EA503" s="32"/>
      <c r="EB503" s="32"/>
      <c r="EC503" s="32"/>
      <c r="ED503" s="32"/>
      <c r="EE503" s="32"/>
      <c r="EF503" s="32"/>
      <c r="EG503" s="32"/>
      <c r="EH503" s="32"/>
      <c r="EI503" s="32"/>
      <c r="EJ503" s="32"/>
      <c r="EK503" s="32"/>
      <c r="EL503" s="32"/>
      <c r="EM503" s="32"/>
      <c r="EN503" s="32"/>
      <c r="EO503" s="32"/>
      <c r="EP503" s="32"/>
      <c r="EQ503" s="32"/>
      <c r="ER503" s="32"/>
      <c r="ES503" s="32"/>
      <c r="ET503" s="32"/>
      <c r="EU503" s="32"/>
      <c r="EV503" s="32"/>
      <c r="EW503" s="32"/>
      <c r="EX503" s="32"/>
      <c r="EY503" s="32"/>
      <c r="EZ503" s="32"/>
      <c r="FA503" s="32"/>
      <c r="FB503" s="32"/>
      <c r="FC503" s="32"/>
      <c r="FD503" s="32"/>
      <c r="FE503" s="32"/>
      <c r="FF503" s="32"/>
      <c r="FG503" s="32"/>
      <c r="FH503" s="32"/>
      <c r="FI503" s="32"/>
      <c r="FJ503" s="32"/>
      <c r="FK503" s="32"/>
      <c r="FL503" s="32"/>
      <c r="FM503" s="32"/>
      <c r="FN503" s="32"/>
      <c r="FO503" s="32"/>
      <c r="FP503" s="32"/>
      <c r="FQ503" s="32"/>
      <c r="FR503" s="32"/>
      <c r="FS503" s="32"/>
      <c r="FT503" s="32"/>
      <c r="FU503" s="32"/>
      <c r="FV503" s="32"/>
      <c r="FW503" s="32"/>
      <c r="FX503" s="32"/>
      <c r="FY503" s="32"/>
      <c r="FZ503" s="32"/>
      <c r="GA503" s="32"/>
      <c r="GB503" s="32"/>
      <c r="GC503" s="32"/>
      <c r="GD503" s="32"/>
      <c r="GE503" s="32"/>
      <c r="GF503" s="32"/>
      <c r="GG503" s="32"/>
      <c r="GH503" s="32"/>
      <c r="GI503" s="32"/>
      <c r="GJ503" s="32"/>
      <c r="GK503" s="32"/>
      <c r="GL503" s="32"/>
      <c r="GM503" s="32"/>
      <c r="GN503" s="32"/>
      <c r="GO503" s="32"/>
      <c r="GP503" s="32"/>
      <c r="GQ503" s="32"/>
      <c r="GR503" s="32"/>
      <c r="GS503" s="32"/>
      <c r="GT503" s="32"/>
      <c r="GU503" s="32"/>
      <c r="GV503" s="32"/>
      <c r="GW503" s="32"/>
      <c r="GX503" s="32"/>
      <c r="GY503" s="32"/>
      <c r="GZ503" s="32"/>
      <c r="HA503" s="32"/>
      <c r="HB503" s="32"/>
      <c r="HC503" s="32"/>
      <c r="HD503" s="32"/>
      <c r="HE503" s="32"/>
      <c r="HF503" s="32"/>
      <c r="HG503" s="32"/>
      <c r="HH503" s="32"/>
      <c r="HI503" s="32"/>
      <c r="HJ503" s="32"/>
      <c r="HK503" s="32"/>
      <c r="HL503" s="32"/>
      <c r="HM503" s="32"/>
      <c r="HN503" s="32"/>
      <c r="HO503" s="32"/>
      <c r="HP503" s="32"/>
    </row>
    <row r="504" spans="1:224" x14ac:dyDescent="0.25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  <c r="BD504" s="32"/>
      <c r="BE504" s="32"/>
      <c r="BF504" s="32"/>
      <c r="BG504" s="32"/>
      <c r="BH504" s="32"/>
      <c r="BI504" s="32"/>
      <c r="BJ504" s="32"/>
      <c r="BK504" s="32"/>
      <c r="BL504" s="32"/>
      <c r="BM504" s="32"/>
      <c r="BN504" s="32"/>
      <c r="BO504" s="32"/>
      <c r="BP504" s="32"/>
      <c r="BQ504" s="32"/>
      <c r="BR504" s="32"/>
      <c r="BS504" s="32"/>
      <c r="BT504" s="32"/>
      <c r="BU504" s="32"/>
      <c r="BV504" s="32"/>
      <c r="BW504" s="32"/>
      <c r="BX504" s="32"/>
      <c r="BY504" s="32"/>
      <c r="BZ504" s="32"/>
      <c r="CA504" s="32"/>
      <c r="CB504" s="32"/>
      <c r="CC504" s="32"/>
      <c r="CD504" s="32"/>
      <c r="CE504" s="32"/>
      <c r="CF504" s="32"/>
      <c r="CG504" s="32"/>
      <c r="CH504" s="32"/>
      <c r="CI504" s="32"/>
      <c r="CJ504" s="32"/>
      <c r="CK504" s="32"/>
      <c r="CL504" s="32"/>
      <c r="CM504" s="32"/>
      <c r="CN504" s="32"/>
      <c r="CO504" s="32"/>
      <c r="CP504" s="32"/>
      <c r="CQ504" s="32"/>
      <c r="CR504" s="32"/>
      <c r="CS504" s="32"/>
      <c r="CT504" s="32"/>
      <c r="CU504" s="32"/>
      <c r="CV504" s="32"/>
      <c r="CW504" s="32"/>
      <c r="CX504" s="32"/>
      <c r="CY504" s="32"/>
      <c r="CZ504" s="32"/>
      <c r="DA504" s="32"/>
      <c r="DB504" s="32"/>
      <c r="DC504" s="32"/>
      <c r="DD504" s="32"/>
      <c r="DE504" s="32"/>
      <c r="DF504" s="32"/>
      <c r="DG504" s="32"/>
      <c r="DH504" s="32"/>
      <c r="DI504" s="32"/>
      <c r="DJ504" s="32"/>
      <c r="DK504" s="32"/>
      <c r="DL504" s="32"/>
      <c r="DM504" s="32"/>
      <c r="DN504" s="32"/>
      <c r="DO504" s="32"/>
      <c r="DP504" s="32"/>
      <c r="DQ504" s="32"/>
      <c r="DR504" s="32"/>
      <c r="DS504" s="32"/>
      <c r="DT504" s="32"/>
      <c r="DU504" s="32"/>
      <c r="DV504" s="32"/>
      <c r="DW504" s="32"/>
      <c r="DX504" s="32"/>
      <c r="DY504" s="32"/>
      <c r="DZ504" s="32"/>
      <c r="EA504" s="32"/>
      <c r="EB504" s="32"/>
      <c r="EC504" s="32"/>
      <c r="ED504" s="32"/>
      <c r="EE504" s="32"/>
      <c r="EF504" s="32"/>
      <c r="EG504" s="32"/>
      <c r="EH504" s="32"/>
      <c r="EI504" s="32"/>
      <c r="EJ504" s="32"/>
      <c r="EK504" s="32"/>
      <c r="EL504" s="32"/>
      <c r="EM504" s="32"/>
      <c r="EN504" s="32"/>
      <c r="EO504" s="32"/>
      <c r="EP504" s="32"/>
      <c r="EQ504" s="32"/>
      <c r="ER504" s="32"/>
      <c r="ES504" s="32"/>
      <c r="ET504" s="32"/>
      <c r="EU504" s="32"/>
      <c r="EV504" s="32"/>
      <c r="EW504" s="32"/>
      <c r="EX504" s="32"/>
      <c r="EY504" s="32"/>
      <c r="EZ504" s="32"/>
      <c r="FA504" s="32"/>
      <c r="FB504" s="32"/>
      <c r="FC504" s="32"/>
      <c r="FD504" s="32"/>
      <c r="FE504" s="32"/>
      <c r="FF504" s="32"/>
      <c r="FG504" s="32"/>
      <c r="FH504" s="32"/>
      <c r="FI504" s="32"/>
      <c r="FJ504" s="32"/>
      <c r="FK504" s="32"/>
      <c r="FL504" s="32"/>
      <c r="FM504" s="32"/>
      <c r="FN504" s="32"/>
      <c r="FO504" s="32"/>
      <c r="FP504" s="32"/>
      <c r="FQ504" s="32"/>
      <c r="FR504" s="32"/>
      <c r="FS504" s="32"/>
      <c r="FT504" s="32"/>
      <c r="FU504" s="32"/>
      <c r="FV504" s="32"/>
      <c r="FW504" s="32"/>
      <c r="FX504" s="32"/>
      <c r="FY504" s="32"/>
      <c r="FZ504" s="32"/>
      <c r="GA504" s="32"/>
      <c r="GB504" s="32"/>
      <c r="GC504" s="32"/>
      <c r="GD504" s="32"/>
      <c r="GE504" s="32"/>
      <c r="GF504" s="32"/>
      <c r="GG504" s="32"/>
      <c r="GH504" s="32"/>
      <c r="GI504" s="32"/>
      <c r="GJ504" s="32"/>
      <c r="GK504" s="32"/>
      <c r="GL504" s="32"/>
      <c r="GM504" s="32"/>
      <c r="GN504" s="32"/>
      <c r="GO504" s="32"/>
      <c r="GP504" s="32"/>
      <c r="GQ504" s="32"/>
      <c r="GR504" s="32"/>
      <c r="GS504" s="32"/>
      <c r="GT504" s="32"/>
      <c r="GU504" s="32"/>
      <c r="GV504" s="32"/>
      <c r="GW504" s="32"/>
      <c r="GX504" s="32"/>
      <c r="GY504" s="32"/>
      <c r="GZ504" s="32"/>
      <c r="HA504" s="32"/>
      <c r="HB504" s="32"/>
      <c r="HC504" s="32"/>
      <c r="HD504" s="32"/>
      <c r="HE504" s="32"/>
      <c r="HF504" s="32"/>
      <c r="HG504" s="32"/>
      <c r="HH504" s="32"/>
      <c r="HI504" s="32"/>
      <c r="HJ504" s="32"/>
      <c r="HK504" s="32"/>
      <c r="HL504" s="32"/>
      <c r="HM504" s="32"/>
      <c r="HN504" s="32"/>
      <c r="HO504" s="32"/>
      <c r="HP504" s="32"/>
    </row>
    <row r="505" spans="1:224" x14ac:dyDescent="0.2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2"/>
      <c r="BB505" s="32"/>
      <c r="BC505" s="32"/>
      <c r="BD505" s="32"/>
      <c r="BE505" s="32"/>
      <c r="BF505" s="32"/>
      <c r="BG505" s="32"/>
      <c r="BH505" s="32"/>
      <c r="BI505" s="32"/>
      <c r="BJ505" s="32"/>
      <c r="BK505" s="32"/>
      <c r="BL505" s="32"/>
      <c r="BM505" s="32"/>
      <c r="BN505" s="32"/>
      <c r="BO505" s="32"/>
      <c r="BP505" s="32"/>
      <c r="BQ505" s="32"/>
      <c r="BR505" s="32"/>
      <c r="BS505" s="32"/>
      <c r="BT505" s="32"/>
      <c r="BU505" s="32"/>
      <c r="BV505" s="32"/>
      <c r="BW505" s="32"/>
      <c r="BX505" s="32"/>
      <c r="BY505" s="32"/>
      <c r="BZ505" s="32"/>
      <c r="CA505" s="32"/>
      <c r="CB505" s="32"/>
      <c r="CC505" s="32"/>
      <c r="CD505" s="32"/>
      <c r="CE505" s="32"/>
      <c r="CF505" s="32"/>
      <c r="CG505" s="32"/>
      <c r="CH505" s="32"/>
      <c r="CI505" s="32"/>
      <c r="CJ505" s="32"/>
      <c r="CK505" s="32"/>
      <c r="CL505" s="32"/>
      <c r="CM505" s="32"/>
      <c r="CN505" s="32"/>
      <c r="CO505" s="32"/>
      <c r="CP505" s="32"/>
      <c r="CQ505" s="32"/>
      <c r="CR505" s="32"/>
      <c r="CS505" s="32"/>
      <c r="CT505" s="32"/>
      <c r="CU505" s="32"/>
      <c r="CV505" s="32"/>
      <c r="CW505" s="32"/>
      <c r="CX505" s="32"/>
      <c r="CY505" s="32"/>
      <c r="CZ505" s="32"/>
      <c r="DA505" s="32"/>
      <c r="DB505" s="32"/>
      <c r="DC505" s="32"/>
      <c r="DD505" s="32"/>
      <c r="DE505" s="32"/>
      <c r="DF505" s="32"/>
      <c r="DG505" s="32"/>
      <c r="DH505" s="32"/>
      <c r="DI505" s="32"/>
      <c r="DJ505" s="32"/>
      <c r="DK505" s="32"/>
      <c r="DL505" s="32"/>
      <c r="DM505" s="32"/>
      <c r="DN505" s="32"/>
      <c r="DO505" s="32"/>
      <c r="DP505" s="32"/>
      <c r="DQ505" s="32"/>
      <c r="DR505" s="32"/>
      <c r="DS505" s="32"/>
      <c r="DT505" s="32"/>
      <c r="DU505" s="32"/>
      <c r="DV505" s="32"/>
      <c r="DW505" s="32"/>
      <c r="DX505" s="32"/>
      <c r="DY505" s="32"/>
      <c r="DZ505" s="32"/>
      <c r="EA505" s="32"/>
      <c r="EB505" s="32"/>
      <c r="EC505" s="32"/>
      <c r="ED505" s="32"/>
      <c r="EE505" s="32"/>
      <c r="EF505" s="32"/>
      <c r="EG505" s="32"/>
      <c r="EH505" s="32"/>
      <c r="EI505" s="32"/>
      <c r="EJ505" s="32"/>
      <c r="EK505" s="32"/>
      <c r="EL505" s="32"/>
      <c r="EM505" s="32"/>
      <c r="EN505" s="32"/>
      <c r="EO505" s="32"/>
      <c r="EP505" s="32"/>
      <c r="EQ505" s="32"/>
      <c r="ER505" s="32"/>
      <c r="ES505" s="32"/>
      <c r="ET505" s="32"/>
      <c r="EU505" s="32"/>
      <c r="EV505" s="32"/>
      <c r="EW505" s="32"/>
      <c r="EX505" s="32"/>
      <c r="EY505" s="32"/>
      <c r="EZ505" s="32"/>
      <c r="FA505" s="32"/>
      <c r="FB505" s="32"/>
      <c r="FC505" s="32"/>
      <c r="FD505" s="32"/>
      <c r="FE505" s="32"/>
      <c r="FF505" s="32"/>
      <c r="FG505" s="32"/>
      <c r="FH505" s="32"/>
      <c r="FI505" s="32"/>
      <c r="FJ505" s="32"/>
      <c r="FK505" s="32"/>
      <c r="FL505" s="32"/>
      <c r="FM505" s="32"/>
      <c r="FN505" s="32"/>
      <c r="FO505" s="32"/>
      <c r="FP505" s="32"/>
      <c r="FQ505" s="32"/>
      <c r="FR505" s="32"/>
      <c r="FS505" s="32"/>
      <c r="FT505" s="32"/>
      <c r="FU505" s="32"/>
      <c r="FV505" s="32"/>
      <c r="FW505" s="32"/>
      <c r="FX505" s="32"/>
      <c r="FY505" s="32"/>
      <c r="FZ505" s="32"/>
      <c r="GA505" s="32"/>
      <c r="GB505" s="32"/>
      <c r="GC505" s="32"/>
      <c r="GD505" s="32"/>
      <c r="GE505" s="32"/>
      <c r="GF505" s="32"/>
      <c r="GG505" s="32"/>
      <c r="GH505" s="32"/>
      <c r="GI505" s="32"/>
      <c r="GJ505" s="32"/>
      <c r="GK505" s="32"/>
      <c r="GL505" s="32"/>
      <c r="GM505" s="32"/>
      <c r="GN505" s="32"/>
      <c r="GO505" s="32"/>
      <c r="GP505" s="32"/>
      <c r="GQ505" s="32"/>
      <c r="GR505" s="32"/>
      <c r="GS505" s="32"/>
      <c r="GT505" s="32"/>
      <c r="GU505" s="32"/>
      <c r="GV505" s="32"/>
      <c r="GW505" s="32"/>
      <c r="GX505" s="32"/>
      <c r="GY505" s="32"/>
      <c r="GZ505" s="32"/>
      <c r="HA505" s="32"/>
      <c r="HB505" s="32"/>
      <c r="HC505" s="32"/>
      <c r="HD505" s="32"/>
      <c r="HE505" s="32"/>
      <c r="HF505" s="32"/>
      <c r="HG505" s="32"/>
      <c r="HH505" s="32"/>
      <c r="HI505" s="32"/>
      <c r="HJ505" s="32"/>
      <c r="HK505" s="32"/>
      <c r="HL505" s="32"/>
      <c r="HM505" s="32"/>
      <c r="HN505" s="32"/>
      <c r="HO505" s="32"/>
      <c r="HP505" s="32"/>
    </row>
    <row r="506" spans="1:224" x14ac:dyDescent="0.25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2"/>
      <c r="BB506" s="32"/>
      <c r="BC506" s="32"/>
      <c r="BD506" s="32"/>
      <c r="BE506" s="32"/>
      <c r="BF506" s="32"/>
      <c r="BG506" s="32"/>
      <c r="BH506" s="32"/>
      <c r="BI506" s="32"/>
      <c r="BJ506" s="32"/>
      <c r="BK506" s="32"/>
      <c r="BL506" s="32"/>
      <c r="BM506" s="32"/>
      <c r="BN506" s="32"/>
      <c r="BO506" s="32"/>
      <c r="BP506" s="32"/>
      <c r="BQ506" s="32"/>
      <c r="BR506" s="32"/>
      <c r="BS506" s="32"/>
      <c r="BT506" s="32"/>
      <c r="BU506" s="32"/>
      <c r="BV506" s="32"/>
      <c r="BW506" s="32"/>
      <c r="BX506" s="32"/>
      <c r="BY506" s="32"/>
      <c r="BZ506" s="32"/>
      <c r="CA506" s="32"/>
      <c r="CB506" s="32"/>
      <c r="CC506" s="32"/>
      <c r="CD506" s="32"/>
      <c r="CE506" s="32"/>
      <c r="CF506" s="32"/>
      <c r="CG506" s="32"/>
      <c r="CH506" s="32"/>
      <c r="CI506" s="32"/>
      <c r="CJ506" s="32"/>
      <c r="CK506" s="32"/>
      <c r="CL506" s="32"/>
      <c r="CM506" s="32"/>
      <c r="CN506" s="32"/>
      <c r="CO506" s="32"/>
      <c r="CP506" s="32"/>
      <c r="CQ506" s="32"/>
      <c r="CR506" s="32"/>
      <c r="CS506" s="32"/>
      <c r="CT506" s="32"/>
      <c r="CU506" s="32"/>
      <c r="CV506" s="32"/>
      <c r="CW506" s="32"/>
      <c r="CX506" s="32"/>
      <c r="CY506" s="32"/>
      <c r="CZ506" s="32"/>
      <c r="DA506" s="32"/>
      <c r="DB506" s="32"/>
      <c r="DC506" s="32"/>
      <c r="DD506" s="32"/>
      <c r="DE506" s="32"/>
      <c r="DF506" s="32"/>
      <c r="DG506" s="32"/>
      <c r="DH506" s="32"/>
      <c r="DI506" s="32"/>
      <c r="DJ506" s="32"/>
      <c r="DK506" s="32"/>
      <c r="DL506" s="32"/>
      <c r="DM506" s="32"/>
      <c r="DN506" s="32"/>
      <c r="DO506" s="32"/>
      <c r="DP506" s="32"/>
      <c r="DQ506" s="32"/>
      <c r="DR506" s="32"/>
      <c r="DS506" s="32"/>
      <c r="DT506" s="32"/>
      <c r="DU506" s="32"/>
      <c r="DV506" s="32"/>
      <c r="DW506" s="32"/>
      <c r="DX506" s="32"/>
      <c r="DY506" s="32"/>
      <c r="DZ506" s="32"/>
      <c r="EA506" s="32"/>
      <c r="EB506" s="32"/>
      <c r="EC506" s="32"/>
      <c r="ED506" s="32"/>
      <c r="EE506" s="32"/>
      <c r="EF506" s="32"/>
      <c r="EG506" s="32"/>
      <c r="EH506" s="32"/>
      <c r="EI506" s="32"/>
      <c r="EJ506" s="32"/>
      <c r="EK506" s="32"/>
      <c r="EL506" s="32"/>
      <c r="EM506" s="32"/>
      <c r="EN506" s="32"/>
      <c r="EO506" s="32"/>
      <c r="EP506" s="32"/>
      <c r="EQ506" s="32"/>
      <c r="ER506" s="32"/>
      <c r="ES506" s="32"/>
      <c r="ET506" s="32"/>
      <c r="EU506" s="32"/>
      <c r="EV506" s="32"/>
      <c r="EW506" s="32"/>
      <c r="EX506" s="32"/>
      <c r="EY506" s="32"/>
      <c r="EZ506" s="32"/>
      <c r="FA506" s="32"/>
      <c r="FB506" s="32"/>
      <c r="FC506" s="32"/>
      <c r="FD506" s="32"/>
      <c r="FE506" s="32"/>
      <c r="FF506" s="32"/>
      <c r="FG506" s="32"/>
      <c r="FH506" s="32"/>
      <c r="FI506" s="32"/>
      <c r="FJ506" s="32"/>
      <c r="FK506" s="32"/>
      <c r="FL506" s="32"/>
      <c r="FM506" s="32"/>
      <c r="FN506" s="32"/>
      <c r="FO506" s="32"/>
      <c r="FP506" s="32"/>
      <c r="FQ506" s="32"/>
      <c r="FR506" s="32"/>
      <c r="FS506" s="32"/>
      <c r="FT506" s="32"/>
      <c r="FU506" s="32"/>
      <c r="FV506" s="32"/>
      <c r="FW506" s="32"/>
      <c r="FX506" s="32"/>
      <c r="FY506" s="32"/>
      <c r="FZ506" s="32"/>
      <c r="GA506" s="32"/>
      <c r="GB506" s="32"/>
      <c r="GC506" s="32"/>
      <c r="GD506" s="32"/>
      <c r="GE506" s="32"/>
      <c r="GF506" s="32"/>
      <c r="GG506" s="32"/>
      <c r="GH506" s="32"/>
      <c r="GI506" s="32"/>
      <c r="GJ506" s="32"/>
      <c r="GK506" s="32"/>
      <c r="GL506" s="32"/>
      <c r="GM506" s="32"/>
      <c r="GN506" s="32"/>
      <c r="GO506" s="32"/>
      <c r="GP506" s="32"/>
      <c r="GQ506" s="32"/>
      <c r="GR506" s="32"/>
      <c r="GS506" s="32"/>
      <c r="GT506" s="32"/>
      <c r="GU506" s="32"/>
      <c r="GV506" s="32"/>
      <c r="GW506" s="32"/>
      <c r="GX506" s="32"/>
      <c r="GY506" s="32"/>
      <c r="GZ506" s="32"/>
      <c r="HA506" s="32"/>
      <c r="HB506" s="32"/>
      <c r="HC506" s="32"/>
      <c r="HD506" s="32"/>
      <c r="HE506" s="32"/>
      <c r="HF506" s="32"/>
      <c r="HG506" s="32"/>
      <c r="HH506" s="32"/>
      <c r="HI506" s="32"/>
      <c r="HJ506" s="32"/>
      <c r="HK506" s="32"/>
      <c r="HL506" s="32"/>
      <c r="HM506" s="32"/>
      <c r="HN506" s="32"/>
      <c r="HO506" s="32"/>
      <c r="HP506" s="32"/>
    </row>
    <row r="507" spans="1:224" x14ac:dyDescent="0.25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2"/>
      <c r="BB507" s="32"/>
      <c r="BC507" s="32"/>
      <c r="BD507" s="32"/>
      <c r="BE507" s="32"/>
      <c r="BF507" s="32"/>
      <c r="BG507" s="32"/>
      <c r="BH507" s="32"/>
      <c r="BI507" s="32"/>
      <c r="BJ507" s="32"/>
      <c r="BK507" s="32"/>
      <c r="BL507" s="32"/>
      <c r="BM507" s="32"/>
      <c r="BN507" s="32"/>
      <c r="BO507" s="32"/>
      <c r="BP507" s="32"/>
      <c r="BQ507" s="32"/>
      <c r="BR507" s="32"/>
      <c r="BS507" s="32"/>
      <c r="BT507" s="32"/>
      <c r="BU507" s="32"/>
      <c r="BV507" s="32"/>
      <c r="BW507" s="32"/>
      <c r="BX507" s="32"/>
      <c r="BY507" s="32"/>
      <c r="BZ507" s="32"/>
      <c r="CA507" s="32"/>
      <c r="CB507" s="32"/>
      <c r="CC507" s="32"/>
      <c r="CD507" s="32"/>
      <c r="CE507" s="32"/>
      <c r="CF507" s="32"/>
      <c r="CG507" s="32"/>
      <c r="CH507" s="32"/>
      <c r="CI507" s="32"/>
      <c r="CJ507" s="32"/>
      <c r="CK507" s="32"/>
      <c r="CL507" s="32"/>
      <c r="CM507" s="32"/>
      <c r="CN507" s="32"/>
      <c r="CO507" s="32"/>
      <c r="CP507" s="32"/>
      <c r="CQ507" s="32"/>
      <c r="CR507" s="32"/>
      <c r="CS507" s="32"/>
      <c r="CT507" s="32"/>
      <c r="CU507" s="32"/>
      <c r="CV507" s="32"/>
      <c r="CW507" s="32"/>
      <c r="CX507" s="32"/>
      <c r="CY507" s="32"/>
      <c r="CZ507" s="32"/>
      <c r="DA507" s="32"/>
      <c r="DB507" s="32"/>
      <c r="DC507" s="32"/>
      <c r="DD507" s="32"/>
      <c r="DE507" s="32"/>
      <c r="DF507" s="32"/>
      <c r="DG507" s="32"/>
      <c r="DH507" s="32"/>
      <c r="DI507" s="32"/>
      <c r="DJ507" s="32"/>
      <c r="DK507" s="32"/>
      <c r="DL507" s="32"/>
      <c r="DM507" s="32"/>
      <c r="DN507" s="32"/>
      <c r="DO507" s="32"/>
      <c r="DP507" s="32"/>
      <c r="DQ507" s="32"/>
      <c r="DR507" s="32"/>
      <c r="DS507" s="32"/>
      <c r="DT507" s="32"/>
      <c r="DU507" s="32"/>
      <c r="DV507" s="32"/>
      <c r="DW507" s="32"/>
      <c r="DX507" s="32"/>
      <c r="DY507" s="32"/>
      <c r="DZ507" s="32"/>
      <c r="EA507" s="32"/>
      <c r="EB507" s="32"/>
      <c r="EC507" s="32"/>
      <c r="ED507" s="32"/>
      <c r="EE507" s="32"/>
      <c r="EF507" s="32"/>
      <c r="EG507" s="32"/>
      <c r="EH507" s="32"/>
      <c r="EI507" s="32"/>
      <c r="EJ507" s="32"/>
      <c r="EK507" s="32"/>
      <c r="EL507" s="32"/>
      <c r="EM507" s="32"/>
      <c r="EN507" s="32"/>
      <c r="EO507" s="32"/>
      <c r="EP507" s="32"/>
      <c r="EQ507" s="32"/>
      <c r="ER507" s="32"/>
      <c r="ES507" s="32"/>
      <c r="ET507" s="32"/>
      <c r="EU507" s="32"/>
      <c r="EV507" s="32"/>
      <c r="EW507" s="32"/>
      <c r="EX507" s="32"/>
      <c r="EY507" s="32"/>
      <c r="EZ507" s="32"/>
      <c r="FA507" s="32"/>
      <c r="FB507" s="32"/>
      <c r="FC507" s="32"/>
      <c r="FD507" s="32"/>
      <c r="FE507" s="32"/>
      <c r="FF507" s="32"/>
      <c r="FG507" s="32"/>
      <c r="FH507" s="32"/>
      <c r="FI507" s="32"/>
      <c r="FJ507" s="32"/>
      <c r="FK507" s="32"/>
      <c r="FL507" s="32"/>
      <c r="FM507" s="32"/>
      <c r="FN507" s="32"/>
      <c r="FO507" s="32"/>
      <c r="FP507" s="32"/>
      <c r="FQ507" s="32"/>
      <c r="FR507" s="32"/>
      <c r="FS507" s="32"/>
      <c r="FT507" s="32"/>
      <c r="FU507" s="32"/>
      <c r="FV507" s="32"/>
      <c r="FW507" s="32"/>
      <c r="FX507" s="32"/>
      <c r="FY507" s="32"/>
      <c r="FZ507" s="32"/>
      <c r="GA507" s="32"/>
      <c r="GB507" s="32"/>
      <c r="GC507" s="32"/>
      <c r="GD507" s="32"/>
      <c r="GE507" s="32"/>
      <c r="GF507" s="32"/>
      <c r="GG507" s="32"/>
      <c r="GH507" s="32"/>
      <c r="GI507" s="32"/>
      <c r="GJ507" s="32"/>
      <c r="GK507" s="32"/>
      <c r="GL507" s="32"/>
      <c r="GM507" s="32"/>
      <c r="GN507" s="32"/>
      <c r="GO507" s="32"/>
      <c r="GP507" s="32"/>
      <c r="GQ507" s="32"/>
      <c r="GR507" s="32"/>
      <c r="GS507" s="32"/>
      <c r="GT507" s="32"/>
      <c r="GU507" s="32"/>
      <c r="GV507" s="32"/>
      <c r="GW507" s="32"/>
      <c r="GX507" s="32"/>
      <c r="GY507" s="32"/>
      <c r="GZ507" s="32"/>
      <c r="HA507" s="32"/>
      <c r="HB507" s="32"/>
      <c r="HC507" s="32"/>
      <c r="HD507" s="32"/>
      <c r="HE507" s="32"/>
      <c r="HF507" s="32"/>
      <c r="HG507" s="32"/>
      <c r="HH507" s="32"/>
      <c r="HI507" s="32"/>
      <c r="HJ507" s="32"/>
      <c r="HK507" s="32"/>
      <c r="HL507" s="32"/>
      <c r="HM507" s="32"/>
      <c r="HN507" s="32"/>
      <c r="HO507" s="32"/>
      <c r="HP507" s="32"/>
    </row>
    <row r="508" spans="1:224" x14ac:dyDescent="0.25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  <c r="BD508" s="32"/>
      <c r="BE508" s="32"/>
      <c r="BF508" s="32"/>
      <c r="BG508" s="32"/>
      <c r="BH508" s="32"/>
      <c r="BI508" s="32"/>
      <c r="BJ508" s="32"/>
      <c r="BK508" s="32"/>
      <c r="BL508" s="32"/>
      <c r="BM508" s="32"/>
      <c r="BN508" s="32"/>
      <c r="BO508" s="32"/>
      <c r="BP508" s="32"/>
      <c r="BQ508" s="32"/>
      <c r="BR508" s="32"/>
      <c r="BS508" s="32"/>
      <c r="BT508" s="32"/>
      <c r="BU508" s="32"/>
      <c r="BV508" s="32"/>
      <c r="BW508" s="32"/>
      <c r="BX508" s="32"/>
      <c r="BY508" s="32"/>
      <c r="BZ508" s="32"/>
      <c r="CA508" s="32"/>
      <c r="CB508" s="32"/>
      <c r="CC508" s="32"/>
      <c r="CD508" s="32"/>
      <c r="CE508" s="32"/>
      <c r="CF508" s="32"/>
      <c r="CG508" s="32"/>
      <c r="CH508" s="32"/>
      <c r="CI508" s="32"/>
      <c r="CJ508" s="32"/>
      <c r="CK508" s="32"/>
      <c r="CL508" s="32"/>
      <c r="CM508" s="32"/>
      <c r="CN508" s="32"/>
      <c r="CO508" s="32"/>
      <c r="CP508" s="32"/>
      <c r="CQ508" s="32"/>
      <c r="CR508" s="32"/>
      <c r="CS508" s="32"/>
      <c r="CT508" s="32"/>
      <c r="CU508" s="32"/>
      <c r="CV508" s="32"/>
      <c r="CW508" s="32"/>
      <c r="CX508" s="32"/>
      <c r="CY508" s="32"/>
      <c r="CZ508" s="32"/>
      <c r="DA508" s="32"/>
      <c r="DB508" s="32"/>
      <c r="DC508" s="32"/>
      <c r="DD508" s="32"/>
      <c r="DE508" s="32"/>
      <c r="DF508" s="32"/>
      <c r="DG508" s="32"/>
      <c r="DH508" s="32"/>
      <c r="DI508" s="32"/>
      <c r="DJ508" s="32"/>
      <c r="DK508" s="32"/>
      <c r="DL508" s="32"/>
      <c r="DM508" s="32"/>
      <c r="DN508" s="32"/>
      <c r="DO508" s="32"/>
      <c r="DP508" s="32"/>
      <c r="DQ508" s="32"/>
      <c r="DR508" s="32"/>
      <c r="DS508" s="32"/>
      <c r="DT508" s="32"/>
      <c r="DU508" s="32"/>
      <c r="DV508" s="32"/>
      <c r="DW508" s="32"/>
      <c r="DX508" s="32"/>
      <c r="DY508" s="32"/>
      <c r="DZ508" s="32"/>
      <c r="EA508" s="32"/>
      <c r="EB508" s="32"/>
      <c r="EC508" s="32"/>
      <c r="ED508" s="32"/>
      <c r="EE508" s="32"/>
      <c r="EF508" s="32"/>
      <c r="EG508" s="32"/>
      <c r="EH508" s="32"/>
      <c r="EI508" s="32"/>
      <c r="EJ508" s="32"/>
      <c r="EK508" s="32"/>
      <c r="EL508" s="32"/>
      <c r="EM508" s="32"/>
      <c r="EN508" s="32"/>
      <c r="EO508" s="32"/>
      <c r="EP508" s="32"/>
      <c r="EQ508" s="32"/>
      <c r="ER508" s="32"/>
      <c r="ES508" s="32"/>
      <c r="ET508" s="32"/>
      <c r="EU508" s="32"/>
      <c r="EV508" s="32"/>
      <c r="EW508" s="32"/>
      <c r="EX508" s="32"/>
      <c r="EY508" s="32"/>
      <c r="EZ508" s="32"/>
      <c r="FA508" s="32"/>
      <c r="FB508" s="32"/>
      <c r="FC508" s="32"/>
      <c r="FD508" s="32"/>
      <c r="FE508" s="32"/>
      <c r="FF508" s="32"/>
      <c r="FG508" s="32"/>
      <c r="FH508" s="32"/>
      <c r="FI508" s="32"/>
      <c r="FJ508" s="32"/>
      <c r="FK508" s="32"/>
      <c r="FL508" s="32"/>
      <c r="FM508" s="32"/>
      <c r="FN508" s="32"/>
      <c r="FO508" s="32"/>
      <c r="FP508" s="32"/>
      <c r="FQ508" s="32"/>
      <c r="FR508" s="32"/>
      <c r="FS508" s="32"/>
      <c r="FT508" s="32"/>
      <c r="FU508" s="32"/>
      <c r="FV508" s="32"/>
      <c r="FW508" s="32"/>
      <c r="FX508" s="32"/>
      <c r="FY508" s="32"/>
      <c r="FZ508" s="32"/>
      <c r="GA508" s="32"/>
      <c r="GB508" s="32"/>
      <c r="GC508" s="32"/>
      <c r="GD508" s="32"/>
      <c r="GE508" s="32"/>
      <c r="GF508" s="32"/>
      <c r="GG508" s="32"/>
      <c r="GH508" s="32"/>
      <c r="GI508" s="32"/>
      <c r="GJ508" s="32"/>
      <c r="GK508" s="32"/>
      <c r="GL508" s="32"/>
      <c r="GM508" s="32"/>
      <c r="GN508" s="32"/>
      <c r="GO508" s="32"/>
      <c r="GP508" s="32"/>
      <c r="GQ508" s="32"/>
      <c r="GR508" s="32"/>
      <c r="GS508" s="32"/>
      <c r="GT508" s="32"/>
      <c r="GU508" s="32"/>
      <c r="GV508" s="32"/>
      <c r="GW508" s="32"/>
      <c r="GX508" s="32"/>
      <c r="GY508" s="32"/>
      <c r="GZ508" s="32"/>
      <c r="HA508" s="32"/>
      <c r="HB508" s="32"/>
      <c r="HC508" s="32"/>
      <c r="HD508" s="32"/>
      <c r="HE508" s="32"/>
      <c r="HF508" s="32"/>
      <c r="HG508" s="32"/>
      <c r="HH508" s="32"/>
      <c r="HI508" s="32"/>
      <c r="HJ508" s="32"/>
      <c r="HK508" s="32"/>
      <c r="HL508" s="32"/>
      <c r="HM508" s="32"/>
      <c r="HN508" s="32"/>
      <c r="HO508" s="32"/>
      <c r="HP508" s="32"/>
    </row>
    <row r="509" spans="1:224" x14ac:dyDescent="0.25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2"/>
      <c r="BB509" s="32"/>
      <c r="BC509" s="32"/>
      <c r="BD509" s="32"/>
      <c r="BE509" s="32"/>
      <c r="BF509" s="32"/>
      <c r="BG509" s="32"/>
      <c r="BH509" s="32"/>
      <c r="BI509" s="32"/>
      <c r="BJ509" s="32"/>
      <c r="BK509" s="32"/>
      <c r="BL509" s="32"/>
      <c r="BM509" s="32"/>
      <c r="BN509" s="32"/>
      <c r="BO509" s="32"/>
      <c r="BP509" s="32"/>
      <c r="BQ509" s="32"/>
      <c r="BR509" s="32"/>
      <c r="BS509" s="32"/>
      <c r="BT509" s="32"/>
      <c r="BU509" s="32"/>
      <c r="BV509" s="32"/>
      <c r="BW509" s="32"/>
      <c r="BX509" s="32"/>
      <c r="BY509" s="32"/>
      <c r="BZ509" s="32"/>
      <c r="CA509" s="32"/>
      <c r="CB509" s="32"/>
      <c r="CC509" s="32"/>
      <c r="CD509" s="32"/>
      <c r="CE509" s="32"/>
      <c r="CF509" s="32"/>
      <c r="CG509" s="32"/>
      <c r="CH509" s="32"/>
      <c r="CI509" s="32"/>
      <c r="CJ509" s="32"/>
      <c r="CK509" s="32"/>
      <c r="CL509" s="32"/>
      <c r="CM509" s="32"/>
      <c r="CN509" s="32"/>
      <c r="CO509" s="32"/>
      <c r="CP509" s="32"/>
      <c r="CQ509" s="32"/>
      <c r="CR509" s="32"/>
      <c r="CS509" s="32"/>
      <c r="CT509" s="32"/>
      <c r="CU509" s="32"/>
      <c r="CV509" s="32"/>
      <c r="CW509" s="32"/>
      <c r="CX509" s="32"/>
      <c r="CY509" s="32"/>
      <c r="CZ509" s="32"/>
      <c r="DA509" s="32"/>
      <c r="DB509" s="32"/>
      <c r="DC509" s="32"/>
      <c r="DD509" s="32"/>
      <c r="DE509" s="32"/>
      <c r="DF509" s="32"/>
      <c r="DG509" s="32"/>
      <c r="DH509" s="32"/>
      <c r="DI509" s="32"/>
      <c r="DJ509" s="32"/>
      <c r="DK509" s="32"/>
      <c r="DL509" s="32"/>
      <c r="DM509" s="32"/>
      <c r="DN509" s="32"/>
      <c r="DO509" s="32"/>
      <c r="DP509" s="32"/>
      <c r="DQ509" s="32"/>
      <c r="DR509" s="32"/>
      <c r="DS509" s="32"/>
      <c r="DT509" s="32"/>
      <c r="DU509" s="32"/>
      <c r="DV509" s="32"/>
      <c r="DW509" s="32"/>
      <c r="DX509" s="32"/>
      <c r="DY509" s="32"/>
      <c r="DZ509" s="32"/>
      <c r="EA509" s="32"/>
      <c r="EB509" s="32"/>
      <c r="EC509" s="32"/>
      <c r="ED509" s="32"/>
      <c r="EE509" s="32"/>
      <c r="EF509" s="32"/>
      <c r="EG509" s="32"/>
      <c r="EH509" s="32"/>
      <c r="EI509" s="32"/>
      <c r="EJ509" s="32"/>
      <c r="EK509" s="32"/>
      <c r="EL509" s="32"/>
      <c r="EM509" s="32"/>
      <c r="EN509" s="32"/>
      <c r="EO509" s="32"/>
      <c r="EP509" s="32"/>
      <c r="EQ509" s="32"/>
      <c r="ER509" s="32"/>
      <c r="ES509" s="32"/>
      <c r="ET509" s="32"/>
      <c r="EU509" s="32"/>
      <c r="EV509" s="32"/>
      <c r="EW509" s="32"/>
      <c r="EX509" s="32"/>
      <c r="EY509" s="32"/>
      <c r="EZ509" s="32"/>
      <c r="FA509" s="32"/>
      <c r="FB509" s="32"/>
      <c r="FC509" s="32"/>
      <c r="FD509" s="32"/>
      <c r="FE509" s="32"/>
      <c r="FF509" s="32"/>
      <c r="FG509" s="32"/>
      <c r="FH509" s="32"/>
      <c r="FI509" s="32"/>
      <c r="FJ509" s="32"/>
      <c r="FK509" s="32"/>
      <c r="FL509" s="32"/>
      <c r="FM509" s="32"/>
      <c r="FN509" s="32"/>
      <c r="FO509" s="32"/>
      <c r="FP509" s="32"/>
      <c r="FQ509" s="32"/>
      <c r="FR509" s="32"/>
      <c r="FS509" s="32"/>
      <c r="FT509" s="32"/>
      <c r="FU509" s="32"/>
      <c r="FV509" s="32"/>
      <c r="FW509" s="32"/>
      <c r="FX509" s="32"/>
      <c r="FY509" s="32"/>
      <c r="FZ509" s="32"/>
      <c r="GA509" s="32"/>
      <c r="GB509" s="32"/>
      <c r="GC509" s="32"/>
      <c r="GD509" s="32"/>
      <c r="GE509" s="32"/>
      <c r="GF509" s="32"/>
      <c r="GG509" s="32"/>
      <c r="GH509" s="32"/>
      <c r="GI509" s="32"/>
      <c r="GJ509" s="32"/>
      <c r="GK509" s="32"/>
      <c r="GL509" s="32"/>
      <c r="GM509" s="32"/>
      <c r="GN509" s="32"/>
      <c r="GO509" s="32"/>
      <c r="GP509" s="32"/>
      <c r="GQ509" s="32"/>
      <c r="GR509" s="32"/>
      <c r="GS509" s="32"/>
      <c r="GT509" s="32"/>
      <c r="GU509" s="32"/>
      <c r="GV509" s="32"/>
      <c r="GW509" s="32"/>
      <c r="GX509" s="32"/>
      <c r="GY509" s="32"/>
      <c r="GZ509" s="32"/>
      <c r="HA509" s="32"/>
      <c r="HB509" s="32"/>
      <c r="HC509" s="32"/>
      <c r="HD509" s="32"/>
      <c r="HE509" s="32"/>
      <c r="HF509" s="32"/>
      <c r="HG509" s="32"/>
      <c r="HH509" s="32"/>
      <c r="HI509" s="32"/>
      <c r="HJ509" s="32"/>
      <c r="HK509" s="32"/>
      <c r="HL509" s="32"/>
      <c r="HM509" s="32"/>
      <c r="HN509" s="32"/>
      <c r="HO509" s="32"/>
      <c r="HP509" s="32"/>
    </row>
    <row r="510" spans="1:224" x14ac:dyDescent="0.25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2"/>
      <c r="BB510" s="32"/>
      <c r="BC510" s="32"/>
      <c r="BD510" s="32"/>
      <c r="BE510" s="32"/>
      <c r="BF510" s="32"/>
      <c r="BG510" s="32"/>
      <c r="BH510" s="32"/>
      <c r="BI510" s="32"/>
      <c r="BJ510" s="32"/>
      <c r="BK510" s="32"/>
      <c r="BL510" s="32"/>
      <c r="BM510" s="32"/>
      <c r="BN510" s="32"/>
      <c r="BO510" s="32"/>
      <c r="BP510" s="32"/>
      <c r="BQ510" s="32"/>
      <c r="BR510" s="32"/>
      <c r="BS510" s="32"/>
      <c r="BT510" s="32"/>
      <c r="BU510" s="32"/>
      <c r="BV510" s="32"/>
      <c r="BW510" s="32"/>
      <c r="BX510" s="32"/>
      <c r="BY510" s="32"/>
      <c r="BZ510" s="32"/>
      <c r="CA510" s="32"/>
      <c r="CB510" s="32"/>
      <c r="CC510" s="32"/>
      <c r="CD510" s="32"/>
      <c r="CE510" s="32"/>
      <c r="CF510" s="32"/>
      <c r="CG510" s="32"/>
      <c r="CH510" s="32"/>
      <c r="CI510" s="32"/>
      <c r="CJ510" s="32"/>
      <c r="CK510" s="32"/>
      <c r="CL510" s="32"/>
      <c r="CM510" s="32"/>
      <c r="CN510" s="32"/>
      <c r="CO510" s="32"/>
      <c r="CP510" s="32"/>
      <c r="CQ510" s="32"/>
      <c r="CR510" s="32"/>
      <c r="CS510" s="32"/>
      <c r="CT510" s="32"/>
      <c r="CU510" s="32"/>
      <c r="CV510" s="32"/>
      <c r="CW510" s="32"/>
      <c r="CX510" s="32"/>
      <c r="CY510" s="32"/>
      <c r="CZ510" s="32"/>
      <c r="DA510" s="32"/>
      <c r="DB510" s="32"/>
      <c r="DC510" s="32"/>
      <c r="DD510" s="32"/>
      <c r="DE510" s="32"/>
      <c r="DF510" s="32"/>
      <c r="DG510" s="32"/>
      <c r="DH510" s="32"/>
      <c r="DI510" s="32"/>
      <c r="DJ510" s="32"/>
      <c r="DK510" s="32"/>
      <c r="DL510" s="32"/>
      <c r="DM510" s="32"/>
      <c r="DN510" s="32"/>
      <c r="DO510" s="32"/>
      <c r="DP510" s="32"/>
      <c r="DQ510" s="32"/>
      <c r="DR510" s="32"/>
      <c r="DS510" s="32"/>
      <c r="DT510" s="32"/>
      <c r="DU510" s="32"/>
      <c r="DV510" s="32"/>
      <c r="DW510" s="32"/>
      <c r="DX510" s="32"/>
      <c r="DY510" s="32"/>
      <c r="DZ510" s="32"/>
      <c r="EA510" s="32"/>
      <c r="EB510" s="32"/>
      <c r="EC510" s="32"/>
      <c r="ED510" s="32"/>
      <c r="EE510" s="32"/>
      <c r="EF510" s="32"/>
      <c r="EG510" s="32"/>
      <c r="EH510" s="32"/>
      <c r="EI510" s="32"/>
      <c r="EJ510" s="32"/>
      <c r="EK510" s="32"/>
      <c r="EL510" s="32"/>
      <c r="EM510" s="32"/>
      <c r="EN510" s="32"/>
      <c r="EO510" s="32"/>
      <c r="EP510" s="32"/>
      <c r="EQ510" s="32"/>
      <c r="ER510" s="32"/>
      <c r="ES510" s="32"/>
      <c r="ET510" s="32"/>
      <c r="EU510" s="32"/>
      <c r="EV510" s="32"/>
      <c r="EW510" s="32"/>
      <c r="EX510" s="32"/>
      <c r="EY510" s="32"/>
      <c r="EZ510" s="32"/>
      <c r="FA510" s="32"/>
      <c r="FB510" s="32"/>
      <c r="FC510" s="32"/>
      <c r="FD510" s="32"/>
      <c r="FE510" s="32"/>
      <c r="FF510" s="32"/>
      <c r="FG510" s="32"/>
      <c r="FH510" s="32"/>
      <c r="FI510" s="32"/>
      <c r="FJ510" s="32"/>
      <c r="FK510" s="32"/>
      <c r="FL510" s="32"/>
      <c r="FM510" s="32"/>
      <c r="FN510" s="32"/>
      <c r="FO510" s="32"/>
      <c r="FP510" s="32"/>
      <c r="FQ510" s="32"/>
      <c r="FR510" s="32"/>
      <c r="FS510" s="32"/>
      <c r="FT510" s="32"/>
      <c r="FU510" s="32"/>
      <c r="FV510" s="32"/>
      <c r="FW510" s="32"/>
      <c r="FX510" s="32"/>
      <c r="FY510" s="32"/>
      <c r="FZ510" s="32"/>
      <c r="GA510" s="32"/>
      <c r="GB510" s="32"/>
      <c r="GC510" s="32"/>
      <c r="GD510" s="32"/>
      <c r="GE510" s="32"/>
      <c r="GF510" s="32"/>
      <c r="GG510" s="32"/>
      <c r="GH510" s="32"/>
      <c r="GI510" s="32"/>
      <c r="GJ510" s="32"/>
      <c r="GK510" s="32"/>
      <c r="GL510" s="32"/>
      <c r="GM510" s="32"/>
      <c r="GN510" s="32"/>
      <c r="GO510" s="32"/>
      <c r="GP510" s="32"/>
      <c r="GQ510" s="32"/>
      <c r="GR510" s="32"/>
      <c r="GS510" s="32"/>
      <c r="GT510" s="32"/>
      <c r="GU510" s="32"/>
      <c r="GV510" s="32"/>
      <c r="GW510" s="32"/>
      <c r="GX510" s="32"/>
      <c r="GY510" s="32"/>
      <c r="GZ510" s="32"/>
      <c r="HA510" s="32"/>
      <c r="HB510" s="32"/>
      <c r="HC510" s="32"/>
      <c r="HD510" s="32"/>
      <c r="HE510" s="32"/>
      <c r="HF510" s="32"/>
      <c r="HG510" s="32"/>
      <c r="HH510" s="32"/>
      <c r="HI510" s="32"/>
      <c r="HJ510" s="32"/>
      <c r="HK510" s="32"/>
      <c r="HL510" s="32"/>
      <c r="HM510" s="32"/>
      <c r="HN510" s="32"/>
      <c r="HO510" s="32"/>
      <c r="HP510" s="32"/>
    </row>
    <row r="511" spans="1:224" x14ac:dyDescent="0.25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2"/>
      <c r="BB511" s="32"/>
      <c r="BC511" s="32"/>
      <c r="BD511" s="32"/>
      <c r="BE511" s="32"/>
      <c r="BF511" s="32"/>
      <c r="BG511" s="32"/>
      <c r="BH511" s="32"/>
      <c r="BI511" s="32"/>
      <c r="BJ511" s="32"/>
      <c r="BK511" s="32"/>
      <c r="BL511" s="32"/>
      <c r="BM511" s="32"/>
      <c r="BN511" s="32"/>
      <c r="BO511" s="32"/>
      <c r="BP511" s="32"/>
      <c r="BQ511" s="32"/>
      <c r="BR511" s="32"/>
      <c r="BS511" s="32"/>
      <c r="BT511" s="32"/>
      <c r="BU511" s="32"/>
      <c r="BV511" s="32"/>
      <c r="BW511" s="32"/>
      <c r="BX511" s="32"/>
      <c r="BY511" s="32"/>
      <c r="BZ511" s="32"/>
      <c r="CA511" s="32"/>
      <c r="CB511" s="32"/>
      <c r="CC511" s="32"/>
      <c r="CD511" s="32"/>
      <c r="CE511" s="32"/>
      <c r="CF511" s="32"/>
      <c r="CG511" s="32"/>
      <c r="CH511" s="32"/>
      <c r="CI511" s="32"/>
      <c r="CJ511" s="32"/>
      <c r="CK511" s="32"/>
      <c r="CL511" s="32"/>
      <c r="CM511" s="32"/>
      <c r="CN511" s="32"/>
      <c r="CO511" s="32"/>
      <c r="CP511" s="32"/>
      <c r="CQ511" s="32"/>
      <c r="CR511" s="32"/>
      <c r="CS511" s="32"/>
      <c r="CT511" s="32"/>
      <c r="CU511" s="32"/>
      <c r="CV511" s="32"/>
      <c r="CW511" s="32"/>
      <c r="CX511" s="32"/>
      <c r="CY511" s="32"/>
      <c r="CZ511" s="32"/>
      <c r="DA511" s="32"/>
      <c r="DB511" s="32"/>
      <c r="DC511" s="32"/>
      <c r="DD511" s="32"/>
      <c r="DE511" s="32"/>
      <c r="DF511" s="32"/>
      <c r="DG511" s="32"/>
      <c r="DH511" s="32"/>
      <c r="DI511" s="32"/>
      <c r="DJ511" s="32"/>
      <c r="DK511" s="32"/>
      <c r="DL511" s="32"/>
      <c r="DM511" s="32"/>
      <c r="DN511" s="32"/>
      <c r="DO511" s="32"/>
      <c r="DP511" s="32"/>
      <c r="DQ511" s="32"/>
      <c r="DR511" s="32"/>
      <c r="DS511" s="32"/>
      <c r="DT511" s="32"/>
      <c r="DU511" s="32"/>
      <c r="DV511" s="32"/>
      <c r="DW511" s="32"/>
      <c r="DX511" s="32"/>
      <c r="DY511" s="32"/>
      <c r="DZ511" s="32"/>
      <c r="EA511" s="32"/>
      <c r="EB511" s="32"/>
      <c r="EC511" s="32"/>
      <c r="ED511" s="32"/>
      <c r="EE511" s="32"/>
      <c r="EF511" s="32"/>
      <c r="EG511" s="32"/>
      <c r="EH511" s="32"/>
      <c r="EI511" s="32"/>
      <c r="EJ511" s="32"/>
      <c r="EK511" s="32"/>
      <c r="EL511" s="32"/>
      <c r="EM511" s="32"/>
      <c r="EN511" s="32"/>
      <c r="EO511" s="32"/>
      <c r="EP511" s="32"/>
      <c r="EQ511" s="32"/>
      <c r="ER511" s="32"/>
      <c r="ES511" s="32"/>
      <c r="ET511" s="32"/>
      <c r="EU511" s="32"/>
      <c r="EV511" s="32"/>
      <c r="EW511" s="32"/>
      <c r="EX511" s="32"/>
      <c r="EY511" s="32"/>
      <c r="EZ511" s="32"/>
      <c r="FA511" s="32"/>
      <c r="FB511" s="32"/>
      <c r="FC511" s="32"/>
      <c r="FD511" s="32"/>
      <c r="FE511" s="32"/>
      <c r="FF511" s="32"/>
      <c r="FG511" s="32"/>
      <c r="FH511" s="32"/>
      <c r="FI511" s="32"/>
      <c r="FJ511" s="32"/>
      <c r="FK511" s="32"/>
      <c r="FL511" s="32"/>
      <c r="FM511" s="32"/>
      <c r="FN511" s="32"/>
      <c r="FO511" s="32"/>
      <c r="FP511" s="32"/>
      <c r="FQ511" s="32"/>
      <c r="FR511" s="32"/>
      <c r="FS511" s="32"/>
      <c r="FT511" s="32"/>
      <c r="FU511" s="32"/>
      <c r="FV511" s="32"/>
      <c r="FW511" s="32"/>
      <c r="FX511" s="32"/>
      <c r="FY511" s="32"/>
      <c r="FZ511" s="32"/>
      <c r="GA511" s="32"/>
      <c r="GB511" s="32"/>
      <c r="GC511" s="32"/>
      <c r="GD511" s="32"/>
      <c r="GE511" s="32"/>
      <c r="GF511" s="32"/>
      <c r="GG511" s="32"/>
      <c r="GH511" s="32"/>
      <c r="GI511" s="32"/>
      <c r="GJ511" s="32"/>
      <c r="GK511" s="32"/>
      <c r="GL511" s="32"/>
      <c r="GM511" s="32"/>
      <c r="GN511" s="32"/>
      <c r="GO511" s="32"/>
      <c r="GP511" s="32"/>
      <c r="GQ511" s="32"/>
      <c r="GR511" s="32"/>
      <c r="GS511" s="32"/>
      <c r="GT511" s="32"/>
      <c r="GU511" s="32"/>
      <c r="GV511" s="32"/>
      <c r="GW511" s="32"/>
      <c r="GX511" s="32"/>
      <c r="GY511" s="32"/>
      <c r="GZ511" s="32"/>
      <c r="HA511" s="32"/>
      <c r="HB511" s="32"/>
      <c r="HC511" s="32"/>
      <c r="HD511" s="32"/>
      <c r="HE511" s="32"/>
      <c r="HF511" s="32"/>
      <c r="HG511" s="32"/>
      <c r="HH511" s="32"/>
      <c r="HI511" s="32"/>
      <c r="HJ511" s="32"/>
      <c r="HK511" s="32"/>
      <c r="HL511" s="32"/>
      <c r="HM511" s="32"/>
      <c r="HN511" s="32"/>
      <c r="HO511" s="32"/>
      <c r="HP511" s="32"/>
    </row>
    <row r="512" spans="1:224" x14ac:dyDescent="0.25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2"/>
      <c r="BB512" s="32"/>
      <c r="BC512" s="32"/>
      <c r="BD512" s="32"/>
      <c r="BE512" s="32"/>
      <c r="BF512" s="32"/>
      <c r="BG512" s="32"/>
      <c r="BH512" s="32"/>
      <c r="BI512" s="32"/>
      <c r="BJ512" s="32"/>
      <c r="BK512" s="32"/>
      <c r="BL512" s="32"/>
      <c r="BM512" s="32"/>
      <c r="BN512" s="32"/>
      <c r="BO512" s="32"/>
      <c r="BP512" s="32"/>
      <c r="BQ512" s="32"/>
      <c r="BR512" s="32"/>
      <c r="BS512" s="32"/>
      <c r="BT512" s="32"/>
      <c r="BU512" s="32"/>
      <c r="BV512" s="32"/>
      <c r="BW512" s="32"/>
      <c r="BX512" s="32"/>
      <c r="BY512" s="32"/>
      <c r="BZ512" s="32"/>
      <c r="CA512" s="32"/>
      <c r="CB512" s="32"/>
      <c r="CC512" s="32"/>
      <c r="CD512" s="32"/>
      <c r="CE512" s="32"/>
      <c r="CF512" s="32"/>
      <c r="CG512" s="32"/>
      <c r="CH512" s="32"/>
      <c r="CI512" s="32"/>
      <c r="CJ512" s="32"/>
      <c r="CK512" s="32"/>
      <c r="CL512" s="32"/>
      <c r="CM512" s="32"/>
      <c r="CN512" s="32"/>
      <c r="CO512" s="32"/>
      <c r="CP512" s="32"/>
      <c r="CQ512" s="32"/>
      <c r="CR512" s="32"/>
      <c r="CS512" s="32"/>
      <c r="CT512" s="32"/>
      <c r="CU512" s="32"/>
      <c r="CV512" s="32"/>
      <c r="CW512" s="32"/>
      <c r="CX512" s="32"/>
      <c r="CY512" s="32"/>
      <c r="CZ512" s="32"/>
      <c r="DA512" s="32"/>
      <c r="DB512" s="32"/>
      <c r="DC512" s="32"/>
      <c r="DD512" s="32"/>
      <c r="DE512" s="32"/>
      <c r="DF512" s="32"/>
      <c r="DG512" s="32"/>
      <c r="DH512" s="32"/>
      <c r="DI512" s="32"/>
      <c r="DJ512" s="32"/>
      <c r="DK512" s="32"/>
      <c r="DL512" s="32"/>
      <c r="DM512" s="32"/>
      <c r="DN512" s="32"/>
      <c r="DO512" s="32"/>
      <c r="DP512" s="32"/>
      <c r="DQ512" s="32"/>
      <c r="DR512" s="32"/>
      <c r="DS512" s="32"/>
      <c r="DT512" s="32"/>
      <c r="DU512" s="32"/>
      <c r="DV512" s="32"/>
      <c r="DW512" s="32"/>
      <c r="DX512" s="32"/>
      <c r="DY512" s="32"/>
      <c r="DZ512" s="32"/>
      <c r="EA512" s="32"/>
      <c r="EB512" s="32"/>
      <c r="EC512" s="32"/>
      <c r="ED512" s="32"/>
      <c r="EE512" s="32"/>
      <c r="EF512" s="32"/>
      <c r="EG512" s="32"/>
      <c r="EH512" s="32"/>
      <c r="EI512" s="32"/>
      <c r="EJ512" s="32"/>
      <c r="EK512" s="32"/>
      <c r="EL512" s="32"/>
      <c r="EM512" s="32"/>
      <c r="EN512" s="32"/>
      <c r="EO512" s="32"/>
      <c r="EP512" s="32"/>
      <c r="EQ512" s="32"/>
      <c r="ER512" s="32"/>
      <c r="ES512" s="32"/>
      <c r="ET512" s="32"/>
      <c r="EU512" s="32"/>
      <c r="EV512" s="32"/>
      <c r="EW512" s="32"/>
      <c r="EX512" s="32"/>
      <c r="EY512" s="32"/>
      <c r="EZ512" s="32"/>
      <c r="FA512" s="32"/>
      <c r="FB512" s="32"/>
      <c r="FC512" s="32"/>
      <c r="FD512" s="32"/>
      <c r="FE512" s="32"/>
      <c r="FF512" s="32"/>
      <c r="FG512" s="32"/>
      <c r="FH512" s="32"/>
      <c r="FI512" s="32"/>
      <c r="FJ512" s="32"/>
      <c r="FK512" s="32"/>
      <c r="FL512" s="32"/>
      <c r="FM512" s="32"/>
      <c r="FN512" s="32"/>
      <c r="FO512" s="32"/>
      <c r="FP512" s="32"/>
      <c r="FQ512" s="32"/>
      <c r="FR512" s="32"/>
      <c r="FS512" s="32"/>
      <c r="FT512" s="32"/>
      <c r="FU512" s="32"/>
      <c r="FV512" s="32"/>
      <c r="FW512" s="32"/>
      <c r="FX512" s="32"/>
      <c r="FY512" s="32"/>
      <c r="FZ512" s="32"/>
      <c r="GA512" s="32"/>
      <c r="GB512" s="32"/>
      <c r="GC512" s="32"/>
      <c r="GD512" s="32"/>
      <c r="GE512" s="32"/>
      <c r="GF512" s="32"/>
      <c r="GG512" s="32"/>
      <c r="GH512" s="32"/>
      <c r="GI512" s="32"/>
      <c r="GJ512" s="32"/>
      <c r="GK512" s="32"/>
      <c r="GL512" s="32"/>
      <c r="GM512" s="32"/>
      <c r="GN512" s="32"/>
      <c r="GO512" s="32"/>
      <c r="GP512" s="32"/>
      <c r="GQ512" s="32"/>
      <c r="GR512" s="32"/>
      <c r="GS512" s="32"/>
      <c r="GT512" s="32"/>
      <c r="GU512" s="32"/>
      <c r="GV512" s="32"/>
      <c r="GW512" s="32"/>
      <c r="GX512" s="32"/>
      <c r="GY512" s="32"/>
      <c r="GZ512" s="32"/>
      <c r="HA512" s="32"/>
      <c r="HB512" s="32"/>
      <c r="HC512" s="32"/>
      <c r="HD512" s="32"/>
      <c r="HE512" s="32"/>
      <c r="HF512" s="32"/>
      <c r="HG512" s="32"/>
      <c r="HH512" s="32"/>
      <c r="HI512" s="32"/>
      <c r="HJ512" s="32"/>
      <c r="HK512" s="32"/>
      <c r="HL512" s="32"/>
      <c r="HM512" s="32"/>
      <c r="HN512" s="32"/>
      <c r="HO512" s="32"/>
      <c r="HP512" s="32"/>
    </row>
    <row r="513" spans="1:224" x14ac:dyDescent="0.25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2"/>
      <c r="BB513" s="32"/>
      <c r="BC513" s="32"/>
      <c r="BD513" s="32"/>
      <c r="BE513" s="32"/>
      <c r="BF513" s="32"/>
      <c r="BG513" s="32"/>
      <c r="BH513" s="32"/>
      <c r="BI513" s="32"/>
      <c r="BJ513" s="32"/>
      <c r="BK513" s="32"/>
      <c r="BL513" s="32"/>
      <c r="BM513" s="32"/>
      <c r="BN513" s="32"/>
      <c r="BO513" s="32"/>
      <c r="BP513" s="32"/>
      <c r="BQ513" s="32"/>
      <c r="BR513" s="32"/>
      <c r="BS513" s="32"/>
      <c r="BT513" s="32"/>
      <c r="BU513" s="32"/>
      <c r="BV513" s="32"/>
      <c r="BW513" s="32"/>
      <c r="BX513" s="32"/>
      <c r="BY513" s="32"/>
      <c r="BZ513" s="32"/>
      <c r="CA513" s="32"/>
      <c r="CB513" s="32"/>
      <c r="CC513" s="32"/>
      <c r="CD513" s="32"/>
      <c r="CE513" s="32"/>
      <c r="CF513" s="32"/>
      <c r="CG513" s="32"/>
      <c r="CH513" s="32"/>
      <c r="CI513" s="32"/>
      <c r="CJ513" s="32"/>
      <c r="CK513" s="32"/>
      <c r="CL513" s="32"/>
      <c r="CM513" s="32"/>
      <c r="CN513" s="32"/>
      <c r="CO513" s="32"/>
      <c r="CP513" s="32"/>
      <c r="CQ513" s="32"/>
      <c r="CR513" s="32"/>
      <c r="CS513" s="32"/>
      <c r="CT513" s="32"/>
      <c r="CU513" s="32"/>
      <c r="CV513" s="32"/>
      <c r="CW513" s="32"/>
      <c r="CX513" s="32"/>
      <c r="CY513" s="32"/>
      <c r="CZ513" s="32"/>
      <c r="DA513" s="32"/>
      <c r="DB513" s="32"/>
      <c r="DC513" s="32"/>
      <c r="DD513" s="32"/>
      <c r="DE513" s="32"/>
      <c r="DF513" s="32"/>
      <c r="DG513" s="32"/>
      <c r="DH513" s="32"/>
      <c r="DI513" s="32"/>
      <c r="DJ513" s="32"/>
      <c r="DK513" s="32"/>
      <c r="DL513" s="32"/>
      <c r="DM513" s="32"/>
      <c r="DN513" s="32"/>
      <c r="DO513" s="32"/>
      <c r="DP513" s="32"/>
      <c r="DQ513" s="32"/>
      <c r="DR513" s="32"/>
      <c r="DS513" s="32"/>
      <c r="DT513" s="32"/>
      <c r="DU513" s="32"/>
      <c r="DV513" s="32"/>
      <c r="DW513" s="32"/>
      <c r="DX513" s="32"/>
      <c r="DY513" s="32"/>
      <c r="DZ513" s="32"/>
      <c r="EA513" s="32"/>
      <c r="EB513" s="32"/>
      <c r="EC513" s="32"/>
      <c r="ED513" s="32"/>
      <c r="EE513" s="32"/>
      <c r="EF513" s="32"/>
      <c r="EG513" s="32"/>
      <c r="EH513" s="32"/>
      <c r="EI513" s="32"/>
      <c r="EJ513" s="32"/>
      <c r="EK513" s="32"/>
      <c r="EL513" s="32"/>
      <c r="EM513" s="32"/>
      <c r="EN513" s="32"/>
      <c r="EO513" s="32"/>
      <c r="EP513" s="32"/>
      <c r="EQ513" s="32"/>
      <c r="ER513" s="32"/>
      <c r="ES513" s="32"/>
      <c r="ET513" s="32"/>
      <c r="EU513" s="32"/>
      <c r="EV513" s="32"/>
      <c r="EW513" s="32"/>
      <c r="EX513" s="32"/>
      <c r="EY513" s="32"/>
      <c r="EZ513" s="32"/>
      <c r="FA513" s="32"/>
      <c r="FB513" s="32"/>
      <c r="FC513" s="32"/>
      <c r="FD513" s="32"/>
      <c r="FE513" s="32"/>
      <c r="FF513" s="32"/>
      <c r="FG513" s="32"/>
      <c r="FH513" s="32"/>
      <c r="FI513" s="32"/>
      <c r="FJ513" s="32"/>
      <c r="FK513" s="32"/>
      <c r="FL513" s="32"/>
      <c r="FM513" s="32"/>
      <c r="FN513" s="32"/>
      <c r="FO513" s="32"/>
      <c r="FP513" s="32"/>
      <c r="FQ513" s="32"/>
      <c r="FR513" s="32"/>
      <c r="FS513" s="32"/>
      <c r="FT513" s="32"/>
      <c r="FU513" s="32"/>
      <c r="FV513" s="32"/>
      <c r="FW513" s="32"/>
      <c r="FX513" s="32"/>
      <c r="FY513" s="32"/>
      <c r="FZ513" s="32"/>
      <c r="GA513" s="32"/>
      <c r="GB513" s="32"/>
      <c r="GC513" s="32"/>
      <c r="GD513" s="32"/>
      <c r="GE513" s="32"/>
      <c r="GF513" s="32"/>
      <c r="GG513" s="32"/>
      <c r="GH513" s="32"/>
      <c r="GI513" s="32"/>
      <c r="GJ513" s="32"/>
      <c r="GK513" s="32"/>
      <c r="GL513" s="32"/>
      <c r="GM513" s="32"/>
      <c r="GN513" s="32"/>
      <c r="GO513" s="32"/>
      <c r="GP513" s="32"/>
      <c r="GQ513" s="32"/>
      <c r="GR513" s="32"/>
      <c r="GS513" s="32"/>
      <c r="GT513" s="32"/>
      <c r="GU513" s="32"/>
      <c r="GV513" s="32"/>
      <c r="GW513" s="32"/>
      <c r="GX513" s="32"/>
      <c r="GY513" s="32"/>
      <c r="GZ513" s="32"/>
      <c r="HA513" s="32"/>
      <c r="HB513" s="32"/>
      <c r="HC513" s="32"/>
      <c r="HD513" s="32"/>
      <c r="HE513" s="32"/>
      <c r="HF513" s="32"/>
      <c r="HG513" s="32"/>
      <c r="HH513" s="32"/>
      <c r="HI513" s="32"/>
      <c r="HJ513" s="32"/>
      <c r="HK513" s="32"/>
      <c r="HL513" s="32"/>
      <c r="HM513" s="32"/>
      <c r="HN513" s="32"/>
      <c r="HO513" s="32"/>
      <c r="HP513" s="32"/>
    </row>
    <row r="514" spans="1:224" x14ac:dyDescent="0.25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2"/>
      <c r="BB514" s="32"/>
      <c r="BC514" s="32"/>
      <c r="BD514" s="32"/>
      <c r="BE514" s="32"/>
      <c r="BF514" s="32"/>
      <c r="BG514" s="32"/>
      <c r="BH514" s="32"/>
      <c r="BI514" s="32"/>
      <c r="BJ514" s="32"/>
      <c r="BK514" s="32"/>
      <c r="BL514" s="32"/>
      <c r="BM514" s="32"/>
      <c r="BN514" s="32"/>
      <c r="BO514" s="32"/>
      <c r="BP514" s="32"/>
      <c r="BQ514" s="32"/>
      <c r="BR514" s="32"/>
      <c r="BS514" s="32"/>
      <c r="BT514" s="32"/>
      <c r="BU514" s="32"/>
      <c r="BV514" s="32"/>
      <c r="BW514" s="32"/>
      <c r="BX514" s="32"/>
      <c r="BY514" s="32"/>
      <c r="BZ514" s="32"/>
      <c r="CA514" s="32"/>
      <c r="CB514" s="32"/>
      <c r="CC514" s="32"/>
      <c r="CD514" s="32"/>
      <c r="CE514" s="32"/>
      <c r="CF514" s="32"/>
      <c r="CG514" s="32"/>
      <c r="CH514" s="32"/>
      <c r="CI514" s="32"/>
      <c r="CJ514" s="32"/>
      <c r="CK514" s="32"/>
      <c r="CL514" s="32"/>
      <c r="CM514" s="32"/>
      <c r="CN514" s="32"/>
      <c r="CO514" s="32"/>
      <c r="CP514" s="32"/>
      <c r="CQ514" s="32"/>
      <c r="CR514" s="32"/>
      <c r="CS514" s="32"/>
      <c r="CT514" s="32"/>
      <c r="CU514" s="32"/>
      <c r="CV514" s="32"/>
      <c r="CW514" s="32"/>
      <c r="CX514" s="32"/>
      <c r="CY514" s="32"/>
      <c r="CZ514" s="32"/>
      <c r="DA514" s="32"/>
      <c r="DB514" s="32"/>
      <c r="DC514" s="32"/>
      <c r="DD514" s="32"/>
      <c r="DE514" s="32"/>
      <c r="DF514" s="32"/>
      <c r="DG514" s="32"/>
      <c r="DH514" s="32"/>
      <c r="DI514" s="32"/>
      <c r="DJ514" s="32"/>
      <c r="DK514" s="32"/>
      <c r="DL514" s="32"/>
      <c r="DM514" s="32"/>
      <c r="DN514" s="32"/>
      <c r="DO514" s="32"/>
      <c r="DP514" s="32"/>
      <c r="DQ514" s="32"/>
      <c r="DR514" s="32"/>
      <c r="DS514" s="32"/>
      <c r="DT514" s="32"/>
      <c r="DU514" s="32"/>
      <c r="DV514" s="32"/>
      <c r="DW514" s="32"/>
      <c r="DX514" s="32"/>
      <c r="DY514" s="32"/>
      <c r="DZ514" s="32"/>
      <c r="EA514" s="32"/>
      <c r="EB514" s="32"/>
      <c r="EC514" s="32"/>
      <c r="ED514" s="32"/>
      <c r="EE514" s="32"/>
      <c r="EF514" s="32"/>
      <c r="EG514" s="32"/>
      <c r="EH514" s="32"/>
      <c r="EI514" s="32"/>
      <c r="EJ514" s="32"/>
      <c r="EK514" s="32"/>
      <c r="EL514" s="32"/>
      <c r="EM514" s="32"/>
      <c r="EN514" s="32"/>
      <c r="EO514" s="32"/>
      <c r="EP514" s="32"/>
      <c r="EQ514" s="32"/>
      <c r="ER514" s="32"/>
      <c r="ES514" s="32"/>
      <c r="ET514" s="32"/>
      <c r="EU514" s="32"/>
      <c r="EV514" s="32"/>
      <c r="EW514" s="32"/>
      <c r="EX514" s="32"/>
      <c r="EY514" s="32"/>
      <c r="EZ514" s="32"/>
      <c r="FA514" s="32"/>
      <c r="FB514" s="32"/>
      <c r="FC514" s="32"/>
      <c r="FD514" s="32"/>
      <c r="FE514" s="32"/>
      <c r="FF514" s="32"/>
      <c r="FG514" s="32"/>
      <c r="FH514" s="32"/>
      <c r="FI514" s="32"/>
      <c r="FJ514" s="32"/>
      <c r="FK514" s="32"/>
      <c r="FL514" s="32"/>
      <c r="FM514" s="32"/>
      <c r="FN514" s="32"/>
      <c r="FO514" s="32"/>
      <c r="FP514" s="32"/>
      <c r="FQ514" s="32"/>
      <c r="FR514" s="32"/>
      <c r="FS514" s="32"/>
      <c r="FT514" s="32"/>
      <c r="FU514" s="32"/>
      <c r="FV514" s="32"/>
      <c r="FW514" s="32"/>
      <c r="FX514" s="32"/>
      <c r="FY514" s="32"/>
      <c r="FZ514" s="32"/>
      <c r="GA514" s="32"/>
      <c r="GB514" s="32"/>
      <c r="GC514" s="32"/>
      <c r="GD514" s="32"/>
      <c r="GE514" s="32"/>
      <c r="GF514" s="32"/>
      <c r="GG514" s="32"/>
      <c r="GH514" s="32"/>
      <c r="GI514" s="32"/>
      <c r="GJ514" s="32"/>
      <c r="GK514" s="32"/>
      <c r="GL514" s="32"/>
      <c r="GM514" s="32"/>
      <c r="GN514" s="32"/>
      <c r="GO514" s="32"/>
      <c r="GP514" s="32"/>
      <c r="GQ514" s="32"/>
      <c r="GR514" s="32"/>
      <c r="GS514" s="32"/>
      <c r="GT514" s="32"/>
      <c r="GU514" s="32"/>
      <c r="GV514" s="32"/>
      <c r="GW514" s="32"/>
      <c r="GX514" s="32"/>
      <c r="GY514" s="32"/>
      <c r="GZ514" s="32"/>
      <c r="HA514" s="32"/>
      <c r="HB514" s="32"/>
      <c r="HC514" s="32"/>
      <c r="HD514" s="32"/>
      <c r="HE514" s="32"/>
      <c r="HF514" s="32"/>
      <c r="HG514" s="32"/>
      <c r="HH514" s="32"/>
      <c r="HI514" s="32"/>
      <c r="HJ514" s="32"/>
      <c r="HK514" s="32"/>
      <c r="HL514" s="32"/>
      <c r="HM514" s="32"/>
      <c r="HN514" s="32"/>
      <c r="HO514" s="32"/>
      <c r="HP514" s="32"/>
    </row>
    <row r="515" spans="1:224" x14ac:dyDescent="0.2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2"/>
      <c r="BB515" s="32"/>
      <c r="BC515" s="32"/>
      <c r="BD515" s="32"/>
      <c r="BE515" s="32"/>
      <c r="BF515" s="32"/>
      <c r="BG515" s="32"/>
      <c r="BH515" s="32"/>
      <c r="BI515" s="32"/>
      <c r="BJ515" s="32"/>
      <c r="BK515" s="32"/>
      <c r="BL515" s="32"/>
      <c r="BM515" s="32"/>
      <c r="BN515" s="32"/>
      <c r="BO515" s="32"/>
      <c r="BP515" s="32"/>
      <c r="BQ515" s="32"/>
      <c r="BR515" s="32"/>
      <c r="BS515" s="32"/>
      <c r="BT515" s="32"/>
      <c r="BU515" s="32"/>
      <c r="BV515" s="32"/>
      <c r="BW515" s="32"/>
      <c r="BX515" s="32"/>
      <c r="BY515" s="32"/>
      <c r="BZ515" s="32"/>
      <c r="CA515" s="32"/>
      <c r="CB515" s="32"/>
      <c r="CC515" s="32"/>
      <c r="CD515" s="32"/>
      <c r="CE515" s="32"/>
      <c r="CF515" s="32"/>
      <c r="CG515" s="32"/>
      <c r="CH515" s="32"/>
      <c r="CI515" s="32"/>
      <c r="CJ515" s="32"/>
      <c r="CK515" s="32"/>
      <c r="CL515" s="32"/>
      <c r="CM515" s="32"/>
      <c r="CN515" s="32"/>
      <c r="CO515" s="32"/>
      <c r="CP515" s="32"/>
      <c r="CQ515" s="32"/>
      <c r="CR515" s="32"/>
      <c r="CS515" s="32"/>
      <c r="CT515" s="32"/>
      <c r="CU515" s="32"/>
      <c r="CV515" s="32"/>
      <c r="CW515" s="32"/>
      <c r="CX515" s="32"/>
      <c r="CY515" s="32"/>
      <c r="CZ515" s="32"/>
      <c r="DA515" s="32"/>
      <c r="DB515" s="32"/>
      <c r="DC515" s="32"/>
      <c r="DD515" s="32"/>
      <c r="DE515" s="32"/>
      <c r="DF515" s="32"/>
      <c r="DG515" s="32"/>
      <c r="DH515" s="32"/>
      <c r="DI515" s="32"/>
      <c r="DJ515" s="32"/>
      <c r="DK515" s="32"/>
      <c r="DL515" s="32"/>
      <c r="DM515" s="32"/>
      <c r="DN515" s="32"/>
      <c r="DO515" s="32"/>
      <c r="DP515" s="32"/>
      <c r="DQ515" s="32"/>
      <c r="DR515" s="32"/>
      <c r="DS515" s="32"/>
      <c r="DT515" s="32"/>
      <c r="DU515" s="32"/>
      <c r="DV515" s="32"/>
      <c r="DW515" s="32"/>
      <c r="DX515" s="32"/>
      <c r="DY515" s="32"/>
      <c r="DZ515" s="32"/>
      <c r="EA515" s="32"/>
      <c r="EB515" s="32"/>
      <c r="EC515" s="32"/>
      <c r="ED515" s="32"/>
      <c r="EE515" s="32"/>
      <c r="EF515" s="32"/>
      <c r="EG515" s="32"/>
      <c r="EH515" s="32"/>
      <c r="EI515" s="32"/>
      <c r="EJ515" s="32"/>
      <c r="EK515" s="32"/>
      <c r="EL515" s="32"/>
      <c r="EM515" s="32"/>
      <c r="EN515" s="32"/>
      <c r="EO515" s="32"/>
      <c r="EP515" s="32"/>
      <c r="EQ515" s="32"/>
      <c r="ER515" s="32"/>
      <c r="ES515" s="32"/>
      <c r="ET515" s="32"/>
      <c r="EU515" s="32"/>
      <c r="EV515" s="32"/>
      <c r="EW515" s="32"/>
      <c r="EX515" s="32"/>
      <c r="EY515" s="32"/>
      <c r="EZ515" s="32"/>
      <c r="FA515" s="32"/>
      <c r="FB515" s="32"/>
      <c r="FC515" s="32"/>
      <c r="FD515" s="32"/>
      <c r="FE515" s="32"/>
      <c r="FF515" s="32"/>
      <c r="FG515" s="32"/>
      <c r="FH515" s="32"/>
      <c r="FI515" s="32"/>
      <c r="FJ515" s="32"/>
      <c r="FK515" s="32"/>
      <c r="FL515" s="32"/>
      <c r="FM515" s="32"/>
      <c r="FN515" s="32"/>
      <c r="FO515" s="32"/>
      <c r="FP515" s="32"/>
      <c r="FQ515" s="32"/>
      <c r="FR515" s="32"/>
      <c r="FS515" s="32"/>
      <c r="FT515" s="32"/>
      <c r="FU515" s="32"/>
      <c r="FV515" s="32"/>
      <c r="FW515" s="32"/>
      <c r="FX515" s="32"/>
      <c r="FY515" s="32"/>
      <c r="FZ515" s="32"/>
      <c r="GA515" s="32"/>
      <c r="GB515" s="32"/>
      <c r="GC515" s="32"/>
      <c r="GD515" s="32"/>
      <c r="GE515" s="32"/>
      <c r="GF515" s="32"/>
      <c r="GG515" s="32"/>
      <c r="GH515" s="32"/>
      <c r="GI515" s="32"/>
      <c r="GJ515" s="32"/>
      <c r="GK515" s="32"/>
      <c r="GL515" s="32"/>
      <c r="GM515" s="32"/>
      <c r="GN515" s="32"/>
      <c r="GO515" s="32"/>
      <c r="GP515" s="32"/>
      <c r="GQ515" s="32"/>
      <c r="GR515" s="32"/>
      <c r="GS515" s="32"/>
      <c r="GT515" s="32"/>
      <c r="GU515" s="32"/>
      <c r="GV515" s="32"/>
      <c r="GW515" s="32"/>
      <c r="GX515" s="32"/>
      <c r="GY515" s="32"/>
      <c r="GZ515" s="32"/>
      <c r="HA515" s="32"/>
      <c r="HB515" s="32"/>
      <c r="HC515" s="32"/>
      <c r="HD515" s="32"/>
      <c r="HE515" s="32"/>
      <c r="HF515" s="32"/>
      <c r="HG515" s="32"/>
      <c r="HH515" s="32"/>
      <c r="HI515" s="32"/>
      <c r="HJ515" s="32"/>
      <c r="HK515" s="32"/>
      <c r="HL515" s="32"/>
      <c r="HM515" s="32"/>
      <c r="HN515" s="32"/>
      <c r="HO515" s="32"/>
      <c r="HP515" s="32"/>
    </row>
    <row r="516" spans="1:224" x14ac:dyDescent="0.25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2"/>
      <c r="BB516" s="32"/>
      <c r="BC516" s="32"/>
      <c r="BD516" s="32"/>
      <c r="BE516" s="32"/>
      <c r="BF516" s="32"/>
      <c r="BG516" s="32"/>
      <c r="BH516" s="32"/>
      <c r="BI516" s="32"/>
      <c r="BJ516" s="32"/>
      <c r="BK516" s="32"/>
      <c r="BL516" s="32"/>
      <c r="BM516" s="32"/>
      <c r="BN516" s="32"/>
      <c r="BO516" s="32"/>
      <c r="BP516" s="32"/>
      <c r="BQ516" s="32"/>
      <c r="BR516" s="32"/>
      <c r="BS516" s="32"/>
      <c r="BT516" s="32"/>
      <c r="BU516" s="32"/>
      <c r="BV516" s="32"/>
      <c r="BW516" s="32"/>
      <c r="BX516" s="32"/>
      <c r="BY516" s="32"/>
      <c r="BZ516" s="32"/>
      <c r="CA516" s="32"/>
      <c r="CB516" s="32"/>
      <c r="CC516" s="32"/>
      <c r="CD516" s="32"/>
      <c r="CE516" s="32"/>
      <c r="CF516" s="32"/>
      <c r="CG516" s="32"/>
      <c r="CH516" s="32"/>
      <c r="CI516" s="32"/>
      <c r="CJ516" s="32"/>
      <c r="CK516" s="32"/>
      <c r="CL516" s="32"/>
      <c r="CM516" s="32"/>
      <c r="CN516" s="32"/>
      <c r="CO516" s="32"/>
      <c r="CP516" s="32"/>
      <c r="CQ516" s="32"/>
      <c r="CR516" s="32"/>
      <c r="CS516" s="32"/>
      <c r="CT516" s="32"/>
      <c r="CU516" s="32"/>
      <c r="CV516" s="32"/>
      <c r="CW516" s="32"/>
      <c r="CX516" s="32"/>
      <c r="CY516" s="32"/>
      <c r="CZ516" s="32"/>
      <c r="DA516" s="32"/>
      <c r="DB516" s="32"/>
      <c r="DC516" s="32"/>
      <c r="DD516" s="32"/>
      <c r="DE516" s="32"/>
      <c r="DF516" s="32"/>
      <c r="DG516" s="32"/>
      <c r="DH516" s="32"/>
      <c r="DI516" s="32"/>
      <c r="DJ516" s="32"/>
      <c r="DK516" s="32"/>
      <c r="DL516" s="32"/>
      <c r="DM516" s="32"/>
      <c r="DN516" s="32"/>
      <c r="DO516" s="32"/>
      <c r="DP516" s="32"/>
      <c r="DQ516" s="32"/>
      <c r="DR516" s="32"/>
      <c r="DS516" s="32"/>
      <c r="DT516" s="32"/>
      <c r="DU516" s="32"/>
      <c r="DV516" s="32"/>
      <c r="DW516" s="32"/>
      <c r="DX516" s="32"/>
      <c r="DY516" s="32"/>
      <c r="DZ516" s="32"/>
      <c r="EA516" s="32"/>
      <c r="EB516" s="32"/>
      <c r="EC516" s="32"/>
      <c r="ED516" s="32"/>
      <c r="EE516" s="32"/>
      <c r="EF516" s="32"/>
      <c r="EG516" s="32"/>
      <c r="EH516" s="32"/>
      <c r="EI516" s="32"/>
      <c r="EJ516" s="32"/>
      <c r="EK516" s="32"/>
      <c r="EL516" s="32"/>
      <c r="EM516" s="32"/>
      <c r="EN516" s="32"/>
      <c r="EO516" s="32"/>
      <c r="EP516" s="32"/>
      <c r="EQ516" s="32"/>
      <c r="ER516" s="32"/>
      <c r="ES516" s="32"/>
      <c r="ET516" s="32"/>
      <c r="EU516" s="32"/>
      <c r="EV516" s="32"/>
      <c r="EW516" s="32"/>
      <c r="EX516" s="32"/>
      <c r="EY516" s="32"/>
      <c r="EZ516" s="32"/>
      <c r="FA516" s="32"/>
      <c r="FB516" s="32"/>
      <c r="FC516" s="32"/>
      <c r="FD516" s="32"/>
      <c r="FE516" s="32"/>
      <c r="FF516" s="32"/>
      <c r="FG516" s="32"/>
      <c r="FH516" s="32"/>
      <c r="FI516" s="32"/>
      <c r="FJ516" s="32"/>
      <c r="FK516" s="32"/>
      <c r="FL516" s="32"/>
      <c r="FM516" s="32"/>
      <c r="FN516" s="32"/>
      <c r="FO516" s="32"/>
      <c r="FP516" s="32"/>
      <c r="FQ516" s="32"/>
      <c r="FR516" s="32"/>
      <c r="FS516" s="32"/>
      <c r="FT516" s="32"/>
      <c r="FU516" s="32"/>
      <c r="FV516" s="32"/>
      <c r="FW516" s="32"/>
      <c r="FX516" s="32"/>
      <c r="FY516" s="32"/>
      <c r="FZ516" s="32"/>
      <c r="GA516" s="32"/>
      <c r="GB516" s="32"/>
      <c r="GC516" s="32"/>
      <c r="GD516" s="32"/>
      <c r="GE516" s="32"/>
      <c r="GF516" s="32"/>
      <c r="GG516" s="32"/>
      <c r="GH516" s="32"/>
      <c r="GI516" s="32"/>
      <c r="GJ516" s="32"/>
      <c r="GK516" s="32"/>
      <c r="GL516" s="32"/>
      <c r="GM516" s="32"/>
      <c r="GN516" s="32"/>
      <c r="GO516" s="32"/>
      <c r="GP516" s="32"/>
      <c r="GQ516" s="32"/>
      <c r="GR516" s="32"/>
      <c r="GS516" s="32"/>
      <c r="GT516" s="32"/>
      <c r="GU516" s="32"/>
      <c r="GV516" s="32"/>
      <c r="GW516" s="32"/>
      <c r="GX516" s="32"/>
      <c r="GY516" s="32"/>
      <c r="GZ516" s="32"/>
      <c r="HA516" s="32"/>
      <c r="HB516" s="32"/>
      <c r="HC516" s="32"/>
      <c r="HD516" s="32"/>
      <c r="HE516" s="32"/>
      <c r="HF516" s="32"/>
      <c r="HG516" s="32"/>
      <c r="HH516" s="32"/>
      <c r="HI516" s="32"/>
      <c r="HJ516" s="32"/>
      <c r="HK516" s="32"/>
      <c r="HL516" s="32"/>
      <c r="HM516" s="32"/>
      <c r="HN516" s="32"/>
      <c r="HO516" s="32"/>
      <c r="HP516" s="32"/>
    </row>
    <row r="517" spans="1:224" x14ac:dyDescent="0.25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  <c r="BA517" s="32"/>
      <c r="BB517" s="32"/>
      <c r="BC517" s="32"/>
      <c r="BD517" s="32"/>
      <c r="BE517" s="32"/>
      <c r="BF517" s="32"/>
      <c r="BG517" s="32"/>
      <c r="BH517" s="32"/>
      <c r="BI517" s="32"/>
      <c r="BJ517" s="32"/>
      <c r="BK517" s="32"/>
      <c r="BL517" s="32"/>
      <c r="BM517" s="32"/>
      <c r="BN517" s="32"/>
      <c r="BO517" s="32"/>
      <c r="BP517" s="32"/>
      <c r="BQ517" s="32"/>
      <c r="BR517" s="32"/>
      <c r="BS517" s="32"/>
      <c r="BT517" s="32"/>
      <c r="BU517" s="32"/>
      <c r="BV517" s="32"/>
      <c r="BW517" s="32"/>
      <c r="BX517" s="32"/>
      <c r="BY517" s="32"/>
      <c r="BZ517" s="32"/>
      <c r="CA517" s="32"/>
      <c r="CB517" s="32"/>
      <c r="CC517" s="32"/>
      <c r="CD517" s="32"/>
      <c r="CE517" s="32"/>
      <c r="CF517" s="32"/>
      <c r="CG517" s="32"/>
      <c r="CH517" s="32"/>
      <c r="CI517" s="32"/>
      <c r="CJ517" s="32"/>
      <c r="CK517" s="32"/>
      <c r="CL517" s="32"/>
      <c r="CM517" s="32"/>
      <c r="CN517" s="32"/>
      <c r="CO517" s="32"/>
      <c r="CP517" s="32"/>
      <c r="CQ517" s="32"/>
      <c r="CR517" s="32"/>
      <c r="CS517" s="32"/>
      <c r="CT517" s="32"/>
      <c r="CU517" s="32"/>
      <c r="CV517" s="32"/>
      <c r="CW517" s="32"/>
      <c r="CX517" s="32"/>
      <c r="CY517" s="32"/>
      <c r="CZ517" s="32"/>
      <c r="DA517" s="32"/>
      <c r="DB517" s="32"/>
      <c r="DC517" s="32"/>
      <c r="DD517" s="32"/>
      <c r="DE517" s="32"/>
      <c r="DF517" s="32"/>
      <c r="DG517" s="32"/>
      <c r="DH517" s="32"/>
      <c r="DI517" s="32"/>
      <c r="DJ517" s="32"/>
      <c r="DK517" s="32"/>
      <c r="DL517" s="32"/>
      <c r="DM517" s="32"/>
      <c r="DN517" s="32"/>
      <c r="DO517" s="32"/>
      <c r="DP517" s="32"/>
      <c r="DQ517" s="32"/>
      <c r="DR517" s="32"/>
      <c r="DS517" s="32"/>
      <c r="DT517" s="32"/>
      <c r="DU517" s="32"/>
      <c r="DV517" s="32"/>
      <c r="DW517" s="32"/>
      <c r="DX517" s="32"/>
      <c r="DY517" s="32"/>
      <c r="DZ517" s="32"/>
      <c r="EA517" s="32"/>
      <c r="EB517" s="32"/>
      <c r="EC517" s="32"/>
      <c r="ED517" s="32"/>
      <c r="EE517" s="32"/>
      <c r="EF517" s="32"/>
      <c r="EG517" s="32"/>
      <c r="EH517" s="32"/>
      <c r="EI517" s="32"/>
      <c r="EJ517" s="32"/>
      <c r="EK517" s="32"/>
      <c r="EL517" s="32"/>
      <c r="EM517" s="32"/>
      <c r="EN517" s="32"/>
      <c r="EO517" s="32"/>
      <c r="EP517" s="32"/>
      <c r="EQ517" s="32"/>
      <c r="ER517" s="32"/>
      <c r="ES517" s="32"/>
      <c r="ET517" s="32"/>
      <c r="EU517" s="32"/>
      <c r="EV517" s="32"/>
      <c r="EW517" s="32"/>
      <c r="EX517" s="32"/>
      <c r="EY517" s="32"/>
      <c r="EZ517" s="32"/>
      <c r="FA517" s="32"/>
      <c r="FB517" s="32"/>
      <c r="FC517" s="32"/>
      <c r="FD517" s="32"/>
      <c r="FE517" s="32"/>
      <c r="FF517" s="32"/>
      <c r="FG517" s="32"/>
      <c r="FH517" s="32"/>
      <c r="FI517" s="32"/>
      <c r="FJ517" s="32"/>
      <c r="FK517" s="32"/>
      <c r="FL517" s="32"/>
      <c r="FM517" s="32"/>
      <c r="FN517" s="32"/>
      <c r="FO517" s="32"/>
      <c r="FP517" s="32"/>
      <c r="FQ517" s="32"/>
      <c r="FR517" s="32"/>
      <c r="FS517" s="32"/>
      <c r="FT517" s="32"/>
      <c r="FU517" s="32"/>
      <c r="FV517" s="32"/>
      <c r="FW517" s="32"/>
      <c r="FX517" s="32"/>
      <c r="FY517" s="32"/>
      <c r="FZ517" s="32"/>
      <c r="GA517" s="32"/>
      <c r="GB517" s="32"/>
      <c r="GC517" s="32"/>
      <c r="GD517" s="32"/>
      <c r="GE517" s="32"/>
      <c r="GF517" s="32"/>
      <c r="GG517" s="32"/>
      <c r="GH517" s="32"/>
      <c r="GI517" s="32"/>
      <c r="GJ517" s="32"/>
      <c r="GK517" s="32"/>
      <c r="GL517" s="32"/>
      <c r="GM517" s="32"/>
      <c r="GN517" s="32"/>
      <c r="GO517" s="32"/>
      <c r="GP517" s="32"/>
      <c r="GQ517" s="32"/>
      <c r="GR517" s="32"/>
      <c r="GS517" s="32"/>
      <c r="GT517" s="32"/>
      <c r="GU517" s="32"/>
      <c r="GV517" s="32"/>
      <c r="GW517" s="32"/>
      <c r="GX517" s="32"/>
      <c r="GY517" s="32"/>
      <c r="GZ517" s="32"/>
      <c r="HA517" s="32"/>
      <c r="HB517" s="32"/>
      <c r="HC517" s="32"/>
      <c r="HD517" s="32"/>
      <c r="HE517" s="32"/>
      <c r="HF517" s="32"/>
      <c r="HG517" s="32"/>
      <c r="HH517" s="32"/>
      <c r="HI517" s="32"/>
      <c r="HJ517" s="32"/>
      <c r="HK517" s="32"/>
      <c r="HL517" s="32"/>
      <c r="HM517" s="32"/>
      <c r="HN517" s="32"/>
      <c r="HO517" s="32"/>
      <c r="HP517" s="32"/>
    </row>
    <row r="518" spans="1:224" x14ac:dyDescent="0.25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  <c r="BA518" s="32"/>
      <c r="BB518" s="32"/>
      <c r="BC518" s="32"/>
      <c r="BD518" s="32"/>
      <c r="BE518" s="32"/>
      <c r="BF518" s="32"/>
      <c r="BG518" s="32"/>
      <c r="BH518" s="32"/>
      <c r="BI518" s="32"/>
      <c r="BJ518" s="32"/>
      <c r="BK518" s="32"/>
      <c r="BL518" s="32"/>
      <c r="BM518" s="32"/>
      <c r="BN518" s="32"/>
      <c r="BO518" s="32"/>
      <c r="BP518" s="32"/>
      <c r="BQ518" s="32"/>
      <c r="BR518" s="32"/>
      <c r="BS518" s="32"/>
      <c r="BT518" s="32"/>
      <c r="BU518" s="32"/>
      <c r="BV518" s="32"/>
      <c r="BW518" s="32"/>
      <c r="BX518" s="32"/>
      <c r="BY518" s="32"/>
      <c r="BZ518" s="32"/>
      <c r="CA518" s="32"/>
      <c r="CB518" s="32"/>
      <c r="CC518" s="32"/>
      <c r="CD518" s="32"/>
      <c r="CE518" s="32"/>
      <c r="CF518" s="32"/>
      <c r="CG518" s="32"/>
      <c r="CH518" s="32"/>
      <c r="CI518" s="32"/>
      <c r="CJ518" s="32"/>
      <c r="CK518" s="32"/>
      <c r="CL518" s="32"/>
      <c r="CM518" s="32"/>
      <c r="CN518" s="32"/>
      <c r="CO518" s="32"/>
      <c r="CP518" s="32"/>
      <c r="CQ518" s="32"/>
      <c r="CR518" s="32"/>
      <c r="CS518" s="32"/>
      <c r="CT518" s="32"/>
      <c r="CU518" s="32"/>
      <c r="CV518" s="32"/>
      <c r="CW518" s="32"/>
      <c r="CX518" s="32"/>
      <c r="CY518" s="32"/>
      <c r="CZ518" s="32"/>
      <c r="DA518" s="32"/>
      <c r="DB518" s="32"/>
      <c r="DC518" s="32"/>
      <c r="DD518" s="32"/>
      <c r="DE518" s="32"/>
      <c r="DF518" s="32"/>
      <c r="DG518" s="32"/>
      <c r="DH518" s="32"/>
      <c r="DI518" s="32"/>
      <c r="DJ518" s="32"/>
      <c r="DK518" s="32"/>
      <c r="DL518" s="32"/>
      <c r="DM518" s="32"/>
      <c r="DN518" s="32"/>
      <c r="DO518" s="32"/>
      <c r="DP518" s="32"/>
      <c r="DQ518" s="32"/>
      <c r="DR518" s="32"/>
      <c r="DS518" s="32"/>
      <c r="DT518" s="32"/>
      <c r="DU518" s="32"/>
      <c r="DV518" s="32"/>
      <c r="DW518" s="32"/>
      <c r="DX518" s="32"/>
      <c r="DY518" s="32"/>
      <c r="DZ518" s="32"/>
      <c r="EA518" s="32"/>
      <c r="EB518" s="32"/>
      <c r="EC518" s="32"/>
      <c r="ED518" s="32"/>
      <c r="EE518" s="32"/>
      <c r="EF518" s="32"/>
      <c r="EG518" s="32"/>
      <c r="EH518" s="32"/>
      <c r="EI518" s="32"/>
      <c r="EJ518" s="32"/>
      <c r="EK518" s="32"/>
      <c r="EL518" s="32"/>
      <c r="EM518" s="32"/>
      <c r="EN518" s="32"/>
      <c r="EO518" s="32"/>
      <c r="EP518" s="32"/>
      <c r="EQ518" s="32"/>
      <c r="ER518" s="32"/>
      <c r="ES518" s="32"/>
      <c r="ET518" s="32"/>
      <c r="EU518" s="32"/>
      <c r="EV518" s="32"/>
      <c r="EW518" s="32"/>
      <c r="EX518" s="32"/>
      <c r="EY518" s="32"/>
      <c r="EZ518" s="32"/>
      <c r="FA518" s="32"/>
      <c r="FB518" s="32"/>
      <c r="FC518" s="32"/>
      <c r="FD518" s="32"/>
      <c r="FE518" s="32"/>
      <c r="FF518" s="32"/>
      <c r="FG518" s="32"/>
      <c r="FH518" s="32"/>
      <c r="FI518" s="32"/>
      <c r="FJ518" s="32"/>
      <c r="FK518" s="32"/>
      <c r="FL518" s="32"/>
      <c r="FM518" s="32"/>
      <c r="FN518" s="32"/>
      <c r="FO518" s="32"/>
      <c r="FP518" s="32"/>
      <c r="FQ518" s="32"/>
      <c r="FR518" s="32"/>
      <c r="FS518" s="32"/>
      <c r="FT518" s="32"/>
      <c r="FU518" s="32"/>
      <c r="FV518" s="32"/>
      <c r="FW518" s="32"/>
      <c r="FX518" s="32"/>
      <c r="FY518" s="32"/>
      <c r="FZ518" s="32"/>
      <c r="GA518" s="32"/>
      <c r="GB518" s="32"/>
      <c r="GC518" s="32"/>
      <c r="GD518" s="32"/>
      <c r="GE518" s="32"/>
      <c r="GF518" s="32"/>
      <c r="GG518" s="32"/>
      <c r="GH518" s="32"/>
      <c r="GI518" s="32"/>
      <c r="GJ518" s="32"/>
      <c r="GK518" s="32"/>
      <c r="GL518" s="32"/>
      <c r="GM518" s="32"/>
      <c r="GN518" s="32"/>
      <c r="GO518" s="32"/>
      <c r="GP518" s="32"/>
      <c r="GQ518" s="32"/>
      <c r="GR518" s="32"/>
      <c r="GS518" s="32"/>
      <c r="GT518" s="32"/>
      <c r="GU518" s="32"/>
      <c r="GV518" s="32"/>
      <c r="GW518" s="32"/>
      <c r="GX518" s="32"/>
      <c r="GY518" s="32"/>
      <c r="GZ518" s="32"/>
      <c r="HA518" s="32"/>
      <c r="HB518" s="32"/>
      <c r="HC518" s="32"/>
      <c r="HD518" s="32"/>
      <c r="HE518" s="32"/>
      <c r="HF518" s="32"/>
      <c r="HG518" s="32"/>
      <c r="HH518" s="32"/>
      <c r="HI518" s="32"/>
      <c r="HJ518" s="32"/>
      <c r="HK518" s="32"/>
      <c r="HL518" s="32"/>
      <c r="HM518" s="32"/>
      <c r="HN518" s="32"/>
      <c r="HO518" s="32"/>
      <c r="HP518" s="32"/>
    </row>
    <row r="519" spans="1:224" x14ac:dyDescent="0.25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  <c r="BA519" s="32"/>
      <c r="BB519" s="32"/>
      <c r="BC519" s="32"/>
      <c r="BD519" s="32"/>
      <c r="BE519" s="32"/>
      <c r="BF519" s="32"/>
      <c r="BG519" s="32"/>
      <c r="BH519" s="32"/>
      <c r="BI519" s="32"/>
      <c r="BJ519" s="32"/>
      <c r="BK519" s="32"/>
      <c r="BL519" s="32"/>
      <c r="BM519" s="32"/>
      <c r="BN519" s="32"/>
      <c r="BO519" s="32"/>
      <c r="BP519" s="32"/>
      <c r="BQ519" s="32"/>
      <c r="BR519" s="32"/>
      <c r="BS519" s="32"/>
      <c r="BT519" s="32"/>
      <c r="BU519" s="32"/>
      <c r="BV519" s="32"/>
      <c r="BW519" s="32"/>
      <c r="BX519" s="32"/>
      <c r="BY519" s="32"/>
      <c r="BZ519" s="32"/>
      <c r="CA519" s="32"/>
      <c r="CB519" s="32"/>
      <c r="CC519" s="32"/>
      <c r="CD519" s="32"/>
      <c r="CE519" s="32"/>
      <c r="CF519" s="32"/>
      <c r="CG519" s="32"/>
      <c r="CH519" s="32"/>
      <c r="CI519" s="32"/>
      <c r="CJ519" s="32"/>
      <c r="CK519" s="32"/>
      <c r="CL519" s="32"/>
      <c r="CM519" s="32"/>
      <c r="CN519" s="32"/>
      <c r="CO519" s="32"/>
      <c r="CP519" s="32"/>
      <c r="CQ519" s="32"/>
      <c r="CR519" s="32"/>
      <c r="CS519" s="32"/>
      <c r="CT519" s="32"/>
      <c r="CU519" s="32"/>
      <c r="CV519" s="32"/>
      <c r="CW519" s="32"/>
      <c r="CX519" s="32"/>
      <c r="CY519" s="32"/>
      <c r="CZ519" s="32"/>
      <c r="DA519" s="32"/>
      <c r="DB519" s="32"/>
      <c r="DC519" s="32"/>
      <c r="DD519" s="32"/>
      <c r="DE519" s="32"/>
      <c r="DF519" s="32"/>
      <c r="DG519" s="32"/>
      <c r="DH519" s="32"/>
      <c r="DI519" s="32"/>
      <c r="DJ519" s="32"/>
      <c r="DK519" s="32"/>
      <c r="DL519" s="32"/>
      <c r="DM519" s="32"/>
      <c r="DN519" s="32"/>
      <c r="DO519" s="32"/>
      <c r="DP519" s="32"/>
      <c r="DQ519" s="32"/>
      <c r="DR519" s="32"/>
      <c r="DS519" s="32"/>
      <c r="DT519" s="32"/>
      <c r="DU519" s="32"/>
      <c r="DV519" s="32"/>
      <c r="DW519" s="32"/>
      <c r="DX519" s="32"/>
      <c r="DY519" s="32"/>
      <c r="DZ519" s="32"/>
      <c r="EA519" s="32"/>
      <c r="EB519" s="32"/>
      <c r="EC519" s="32"/>
      <c r="ED519" s="32"/>
      <c r="EE519" s="32"/>
      <c r="EF519" s="32"/>
      <c r="EG519" s="32"/>
      <c r="EH519" s="32"/>
      <c r="EI519" s="32"/>
      <c r="EJ519" s="32"/>
      <c r="EK519" s="32"/>
      <c r="EL519" s="32"/>
      <c r="EM519" s="32"/>
      <c r="EN519" s="32"/>
      <c r="EO519" s="32"/>
      <c r="EP519" s="32"/>
      <c r="EQ519" s="32"/>
      <c r="ER519" s="32"/>
      <c r="ES519" s="32"/>
      <c r="ET519" s="32"/>
      <c r="EU519" s="32"/>
      <c r="EV519" s="32"/>
      <c r="EW519" s="32"/>
      <c r="EX519" s="32"/>
      <c r="EY519" s="32"/>
      <c r="EZ519" s="32"/>
      <c r="FA519" s="32"/>
      <c r="FB519" s="32"/>
      <c r="FC519" s="32"/>
      <c r="FD519" s="32"/>
      <c r="FE519" s="32"/>
      <c r="FF519" s="32"/>
      <c r="FG519" s="32"/>
      <c r="FH519" s="32"/>
      <c r="FI519" s="32"/>
      <c r="FJ519" s="32"/>
      <c r="FK519" s="32"/>
      <c r="FL519" s="32"/>
      <c r="FM519" s="32"/>
      <c r="FN519" s="32"/>
      <c r="FO519" s="32"/>
      <c r="FP519" s="32"/>
      <c r="FQ519" s="32"/>
      <c r="FR519" s="32"/>
      <c r="FS519" s="32"/>
      <c r="FT519" s="32"/>
      <c r="FU519" s="32"/>
      <c r="FV519" s="32"/>
      <c r="FW519" s="32"/>
      <c r="FX519" s="32"/>
      <c r="FY519" s="32"/>
      <c r="FZ519" s="32"/>
      <c r="GA519" s="32"/>
      <c r="GB519" s="32"/>
      <c r="GC519" s="32"/>
      <c r="GD519" s="32"/>
      <c r="GE519" s="32"/>
      <c r="GF519" s="32"/>
      <c r="GG519" s="32"/>
      <c r="GH519" s="32"/>
      <c r="GI519" s="32"/>
      <c r="GJ519" s="32"/>
      <c r="GK519" s="32"/>
      <c r="GL519" s="32"/>
      <c r="GM519" s="32"/>
      <c r="GN519" s="32"/>
      <c r="GO519" s="32"/>
      <c r="GP519" s="32"/>
      <c r="GQ519" s="32"/>
      <c r="GR519" s="32"/>
      <c r="GS519" s="32"/>
      <c r="GT519" s="32"/>
      <c r="GU519" s="32"/>
      <c r="GV519" s="32"/>
      <c r="GW519" s="32"/>
      <c r="GX519" s="32"/>
      <c r="GY519" s="32"/>
      <c r="GZ519" s="32"/>
      <c r="HA519" s="32"/>
      <c r="HB519" s="32"/>
      <c r="HC519" s="32"/>
      <c r="HD519" s="32"/>
      <c r="HE519" s="32"/>
      <c r="HF519" s="32"/>
      <c r="HG519" s="32"/>
      <c r="HH519" s="32"/>
      <c r="HI519" s="32"/>
      <c r="HJ519" s="32"/>
      <c r="HK519" s="32"/>
      <c r="HL519" s="32"/>
      <c r="HM519" s="32"/>
      <c r="HN519" s="32"/>
      <c r="HO519" s="32"/>
      <c r="HP519" s="32"/>
    </row>
    <row r="520" spans="1:224" x14ac:dyDescent="0.25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2"/>
      <c r="BA520" s="32"/>
      <c r="BB520" s="32"/>
      <c r="BC520" s="32"/>
      <c r="BD520" s="32"/>
      <c r="BE520" s="32"/>
      <c r="BF520" s="32"/>
      <c r="BG520" s="32"/>
      <c r="BH520" s="32"/>
      <c r="BI520" s="32"/>
      <c r="BJ520" s="32"/>
      <c r="BK520" s="32"/>
      <c r="BL520" s="32"/>
      <c r="BM520" s="32"/>
      <c r="BN520" s="32"/>
      <c r="BO520" s="32"/>
      <c r="BP520" s="32"/>
      <c r="BQ520" s="32"/>
      <c r="BR520" s="32"/>
      <c r="BS520" s="32"/>
      <c r="BT520" s="32"/>
      <c r="BU520" s="32"/>
      <c r="BV520" s="32"/>
      <c r="BW520" s="32"/>
      <c r="BX520" s="32"/>
      <c r="BY520" s="32"/>
      <c r="BZ520" s="32"/>
      <c r="CA520" s="32"/>
      <c r="CB520" s="32"/>
      <c r="CC520" s="32"/>
      <c r="CD520" s="32"/>
      <c r="CE520" s="32"/>
      <c r="CF520" s="32"/>
      <c r="CG520" s="32"/>
      <c r="CH520" s="32"/>
      <c r="CI520" s="32"/>
      <c r="CJ520" s="32"/>
      <c r="CK520" s="32"/>
      <c r="CL520" s="32"/>
      <c r="CM520" s="32"/>
      <c r="CN520" s="32"/>
      <c r="CO520" s="32"/>
      <c r="CP520" s="32"/>
      <c r="CQ520" s="32"/>
      <c r="CR520" s="32"/>
      <c r="CS520" s="32"/>
      <c r="CT520" s="32"/>
      <c r="CU520" s="32"/>
      <c r="CV520" s="32"/>
      <c r="CW520" s="32"/>
      <c r="CX520" s="32"/>
      <c r="CY520" s="32"/>
      <c r="CZ520" s="32"/>
      <c r="DA520" s="32"/>
      <c r="DB520" s="32"/>
      <c r="DC520" s="32"/>
      <c r="DD520" s="32"/>
      <c r="DE520" s="32"/>
      <c r="DF520" s="32"/>
      <c r="DG520" s="32"/>
      <c r="DH520" s="32"/>
      <c r="DI520" s="32"/>
      <c r="DJ520" s="32"/>
      <c r="DK520" s="32"/>
      <c r="DL520" s="32"/>
      <c r="DM520" s="32"/>
      <c r="DN520" s="32"/>
      <c r="DO520" s="32"/>
      <c r="DP520" s="32"/>
      <c r="DQ520" s="32"/>
      <c r="DR520" s="32"/>
      <c r="DS520" s="32"/>
      <c r="DT520" s="32"/>
      <c r="DU520" s="32"/>
      <c r="DV520" s="32"/>
      <c r="DW520" s="32"/>
      <c r="DX520" s="32"/>
      <c r="DY520" s="32"/>
      <c r="DZ520" s="32"/>
      <c r="EA520" s="32"/>
      <c r="EB520" s="32"/>
      <c r="EC520" s="32"/>
      <c r="ED520" s="32"/>
      <c r="EE520" s="32"/>
      <c r="EF520" s="32"/>
      <c r="EG520" s="32"/>
      <c r="EH520" s="32"/>
      <c r="EI520" s="32"/>
      <c r="EJ520" s="32"/>
      <c r="EK520" s="32"/>
      <c r="EL520" s="32"/>
      <c r="EM520" s="32"/>
      <c r="EN520" s="32"/>
      <c r="EO520" s="32"/>
      <c r="EP520" s="32"/>
      <c r="EQ520" s="32"/>
      <c r="ER520" s="32"/>
      <c r="ES520" s="32"/>
      <c r="ET520" s="32"/>
      <c r="EU520" s="32"/>
      <c r="EV520" s="32"/>
      <c r="EW520" s="32"/>
      <c r="EX520" s="32"/>
      <c r="EY520" s="32"/>
      <c r="EZ520" s="32"/>
      <c r="FA520" s="32"/>
      <c r="FB520" s="32"/>
      <c r="FC520" s="32"/>
      <c r="FD520" s="32"/>
      <c r="FE520" s="32"/>
      <c r="FF520" s="32"/>
      <c r="FG520" s="32"/>
      <c r="FH520" s="32"/>
      <c r="FI520" s="32"/>
      <c r="FJ520" s="32"/>
      <c r="FK520" s="32"/>
      <c r="FL520" s="32"/>
      <c r="FM520" s="32"/>
      <c r="FN520" s="32"/>
      <c r="FO520" s="32"/>
      <c r="FP520" s="32"/>
      <c r="FQ520" s="32"/>
      <c r="FR520" s="32"/>
      <c r="FS520" s="32"/>
      <c r="FT520" s="32"/>
      <c r="FU520" s="32"/>
      <c r="FV520" s="32"/>
      <c r="FW520" s="32"/>
      <c r="FX520" s="32"/>
      <c r="FY520" s="32"/>
      <c r="FZ520" s="32"/>
      <c r="GA520" s="32"/>
      <c r="GB520" s="32"/>
      <c r="GC520" s="32"/>
      <c r="GD520" s="32"/>
      <c r="GE520" s="32"/>
      <c r="GF520" s="32"/>
      <c r="GG520" s="32"/>
      <c r="GH520" s="32"/>
      <c r="GI520" s="32"/>
      <c r="GJ520" s="32"/>
      <c r="GK520" s="32"/>
      <c r="GL520" s="32"/>
      <c r="GM520" s="32"/>
      <c r="GN520" s="32"/>
      <c r="GO520" s="32"/>
      <c r="GP520" s="32"/>
      <c r="GQ520" s="32"/>
      <c r="GR520" s="32"/>
      <c r="GS520" s="32"/>
      <c r="GT520" s="32"/>
      <c r="GU520" s="32"/>
      <c r="GV520" s="32"/>
      <c r="GW520" s="32"/>
      <c r="GX520" s="32"/>
      <c r="GY520" s="32"/>
      <c r="GZ520" s="32"/>
      <c r="HA520" s="32"/>
      <c r="HB520" s="32"/>
      <c r="HC520" s="32"/>
      <c r="HD520" s="32"/>
      <c r="HE520" s="32"/>
      <c r="HF520" s="32"/>
      <c r="HG520" s="32"/>
      <c r="HH520" s="32"/>
      <c r="HI520" s="32"/>
      <c r="HJ520" s="32"/>
      <c r="HK520" s="32"/>
      <c r="HL520" s="32"/>
      <c r="HM520" s="32"/>
      <c r="HN520" s="32"/>
      <c r="HO520" s="32"/>
      <c r="HP520" s="32"/>
    </row>
    <row r="521" spans="1:224" x14ac:dyDescent="0.25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  <c r="BA521" s="32"/>
      <c r="BB521" s="32"/>
      <c r="BC521" s="32"/>
      <c r="BD521" s="32"/>
      <c r="BE521" s="32"/>
      <c r="BF521" s="32"/>
      <c r="BG521" s="32"/>
      <c r="BH521" s="32"/>
      <c r="BI521" s="32"/>
      <c r="BJ521" s="32"/>
      <c r="BK521" s="32"/>
      <c r="BL521" s="32"/>
      <c r="BM521" s="32"/>
      <c r="BN521" s="32"/>
      <c r="BO521" s="32"/>
      <c r="BP521" s="32"/>
      <c r="BQ521" s="32"/>
      <c r="BR521" s="32"/>
      <c r="BS521" s="32"/>
      <c r="BT521" s="32"/>
      <c r="BU521" s="32"/>
      <c r="BV521" s="32"/>
      <c r="BW521" s="32"/>
      <c r="BX521" s="32"/>
      <c r="BY521" s="32"/>
      <c r="BZ521" s="32"/>
      <c r="CA521" s="32"/>
      <c r="CB521" s="32"/>
      <c r="CC521" s="32"/>
      <c r="CD521" s="32"/>
      <c r="CE521" s="32"/>
      <c r="CF521" s="32"/>
      <c r="CG521" s="32"/>
      <c r="CH521" s="32"/>
      <c r="CI521" s="32"/>
      <c r="CJ521" s="32"/>
      <c r="CK521" s="32"/>
      <c r="CL521" s="32"/>
      <c r="CM521" s="32"/>
      <c r="CN521" s="32"/>
      <c r="CO521" s="32"/>
      <c r="CP521" s="32"/>
      <c r="CQ521" s="32"/>
      <c r="CR521" s="32"/>
      <c r="CS521" s="32"/>
      <c r="CT521" s="32"/>
      <c r="CU521" s="32"/>
      <c r="CV521" s="32"/>
      <c r="CW521" s="32"/>
      <c r="CX521" s="32"/>
      <c r="CY521" s="32"/>
      <c r="CZ521" s="32"/>
      <c r="DA521" s="32"/>
      <c r="DB521" s="32"/>
      <c r="DC521" s="32"/>
      <c r="DD521" s="32"/>
      <c r="DE521" s="32"/>
      <c r="DF521" s="32"/>
      <c r="DG521" s="32"/>
      <c r="DH521" s="32"/>
      <c r="DI521" s="32"/>
      <c r="DJ521" s="32"/>
      <c r="DK521" s="32"/>
      <c r="DL521" s="32"/>
      <c r="DM521" s="32"/>
      <c r="DN521" s="32"/>
      <c r="DO521" s="32"/>
      <c r="DP521" s="32"/>
      <c r="DQ521" s="32"/>
      <c r="DR521" s="32"/>
      <c r="DS521" s="32"/>
      <c r="DT521" s="32"/>
      <c r="DU521" s="32"/>
      <c r="DV521" s="32"/>
      <c r="DW521" s="32"/>
      <c r="DX521" s="32"/>
      <c r="DY521" s="32"/>
      <c r="DZ521" s="32"/>
      <c r="EA521" s="32"/>
      <c r="EB521" s="32"/>
      <c r="EC521" s="32"/>
      <c r="ED521" s="32"/>
      <c r="EE521" s="32"/>
      <c r="EF521" s="32"/>
      <c r="EG521" s="32"/>
      <c r="EH521" s="32"/>
      <c r="EI521" s="32"/>
      <c r="EJ521" s="32"/>
      <c r="EK521" s="32"/>
      <c r="EL521" s="32"/>
      <c r="EM521" s="32"/>
      <c r="EN521" s="32"/>
      <c r="EO521" s="32"/>
      <c r="EP521" s="32"/>
      <c r="EQ521" s="32"/>
      <c r="ER521" s="32"/>
      <c r="ES521" s="32"/>
      <c r="ET521" s="32"/>
      <c r="EU521" s="32"/>
      <c r="EV521" s="32"/>
      <c r="EW521" s="32"/>
      <c r="EX521" s="32"/>
      <c r="EY521" s="32"/>
      <c r="EZ521" s="32"/>
      <c r="FA521" s="32"/>
      <c r="FB521" s="32"/>
      <c r="FC521" s="32"/>
      <c r="FD521" s="32"/>
      <c r="FE521" s="32"/>
      <c r="FF521" s="32"/>
      <c r="FG521" s="32"/>
      <c r="FH521" s="32"/>
      <c r="FI521" s="32"/>
      <c r="FJ521" s="32"/>
      <c r="FK521" s="32"/>
      <c r="FL521" s="32"/>
      <c r="FM521" s="32"/>
      <c r="FN521" s="32"/>
      <c r="FO521" s="32"/>
      <c r="FP521" s="32"/>
      <c r="FQ521" s="32"/>
      <c r="FR521" s="32"/>
      <c r="FS521" s="32"/>
      <c r="FT521" s="32"/>
      <c r="FU521" s="32"/>
      <c r="FV521" s="32"/>
      <c r="FW521" s="32"/>
      <c r="FX521" s="32"/>
      <c r="FY521" s="32"/>
      <c r="FZ521" s="32"/>
      <c r="GA521" s="32"/>
      <c r="GB521" s="32"/>
      <c r="GC521" s="32"/>
      <c r="GD521" s="32"/>
      <c r="GE521" s="32"/>
      <c r="GF521" s="32"/>
      <c r="GG521" s="32"/>
      <c r="GH521" s="32"/>
      <c r="GI521" s="32"/>
      <c r="GJ521" s="32"/>
      <c r="GK521" s="32"/>
      <c r="GL521" s="32"/>
      <c r="GM521" s="32"/>
      <c r="GN521" s="32"/>
      <c r="GO521" s="32"/>
      <c r="GP521" s="32"/>
      <c r="GQ521" s="32"/>
      <c r="GR521" s="32"/>
      <c r="GS521" s="32"/>
      <c r="GT521" s="32"/>
      <c r="GU521" s="32"/>
      <c r="GV521" s="32"/>
      <c r="GW521" s="32"/>
      <c r="GX521" s="32"/>
      <c r="GY521" s="32"/>
      <c r="GZ521" s="32"/>
      <c r="HA521" s="32"/>
      <c r="HB521" s="32"/>
      <c r="HC521" s="32"/>
      <c r="HD521" s="32"/>
      <c r="HE521" s="32"/>
      <c r="HF521" s="32"/>
      <c r="HG521" s="32"/>
      <c r="HH521" s="32"/>
      <c r="HI521" s="32"/>
      <c r="HJ521" s="32"/>
      <c r="HK521" s="32"/>
      <c r="HL521" s="32"/>
      <c r="HM521" s="32"/>
      <c r="HN521" s="32"/>
      <c r="HO521" s="32"/>
      <c r="HP521" s="32"/>
    </row>
    <row r="522" spans="1:224" x14ac:dyDescent="0.25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2"/>
      <c r="AZ522" s="32"/>
      <c r="BA522" s="32"/>
      <c r="BB522" s="32"/>
      <c r="BC522" s="32"/>
      <c r="BD522" s="32"/>
      <c r="BE522" s="32"/>
      <c r="BF522" s="32"/>
      <c r="BG522" s="32"/>
      <c r="BH522" s="32"/>
      <c r="BI522" s="32"/>
      <c r="BJ522" s="32"/>
      <c r="BK522" s="32"/>
      <c r="BL522" s="32"/>
      <c r="BM522" s="32"/>
      <c r="BN522" s="32"/>
      <c r="BO522" s="32"/>
      <c r="BP522" s="32"/>
      <c r="BQ522" s="32"/>
      <c r="BR522" s="32"/>
      <c r="BS522" s="32"/>
      <c r="BT522" s="32"/>
      <c r="BU522" s="32"/>
      <c r="BV522" s="32"/>
      <c r="BW522" s="32"/>
      <c r="BX522" s="32"/>
      <c r="BY522" s="32"/>
      <c r="BZ522" s="32"/>
      <c r="CA522" s="32"/>
      <c r="CB522" s="32"/>
      <c r="CC522" s="32"/>
      <c r="CD522" s="32"/>
      <c r="CE522" s="32"/>
      <c r="CF522" s="32"/>
      <c r="CG522" s="32"/>
      <c r="CH522" s="32"/>
      <c r="CI522" s="32"/>
      <c r="CJ522" s="32"/>
      <c r="CK522" s="32"/>
      <c r="CL522" s="32"/>
      <c r="CM522" s="32"/>
      <c r="CN522" s="32"/>
      <c r="CO522" s="32"/>
      <c r="CP522" s="32"/>
      <c r="CQ522" s="32"/>
      <c r="CR522" s="32"/>
      <c r="CS522" s="32"/>
      <c r="CT522" s="32"/>
      <c r="CU522" s="32"/>
      <c r="CV522" s="32"/>
      <c r="CW522" s="32"/>
      <c r="CX522" s="32"/>
      <c r="CY522" s="32"/>
      <c r="CZ522" s="32"/>
      <c r="DA522" s="32"/>
      <c r="DB522" s="32"/>
      <c r="DC522" s="32"/>
      <c r="DD522" s="32"/>
      <c r="DE522" s="32"/>
      <c r="DF522" s="32"/>
      <c r="DG522" s="32"/>
      <c r="DH522" s="32"/>
      <c r="DI522" s="32"/>
      <c r="DJ522" s="32"/>
      <c r="DK522" s="32"/>
      <c r="DL522" s="32"/>
      <c r="DM522" s="32"/>
      <c r="DN522" s="32"/>
      <c r="DO522" s="32"/>
      <c r="DP522" s="32"/>
      <c r="DQ522" s="32"/>
      <c r="DR522" s="32"/>
      <c r="DS522" s="32"/>
      <c r="DT522" s="32"/>
      <c r="DU522" s="32"/>
      <c r="DV522" s="32"/>
      <c r="DW522" s="32"/>
      <c r="DX522" s="32"/>
      <c r="DY522" s="32"/>
      <c r="DZ522" s="32"/>
      <c r="EA522" s="32"/>
      <c r="EB522" s="32"/>
      <c r="EC522" s="32"/>
      <c r="ED522" s="32"/>
      <c r="EE522" s="32"/>
      <c r="EF522" s="32"/>
      <c r="EG522" s="32"/>
      <c r="EH522" s="32"/>
      <c r="EI522" s="32"/>
      <c r="EJ522" s="32"/>
      <c r="EK522" s="32"/>
      <c r="EL522" s="32"/>
      <c r="EM522" s="32"/>
      <c r="EN522" s="32"/>
      <c r="EO522" s="32"/>
      <c r="EP522" s="32"/>
      <c r="EQ522" s="32"/>
      <c r="ER522" s="32"/>
      <c r="ES522" s="32"/>
      <c r="ET522" s="32"/>
      <c r="EU522" s="32"/>
      <c r="EV522" s="32"/>
      <c r="EW522" s="32"/>
      <c r="EX522" s="32"/>
      <c r="EY522" s="32"/>
      <c r="EZ522" s="32"/>
      <c r="FA522" s="32"/>
      <c r="FB522" s="32"/>
      <c r="FC522" s="32"/>
      <c r="FD522" s="32"/>
      <c r="FE522" s="32"/>
      <c r="FF522" s="32"/>
      <c r="FG522" s="32"/>
      <c r="FH522" s="32"/>
      <c r="FI522" s="32"/>
      <c r="FJ522" s="32"/>
      <c r="FK522" s="32"/>
      <c r="FL522" s="32"/>
      <c r="FM522" s="32"/>
      <c r="FN522" s="32"/>
      <c r="FO522" s="32"/>
      <c r="FP522" s="32"/>
      <c r="FQ522" s="32"/>
      <c r="FR522" s="32"/>
      <c r="FS522" s="32"/>
      <c r="FT522" s="32"/>
      <c r="FU522" s="32"/>
      <c r="FV522" s="32"/>
      <c r="FW522" s="32"/>
      <c r="FX522" s="32"/>
      <c r="FY522" s="32"/>
      <c r="FZ522" s="32"/>
      <c r="GA522" s="32"/>
      <c r="GB522" s="32"/>
      <c r="GC522" s="32"/>
      <c r="GD522" s="32"/>
      <c r="GE522" s="32"/>
      <c r="GF522" s="32"/>
      <c r="GG522" s="32"/>
      <c r="GH522" s="32"/>
      <c r="GI522" s="32"/>
      <c r="GJ522" s="32"/>
      <c r="GK522" s="32"/>
      <c r="GL522" s="32"/>
      <c r="GM522" s="32"/>
      <c r="GN522" s="32"/>
      <c r="GO522" s="32"/>
      <c r="GP522" s="32"/>
      <c r="GQ522" s="32"/>
      <c r="GR522" s="32"/>
      <c r="GS522" s="32"/>
      <c r="GT522" s="32"/>
      <c r="GU522" s="32"/>
      <c r="GV522" s="32"/>
      <c r="GW522" s="32"/>
      <c r="GX522" s="32"/>
      <c r="GY522" s="32"/>
      <c r="GZ522" s="32"/>
      <c r="HA522" s="32"/>
      <c r="HB522" s="32"/>
      <c r="HC522" s="32"/>
      <c r="HD522" s="32"/>
      <c r="HE522" s="32"/>
      <c r="HF522" s="32"/>
      <c r="HG522" s="32"/>
      <c r="HH522" s="32"/>
      <c r="HI522" s="32"/>
      <c r="HJ522" s="32"/>
      <c r="HK522" s="32"/>
      <c r="HL522" s="32"/>
      <c r="HM522" s="32"/>
      <c r="HN522" s="32"/>
      <c r="HO522" s="32"/>
      <c r="HP522" s="32"/>
    </row>
    <row r="523" spans="1:224" x14ac:dyDescent="0.25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2"/>
      <c r="BA523" s="32"/>
      <c r="BB523" s="32"/>
      <c r="BC523" s="32"/>
      <c r="BD523" s="32"/>
      <c r="BE523" s="32"/>
      <c r="BF523" s="32"/>
      <c r="BG523" s="32"/>
      <c r="BH523" s="32"/>
      <c r="BI523" s="32"/>
      <c r="BJ523" s="32"/>
      <c r="BK523" s="32"/>
      <c r="BL523" s="32"/>
      <c r="BM523" s="32"/>
      <c r="BN523" s="32"/>
      <c r="BO523" s="32"/>
      <c r="BP523" s="32"/>
      <c r="BQ523" s="32"/>
      <c r="BR523" s="32"/>
      <c r="BS523" s="32"/>
      <c r="BT523" s="32"/>
      <c r="BU523" s="32"/>
      <c r="BV523" s="32"/>
      <c r="BW523" s="32"/>
      <c r="BX523" s="32"/>
      <c r="BY523" s="32"/>
      <c r="BZ523" s="32"/>
      <c r="CA523" s="32"/>
      <c r="CB523" s="32"/>
      <c r="CC523" s="32"/>
      <c r="CD523" s="32"/>
      <c r="CE523" s="32"/>
      <c r="CF523" s="32"/>
      <c r="CG523" s="32"/>
      <c r="CH523" s="32"/>
      <c r="CI523" s="32"/>
      <c r="CJ523" s="32"/>
      <c r="CK523" s="32"/>
      <c r="CL523" s="32"/>
      <c r="CM523" s="32"/>
      <c r="CN523" s="32"/>
      <c r="CO523" s="32"/>
      <c r="CP523" s="32"/>
      <c r="CQ523" s="32"/>
      <c r="CR523" s="32"/>
      <c r="CS523" s="32"/>
      <c r="CT523" s="32"/>
      <c r="CU523" s="32"/>
      <c r="CV523" s="32"/>
      <c r="CW523" s="32"/>
      <c r="CX523" s="32"/>
      <c r="CY523" s="32"/>
      <c r="CZ523" s="32"/>
      <c r="DA523" s="32"/>
      <c r="DB523" s="32"/>
      <c r="DC523" s="32"/>
      <c r="DD523" s="32"/>
      <c r="DE523" s="32"/>
      <c r="DF523" s="32"/>
      <c r="DG523" s="32"/>
      <c r="DH523" s="32"/>
      <c r="DI523" s="32"/>
      <c r="DJ523" s="32"/>
      <c r="DK523" s="32"/>
      <c r="DL523" s="32"/>
      <c r="DM523" s="32"/>
      <c r="DN523" s="32"/>
      <c r="DO523" s="32"/>
      <c r="DP523" s="32"/>
      <c r="DQ523" s="32"/>
      <c r="DR523" s="32"/>
      <c r="DS523" s="32"/>
      <c r="DT523" s="32"/>
      <c r="DU523" s="32"/>
      <c r="DV523" s="32"/>
      <c r="DW523" s="32"/>
      <c r="DX523" s="32"/>
      <c r="DY523" s="32"/>
      <c r="DZ523" s="32"/>
      <c r="EA523" s="32"/>
      <c r="EB523" s="32"/>
      <c r="EC523" s="32"/>
      <c r="ED523" s="32"/>
      <c r="EE523" s="32"/>
      <c r="EF523" s="32"/>
      <c r="EG523" s="32"/>
      <c r="EH523" s="32"/>
      <c r="EI523" s="32"/>
      <c r="EJ523" s="32"/>
      <c r="EK523" s="32"/>
      <c r="EL523" s="32"/>
      <c r="EM523" s="32"/>
      <c r="EN523" s="32"/>
      <c r="EO523" s="32"/>
      <c r="EP523" s="32"/>
      <c r="EQ523" s="32"/>
      <c r="ER523" s="32"/>
      <c r="ES523" s="32"/>
      <c r="ET523" s="32"/>
      <c r="EU523" s="32"/>
      <c r="EV523" s="32"/>
      <c r="EW523" s="32"/>
      <c r="EX523" s="32"/>
      <c r="EY523" s="32"/>
      <c r="EZ523" s="32"/>
      <c r="FA523" s="32"/>
      <c r="FB523" s="32"/>
      <c r="FC523" s="32"/>
      <c r="FD523" s="32"/>
      <c r="FE523" s="32"/>
      <c r="FF523" s="32"/>
      <c r="FG523" s="32"/>
      <c r="FH523" s="32"/>
      <c r="FI523" s="32"/>
      <c r="FJ523" s="32"/>
      <c r="FK523" s="32"/>
      <c r="FL523" s="32"/>
      <c r="FM523" s="32"/>
      <c r="FN523" s="32"/>
      <c r="FO523" s="32"/>
      <c r="FP523" s="32"/>
      <c r="FQ523" s="32"/>
      <c r="FR523" s="32"/>
      <c r="FS523" s="32"/>
      <c r="FT523" s="32"/>
      <c r="FU523" s="32"/>
      <c r="FV523" s="32"/>
      <c r="FW523" s="32"/>
      <c r="FX523" s="32"/>
      <c r="FY523" s="32"/>
      <c r="FZ523" s="32"/>
      <c r="GA523" s="32"/>
      <c r="GB523" s="32"/>
      <c r="GC523" s="32"/>
      <c r="GD523" s="32"/>
      <c r="GE523" s="32"/>
      <c r="GF523" s="32"/>
      <c r="GG523" s="32"/>
      <c r="GH523" s="32"/>
      <c r="GI523" s="32"/>
      <c r="GJ523" s="32"/>
      <c r="GK523" s="32"/>
      <c r="GL523" s="32"/>
      <c r="GM523" s="32"/>
      <c r="GN523" s="32"/>
      <c r="GO523" s="32"/>
      <c r="GP523" s="32"/>
      <c r="GQ523" s="32"/>
      <c r="GR523" s="32"/>
      <c r="GS523" s="32"/>
      <c r="GT523" s="32"/>
      <c r="GU523" s="32"/>
      <c r="GV523" s="32"/>
      <c r="GW523" s="32"/>
      <c r="GX523" s="32"/>
      <c r="GY523" s="32"/>
      <c r="GZ523" s="32"/>
      <c r="HA523" s="32"/>
      <c r="HB523" s="32"/>
      <c r="HC523" s="32"/>
      <c r="HD523" s="32"/>
      <c r="HE523" s="32"/>
      <c r="HF523" s="32"/>
      <c r="HG523" s="32"/>
      <c r="HH523" s="32"/>
      <c r="HI523" s="32"/>
      <c r="HJ523" s="32"/>
      <c r="HK523" s="32"/>
      <c r="HL523" s="32"/>
      <c r="HM523" s="32"/>
      <c r="HN523" s="32"/>
      <c r="HO523" s="32"/>
      <c r="HP523" s="32"/>
    </row>
    <row r="524" spans="1:224" x14ac:dyDescent="0.25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2"/>
      <c r="BA524" s="32"/>
      <c r="BB524" s="32"/>
      <c r="BC524" s="32"/>
      <c r="BD524" s="32"/>
      <c r="BE524" s="32"/>
      <c r="BF524" s="32"/>
      <c r="BG524" s="32"/>
      <c r="BH524" s="32"/>
      <c r="BI524" s="32"/>
      <c r="BJ524" s="32"/>
      <c r="BK524" s="32"/>
      <c r="BL524" s="32"/>
      <c r="BM524" s="32"/>
      <c r="BN524" s="32"/>
      <c r="BO524" s="32"/>
      <c r="BP524" s="32"/>
      <c r="BQ524" s="32"/>
      <c r="BR524" s="32"/>
      <c r="BS524" s="32"/>
      <c r="BT524" s="32"/>
      <c r="BU524" s="32"/>
      <c r="BV524" s="32"/>
      <c r="BW524" s="32"/>
      <c r="BX524" s="32"/>
      <c r="BY524" s="32"/>
      <c r="BZ524" s="32"/>
      <c r="CA524" s="32"/>
      <c r="CB524" s="32"/>
      <c r="CC524" s="32"/>
      <c r="CD524" s="32"/>
      <c r="CE524" s="32"/>
      <c r="CF524" s="32"/>
      <c r="CG524" s="32"/>
      <c r="CH524" s="32"/>
      <c r="CI524" s="32"/>
      <c r="CJ524" s="32"/>
      <c r="CK524" s="32"/>
      <c r="CL524" s="32"/>
      <c r="CM524" s="32"/>
      <c r="CN524" s="32"/>
      <c r="CO524" s="32"/>
      <c r="CP524" s="32"/>
      <c r="CQ524" s="32"/>
      <c r="CR524" s="32"/>
      <c r="CS524" s="32"/>
      <c r="CT524" s="32"/>
      <c r="CU524" s="32"/>
      <c r="CV524" s="32"/>
      <c r="CW524" s="32"/>
      <c r="CX524" s="32"/>
      <c r="CY524" s="32"/>
      <c r="CZ524" s="32"/>
      <c r="DA524" s="32"/>
      <c r="DB524" s="32"/>
      <c r="DC524" s="32"/>
      <c r="DD524" s="32"/>
      <c r="DE524" s="32"/>
      <c r="DF524" s="32"/>
      <c r="DG524" s="32"/>
      <c r="DH524" s="32"/>
      <c r="DI524" s="32"/>
      <c r="DJ524" s="32"/>
      <c r="DK524" s="32"/>
      <c r="DL524" s="32"/>
      <c r="DM524" s="32"/>
      <c r="DN524" s="32"/>
      <c r="DO524" s="32"/>
      <c r="DP524" s="32"/>
      <c r="DQ524" s="32"/>
      <c r="DR524" s="32"/>
      <c r="DS524" s="32"/>
      <c r="DT524" s="32"/>
      <c r="DU524" s="32"/>
      <c r="DV524" s="32"/>
      <c r="DW524" s="32"/>
      <c r="DX524" s="32"/>
      <c r="DY524" s="32"/>
      <c r="DZ524" s="32"/>
      <c r="EA524" s="32"/>
      <c r="EB524" s="32"/>
      <c r="EC524" s="32"/>
      <c r="ED524" s="32"/>
      <c r="EE524" s="32"/>
      <c r="EF524" s="32"/>
      <c r="EG524" s="32"/>
      <c r="EH524" s="32"/>
      <c r="EI524" s="32"/>
      <c r="EJ524" s="32"/>
      <c r="EK524" s="32"/>
      <c r="EL524" s="32"/>
      <c r="EM524" s="32"/>
      <c r="EN524" s="32"/>
      <c r="EO524" s="32"/>
      <c r="EP524" s="32"/>
      <c r="EQ524" s="32"/>
      <c r="ER524" s="32"/>
      <c r="ES524" s="32"/>
      <c r="ET524" s="32"/>
      <c r="EU524" s="32"/>
      <c r="EV524" s="32"/>
      <c r="EW524" s="32"/>
      <c r="EX524" s="32"/>
      <c r="EY524" s="32"/>
      <c r="EZ524" s="32"/>
      <c r="FA524" s="32"/>
      <c r="FB524" s="32"/>
      <c r="FC524" s="32"/>
      <c r="FD524" s="32"/>
      <c r="FE524" s="32"/>
      <c r="FF524" s="32"/>
      <c r="FG524" s="32"/>
      <c r="FH524" s="32"/>
      <c r="FI524" s="32"/>
      <c r="FJ524" s="32"/>
      <c r="FK524" s="32"/>
      <c r="FL524" s="32"/>
      <c r="FM524" s="32"/>
      <c r="FN524" s="32"/>
      <c r="FO524" s="32"/>
      <c r="FP524" s="32"/>
      <c r="FQ524" s="32"/>
      <c r="FR524" s="32"/>
      <c r="FS524" s="32"/>
      <c r="FT524" s="32"/>
      <c r="FU524" s="32"/>
      <c r="FV524" s="32"/>
      <c r="FW524" s="32"/>
      <c r="FX524" s="32"/>
      <c r="FY524" s="32"/>
      <c r="FZ524" s="32"/>
      <c r="GA524" s="32"/>
      <c r="GB524" s="32"/>
      <c r="GC524" s="32"/>
      <c r="GD524" s="32"/>
      <c r="GE524" s="32"/>
      <c r="GF524" s="32"/>
      <c r="GG524" s="32"/>
      <c r="GH524" s="32"/>
      <c r="GI524" s="32"/>
      <c r="GJ524" s="32"/>
      <c r="GK524" s="32"/>
      <c r="GL524" s="32"/>
      <c r="GM524" s="32"/>
      <c r="GN524" s="32"/>
      <c r="GO524" s="32"/>
      <c r="GP524" s="32"/>
      <c r="GQ524" s="32"/>
      <c r="GR524" s="32"/>
      <c r="GS524" s="32"/>
      <c r="GT524" s="32"/>
      <c r="GU524" s="32"/>
      <c r="GV524" s="32"/>
      <c r="GW524" s="32"/>
      <c r="GX524" s="32"/>
      <c r="GY524" s="32"/>
      <c r="GZ524" s="32"/>
      <c r="HA524" s="32"/>
      <c r="HB524" s="32"/>
      <c r="HC524" s="32"/>
      <c r="HD524" s="32"/>
      <c r="HE524" s="32"/>
      <c r="HF524" s="32"/>
      <c r="HG524" s="32"/>
      <c r="HH524" s="32"/>
      <c r="HI524" s="32"/>
      <c r="HJ524" s="32"/>
      <c r="HK524" s="32"/>
      <c r="HL524" s="32"/>
      <c r="HM524" s="32"/>
      <c r="HN524" s="32"/>
      <c r="HO524" s="32"/>
      <c r="HP524" s="32"/>
    </row>
    <row r="525" spans="1:224" x14ac:dyDescent="0.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  <c r="AY525" s="32"/>
      <c r="AZ525" s="32"/>
      <c r="BA525" s="32"/>
      <c r="BB525" s="32"/>
      <c r="BC525" s="32"/>
      <c r="BD525" s="32"/>
      <c r="BE525" s="32"/>
      <c r="BF525" s="32"/>
      <c r="BG525" s="32"/>
      <c r="BH525" s="32"/>
      <c r="BI525" s="32"/>
      <c r="BJ525" s="32"/>
      <c r="BK525" s="32"/>
      <c r="BL525" s="32"/>
      <c r="BM525" s="32"/>
      <c r="BN525" s="32"/>
      <c r="BO525" s="32"/>
      <c r="BP525" s="32"/>
      <c r="BQ525" s="32"/>
      <c r="BR525" s="32"/>
      <c r="BS525" s="32"/>
      <c r="BT525" s="32"/>
      <c r="BU525" s="32"/>
      <c r="BV525" s="32"/>
      <c r="BW525" s="32"/>
      <c r="BX525" s="32"/>
      <c r="BY525" s="32"/>
      <c r="BZ525" s="32"/>
      <c r="CA525" s="32"/>
      <c r="CB525" s="32"/>
      <c r="CC525" s="32"/>
      <c r="CD525" s="32"/>
      <c r="CE525" s="32"/>
      <c r="CF525" s="32"/>
      <c r="CG525" s="32"/>
      <c r="CH525" s="32"/>
      <c r="CI525" s="32"/>
      <c r="CJ525" s="32"/>
      <c r="CK525" s="32"/>
      <c r="CL525" s="32"/>
      <c r="CM525" s="32"/>
      <c r="CN525" s="32"/>
      <c r="CO525" s="32"/>
      <c r="CP525" s="32"/>
      <c r="CQ525" s="32"/>
      <c r="CR525" s="32"/>
      <c r="CS525" s="32"/>
      <c r="CT525" s="32"/>
      <c r="CU525" s="32"/>
      <c r="CV525" s="32"/>
      <c r="CW525" s="32"/>
      <c r="CX525" s="32"/>
      <c r="CY525" s="32"/>
      <c r="CZ525" s="32"/>
      <c r="DA525" s="32"/>
      <c r="DB525" s="32"/>
      <c r="DC525" s="32"/>
      <c r="DD525" s="32"/>
      <c r="DE525" s="32"/>
      <c r="DF525" s="32"/>
      <c r="DG525" s="32"/>
      <c r="DH525" s="32"/>
      <c r="DI525" s="32"/>
      <c r="DJ525" s="32"/>
      <c r="DK525" s="32"/>
      <c r="DL525" s="32"/>
      <c r="DM525" s="32"/>
      <c r="DN525" s="32"/>
      <c r="DO525" s="32"/>
      <c r="DP525" s="32"/>
      <c r="DQ525" s="32"/>
      <c r="DR525" s="32"/>
      <c r="DS525" s="32"/>
      <c r="DT525" s="32"/>
      <c r="DU525" s="32"/>
      <c r="DV525" s="32"/>
      <c r="DW525" s="32"/>
      <c r="DX525" s="32"/>
      <c r="DY525" s="32"/>
      <c r="DZ525" s="32"/>
      <c r="EA525" s="32"/>
      <c r="EB525" s="32"/>
      <c r="EC525" s="32"/>
      <c r="ED525" s="32"/>
      <c r="EE525" s="32"/>
      <c r="EF525" s="32"/>
      <c r="EG525" s="32"/>
      <c r="EH525" s="32"/>
      <c r="EI525" s="32"/>
      <c r="EJ525" s="32"/>
      <c r="EK525" s="32"/>
      <c r="EL525" s="32"/>
      <c r="EM525" s="32"/>
      <c r="EN525" s="32"/>
      <c r="EO525" s="32"/>
      <c r="EP525" s="32"/>
      <c r="EQ525" s="32"/>
      <c r="ER525" s="32"/>
      <c r="ES525" s="32"/>
      <c r="ET525" s="32"/>
      <c r="EU525" s="32"/>
      <c r="EV525" s="32"/>
      <c r="EW525" s="32"/>
      <c r="EX525" s="32"/>
      <c r="EY525" s="32"/>
      <c r="EZ525" s="32"/>
      <c r="FA525" s="32"/>
      <c r="FB525" s="32"/>
      <c r="FC525" s="32"/>
      <c r="FD525" s="32"/>
      <c r="FE525" s="32"/>
      <c r="FF525" s="32"/>
      <c r="FG525" s="32"/>
      <c r="FH525" s="32"/>
      <c r="FI525" s="32"/>
      <c r="FJ525" s="32"/>
      <c r="FK525" s="32"/>
      <c r="FL525" s="32"/>
      <c r="FM525" s="32"/>
      <c r="FN525" s="32"/>
      <c r="FO525" s="32"/>
      <c r="FP525" s="32"/>
      <c r="FQ525" s="32"/>
      <c r="FR525" s="32"/>
      <c r="FS525" s="32"/>
      <c r="FT525" s="32"/>
      <c r="FU525" s="32"/>
      <c r="FV525" s="32"/>
      <c r="FW525" s="32"/>
      <c r="FX525" s="32"/>
      <c r="FY525" s="32"/>
      <c r="FZ525" s="32"/>
      <c r="GA525" s="32"/>
      <c r="GB525" s="32"/>
      <c r="GC525" s="32"/>
      <c r="GD525" s="32"/>
      <c r="GE525" s="32"/>
      <c r="GF525" s="32"/>
      <c r="GG525" s="32"/>
      <c r="GH525" s="32"/>
      <c r="GI525" s="32"/>
      <c r="GJ525" s="32"/>
      <c r="GK525" s="32"/>
      <c r="GL525" s="32"/>
      <c r="GM525" s="32"/>
      <c r="GN525" s="32"/>
      <c r="GO525" s="32"/>
      <c r="GP525" s="32"/>
      <c r="GQ525" s="32"/>
      <c r="GR525" s="32"/>
      <c r="GS525" s="32"/>
      <c r="GT525" s="32"/>
      <c r="GU525" s="32"/>
      <c r="GV525" s="32"/>
      <c r="GW525" s="32"/>
      <c r="GX525" s="32"/>
      <c r="GY525" s="32"/>
      <c r="GZ525" s="32"/>
      <c r="HA525" s="32"/>
      <c r="HB525" s="32"/>
      <c r="HC525" s="32"/>
      <c r="HD525" s="32"/>
      <c r="HE525" s="32"/>
      <c r="HF525" s="32"/>
      <c r="HG525" s="32"/>
      <c r="HH525" s="32"/>
      <c r="HI525" s="32"/>
      <c r="HJ525" s="32"/>
      <c r="HK525" s="32"/>
      <c r="HL525" s="32"/>
      <c r="HM525" s="32"/>
      <c r="HN525" s="32"/>
      <c r="HO525" s="32"/>
      <c r="HP525" s="32"/>
    </row>
    <row r="526" spans="1:224" x14ac:dyDescent="0.25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  <c r="BA526" s="32"/>
      <c r="BB526" s="32"/>
      <c r="BC526" s="32"/>
      <c r="BD526" s="32"/>
      <c r="BE526" s="32"/>
      <c r="BF526" s="32"/>
      <c r="BG526" s="32"/>
      <c r="BH526" s="32"/>
      <c r="BI526" s="32"/>
      <c r="BJ526" s="32"/>
      <c r="BK526" s="32"/>
      <c r="BL526" s="32"/>
      <c r="BM526" s="32"/>
      <c r="BN526" s="32"/>
      <c r="BO526" s="32"/>
      <c r="BP526" s="32"/>
      <c r="BQ526" s="32"/>
      <c r="BR526" s="32"/>
      <c r="BS526" s="32"/>
      <c r="BT526" s="32"/>
      <c r="BU526" s="32"/>
      <c r="BV526" s="32"/>
      <c r="BW526" s="32"/>
      <c r="BX526" s="32"/>
      <c r="BY526" s="32"/>
      <c r="BZ526" s="32"/>
      <c r="CA526" s="32"/>
      <c r="CB526" s="32"/>
      <c r="CC526" s="32"/>
      <c r="CD526" s="32"/>
      <c r="CE526" s="32"/>
      <c r="CF526" s="32"/>
      <c r="CG526" s="32"/>
      <c r="CH526" s="32"/>
      <c r="CI526" s="32"/>
      <c r="CJ526" s="32"/>
      <c r="CK526" s="32"/>
      <c r="CL526" s="32"/>
      <c r="CM526" s="32"/>
      <c r="CN526" s="32"/>
      <c r="CO526" s="32"/>
      <c r="CP526" s="32"/>
      <c r="CQ526" s="32"/>
      <c r="CR526" s="32"/>
      <c r="CS526" s="32"/>
      <c r="CT526" s="32"/>
      <c r="CU526" s="32"/>
      <c r="CV526" s="32"/>
      <c r="CW526" s="32"/>
      <c r="CX526" s="32"/>
      <c r="CY526" s="32"/>
      <c r="CZ526" s="32"/>
      <c r="DA526" s="32"/>
      <c r="DB526" s="32"/>
      <c r="DC526" s="32"/>
      <c r="DD526" s="32"/>
      <c r="DE526" s="32"/>
      <c r="DF526" s="32"/>
      <c r="DG526" s="32"/>
      <c r="DH526" s="32"/>
      <c r="DI526" s="32"/>
      <c r="DJ526" s="32"/>
      <c r="DK526" s="32"/>
      <c r="DL526" s="32"/>
      <c r="DM526" s="32"/>
      <c r="DN526" s="32"/>
      <c r="DO526" s="32"/>
      <c r="DP526" s="32"/>
      <c r="DQ526" s="32"/>
      <c r="DR526" s="32"/>
      <c r="DS526" s="32"/>
      <c r="DT526" s="32"/>
      <c r="DU526" s="32"/>
      <c r="DV526" s="32"/>
      <c r="DW526" s="32"/>
      <c r="DX526" s="32"/>
      <c r="DY526" s="32"/>
      <c r="DZ526" s="32"/>
      <c r="EA526" s="32"/>
      <c r="EB526" s="32"/>
      <c r="EC526" s="32"/>
      <c r="ED526" s="32"/>
      <c r="EE526" s="32"/>
      <c r="EF526" s="32"/>
      <c r="EG526" s="32"/>
      <c r="EH526" s="32"/>
      <c r="EI526" s="32"/>
      <c r="EJ526" s="32"/>
      <c r="EK526" s="32"/>
      <c r="EL526" s="32"/>
      <c r="EM526" s="32"/>
      <c r="EN526" s="32"/>
      <c r="EO526" s="32"/>
      <c r="EP526" s="32"/>
      <c r="EQ526" s="32"/>
      <c r="ER526" s="32"/>
      <c r="ES526" s="32"/>
      <c r="ET526" s="32"/>
      <c r="EU526" s="32"/>
      <c r="EV526" s="32"/>
      <c r="EW526" s="32"/>
      <c r="EX526" s="32"/>
      <c r="EY526" s="32"/>
      <c r="EZ526" s="32"/>
      <c r="FA526" s="32"/>
      <c r="FB526" s="32"/>
      <c r="FC526" s="32"/>
      <c r="FD526" s="32"/>
      <c r="FE526" s="32"/>
      <c r="FF526" s="32"/>
      <c r="FG526" s="32"/>
      <c r="FH526" s="32"/>
      <c r="FI526" s="32"/>
      <c r="FJ526" s="32"/>
      <c r="FK526" s="32"/>
      <c r="FL526" s="32"/>
      <c r="FM526" s="32"/>
      <c r="FN526" s="32"/>
      <c r="FO526" s="32"/>
      <c r="FP526" s="32"/>
      <c r="FQ526" s="32"/>
      <c r="FR526" s="32"/>
      <c r="FS526" s="32"/>
      <c r="FT526" s="32"/>
      <c r="FU526" s="32"/>
      <c r="FV526" s="32"/>
      <c r="FW526" s="32"/>
      <c r="FX526" s="32"/>
      <c r="FY526" s="32"/>
      <c r="FZ526" s="32"/>
      <c r="GA526" s="32"/>
      <c r="GB526" s="32"/>
      <c r="GC526" s="32"/>
      <c r="GD526" s="32"/>
      <c r="GE526" s="32"/>
      <c r="GF526" s="32"/>
      <c r="GG526" s="32"/>
      <c r="GH526" s="32"/>
      <c r="GI526" s="32"/>
      <c r="GJ526" s="32"/>
      <c r="GK526" s="32"/>
      <c r="GL526" s="32"/>
      <c r="GM526" s="32"/>
      <c r="GN526" s="32"/>
      <c r="GO526" s="32"/>
      <c r="GP526" s="32"/>
      <c r="GQ526" s="32"/>
      <c r="GR526" s="32"/>
      <c r="GS526" s="32"/>
      <c r="GT526" s="32"/>
      <c r="GU526" s="32"/>
      <c r="GV526" s="32"/>
      <c r="GW526" s="32"/>
      <c r="GX526" s="32"/>
      <c r="GY526" s="32"/>
      <c r="GZ526" s="32"/>
      <c r="HA526" s="32"/>
      <c r="HB526" s="32"/>
      <c r="HC526" s="32"/>
      <c r="HD526" s="32"/>
      <c r="HE526" s="32"/>
      <c r="HF526" s="32"/>
      <c r="HG526" s="32"/>
      <c r="HH526" s="32"/>
      <c r="HI526" s="32"/>
      <c r="HJ526" s="32"/>
      <c r="HK526" s="32"/>
      <c r="HL526" s="32"/>
      <c r="HM526" s="32"/>
      <c r="HN526" s="32"/>
      <c r="HO526" s="32"/>
      <c r="HP526" s="32"/>
    </row>
    <row r="527" spans="1:224" x14ac:dyDescent="0.25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  <c r="BA527" s="32"/>
      <c r="BB527" s="32"/>
      <c r="BC527" s="32"/>
      <c r="BD527" s="32"/>
      <c r="BE527" s="32"/>
      <c r="BF527" s="32"/>
      <c r="BG527" s="32"/>
      <c r="BH527" s="32"/>
      <c r="BI527" s="32"/>
      <c r="BJ527" s="32"/>
      <c r="BK527" s="32"/>
      <c r="BL527" s="32"/>
      <c r="BM527" s="32"/>
      <c r="BN527" s="32"/>
      <c r="BO527" s="32"/>
      <c r="BP527" s="32"/>
      <c r="BQ527" s="32"/>
      <c r="BR527" s="32"/>
      <c r="BS527" s="32"/>
      <c r="BT527" s="32"/>
      <c r="BU527" s="32"/>
      <c r="BV527" s="32"/>
      <c r="BW527" s="32"/>
      <c r="BX527" s="32"/>
      <c r="BY527" s="32"/>
      <c r="BZ527" s="32"/>
      <c r="CA527" s="32"/>
      <c r="CB527" s="32"/>
      <c r="CC527" s="32"/>
      <c r="CD527" s="32"/>
      <c r="CE527" s="32"/>
      <c r="CF527" s="32"/>
      <c r="CG527" s="32"/>
      <c r="CH527" s="32"/>
      <c r="CI527" s="32"/>
      <c r="CJ527" s="32"/>
      <c r="CK527" s="32"/>
      <c r="CL527" s="32"/>
      <c r="CM527" s="32"/>
      <c r="CN527" s="32"/>
      <c r="CO527" s="32"/>
      <c r="CP527" s="32"/>
      <c r="CQ527" s="32"/>
      <c r="CR527" s="32"/>
      <c r="CS527" s="32"/>
      <c r="CT527" s="32"/>
      <c r="CU527" s="32"/>
      <c r="CV527" s="32"/>
      <c r="CW527" s="32"/>
      <c r="CX527" s="32"/>
      <c r="CY527" s="32"/>
      <c r="CZ527" s="32"/>
      <c r="DA527" s="32"/>
      <c r="DB527" s="32"/>
      <c r="DC527" s="32"/>
      <c r="DD527" s="32"/>
      <c r="DE527" s="32"/>
      <c r="DF527" s="32"/>
      <c r="DG527" s="32"/>
      <c r="DH527" s="32"/>
      <c r="DI527" s="32"/>
      <c r="DJ527" s="32"/>
      <c r="DK527" s="32"/>
      <c r="DL527" s="32"/>
      <c r="DM527" s="32"/>
      <c r="DN527" s="32"/>
      <c r="DO527" s="32"/>
      <c r="DP527" s="32"/>
      <c r="DQ527" s="32"/>
      <c r="DR527" s="32"/>
      <c r="DS527" s="32"/>
      <c r="DT527" s="32"/>
      <c r="DU527" s="32"/>
      <c r="DV527" s="32"/>
      <c r="DW527" s="32"/>
      <c r="DX527" s="32"/>
      <c r="DY527" s="32"/>
      <c r="DZ527" s="32"/>
      <c r="EA527" s="32"/>
      <c r="EB527" s="32"/>
      <c r="EC527" s="32"/>
      <c r="ED527" s="32"/>
      <c r="EE527" s="32"/>
      <c r="EF527" s="32"/>
      <c r="EG527" s="32"/>
      <c r="EH527" s="32"/>
      <c r="EI527" s="32"/>
      <c r="EJ527" s="32"/>
      <c r="EK527" s="32"/>
      <c r="EL527" s="32"/>
      <c r="EM527" s="32"/>
      <c r="EN527" s="32"/>
      <c r="EO527" s="32"/>
      <c r="EP527" s="32"/>
      <c r="EQ527" s="32"/>
      <c r="ER527" s="32"/>
      <c r="ES527" s="32"/>
      <c r="ET527" s="32"/>
      <c r="EU527" s="32"/>
      <c r="EV527" s="32"/>
      <c r="EW527" s="32"/>
      <c r="EX527" s="32"/>
      <c r="EY527" s="32"/>
      <c r="EZ527" s="32"/>
      <c r="FA527" s="32"/>
      <c r="FB527" s="32"/>
      <c r="FC527" s="32"/>
      <c r="FD527" s="32"/>
      <c r="FE527" s="32"/>
      <c r="FF527" s="32"/>
      <c r="FG527" s="32"/>
      <c r="FH527" s="32"/>
      <c r="FI527" s="32"/>
      <c r="FJ527" s="32"/>
      <c r="FK527" s="32"/>
      <c r="FL527" s="32"/>
      <c r="FM527" s="32"/>
      <c r="FN527" s="32"/>
      <c r="FO527" s="32"/>
      <c r="FP527" s="32"/>
      <c r="FQ527" s="32"/>
      <c r="FR527" s="32"/>
      <c r="FS527" s="32"/>
      <c r="FT527" s="32"/>
      <c r="FU527" s="32"/>
      <c r="FV527" s="32"/>
      <c r="FW527" s="32"/>
      <c r="FX527" s="32"/>
      <c r="FY527" s="32"/>
      <c r="FZ527" s="32"/>
      <c r="GA527" s="32"/>
      <c r="GB527" s="32"/>
      <c r="GC527" s="32"/>
      <c r="GD527" s="32"/>
      <c r="GE527" s="32"/>
      <c r="GF527" s="32"/>
      <c r="GG527" s="32"/>
      <c r="GH527" s="32"/>
      <c r="GI527" s="32"/>
      <c r="GJ527" s="32"/>
      <c r="GK527" s="32"/>
      <c r="GL527" s="32"/>
      <c r="GM527" s="32"/>
      <c r="GN527" s="32"/>
      <c r="GO527" s="32"/>
      <c r="GP527" s="32"/>
      <c r="GQ527" s="32"/>
      <c r="GR527" s="32"/>
      <c r="GS527" s="32"/>
      <c r="GT527" s="32"/>
      <c r="GU527" s="32"/>
      <c r="GV527" s="32"/>
      <c r="GW527" s="32"/>
      <c r="GX527" s="32"/>
      <c r="GY527" s="32"/>
      <c r="GZ527" s="32"/>
      <c r="HA527" s="32"/>
      <c r="HB527" s="32"/>
      <c r="HC527" s="32"/>
      <c r="HD527" s="32"/>
      <c r="HE527" s="32"/>
      <c r="HF527" s="32"/>
      <c r="HG527" s="32"/>
      <c r="HH527" s="32"/>
      <c r="HI527" s="32"/>
      <c r="HJ527" s="32"/>
      <c r="HK527" s="32"/>
      <c r="HL527" s="32"/>
      <c r="HM527" s="32"/>
      <c r="HN527" s="32"/>
      <c r="HO527" s="32"/>
      <c r="HP527" s="32"/>
    </row>
    <row r="528" spans="1:224" x14ac:dyDescent="0.25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2"/>
      <c r="BA528" s="32"/>
      <c r="BB528" s="32"/>
      <c r="BC528" s="32"/>
      <c r="BD528" s="32"/>
      <c r="BE528" s="32"/>
      <c r="BF528" s="32"/>
      <c r="BG528" s="32"/>
      <c r="BH528" s="32"/>
      <c r="BI528" s="32"/>
      <c r="BJ528" s="32"/>
      <c r="BK528" s="32"/>
      <c r="BL528" s="32"/>
      <c r="BM528" s="32"/>
      <c r="BN528" s="32"/>
      <c r="BO528" s="32"/>
      <c r="BP528" s="32"/>
      <c r="BQ528" s="32"/>
      <c r="BR528" s="32"/>
      <c r="BS528" s="32"/>
      <c r="BT528" s="32"/>
      <c r="BU528" s="32"/>
      <c r="BV528" s="32"/>
      <c r="BW528" s="32"/>
      <c r="BX528" s="32"/>
      <c r="BY528" s="32"/>
      <c r="BZ528" s="32"/>
      <c r="CA528" s="32"/>
      <c r="CB528" s="32"/>
      <c r="CC528" s="32"/>
      <c r="CD528" s="32"/>
      <c r="CE528" s="32"/>
      <c r="CF528" s="32"/>
      <c r="CG528" s="32"/>
      <c r="CH528" s="32"/>
      <c r="CI528" s="32"/>
      <c r="CJ528" s="32"/>
      <c r="CK528" s="32"/>
      <c r="CL528" s="32"/>
      <c r="CM528" s="32"/>
      <c r="CN528" s="32"/>
      <c r="CO528" s="32"/>
      <c r="CP528" s="32"/>
      <c r="CQ528" s="32"/>
      <c r="CR528" s="32"/>
      <c r="CS528" s="32"/>
      <c r="CT528" s="32"/>
      <c r="CU528" s="32"/>
      <c r="CV528" s="32"/>
      <c r="CW528" s="32"/>
      <c r="CX528" s="32"/>
      <c r="CY528" s="32"/>
      <c r="CZ528" s="32"/>
      <c r="DA528" s="32"/>
      <c r="DB528" s="32"/>
      <c r="DC528" s="32"/>
      <c r="DD528" s="32"/>
      <c r="DE528" s="32"/>
      <c r="DF528" s="32"/>
      <c r="DG528" s="32"/>
      <c r="DH528" s="32"/>
      <c r="DI528" s="32"/>
      <c r="DJ528" s="32"/>
      <c r="DK528" s="32"/>
      <c r="DL528" s="32"/>
      <c r="DM528" s="32"/>
      <c r="DN528" s="32"/>
      <c r="DO528" s="32"/>
      <c r="DP528" s="32"/>
      <c r="DQ528" s="32"/>
      <c r="DR528" s="32"/>
      <c r="DS528" s="32"/>
      <c r="DT528" s="32"/>
      <c r="DU528" s="32"/>
      <c r="DV528" s="32"/>
      <c r="DW528" s="32"/>
      <c r="DX528" s="32"/>
      <c r="DY528" s="32"/>
      <c r="DZ528" s="32"/>
      <c r="EA528" s="32"/>
      <c r="EB528" s="32"/>
      <c r="EC528" s="32"/>
      <c r="ED528" s="32"/>
      <c r="EE528" s="32"/>
      <c r="EF528" s="32"/>
      <c r="EG528" s="32"/>
      <c r="EH528" s="32"/>
      <c r="EI528" s="32"/>
      <c r="EJ528" s="32"/>
      <c r="EK528" s="32"/>
      <c r="EL528" s="32"/>
      <c r="EM528" s="32"/>
      <c r="EN528" s="32"/>
      <c r="EO528" s="32"/>
      <c r="EP528" s="32"/>
      <c r="EQ528" s="32"/>
      <c r="ER528" s="32"/>
      <c r="ES528" s="32"/>
      <c r="ET528" s="32"/>
      <c r="EU528" s="32"/>
      <c r="EV528" s="32"/>
      <c r="EW528" s="32"/>
      <c r="EX528" s="32"/>
      <c r="EY528" s="32"/>
      <c r="EZ528" s="32"/>
      <c r="FA528" s="32"/>
      <c r="FB528" s="32"/>
      <c r="FC528" s="32"/>
      <c r="FD528" s="32"/>
      <c r="FE528" s="32"/>
      <c r="FF528" s="32"/>
      <c r="FG528" s="32"/>
      <c r="FH528" s="32"/>
      <c r="FI528" s="32"/>
      <c r="FJ528" s="32"/>
      <c r="FK528" s="32"/>
      <c r="FL528" s="32"/>
      <c r="FM528" s="32"/>
      <c r="FN528" s="32"/>
      <c r="FO528" s="32"/>
      <c r="FP528" s="32"/>
      <c r="FQ528" s="32"/>
      <c r="FR528" s="32"/>
      <c r="FS528" s="32"/>
      <c r="FT528" s="32"/>
      <c r="FU528" s="32"/>
      <c r="FV528" s="32"/>
      <c r="FW528" s="32"/>
      <c r="FX528" s="32"/>
      <c r="FY528" s="32"/>
      <c r="FZ528" s="32"/>
      <c r="GA528" s="32"/>
      <c r="GB528" s="32"/>
      <c r="GC528" s="32"/>
      <c r="GD528" s="32"/>
      <c r="GE528" s="32"/>
      <c r="GF528" s="32"/>
      <c r="GG528" s="32"/>
      <c r="GH528" s="32"/>
      <c r="GI528" s="32"/>
      <c r="GJ528" s="32"/>
      <c r="GK528" s="32"/>
      <c r="GL528" s="32"/>
      <c r="GM528" s="32"/>
      <c r="GN528" s="32"/>
      <c r="GO528" s="32"/>
      <c r="GP528" s="32"/>
      <c r="GQ528" s="32"/>
      <c r="GR528" s="32"/>
      <c r="GS528" s="32"/>
      <c r="GT528" s="32"/>
      <c r="GU528" s="32"/>
      <c r="GV528" s="32"/>
      <c r="GW528" s="32"/>
      <c r="GX528" s="32"/>
      <c r="GY528" s="32"/>
      <c r="GZ528" s="32"/>
      <c r="HA528" s="32"/>
      <c r="HB528" s="32"/>
      <c r="HC528" s="32"/>
      <c r="HD528" s="32"/>
      <c r="HE528" s="32"/>
      <c r="HF528" s="32"/>
      <c r="HG528" s="32"/>
      <c r="HH528" s="32"/>
      <c r="HI528" s="32"/>
      <c r="HJ528" s="32"/>
      <c r="HK528" s="32"/>
      <c r="HL528" s="32"/>
      <c r="HM528" s="32"/>
      <c r="HN528" s="32"/>
      <c r="HO528" s="32"/>
      <c r="HP528" s="32"/>
    </row>
    <row r="529" spans="1:224" x14ac:dyDescent="0.25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2"/>
      <c r="BA529" s="32"/>
      <c r="BB529" s="32"/>
      <c r="BC529" s="32"/>
      <c r="BD529" s="32"/>
      <c r="BE529" s="32"/>
      <c r="BF529" s="32"/>
      <c r="BG529" s="32"/>
      <c r="BH529" s="32"/>
      <c r="BI529" s="32"/>
      <c r="BJ529" s="32"/>
      <c r="BK529" s="32"/>
      <c r="BL529" s="32"/>
      <c r="BM529" s="32"/>
      <c r="BN529" s="32"/>
      <c r="BO529" s="32"/>
      <c r="BP529" s="32"/>
      <c r="BQ529" s="32"/>
      <c r="BR529" s="32"/>
      <c r="BS529" s="32"/>
      <c r="BT529" s="32"/>
      <c r="BU529" s="32"/>
      <c r="BV529" s="32"/>
      <c r="BW529" s="32"/>
      <c r="BX529" s="32"/>
      <c r="BY529" s="32"/>
      <c r="BZ529" s="32"/>
      <c r="CA529" s="32"/>
      <c r="CB529" s="32"/>
      <c r="CC529" s="32"/>
      <c r="CD529" s="32"/>
      <c r="CE529" s="32"/>
      <c r="CF529" s="32"/>
      <c r="CG529" s="32"/>
      <c r="CH529" s="32"/>
      <c r="CI529" s="32"/>
      <c r="CJ529" s="32"/>
      <c r="CK529" s="32"/>
      <c r="CL529" s="32"/>
      <c r="CM529" s="32"/>
      <c r="CN529" s="32"/>
      <c r="CO529" s="32"/>
      <c r="CP529" s="32"/>
      <c r="CQ529" s="32"/>
      <c r="CR529" s="32"/>
      <c r="CS529" s="32"/>
      <c r="CT529" s="32"/>
      <c r="CU529" s="32"/>
      <c r="CV529" s="32"/>
      <c r="CW529" s="32"/>
      <c r="CX529" s="32"/>
      <c r="CY529" s="32"/>
      <c r="CZ529" s="32"/>
      <c r="DA529" s="32"/>
      <c r="DB529" s="32"/>
      <c r="DC529" s="32"/>
      <c r="DD529" s="32"/>
      <c r="DE529" s="32"/>
      <c r="DF529" s="32"/>
      <c r="DG529" s="32"/>
      <c r="DH529" s="32"/>
      <c r="DI529" s="32"/>
      <c r="DJ529" s="32"/>
      <c r="DK529" s="32"/>
      <c r="DL529" s="32"/>
      <c r="DM529" s="32"/>
      <c r="DN529" s="32"/>
      <c r="DO529" s="32"/>
      <c r="DP529" s="32"/>
      <c r="DQ529" s="32"/>
      <c r="DR529" s="32"/>
      <c r="DS529" s="32"/>
      <c r="DT529" s="32"/>
      <c r="DU529" s="32"/>
      <c r="DV529" s="32"/>
      <c r="DW529" s="32"/>
      <c r="DX529" s="32"/>
      <c r="DY529" s="32"/>
      <c r="DZ529" s="32"/>
      <c r="EA529" s="32"/>
      <c r="EB529" s="32"/>
      <c r="EC529" s="32"/>
      <c r="ED529" s="32"/>
      <c r="EE529" s="32"/>
      <c r="EF529" s="32"/>
      <c r="EG529" s="32"/>
      <c r="EH529" s="32"/>
      <c r="EI529" s="32"/>
      <c r="EJ529" s="32"/>
      <c r="EK529" s="32"/>
      <c r="EL529" s="32"/>
      <c r="EM529" s="32"/>
      <c r="EN529" s="32"/>
      <c r="EO529" s="32"/>
      <c r="EP529" s="32"/>
      <c r="EQ529" s="32"/>
      <c r="ER529" s="32"/>
      <c r="ES529" s="32"/>
      <c r="ET529" s="32"/>
      <c r="EU529" s="32"/>
      <c r="EV529" s="32"/>
      <c r="EW529" s="32"/>
      <c r="EX529" s="32"/>
      <c r="EY529" s="32"/>
      <c r="EZ529" s="32"/>
      <c r="FA529" s="32"/>
      <c r="FB529" s="32"/>
      <c r="FC529" s="32"/>
      <c r="FD529" s="32"/>
      <c r="FE529" s="32"/>
      <c r="FF529" s="32"/>
      <c r="FG529" s="32"/>
      <c r="FH529" s="32"/>
      <c r="FI529" s="32"/>
      <c r="FJ529" s="32"/>
      <c r="FK529" s="32"/>
      <c r="FL529" s="32"/>
      <c r="FM529" s="32"/>
      <c r="FN529" s="32"/>
      <c r="FO529" s="32"/>
      <c r="FP529" s="32"/>
      <c r="FQ529" s="32"/>
      <c r="FR529" s="32"/>
      <c r="FS529" s="32"/>
      <c r="FT529" s="32"/>
      <c r="FU529" s="32"/>
      <c r="FV529" s="32"/>
      <c r="FW529" s="32"/>
      <c r="FX529" s="32"/>
      <c r="FY529" s="32"/>
      <c r="FZ529" s="32"/>
      <c r="GA529" s="32"/>
      <c r="GB529" s="32"/>
      <c r="GC529" s="32"/>
      <c r="GD529" s="32"/>
      <c r="GE529" s="32"/>
      <c r="GF529" s="32"/>
      <c r="GG529" s="32"/>
      <c r="GH529" s="32"/>
      <c r="GI529" s="32"/>
      <c r="GJ529" s="32"/>
      <c r="GK529" s="32"/>
      <c r="GL529" s="32"/>
      <c r="GM529" s="32"/>
      <c r="GN529" s="32"/>
      <c r="GO529" s="32"/>
      <c r="GP529" s="32"/>
      <c r="GQ529" s="32"/>
      <c r="GR529" s="32"/>
      <c r="GS529" s="32"/>
      <c r="GT529" s="32"/>
      <c r="GU529" s="32"/>
      <c r="GV529" s="32"/>
      <c r="GW529" s="32"/>
      <c r="GX529" s="32"/>
      <c r="GY529" s="32"/>
      <c r="GZ529" s="32"/>
      <c r="HA529" s="32"/>
      <c r="HB529" s="32"/>
      <c r="HC529" s="32"/>
      <c r="HD529" s="32"/>
      <c r="HE529" s="32"/>
      <c r="HF529" s="32"/>
      <c r="HG529" s="32"/>
      <c r="HH529" s="32"/>
      <c r="HI529" s="32"/>
      <c r="HJ529" s="32"/>
      <c r="HK529" s="32"/>
      <c r="HL529" s="32"/>
      <c r="HM529" s="32"/>
      <c r="HN529" s="32"/>
      <c r="HO529" s="32"/>
      <c r="HP529" s="32"/>
    </row>
    <row r="530" spans="1:224" x14ac:dyDescent="0.25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2"/>
      <c r="AZ530" s="32"/>
      <c r="BA530" s="32"/>
      <c r="BB530" s="32"/>
      <c r="BC530" s="32"/>
      <c r="BD530" s="32"/>
      <c r="BE530" s="32"/>
      <c r="BF530" s="32"/>
      <c r="BG530" s="32"/>
      <c r="BH530" s="32"/>
      <c r="BI530" s="32"/>
      <c r="BJ530" s="32"/>
      <c r="BK530" s="32"/>
      <c r="BL530" s="32"/>
      <c r="BM530" s="32"/>
      <c r="BN530" s="32"/>
      <c r="BO530" s="32"/>
      <c r="BP530" s="32"/>
      <c r="BQ530" s="32"/>
      <c r="BR530" s="32"/>
      <c r="BS530" s="32"/>
      <c r="BT530" s="32"/>
      <c r="BU530" s="32"/>
      <c r="BV530" s="32"/>
      <c r="BW530" s="32"/>
      <c r="BX530" s="32"/>
      <c r="BY530" s="32"/>
      <c r="BZ530" s="32"/>
      <c r="CA530" s="32"/>
      <c r="CB530" s="32"/>
      <c r="CC530" s="32"/>
      <c r="CD530" s="32"/>
      <c r="CE530" s="32"/>
      <c r="CF530" s="32"/>
      <c r="CG530" s="32"/>
      <c r="CH530" s="32"/>
      <c r="CI530" s="32"/>
      <c r="CJ530" s="32"/>
      <c r="CK530" s="32"/>
      <c r="CL530" s="32"/>
      <c r="CM530" s="32"/>
      <c r="CN530" s="32"/>
      <c r="CO530" s="32"/>
      <c r="CP530" s="32"/>
      <c r="CQ530" s="32"/>
      <c r="CR530" s="32"/>
      <c r="CS530" s="32"/>
      <c r="CT530" s="32"/>
      <c r="CU530" s="32"/>
      <c r="CV530" s="32"/>
      <c r="CW530" s="32"/>
      <c r="CX530" s="32"/>
      <c r="CY530" s="32"/>
      <c r="CZ530" s="32"/>
      <c r="DA530" s="32"/>
      <c r="DB530" s="32"/>
      <c r="DC530" s="32"/>
      <c r="DD530" s="32"/>
      <c r="DE530" s="32"/>
      <c r="DF530" s="32"/>
      <c r="DG530" s="32"/>
      <c r="DH530" s="32"/>
      <c r="DI530" s="32"/>
      <c r="DJ530" s="32"/>
      <c r="DK530" s="32"/>
      <c r="DL530" s="32"/>
      <c r="DM530" s="32"/>
      <c r="DN530" s="32"/>
      <c r="DO530" s="32"/>
      <c r="DP530" s="32"/>
      <c r="DQ530" s="32"/>
      <c r="DR530" s="32"/>
      <c r="DS530" s="32"/>
      <c r="DT530" s="32"/>
      <c r="DU530" s="32"/>
      <c r="DV530" s="32"/>
      <c r="DW530" s="32"/>
      <c r="DX530" s="32"/>
      <c r="DY530" s="32"/>
      <c r="DZ530" s="32"/>
      <c r="EA530" s="32"/>
      <c r="EB530" s="32"/>
      <c r="EC530" s="32"/>
      <c r="ED530" s="32"/>
      <c r="EE530" s="32"/>
      <c r="EF530" s="32"/>
      <c r="EG530" s="32"/>
      <c r="EH530" s="32"/>
      <c r="EI530" s="32"/>
      <c r="EJ530" s="32"/>
      <c r="EK530" s="32"/>
      <c r="EL530" s="32"/>
      <c r="EM530" s="32"/>
      <c r="EN530" s="32"/>
      <c r="EO530" s="32"/>
      <c r="EP530" s="32"/>
      <c r="EQ530" s="32"/>
      <c r="ER530" s="32"/>
      <c r="ES530" s="32"/>
      <c r="ET530" s="32"/>
      <c r="EU530" s="32"/>
      <c r="EV530" s="32"/>
      <c r="EW530" s="32"/>
      <c r="EX530" s="32"/>
      <c r="EY530" s="32"/>
      <c r="EZ530" s="32"/>
      <c r="FA530" s="32"/>
      <c r="FB530" s="32"/>
      <c r="FC530" s="32"/>
      <c r="FD530" s="32"/>
      <c r="FE530" s="32"/>
      <c r="FF530" s="32"/>
      <c r="FG530" s="32"/>
      <c r="FH530" s="32"/>
      <c r="FI530" s="32"/>
      <c r="FJ530" s="32"/>
      <c r="FK530" s="32"/>
      <c r="FL530" s="32"/>
      <c r="FM530" s="32"/>
      <c r="FN530" s="32"/>
      <c r="FO530" s="32"/>
      <c r="FP530" s="32"/>
      <c r="FQ530" s="32"/>
      <c r="FR530" s="32"/>
      <c r="FS530" s="32"/>
      <c r="FT530" s="32"/>
      <c r="FU530" s="32"/>
      <c r="FV530" s="32"/>
      <c r="FW530" s="32"/>
      <c r="FX530" s="32"/>
      <c r="FY530" s="32"/>
      <c r="FZ530" s="32"/>
      <c r="GA530" s="32"/>
      <c r="GB530" s="32"/>
      <c r="GC530" s="32"/>
      <c r="GD530" s="32"/>
      <c r="GE530" s="32"/>
      <c r="GF530" s="32"/>
      <c r="GG530" s="32"/>
      <c r="GH530" s="32"/>
      <c r="GI530" s="32"/>
      <c r="GJ530" s="32"/>
      <c r="GK530" s="32"/>
      <c r="GL530" s="32"/>
      <c r="GM530" s="32"/>
      <c r="GN530" s="32"/>
      <c r="GO530" s="32"/>
      <c r="GP530" s="32"/>
      <c r="GQ530" s="32"/>
      <c r="GR530" s="32"/>
      <c r="GS530" s="32"/>
      <c r="GT530" s="32"/>
      <c r="GU530" s="32"/>
      <c r="GV530" s="32"/>
      <c r="GW530" s="32"/>
      <c r="GX530" s="32"/>
      <c r="GY530" s="32"/>
      <c r="GZ530" s="32"/>
      <c r="HA530" s="32"/>
      <c r="HB530" s="32"/>
      <c r="HC530" s="32"/>
      <c r="HD530" s="32"/>
      <c r="HE530" s="32"/>
      <c r="HF530" s="32"/>
      <c r="HG530" s="32"/>
      <c r="HH530" s="32"/>
      <c r="HI530" s="32"/>
      <c r="HJ530" s="32"/>
      <c r="HK530" s="32"/>
      <c r="HL530" s="32"/>
      <c r="HM530" s="32"/>
      <c r="HN530" s="32"/>
      <c r="HO530" s="32"/>
      <c r="HP530" s="32"/>
    </row>
    <row r="531" spans="1:224" x14ac:dyDescent="0.25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  <c r="AY531" s="32"/>
      <c r="AZ531" s="32"/>
      <c r="BA531" s="32"/>
      <c r="BB531" s="32"/>
      <c r="BC531" s="32"/>
      <c r="BD531" s="32"/>
      <c r="BE531" s="32"/>
      <c r="BF531" s="32"/>
      <c r="BG531" s="32"/>
      <c r="BH531" s="32"/>
      <c r="BI531" s="32"/>
      <c r="BJ531" s="32"/>
      <c r="BK531" s="32"/>
      <c r="BL531" s="32"/>
      <c r="BM531" s="32"/>
      <c r="BN531" s="32"/>
      <c r="BO531" s="32"/>
      <c r="BP531" s="32"/>
      <c r="BQ531" s="32"/>
      <c r="BR531" s="32"/>
      <c r="BS531" s="32"/>
      <c r="BT531" s="32"/>
      <c r="BU531" s="32"/>
      <c r="BV531" s="32"/>
      <c r="BW531" s="32"/>
      <c r="BX531" s="32"/>
      <c r="BY531" s="32"/>
      <c r="BZ531" s="32"/>
      <c r="CA531" s="32"/>
      <c r="CB531" s="32"/>
      <c r="CC531" s="32"/>
      <c r="CD531" s="32"/>
      <c r="CE531" s="32"/>
      <c r="CF531" s="32"/>
      <c r="CG531" s="32"/>
      <c r="CH531" s="32"/>
      <c r="CI531" s="32"/>
      <c r="CJ531" s="32"/>
      <c r="CK531" s="32"/>
      <c r="CL531" s="32"/>
      <c r="CM531" s="32"/>
      <c r="CN531" s="32"/>
      <c r="CO531" s="32"/>
      <c r="CP531" s="32"/>
      <c r="CQ531" s="32"/>
      <c r="CR531" s="32"/>
      <c r="CS531" s="32"/>
      <c r="CT531" s="32"/>
      <c r="CU531" s="32"/>
      <c r="CV531" s="32"/>
      <c r="CW531" s="32"/>
      <c r="CX531" s="32"/>
      <c r="CY531" s="32"/>
      <c r="CZ531" s="32"/>
      <c r="DA531" s="32"/>
      <c r="DB531" s="32"/>
      <c r="DC531" s="32"/>
      <c r="DD531" s="32"/>
      <c r="DE531" s="32"/>
      <c r="DF531" s="32"/>
      <c r="DG531" s="32"/>
      <c r="DH531" s="32"/>
      <c r="DI531" s="32"/>
      <c r="DJ531" s="32"/>
      <c r="DK531" s="32"/>
      <c r="DL531" s="32"/>
      <c r="DM531" s="32"/>
      <c r="DN531" s="32"/>
      <c r="DO531" s="32"/>
      <c r="DP531" s="32"/>
      <c r="DQ531" s="32"/>
      <c r="DR531" s="32"/>
      <c r="DS531" s="32"/>
      <c r="DT531" s="32"/>
      <c r="DU531" s="32"/>
      <c r="DV531" s="32"/>
      <c r="DW531" s="32"/>
      <c r="DX531" s="32"/>
      <c r="DY531" s="32"/>
      <c r="DZ531" s="32"/>
      <c r="EA531" s="32"/>
      <c r="EB531" s="32"/>
      <c r="EC531" s="32"/>
      <c r="ED531" s="32"/>
      <c r="EE531" s="32"/>
      <c r="EF531" s="32"/>
      <c r="EG531" s="32"/>
      <c r="EH531" s="32"/>
      <c r="EI531" s="32"/>
      <c r="EJ531" s="32"/>
      <c r="EK531" s="32"/>
      <c r="EL531" s="32"/>
      <c r="EM531" s="32"/>
      <c r="EN531" s="32"/>
      <c r="EO531" s="32"/>
      <c r="EP531" s="32"/>
      <c r="EQ531" s="32"/>
      <c r="ER531" s="32"/>
      <c r="ES531" s="32"/>
      <c r="ET531" s="32"/>
      <c r="EU531" s="32"/>
      <c r="EV531" s="32"/>
      <c r="EW531" s="32"/>
      <c r="EX531" s="32"/>
      <c r="EY531" s="32"/>
      <c r="EZ531" s="32"/>
      <c r="FA531" s="32"/>
      <c r="FB531" s="32"/>
      <c r="FC531" s="32"/>
      <c r="FD531" s="32"/>
      <c r="FE531" s="32"/>
      <c r="FF531" s="32"/>
      <c r="FG531" s="32"/>
      <c r="FH531" s="32"/>
      <c r="FI531" s="32"/>
      <c r="FJ531" s="32"/>
      <c r="FK531" s="32"/>
      <c r="FL531" s="32"/>
      <c r="FM531" s="32"/>
      <c r="FN531" s="32"/>
      <c r="FO531" s="32"/>
      <c r="FP531" s="32"/>
      <c r="FQ531" s="32"/>
      <c r="FR531" s="32"/>
      <c r="FS531" s="32"/>
      <c r="FT531" s="32"/>
      <c r="FU531" s="32"/>
      <c r="FV531" s="32"/>
      <c r="FW531" s="32"/>
      <c r="FX531" s="32"/>
      <c r="FY531" s="32"/>
      <c r="FZ531" s="32"/>
      <c r="GA531" s="32"/>
      <c r="GB531" s="32"/>
      <c r="GC531" s="32"/>
      <c r="GD531" s="32"/>
      <c r="GE531" s="32"/>
      <c r="GF531" s="32"/>
      <c r="GG531" s="32"/>
      <c r="GH531" s="32"/>
      <c r="GI531" s="32"/>
      <c r="GJ531" s="32"/>
      <c r="GK531" s="32"/>
      <c r="GL531" s="32"/>
      <c r="GM531" s="32"/>
      <c r="GN531" s="32"/>
      <c r="GO531" s="32"/>
      <c r="GP531" s="32"/>
      <c r="GQ531" s="32"/>
      <c r="GR531" s="32"/>
      <c r="GS531" s="32"/>
      <c r="GT531" s="32"/>
      <c r="GU531" s="32"/>
      <c r="GV531" s="32"/>
      <c r="GW531" s="32"/>
      <c r="GX531" s="32"/>
      <c r="GY531" s="32"/>
      <c r="GZ531" s="32"/>
      <c r="HA531" s="32"/>
      <c r="HB531" s="32"/>
      <c r="HC531" s="32"/>
      <c r="HD531" s="32"/>
      <c r="HE531" s="32"/>
      <c r="HF531" s="32"/>
      <c r="HG531" s="32"/>
      <c r="HH531" s="32"/>
      <c r="HI531" s="32"/>
      <c r="HJ531" s="32"/>
      <c r="HK531" s="32"/>
      <c r="HL531" s="32"/>
      <c r="HM531" s="32"/>
      <c r="HN531" s="32"/>
      <c r="HO531" s="32"/>
      <c r="HP531" s="32"/>
    </row>
    <row r="532" spans="1:224" x14ac:dyDescent="0.25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  <c r="BA532" s="32"/>
      <c r="BB532" s="32"/>
      <c r="BC532" s="32"/>
      <c r="BD532" s="32"/>
      <c r="BE532" s="32"/>
      <c r="BF532" s="32"/>
      <c r="BG532" s="32"/>
      <c r="BH532" s="32"/>
      <c r="BI532" s="32"/>
      <c r="BJ532" s="32"/>
      <c r="BK532" s="32"/>
      <c r="BL532" s="32"/>
      <c r="BM532" s="32"/>
      <c r="BN532" s="32"/>
      <c r="BO532" s="32"/>
      <c r="BP532" s="32"/>
      <c r="BQ532" s="32"/>
      <c r="BR532" s="32"/>
      <c r="BS532" s="32"/>
      <c r="BT532" s="32"/>
      <c r="BU532" s="32"/>
      <c r="BV532" s="32"/>
      <c r="BW532" s="32"/>
      <c r="BX532" s="32"/>
      <c r="BY532" s="32"/>
      <c r="BZ532" s="32"/>
      <c r="CA532" s="32"/>
      <c r="CB532" s="32"/>
      <c r="CC532" s="32"/>
      <c r="CD532" s="32"/>
      <c r="CE532" s="32"/>
      <c r="CF532" s="32"/>
      <c r="CG532" s="32"/>
      <c r="CH532" s="32"/>
      <c r="CI532" s="32"/>
      <c r="CJ532" s="32"/>
      <c r="CK532" s="32"/>
      <c r="CL532" s="32"/>
      <c r="CM532" s="32"/>
      <c r="CN532" s="32"/>
      <c r="CO532" s="32"/>
      <c r="CP532" s="32"/>
      <c r="CQ532" s="32"/>
      <c r="CR532" s="32"/>
      <c r="CS532" s="32"/>
      <c r="CT532" s="32"/>
      <c r="CU532" s="32"/>
      <c r="CV532" s="32"/>
      <c r="CW532" s="32"/>
      <c r="CX532" s="32"/>
      <c r="CY532" s="32"/>
      <c r="CZ532" s="32"/>
      <c r="DA532" s="32"/>
      <c r="DB532" s="32"/>
      <c r="DC532" s="32"/>
      <c r="DD532" s="32"/>
      <c r="DE532" s="32"/>
      <c r="DF532" s="32"/>
      <c r="DG532" s="32"/>
      <c r="DH532" s="32"/>
      <c r="DI532" s="32"/>
      <c r="DJ532" s="32"/>
      <c r="DK532" s="32"/>
      <c r="DL532" s="32"/>
      <c r="DM532" s="32"/>
      <c r="DN532" s="32"/>
      <c r="DO532" s="32"/>
      <c r="DP532" s="32"/>
      <c r="DQ532" s="32"/>
      <c r="DR532" s="32"/>
      <c r="DS532" s="32"/>
      <c r="DT532" s="32"/>
      <c r="DU532" s="32"/>
      <c r="DV532" s="32"/>
      <c r="DW532" s="32"/>
      <c r="DX532" s="32"/>
      <c r="DY532" s="32"/>
      <c r="DZ532" s="32"/>
      <c r="EA532" s="32"/>
      <c r="EB532" s="32"/>
      <c r="EC532" s="32"/>
      <c r="ED532" s="32"/>
      <c r="EE532" s="32"/>
      <c r="EF532" s="32"/>
      <c r="EG532" s="32"/>
      <c r="EH532" s="32"/>
      <c r="EI532" s="32"/>
      <c r="EJ532" s="32"/>
      <c r="EK532" s="32"/>
      <c r="EL532" s="32"/>
      <c r="EM532" s="32"/>
      <c r="EN532" s="32"/>
      <c r="EO532" s="32"/>
      <c r="EP532" s="32"/>
      <c r="EQ532" s="32"/>
      <c r="ER532" s="32"/>
      <c r="ES532" s="32"/>
      <c r="ET532" s="32"/>
      <c r="EU532" s="32"/>
      <c r="EV532" s="32"/>
      <c r="EW532" s="32"/>
      <c r="EX532" s="32"/>
      <c r="EY532" s="32"/>
      <c r="EZ532" s="32"/>
      <c r="FA532" s="32"/>
      <c r="FB532" s="32"/>
      <c r="FC532" s="32"/>
      <c r="FD532" s="32"/>
      <c r="FE532" s="32"/>
      <c r="FF532" s="32"/>
      <c r="FG532" s="32"/>
      <c r="FH532" s="32"/>
      <c r="FI532" s="32"/>
      <c r="FJ532" s="32"/>
      <c r="FK532" s="32"/>
      <c r="FL532" s="32"/>
      <c r="FM532" s="32"/>
      <c r="FN532" s="32"/>
      <c r="FO532" s="32"/>
      <c r="FP532" s="32"/>
      <c r="FQ532" s="32"/>
      <c r="FR532" s="32"/>
      <c r="FS532" s="32"/>
      <c r="FT532" s="32"/>
      <c r="FU532" s="32"/>
      <c r="FV532" s="32"/>
      <c r="FW532" s="32"/>
      <c r="FX532" s="32"/>
      <c r="FY532" s="32"/>
      <c r="FZ532" s="32"/>
      <c r="GA532" s="32"/>
      <c r="GB532" s="32"/>
      <c r="GC532" s="32"/>
      <c r="GD532" s="32"/>
      <c r="GE532" s="32"/>
      <c r="GF532" s="32"/>
      <c r="GG532" s="32"/>
      <c r="GH532" s="32"/>
      <c r="GI532" s="32"/>
      <c r="GJ532" s="32"/>
      <c r="GK532" s="32"/>
      <c r="GL532" s="32"/>
      <c r="GM532" s="32"/>
      <c r="GN532" s="32"/>
      <c r="GO532" s="32"/>
      <c r="GP532" s="32"/>
      <c r="GQ532" s="32"/>
      <c r="GR532" s="32"/>
      <c r="GS532" s="32"/>
      <c r="GT532" s="32"/>
      <c r="GU532" s="32"/>
      <c r="GV532" s="32"/>
      <c r="GW532" s="32"/>
      <c r="GX532" s="32"/>
      <c r="GY532" s="32"/>
      <c r="GZ532" s="32"/>
      <c r="HA532" s="32"/>
      <c r="HB532" s="32"/>
      <c r="HC532" s="32"/>
      <c r="HD532" s="32"/>
      <c r="HE532" s="32"/>
      <c r="HF532" s="32"/>
      <c r="HG532" s="32"/>
      <c r="HH532" s="32"/>
      <c r="HI532" s="32"/>
      <c r="HJ532" s="32"/>
      <c r="HK532" s="32"/>
      <c r="HL532" s="32"/>
      <c r="HM532" s="32"/>
      <c r="HN532" s="32"/>
      <c r="HO532" s="32"/>
      <c r="HP532" s="32"/>
    </row>
    <row r="533" spans="1:224" x14ac:dyDescent="0.25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  <c r="BA533" s="32"/>
      <c r="BB533" s="32"/>
      <c r="BC533" s="32"/>
      <c r="BD533" s="32"/>
      <c r="BE533" s="32"/>
      <c r="BF533" s="32"/>
      <c r="BG533" s="32"/>
      <c r="BH533" s="32"/>
      <c r="BI533" s="32"/>
      <c r="BJ533" s="32"/>
      <c r="BK533" s="32"/>
      <c r="BL533" s="32"/>
      <c r="BM533" s="32"/>
      <c r="BN533" s="32"/>
      <c r="BO533" s="32"/>
      <c r="BP533" s="32"/>
      <c r="BQ533" s="32"/>
      <c r="BR533" s="32"/>
      <c r="BS533" s="32"/>
      <c r="BT533" s="32"/>
      <c r="BU533" s="32"/>
      <c r="BV533" s="32"/>
      <c r="BW533" s="32"/>
      <c r="BX533" s="32"/>
      <c r="BY533" s="32"/>
      <c r="BZ533" s="32"/>
      <c r="CA533" s="32"/>
      <c r="CB533" s="32"/>
      <c r="CC533" s="32"/>
      <c r="CD533" s="32"/>
      <c r="CE533" s="32"/>
      <c r="CF533" s="32"/>
      <c r="CG533" s="32"/>
      <c r="CH533" s="32"/>
      <c r="CI533" s="32"/>
      <c r="CJ533" s="32"/>
      <c r="CK533" s="32"/>
      <c r="CL533" s="32"/>
      <c r="CM533" s="32"/>
      <c r="CN533" s="32"/>
      <c r="CO533" s="32"/>
      <c r="CP533" s="32"/>
      <c r="CQ533" s="32"/>
      <c r="CR533" s="32"/>
      <c r="CS533" s="32"/>
      <c r="CT533" s="32"/>
      <c r="CU533" s="32"/>
      <c r="CV533" s="32"/>
      <c r="CW533" s="32"/>
      <c r="CX533" s="32"/>
      <c r="CY533" s="32"/>
      <c r="CZ533" s="32"/>
      <c r="DA533" s="32"/>
      <c r="DB533" s="32"/>
      <c r="DC533" s="32"/>
      <c r="DD533" s="32"/>
      <c r="DE533" s="32"/>
      <c r="DF533" s="32"/>
      <c r="DG533" s="32"/>
      <c r="DH533" s="32"/>
      <c r="DI533" s="32"/>
      <c r="DJ533" s="32"/>
      <c r="DK533" s="32"/>
      <c r="DL533" s="32"/>
      <c r="DM533" s="32"/>
      <c r="DN533" s="32"/>
      <c r="DO533" s="32"/>
      <c r="DP533" s="32"/>
      <c r="DQ533" s="32"/>
      <c r="DR533" s="32"/>
      <c r="DS533" s="32"/>
      <c r="DT533" s="32"/>
      <c r="DU533" s="32"/>
      <c r="DV533" s="32"/>
      <c r="DW533" s="32"/>
      <c r="DX533" s="32"/>
      <c r="DY533" s="32"/>
      <c r="DZ533" s="32"/>
      <c r="EA533" s="32"/>
      <c r="EB533" s="32"/>
      <c r="EC533" s="32"/>
      <c r="ED533" s="32"/>
      <c r="EE533" s="32"/>
      <c r="EF533" s="32"/>
      <c r="EG533" s="32"/>
      <c r="EH533" s="32"/>
      <c r="EI533" s="32"/>
      <c r="EJ533" s="32"/>
      <c r="EK533" s="32"/>
      <c r="EL533" s="32"/>
      <c r="EM533" s="32"/>
      <c r="EN533" s="32"/>
      <c r="EO533" s="32"/>
      <c r="EP533" s="32"/>
      <c r="EQ533" s="32"/>
      <c r="ER533" s="32"/>
      <c r="ES533" s="32"/>
      <c r="ET533" s="32"/>
      <c r="EU533" s="32"/>
      <c r="EV533" s="32"/>
      <c r="EW533" s="32"/>
      <c r="EX533" s="32"/>
      <c r="EY533" s="32"/>
      <c r="EZ533" s="32"/>
      <c r="FA533" s="32"/>
      <c r="FB533" s="32"/>
      <c r="FC533" s="32"/>
      <c r="FD533" s="32"/>
      <c r="FE533" s="32"/>
      <c r="FF533" s="32"/>
      <c r="FG533" s="32"/>
      <c r="FH533" s="32"/>
      <c r="FI533" s="32"/>
      <c r="FJ533" s="32"/>
      <c r="FK533" s="32"/>
      <c r="FL533" s="32"/>
      <c r="FM533" s="32"/>
      <c r="FN533" s="32"/>
      <c r="FO533" s="32"/>
      <c r="FP533" s="32"/>
      <c r="FQ533" s="32"/>
      <c r="FR533" s="32"/>
      <c r="FS533" s="32"/>
      <c r="FT533" s="32"/>
      <c r="FU533" s="32"/>
      <c r="FV533" s="32"/>
      <c r="FW533" s="32"/>
      <c r="FX533" s="32"/>
      <c r="FY533" s="32"/>
      <c r="FZ533" s="32"/>
      <c r="GA533" s="32"/>
      <c r="GB533" s="32"/>
      <c r="GC533" s="32"/>
      <c r="GD533" s="32"/>
      <c r="GE533" s="32"/>
      <c r="GF533" s="32"/>
      <c r="GG533" s="32"/>
      <c r="GH533" s="32"/>
      <c r="GI533" s="32"/>
      <c r="GJ533" s="32"/>
      <c r="GK533" s="32"/>
      <c r="GL533" s="32"/>
      <c r="GM533" s="32"/>
      <c r="GN533" s="32"/>
      <c r="GO533" s="32"/>
      <c r="GP533" s="32"/>
      <c r="GQ533" s="32"/>
      <c r="GR533" s="32"/>
      <c r="GS533" s="32"/>
      <c r="GT533" s="32"/>
      <c r="GU533" s="32"/>
      <c r="GV533" s="32"/>
      <c r="GW533" s="32"/>
      <c r="GX533" s="32"/>
      <c r="GY533" s="32"/>
      <c r="GZ533" s="32"/>
      <c r="HA533" s="32"/>
      <c r="HB533" s="32"/>
      <c r="HC533" s="32"/>
      <c r="HD533" s="32"/>
      <c r="HE533" s="32"/>
      <c r="HF533" s="32"/>
      <c r="HG533" s="32"/>
      <c r="HH533" s="32"/>
      <c r="HI533" s="32"/>
      <c r="HJ533" s="32"/>
      <c r="HK533" s="32"/>
      <c r="HL533" s="32"/>
      <c r="HM533" s="32"/>
      <c r="HN533" s="32"/>
      <c r="HO533" s="32"/>
      <c r="HP533" s="32"/>
    </row>
    <row r="534" spans="1:224" x14ac:dyDescent="0.25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  <c r="BA534" s="32"/>
      <c r="BB534" s="32"/>
      <c r="BC534" s="32"/>
      <c r="BD534" s="32"/>
      <c r="BE534" s="32"/>
      <c r="BF534" s="32"/>
      <c r="BG534" s="32"/>
      <c r="BH534" s="32"/>
      <c r="BI534" s="32"/>
      <c r="BJ534" s="32"/>
      <c r="BK534" s="32"/>
      <c r="BL534" s="32"/>
      <c r="BM534" s="32"/>
      <c r="BN534" s="32"/>
      <c r="BO534" s="32"/>
      <c r="BP534" s="32"/>
      <c r="BQ534" s="32"/>
      <c r="BR534" s="32"/>
      <c r="BS534" s="32"/>
      <c r="BT534" s="32"/>
      <c r="BU534" s="32"/>
      <c r="BV534" s="32"/>
      <c r="BW534" s="32"/>
      <c r="BX534" s="32"/>
      <c r="BY534" s="32"/>
      <c r="BZ534" s="32"/>
      <c r="CA534" s="32"/>
      <c r="CB534" s="32"/>
      <c r="CC534" s="32"/>
      <c r="CD534" s="32"/>
      <c r="CE534" s="32"/>
      <c r="CF534" s="32"/>
      <c r="CG534" s="32"/>
      <c r="CH534" s="32"/>
      <c r="CI534" s="32"/>
      <c r="CJ534" s="32"/>
      <c r="CK534" s="32"/>
      <c r="CL534" s="32"/>
      <c r="CM534" s="32"/>
      <c r="CN534" s="32"/>
      <c r="CO534" s="32"/>
      <c r="CP534" s="32"/>
      <c r="CQ534" s="32"/>
      <c r="CR534" s="32"/>
      <c r="CS534" s="32"/>
      <c r="CT534" s="32"/>
      <c r="CU534" s="32"/>
      <c r="CV534" s="32"/>
      <c r="CW534" s="32"/>
      <c r="CX534" s="32"/>
      <c r="CY534" s="32"/>
      <c r="CZ534" s="32"/>
      <c r="DA534" s="32"/>
      <c r="DB534" s="32"/>
      <c r="DC534" s="32"/>
      <c r="DD534" s="32"/>
      <c r="DE534" s="32"/>
      <c r="DF534" s="32"/>
      <c r="DG534" s="32"/>
      <c r="DH534" s="32"/>
      <c r="DI534" s="32"/>
      <c r="DJ534" s="32"/>
      <c r="DK534" s="32"/>
      <c r="DL534" s="32"/>
      <c r="DM534" s="32"/>
      <c r="DN534" s="32"/>
      <c r="DO534" s="32"/>
      <c r="DP534" s="32"/>
      <c r="DQ534" s="32"/>
      <c r="DR534" s="32"/>
      <c r="DS534" s="32"/>
      <c r="DT534" s="32"/>
      <c r="DU534" s="32"/>
      <c r="DV534" s="32"/>
      <c r="DW534" s="32"/>
      <c r="DX534" s="32"/>
      <c r="DY534" s="32"/>
      <c r="DZ534" s="32"/>
      <c r="EA534" s="32"/>
      <c r="EB534" s="32"/>
      <c r="EC534" s="32"/>
      <c r="ED534" s="32"/>
      <c r="EE534" s="32"/>
      <c r="EF534" s="32"/>
      <c r="EG534" s="32"/>
      <c r="EH534" s="32"/>
      <c r="EI534" s="32"/>
      <c r="EJ534" s="32"/>
      <c r="EK534" s="32"/>
      <c r="EL534" s="32"/>
      <c r="EM534" s="32"/>
      <c r="EN534" s="32"/>
      <c r="EO534" s="32"/>
      <c r="EP534" s="32"/>
      <c r="EQ534" s="32"/>
      <c r="ER534" s="32"/>
      <c r="ES534" s="32"/>
      <c r="ET534" s="32"/>
      <c r="EU534" s="32"/>
      <c r="EV534" s="32"/>
      <c r="EW534" s="32"/>
      <c r="EX534" s="32"/>
      <c r="EY534" s="32"/>
      <c r="EZ534" s="32"/>
      <c r="FA534" s="32"/>
      <c r="FB534" s="32"/>
      <c r="FC534" s="32"/>
      <c r="FD534" s="32"/>
      <c r="FE534" s="32"/>
      <c r="FF534" s="32"/>
      <c r="FG534" s="32"/>
      <c r="FH534" s="32"/>
      <c r="FI534" s="32"/>
      <c r="FJ534" s="32"/>
      <c r="FK534" s="32"/>
      <c r="FL534" s="32"/>
      <c r="FM534" s="32"/>
      <c r="FN534" s="32"/>
      <c r="FO534" s="32"/>
      <c r="FP534" s="32"/>
      <c r="FQ534" s="32"/>
      <c r="FR534" s="32"/>
      <c r="FS534" s="32"/>
      <c r="FT534" s="32"/>
      <c r="FU534" s="32"/>
      <c r="FV534" s="32"/>
      <c r="FW534" s="32"/>
      <c r="FX534" s="32"/>
      <c r="FY534" s="32"/>
      <c r="FZ534" s="32"/>
      <c r="GA534" s="32"/>
      <c r="GB534" s="32"/>
      <c r="GC534" s="32"/>
      <c r="GD534" s="32"/>
      <c r="GE534" s="32"/>
      <c r="GF534" s="32"/>
      <c r="GG534" s="32"/>
      <c r="GH534" s="32"/>
      <c r="GI534" s="32"/>
      <c r="GJ534" s="32"/>
      <c r="GK534" s="32"/>
      <c r="GL534" s="32"/>
      <c r="GM534" s="32"/>
      <c r="GN534" s="32"/>
      <c r="GO534" s="32"/>
      <c r="GP534" s="32"/>
      <c r="GQ534" s="32"/>
      <c r="GR534" s="32"/>
      <c r="GS534" s="32"/>
      <c r="GT534" s="32"/>
      <c r="GU534" s="32"/>
      <c r="GV534" s="32"/>
      <c r="GW534" s="32"/>
      <c r="GX534" s="32"/>
      <c r="GY534" s="32"/>
      <c r="GZ534" s="32"/>
      <c r="HA534" s="32"/>
      <c r="HB534" s="32"/>
      <c r="HC534" s="32"/>
      <c r="HD534" s="32"/>
      <c r="HE534" s="32"/>
      <c r="HF534" s="32"/>
      <c r="HG534" s="32"/>
      <c r="HH534" s="32"/>
      <c r="HI534" s="32"/>
      <c r="HJ534" s="32"/>
      <c r="HK534" s="32"/>
      <c r="HL534" s="32"/>
      <c r="HM534" s="32"/>
      <c r="HN534" s="32"/>
      <c r="HO534" s="32"/>
      <c r="HP534" s="32"/>
    </row>
    <row r="535" spans="1:224" x14ac:dyDescent="0.2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2"/>
      <c r="BA535" s="32"/>
      <c r="BB535" s="32"/>
      <c r="BC535" s="32"/>
      <c r="BD535" s="32"/>
      <c r="BE535" s="32"/>
      <c r="BF535" s="32"/>
      <c r="BG535" s="32"/>
      <c r="BH535" s="32"/>
      <c r="BI535" s="32"/>
      <c r="BJ535" s="32"/>
      <c r="BK535" s="32"/>
      <c r="BL535" s="32"/>
      <c r="BM535" s="32"/>
      <c r="BN535" s="32"/>
      <c r="BO535" s="32"/>
      <c r="BP535" s="32"/>
      <c r="BQ535" s="32"/>
      <c r="BR535" s="32"/>
      <c r="BS535" s="32"/>
      <c r="BT535" s="32"/>
      <c r="BU535" s="32"/>
      <c r="BV535" s="32"/>
      <c r="BW535" s="32"/>
      <c r="BX535" s="32"/>
      <c r="BY535" s="32"/>
      <c r="BZ535" s="32"/>
      <c r="CA535" s="32"/>
      <c r="CB535" s="32"/>
      <c r="CC535" s="32"/>
      <c r="CD535" s="32"/>
      <c r="CE535" s="32"/>
      <c r="CF535" s="32"/>
      <c r="CG535" s="32"/>
      <c r="CH535" s="32"/>
      <c r="CI535" s="32"/>
      <c r="CJ535" s="32"/>
      <c r="CK535" s="32"/>
      <c r="CL535" s="32"/>
      <c r="CM535" s="32"/>
      <c r="CN535" s="32"/>
      <c r="CO535" s="32"/>
      <c r="CP535" s="32"/>
      <c r="CQ535" s="32"/>
      <c r="CR535" s="32"/>
      <c r="CS535" s="32"/>
      <c r="CT535" s="32"/>
      <c r="CU535" s="32"/>
      <c r="CV535" s="32"/>
      <c r="CW535" s="32"/>
      <c r="CX535" s="32"/>
      <c r="CY535" s="32"/>
      <c r="CZ535" s="32"/>
      <c r="DA535" s="32"/>
      <c r="DB535" s="32"/>
      <c r="DC535" s="32"/>
      <c r="DD535" s="32"/>
      <c r="DE535" s="32"/>
      <c r="DF535" s="32"/>
      <c r="DG535" s="32"/>
      <c r="DH535" s="32"/>
      <c r="DI535" s="32"/>
      <c r="DJ535" s="32"/>
      <c r="DK535" s="32"/>
      <c r="DL535" s="32"/>
      <c r="DM535" s="32"/>
      <c r="DN535" s="32"/>
      <c r="DO535" s="32"/>
      <c r="DP535" s="32"/>
      <c r="DQ535" s="32"/>
      <c r="DR535" s="32"/>
      <c r="DS535" s="32"/>
      <c r="DT535" s="32"/>
      <c r="DU535" s="32"/>
      <c r="DV535" s="32"/>
      <c r="DW535" s="32"/>
      <c r="DX535" s="32"/>
      <c r="DY535" s="32"/>
      <c r="DZ535" s="32"/>
      <c r="EA535" s="32"/>
      <c r="EB535" s="32"/>
      <c r="EC535" s="32"/>
      <c r="ED535" s="32"/>
      <c r="EE535" s="32"/>
      <c r="EF535" s="32"/>
      <c r="EG535" s="32"/>
      <c r="EH535" s="32"/>
      <c r="EI535" s="32"/>
      <c r="EJ535" s="32"/>
      <c r="EK535" s="32"/>
      <c r="EL535" s="32"/>
      <c r="EM535" s="32"/>
      <c r="EN535" s="32"/>
      <c r="EO535" s="32"/>
      <c r="EP535" s="32"/>
      <c r="EQ535" s="32"/>
      <c r="ER535" s="32"/>
      <c r="ES535" s="32"/>
      <c r="ET535" s="32"/>
      <c r="EU535" s="32"/>
      <c r="EV535" s="32"/>
      <c r="EW535" s="32"/>
      <c r="EX535" s="32"/>
      <c r="EY535" s="32"/>
      <c r="EZ535" s="32"/>
      <c r="FA535" s="32"/>
      <c r="FB535" s="32"/>
      <c r="FC535" s="32"/>
      <c r="FD535" s="32"/>
      <c r="FE535" s="32"/>
      <c r="FF535" s="32"/>
      <c r="FG535" s="32"/>
      <c r="FH535" s="32"/>
      <c r="FI535" s="32"/>
      <c r="FJ535" s="32"/>
      <c r="FK535" s="32"/>
      <c r="FL535" s="32"/>
      <c r="FM535" s="32"/>
      <c r="FN535" s="32"/>
      <c r="FO535" s="32"/>
      <c r="FP535" s="32"/>
      <c r="FQ535" s="32"/>
      <c r="FR535" s="32"/>
      <c r="FS535" s="32"/>
      <c r="FT535" s="32"/>
      <c r="FU535" s="32"/>
      <c r="FV535" s="32"/>
      <c r="FW535" s="32"/>
      <c r="FX535" s="32"/>
      <c r="FY535" s="32"/>
      <c r="FZ535" s="32"/>
      <c r="GA535" s="32"/>
      <c r="GB535" s="32"/>
      <c r="GC535" s="32"/>
      <c r="GD535" s="32"/>
      <c r="GE535" s="32"/>
      <c r="GF535" s="32"/>
      <c r="GG535" s="32"/>
      <c r="GH535" s="32"/>
      <c r="GI535" s="32"/>
      <c r="GJ535" s="32"/>
      <c r="GK535" s="32"/>
      <c r="GL535" s="32"/>
      <c r="GM535" s="32"/>
      <c r="GN535" s="32"/>
      <c r="GO535" s="32"/>
      <c r="GP535" s="32"/>
      <c r="GQ535" s="32"/>
      <c r="GR535" s="32"/>
      <c r="GS535" s="32"/>
      <c r="GT535" s="32"/>
      <c r="GU535" s="32"/>
      <c r="GV535" s="32"/>
      <c r="GW535" s="32"/>
      <c r="GX535" s="32"/>
      <c r="GY535" s="32"/>
      <c r="GZ535" s="32"/>
      <c r="HA535" s="32"/>
      <c r="HB535" s="32"/>
      <c r="HC535" s="32"/>
      <c r="HD535" s="32"/>
      <c r="HE535" s="32"/>
      <c r="HF535" s="32"/>
      <c r="HG535" s="32"/>
      <c r="HH535" s="32"/>
      <c r="HI535" s="32"/>
      <c r="HJ535" s="32"/>
      <c r="HK535" s="32"/>
      <c r="HL535" s="32"/>
      <c r="HM535" s="32"/>
      <c r="HN535" s="32"/>
      <c r="HO535" s="32"/>
      <c r="HP535" s="32"/>
    </row>
    <row r="536" spans="1:224" x14ac:dyDescent="0.25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  <c r="AY536" s="32"/>
      <c r="AZ536" s="32"/>
      <c r="BA536" s="32"/>
      <c r="BB536" s="32"/>
      <c r="BC536" s="32"/>
      <c r="BD536" s="32"/>
      <c r="BE536" s="32"/>
      <c r="BF536" s="32"/>
      <c r="BG536" s="32"/>
      <c r="BH536" s="32"/>
      <c r="BI536" s="32"/>
      <c r="BJ536" s="32"/>
      <c r="BK536" s="32"/>
      <c r="BL536" s="32"/>
      <c r="BM536" s="32"/>
      <c r="BN536" s="32"/>
      <c r="BO536" s="32"/>
      <c r="BP536" s="32"/>
      <c r="BQ536" s="32"/>
      <c r="BR536" s="32"/>
      <c r="BS536" s="32"/>
      <c r="BT536" s="32"/>
      <c r="BU536" s="32"/>
      <c r="BV536" s="32"/>
      <c r="BW536" s="32"/>
      <c r="BX536" s="32"/>
      <c r="BY536" s="32"/>
      <c r="BZ536" s="32"/>
      <c r="CA536" s="32"/>
      <c r="CB536" s="32"/>
      <c r="CC536" s="32"/>
      <c r="CD536" s="32"/>
      <c r="CE536" s="32"/>
      <c r="CF536" s="32"/>
      <c r="CG536" s="32"/>
      <c r="CH536" s="32"/>
      <c r="CI536" s="32"/>
      <c r="CJ536" s="32"/>
      <c r="CK536" s="32"/>
      <c r="CL536" s="32"/>
      <c r="CM536" s="32"/>
      <c r="CN536" s="32"/>
      <c r="CO536" s="32"/>
      <c r="CP536" s="32"/>
      <c r="CQ536" s="32"/>
      <c r="CR536" s="32"/>
      <c r="CS536" s="32"/>
      <c r="CT536" s="32"/>
      <c r="CU536" s="32"/>
      <c r="CV536" s="32"/>
      <c r="CW536" s="32"/>
      <c r="CX536" s="32"/>
      <c r="CY536" s="32"/>
      <c r="CZ536" s="32"/>
      <c r="DA536" s="32"/>
      <c r="DB536" s="32"/>
      <c r="DC536" s="32"/>
      <c r="DD536" s="32"/>
      <c r="DE536" s="32"/>
      <c r="DF536" s="32"/>
      <c r="DG536" s="32"/>
      <c r="DH536" s="32"/>
      <c r="DI536" s="32"/>
      <c r="DJ536" s="32"/>
      <c r="DK536" s="32"/>
      <c r="DL536" s="32"/>
      <c r="DM536" s="32"/>
      <c r="DN536" s="32"/>
      <c r="DO536" s="32"/>
      <c r="DP536" s="32"/>
      <c r="DQ536" s="32"/>
      <c r="DR536" s="32"/>
      <c r="DS536" s="32"/>
      <c r="DT536" s="32"/>
      <c r="DU536" s="32"/>
      <c r="DV536" s="32"/>
      <c r="DW536" s="32"/>
      <c r="DX536" s="32"/>
      <c r="DY536" s="32"/>
      <c r="DZ536" s="32"/>
      <c r="EA536" s="32"/>
      <c r="EB536" s="32"/>
      <c r="EC536" s="32"/>
      <c r="ED536" s="32"/>
      <c r="EE536" s="32"/>
      <c r="EF536" s="32"/>
      <c r="EG536" s="32"/>
      <c r="EH536" s="32"/>
      <c r="EI536" s="32"/>
      <c r="EJ536" s="32"/>
      <c r="EK536" s="32"/>
      <c r="EL536" s="32"/>
      <c r="EM536" s="32"/>
      <c r="EN536" s="32"/>
      <c r="EO536" s="32"/>
      <c r="EP536" s="32"/>
      <c r="EQ536" s="32"/>
      <c r="ER536" s="32"/>
      <c r="ES536" s="32"/>
      <c r="ET536" s="32"/>
      <c r="EU536" s="32"/>
      <c r="EV536" s="32"/>
      <c r="EW536" s="32"/>
      <c r="EX536" s="32"/>
      <c r="EY536" s="32"/>
      <c r="EZ536" s="32"/>
      <c r="FA536" s="32"/>
      <c r="FB536" s="32"/>
      <c r="FC536" s="32"/>
      <c r="FD536" s="32"/>
      <c r="FE536" s="32"/>
      <c r="FF536" s="32"/>
      <c r="FG536" s="32"/>
      <c r="FH536" s="32"/>
      <c r="FI536" s="32"/>
      <c r="FJ536" s="32"/>
      <c r="FK536" s="32"/>
      <c r="FL536" s="32"/>
      <c r="FM536" s="32"/>
      <c r="FN536" s="32"/>
      <c r="FO536" s="32"/>
      <c r="FP536" s="32"/>
      <c r="FQ536" s="32"/>
      <c r="FR536" s="32"/>
      <c r="FS536" s="32"/>
      <c r="FT536" s="32"/>
      <c r="FU536" s="32"/>
      <c r="FV536" s="32"/>
      <c r="FW536" s="32"/>
      <c r="FX536" s="32"/>
      <c r="FY536" s="32"/>
      <c r="FZ536" s="32"/>
      <c r="GA536" s="32"/>
      <c r="GB536" s="32"/>
      <c r="GC536" s="32"/>
      <c r="GD536" s="32"/>
      <c r="GE536" s="32"/>
      <c r="GF536" s="32"/>
      <c r="GG536" s="32"/>
      <c r="GH536" s="32"/>
      <c r="GI536" s="32"/>
      <c r="GJ536" s="32"/>
      <c r="GK536" s="32"/>
      <c r="GL536" s="32"/>
      <c r="GM536" s="32"/>
      <c r="GN536" s="32"/>
      <c r="GO536" s="32"/>
      <c r="GP536" s="32"/>
      <c r="GQ536" s="32"/>
      <c r="GR536" s="32"/>
      <c r="GS536" s="32"/>
      <c r="GT536" s="32"/>
      <c r="GU536" s="32"/>
      <c r="GV536" s="32"/>
      <c r="GW536" s="32"/>
      <c r="GX536" s="32"/>
      <c r="GY536" s="32"/>
      <c r="GZ536" s="32"/>
      <c r="HA536" s="32"/>
      <c r="HB536" s="32"/>
      <c r="HC536" s="32"/>
      <c r="HD536" s="32"/>
      <c r="HE536" s="32"/>
      <c r="HF536" s="32"/>
      <c r="HG536" s="32"/>
      <c r="HH536" s="32"/>
      <c r="HI536" s="32"/>
      <c r="HJ536" s="32"/>
      <c r="HK536" s="32"/>
      <c r="HL536" s="32"/>
      <c r="HM536" s="32"/>
      <c r="HN536" s="32"/>
      <c r="HO536" s="32"/>
      <c r="HP536" s="32"/>
    </row>
    <row r="537" spans="1:224" x14ac:dyDescent="0.25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  <c r="BA537" s="32"/>
      <c r="BB537" s="32"/>
      <c r="BC537" s="32"/>
      <c r="BD537" s="32"/>
      <c r="BE537" s="32"/>
      <c r="BF537" s="32"/>
      <c r="BG537" s="32"/>
      <c r="BH537" s="32"/>
      <c r="BI537" s="32"/>
      <c r="BJ537" s="32"/>
      <c r="BK537" s="32"/>
      <c r="BL537" s="32"/>
      <c r="BM537" s="32"/>
      <c r="BN537" s="32"/>
      <c r="BO537" s="32"/>
      <c r="BP537" s="32"/>
      <c r="BQ537" s="32"/>
      <c r="BR537" s="32"/>
      <c r="BS537" s="32"/>
      <c r="BT537" s="32"/>
      <c r="BU537" s="32"/>
      <c r="BV537" s="32"/>
      <c r="BW537" s="32"/>
      <c r="BX537" s="32"/>
      <c r="BY537" s="32"/>
      <c r="BZ537" s="32"/>
      <c r="CA537" s="32"/>
      <c r="CB537" s="32"/>
      <c r="CC537" s="32"/>
      <c r="CD537" s="32"/>
      <c r="CE537" s="32"/>
      <c r="CF537" s="32"/>
      <c r="CG537" s="32"/>
      <c r="CH537" s="32"/>
      <c r="CI537" s="32"/>
      <c r="CJ537" s="32"/>
      <c r="CK537" s="32"/>
      <c r="CL537" s="32"/>
      <c r="CM537" s="32"/>
      <c r="CN537" s="32"/>
      <c r="CO537" s="32"/>
      <c r="CP537" s="32"/>
      <c r="CQ537" s="32"/>
      <c r="CR537" s="32"/>
      <c r="CS537" s="32"/>
      <c r="CT537" s="32"/>
      <c r="CU537" s="32"/>
      <c r="CV537" s="32"/>
      <c r="CW537" s="32"/>
      <c r="CX537" s="32"/>
      <c r="CY537" s="32"/>
      <c r="CZ537" s="32"/>
      <c r="DA537" s="32"/>
      <c r="DB537" s="32"/>
      <c r="DC537" s="32"/>
      <c r="DD537" s="32"/>
      <c r="DE537" s="32"/>
      <c r="DF537" s="32"/>
      <c r="DG537" s="32"/>
      <c r="DH537" s="32"/>
      <c r="DI537" s="32"/>
      <c r="DJ537" s="32"/>
      <c r="DK537" s="32"/>
      <c r="DL537" s="32"/>
      <c r="DM537" s="32"/>
      <c r="DN537" s="32"/>
      <c r="DO537" s="32"/>
      <c r="DP537" s="32"/>
      <c r="DQ537" s="32"/>
      <c r="DR537" s="32"/>
      <c r="DS537" s="32"/>
      <c r="DT537" s="32"/>
      <c r="DU537" s="32"/>
      <c r="DV537" s="32"/>
      <c r="DW537" s="32"/>
      <c r="DX537" s="32"/>
      <c r="DY537" s="32"/>
      <c r="DZ537" s="32"/>
      <c r="EA537" s="32"/>
      <c r="EB537" s="32"/>
      <c r="EC537" s="32"/>
      <c r="ED537" s="32"/>
      <c r="EE537" s="32"/>
      <c r="EF537" s="32"/>
      <c r="EG537" s="32"/>
      <c r="EH537" s="32"/>
      <c r="EI537" s="32"/>
      <c r="EJ537" s="32"/>
      <c r="EK537" s="32"/>
      <c r="EL537" s="32"/>
      <c r="EM537" s="32"/>
      <c r="EN537" s="32"/>
      <c r="EO537" s="32"/>
      <c r="EP537" s="32"/>
      <c r="EQ537" s="32"/>
      <c r="ER537" s="32"/>
      <c r="ES537" s="32"/>
      <c r="ET537" s="32"/>
      <c r="EU537" s="32"/>
      <c r="EV537" s="32"/>
      <c r="EW537" s="32"/>
      <c r="EX537" s="32"/>
      <c r="EY537" s="32"/>
      <c r="EZ537" s="32"/>
      <c r="FA537" s="32"/>
      <c r="FB537" s="32"/>
      <c r="FC537" s="32"/>
      <c r="FD537" s="32"/>
      <c r="FE537" s="32"/>
      <c r="FF537" s="32"/>
      <c r="FG537" s="32"/>
      <c r="FH537" s="32"/>
      <c r="FI537" s="32"/>
      <c r="FJ537" s="32"/>
      <c r="FK537" s="32"/>
      <c r="FL537" s="32"/>
      <c r="FM537" s="32"/>
      <c r="FN537" s="32"/>
      <c r="FO537" s="32"/>
      <c r="FP537" s="32"/>
      <c r="FQ537" s="32"/>
      <c r="FR537" s="32"/>
      <c r="FS537" s="32"/>
      <c r="FT537" s="32"/>
      <c r="FU537" s="32"/>
      <c r="FV537" s="32"/>
      <c r="FW537" s="32"/>
      <c r="FX537" s="32"/>
      <c r="FY537" s="32"/>
      <c r="FZ537" s="32"/>
      <c r="GA537" s="32"/>
      <c r="GB537" s="32"/>
      <c r="GC537" s="32"/>
      <c r="GD537" s="32"/>
      <c r="GE537" s="32"/>
      <c r="GF537" s="32"/>
      <c r="GG537" s="32"/>
      <c r="GH537" s="32"/>
      <c r="GI537" s="32"/>
      <c r="GJ537" s="32"/>
      <c r="GK537" s="32"/>
      <c r="GL537" s="32"/>
      <c r="GM537" s="32"/>
      <c r="GN537" s="32"/>
      <c r="GO537" s="32"/>
      <c r="GP537" s="32"/>
      <c r="GQ537" s="32"/>
      <c r="GR537" s="32"/>
      <c r="GS537" s="32"/>
      <c r="GT537" s="32"/>
      <c r="GU537" s="32"/>
      <c r="GV537" s="32"/>
      <c r="GW537" s="32"/>
      <c r="GX537" s="32"/>
      <c r="GY537" s="32"/>
      <c r="GZ537" s="32"/>
      <c r="HA537" s="32"/>
      <c r="HB537" s="32"/>
      <c r="HC537" s="32"/>
      <c r="HD537" s="32"/>
      <c r="HE537" s="32"/>
      <c r="HF537" s="32"/>
      <c r="HG537" s="32"/>
      <c r="HH537" s="32"/>
      <c r="HI537" s="32"/>
      <c r="HJ537" s="32"/>
      <c r="HK537" s="32"/>
      <c r="HL537" s="32"/>
      <c r="HM537" s="32"/>
      <c r="HN537" s="32"/>
      <c r="HO537" s="32"/>
      <c r="HP537" s="32"/>
    </row>
    <row r="538" spans="1:224" x14ac:dyDescent="0.25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2"/>
      <c r="BA538" s="32"/>
      <c r="BB538" s="32"/>
      <c r="BC538" s="32"/>
      <c r="BD538" s="32"/>
      <c r="BE538" s="32"/>
      <c r="BF538" s="32"/>
      <c r="BG538" s="32"/>
      <c r="BH538" s="32"/>
      <c r="BI538" s="32"/>
      <c r="BJ538" s="32"/>
      <c r="BK538" s="32"/>
      <c r="BL538" s="32"/>
      <c r="BM538" s="32"/>
      <c r="BN538" s="32"/>
      <c r="BO538" s="32"/>
      <c r="BP538" s="32"/>
      <c r="BQ538" s="32"/>
      <c r="BR538" s="32"/>
      <c r="BS538" s="32"/>
      <c r="BT538" s="32"/>
      <c r="BU538" s="32"/>
      <c r="BV538" s="32"/>
      <c r="BW538" s="32"/>
      <c r="BX538" s="32"/>
      <c r="BY538" s="32"/>
      <c r="BZ538" s="32"/>
      <c r="CA538" s="32"/>
      <c r="CB538" s="32"/>
      <c r="CC538" s="32"/>
      <c r="CD538" s="32"/>
      <c r="CE538" s="32"/>
      <c r="CF538" s="32"/>
      <c r="CG538" s="32"/>
      <c r="CH538" s="32"/>
      <c r="CI538" s="32"/>
      <c r="CJ538" s="32"/>
      <c r="CK538" s="32"/>
      <c r="CL538" s="32"/>
      <c r="CM538" s="32"/>
      <c r="CN538" s="32"/>
      <c r="CO538" s="32"/>
      <c r="CP538" s="32"/>
      <c r="CQ538" s="32"/>
      <c r="CR538" s="32"/>
      <c r="CS538" s="32"/>
      <c r="CT538" s="32"/>
      <c r="CU538" s="32"/>
      <c r="CV538" s="32"/>
      <c r="CW538" s="32"/>
      <c r="CX538" s="32"/>
      <c r="CY538" s="32"/>
      <c r="CZ538" s="32"/>
      <c r="DA538" s="32"/>
      <c r="DB538" s="32"/>
      <c r="DC538" s="32"/>
      <c r="DD538" s="32"/>
      <c r="DE538" s="32"/>
      <c r="DF538" s="32"/>
      <c r="DG538" s="32"/>
      <c r="DH538" s="32"/>
      <c r="DI538" s="32"/>
      <c r="DJ538" s="32"/>
      <c r="DK538" s="32"/>
      <c r="DL538" s="32"/>
      <c r="DM538" s="32"/>
      <c r="DN538" s="32"/>
      <c r="DO538" s="32"/>
      <c r="DP538" s="32"/>
      <c r="DQ538" s="32"/>
      <c r="DR538" s="32"/>
      <c r="DS538" s="32"/>
      <c r="DT538" s="32"/>
      <c r="DU538" s="32"/>
      <c r="DV538" s="32"/>
      <c r="DW538" s="32"/>
      <c r="DX538" s="32"/>
      <c r="DY538" s="32"/>
      <c r="DZ538" s="32"/>
      <c r="EA538" s="32"/>
      <c r="EB538" s="32"/>
      <c r="EC538" s="32"/>
      <c r="ED538" s="32"/>
      <c r="EE538" s="32"/>
      <c r="EF538" s="32"/>
      <c r="EG538" s="32"/>
      <c r="EH538" s="32"/>
      <c r="EI538" s="32"/>
      <c r="EJ538" s="32"/>
      <c r="EK538" s="32"/>
      <c r="EL538" s="32"/>
      <c r="EM538" s="32"/>
      <c r="EN538" s="32"/>
      <c r="EO538" s="32"/>
      <c r="EP538" s="32"/>
      <c r="EQ538" s="32"/>
      <c r="ER538" s="32"/>
      <c r="ES538" s="32"/>
      <c r="ET538" s="32"/>
      <c r="EU538" s="32"/>
      <c r="EV538" s="32"/>
      <c r="EW538" s="32"/>
      <c r="EX538" s="32"/>
      <c r="EY538" s="32"/>
      <c r="EZ538" s="32"/>
      <c r="FA538" s="32"/>
      <c r="FB538" s="32"/>
      <c r="FC538" s="32"/>
      <c r="FD538" s="32"/>
      <c r="FE538" s="32"/>
      <c r="FF538" s="32"/>
      <c r="FG538" s="32"/>
      <c r="FH538" s="32"/>
      <c r="FI538" s="32"/>
      <c r="FJ538" s="32"/>
      <c r="FK538" s="32"/>
      <c r="FL538" s="32"/>
      <c r="FM538" s="32"/>
      <c r="FN538" s="32"/>
      <c r="FO538" s="32"/>
      <c r="FP538" s="32"/>
      <c r="FQ538" s="32"/>
      <c r="FR538" s="32"/>
      <c r="FS538" s="32"/>
      <c r="FT538" s="32"/>
      <c r="FU538" s="32"/>
      <c r="FV538" s="32"/>
      <c r="FW538" s="32"/>
      <c r="FX538" s="32"/>
      <c r="FY538" s="32"/>
      <c r="FZ538" s="32"/>
      <c r="GA538" s="32"/>
      <c r="GB538" s="32"/>
      <c r="GC538" s="32"/>
      <c r="GD538" s="32"/>
      <c r="GE538" s="32"/>
      <c r="GF538" s="32"/>
      <c r="GG538" s="32"/>
      <c r="GH538" s="32"/>
      <c r="GI538" s="32"/>
      <c r="GJ538" s="32"/>
      <c r="GK538" s="32"/>
      <c r="GL538" s="32"/>
      <c r="GM538" s="32"/>
      <c r="GN538" s="32"/>
      <c r="GO538" s="32"/>
      <c r="GP538" s="32"/>
      <c r="GQ538" s="32"/>
      <c r="GR538" s="32"/>
      <c r="GS538" s="32"/>
      <c r="GT538" s="32"/>
      <c r="GU538" s="32"/>
      <c r="GV538" s="32"/>
      <c r="GW538" s="32"/>
      <c r="GX538" s="32"/>
      <c r="GY538" s="32"/>
      <c r="GZ538" s="32"/>
      <c r="HA538" s="32"/>
      <c r="HB538" s="32"/>
      <c r="HC538" s="32"/>
      <c r="HD538" s="32"/>
      <c r="HE538" s="32"/>
      <c r="HF538" s="32"/>
      <c r="HG538" s="32"/>
      <c r="HH538" s="32"/>
      <c r="HI538" s="32"/>
      <c r="HJ538" s="32"/>
      <c r="HK538" s="32"/>
      <c r="HL538" s="32"/>
      <c r="HM538" s="32"/>
      <c r="HN538" s="32"/>
      <c r="HO538" s="32"/>
      <c r="HP538" s="32"/>
    </row>
    <row r="539" spans="1:224" x14ac:dyDescent="0.25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  <c r="AY539" s="32"/>
      <c r="AZ539" s="32"/>
      <c r="BA539" s="32"/>
      <c r="BB539" s="32"/>
      <c r="BC539" s="32"/>
      <c r="BD539" s="32"/>
      <c r="BE539" s="32"/>
      <c r="BF539" s="32"/>
      <c r="BG539" s="32"/>
      <c r="BH539" s="32"/>
      <c r="BI539" s="32"/>
      <c r="BJ539" s="32"/>
      <c r="BK539" s="32"/>
      <c r="BL539" s="32"/>
      <c r="BM539" s="32"/>
      <c r="BN539" s="32"/>
      <c r="BO539" s="32"/>
      <c r="BP539" s="32"/>
      <c r="BQ539" s="32"/>
      <c r="BR539" s="32"/>
      <c r="BS539" s="32"/>
      <c r="BT539" s="32"/>
      <c r="BU539" s="32"/>
      <c r="BV539" s="32"/>
      <c r="BW539" s="32"/>
      <c r="BX539" s="32"/>
      <c r="BY539" s="32"/>
      <c r="BZ539" s="32"/>
      <c r="CA539" s="32"/>
      <c r="CB539" s="32"/>
      <c r="CC539" s="32"/>
      <c r="CD539" s="32"/>
      <c r="CE539" s="32"/>
      <c r="CF539" s="32"/>
      <c r="CG539" s="32"/>
      <c r="CH539" s="32"/>
      <c r="CI539" s="32"/>
      <c r="CJ539" s="32"/>
      <c r="CK539" s="32"/>
      <c r="CL539" s="32"/>
      <c r="CM539" s="32"/>
      <c r="CN539" s="32"/>
      <c r="CO539" s="32"/>
      <c r="CP539" s="32"/>
      <c r="CQ539" s="32"/>
      <c r="CR539" s="32"/>
      <c r="CS539" s="32"/>
      <c r="CT539" s="32"/>
      <c r="CU539" s="32"/>
      <c r="CV539" s="32"/>
      <c r="CW539" s="32"/>
      <c r="CX539" s="32"/>
      <c r="CY539" s="32"/>
      <c r="CZ539" s="32"/>
      <c r="DA539" s="32"/>
      <c r="DB539" s="32"/>
      <c r="DC539" s="32"/>
      <c r="DD539" s="32"/>
      <c r="DE539" s="32"/>
      <c r="DF539" s="32"/>
      <c r="DG539" s="32"/>
      <c r="DH539" s="32"/>
      <c r="DI539" s="32"/>
      <c r="DJ539" s="32"/>
      <c r="DK539" s="32"/>
      <c r="DL539" s="32"/>
      <c r="DM539" s="32"/>
      <c r="DN539" s="32"/>
      <c r="DO539" s="32"/>
      <c r="DP539" s="32"/>
      <c r="DQ539" s="32"/>
      <c r="DR539" s="32"/>
      <c r="DS539" s="32"/>
      <c r="DT539" s="32"/>
      <c r="DU539" s="32"/>
      <c r="DV539" s="32"/>
      <c r="DW539" s="32"/>
      <c r="DX539" s="32"/>
      <c r="DY539" s="32"/>
      <c r="DZ539" s="32"/>
      <c r="EA539" s="32"/>
      <c r="EB539" s="32"/>
      <c r="EC539" s="32"/>
      <c r="ED539" s="32"/>
      <c r="EE539" s="32"/>
      <c r="EF539" s="32"/>
      <c r="EG539" s="32"/>
      <c r="EH539" s="32"/>
      <c r="EI539" s="32"/>
      <c r="EJ539" s="32"/>
      <c r="EK539" s="32"/>
      <c r="EL539" s="32"/>
      <c r="EM539" s="32"/>
      <c r="EN539" s="32"/>
      <c r="EO539" s="32"/>
      <c r="EP539" s="32"/>
      <c r="EQ539" s="32"/>
      <c r="ER539" s="32"/>
      <c r="ES539" s="32"/>
      <c r="ET539" s="32"/>
      <c r="EU539" s="32"/>
      <c r="EV539" s="32"/>
      <c r="EW539" s="32"/>
      <c r="EX539" s="32"/>
      <c r="EY539" s="32"/>
      <c r="EZ539" s="32"/>
      <c r="FA539" s="32"/>
      <c r="FB539" s="32"/>
      <c r="FC539" s="32"/>
      <c r="FD539" s="32"/>
      <c r="FE539" s="32"/>
      <c r="FF539" s="32"/>
      <c r="FG539" s="32"/>
      <c r="FH539" s="32"/>
      <c r="FI539" s="32"/>
      <c r="FJ539" s="32"/>
      <c r="FK539" s="32"/>
      <c r="FL539" s="32"/>
      <c r="FM539" s="32"/>
      <c r="FN539" s="32"/>
      <c r="FO539" s="32"/>
      <c r="FP539" s="32"/>
      <c r="FQ539" s="32"/>
      <c r="FR539" s="32"/>
      <c r="FS539" s="32"/>
      <c r="FT539" s="32"/>
      <c r="FU539" s="32"/>
      <c r="FV539" s="32"/>
      <c r="FW539" s="32"/>
      <c r="FX539" s="32"/>
      <c r="FY539" s="32"/>
      <c r="FZ539" s="32"/>
      <c r="GA539" s="32"/>
      <c r="GB539" s="32"/>
      <c r="GC539" s="32"/>
      <c r="GD539" s="32"/>
      <c r="GE539" s="32"/>
      <c r="GF539" s="32"/>
      <c r="GG539" s="32"/>
      <c r="GH539" s="32"/>
      <c r="GI539" s="32"/>
      <c r="GJ539" s="32"/>
      <c r="GK539" s="32"/>
      <c r="GL539" s="32"/>
      <c r="GM539" s="32"/>
      <c r="GN539" s="32"/>
      <c r="GO539" s="32"/>
      <c r="GP539" s="32"/>
      <c r="GQ539" s="32"/>
      <c r="GR539" s="32"/>
      <c r="GS539" s="32"/>
      <c r="GT539" s="32"/>
      <c r="GU539" s="32"/>
      <c r="GV539" s="32"/>
      <c r="GW539" s="32"/>
      <c r="GX539" s="32"/>
      <c r="GY539" s="32"/>
      <c r="GZ539" s="32"/>
      <c r="HA539" s="32"/>
      <c r="HB539" s="32"/>
      <c r="HC539" s="32"/>
      <c r="HD539" s="32"/>
      <c r="HE539" s="32"/>
      <c r="HF539" s="32"/>
      <c r="HG539" s="32"/>
      <c r="HH539" s="32"/>
      <c r="HI539" s="32"/>
      <c r="HJ539" s="32"/>
      <c r="HK539" s="32"/>
      <c r="HL539" s="32"/>
      <c r="HM539" s="32"/>
      <c r="HN539" s="32"/>
      <c r="HO539" s="32"/>
      <c r="HP539" s="32"/>
    </row>
    <row r="540" spans="1:224" x14ac:dyDescent="0.25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  <c r="BA540" s="32"/>
      <c r="BB540" s="32"/>
      <c r="BC540" s="32"/>
      <c r="BD540" s="32"/>
      <c r="BE540" s="32"/>
      <c r="BF540" s="32"/>
      <c r="BG540" s="32"/>
      <c r="BH540" s="32"/>
      <c r="BI540" s="32"/>
      <c r="BJ540" s="32"/>
      <c r="BK540" s="32"/>
      <c r="BL540" s="32"/>
      <c r="BM540" s="32"/>
      <c r="BN540" s="32"/>
      <c r="BO540" s="32"/>
      <c r="BP540" s="32"/>
      <c r="BQ540" s="32"/>
      <c r="BR540" s="32"/>
      <c r="BS540" s="32"/>
      <c r="BT540" s="32"/>
      <c r="BU540" s="32"/>
      <c r="BV540" s="32"/>
      <c r="BW540" s="32"/>
      <c r="BX540" s="32"/>
      <c r="BY540" s="32"/>
      <c r="BZ540" s="32"/>
      <c r="CA540" s="32"/>
      <c r="CB540" s="32"/>
      <c r="CC540" s="32"/>
      <c r="CD540" s="32"/>
      <c r="CE540" s="32"/>
      <c r="CF540" s="32"/>
      <c r="CG540" s="32"/>
      <c r="CH540" s="32"/>
      <c r="CI540" s="32"/>
      <c r="CJ540" s="32"/>
      <c r="CK540" s="32"/>
      <c r="CL540" s="32"/>
      <c r="CM540" s="32"/>
      <c r="CN540" s="32"/>
      <c r="CO540" s="32"/>
      <c r="CP540" s="32"/>
      <c r="CQ540" s="32"/>
      <c r="CR540" s="32"/>
      <c r="CS540" s="32"/>
      <c r="CT540" s="32"/>
      <c r="CU540" s="32"/>
      <c r="CV540" s="32"/>
      <c r="CW540" s="32"/>
      <c r="CX540" s="32"/>
      <c r="CY540" s="32"/>
      <c r="CZ540" s="32"/>
      <c r="DA540" s="32"/>
      <c r="DB540" s="32"/>
      <c r="DC540" s="32"/>
      <c r="DD540" s="32"/>
      <c r="DE540" s="32"/>
      <c r="DF540" s="32"/>
      <c r="DG540" s="32"/>
      <c r="DH540" s="32"/>
      <c r="DI540" s="32"/>
      <c r="DJ540" s="32"/>
      <c r="DK540" s="32"/>
      <c r="DL540" s="32"/>
      <c r="DM540" s="32"/>
      <c r="DN540" s="32"/>
      <c r="DO540" s="32"/>
      <c r="DP540" s="32"/>
      <c r="DQ540" s="32"/>
      <c r="DR540" s="32"/>
      <c r="DS540" s="32"/>
      <c r="DT540" s="32"/>
      <c r="DU540" s="32"/>
      <c r="DV540" s="32"/>
      <c r="DW540" s="32"/>
      <c r="DX540" s="32"/>
      <c r="DY540" s="32"/>
      <c r="DZ540" s="32"/>
      <c r="EA540" s="32"/>
      <c r="EB540" s="32"/>
      <c r="EC540" s="32"/>
      <c r="ED540" s="32"/>
      <c r="EE540" s="32"/>
      <c r="EF540" s="32"/>
      <c r="EG540" s="32"/>
      <c r="EH540" s="32"/>
      <c r="EI540" s="32"/>
      <c r="EJ540" s="32"/>
      <c r="EK540" s="32"/>
      <c r="EL540" s="32"/>
      <c r="EM540" s="32"/>
      <c r="EN540" s="32"/>
      <c r="EO540" s="32"/>
      <c r="EP540" s="32"/>
      <c r="EQ540" s="32"/>
      <c r="ER540" s="32"/>
      <c r="ES540" s="32"/>
      <c r="ET540" s="32"/>
      <c r="EU540" s="32"/>
      <c r="EV540" s="32"/>
      <c r="EW540" s="32"/>
      <c r="EX540" s="32"/>
      <c r="EY540" s="32"/>
      <c r="EZ540" s="32"/>
      <c r="FA540" s="32"/>
      <c r="FB540" s="32"/>
      <c r="FC540" s="32"/>
      <c r="FD540" s="32"/>
      <c r="FE540" s="32"/>
      <c r="FF540" s="32"/>
      <c r="FG540" s="32"/>
      <c r="FH540" s="32"/>
      <c r="FI540" s="32"/>
      <c r="FJ540" s="32"/>
      <c r="FK540" s="32"/>
      <c r="FL540" s="32"/>
      <c r="FM540" s="32"/>
      <c r="FN540" s="32"/>
      <c r="FO540" s="32"/>
      <c r="FP540" s="32"/>
      <c r="FQ540" s="32"/>
      <c r="FR540" s="32"/>
      <c r="FS540" s="32"/>
      <c r="FT540" s="32"/>
      <c r="FU540" s="32"/>
      <c r="FV540" s="32"/>
      <c r="FW540" s="32"/>
      <c r="FX540" s="32"/>
      <c r="FY540" s="32"/>
      <c r="FZ540" s="32"/>
      <c r="GA540" s="32"/>
      <c r="GB540" s="32"/>
      <c r="GC540" s="32"/>
      <c r="GD540" s="32"/>
      <c r="GE540" s="32"/>
      <c r="GF540" s="32"/>
      <c r="GG540" s="32"/>
      <c r="GH540" s="32"/>
      <c r="GI540" s="32"/>
      <c r="GJ540" s="32"/>
      <c r="GK540" s="32"/>
      <c r="GL540" s="32"/>
      <c r="GM540" s="32"/>
      <c r="GN540" s="32"/>
      <c r="GO540" s="32"/>
      <c r="GP540" s="32"/>
      <c r="GQ540" s="32"/>
      <c r="GR540" s="32"/>
      <c r="GS540" s="32"/>
      <c r="GT540" s="32"/>
      <c r="GU540" s="32"/>
      <c r="GV540" s="32"/>
      <c r="GW540" s="32"/>
      <c r="GX540" s="32"/>
      <c r="GY540" s="32"/>
      <c r="GZ540" s="32"/>
      <c r="HA540" s="32"/>
      <c r="HB540" s="32"/>
      <c r="HC540" s="32"/>
      <c r="HD540" s="32"/>
      <c r="HE540" s="32"/>
      <c r="HF540" s="32"/>
      <c r="HG540" s="32"/>
      <c r="HH540" s="32"/>
      <c r="HI540" s="32"/>
      <c r="HJ540" s="32"/>
      <c r="HK540" s="32"/>
      <c r="HL540" s="32"/>
      <c r="HM540" s="32"/>
      <c r="HN540" s="32"/>
      <c r="HO540" s="32"/>
      <c r="HP540" s="32"/>
    </row>
    <row r="541" spans="1:224" x14ac:dyDescent="0.25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2"/>
      <c r="AZ541" s="32"/>
      <c r="BA541" s="32"/>
      <c r="BB541" s="32"/>
      <c r="BC541" s="32"/>
      <c r="BD541" s="32"/>
      <c r="BE541" s="32"/>
      <c r="BF541" s="32"/>
      <c r="BG541" s="32"/>
      <c r="BH541" s="32"/>
      <c r="BI541" s="32"/>
      <c r="BJ541" s="32"/>
      <c r="BK541" s="32"/>
      <c r="BL541" s="32"/>
      <c r="BM541" s="32"/>
      <c r="BN541" s="32"/>
      <c r="BO541" s="32"/>
      <c r="BP541" s="32"/>
      <c r="BQ541" s="32"/>
      <c r="BR541" s="32"/>
      <c r="BS541" s="32"/>
      <c r="BT541" s="32"/>
      <c r="BU541" s="32"/>
      <c r="BV541" s="32"/>
      <c r="BW541" s="32"/>
      <c r="BX541" s="32"/>
      <c r="BY541" s="32"/>
      <c r="BZ541" s="32"/>
      <c r="CA541" s="32"/>
      <c r="CB541" s="32"/>
      <c r="CC541" s="32"/>
      <c r="CD541" s="32"/>
      <c r="CE541" s="32"/>
      <c r="CF541" s="32"/>
      <c r="CG541" s="32"/>
      <c r="CH541" s="32"/>
      <c r="CI541" s="32"/>
      <c r="CJ541" s="32"/>
      <c r="CK541" s="32"/>
      <c r="CL541" s="32"/>
      <c r="CM541" s="32"/>
      <c r="CN541" s="32"/>
      <c r="CO541" s="32"/>
      <c r="CP541" s="32"/>
      <c r="CQ541" s="32"/>
      <c r="CR541" s="32"/>
      <c r="CS541" s="32"/>
      <c r="CT541" s="32"/>
      <c r="CU541" s="32"/>
      <c r="CV541" s="32"/>
      <c r="CW541" s="32"/>
      <c r="CX541" s="32"/>
      <c r="CY541" s="32"/>
      <c r="CZ541" s="32"/>
      <c r="DA541" s="32"/>
      <c r="DB541" s="32"/>
      <c r="DC541" s="32"/>
      <c r="DD541" s="32"/>
      <c r="DE541" s="32"/>
      <c r="DF541" s="32"/>
      <c r="DG541" s="32"/>
      <c r="DH541" s="32"/>
      <c r="DI541" s="32"/>
      <c r="DJ541" s="32"/>
      <c r="DK541" s="32"/>
      <c r="DL541" s="32"/>
      <c r="DM541" s="32"/>
      <c r="DN541" s="32"/>
      <c r="DO541" s="32"/>
      <c r="DP541" s="32"/>
      <c r="DQ541" s="32"/>
      <c r="DR541" s="32"/>
      <c r="DS541" s="32"/>
      <c r="DT541" s="32"/>
      <c r="DU541" s="32"/>
      <c r="DV541" s="32"/>
      <c r="DW541" s="32"/>
      <c r="DX541" s="32"/>
      <c r="DY541" s="32"/>
      <c r="DZ541" s="32"/>
      <c r="EA541" s="32"/>
      <c r="EB541" s="32"/>
      <c r="EC541" s="32"/>
      <c r="ED541" s="32"/>
      <c r="EE541" s="32"/>
      <c r="EF541" s="32"/>
      <c r="EG541" s="32"/>
      <c r="EH541" s="32"/>
      <c r="EI541" s="32"/>
      <c r="EJ541" s="32"/>
      <c r="EK541" s="32"/>
      <c r="EL541" s="32"/>
      <c r="EM541" s="32"/>
      <c r="EN541" s="32"/>
      <c r="EO541" s="32"/>
      <c r="EP541" s="32"/>
      <c r="EQ541" s="32"/>
      <c r="ER541" s="32"/>
      <c r="ES541" s="32"/>
      <c r="ET541" s="32"/>
      <c r="EU541" s="32"/>
      <c r="EV541" s="32"/>
      <c r="EW541" s="32"/>
      <c r="EX541" s="32"/>
      <c r="EY541" s="32"/>
      <c r="EZ541" s="32"/>
      <c r="FA541" s="32"/>
      <c r="FB541" s="32"/>
      <c r="FC541" s="32"/>
      <c r="FD541" s="32"/>
      <c r="FE541" s="32"/>
      <c r="FF541" s="32"/>
      <c r="FG541" s="32"/>
      <c r="FH541" s="32"/>
      <c r="FI541" s="32"/>
      <c r="FJ541" s="32"/>
      <c r="FK541" s="32"/>
      <c r="FL541" s="32"/>
      <c r="FM541" s="32"/>
      <c r="FN541" s="32"/>
      <c r="FO541" s="32"/>
      <c r="FP541" s="32"/>
      <c r="FQ541" s="32"/>
      <c r="FR541" s="32"/>
      <c r="FS541" s="32"/>
      <c r="FT541" s="32"/>
      <c r="FU541" s="32"/>
      <c r="FV541" s="32"/>
      <c r="FW541" s="32"/>
      <c r="FX541" s="32"/>
      <c r="FY541" s="32"/>
      <c r="FZ541" s="32"/>
      <c r="GA541" s="32"/>
      <c r="GB541" s="32"/>
      <c r="GC541" s="32"/>
      <c r="GD541" s="32"/>
      <c r="GE541" s="32"/>
      <c r="GF541" s="32"/>
      <c r="GG541" s="32"/>
      <c r="GH541" s="32"/>
      <c r="GI541" s="32"/>
      <c r="GJ541" s="32"/>
      <c r="GK541" s="32"/>
      <c r="GL541" s="32"/>
      <c r="GM541" s="32"/>
      <c r="GN541" s="32"/>
      <c r="GO541" s="32"/>
      <c r="GP541" s="32"/>
      <c r="GQ541" s="32"/>
      <c r="GR541" s="32"/>
      <c r="GS541" s="32"/>
      <c r="GT541" s="32"/>
      <c r="GU541" s="32"/>
      <c r="GV541" s="32"/>
      <c r="GW541" s="32"/>
      <c r="GX541" s="32"/>
      <c r="GY541" s="32"/>
      <c r="GZ541" s="32"/>
      <c r="HA541" s="32"/>
      <c r="HB541" s="32"/>
      <c r="HC541" s="32"/>
      <c r="HD541" s="32"/>
      <c r="HE541" s="32"/>
      <c r="HF541" s="32"/>
      <c r="HG541" s="32"/>
      <c r="HH541" s="32"/>
      <c r="HI541" s="32"/>
      <c r="HJ541" s="32"/>
      <c r="HK541" s="32"/>
      <c r="HL541" s="32"/>
      <c r="HM541" s="32"/>
      <c r="HN541" s="32"/>
      <c r="HO541" s="32"/>
      <c r="HP541" s="32"/>
    </row>
    <row r="542" spans="1:224" x14ac:dyDescent="0.25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2"/>
      <c r="BA542" s="32"/>
      <c r="BB542" s="32"/>
      <c r="BC542" s="32"/>
      <c r="BD542" s="32"/>
      <c r="BE542" s="32"/>
      <c r="BF542" s="32"/>
      <c r="BG542" s="32"/>
      <c r="BH542" s="32"/>
      <c r="BI542" s="32"/>
      <c r="BJ542" s="32"/>
      <c r="BK542" s="32"/>
      <c r="BL542" s="32"/>
      <c r="BM542" s="32"/>
      <c r="BN542" s="32"/>
      <c r="BO542" s="32"/>
      <c r="BP542" s="32"/>
      <c r="BQ542" s="32"/>
      <c r="BR542" s="32"/>
      <c r="BS542" s="32"/>
      <c r="BT542" s="32"/>
      <c r="BU542" s="32"/>
      <c r="BV542" s="32"/>
      <c r="BW542" s="32"/>
      <c r="BX542" s="32"/>
      <c r="BY542" s="32"/>
      <c r="BZ542" s="32"/>
      <c r="CA542" s="32"/>
      <c r="CB542" s="32"/>
      <c r="CC542" s="32"/>
      <c r="CD542" s="32"/>
      <c r="CE542" s="32"/>
      <c r="CF542" s="32"/>
      <c r="CG542" s="32"/>
      <c r="CH542" s="32"/>
      <c r="CI542" s="32"/>
      <c r="CJ542" s="32"/>
      <c r="CK542" s="32"/>
      <c r="CL542" s="32"/>
      <c r="CM542" s="32"/>
      <c r="CN542" s="32"/>
      <c r="CO542" s="32"/>
      <c r="CP542" s="32"/>
      <c r="CQ542" s="32"/>
      <c r="CR542" s="32"/>
      <c r="CS542" s="32"/>
      <c r="CT542" s="32"/>
      <c r="CU542" s="32"/>
      <c r="CV542" s="32"/>
      <c r="CW542" s="32"/>
      <c r="CX542" s="32"/>
      <c r="CY542" s="32"/>
      <c r="CZ542" s="32"/>
      <c r="DA542" s="32"/>
      <c r="DB542" s="32"/>
      <c r="DC542" s="32"/>
      <c r="DD542" s="32"/>
      <c r="DE542" s="32"/>
      <c r="DF542" s="32"/>
      <c r="DG542" s="32"/>
      <c r="DH542" s="32"/>
      <c r="DI542" s="32"/>
      <c r="DJ542" s="32"/>
      <c r="DK542" s="32"/>
      <c r="DL542" s="32"/>
      <c r="DM542" s="32"/>
      <c r="DN542" s="32"/>
      <c r="DO542" s="32"/>
      <c r="DP542" s="32"/>
      <c r="DQ542" s="32"/>
      <c r="DR542" s="32"/>
      <c r="DS542" s="32"/>
      <c r="DT542" s="32"/>
      <c r="DU542" s="32"/>
      <c r="DV542" s="32"/>
      <c r="DW542" s="32"/>
      <c r="DX542" s="32"/>
      <c r="DY542" s="32"/>
      <c r="DZ542" s="32"/>
      <c r="EA542" s="32"/>
      <c r="EB542" s="32"/>
      <c r="EC542" s="32"/>
      <c r="ED542" s="32"/>
      <c r="EE542" s="32"/>
      <c r="EF542" s="32"/>
      <c r="EG542" s="32"/>
      <c r="EH542" s="32"/>
      <c r="EI542" s="32"/>
      <c r="EJ542" s="32"/>
      <c r="EK542" s="32"/>
      <c r="EL542" s="32"/>
      <c r="EM542" s="32"/>
      <c r="EN542" s="32"/>
      <c r="EO542" s="32"/>
      <c r="EP542" s="32"/>
      <c r="EQ542" s="32"/>
      <c r="ER542" s="32"/>
      <c r="ES542" s="32"/>
      <c r="ET542" s="32"/>
      <c r="EU542" s="32"/>
      <c r="EV542" s="32"/>
      <c r="EW542" s="32"/>
      <c r="EX542" s="32"/>
      <c r="EY542" s="32"/>
      <c r="EZ542" s="32"/>
      <c r="FA542" s="32"/>
      <c r="FB542" s="32"/>
      <c r="FC542" s="32"/>
      <c r="FD542" s="32"/>
      <c r="FE542" s="32"/>
      <c r="FF542" s="32"/>
      <c r="FG542" s="32"/>
      <c r="FH542" s="32"/>
      <c r="FI542" s="32"/>
      <c r="FJ542" s="32"/>
      <c r="FK542" s="32"/>
      <c r="FL542" s="32"/>
      <c r="FM542" s="32"/>
      <c r="FN542" s="32"/>
      <c r="FO542" s="32"/>
      <c r="FP542" s="32"/>
      <c r="FQ542" s="32"/>
      <c r="FR542" s="32"/>
      <c r="FS542" s="32"/>
      <c r="FT542" s="32"/>
      <c r="FU542" s="32"/>
      <c r="FV542" s="32"/>
      <c r="FW542" s="32"/>
      <c r="FX542" s="32"/>
      <c r="FY542" s="32"/>
      <c r="FZ542" s="32"/>
      <c r="GA542" s="32"/>
      <c r="GB542" s="32"/>
      <c r="GC542" s="32"/>
      <c r="GD542" s="32"/>
      <c r="GE542" s="32"/>
      <c r="GF542" s="32"/>
      <c r="GG542" s="32"/>
      <c r="GH542" s="32"/>
      <c r="GI542" s="32"/>
      <c r="GJ542" s="32"/>
      <c r="GK542" s="32"/>
      <c r="GL542" s="32"/>
      <c r="GM542" s="32"/>
      <c r="GN542" s="32"/>
      <c r="GO542" s="32"/>
      <c r="GP542" s="32"/>
      <c r="GQ542" s="32"/>
      <c r="GR542" s="32"/>
      <c r="GS542" s="32"/>
      <c r="GT542" s="32"/>
      <c r="GU542" s="32"/>
      <c r="GV542" s="32"/>
      <c r="GW542" s="32"/>
      <c r="GX542" s="32"/>
      <c r="GY542" s="32"/>
      <c r="GZ542" s="32"/>
      <c r="HA542" s="32"/>
      <c r="HB542" s="32"/>
      <c r="HC542" s="32"/>
      <c r="HD542" s="32"/>
      <c r="HE542" s="32"/>
      <c r="HF542" s="32"/>
      <c r="HG542" s="32"/>
      <c r="HH542" s="32"/>
      <c r="HI542" s="32"/>
      <c r="HJ542" s="32"/>
      <c r="HK542" s="32"/>
      <c r="HL542" s="32"/>
      <c r="HM542" s="32"/>
      <c r="HN542" s="32"/>
      <c r="HO542" s="32"/>
      <c r="HP542" s="32"/>
    </row>
    <row r="543" spans="1:224" x14ac:dyDescent="0.25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/>
      <c r="BA543" s="32"/>
      <c r="BB543" s="32"/>
      <c r="BC543" s="32"/>
      <c r="BD543" s="32"/>
      <c r="BE543" s="32"/>
      <c r="BF543" s="32"/>
      <c r="BG543" s="32"/>
      <c r="BH543" s="32"/>
      <c r="BI543" s="32"/>
      <c r="BJ543" s="32"/>
      <c r="BK543" s="32"/>
      <c r="BL543" s="32"/>
      <c r="BM543" s="32"/>
      <c r="BN543" s="32"/>
      <c r="BO543" s="32"/>
      <c r="BP543" s="32"/>
      <c r="BQ543" s="32"/>
      <c r="BR543" s="32"/>
      <c r="BS543" s="32"/>
      <c r="BT543" s="32"/>
      <c r="BU543" s="32"/>
      <c r="BV543" s="32"/>
      <c r="BW543" s="32"/>
      <c r="BX543" s="32"/>
      <c r="BY543" s="32"/>
      <c r="BZ543" s="32"/>
      <c r="CA543" s="32"/>
      <c r="CB543" s="32"/>
      <c r="CC543" s="32"/>
      <c r="CD543" s="32"/>
      <c r="CE543" s="32"/>
      <c r="CF543" s="32"/>
      <c r="CG543" s="32"/>
      <c r="CH543" s="32"/>
      <c r="CI543" s="32"/>
      <c r="CJ543" s="32"/>
      <c r="CK543" s="32"/>
      <c r="CL543" s="32"/>
      <c r="CM543" s="32"/>
      <c r="CN543" s="32"/>
      <c r="CO543" s="32"/>
      <c r="CP543" s="32"/>
      <c r="CQ543" s="32"/>
      <c r="CR543" s="32"/>
      <c r="CS543" s="32"/>
      <c r="CT543" s="32"/>
      <c r="CU543" s="32"/>
      <c r="CV543" s="32"/>
      <c r="CW543" s="32"/>
      <c r="CX543" s="32"/>
      <c r="CY543" s="32"/>
      <c r="CZ543" s="32"/>
      <c r="DA543" s="32"/>
      <c r="DB543" s="32"/>
      <c r="DC543" s="32"/>
      <c r="DD543" s="32"/>
      <c r="DE543" s="32"/>
      <c r="DF543" s="32"/>
      <c r="DG543" s="32"/>
      <c r="DH543" s="32"/>
      <c r="DI543" s="32"/>
      <c r="DJ543" s="32"/>
      <c r="DK543" s="32"/>
      <c r="DL543" s="32"/>
      <c r="DM543" s="32"/>
      <c r="DN543" s="32"/>
      <c r="DO543" s="32"/>
      <c r="DP543" s="32"/>
      <c r="DQ543" s="32"/>
      <c r="DR543" s="32"/>
      <c r="DS543" s="32"/>
      <c r="DT543" s="32"/>
      <c r="DU543" s="32"/>
      <c r="DV543" s="32"/>
      <c r="DW543" s="32"/>
      <c r="DX543" s="32"/>
      <c r="DY543" s="32"/>
      <c r="DZ543" s="32"/>
      <c r="EA543" s="32"/>
      <c r="EB543" s="32"/>
      <c r="EC543" s="32"/>
      <c r="ED543" s="32"/>
      <c r="EE543" s="32"/>
      <c r="EF543" s="32"/>
      <c r="EG543" s="32"/>
      <c r="EH543" s="32"/>
      <c r="EI543" s="32"/>
      <c r="EJ543" s="32"/>
      <c r="EK543" s="32"/>
      <c r="EL543" s="32"/>
      <c r="EM543" s="32"/>
      <c r="EN543" s="32"/>
      <c r="EO543" s="32"/>
      <c r="EP543" s="32"/>
      <c r="EQ543" s="32"/>
      <c r="ER543" s="32"/>
      <c r="ES543" s="32"/>
      <c r="ET543" s="32"/>
      <c r="EU543" s="32"/>
      <c r="EV543" s="32"/>
      <c r="EW543" s="32"/>
      <c r="EX543" s="32"/>
      <c r="EY543" s="32"/>
      <c r="EZ543" s="32"/>
      <c r="FA543" s="32"/>
      <c r="FB543" s="32"/>
      <c r="FC543" s="32"/>
      <c r="FD543" s="32"/>
      <c r="FE543" s="32"/>
      <c r="FF543" s="32"/>
      <c r="FG543" s="32"/>
      <c r="FH543" s="32"/>
      <c r="FI543" s="32"/>
      <c r="FJ543" s="32"/>
      <c r="FK543" s="32"/>
      <c r="FL543" s="32"/>
      <c r="FM543" s="32"/>
      <c r="FN543" s="32"/>
      <c r="FO543" s="32"/>
      <c r="FP543" s="32"/>
      <c r="FQ543" s="32"/>
      <c r="FR543" s="32"/>
      <c r="FS543" s="32"/>
      <c r="FT543" s="32"/>
      <c r="FU543" s="32"/>
      <c r="FV543" s="32"/>
      <c r="FW543" s="32"/>
      <c r="FX543" s="32"/>
      <c r="FY543" s="32"/>
      <c r="FZ543" s="32"/>
      <c r="GA543" s="32"/>
      <c r="GB543" s="32"/>
      <c r="GC543" s="32"/>
      <c r="GD543" s="32"/>
      <c r="GE543" s="32"/>
      <c r="GF543" s="32"/>
      <c r="GG543" s="32"/>
      <c r="GH543" s="32"/>
      <c r="GI543" s="32"/>
      <c r="GJ543" s="32"/>
      <c r="GK543" s="32"/>
      <c r="GL543" s="32"/>
      <c r="GM543" s="32"/>
      <c r="GN543" s="32"/>
      <c r="GO543" s="32"/>
      <c r="GP543" s="32"/>
      <c r="GQ543" s="32"/>
      <c r="GR543" s="32"/>
      <c r="GS543" s="32"/>
      <c r="GT543" s="32"/>
      <c r="GU543" s="32"/>
      <c r="GV543" s="32"/>
      <c r="GW543" s="32"/>
      <c r="GX543" s="32"/>
      <c r="GY543" s="32"/>
      <c r="GZ543" s="32"/>
      <c r="HA543" s="32"/>
      <c r="HB543" s="32"/>
      <c r="HC543" s="32"/>
      <c r="HD543" s="32"/>
      <c r="HE543" s="32"/>
      <c r="HF543" s="32"/>
      <c r="HG543" s="32"/>
      <c r="HH543" s="32"/>
      <c r="HI543" s="32"/>
      <c r="HJ543" s="32"/>
      <c r="HK543" s="32"/>
      <c r="HL543" s="32"/>
      <c r="HM543" s="32"/>
      <c r="HN543" s="32"/>
      <c r="HO543" s="32"/>
      <c r="HP543" s="32"/>
    </row>
    <row r="544" spans="1:224" x14ac:dyDescent="0.25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2"/>
      <c r="BB544" s="32"/>
      <c r="BC544" s="32"/>
      <c r="BD544" s="32"/>
      <c r="BE544" s="32"/>
      <c r="BF544" s="32"/>
      <c r="BG544" s="32"/>
      <c r="BH544" s="32"/>
      <c r="BI544" s="32"/>
      <c r="BJ544" s="32"/>
      <c r="BK544" s="32"/>
      <c r="BL544" s="32"/>
      <c r="BM544" s="32"/>
      <c r="BN544" s="32"/>
      <c r="BO544" s="32"/>
      <c r="BP544" s="32"/>
      <c r="BQ544" s="32"/>
      <c r="BR544" s="32"/>
      <c r="BS544" s="32"/>
      <c r="BT544" s="32"/>
      <c r="BU544" s="32"/>
      <c r="BV544" s="32"/>
      <c r="BW544" s="32"/>
      <c r="BX544" s="32"/>
      <c r="BY544" s="32"/>
      <c r="BZ544" s="32"/>
      <c r="CA544" s="32"/>
      <c r="CB544" s="32"/>
      <c r="CC544" s="32"/>
      <c r="CD544" s="32"/>
      <c r="CE544" s="32"/>
      <c r="CF544" s="32"/>
      <c r="CG544" s="32"/>
      <c r="CH544" s="32"/>
      <c r="CI544" s="32"/>
      <c r="CJ544" s="32"/>
      <c r="CK544" s="32"/>
      <c r="CL544" s="32"/>
      <c r="CM544" s="32"/>
      <c r="CN544" s="32"/>
      <c r="CO544" s="32"/>
      <c r="CP544" s="32"/>
      <c r="CQ544" s="32"/>
      <c r="CR544" s="32"/>
      <c r="CS544" s="32"/>
      <c r="CT544" s="32"/>
      <c r="CU544" s="32"/>
      <c r="CV544" s="32"/>
      <c r="CW544" s="32"/>
      <c r="CX544" s="32"/>
      <c r="CY544" s="32"/>
      <c r="CZ544" s="32"/>
      <c r="DA544" s="32"/>
      <c r="DB544" s="32"/>
      <c r="DC544" s="32"/>
      <c r="DD544" s="32"/>
      <c r="DE544" s="32"/>
      <c r="DF544" s="32"/>
      <c r="DG544" s="32"/>
      <c r="DH544" s="32"/>
      <c r="DI544" s="32"/>
      <c r="DJ544" s="32"/>
      <c r="DK544" s="32"/>
      <c r="DL544" s="32"/>
      <c r="DM544" s="32"/>
      <c r="DN544" s="32"/>
      <c r="DO544" s="32"/>
      <c r="DP544" s="32"/>
      <c r="DQ544" s="32"/>
      <c r="DR544" s="32"/>
      <c r="DS544" s="32"/>
      <c r="DT544" s="32"/>
      <c r="DU544" s="32"/>
      <c r="DV544" s="32"/>
      <c r="DW544" s="32"/>
      <c r="DX544" s="32"/>
      <c r="DY544" s="32"/>
      <c r="DZ544" s="32"/>
      <c r="EA544" s="32"/>
      <c r="EB544" s="32"/>
      <c r="EC544" s="32"/>
      <c r="ED544" s="32"/>
      <c r="EE544" s="32"/>
      <c r="EF544" s="32"/>
      <c r="EG544" s="32"/>
      <c r="EH544" s="32"/>
      <c r="EI544" s="32"/>
      <c r="EJ544" s="32"/>
      <c r="EK544" s="32"/>
      <c r="EL544" s="32"/>
      <c r="EM544" s="32"/>
      <c r="EN544" s="32"/>
      <c r="EO544" s="32"/>
      <c r="EP544" s="32"/>
      <c r="EQ544" s="32"/>
      <c r="ER544" s="32"/>
      <c r="ES544" s="32"/>
      <c r="ET544" s="32"/>
      <c r="EU544" s="32"/>
      <c r="EV544" s="32"/>
      <c r="EW544" s="32"/>
      <c r="EX544" s="32"/>
      <c r="EY544" s="32"/>
      <c r="EZ544" s="32"/>
      <c r="FA544" s="32"/>
      <c r="FB544" s="32"/>
      <c r="FC544" s="32"/>
      <c r="FD544" s="32"/>
      <c r="FE544" s="32"/>
      <c r="FF544" s="32"/>
      <c r="FG544" s="32"/>
      <c r="FH544" s="32"/>
      <c r="FI544" s="32"/>
      <c r="FJ544" s="32"/>
      <c r="FK544" s="32"/>
      <c r="FL544" s="32"/>
      <c r="FM544" s="32"/>
      <c r="FN544" s="32"/>
      <c r="FO544" s="32"/>
      <c r="FP544" s="32"/>
      <c r="FQ544" s="32"/>
      <c r="FR544" s="32"/>
      <c r="FS544" s="32"/>
      <c r="FT544" s="32"/>
      <c r="FU544" s="32"/>
      <c r="FV544" s="32"/>
      <c r="FW544" s="32"/>
      <c r="FX544" s="32"/>
      <c r="FY544" s="32"/>
      <c r="FZ544" s="32"/>
      <c r="GA544" s="32"/>
      <c r="GB544" s="32"/>
      <c r="GC544" s="32"/>
      <c r="GD544" s="32"/>
      <c r="GE544" s="32"/>
      <c r="GF544" s="32"/>
      <c r="GG544" s="32"/>
      <c r="GH544" s="32"/>
      <c r="GI544" s="32"/>
      <c r="GJ544" s="32"/>
      <c r="GK544" s="32"/>
      <c r="GL544" s="32"/>
      <c r="GM544" s="32"/>
      <c r="GN544" s="32"/>
      <c r="GO544" s="32"/>
      <c r="GP544" s="32"/>
      <c r="GQ544" s="32"/>
      <c r="GR544" s="32"/>
      <c r="GS544" s="32"/>
      <c r="GT544" s="32"/>
      <c r="GU544" s="32"/>
      <c r="GV544" s="32"/>
      <c r="GW544" s="32"/>
      <c r="GX544" s="32"/>
      <c r="GY544" s="32"/>
      <c r="GZ544" s="32"/>
      <c r="HA544" s="32"/>
      <c r="HB544" s="32"/>
      <c r="HC544" s="32"/>
      <c r="HD544" s="32"/>
      <c r="HE544" s="32"/>
      <c r="HF544" s="32"/>
      <c r="HG544" s="32"/>
      <c r="HH544" s="32"/>
      <c r="HI544" s="32"/>
      <c r="HJ544" s="32"/>
      <c r="HK544" s="32"/>
      <c r="HL544" s="32"/>
      <c r="HM544" s="32"/>
      <c r="HN544" s="32"/>
      <c r="HO544" s="32"/>
      <c r="HP544" s="32"/>
    </row>
    <row r="545" spans="1:224" x14ac:dyDescent="0.2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  <c r="BA545" s="32"/>
      <c r="BB545" s="32"/>
      <c r="BC545" s="32"/>
      <c r="BD545" s="32"/>
      <c r="BE545" s="32"/>
      <c r="BF545" s="32"/>
      <c r="BG545" s="32"/>
      <c r="BH545" s="32"/>
      <c r="BI545" s="32"/>
      <c r="BJ545" s="32"/>
      <c r="BK545" s="32"/>
      <c r="BL545" s="32"/>
      <c r="BM545" s="32"/>
      <c r="BN545" s="32"/>
      <c r="BO545" s="32"/>
      <c r="BP545" s="32"/>
      <c r="BQ545" s="32"/>
      <c r="BR545" s="32"/>
      <c r="BS545" s="32"/>
      <c r="BT545" s="32"/>
      <c r="BU545" s="32"/>
      <c r="BV545" s="32"/>
      <c r="BW545" s="32"/>
      <c r="BX545" s="32"/>
      <c r="BY545" s="32"/>
      <c r="BZ545" s="32"/>
      <c r="CA545" s="32"/>
      <c r="CB545" s="32"/>
      <c r="CC545" s="32"/>
      <c r="CD545" s="32"/>
      <c r="CE545" s="32"/>
      <c r="CF545" s="32"/>
      <c r="CG545" s="32"/>
      <c r="CH545" s="32"/>
      <c r="CI545" s="32"/>
      <c r="CJ545" s="32"/>
      <c r="CK545" s="32"/>
      <c r="CL545" s="32"/>
      <c r="CM545" s="32"/>
      <c r="CN545" s="32"/>
      <c r="CO545" s="32"/>
      <c r="CP545" s="32"/>
      <c r="CQ545" s="32"/>
      <c r="CR545" s="32"/>
      <c r="CS545" s="32"/>
      <c r="CT545" s="32"/>
      <c r="CU545" s="32"/>
      <c r="CV545" s="32"/>
      <c r="CW545" s="32"/>
      <c r="CX545" s="32"/>
      <c r="CY545" s="32"/>
      <c r="CZ545" s="32"/>
      <c r="DA545" s="32"/>
      <c r="DB545" s="32"/>
      <c r="DC545" s="32"/>
      <c r="DD545" s="32"/>
      <c r="DE545" s="32"/>
      <c r="DF545" s="32"/>
      <c r="DG545" s="32"/>
      <c r="DH545" s="32"/>
      <c r="DI545" s="32"/>
      <c r="DJ545" s="32"/>
      <c r="DK545" s="32"/>
      <c r="DL545" s="32"/>
      <c r="DM545" s="32"/>
      <c r="DN545" s="32"/>
      <c r="DO545" s="32"/>
      <c r="DP545" s="32"/>
      <c r="DQ545" s="32"/>
      <c r="DR545" s="32"/>
      <c r="DS545" s="32"/>
      <c r="DT545" s="32"/>
      <c r="DU545" s="32"/>
      <c r="DV545" s="32"/>
      <c r="DW545" s="32"/>
      <c r="DX545" s="32"/>
      <c r="DY545" s="32"/>
      <c r="DZ545" s="32"/>
      <c r="EA545" s="32"/>
      <c r="EB545" s="32"/>
      <c r="EC545" s="32"/>
      <c r="ED545" s="32"/>
      <c r="EE545" s="32"/>
      <c r="EF545" s="32"/>
      <c r="EG545" s="32"/>
      <c r="EH545" s="32"/>
      <c r="EI545" s="32"/>
      <c r="EJ545" s="32"/>
      <c r="EK545" s="32"/>
      <c r="EL545" s="32"/>
      <c r="EM545" s="32"/>
      <c r="EN545" s="32"/>
      <c r="EO545" s="32"/>
      <c r="EP545" s="32"/>
      <c r="EQ545" s="32"/>
      <c r="ER545" s="32"/>
      <c r="ES545" s="32"/>
      <c r="ET545" s="32"/>
      <c r="EU545" s="32"/>
      <c r="EV545" s="32"/>
      <c r="EW545" s="32"/>
      <c r="EX545" s="32"/>
      <c r="EY545" s="32"/>
      <c r="EZ545" s="32"/>
      <c r="FA545" s="32"/>
      <c r="FB545" s="32"/>
      <c r="FC545" s="32"/>
      <c r="FD545" s="32"/>
      <c r="FE545" s="32"/>
      <c r="FF545" s="32"/>
      <c r="FG545" s="32"/>
      <c r="FH545" s="32"/>
      <c r="FI545" s="32"/>
      <c r="FJ545" s="32"/>
      <c r="FK545" s="32"/>
      <c r="FL545" s="32"/>
      <c r="FM545" s="32"/>
      <c r="FN545" s="32"/>
      <c r="FO545" s="32"/>
      <c r="FP545" s="32"/>
      <c r="FQ545" s="32"/>
      <c r="FR545" s="32"/>
      <c r="FS545" s="32"/>
      <c r="FT545" s="32"/>
      <c r="FU545" s="32"/>
      <c r="FV545" s="32"/>
      <c r="FW545" s="32"/>
      <c r="FX545" s="32"/>
      <c r="FY545" s="32"/>
      <c r="FZ545" s="32"/>
      <c r="GA545" s="32"/>
      <c r="GB545" s="32"/>
      <c r="GC545" s="32"/>
      <c r="GD545" s="32"/>
      <c r="GE545" s="32"/>
      <c r="GF545" s="32"/>
      <c r="GG545" s="32"/>
      <c r="GH545" s="32"/>
      <c r="GI545" s="32"/>
      <c r="GJ545" s="32"/>
      <c r="GK545" s="32"/>
      <c r="GL545" s="32"/>
      <c r="GM545" s="32"/>
      <c r="GN545" s="32"/>
      <c r="GO545" s="32"/>
      <c r="GP545" s="32"/>
      <c r="GQ545" s="32"/>
      <c r="GR545" s="32"/>
      <c r="GS545" s="32"/>
      <c r="GT545" s="32"/>
      <c r="GU545" s="32"/>
      <c r="GV545" s="32"/>
      <c r="GW545" s="32"/>
      <c r="GX545" s="32"/>
      <c r="GY545" s="32"/>
      <c r="GZ545" s="32"/>
      <c r="HA545" s="32"/>
      <c r="HB545" s="32"/>
      <c r="HC545" s="32"/>
      <c r="HD545" s="32"/>
      <c r="HE545" s="32"/>
      <c r="HF545" s="32"/>
      <c r="HG545" s="32"/>
      <c r="HH545" s="32"/>
      <c r="HI545" s="32"/>
      <c r="HJ545" s="32"/>
      <c r="HK545" s="32"/>
      <c r="HL545" s="32"/>
      <c r="HM545" s="32"/>
      <c r="HN545" s="32"/>
      <c r="HO545" s="32"/>
      <c r="HP545" s="32"/>
    </row>
    <row r="546" spans="1:224" x14ac:dyDescent="0.25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  <c r="BA546" s="32"/>
      <c r="BB546" s="32"/>
      <c r="BC546" s="32"/>
      <c r="BD546" s="32"/>
      <c r="BE546" s="32"/>
      <c r="BF546" s="32"/>
      <c r="BG546" s="32"/>
      <c r="BH546" s="32"/>
      <c r="BI546" s="32"/>
      <c r="BJ546" s="32"/>
      <c r="BK546" s="32"/>
      <c r="BL546" s="32"/>
      <c r="BM546" s="32"/>
      <c r="BN546" s="32"/>
      <c r="BO546" s="32"/>
      <c r="BP546" s="32"/>
      <c r="BQ546" s="32"/>
      <c r="BR546" s="32"/>
      <c r="BS546" s="32"/>
      <c r="BT546" s="32"/>
      <c r="BU546" s="32"/>
      <c r="BV546" s="32"/>
      <c r="BW546" s="32"/>
      <c r="BX546" s="32"/>
      <c r="BY546" s="32"/>
      <c r="BZ546" s="32"/>
      <c r="CA546" s="32"/>
      <c r="CB546" s="32"/>
      <c r="CC546" s="32"/>
      <c r="CD546" s="32"/>
      <c r="CE546" s="32"/>
      <c r="CF546" s="32"/>
      <c r="CG546" s="32"/>
      <c r="CH546" s="32"/>
      <c r="CI546" s="32"/>
      <c r="CJ546" s="32"/>
      <c r="CK546" s="32"/>
      <c r="CL546" s="32"/>
      <c r="CM546" s="32"/>
      <c r="CN546" s="32"/>
      <c r="CO546" s="32"/>
      <c r="CP546" s="32"/>
      <c r="CQ546" s="32"/>
      <c r="CR546" s="32"/>
      <c r="CS546" s="32"/>
      <c r="CT546" s="32"/>
      <c r="CU546" s="32"/>
      <c r="CV546" s="32"/>
      <c r="CW546" s="32"/>
      <c r="CX546" s="32"/>
      <c r="CY546" s="32"/>
      <c r="CZ546" s="32"/>
      <c r="DA546" s="32"/>
      <c r="DB546" s="32"/>
      <c r="DC546" s="32"/>
      <c r="DD546" s="32"/>
      <c r="DE546" s="32"/>
      <c r="DF546" s="32"/>
      <c r="DG546" s="32"/>
      <c r="DH546" s="32"/>
      <c r="DI546" s="32"/>
      <c r="DJ546" s="32"/>
      <c r="DK546" s="32"/>
      <c r="DL546" s="32"/>
      <c r="DM546" s="32"/>
      <c r="DN546" s="32"/>
      <c r="DO546" s="32"/>
      <c r="DP546" s="32"/>
      <c r="DQ546" s="32"/>
      <c r="DR546" s="32"/>
      <c r="DS546" s="32"/>
      <c r="DT546" s="32"/>
      <c r="DU546" s="32"/>
      <c r="DV546" s="32"/>
      <c r="DW546" s="32"/>
      <c r="DX546" s="32"/>
      <c r="DY546" s="32"/>
      <c r="DZ546" s="32"/>
      <c r="EA546" s="32"/>
      <c r="EB546" s="32"/>
      <c r="EC546" s="32"/>
      <c r="ED546" s="32"/>
      <c r="EE546" s="32"/>
      <c r="EF546" s="32"/>
      <c r="EG546" s="32"/>
      <c r="EH546" s="32"/>
      <c r="EI546" s="32"/>
      <c r="EJ546" s="32"/>
      <c r="EK546" s="32"/>
      <c r="EL546" s="32"/>
      <c r="EM546" s="32"/>
      <c r="EN546" s="32"/>
      <c r="EO546" s="32"/>
      <c r="EP546" s="32"/>
      <c r="EQ546" s="32"/>
      <c r="ER546" s="32"/>
      <c r="ES546" s="32"/>
      <c r="ET546" s="32"/>
      <c r="EU546" s="32"/>
      <c r="EV546" s="32"/>
      <c r="EW546" s="32"/>
      <c r="EX546" s="32"/>
      <c r="EY546" s="32"/>
      <c r="EZ546" s="32"/>
      <c r="FA546" s="32"/>
      <c r="FB546" s="32"/>
      <c r="FC546" s="32"/>
      <c r="FD546" s="32"/>
      <c r="FE546" s="32"/>
      <c r="FF546" s="32"/>
      <c r="FG546" s="32"/>
      <c r="FH546" s="32"/>
      <c r="FI546" s="32"/>
      <c r="FJ546" s="32"/>
      <c r="FK546" s="32"/>
      <c r="FL546" s="32"/>
      <c r="FM546" s="32"/>
      <c r="FN546" s="32"/>
      <c r="FO546" s="32"/>
      <c r="FP546" s="32"/>
      <c r="FQ546" s="32"/>
      <c r="FR546" s="32"/>
      <c r="FS546" s="32"/>
      <c r="FT546" s="32"/>
      <c r="FU546" s="32"/>
      <c r="FV546" s="32"/>
      <c r="FW546" s="32"/>
      <c r="FX546" s="32"/>
      <c r="FY546" s="32"/>
      <c r="FZ546" s="32"/>
      <c r="GA546" s="32"/>
      <c r="GB546" s="32"/>
      <c r="GC546" s="32"/>
      <c r="GD546" s="32"/>
      <c r="GE546" s="32"/>
      <c r="GF546" s="32"/>
      <c r="GG546" s="32"/>
      <c r="GH546" s="32"/>
      <c r="GI546" s="32"/>
      <c r="GJ546" s="32"/>
      <c r="GK546" s="32"/>
      <c r="GL546" s="32"/>
      <c r="GM546" s="32"/>
      <c r="GN546" s="32"/>
      <c r="GO546" s="32"/>
      <c r="GP546" s="32"/>
      <c r="GQ546" s="32"/>
      <c r="GR546" s="32"/>
      <c r="GS546" s="32"/>
      <c r="GT546" s="32"/>
      <c r="GU546" s="32"/>
      <c r="GV546" s="32"/>
      <c r="GW546" s="32"/>
      <c r="GX546" s="32"/>
      <c r="GY546" s="32"/>
      <c r="GZ546" s="32"/>
      <c r="HA546" s="32"/>
      <c r="HB546" s="32"/>
      <c r="HC546" s="32"/>
      <c r="HD546" s="32"/>
      <c r="HE546" s="32"/>
      <c r="HF546" s="32"/>
      <c r="HG546" s="32"/>
      <c r="HH546" s="32"/>
      <c r="HI546" s="32"/>
      <c r="HJ546" s="32"/>
      <c r="HK546" s="32"/>
      <c r="HL546" s="32"/>
      <c r="HM546" s="32"/>
      <c r="HN546" s="32"/>
      <c r="HO546" s="32"/>
      <c r="HP546" s="32"/>
    </row>
    <row r="547" spans="1:224" x14ac:dyDescent="0.25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2"/>
      <c r="BA547" s="32"/>
      <c r="BB547" s="32"/>
      <c r="BC547" s="32"/>
      <c r="BD547" s="32"/>
      <c r="BE547" s="32"/>
      <c r="BF547" s="32"/>
      <c r="BG547" s="32"/>
      <c r="BH547" s="32"/>
      <c r="BI547" s="32"/>
      <c r="BJ547" s="32"/>
      <c r="BK547" s="32"/>
      <c r="BL547" s="32"/>
      <c r="BM547" s="32"/>
      <c r="BN547" s="32"/>
      <c r="BO547" s="32"/>
      <c r="BP547" s="32"/>
      <c r="BQ547" s="32"/>
      <c r="BR547" s="32"/>
      <c r="BS547" s="32"/>
      <c r="BT547" s="32"/>
      <c r="BU547" s="32"/>
      <c r="BV547" s="32"/>
      <c r="BW547" s="32"/>
      <c r="BX547" s="32"/>
      <c r="BY547" s="32"/>
      <c r="BZ547" s="32"/>
      <c r="CA547" s="32"/>
      <c r="CB547" s="32"/>
      <c r="CC547" s="32"/>
      <c r="CD547" s="32"/>
      <c r="CE547" s="32"/>
      <c r="CF547" s="32"/>
      <c r="CG547" s="32"/>
      <c r="CH547" s="32"/>
      <c r="CI547" s="32"/>
      <c r="CJ547" s="32"/>
      <c r="CK547" s="32"/>
      <c r="CL547" s="32"/>
      <c r="CM547" s="32"/>
      <c r="CN547" s="32"/>
      <c r="CO547" s="32"/>
      <c r="CP547" s="32"/>
      <c r="CQ547" s="32"/>
      <c r="CR547" s="32"/>
      <c r="CS547" s="32"/>
      <c r="CT547" s="32"/>
      <c r="CU547" s="32"/>
      <c r="CV547" s="32"/>
      <c r="CW547" s="32"/>
      <c r="CX547" s="32"/>
      <c r="CY547" s="32"/>
      <c r="CZ547" s="32"/>
      <c r="DA547" s="32"/>
      <c r="DB547" s="32"/>
      <c r="DC547" s="32"/>
      <c r="DD547" s="32"/>
      <c r="DE547" s="32"/>
      <c r="DF547" s="32"/>
      <c r="DG547" s="32"/>
      <c r="DH547" s="32"/>
      <c r="DI547" s="32"/>
      <c r="DJ547" s="32"/>
      <c r="DK547" s="32"/>
      <c r="DL547" s="32"/>
      <c r="DM547" s="32"/>
      <c r="DN547" s="32"/>
      <c r="DO547" s="32"/>
      <c r="DP547" s="32"/>
      <c r="DQ547" s="32"/>
      <c r="DR547" s="32"/>
      <c r="DS547" s="32"/>
      <c r="DT547" s="32"/>
      <c r="DU547" s="32"/>
      <c r="DV547" s="32"/>
      <c r="DW547" s="32"/>
      <c r="DX547" s="32"/>
      <c r="DY547" s="32"/>
      <c r="DZ547" s="32"/>
      <c r="EA547" s="32"/>
      <c r="EB547" s="32"/>
      <c r="EC547" s="32"/>
      <c r="ED547" s="32"/>
      <c r="EE547" s="32"/>
      <c r="EF547" s="32"/>
      <c r="EG547" s="32"/>
      <c r="EH547" s="32"/>
      <c r="EI547" s="32"/>
      <c r="EJ547" s="32"/>
      <c r="EK547" s="32"/>
      <c r="EL547" s="32"/>
      <c r="EM547" s="32"/>
      <c r="EN547" s="32"/>
      <c r="EO547" s="32"/>
      <c r="EP547" s="32"/>
      <c r="EQ547" s="32"/>
      <c r="ER547" s="32"/>
      <c r="ES547" s="32"/>
      <c r="ET547" s="32"/>
      <c r="EU547" s="32"/>
      <c r="EV547" s="32"/>
      <c r="EW547" s="32"/>
      <c r="EX547" s="32"/>
      <c r="EY547" s="32"/>
      <c r="EZ547" s="32"/>
      <c r="FA547" s="32"/>
      <c r="FB547" s="32"/>
      <c r="FC547" s="32"/>
      <c r="FD547" s="32"/>
      <c r="FE547" s="32"/>
      <c r="FF547" s="32"/>
      <c r="FG547" s="32"/>
      <c r="FH547" s="32"/>
      <c r="FI547" s="32"/>
      <c r="FJ547" s="32"/>
      <c r="FK547" s="32"/>
      <c r="FL547" s="32"/>
      <c r="FM547" s="32"/>
      <c r="FN547" s="32"/>
      <c r="FO547" s="32"/>
      <c r="FP547" s="32"/>
      <c r="FQ547" s="32"/>
      <c r="FR547" s="32"/>
      <c r="FS547" s="32"/>
      <c r="FT547" s="32"/>
      <c r="FU547" s="32"/>
      <c r="FV547" s="32"/>
      <c r="FW547" s="32"/>
      <c r="FX547" s="32"/>
      <c r="FY547" s="32"/>
      <c r="FZ547" s="32"/>
      <c r="GA547" s="32"/>
      <c r="GB547" s="32"/>
      <c r="GC547" s="32"/>
      <c r="GD547" s="32"/>
      <c r="GE547" s="32"/>
      <c r="GF547" s="32"/>
      <c r="GG547" s="32"/>
      <c r="GH547" s="32"/>
      <c r="GI547" s="32"/>
      <c r="GJ547" s="32"/>
      <c r="GK547" s="32"/>
      <c r="GL547" s="32"/>
      <c r="GM547" s="32"/>
      <c r="GN547" s="32"/>
      <c r="GO547" s="32"/>
      <c r="GP547" s="32"/>
      <c r="GQ547" s="32"/>
      <c r="GR547" s="32"/>
      <c r="GS547" s="32"/>
      <c r="GT547" s="32"/>
      <c r="GU547" s="32"/>
      <c r="GV547" s="32"/>
      <c r="GW547" s="32"/>
      <c r="GX547" s="32"/>
      <c r="GY547" s="32"/>
      <c r="GZ547" s="32"/>
      <c r="HA547" s="32"/>
      <c r="HB547" s="32"/>
      <c r="HC547" s="32"/>
      <c r="HD547" s="32"/>
      <c r="HE547" s="32"/>
      <c r="HF547" s="32"/>
      <c r="HG547" s="32"/>
      <c r="HH547" s="32"/>
      <c r="HI547" s="32"/>
      <c r="HJ547" s="32"/>
      <c r="HK547" s="32"/>
      <c r="HL547" s="32"/>
      <c r="HM547" s="32"/>
      <c r="HN547" s="32"/>
      <c r="HO547" s="32"/>
      <c r="HP547" s="32"/>
    </row>
    <row r="548" spans="1:224" x14ac:dyDescent="0.25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2"/>
      <c r="BA548" s="32"/>
      <c r="BB548" s="32"/>
      <c r="BC548" s="32"/>
      <c r="BD548" s="32"/>
      <c r="BE548" s="32"/>
      <c r="BF548" s="32"/>
      <c r="BG548" s="32"/>
      <c r="BH548" s="32"/>
      <c r="BI548" s="32"/>
      <c r="BJ548" s="32"/>
      <c r="BK548" s="32"/>
      <c r="BL548" s="32"/>
      <c r="BM548" s="32"/>
      <c r="BN548" s="32"/>
      <c r="BO548" s="32"/>
      <c r="BP548" s="32"/>
      <c r="BQ548" s="32"/>
      <c r="BR548" s="32"/>
      <c r="BS548" s="32"/>
      <c r="BT548" s="32"/>
      <c r="BU548" s="32"/>
      <c r="BV548" s="32"/>
      <c r="BW548" s="32"/>
      <c r="BX548" s="32"/>
      <c r="BY548" s="32"/>
      <c r="BZ548" s="32"/>
      <c r="CA548" s="32"/>
      <c r="CB548" s="32"/>
      <c r="CC548" s="32"/>
      <c r="CD548" s="32"/>
      <c r="CE548" s="32"/>
      <c r="CF548" s="32"/>
      <c r="CG548" s="32"/>
      <c r="CH548" s="32"/>
      <c r="CI548" s="32"/>
      <c r="CJ548" s="32"/>
      <c r="CK548" s="32"/>
      <c r="CL548" s="32"/>
      <c r="CM548" s="32"/>
      <c r="CN548" s="32"/>
      <c r="CO548" s="32"/>
      <c r="CP548" s="32"/>
      <c r="CQ548" s="32"/>
      <c r="CR548" s="32"/>
      <c r="CS548" s="32"/>
      <c r="CT548" s="32"/>
      <c r="CU548" s="32"/>
      <c r="CV548" s="32"/>
      <c r="CW548" s="32"/>
      <c r="CX548" s="32"/>
      <c r="CY548" s="32"/>
      <c r="CZ548" s="32"/>
      <c r="DA548" s="32"/>
      <c r="DB548" s="32"/>
      <c r="DC548" s="32"/>
      <c r="DD548" s="32"/>
      <c r="DE548" s="32"/>
      <c r="DF548" s="32"/>
      <c r="DG548" s="32"/>
      <c r="DH548" s="32"/>
      <c r="DI548" s="32"/>
      <c r="DJ548" s="32"/>
      <c r="DK548" s="32"/>
      <c r="DL548" s="32"/>
      <c r="DM548" s="32"/>
      <c r="DN548" s="32"/>
      <c r="DO548" s="32"/>
      <c r="DP548" s="32"/>
      <c r="DQ548" s="32"/>
      <c r="DR548" s="32"/>
      <c r="DS548" s="32"/>
      <c r="DT548" s="32"/>
      <c r="DU548" s="32"/>
      <c r="DV548" s="32"/>
      <c r="DW548" s="32"/>
      <c r="DX548" s="32"/>
      <c r="DY548" s="32"/>
      <c r="DZ548" s="32"/>
      <c r="EA548" s="32"/>
      <c r="EB548" s="32"/>
      <c r="EC548" s="32"/>
      <c r="ED548" s="32"/>
      <c r="EE548" s="32"/>
      <c r="EF548" s="32"/>
      <c r="EG548" s="32"/>
      <c r="EH548" s="32"/>
      <c r="EI548" s="32"/>
      <c r="EJ548" s="32"/>
      <c r="EK548" s="32"/>
      <c r="EL548" s="32"/>
      <c r="EM548" s="32"/>
      <c r="EN548" s="32"/>
      <c r="EO548" s="32"/>
      <c r="EP548" s="32"/>
      <c r="EQ548" s="32"/>
      <c r="ER548" s="32"/>
      <c r="ES548" s="32"/>
      <c r="ET548" s="32"/>
      <c r="EU548" s="32"/>
      <c r="EV548" s="32"/>
      <c r="EW548" s="32"/>
      <c r="EX548" s="32"/>
      <c r="EY548" s="32"/>
      <c r="EZ548" s="32"/>
      <c r="FA548" s="32"/>
      <c r="FB548" s="32"/>
      <c r="FC548" s="32"/>
      <c r="FD548" s="32"/>
      <c r="FE548" s="32"/>
      <c r="FF548" s="32"/>
      <c r="FG548" s="32"/>
      <c r="FH548" s="32"/>
      <c r="FI548" s="32"/>
      <c r="FJ548" s="32"/>
      <c r="FK548" s="32"/>
      <c r="FL548" s="32"/>
      <c r="FM548" s="32"/>
      <c r="FN548" s="32"/>
      <c r="FO548" s="32"/>
      <c r="FP548" s="32"/>
      <c r="FQ548" s="32"/>
      <c r="FR548" s="32"/>
      <c r="FS548" s="32"/>
      <c r="FT548" s="32"/>
      <c r="FU548" s="32"/>
      <c r="FV548" s="32"/>
      <c r="FW548" s="32"/>
      <c r="FX548" s="32"/>
      <c r="FY548" s="32"/>
      <c r="FZ548" s="32"/>
      <c r="GA548" s="32"/>
      <c r="GB548" s="32"/>
      <c r="GC548" s="32"/>
      <c r="GD548" s="32"/>
      <c r="GE548" s="32"/>
      <c r="GF548" s="32"/>
      <c r="GG548" s="32"/>
      <c r="GH548" s="32"/>
      <c r="GI548" s="32"/>
      <c r="GJ548" s="32"/>
      <c r="GK548" s="32"/>
      <c r="GL548" s="32"/>
      <c r="GM548" s="32"/>
      <c r="GN548" s="32"/>
      <c r="GO548" s="32"/>
      <c r="GP548" s="32"/>
      <c r="GQ548" s="32"/>
      <c r="GR548" s="32"/>
      <c r="GS548" s="32"/>
      <c r="GT548" s="32"/>
      <c r="GU548" s="32"/>
      <c r="GV548" s="32"/>
      <c r="GW548" s="32"/>
      <c r="GX548" s="32"/>
      <c r="GY548" s="32"/>
      <c r="GZ548" s="32"/>
      <c r="HA548" s="32"/>
      <c r="HB548" s="32"/>
      <c r="HC548" s="32"/>
      <c r="HD548" s="32"/>
      <c r="HE548" s="32"/>
      <c r="HF548" s="32"/>
      <c r="HG548" s="32"/>
      <c r="HH548" s="32"/>
      <c r="HI548" s="32"/>
      <c r="HJ548" s="32"/>
      <c r="HK548" s="32"/>
      <c r="HL548" s="32"/>
      <c r="HM548" s="32"/>
      <c r="HN548" s="32"/>
      <c r="HO548" s="32"/>
      <c r="HP548" s="32"/>
    </row>
    <row r="549" spans="1:224" x14ac:dyDescent="0.25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2"/>
      <c r="AZ549" s="32"/>
      <c r="BA549" s="32"/>
      <c r="BB549" s="32"/>
      <c r="BC549" s="32"/>
      <c r="BD549" s="32"/>
      <c r="BE549" s="32"/>
      <c r="BF549" s="32"/>
      <c r="BG549" s="32"/>
      <c r="BH549" s="32"/>
      <c r="BI549" s="32"/>
      <c r="BJ549" s="32"/>
      <c r="BK549" s="32"/>
      <c r="BL549" s="32"/>
      <c r="BM549" s="32"/>
      <c r="BN549" s="32"/>
      <c r="BO549" s="32"/>
      <c r="BP549" s="32"/>
      <c r="BQ549" s="32"/>
      <c r="BR549" s="32"/>
      <c r="BS549" s="32"/>
      <c r="BT549" s="32"/>
      <c r="BU549" s="32"/>
      <c r="BV549" s="32"/>
      <c r="BW549" s="32"/>
      <c r="BX549" s="32"/>
      <c r="BY549" s="32"/>
      <c r="BZ549" s="32"/>
      <c r="CA549" s="32"/>
      <c r="CB549" s="32"/>
      <c r="CC549" s="32"/>
      <c r="CD549" s="32"/>
      <c r="CE549" s="32"/>
      <c r="CF549" s="32"/>
      <c r="CG549" s="32"/>
      <c r="CH549" s="32"/>
      <c r="CI549" s="32"/>
      <c r="CJ549" s="32"/>
      <c r="CK549" s="32"/>
      <c r="CL549" s="32"/>
      <c r="CM549" s="32"/>
      <c r="CN549" s="32"/>
      <c r="CO549" s="32"/>
      <c r="CP549" s="32"/>
      <c r="CQ549" s="32"/>
      <c r="CR549" s="32"/>
      <c r="CS549" s="32"/>
      <c r="CT549" s="32"/>
      <c r="CU549" s="32"/>
      <c r="CV549" s="32"/>
      <c r="CW549" s="32"/>
      <c r="CX549" s="32"/>
      <c r="CY549" s="32"/>
      <c r="CZ549" s="32"/>
      <c r="DA549" s="32"/>
      <c r="DB549" s="32"/>
      <c r="DC549" s="32"/>
      <c r="DD549" s="32"/>
      <c r="DE549" s="32"/>
      <c r="DF549" s="32"/>
      <c r="DG549" s="32"/>
      <c r="DH549" s="32"/>
      <c r="DI549" s="32"/>
      <c r="DJ549" s="32"/>
      <c r="DK549" s="32"/>
      <c r="DL549" s="32"/>
      <c r="DM549" s="32"/>
      <c r="DN549" s="32"/>
      <c r="DO549" s="32"/>
      <c r="DP549" s="32"/>
      <c r="DQ549" s="32"/>
      <c r="DR549" s="32"/>
      <c r="DS549" s="32"/>
      <c r="DT549" s="32"/>
      <c r="DU549" s="32"/>
      <c r="DV549" s="32"/>
      <c r="DW549" s="32"/>
      <c r="DX549" s="32"/>
      <c r="DY549" s="32"/>
      <c r="DZ549" s="32"/>
      <c r="EA549" s="32"/>
      <c r="EB549" s="32"/>
      <c r="EC549" s="32"/>
      <c r="ED549" s="32"/>
      <c r="EE549" s="32"/>
      <c r="EF549" s="32"/>
      <c r="EG549" s="32"/>
      <c r="EH549" s="32"/>
      <c r="EI549" s="32"/>
      <c r="EJ549" s="32"/>
      <c r="EK549" s="32"/>
      <c r="EL549" s="32"/>
      <c r="EM549" s="32"/>
      <c r="EN549" s="32"/>
      <c r="EO549" s="32"/>
      <c r="EP549" s="32"/>
      <c r="EQ549" s="32"/>
      <c r="ER549" s="32"/>
      <c r="ES549" s="32"/>
      <c r="ET549" s="32"/>
      <c r="EU549" s="32"/>
      <c r="EV549" s="32"/>
      <c r="EW549" s="32"/>
      <c r="EX549" s="32"/>
      <c r="EY549" s="32"/>
      <c r="EZ549" s="32"/>
      <c r="FA549" s="32"/>
      <c r="FB549" s="32"/>
      <c r="FC549" s="32"/>
      <c r="FD549" s="32"/>
      <c r="FE549" s="32"/>
      <c r="FF549" s="32"/>
      <c r="FG549" s="32"/>
      <c r="FH549" s="32"/>
      <c r="FI549" s="32"/>
      <c r="FJ549" s="32"/>
      <c r="FK549" s="32"/>
      <c r="FL549" s="32"/>
      <c r="FM549" s="32"/>
      <c r="FN549" s="32"/>
      <c r="FO549" s="32"/>
      <c r="FP549" s="32"/>
      <c r="FQ549" s="32"/>
      <c r="FR549" s="32"/>
      <c r="FS549" s="32"/>
      <c r="FT549" s="32"/>
      <c r="FU549" s="32"/>
      <c r="FV549" s="32"/>
      <c r="FW549" s="32"/>
      <c r="FX549" s="32"/>
      <c r="FY549" s="32"/>
      <c r="FZ549" s="32"/>
      <c r="GA549" s="32"/>
      <c r="GB549" s="32"/>
      <c r="GC549" s="32"/>
      <c r="GD549" s="32"/>
      <c r="GE549" s="32"/>
      <c r="GF549" s="32"/>
      <c r="GG549" s="32"/>
      <c r="GH549" s="32"/>
      <c r="GI549" s="32"/>
      <c r="GJ549" s="32"/>
      <c r="GK549" s="32"/>
      <c r="GL549" s="32"/>
      <c r="GM549" s="32"/>
      <c r="GN549" s="32"/>
      <c r="GO549" s="32"/>
      <c r="GP549" s="32"/>
      <c r="GQ549" s="32"/>
      <c r="GR549" s="32"/>
      <c r="GS549" s="32"/>
      <c r="GT549" s="32"/>
      <c r="GU549" s="32"/>
      <c r="GV549" s="32"/>
      <c r="GW549" s="32"/>
      <c r="GX549" s="32"/>
      <c r="GY549" s="32"/>
      <c r="GZ549" s="32"/>
      <c r="HA549" s="32"/>
      <c r="HB549" s="32"/>
      <c r="HC549" s="32"/>
      <c r="HD549" s="32"/>
      <c r="HE549" s="32"/>
      <c r="HF549" s="32"/>
      <c r="HG549" s="32"/>
      <c r="HH549" s="32"/>
      <c r="HI549" s="32"/>
      <c r="HJ549" s="32"/>
      <c r="HK549" s="32"/>
      <c r="HL549" s="32"/>
      <c r="HM549" s="32"/>
      <c r="HN549" s="32"/>
      <c r="HO549" s="32"/>
      <c r="HP549" s="32"/>
    </row>
    <row r="550" spans="1:224" x14ac:dyDescent="0.25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  <c r="AZ550" s="32"/>
      <c r="BA550" s="32"/>
      <c r="BB550" s="32"/>
      <c r="BC550" s="32"/>
      <c r="BD550" s="32"/>
      <c r="BE550" s="32"/>
      <c r="BF550" s="32"/>
      <c r="BG550" s="32"/>
      <c r="BH550" s="32"/>
      <c r="BI550" s="32"/>
      <c r="BJ550" s="32"/>
      <c r="BK550" s="32"/>
      <c r="BL550" s="32"/>
      <c r="BM550" s="32"/>
      <c r="BN550" s="32"/>
      <c r="BO550" s="32"/>
      <c r="BP550" s="32"/>
      <c r="BQ550" s="32"/>
      <c r="BR550" s="32"/>
      <c r="BS550" s="32"/>
      <c r="BT550" s="32"/>
      <c r="BU550" s="32"/>
      <c r="BV550" s="32"/>
      <c r="BW550" s="32"/>
      <c r="BX550" s="32"/>
      <c r="BY550" s="32"/>
      <c r="BZ550" s="32"/>
      <c r="CA550" s="32"/>
      <c r="CB550" s="32"/>
      <c r="CC550" s="32"/>
      <c r="CD550" s="32"/>
      <c r="CE550" s="32"/>
      <c r="CF550" s="32"/>
      <c r="CG550" s="32"/>
      <c r="CH550" s="32"/>
      <c r="CI550" s="32"/>
      <c r="CJ550" s="32"/>
      <c r="CK550" s="32"/>
      <c r="CL550" s="32"/>
      <c r="CM550" s="32"/>
      <c r="CN550" s="32"/>
      <c r="CO550" s="32"/>
      <c r="CP550" s="32"/>
      <c r="CQ550" s="32"/>
      <c r="CR550" s="32"/>
      <c r="CS550" s="32"/>
      <c r="CT550" s="32"/>
      <c r="CU550" s="32"/>
      <c r="CV550" s="32"/>
      <c r="CW550" s="32"/>
      <c r="CX550" s="32"/>
      <c r="CY550" s="32"/>
      <c r="CZ550" s="32"/>
      <c r="DA550" s="32"/>
      <c r="DB550" s="32"/>
      <c r="DC550" s="32"/>
      <c r="DD550" s="32"/>
      <c r="DE550" s="32"/>
      <c r="DF550" s="32"/>
      <c r="DG550" s="32"/>
      <c r="DH550" s="32"/>
      <c r="DI550" s="32"/>
      <c r="DJ550" s="32"/>
      <c r="DK550" s="32"/>
      <c r="DL550" s="32"/>
      <c r="DM550" s="32"/>
      <c r="DN550" s="32"/>
      <c r="DO550" s="32"/>
      <c r="DP550" s="32"/>
      <c r="DQ550" s="32"/>
      <c r="DR550" s="32"/>
      <c r="DS550" s="32"/>
      <c r="DT550" s="32"/>
      <c r="DU550" s="32"/>
      <c r="DV550" s="32"/>
      <c r="DW550" s="32"/>
      <c r="DX550" s="32"/>
      <c r="DY550" s="32"/>
      <c r="DZ550" s="32"/>
      <c r="EA550" s="32"/>
      <c r="EB550" s="32"/>
      <c r="EC550" s="32"/>
      <c r="ED550" s="32"/>
      <c r="EE550" s="32"/>
      <c r="EF550" s="32"/>
      <c r="EG550" s="32"/>
      <c r="EH550" s="32"/>
      <c r="EI550" s="32"/>
      <c r="EJ550" s="32"/>
      <c r="EK550" s="32"/>
      <c r="EL550" s="32"/>
      <c r="EM550" s="32"/>
      <c r="EN550" s="32"/>
      <c r="EO550" s="32"/>
      <c r="EP550" s="32"/>
      <c r="EQ550" s="32"/>
      <c r="ER550" s="32"/>
      <c r="ES550" s="32"/>
      <c r="ET550" s="32"/>
      <c r="EU550" s="32"/>
      <c r="EV550" s="32"/>
      <c r="EW550" s="32"/>
      <c r="EX550" s="32"/>
      <c r="EY550" s="32"/>
      <c r="EZ550" s="32"/>
      <c r="FA550" s="32"/>
      <c r="FB550" s="32"/>
      <c r="FC550" s="32"/>
      <c r="FD550" s="32"/>
      <c r="FE550" s="32"/>
      <c r="FF550" s="32"/>
      <c r="FG550" s="32"/>
      <c r="FH550" s="32"/>
      <c r="FI550" s="32"/>
      <c r="FJ550" s="32"/>
      <c r="FK550" s="32"/>
      <c r="FL550" s="32"/>
      <c r="FM550" s="32"/>
      <c r="FN550" s="32"/>
      <c r="FO550" s="32"/>
      <c r="FP550" s="32"/>
      <c r="FQ550" s="32"/>
      <c r="FR550" s="32"/>
      <c r="FS550" s="32"/>
      <c r="FT550" s="32"/>
      <c r="FU550" s="32"/>
      <c r="FV550" s="32"/>
      <c r="FW550" s="32"/>
      <c r="FX550" s="32"/>
      <c r="FY550" s="32"/>
      <c r="FZ550" s="32"/>
      <c r="GA550" s="32"/>
      <c r="GB550" s="32"/>
      <c r="GC550" s="32"/>
      <c r="GD550" s="32"/>
      <c r="GE550" s="32"/>
      <c r="GF550" s="32"/>
      <c r="GG550" s="32"/>
      <c r="GH550" s="32"/>
      <c r="GI550" s="32"/>
      <c r="GJ550" s="32"/>
      <c r="GK550" s="32"/>
      <c r="GL550" s="32"/>
      <c r="GM550" s="32"/>
      <c r="GN550" s="32"/>
      <c r="GO550" s="32"/>
      <c r="GP550" s="32"/>
      <c r="GQ550" s="32"/>
      <c r="GR550" s="32"/>
      <c r="GS550" s="32"/>
      <c r="GT550" s="32"/>
      <c r="GU550" s="32"/>
      <c r="GV550" s="32"/>
      <c r="GW550" s="32"/>
      <c r="GX550" s="32"/>
      <c r="GY550" s="32"/>
      <c r="GZ550" s="32"/>
      <c r="HA550" s="32"/>
      <c r="HB550" s="32"/>
      <c r="HC550" s="32"/>
      <c r="HD550" s="32"/>
      <c r="HE550" s="32"/>
      <c r="HF550" s="32"/>
      <c r="HG550" s="32"/>
      <c r="HH550" s="32"/>
      <c r="HI550" s="32"/>
      <c r="HJ550" s="32"/>
      <c r="HK550" s="32"/>
      <c r="HL550" s="32"/>
      <c r="HM550" s="32"/>
      <c r="HN550" s="32"/>
      <c r="HO550" s="32"/>
      <c r="HP550" s="32"/>
    </row>
    <row r="551" spans="1:224" x14ac:dyDescent="0.25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2"/>
      <c r="BB551" s="32"/>
      <c r="BC551" s="32"/>
      <c r="BD551" s="32"/>
      <c r="BE551" s="32"/>
      <c r="BF551" s="32"/>
      <c r="BG551" s="32"/>
      <c r="BH551" s="32"/>
      <c r="BI551" s="32"/>
      <c r="BJ551" s="32"/>
      <c r="BK551" s="32"/>
      <c r="BL551" s="32"/>
      <c r="BM551" s="32"/>
      <c r="BN551" s="32"/>
      <c r="BO551" s="32"/>
      <c r="BP551" s="32"/>
      <c r="BQ551" s="32"/>
      <c r="BR551" s="32"/>
      <c r="BS551" s="32"/>
      <c r="BT551" s="32"/>
      <c r="BU551" s="32"/>
      <c r="BV551" s="32"/>
      <c r="BW551" s="32"/>
      <c r="BX551" s="32"/>
      <c r="BY551" s="32"/>
      <c r="BZ551" s="32"/>
      <c r="CA551" s="32"/>
      <c r="CB551" s="32"/>
      <c r="CC551" s="32"/>
      <c r="CD551" s="32"/>
      <c r="CE551" s="32"/>
      <c r="CF551" s="32"/>
      <c r="CG551" s="32"/>
      <c r="CH551" s="32"/>
      <c r="CI551" s="32"/>
      <c r="CJ551" s="32"/>
      <c r="CK551" s="32"/>
      <c r="CL551" s="32"/>
      <c r="CM551" s="32"/>
      <c r="CN551" s="32"/>
      <c r="CO551" s="32"/>
      <c r="CP551" s="32"/>
      <c r="CQ551" s="32"/>
      <c r="CR551" s="32"/>
      <c r="CS551" s="32"/>
      <c r="CT551" s="32"/>
      <c r="CU551" s="32"/>
      <c r="CV551" s="32"/>
      <c r="CW551" s="32"/>
      <c r="CX551" s="32"/>
      <c r="CY551" s="32"/>
      <c r="CZ551" s="32"/>
      <c r="DA551" s="32"/>
      <c r="DB551" s="32"/>
      <c r="DC551" s="32"/>
      <c r="DD551" s="32"/>
      <c r="DE551" s="32"/>
      <c r="DF551" s="32"/>
      <c r="DG551" s="32"/>
      <c r="DH551" s="32"/>
      <c r="DI551" s="32"/>
      <c r="DJ551" s="32"/>
      <c r="DK551" s="32"/>
      <c r="DL551" s="32"/>
      <c r="DM551" s="32"/>
      <c r="DN551" s="32"/>
      <c r="DO551" s="32"/>
      <c r="DP551" s="32"/>
      <c r="DQ551" s="32"/>
      <c r="DR551" s="32"/>
      <c r="DS551" s="32"/>
      <c r="DT551" s="32"/>
      <c r="DU551" s="32"/>
      <c r="DV551" s="32"/>
      <c r="DW551" s="32"/>
      <c r="DX551" s="32"/>
      <c r="DY551" s="32"/>
      <c r="DZ551" s="32"/>
      <c r="EA551" s="32"/>
      <c r="EB551" s="32"/>
      <c r="EC551" s="32"/>
      <c r="ED551" s="32"/>
      <c r="EE551" s="32"/>
      <c r="EF551" s="32"/>
      <c r="EG551" s="32"/>
      <c r="EH551" s="32"/>
      <c r="EI551" s="32"/>
      <c r="EJ551" s="32"/>
      <c r="EK551" s="32"/>
      <c r="EL551" s="32"/>
      <c r="EM551" s="32"/>
      <c r="EN551" s="32"/>
      <c r="EO551" s="32"/>
      <c r="EP551" s="32"/>
      <c r="EQ551" s="32"/>
      <c r="ER551" s="32"/>
      <c r="ES551" s="32"/>
      <c r="ET551" s="32"/>
      <c r="EU551" s="32"/>
      <c r="EV551" s="32"/>
      <c r="EW551" s="32"/>
      <c r="EX551" s="32"/>
      <c r="EY551" s="32"/>
      <c r="EZ551" s="32"/>
      <c r="FA551" s="32"/>
      <c r="FB551" s="32"/>
      <c r="FC551" s="32"/>
      <c r="FD551" s="32"/>
      <c r="FE551" s="32"/>
      <c r="FF551" s="32"/>
      <c r="FG551" s="32"/>
      <c r="FH551" s="32"/>
      <c r="FI551" s="32"/>
      <c r="FJ551" s="32"/>
      <c r="FK551" s="32"/>
      <c r="FL551" s="32"/>
      <c r="FM551" s="32"/>
      <c r="FN551" s="32"/>
      <c r="FO551" s="32"/>
      <c r="FP551" s="32"/>
      <c r="FQ551" s="32"/>
      <c r="FR551" s="32"/>
      <c r="FS551" s="32"/>
      <c r="FT551" s="32"/>
      <c r="FU551" s="32"/>
      <c r="FV551" s="32"/>
      <c r="FW551" s="32"/>
      <c r="FX551" s="32"/>
      <c r="FY551" s="32"/>
      <c r="FZ551" s="32"/>
      <c r="GA551" s="32"/>
      <c r="GB551" s="32"/>
      <c r="GC551" s="32"/>
      <c r="GD551" s="32"/>
      <c r="GE551" s="32"/>
      <c r="GF551" s="32"/>
      <c r="GG551" s="32"/>
      <c r="GH551" s="32"/>
      <c r="GI551" s="32"/>
      <c r="GJ551" s="32"/>
      <c r="GK551" s="32"/>
      <c r="GL551" s="32"/>
      <c r="GM551" s="32"/>
      <c r="GN551" s="32"/>
      <c r="GO551" s="32"/>
      <c r="GP551" s="32"/>
      <c r="GQ551" s="32"/>
      <c r="GR551" s="32"/>
      <c r="GS551" s="32"/>
      <c r="GT551" s="32"/>
      <c r="GU551" s="32"/>
      <c r="GV551" s="32"/>
      <c r="GW551" s="32"/>
      <c r="GX551" s="32"/>
      <c r="GY551" s="32"/>
      <c r="GZ551" s="32"/>
      <c r="HA551" s="32"/>
      <c r="HB551" s="32"/>
      <c r="HC551" s="32"/>
      <c r="HD551" s="32"/>
      <c r="HE551" s="32"/>
      <c r="HF551" s="32"/>
      <c r="HG551" s="32"/>
      <c r="HH551" s="32"/>
      <c r="HI551" s="32"/>
      <c r="HJ551" s="32"/>
      <c r="HK551" s="32"/>
      <c r="HL551" s="32"/>
      <c r="HM551" s="32"/>
      <c r="HN551" s="32"/>
      <c r="HO551" s="32"/>
      <c r="HP551" s="32"/>
    </row>
    <row r="552" spans="1:224" x14ac:dyDescent="0.25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  <c r="BA552" s="32"/>
      <c r="BB552" s="32"/>
      <c r="BC552" s="32"/>
      <c r="BD552" s="32"/>
      <c r="BE552" s="32"/>
      <c r="BF552" s="32"/>
      <c r="BG552" s="32"/>
      <c r="BH552" s="32"/>
      <c r="BI552" s="32"/>
      <c r="BJ552" s="32"/>
      <c r="BK552" s="32"/>
      <c r="BL552" s="32"/>
      <c r="BM552" s="32"/>
      <c r="BN552" s="32"/>
      <c r="BO552" s="32"/>
      <c r="BP552" s="32"/>
      <c r="BQ552" s="32"/>
      <c r="BR552" s="32"/>
      <c r="BS552" s="32"/>
      <c r="BT552" s="32"/>
      <c r="BU552" s="32"/>
      <c r="BV552" s="32"/>
      <c r="BW552" s="32"/>
      <c r="BX552" s="32"/>
      <c r="BY552" s="32"/>
      <c r="BZ552" s="32"/>
      <c r="CA552" s="32"/>
      <c r="CB552" s="32"/>
      <c r="CC552" s="32"/>
      <c r="CD552" s="32"/>
      <c r="CE552" s="32"/>
      <c r="CF552" s="32"/>
      <c r="CG552" s="32"/>
      <c r="CH552" s="32"/>
      <c r="CI552" s="32"/>
      <c r="CJ552" s="32"/>
      <c r="CK552" s="32"/>
      <c r="CL552" s="32"/>
      <c r="CM552" s="32"/>
      <c r="CN552" s="32"/>
      <c r="CO552" s="32"/>
      <c r="CP552" s="32"/>
      <c r="CQ552" s="32"/>
      <c r="CR552" s="32"/>
      <c r="CS552" s="32"/>
      <c r="CT552" s="32"/>
      <c r="CU552" s="32"/>
      <c r="CV552" s="32"/>
      <c r="CW552" s="32"/>
      <c r="CX552" s="32"/>
      <c r="CY552" s="32"/>
      <c r="CZ552" s="32"/>
      <c r="DA552" s="32"/>
      <c r="DB552" s="32"/>
      <c r="DC552" s="32"/>
      <c r="DD552" s="32"/>
      <c r="DE552" s="32"/>
      <c r="DF552" s="32"/>
      <c r="DG552" s="32"/>
      <c r="DH552" s="32"/>
      <c r="DI552" s="32"/>
      <c r="DJ552" s="32"/>
      <c r="DK552" s="32"/>
      <c r="DL552" s="32"/>
      <c r="DM552" s="32"/>
      <c r="DN552" s="32"/>
      <c r="DO552" s="32"/>
      <c r="DP552" s="32"/>
      <c r="DQ552" s="32"/>
      <c r="DR552" s="32"/>
      <c r="DS552" s="32"/>
      <c r="DT552" s="32"/>
      <c r="DU552" s="32"/>
      <c r="DV552" s="32"/>
      <c r="DW552" s="32"/>
      <c r="DX552" s="32"/>
      <c r="DY552" s="32"/>
      <c r="DZ552" s="32"/>
      <c r="EA552" s="32"/>
      <c r="EB552" s="32"/>
      <c r="EC552" s="32"/>
      <c r="ED552" s="32"/>
      <c r="EE552" s="32"/>
      <c r="EF552" s="32"/>
      <c r="EG552" s="32"/>
      <c r="EH552" s="32"/>
      <c r="EI552" s="32"/>
      <c r="EJ552" s="32"/>
      <c r="EK552" s="32"/>
      <c r="EL552" s="32"/>
      <c r="EM552" s="32"/>
      <c r="EN552" s="32"/>
      <c r="EO552" s="32"/>
      <c r="EP552" s="32"/>
      <c r="EQ552" s="32"/>
      <c r="ER552" s="32"/>
      <c r="ES552" s="32"/>
      <c r="ET552" s="32"/>
      <c r="EU552" s="32"/>
      <c r="EV552" s="32"/>
      <c r="EW552" s="32"/>
      <c r="EX552" s="32"/>
      <c r="EY552" s="32"/>
      <c r="EZ552" s="32"/>
      <c r="FA552" s="32"/>
      <c r="FB552" s="32"/>
      <c r="FC552" s="32"/>
      <c r="FD552" s="32"/>
      <c r="FE552" s="32"/>
      <c r="FF552" s="32"/>
      <c r="FG552" s="32"/>
      <c r="FH552" s="32"/>
      <c r="FI552" s="32"/>
      <c r="FJ552" s="32"/>
      <c r="FK552" s="32"/>
      <c r="FL552" s="32"/>
      <c r="FM552" s="32"/>
      <c r="FN552" s="32"/>
      <c r="FO552" s="32"/>
      <c r="FP552" s="32"/>
      <c r="FQ552" s="32"/>
      <c r="FR552" s="32"/>
      <c r="FS552" s="32"/>
      <c r="FT552" s="32"/>
      <c r="FU552" s="32"/>
      <c r="FV552" s="32"/>
      <c r="FW552" s="32"/>
      <c r="FX552" s="32"/>
      <c r="FY552" s="32"/>
      <c r="FZ552" s="32"/>
      <c r="GA552" s="32"/>
      <c r="GB552" s="32"/>
      <c r="GC552" s="32"/>
      <c r="GD552" s="32"/>
      <c r="GE552" s="32"/>
      <c r="GF552" s="32"/>
      <c r="GG552" s="32"/>
      <c r="GH552" s="32"/>
      <c r="GI552" s="32"/>
      <c r="GJ552" s="32"/>
      <c r="GK552" s="32"/>
      <c r="GL552" s="32"/>
      <c r="GM552" s="32"/>
      <c r="GN552" s="32"/>
      <c r="GO552" s="32"/>
      <c r="GP552" s="32"/>
      <c r="GQ552" s="32"/>
      <c r="GR552" s="32"/>
      <c r="GS552" s="32"/>
      <c r="GT552" s="32"/>
      <c r="GU552" s="32"/>
      <c r="GV552" s="32"/>
      <c r="GW552" s="32"/>
      <c r="GX552" s="32"/>
      <c r="GY552" s="32"/>
      <c r="GZ552" s="32"/>
      <c r="HA552" s="32"/>
      <c r="HB552" s="32"/>
      <c r="HC552" s="32"/>
      <c r="HD552" s="32"/>
      <c r="HE552" s="32"/>
      <c r="HF552" s="32"/>
      <c r="HG552" s="32"/>
      <c r="HH552" s="32"/>
      <c r="HI552" s="32"/>
      <c r="HJ552" s="32"/>
      <c r="HK552" s="32"/>
      <c r="HL552" s="32"/>
      <c r="HM552" s="32"/>
      <c r="HN552" s="32"/>
      <c r="HO552" s="32"/>
      <c r="HP552" s="32"/>
    </row>
    <row r="553" spans="1:224" x14ac:dyDescent="0.25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  <c r="BA553" s="32"/>
      <c r="BB553" s="32"/>
      <c r="BC553" s="32"/>
      <c r="BD553" s="32"/>
      <c r="BE553" s="32"/>
      <c r="BF553" s="32"/>
      <c r="BG553" s="32"/>
      <c r="BH553" s="32"/>
      <c r="BI553" s="32"/>
      <c r="BJ553" s="32"/>
      <c r="BK553" s="32"/>
      <c r="BL553" s="32"/>
      <c r="BM553" s="32"/>
      <c r="BN553" s="32"/>
      <c r="BO553" s="32"/>
      <c r="BP553" s="32"/>
      <c r="BQ553" s="32"/>
      <c r="BR553" s="32"/>
      <c r="BS553" s="32"/>
      <c r="BT553" s="32"/>
      <c r="BU553" s="32"/>
      <c r="BV553" s="32"/>
      <c r="BW553" s="32"/>
      <c r="BX553" s="32"/>
      <c r="BY553" s="32"/>
      <c r="BZ553" s="32"/>
      <c r="CA553" s="32"/>
      <c r="CB553" s="32"/>
      <c r="CC553" s="32"/>
      <c r="CD553" s="32"/>
      <c r="CE553" s="32"/>
      <c r="CF553" s="32"/>
      <c r="CG553" s="32"/>
      <c r="CH553" s="32"/>
      <c r="CI553" s="32"/>
      <c r="CJ553" s="32"/>
      <c r="CK553" s="32"/>
      <c r="CL553" s="32"/>
      <c r="CM553" s="32"/>
      <c r="CN553" s="32"/>
      <c r="CO553" s="32"/>
      <c r="CP553" s="32"/>
      <c r="CQ553" s="32"/>
      <c r="CR553" s="32"/>
      <c r="CS553" s="32"/>
      <c r="CT553" s="32"/>
      <c r="CU553" s="32"/>
      <c r="CV553" s="32"/>
      <c r="CW553" s="32"/>
      <c r="CX553" s="32"/>
      <c r="CY553" s="32"/>
      <c r="CZ553" s="32"/>
      <c r="DA553" s="32"/>
      <c r="DB553" s="32"/>
      <c r="DC553" s="32"/>
      <c r="DD553" s="32"/>
      <c r="DE553" s="32"/>
      <c r="DF553" s="32"/>
      <c r="DG553" s="32"/>
      <c r="DH553" s="32"/>
      <c r="DI553" s="32"/>
      <c r="DJ553" s="32"/>
      <c r="DK553" s="32"/>
      <c r="DL553" s="32"/>
      <c r="DM553" s="32"/>
      <c r="DN553" s="32"/>
      <c r="DO553" s="32"/>
      <c r="DP553" s="32"/>
      <c r="DQ553" s="32"/>
      <c r="DR553" s="32"/>
      <c r="DS553" s="32"/>
      <c r="DT553" s="32"/>
      <c r="DU553" s="32"/>
      <c r="DV553" s="32"/>
      <c r="DW553" s="32"/>
      <c r="DX553" s="32"/>
      <c r="DY553" s="32"/>
      <c r="DZ553" s="32"/>
      <c r="EA553" s="32"/>
      <c r="EB553" s="32"/>
      <c r="EC553" s="32"/>
      <c r="ED553" s="32"/>
      <c r="EE553" s="32"/>
      <c r="EF553" s="32"/>
      <c r="EG553" s="32"/>
      <c r="EH553" s="32"/>
      <c r="EI553" s="32"/>
      <c r="EJ553" s="32"/>
      <c r="EK553" s="32"/>
      <c r="EL553" s="32"/>
      <c r="EM553" s="32"/>
      <c r="EN553" s="32"/>
      <c r="EO553" s="32"/>
      <c r="EP553" s="32"/>
      <c r="EQ553" s="32"/>
      <c r="ER553" s="32"/>
      <c r="ES553" s="32"/>
      <c r="ET553" s="32"/>
      <c r="EU553" s="32"/>
      <c r="EV553" s="32"/>
      <c r="EW553" s="32"/>
      <c r="EX553" s="32"/>
      <c r="EY553" s="32"/>
      <c r="EZ553" s="32"/>
      <c r="FA553" s="32"/>
      <c r="FB553" s="32"/>
      <c r="FC553" s="32"/>
      <c r="FD553" s="32"/>
      <c r="FE553" s="32"/>
      <c r="FF553" s="32"/>
      <c r="FG553" s="32"/>
      <c r="FH553" s="32"/>
      <c r="FI553" s="32"/>
      <c r="FJ553" s="32"/>
      <c r="FK553" s="32"/>
      <c r="FL553" s="32"/>
      <c r="FM553" s="32"/>
      <c r="FN553" s="32"/>
      <c r="FO553" s="32"/>
      <c r="FP553" s="32"/>
      <c r="FQ553" s="32"/>
      <c r="FR553" s="32"/>
      <c r="FS553" s="32"/>
      <c r="FT553" s="32"/>
      <c r="FU553" s="32"/>
      <c r="FV553" s="32"/>
      <c r="FW553" s="32"/>
      <c r="FX553" s="32"/>
      <c r="FY553" s="32"/>
      <c r="FZ553" s="32"/>
      <c r="GA553" s="32"/>
      <c r="GB553" s="32"/>
      <c r="GC553" s="32"/>
      <c r="GD553" s="32"/>
      <c r="GE553" s="32"/>
      <c r="GF553" s="32"/>
      <c r="GG553" s="32"/>
      <c r="GH553" s="32"/>
      <c r="GI553" s="32"/>
      <c r="GJ553" s="32"/>
      <c r="GK553" s="32"/>
      <c r="GL553" s="32"/>
      <c r="GM553" s="32"/>
      <c r="GN553" s="32"/>
      <c r="GO553" s="32"/>
      <c r="GP553" s="32"/>
      <c r="GQ553" s="32"/>
      <c r="GR553" s="32"/>
      <c r="GS553" s="32"/>
      <c r="GT553" s="32"/>
      <c r="GU553" s="32"/>
      <c r="GV553" s="32"/>
      <c r="GW553" s="32"/>
      <c r="GX553" s="32"/>
      <c r="GY553" s="32"/>
      <c r="GZ553" s="32"/>
      <c r="HA553" s="32"/>
      <c r="HB553" s="32"/>
      <c r="HC553" s="32"/>
      <c r="HD553" s="32"/>
      <c r="HE553" s="32"/>
      <c r="HF553" s="32"/>
      <c r="HG553" s="32"/>
      <c r="HH553" s="32"/>
      <c r="HI553" s="32"/>
      <c r="HJ553" s="32"/>
      <c r="HK553" s="32"/>
      <c r="HL553" s="32"/>
      <c r="HM553" s="32"/>
      <c r="HN553" s="32"/>
      <c r="HO553" s="32"/>
      <c r="HP553" s="32"/>
    </row>
    <row r="554" spans="1:224" x14ac:dyDescent="0.25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  <c r="AY554" s="32"/>
      <c r="AZ554" s="32"/>
      <c r="BA554" s="32"/>
      <c r="BB554" s="32"/>
      <c r="BC554" s="32"/>
      <c r="BD554" s="32"/>
      <c r="BE554" s="32"/>
      <c r="BF554" s="32"/>
      <c r="BG554" s="32"/>
      <c r="BH554" s="32"/>
      <c r="BI554" s="32"/>
      <c r="BJ554" s="32"/>
      <c r="BK554" s="32"/>
      <c r="BL554" s="32"/>
      <c r="BM554" s="32"/>
      <c r="BN554" s="32"/>
      <c r="BO554" s="32"/>
      <c r="BP554" s="32"/>
      <c r="BQ554" s="32"/>
      <c r="BR554" s="32"/>
      <c r="BS554" s="32"/>
      <c r="BT554" s="32"/>
      <c r="BU554" s="32"/>
      <c r="BV554" s="32"/>
      <c r="BW554" s="32"/>
      <c r="BX554" s="32"/>
      <c r="BY554" s="32"/>
      <c r="BZ554" s="32"/>
      <c r="CA554" s="32"/>
      <c r="CB554" s="32"/>
      <c r="CC554" s="32"/>
      <c r="CD554" s="32"/>
      <c r="CE554" s="32"/>
      <c r="CF554" s="32"/>
      <c r="CG554" s="32"/>
      <c r="CH554" s="32"/>
      <c r="CI554" s="32"/>
      <c r="CJ554" s="32"/>
      <c r="CK554" s="32"/>
      <c r="CL554" s="32"/>
      <c r="CM554" s="32"/>
      <c r="CN554" s="32"/>
      <c r="CO554" s="32"/>
      <c r="CP554" s="32"/>
      <c r="CQ554" s="32"/>
      <c r="CR554" s="32"/>
      <c r="CS554" s="32"/>
      <c r="CT554" s="32"/>
      <c r="CU554" s="32"/>
      <c r="CV554" s="32"/>
      <c r="CW554" s="32"/>
      <c r="CX554" s="32"/>
      <c r="CY554" s="32"/>
      <c r="CZ554" s="32"/>
      <c r="DA554" s="32"/>
      <c r="DB554" s="32"/>
      <c r="DC554" s="32"/>
      <c r="DD554" s="32"/>
      <c r="DE554" s="32"/>
      <c r="DF554" s="32"/>
      <c r="DG554" s="32"/>
      <c r="DH554" s="32"/>
      <c r="DI554" s="32"/>
      <c r="DJ554" s="32"/>
      <c r="DK554" s="32"/>
      <c r="DL554" s="32"/>
      <c r="DM554" s="32"/>
      <c r="DN554" s="32"/>
      <c r="DO554" s="32"/>
      <c r="DP554" s="32"/>
      <c r="DQ554" s="32"/>
      <c r="DR554" s="32"/>
      <c r="DS554" s="32"/>
      <c r="DT554" s="32"/>
      <c r="DU554" s="32"/>
      <c r="DV554" s="32"/>
      <c r="DW554" s="32"/>
      <c r="DX554" s="32"/>
      <c r="DY554" s="32"/>
      <c r="DZ554" s="32"/>
      <c r="EA554" s="32"/>
      <c r="EB554" s="32"/>
      <c r="EC554" s="32"/>
      <c r="ED554" s="32"/>
      <c r="EE554" s="32"/>
      <c r="EF554" s="32"/>
      <c r="EG554" s="32"/>
      <c r="EH554" s="32"/>
      <c r="EI554" s="32"/>
      <c r="EJ554" s="32"/>
      <c r="EK554" s="32"/>
      <c r="EL554" s="32"/>
      <c r="EM554" s="32"/>
      <c r="EN554" s="32"/>
      <c r="EO554" s="32"/>
      <c r="EP554" s="32"/>
      <c r="EQ554" s="32"/>
      <c r="ER554" s="32"/>
      <c r="ES554" s="32"/>
      <c r="ET554" s="32"/>
      <c r="EU554" s="32"/>
      <c r="EV554" s="32"/>
      <c r="EW554" s="32"/>
      <c r="EX554" s="32"/>
      <c r="EY554" s="32"/>
      <c r="EZ554" s="32"/>
      <c r="FA554" s="32"/>
      <c r="FB554" s="32"/>
      <c r="FC554" s="32"/>
      <c r="FD554" s="32"/>
      <c r="FE554" s="32"/>
      <c r="FF554" s="32"/>
      <c r="FG554" s="32"/>
      <c r="FH554" s="32"/>
      <c r="FI554" s="32"/>
      <c r="FJ554" s="32"/>
      <c r="FK554" s="32"/>
      <c r="FL554" s="32"/>
      <c r="FM554" s="32"/>
      <c r="FN554" s="32"/>
      <c r="FO554" s="32"/>
      <c r="FP554" s="32"/>
      <c r="FQ554" s="32"/>
      <c r="FR554" s="32"/>
      <c r="FS554" s="32"/>
      <c r="FT554" s="32"/>
      <c r="FU554" s="32"/>
      <c r="FV554" s="32"/>
      <c r="FW554" s="32"/>
      <c r="FX554" s="32"/>
      <c r="FY554" s="32"/>
      <c r="FZ554" s="32"/>
      <c r="GA554" s="32"/>
      <c r="GB554" s="32"/>
      <c r="GC554" s="32"/>
      <c r="GD554" s="32"/>
      <c r="GE554" s="32"/>
      <c r="GF554" s="32"/>
      <c r="GG554" s="32"/>
      <c r="GH554" s="32"/>
      <c r="GI554" s="32"/>
      <c r="GJ554" s="32"/>
      <c r="GK554" s="32"/>
      <c r="GL554" s="32"/>
      <c r="GM554" s="32"/>
      <c r="GN554" s="32"/>
      <c r="GO554" s="32"/>
      <c r="GP554" s="32"/>
      <c r="GQ554" s="32"/>
      <c r="GR554" s="32"/>
      <c r="GS554" s="32"/>
      <c r="GT554" s="32"/>
      <c r="GU554" s="32"/>
      <c r="GV554" s="32"/>
      <c r="GW554" s="32"/>
      <c r="GX554" s="32"/>
      <c r="GY554" s="32"/>
      <c r="GZ554" s="32"/>
      <c r="HA554" s="32"/>
      <c r="HB554" s="32"/>
      <c r="HC554" s="32"/>
      <c r="HD554" s="32"/>
      <c r="HE554" s="32"/>
      <c r="HF554" s="32"/>
      <c r="HG554" s="32"/>
      <c r="HH554" s="32"/>
      <c r="HI554" s="32"/>
      <c r="HJ554" s="32"/>
      <c r="HK554" s="32"/>
      <c r="HL554" s="32"/>
      <c r="HM554" s="32"/>
      <c r="HN554" s="32"/>
      <c r="HO554" s="32"/>
      <c r="HP554" s="32"/>
    </row>
    <row r="1048576" spans="16384:16384" x14ac:dyDescent="0.25">
      <c r="XFD1048576" s="33" t="s">
        <v>477</v>
      </c>
    </row>
  </sheetData>
  <mergeCells count="1">
    <mergeCell ref="I8:L8"/>
  </mergeCells>
  <conditionalFormatting sqref="C44:C46 H44:H46">
    <cfRule type="expression" dxfId="4" priority="1">
      <formula>$B$2="Report"</formula>
    </cfRule>
  </conditionalFormatting>
  <conditionalFormatting sqref="F11:F12 F14 F25:F26">
    <cfRule type="expression" dxfId="3" priority="2">
      <formula>$B$2="Report"</formula>
    </cfRule>
  </conditionalFormatting>
  <conditionalFormatting sqref="G57 D60 G65 D68">
    <cfRule type="expression" dxfId="2" priority="4">
      <formula>$R$2="Report"</formula>
    </cfRule>
  </conditionalFormatting>
  <conditionalFormatting sqref="G74 D77">
    <cfRule type="expression" dxfId="1" priority="3">
      <formula>$R$2="Report"</formula>
    </cfRule>
  </conditionalFormatting>
  <dataValidations count="1">
    <dataValidation type="list" allowBlank="1" showInputMessage="1" showErrorMessage="1" sqref="B2" xr:uid="{1749C905-6E78-4890-8983-DCC36B62723A}">
      <formula1>"Report,Working"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8F3D-E552-4FB4-BC9B-305FAD175F67}">
  <sheetPr codeName="Sheet8">
    <pageSetUpPr autoPageBreaks="0"/>
  </sheetPr>
  <dimension ref="A1:BO127"/>
  <sheetViews>
    <sheetView showGridLines="0" topLeftCell="C1" zoomScale="80" zoomScaleNormal="80" workbookViewId="0">
      <pane ySplit="2" topLeftCell="A3" activePane="bottomLeft" state="frozen"/>
      <selection pane="bottomLeft" activeCell="C1" sqref="C1"/>
    </sheetView>
  </sheetViews>
  <sheetFormatPr defaultColWidth="8.7109375" defaultRowHeight="15" outlineLevelRow="1" outlineLevelCol="1" x14ac:dyDescent="0.25"/>
  <cols>
    <col min="1" max="1" width="2.5703125" style="8" hidden="1" customWidth="1" outlineLevel="1"/>
    <col min="2" max="2" width="22.5703125" style="8" hidden="1" customWidth="1" outlineLevel="1"/>
    <col min="3" max="3" width="1.7109375" style="150" customWidth="1" collapsed="1"/>
    <col min="4" max="4" width="22.5703125" style="8" customWidth="1"/>
    <col min="5" max="5" width="29.140625" style="8" bestFit="1" customWidth="1"/>
    <col min="6" max="6" width="10.5703125" style="8" customWidth="1"/>
    <col min="7" max="8" width="12.7109375" style="8" bestFit="1" customWidth="1"/>
    <col min="9" max="9" width="11.7109375" style="8" customWidth="1"/>
    <col min="10" max="23" width="10.5703125" style="8" customWidth="1"/>
    <col min="24" max="24" width="22.5703125" style="8" hidden="1" customWidth="1" outlineLevel="1"/>
    <col min="25" max="25" width="1.7109375" style="8" customWidth="1" collapsed="1"/>
    <col min="26" max="26" width="22.5703125" style="8" hidden="1" customWidth="1" outlineLevel="1"/>
    <col min="27" max="27" width="8.7109375" style="8" hidden="1" customWidth="1" outlineLevel="1"/>
    <col min="28" max="30" width="10.5703125" style="8" hidden="1" customWidth="1" outlineLevel="1"/>
    <col min="31" max="31" width="11.7109375" style="8" hidden="1" customWidth="1" outlineLevel="1"/>
    <col min="32" max="44" width="10.5703125" style="8" hidden="1" customWidth="1" outlineLevel="1"/>
    <col min="45" max="45" width="8.7109375" style="8" collapsed="1"/>
    <col min="46" max="46" width="22.5703125" style="8" hidden="1" customWidth="1" outlineLevel="1"/>
    <col min="47" max="47" width="1.7109375" style="8" customWidth="1" collapsed="1"/>
    <col min="48" max="48" width="22.5703125" style="8" hidden="1" customWidth="1" outlineLevel="1"/>
    <col min="49" max="49" width="8.7109375" style="8" hidden="1" customWidth="1" outlineLevel="1"/>
    <col min="50" max="52" width="10.5703125" style="8" hidden="1" customWidth="1" outlineLevel="1"/>
    <col min="53" max="53" width="11.7109375" style="8" hidden="1" customWidth="1" outlineLevel="1"/>
    <col min="54" max="66" width="10.5703125" style="8" hidden="1" customWidth="1" outlineLevel="1"/>
    <col min="67" max="67" width="8.7109375" style="8" collapsed="1"/>
    <col min="68" max="16384" width="8.7109375" style="8"/>
  </cols>
  <sheetData>
    <row r="1" spans="1:66" s="290" customFormat="1" ht="20.25" x14ac:dyDescent="0.35">
      <c r="C1" s="150"/>
      <c r="D1" s="291"/>
    </row>
    <row r="2" spans="1:66" x14ac:dyDescent="0.25">
      <c r="D2" s="289"/>
    </row>
    <row r="3" spans="1:66" x14ac:dyDescent="0.25">
      <c r="A3" s="127"/>
      <c r="C3" s="2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Y3" s="24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66" ht="16.5" x14ac:dyDescent="0.35">
      <c r="C4" s="24"/>
      <c r="D4" s="28" t="str">
        <f>$D$86</f>
        <v>Primary Peer Group</v>
      </c>
      <c r="E4" s="288"/>
      <c r="F4" s="288"/>
      <c r="G4" s="288"/>
      <c r="H4" s="288"/>
      <c r="I4" s="288"/>
      <c r="J4" s="288"/>
      <c r="K4" s="288"/>
      <c r="L4" s="25"/>
      <c r="M4" s="288"/>
      <c r="N4" s="288"/>
      <c r="O4" s="288"/>
      <c r="P4" s="25"/>
      <c r="Q4" s="288"/>
      <c r="R4" s="288"/>
      <c r="S4" s="288"/>
      <c r="T4" s="25"/>
      <c r="U4" s="288"/>
      <c r="V4" s="287"/>
      <c r="W4" s="2"/>
      <c r="Y4" s="24"/>
      <c r="Z4" s="286" t="str">
        <f>$G$86</f>
        <v>Defense Peer Group</v>
      </c>
      <c r="AA4" s="283"/>
      <c r="AB4" s="283"/>
      <c r="AC4" s="283"/>
      <c r="AD4" s="283"/>
      <c r="AE4" s="283"/>
      <c r="AF4" s="283"/>
      <c r="AG4" s="283"/>
      <c r="AH4" s="284"/>
      <c r="AI4" s="283"/>
      <c r="AJ4" s="283"/>
      <c r="AK4" s="283"/>
      <c r="AL4" s="284"/>
      <c r="AM4" s="283"/>
      <c r="AN4" s="283"/>
      <c r="AO4" s="283"/>
      <c r="AP4" s="284"/>
      <c r="AQ4" s="283"/>
      <c r="AR4" s="282"/>
      <c r="AU4" s="24"/>
      <c r="AV4" s="285" t="str">
        <f>$L$86</f>
        <v>Cap. Goods Peer Group</v>
      </c>
      <c r="AW4" s="283"/>
      <c r="AX4" s="283"/>
      <c r="AY4" s="283"/>
      <c r="AZ4" s="283"/>
      <c r="BA4" s="283"/>
      <c r="BB4" s="283"/>
      <c r="BC4" s="283"/>
      <c r="BD4" s="284"/>
      <c r="BE4" s="283"/>
      <c r="BF4" s="283"/>
      <c r="BG4" s="283"/>
      <c r="BH4" s="284"/>
      <c r="BI4" s="283"/>
      <c r="BJ4" s="283"/>
      <c r="BK4" s="283"/>
      <c r="BL4" s="284"/>
      <c r="BM4" s="283"/>
      <c r="BN4" s="282"/>
    </row>
    <row r="5" spans="1:66" ht="5.0999999999999996" customHeight="1" x14ac:dyDescent="0.35">
      <c r="C5" s="24"/>
      <c r="D5" s="132"/>
      <c r="E5" s="281"/>
      <c r="F5" s="281"/>
      <c r="G5" s="281"/>
      <c r="H5" s="281"/>
      <c r="I5" s="281"/>
      <c r="J5" s="281"/>
      <c r="K5" s="281"/>
      <c r="L5" s="132"/>
      <c r="M5" s="281"/>
      <c r="N5" s="281"/>
      <c r="O5" s="281"/>
      <c r="P5" s="132"/>
      <c r="Q5" s="281"/>
      <c r="R5" s="281"/>
      <c r="S5" s="281"/>
      <c r="T5" s="132"/>
      <c r="U5" s="281"/>
      <c r="V5" s="281"/>
      <c r="W5" s="2"/>
      <c r="Y5" s="24"/>
      <c r="Z5" s="131"/>
      <c r="AA5" s="280"/>
      <c r="AB5" s="280"/>
      <c r="AC5" s="280"/>
      <c r="AD5" s="280"/>
      <c r="AE5" s="280"/>
      <c r="AF5" s="280"/>
      <c r="AG5" s="280"/>
      <c r="AH5" s="131"/>
      <c r="AI5" s="280"/>
      <c r="AJ5" s="280"/>
      <c r="AK5" s="280"/>
      <c r="AL5" s="131"/>
      <c r="AM5" s="280"/>
      <c r="AN5" s="280"/>
      <c r="AO5" s="280"/>
      <c r="AP5" s="131"/>
      <c r="AQ5" s="280"/>
      <c r="AR5" s="280"/>
      <c r="AU5" s="24"/>
      <c r="AV5" s="131"/>
      <c r="AW5" s="280"/>
      <c r="AX5" s="280"/>
      <c r="AY5" s="280"/>
      <c r="AZ5" s="280"/>
      <c r="BA5" s="280"/>
      <c r="BB5" s="280"/>
      <c r="BC5" s="280"/>
      <c r="BD5" s="131"/>
      <c r="BE5" s="280"/>
      <c r="BF5" s="280"/>
      <c r="BG5" s="280"/>
      <c r="BH5" s="131"/>
      <c r="BI5" s="280"/>
      <c r="BJ5" s="280"/>
      <c r="BK5" s="280"/>
      <c r="BL5" s="131"/>
      <c r="BM5" s="280"/>
      <c r="BN5" s="280"/>
    </row>
    <row r="6" spans="1:66" ht="16.5" x14ac:dyDescent="0.35">
      <c r="C6" s="2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16" t="s">
        <v>310</v>
      </c>
      <c r="R6" s="216"/>
      <c r="S6" s="216"/>
      <c r="T6" s="132"/>
      <c r="U6" s="2"/>
      <c r="V6" s="2"/>
      <c r="W6" s="2"/>
      <c r="Y6" s="24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16" t="s">
        <v>310</v>
      </c>
      <c r="AN6" s="216"/>
      <c r="AO6" s="216"/>
      <c r="AP6" s="132"/>
      <c r="AQ6" s="2"/>
      <c r="AR6" s="2"/>
      <c r="AU6" s="24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16" t="s">
        <v>310</v>
      </c>
      <c r="BJ6" s="216"/>
      <c r="BK6" s="216"/>
      <c r="BL6" s="132"/>
      <c r="BM6" s="2"/>
      <c r="BN6" s="2"/>
    </row>
    <row r="7" spans="1:66" ht="16.5" x14ac:dyDescent="0.35">
      <c r="C7" s="24"/>
      <c r="D7" s="27"/>
      <c r="E7" s="27"/>
      <c r="F7" s="27"/>
      <c r="G7" s="27" t="s">
        <v>309</v>
      </c>
      <c r="H7" s="27" t="s">
        <v>308</v>
      </c>
      <c r="I7" s="226" t="s">
        <v>304</v>
      </c>
      <c r="J7" s="226"/>
      <c r="K7" s="226" t="s">
        <v>307</v>
      </c>
      <c r="L7" s="226"/>
      <c r="M7" s="226" t="s">
        <v>306</v>
      </c>
      <c r="N7" s="226"/>
      <c r="O7" s="226" t="s">
        <v>305</v>
      </c>
      <c r="P7" s="226"/>
      <c r="Q7" s="226" t="s">
        <v>281</v>
      </c>
      <c r="R7" s="226"/>
      <c r="S7" s="226" t="s">
        <v>304</v>
      </c>
      <c r="T7" s="226"/>
      <c r="U7" s="216" t="s">
        <v>303</v>
      </c>
      <c r="V7" s="216"/>
      <c r="W7" s="2"/>
      <c r="Y7" s="24"/>
      <c r="Z7" s="27"/>
      <c r="AA7" s="27"/>
      <c r="AB7" s="27"/>
      <c r="AC7" s="27" t="s">
        <v>309</v>
      </c>
      <c r="AD7" s="27" t="s">
        <v>308</v>
      </c>
      <c r="AE7" s="226" t="s">
        <v>304</v>
      </c>
      <c r="AF7" s="226"/>
      <c r="AG7" s="226" t="s">
        <v>307</v>
      </c>
      <c r="AH7" s="226"/>
      <c r="AI7" s="226" t="s">
        <v>306</v>
      </c>
      <c r="AJ7" s="226"/>
      <c r="AK7" s="226" t="s">
        <v>305</v>
      </c>
      <c r="AL7" s="226"/>
      <c r="AM7" s="226" t="s">
        <v>281</v>
      </c>
      <c r="AN7" s="226"/>
      <c r="AO7" s="226" t="s">
        <v>304</v>
      </c>
      <c r="AP7" s="226"/>
      <c r="AQ7" s="216" t="s">
        <v>303</v>
      </c>
      <c r="AR7" s="216"/>
      <c r="AU7" s="24"/>
      <c r="AV7" s="27"/>
      <c r="AW7" s="27"/>
      <c r="AX7" s="27"/>
      <c r="AY7" s="27" t="s">
        <v>309</v>
      </c>
      <c r="AZ7" s="27" t="s">
        <v>308</v>
      </c>
      <c r="BA7" s="226" t="s">
        <v>304</v>
      </c>
      <c r="BB7" s="226"/>
      <c r="BC7" s="226" t="s">
        <v>307</v>
      </c>
      <c r="BD7" s="226"/>
      <c r="BE7" s="226" t="s">
        <v>306</v>
      </c>
      <c r="BF7" s="226"/>
      <c r="BG7" s="226" t="s">
        <v>305</v>
      </c>
      <c r="BH7" s="226"/>
      <c r="BI7" s="226" t="s">
        <v>281</v>
      </c>
      <c r="BJ7" s="226"/>
      <c r="BK7" s="226" t="s">
        <v>304</v>
      </c>
      <c r="BL7" s="226"/>
      <c r="BM7" s="216" t="s">
        <v>303</v>
      </c>
      <c r="BN7" s="216"/>
    </row>
    <row r="8" spans="1:66" ht="16.5" x14ac:dyDescent="0.35">
      <c r="C8" s="24"/>
      <c r="D8" s="11"/>
      <c r="E8" s="27"/>
      <c r="F8" s="215" t="s">
        <v>23</v>
      </c>
      <c r="G8" s="215" t="s">
        <v>282</v>
      </c>
      <c r="H8" s="215" t="s">
        <v>302</v>
      </c>
      <c r="I8" s="215" t="s">
        <v>301</v>
      </c>
      <c r="J8" s="225">
        <v>44590</v>
      </c>
      <c r="K8" s="215" t="s">
        <v>301</v>
      </c>
      <c r="L8" s="225">
        <v>44590</v>
      </c>
      <c r="M8" s="215" t="s">
        <v>301</v>
      </c>
      <c r="N8" s="225">
        <v>44590</v>
      </c>
      <c r="O8" s="215" t="s">
        <v>301</v>
      </c>
      <c r="P8" s="225">
        <v>44590</v>
      </c>
      <c r="Q8" s="215" t="s">
        <v>301</v>
      </c>
      <c r="R8" s="225">
        <v>44590</v>
      </c>
      <c r="S8" s="215" t="s">
        <v>301</v>
      </c>
      <c r="T8" s="225">
        <v>44590</v>
      </c>
      <c r="U8" s="215" t="s">
        <v>301</v>
      </c>
      <c r="V8" s="225">
        <v>44590</v>
      </c>
      <c r="W8" s="2"/>
      <c r="Y8" s="24"/>
      <c r="Z8" s="11"/>
      <c r="AA8" s="27"/>
      <c r="AB8" s="215" t="s">
        <v>23</v>
      </c>
      <c r="AC8" s="215" t="s">
        <v>282</v>
      </c>
      <c r="AD8" s="215" t="s">
        <v>302</v>
      </c>
      <c r="AE8" s="215" t="s">
        <v>301</v>
      </c>
      <c r="AF8" s="225" t="e">
        <f>Next_FYE</f>
        <v>#REF!</v>
      </c>
      <c r="AG8" s="215" t="str">
        <f>$I$8</f>
        <v>LTM</v>
      </c>
      <c r="AH8" s="225">
        <f>$J$8</f>
        <v>44590</v>
      </c>
      <c r="AI8" s="215" t="str">
        <f>$I$8</f>
        <v>LTM</v>
      </c>
      <c r="AJ8" s="225">
        <f>$J$8</f>
        <v>44590</v>
      </c>
      <c r="AK8" s="215" t="str">
        <f>$I$8</f>
        <v>LTM</v>
      </c>
      <c r="AL8" s="225">
        <f>$J$8</f>
        <v>44590</v>
      </c>
      <c r="AM8" s="215" t="str">
        <f>$I$8</f>
        <v>LTM</v>
      </c>
      <c r="AN8" s="225">
        <f>$J$8</f>
        <v>44590</v>
      </c>
      <c r="AO8" s="215" t="str">
        <f>$I$8</f>
        <v>LTM</v>
      </c>
      <c r="AP8" s="225">
        <f>$J$8</f>
        <v>44590</v>
      </c>
      <c r="AQ8" s="215" t="str">
        <f>$I$8</f>
        <v>LTM</v>
      </c>
      <c r="AR8" s="225">
        <f>$J$8</f>
        <v>44590</v>
      </c>
      <c r="AU8" s="24"/>
      <c r="AV8" s="11"/>
      <c r="AW8" s="27"/>
      <c r="AX8" s="215" t="s">
        <v>23</v>
      </c>
      <c r="AY8" s="215" t="s">
        <v>282</v>
      </c>
      <c r="AZ8" s="215" t="s">
        <v>302</v>
      </c>
      <c r="BA8" s="215" t="s">
        <v>301</v>
      </c>
      <c r="BB8" s="225" t="e">
        <f>Next_FYE</f>
        <v>#REF!</v>
      </c>
      <c r="BC8" s="215" t="str">
        <f>$I$8</f>
        <v>LTM</v>
      </c>
      <c r="BD8" s="225">
        <f>$J$8</f>
        <v>44590</v>
      </c>
      <c r="BE8" s="215" t="str">
        <f>$I$8</f>
        <v>LTM</v>
      </c>
      <c r="BF8" s="225">
        <f>$J$8</f>
        <v>44590</v>
      </c>
      <c r="BG8" s="215" t="str">
        <f>$I$8</f>
        <v>LTM</v>
      </c>
      <c r="BH8" s="225">
        <f>$J$8</f>
        <v>44590</v>
      </c>
      <c r="BI8" s="215" t="str">
        <f>$I$8</f>
        <v>LTM</v>
      </c>
      <c r="BJ8" s="225">
        <f>$J$8</f>
        <v>44590</v>
      </c>
      <c r="BK8" s="215" t="str">
        <f>$I$8</f>
        <v>LTM</v>
      </c>
      <c r="BL8" s="225">
        <f>$J$8</f>
        <v>44590</v>
      </c>
      <c r="BM8" s="215" t="str">
        <f>$I$8</f>
        <v>LTM</v>
      </c>
      <c r="BN8" s="225">
        <f>$J$8</f>
        <v>44590</v>
      </c>
    </row>
    <row r="9" spans="1:66" ht="5.0999999999999996" customHeight="1" x14ac:dyDescent="0.25">
      <c r="C9" s="24"/>
      <c r="D9" s="27"/>
      <c r="E9" s="27"/>
      <c r="F9" s="27"/>
      <c r="G9" s="27"/>
      <c r="H9" s="27"/>
      <c r="I9" s="199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"/>
      <c r="Y9" s="24"/>
      <c r="Z9" s="27"/>
      <c r="AA9" s="27"/>
      <c r="AB9" s="27"/>
      <c r="AC9" s="27"/>
      <c r="AD9" s="27"/>
      <c r="AE9" s="199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U9" s="24"/>
      <c r="AV9" s="27"/>
      <c r="AW9" s="27"/>
      <c r="AX9" s="27"/>
      <c r="AY9" s="27"/>
      <c r="AZ9" s="27"/>
      <c r="BA9" s="199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</row>
    <row r="10" spans="1:66" x14ac:dyDescent="0.25">
      <c r="C10" s="24"/>
      <c r="D10" s="19" t="s">
        <v>36</v>
      </c>
      <c r="E10" s="20"/>
      <c r="F10" s="263" t="s">
        <v>35</v>
      </c>
      <c r="G10" s="279">
        <v>42458.575470000003</v>
      </c>
      <c r="H10" s="279">
        <v>90967</v>
      </c>
      <c r="I10" s="267">
        <v>-0.50001700000000004</v>
      </c>
      <c r="J10" s="267">
        <v>-0.72495366445906229</v>
      </c>
      <c r="K10" s="267">
        <v>-0.86560800000000004</v>
      </c>
      <c r="L10" s="267">
        <v>-0.47103868027342977</v>
      </c>
      <c r="M10" s="267" t="s">
        <v>13</v>
      </c>
      <c r="N10" s="267">
        <v>0.64554164805455472</v>
      </c>
      <c r="O10" s="267">
        <v>6.6427E-2</v>
      </c>
      <c r="P10" s="267">
        <v>0.49564191569709598</v>
      </c>
      <c r="Q10" s="265" t="s">
        <v>13</v>
      </c>
      <c r="R10" s="265" t="s">
        <v>13</v>
      </c>
      <c r="S10" s="265" t="s">
        <v>13</v>
      </c>
      <c r="T10" s="265" t="s">
        <v>13</v>
      </c>
      <c r="U10" s="265">
        <v>40.993369999999999</v>
      </c>
      <c r="V10" s="278">
        <v>12.453452952556852</v>
      </c>
      <c r="W10" s="2"/>
      <c r="Y10" s="24"/>
      <c r="Z10" s="19" t="e">
        <f>Z51</f>
        <v>#REF!</v>
      </c>
      <c r="AA10" s="20"/>
      <c r="AB10" s="263" t="s">
        <v>276</v>
      </c>
      <c r="AC10" s="279">
        <v>6040.9355599999999</v>
      </c>
      <c r="AD10" s="279">
        <v>5561.8385600000001</v>
      </c>
      <c r="AE10" s="267">
        <v>0.19067000000000001</v>
      </c>
      <c r="AF10" s="267">
        <v>3.4378215784057531E-2</v>
      </c>
      <c r="AG10" s="267">
        <v>0.124316</v>
      </c>
      <c r="AH10" s="267">
        <v>-0.13980789754535738</v>
      </c>
      <c r="AI10" s="267">
        <v>0.28053100000000003</v>
      </c>
      <c r="AJ10" s="267">
        <v>0.29106114754641993</v>
      </c>
      <c r="AK10" s="267">
        <v>0.15246799999999999</v>
      </c>
      <c r="AL10" s="267">
        <v>0.20242258666034044</v>
      </c>
      <c r="AM10" s="265">
        <v>0</v>
      </c>
      <c r="AN10" s="265">
        <v>24.372328847561164</v>
      </c>
      <c r="AO10" s="265">
        <v>0</v>
      </c>
      <c r="AP10" s="265">
        <v>7.0938380027498669</v>
      </c>
      <c r="AQ10" s="265">
        <v>0</v>
      </c>
      <c r="AR10" s="278">
        <v>38.06344748498806</v>
      </c>
      <c r="AU10" s="24"/>
      <c r="AV10" s="19" t="e">
        <f>Company_Name</f>
        <v>#REF!</v>
      </c>
      <c r="AW10" s="20"/>
      <c r="AX10" s="263" t="s">
        <v>276</v>
      </c>
      <c r="AY10" s="279">
        <v>6040.9355599999999</v>
      </c>
      <c r="AZ10" s="279">
        <v>5561.8385600000001</v>
      </c>
      <c r="BA10" s="267">
        <v>0.19067000000000001</v>
      </c>
      <c r="BB10" s="267">
        <v>3.4378215784057531E-2</v>
      </c>
      <c r="BC10" s="267">
        <v>0.124316</v>
      </c>
      <c r="BD10" s="267">
        <v>-0.13980789754535738</v>
      </c>
      <c r="BE10" s="267">
        <v>0.28053100000000003</v>
      </c>
      <c r="BF10" s="267">
        <v>0.29106114754641993</v>
      </c>
      <c r="BG10" s="267">
        <v>0.15246799999999999</v>
      </c>
      <c r="BH10" s="267">
        <v>0.20242258666034044</v>
      </c>
      <c r="BI10" s="265">
        <v>0</v>
      </c>
      <c r="BJ10" s="265">
        <v>24.372328847561164</v>
      </c>
      <c r="BK10" s="265">
        <v>0</v>
      </c>
      <c r="BL10" s="265">
        <v>7.0938380027498669</v>
      </c>
      <c r="BM10" s="265">
        <v>0</v>
      </c>
      <c r="BN10" s="278">
        <v>38.06344748498806</v>
      </c>
    </row>
    <row r="11" spans="1:66" x14ac:dyDescent="0.25">
      <c r="C11" s="24"/>
      <c r="D11" s="2"/>
      <c r="E11" s="2"/>
      <c r="F11" s="27"/>
      <c r="G11" s="222"/>
      <c r="H11" s="27"/>
      <c r="I11" s="203"/>
      <c r="J11" s="203"/>
      <c r="K11" s="203"/>
      <c r="L11" s="203"/>
      <c r="M11" s="203"/>
      <c r="N11" s="203"/>
      <c r="O11" s="203"/>
      <c r="P11" s="203"/>
      <c r="Q11" s="165"/>
      <c r="R11" s="165"/>
      <c r="S11" s="165"/>
      <c r="T11" s="27"/>
      <c r="U11" s="27"/>
      <c r="V11" s="27"/>
      <c r="W11" s="2"/>
      <c r="Y11" s="24"/>
      <c r="Z11" s="2"/>
      <c r="AA11" s="2"/>
      <c r="AB11" s="27"/>
      <c r="AC11" s="222"/>
      <c r="AD11" s="27"/>
      <c r="AE11" s="203"/>
      <c r="AF11" s="203"/>
      <c r="AG11" s="203"/>
      <c r="AH11" s="203"/>
      <c r="AI11" s="203"/>
      <c r="AJ11" s="203"/>
      <c r="AK11" s="203"/>
      <c r="AL11" s="203"/>
      <c r="AM11" s="165"/>
      <c r="AN11" s="165"/>
      <c r="AO11" s="165"/>
      <c r="AP11" s="27"/>
      <c r="AQ11" s="27"/>
      <c r="AR11" s="27"/>
      <c r="AU11" s="24"/>
      <c r="AV11" s="2"/>
      <c r="AW11" s="2"/>
      <c r="AX11" s="27"/>
      <c r="AY11" s="222"/>
      <c r="AZ11" s="27"/>
      <c r="BA11" s="203"/>
      <c r="BB11" s="203"/>
      <c r="BC11" s="203"/>
      <c r="BD11" s="203"/>
      <c r="BE11" s="203"/>
      <c r="BF11" s="203"/>
      <c r="BG11" s="203"/>
      <c r="BH11" s="203"/>
      <c r="BI11" s="165"/>
      <c r="BJ11" s="165"/>
      <c r="BK11" s="165"/>
      <c r="BL11" s="27"/>
      <c r="BM11" s="27"/>
      <c r="BN11" s="27"/>
    </row>
    <row r="12" spans="1:66" x14ac:dyDescent="0.25">
      <c r="C12" s="24"/>
      <c r="D12" s="2" t="s">
        <v>245</v>
      </c>
      <c r="E12" s="2"/>
      <c r="F12" s="27" t="s">
        <v>199</v>
      </c>
      <c r="G12" s="218">
        <v>31846.897679999998</v>
      </c>
      <c r="H12" s="218">
        <v>37566</v>
      </c>
      <c r="I12" s="203">
        <v>-9.6454999999999999E-2</v>
      </c>
      <c r="J12" s="203">
        <v>-0.56119885426394256</v>
      </c>
      <c r="K12" s="203" t="s">
        <v>13</v>
      </c>
      <c r="L12" s="203">
        <v>-0.29835371821298329</v>
      </c>
      <c r="M12" s="203" t="s">
        <v>13</v>
      </c>
      <c r="N12" s="203">
        <v>1.3137770964358042</v>
      </c>
      <c r="O12" s="203">
        <v>-0.45750300000000005</v>
      </c>
      <c r="P12" s="203">
        <v>1.2021414470438374</v>
      </c>
      <c r="Q12" s="164" t="s">
        <v>13</v>
      </c>
      <c r="R12" s="164" t="s">
        <v>13</v>
      </c>
      <c r="S12" s="164" t="s">
        <v>13</v>
      </c>
      <c r="T12" s="164" t="s">
        <v>13</v>
      </c>
      <c r="U12" s="164" t="s">
        <v>13</v>
      </c>
      <c r="V12" s="164">
        <v>10.386763548962936</v>
      </c>
      <c r="W12" s="2"/>
      <c r="Y12" s="24"/>
      <c r="Z12" s="2" t="e">
        <f ca="1">Z72</f>
        <v>#NAME?</v>
      </c>
      <c r="AA12" s="2"/>
      <c r="AB12" s="27" t="s">
        <v>242</v>
      </c>
      <c r="AC12" s="218">
        <v>128030.64896999999</v>
      </c>
      <c r="AD12" s="218">
        <v>154660.64897000001</v>
      </c>
      <c r="AE12" s="203">
        <v>0.28479199999999999</v>
      </c>
      <c r="AF12" s="203">
        <v>0.15215755721278734</v>
      </c>
      <c r="AG12" s="203">
        <v>0.43208399999999997</v>
      </c>
      <c r="AH12" s="203">
        <v>-2.5665133721199402</v>
      </c>
      <c r="AI12" s="203">
        <v>0.14710100000000001</v>
      </c>
      <c r="AJ12" s="203">
        <v>0.15766706958122381</v>
      </c>
      <c r="AK12" s="203">
        <v>3.5056999999999998E-2</v>
      </c>
      <c r="AL12" s="203">
        <v>9.3871453856720549E-2</v>
      </c>
      <c r="AM12" s="164">
        <v>16.461069999999999</v>
      </c>
      <c r="AN12" s="164">
        <v>15.045626948605292</v>
      </c>
      <c r="AO12" s="164">
        <v>2.5757699999999999</v>
      </c>
      <c r="AP12" s="164">
        <v>2.3721999109988872</v>
      </c>
      <c r="AQ12" s="164">
        <v>63.46893</v>
      </c>
      <c r="AR12" s="164">
        <v>20.919526956583937</v>
      </c>
      <c r="AU12" s="24"/>
      <c r="AV12" s="2" t="e">
        <f ca="1">AV53</f>
        <v>#NAME?</v>
      </c>
      <c r="AW12" s="2"/>
      <c r="AX12" s="27" t="s">
        <v>241</v>
      </c>
      <c r="AY12" s="218">
        <v>112863.39125</v>
      </c>
      <c r="AZ12" s="218">
        <v>126547.39125</v>
      </c>
      <c r="BA12" s="203">
        <v>0.107836</v>
      </c>
      <c r="BB12" s="203">
        <v>9.4074177541635606E-2</v>
      </c>
      <c r="BC12" s="203">
        <v>0.139568</v>
      </c>
      <c r="BD12" s="203">
        <v>7.1204324324324331E-2</v>
      </c>
      <c r="BE12" s="203">
        <v>0.29003200000000001</v>
      </c>
      <c r="BF12" s="203">
        <v>0.26891896707285307</v>
      </c>
      <c r="BG12" s="203">
        <v>0.17038</v>
      </c>
      <c r="BH12" s="203">
        <v>0.1651012198285608</v>
      </c>
      <c r="BI12" s="164">
        <v>11.087059999999999</v>
      </c>
      <c r="BJ12" s="164">
        <v>13.364261803244904</v>
      </c>
      <c r="BK12" s="164">
        <v>3.3659500000000002</v>
      </c>
      <c r="BL12" s="164">
        <v>3.5939034798198044</v>
      </c>
      <c r="BM12" s="164">
        <v>17.64282</v>
      </c>
      <c r="BN12" s="164">
        <v>19.414044738313191</v>
      </c>
    </row>
    <row r="13" spans="1:66" x14ac:dyDescent="0.25">
      <c r="C13" s="24"/>
      <c r="D13" s="2" t="s">
        <v>237</v>
      </c>
      <c r="E13" s="2"/>
      <c r="F13" s="27" t="s">
        <v>234</v>
      </c>
      <c r="G13" s="218">
        <v>13491.59389</v>
      </c>
      <c r="H13" s="218">
        <v>28159.391889999999</v>
      </c>
      <c r="I13" s="203">
        <v>-3.7094999999999996E-2</v>
      </c>
      <c r="J13" s="203">
        <v>-0.3465177010658127</v>
      </c>
      <c r="K13" s="203">
        <v>-0.52275099999999997</v>
      </c>
      <c r="L13" s="203">
        <v>0.50369307862112622</v>
      </c>
      <c r="M13" s="203">
        <v>0.21172000000000002</v>
      </c>
      <c r="N13" s="203">
        <v>0.29586738536191093</v>
      </c>
      <c r="O13" s="203">
        <v>5.0799999999999998E-2</v>
      </c>
      <c r="P13" s="203">
        <v>0.21463358554412823</v>
      </c>
      <c r="Q13" s="164">
        <v>38.800190000000001</v>
      </c>
      <c r="R13" s="164">
        <v>34.577580775451899</v>
      </c>
      <c r="S13" s="164">
        <v>8.2148000000000003</v>
      </c>
      <c r="T13" s="164">
        <v>10.230378416173231</v>
      </c>
      <c r="U13" s="164">
        <v>85.832650000000001</v>
      </c>
      <c r="V13" s="164">
        <v>22.836734656915297</v>
      </c>
      <c r="W13" s="2"/>
      <c r="Y13" s="24"/>
      <c r="Z13" s="2" t="e">
        <f ca="1">Z73</f>
        <v>#NAME?</v>
      </c>
      <c r="AA13" s="2"/>
      <c r="AB13" s="27" t="s">
        <v>233</v>
      </c>
      <c r="AC13" s="218">
        <v>129979.18471</v>
      </c>
      <c r="AD13" s="218">
        <v>172393.18471</v>
      </c>
      <c r="AE13" s="203">
        <v>-7.4287999999999993E-2</v>
      </c>
      <c r="AF13" s="203">
        <v>0.26827198442174782</v>
      </c>
      <c r="AG13" s="203">
        <v>0.43208399999999997</v>
      </c>
      <c r="AH13" s="203">
        <v>-0.97760967432950197</v>
      </c>
      <c r="AI13" s="203">
        <v>-2.9094999999999999E-2</v>
      </c>
      <c r="AJ13" s="203">
        <v>7.5836172983072728E-2</v>
      </c>
      <c r="AK13" s="203">
        <v>-0.14303000000000002</v>
      </c>
      <c r="AL13" s="203">
        <v>-5.4210976329000351E-3</v>
      </c>
      <c r="AM13" s="164" t="s">
        <v>275</v>
      </c>
      <c r="AN13" s="164">
        <v>30.819232691225288</v>
      </c>
      <c r="AO13" s="164">
        <v>2.8267600000000002</v>
      </c>
      <c r="AP13" s="164">
        <v>2.3372126615773308</v>
      </c>
      <c r="AQ13" s="164" t="s">
        <v>275</v>
      </c>
      <c r="AR13" s="164" t="s">
        <v>275</v>
      </c>
      <c r="AU13" s="24"/>
      <c r="AV13" s="2" t="e">
        <f ca="1">AV54</f>
        <v>#NAME?</v>
      </c>
      <c r="AW13" s="2"/>
      <c r="AX13" s="27" t="s">
        <v>232</v>
      </c>
      <c r="AY13" s="218">
        <v>116444.01873</v>
      </c>
      <c r="AZ13" s="218">
        <v>165361.01873000001</v>
      </c>
      <c r="BA13" s="203">
        <v>-8.3476999999999996E-2</v>
      </c>
      <c r="BB13" s="203">
        <v>-3.6353036963538865E-2</v>
      </c>
      <c r="BC13" s="203">
        <v>0.139568</v>
      </c>
      <c r="BD13" s="203">
        <v>-0.57771187139860958</v>
      </c>
      <c r="BE13" s="203">
        <v>8.6125000000000007E-2</v>
      </c>
      <c r="BF13" s="203">
        <v>0.10098877292986558</v>
      </c>
      <c r="BG13" s="203">
        <v>-3.1019999999999999E-2</v>
      </c>
      <c r="BH13" s="203">
        <v>2.7997383350577984E-2</v>
      </c>
      <c r="BI13" s="164">
        <v>20.848230000000001</v>
      </c>
      <c r="BJ13" s="164">
        <v>21.341521001218538</v>
      </c>
      <c r="BK13" s="164">
        <v>2.0760299999999998</v>
      </c>
      <c r="BL13" s="164">
        <v>2.1552540183700164</v>
      </c>
      <c r="BM13" s="164" t="s">
        <v>275</v>
      </c>
      <c r="BN13" s="164">
        <v>54.208209895473338</v>
      </c>
    </row>
    <row r="14" spans="1:66" x14ac:dyDescent="0.25">
      <c r="C14" s="24"/>
      <c r="D14" s="2" t="s">
        <v>273</v>
      </c>
      <c r="E14" s="2"/>
      <c r="F14" s="27" t="s">
        <v>24</v>
      </c>
      <c r="G14" s="218">
        <v>113710</v>
      </c>
      <c r="H14" s="218">
        <v>103000</v>
      </c>
      <c r="I14" s="203">
        <v>-0.41600399999999998</v>
      </c>
      <c r="J14" s="203">
        <v>-0.41046884048435872</v>
      </c>
      <c r="K14" s="203">
        <v>-0.51808200000000004</v>
      </c>
      <c r="L14" s="203">
        <v>-0.36584255842558422</v>
      </c>
      <c r="M14" s="203" t="s">
        <v>13</v>
      </c>
      <c r="N14" s="203">
        <v>0.54952595425146566</v>
      </c>
      <c r="O14" s="203">
        <v>0.21889299999999998</v>
      </c>
      <c r="P14" s="203">
        <v>0.50813836748320473</v>
      </c>
      <c r="Q14" s="164" t="s">
        <v>13</v>
      </c>
      <c r="R14" s="164" t="s">
        <v>13</v>
      </c>
      <c r="S14" s="164" t="s">
        <v>13</v>
      </c>
      <c r="T14" s="164" t="s">
        <v>13</v>
      </c>
      <c r="U14" s="164">
        <v>26.529620000000001</v>
      </c>
      <c r="V14" s="164">
        <v>9.9448455432095866</v>
      </c>
      <c r="W14" s="2"/>
      <c r="Y14" s="24"/>
      <c r="Z14" s="2" t="e">
        <f ca="1">Z74</f>
        <v>#NAME?</v>
      </c>
      <c r="AA14" s="2"/>
      <c r="AB14" s="27" t="s">
        <v>225</v>
      </c>
      <c r="AC14" s="218">
        <v>8308.7197699999997</v>
      </c>
      <c r="AD14" s="218">
        <v>9819.7197699999997</v>
      </c>
      <c r="AE14" s="203">
        <v>7.3869999999999991E-2</v>
      </c>
      <c r="AF14" s="203">
        <v>5.5577780151693235E-2</v>
      </c>
      <c r="AG14" s="203">
        <v>0.43208399999999997</v>
      </c>
      <c r="AH14" s="203">
        <v>-0.23063185530921815</v>
      </c>
      <c r="AI14" s="203">
        <v>0.12192</v>
      </c>
      <c r="AJ14" s="203">
        <v>8.4324001841222004E-2</v>
      </c>
      <c r="AK14" s="203">
        <v>7.8078999999999996E-2</v>
      </c>
      <c r="AL14" s="203">
        <v>0</v>
      </c>
      <c r="AM14" s="164">
        <v>7.41228</v>
      </c>
      <c r="AN14" s="164">
        <v>11.785157752018538</v>
      </c>
      <c r="AO14" s="164">
        <v>0.98224</v>
      </c>
      <c r="AP14" s="164">
        <v>0.99377166398030303</v>
      </c>
      <c r="AQ14" s="164">
        <v>10.643929999999999</v>
      </c>
      <c r="AR14" s="164">
        <v>20.919526956583937</v>
      </c>
      <c r="AU14" s="24"/>
      <c r="AV14" s="2" t="e">
        <f ca="1">AV55</f>
        <v>#NAME?</v>
      </c>
      <c r="AW14" s="2"/>
      <c r="AX14" s="27" t="s">
        <v>224</v>
      </c>
      <c r="AY14" s="218">
        <v>159578.88610999999</v>
      </c>
      <c r="AZ14" s="218">
        <v>169888.88610999999</v>
      </c>
      <c r="BA14" s="203">
        <v>-1.6309000000000001E-2</v>
      </c>
      <c r="BB14" s="203">
        <v>7.4231268805343698E-2</v>
      </c>
      <c r="BC14" s="203">
        <v>-0.135737</v>
      </c>
      <c r="BD14" s="203">
        <v>0.20102827380952371</v>
      </c>
      <c r="BE14" s="203">
        <v>0.24559</v>
      </c>
      <c r="BF14" s="203">
        <v>0.25050484821913088</v>
      </c>
      <c r="BG14" s="203">
        <v>0.14646999999999999</v>
      </c>
      <c r="BH14" s="203">
        <v>0.16202131881505455</v>
      </c>
      <c r="BI14" s="164">
        <v>18.49203</v>
      </c>
      <c r="BJ14" s="164">
        <v>19.343756300866573</v>
      </c>
      <c r="BK14" s="164">
        <v>4.7124499999999996</v>
      </c>
      <c r="BL14" s="164">
        <v>4.8457047361364376</v>
      </c>
      <c r="BM14" s="164">
        <v>30.831659999999999</v>
      </c>
      <c r="BN14" s="164">
        <v>28.092814093008723</v>
      </c>
    </row>
    <row r="15" spans="1:66" x14ac:dyDescent="0.25">
      <c r="C15" s="24"/>
      <c r="D15" s="2" t="s">
        <v>269</v>
      </c>
      <c r="E15" s="2"/>
      <c r="F15" s="27" t="s">
        <v>198</v>
      </c>
      <c r="G15" s="218">
        <v>10398.931140000001</v>
      </c>
      <c r="H15" s="218">
        <v>17747.531139999999</v>
      </c>
      <c r="I15" s="203">
        <v>-0.185031</v>
      </c>
      <c r="J15" s="203">
        <v>-0.54258333769827272</v>
      </c>
      <c r="K15" s="203">
        <v>-0.234765</v>
      </c>
      <c r="L15" s="203">
        <v>-0.51387804878048771</v>
      </c>
      <c r="M15" s="203">
        <v>0.48854700000000001</v>
      </c>
      <c r="N15" s="203">
        <v>0.37252357955321896</v>
      </c>
      <c r="O15" s="203">
        <v>0.31859500000000002</v>
      </c>
      <c r="P15" s="203">
        <v>0.36077116653674268</v>
      </c>
      <c r="Q15" s="164">
        <v>5.6998199999999999</v>
      </c>
      <c r="R15" s="164">
        <v>11.859703208232032</v>
      </c>
      <c r="S15" s="164">
        <v>2.8308200000000001</v>
      </c>
      <c r="T15" s="164">
        <v>4.4180190915693922</v>
      </c>
      <c r="U15" s="164">
        <v>5.2568200000000003</v>
      </c>
      <c r="V15" s="164">
        <v>7.1754067216031334</v>
      </c>
      <c r="W15" s="2"/>
      <c r="Y15" s="24"/>
      <c r="Z15" s="2" t="e">
        <f ca="1">Z75</f>
        <v>#NAME?</v>
      </c>
      <c r="AA15" s="2"/>
      <c r="AB15" s="27" t="s">
        <v>217</v>
      </c>
      <c r="AC15" s="218">
        <v>100241.00058000001</v>
      </c>
      <c r="AD15" s="218">
        <v>109675.00058000001</v>
      </c>
      <c r="AE15" s="203">
        <v>6.1887999999999999E-2</v>
      </c>
      <c r="AF15" s="203">
        <v>4.4912920425701053E-2</v>
      </c>
      <c r="AG15" s="203">
        <v>0.12679299999999999</v>
      </c>
      <c r="AH15" s="203">
        <v>0.10296855591228082</v>
      </c>
      <c r="AI15" s="203">
        <v>0.15308099999999999</v>
      </c>
      <c r="AJ15" s="203">
        <v>0.15369527678916067</v>
      </c>
      <c r="AK15" s="203">
        <v>0.10689299999999999</v>
      </c>
      <c r="AL15" s="203">
        <v>0.10917443855909938</v>
      </c>
      <c r="AM15" s="164">
        <v>10.019970000000001</v>
      </c>
      <c r="AN15" s="164">
        <v>10.442453685118846</v>
      </c>
      <c r="AO15" s="164">
        <v>1.5917600000000001</v>
      </c>
      <c r="AP15" s="164">
        <v>1.6049558094923317</v>
      </c>
      <c r="AQ15" s="164">
        <v>13.61295</v>
      </c>
      <c r="AR15" s="164">
        <v>13.436305184315913</v>
      </c>
      <c r="AU15" s="24"/>
      <c r="AV15" s="2" t="e">
        <f ca="1">AV56</f>
        <v>#NAME?</v>
      </c>
      <c r="AW15" s="2"/>
      <c r="AX15" s="27" t="s">
        <v>216</v>
      </c>
      <c r="AY15" s="218">
        <v>50450.580549999999</v>
      </c>
      <c r="AZ15" s="218">
        <v>58814.680549999997</v>
      </c>
      <c r="BA15" s="203">
        <v>0.107789</v>
      </c>
      <c r="BB15" s="203">
        <v>0.16134879412350056</v>
      </c>
      <c r="BC15" s="203">
        <v>-0.342387</v>
      </c>
      <c r="BD15" s="203">
        <v>0.68387750556792848</v>
      </c>
      <c r="BE15" s="203">
        <v>0.36213099999999998</v>
      </c>
      <c r="BF15" s="203">
        <v>0.36653876959791054</v>
      </c>
      <c r="BG15" s="203">
        <v>0.17795100000000003</v>
      </c>
      <c r="BH15" s="203">
        <v>0.25151357300210986</v>
      </c>
      <c r="BI15" s="164">
        <v>25.128550000000001</v>
      </c>
      <c r="BJ15" s="164">
        <v>24.998032555108455</v>
      </c>
      <c r="BK15" s="164">
        <v>9.3873300000000004</v>
      </c>
      <c r="BL15" s="164">
        <v>9.1627480951179638</v>
      </c>
      <c r="BM15" s="164">
        <v>45.20111</v>
      </c>
      <c r="BN15" s="164">
        <v>31.249620371034457</v>
      </c>
    </row>
    <row r="16" spans="1:66" x14ac:dyDescent="0.25">
      <c r="C16" s="24"/>
      <c r="D16" s="2" t="s">
        <v>212</v>
      </c>
      <c r="E16" s="2"/>
      <c r="F16" s="27" t="s">
        <v>200</v>
      </c>
      <c r="G16" s="218">
        <v>9455</v>
      </c>
      <c r="H16" s="218">
        <v>6765</v>
      </c>
      <c r="I16" s="203" t="s">
        <v>13</v>
      </c>
      <c r="J16" s="203" t="s">
        <v>13</v>
      </c>
      <c r="K16" s="203" t="s">
        <v>13</v>
      </c>
      <c r="L16" s="203" t="s">
        <v>13</v>
      </c>
      <c r="M16" s="203" t="s">
        <v>13</v>
      </c>
      <c r="N16" s="203">
        <v>0.69599999999999995</v>
      </c>
      <c r="O16" s="203">
        <v>0.40699999999999997</v>
      </c>
      <c r="P16" s="203">
        <v>0.44700000000000001</v>
      </c>
      <c r="Q16" s="164" t="s">
        <v>13</v>
      </c>
      <c r="R16" s="164" t="s">
        <v>13</v>
      </c>
      <c r="S16" s="164">
        <v>0</v>
      </c>
      <c r="T16" s="164" t="s">
        <v>13</v>
      </c>
      <c r="U16" s="164" t="s">
        <v>13</v>
      </c>
      <c r="V16" s="164" t="s">
        <v>13</v>
      </c>
      <c r="W16" s="2"/>
      <c r="Y16" s="24"/>
      <c r="Z16" s="2" t="e">
        <f ca="1">Z76</f>
        <v>#NAME?</v>
      </c>
      <c r="AA16" s="2"/>
      <c r="AB16" s="27" t="s">
        <v>208</v>
      </c>
      <c r="AC16" s="218">
        <v>58414.205139999998</v>
      </c>
      <c r="AD16" s="218">
        <v>68211.205140000005</v>
      </c>
      <c r="AE16" s="203">
        <v>8.3658999999999997E-2</v>
      </c>
      <c r="AF16" s="203">
        <v>-1.4799398896709226E-2</v>
      </c>
      <c r="AG16" s="203">
        <v>0.94067400000000001</v>
      </c>
      <c r="AH16" s="203">
        <v>0.30977193904361511</v>
      </c>
      <c r="AI16" s="203">
        <v>0.14817900000000001</v>
      </c>
      <c r="AJ16" s="203">
        <v>0.16978995137012473</v>
      </c>
      <c r="AK16" s="203">
        <v>0.120947</v>
      </c>
      <c r="AL16" s="203">
        <v>0.1101035929189027</v>
      </c>
      <c r="AM16" s="164">
        <v>11.64045</v>
      </c>
      <c r="AN16" s="164">
        <v>11.081104576504847</v>
      </c>
      <c r="AO16" s="164">
        <v>1.8671199999999999</v>
      </c>
      <c r="AP16" s="164">
        <v>1.8814602071720246</v>
      </c>
      <c r="AQ16" s="164">
        <v>13.68139</v>
      </c>
      <c r="AR16" s="164">
        <v>14.63377236634007</v>
      </c>
      <c r="AU16" s="24"/>
      <c r="AV16" s="2" t="e">
        <f ca="1">AV57</f>
        <v>#NAME?</v>
      </c>
      <c r="AW16" s="2"/>
      <c r="AX16" s="27" t="s">
        <v>206</v>
      </c>
      <c r="AY16" s="218">
        <v>62631.506000000001</v>
      </c>
      <c r="AZ16" s="218">
        <v>67649.505999999994</v>
      </c>
      <c r="BA16" s="203">
        <v>3.7735999999999999E-2</v>
      </c>
      <c r="BB16" s="203">
        <v>9.4444228775692585E-2</v>
      </c>
      <c r="BC16" s="203">
        <v>0.22055499999999997</v>
      </c>
      <c r="BD16" s="203">
        <v>0.25316666666666676</v>
      </c>
      <c r="BE16" s="203">
        <v>0.221998</v>
      </c>
      <c r="BF16" s="203">
        <v>0.22892474020264064</v>
      </c>
      <c r="BG16" s="203">
        <v>0.13201000000000002</v>
      </c>
      <c r="BH16" s="203">
        <v>0.13269769057936825</v>
      </c>
      <c r="BI16" s="164">
        <v>14.771470000000001</v>
      </c>
      <c r="BJ16" s="164">
        <v>16.086327955734895</v>
      </c>
      <c r="BK16" s="164">
        <v>3.4847100000000002</v>
      </c>
      <c r="BL16" s="164">
        <v>3.6825584480810862</v>
      </c>
      <c r="BM16" s="164">
        <v>24.433759999999999</v>
      </c>
      <c r="BN16" s="164">
        <v>25.692981780241418</v>
      </c>
    </row>
    <row r="17" spans="3:66" ht="15.75" thickBot="1" x14ac:dyDescent="0.3">
      <c r="C17" s="24"/>
      <c r="D17" s="2"/>
      <c r="E17" s="2"/>
      <c r="F17" s="27"/>
      <c r="G17" s="27"/>
      <c r="H17" s="27"/>
      <c r="I17" s="202"/>
      <c r="J17" s="202"/>
      <c r="K17" s="260"/>
      <c r="L17" s="260"/>
      <c r="M17" s="260"/>
      <c r="N17" s="260"/>
      <c r="O17" s="260"/>
      <c r="P17" s="260"/>
      <c r="Q17" s="27"/>
      <c r="R17" s="27"/>
      <c r="S17" s="27"/>
      <c r="T17" s="27"/>
      <c r="U17" s="27"/>
      <c r="V17" s="27"/>
      <c r="W17" s="2"/>
      <c r="Y17" s="24"/>
      <c r="Z17" s="2"/>
      <c r="AA17" s="2"/>
      <c r="AB17" s="27"/>
      <c r="AC17" s="27"/>
      <c r="AD17" s="27"/>
      <c r="AE17" s="202"/>
      <c r="AF17" s="202"/>
      <c r="AG17" s="260"/>
      <c r="AH17" s="260"/>
      <c r="AI17" s="260"/>
      <c r="AJ17" s="260"/>
      <c r="AK17" s="260"/>
      <c r="AL17" s="260"/>
      <c r="AM17" s="27"/>
      <c r="AN17" s="27"/>
      <c r="AO17" s="27"/>
      <c r="AP17" s="27"/>
      <c r="AQ17" s="27"/>
      <c r="AR17" s="27"/>
      <c r="AU17" s="24"/>
      <c r="AV17" s="2"/>
      <c r="AW17" s="2"/>
      <c r="AX17" s="27"/>
      <c r="AY17" s="27"/>
      <c r="AZ17" s="27"/>
      <c r="BA17" s="202"/>
      <c r="BB17" s="202"/>
      <c r="BC17" s="260"/>
      <c r="BD17" s="260"/>
      <c r="BE17" s="260"/>
      <c r="BF17" s="260"/>
      <c r="BG17" s="260"/>
      <c r="BH17" s="260"/>
      <c r="BI17" s="27"/>
      <c r="BJ17" s="27"/>
      <c r="BK17" s="27"/>
      <c r="BL17" s="27"/>
      <c r="BM17" s="27"/>
      <c r="BN17" s="27"/>
    </row>
    <row r="18" spans="3:66" x14ac:dyDescent="0.25">
      <c r="C18" s="24"/>
      <c r="D18" s="257" t="s">
        <v>264</v>
      </c>
      <c r="E18" s="256"/>
      <c r="F18" s="255"/>
      <c r="G18" s="277">
        <v>113710</v>
      </c>
      <c r="H18" s="277">
        <v>103000</v>
      </c>
      <c r="I18" s="254">
        <v>-3.7094999999999996E-2</v>
      </c>
      <c r="J18" s="254">
        <v>-0.3465177010658127</v>
      </c>
      <c r="K18" s="254">
        <v>-0.234765</v>
      </c>
      <c r="L18" s="254">
        <v>0.50369307862112622</v>
      </c>
      <c r="M18" s="254">
        <v>0.48854700000000001</v>
      </c>
      <c r="N18" s="254">
        <v>1.3137770964358042</v>
      </c>
      <c r="O18" s="254">
        <v>0.31859500000000002</v>
      </c>
      <c r="P18" s="254">
        <v>1.2021414470438374</v>
      </c>
      <c r="Q18" s="276">
        <v>38.800190000000001</v>
      </c>
      <c r="R18" s="253">
        <v>34.577580775451899</v>
      </c>
      <c r="S18" s="253">
        <v>8.2148000000000003</v>
      </c>
      <c r="T18" s="253">
        <v>10.230378416173231</v>
      </c>
      <c r="U18" s="253">
        <v>85.832650000000001</v>
      </c>
      <c r="V18" s="275">
        <v>22.836734656915297</v>
      </c>
      <c r="W18" s="2"/>
      <c r="Y18" s="24"/>
      <c r="Z18" s="257" t="s">
        <v>264</v>
      </c>
      <c r="AA18" s="256"/>
      <c r="AB18" s="255"/>
      <c r="AC18" s="277">
        <f t="shared" ref="AC18:AR18" si="0">MAX(AC10:AC16)</f>
        <v>129979.18471</v>
      </c>
      <c r="AD18" s="277">
        <f t="shared" si="0"/>
        <v>172393.18471</v>
      </c>
      <c r="AE18" s="254">
        <f t="shared" si="0"/>
        <v>0.28479199999999999</v>
      </c>
      <c r="AF18" s="254">
        <f t="shared" si="0"/>
        <v>0.26827198442174782</v>
      </c>
      <c r="AG18" s="254">
        <f t="shared" si="0"/>
        <v>0.94067400000000001</v>
      </c>
      <c r="AH18" s="254">
        <f t="shared" si="0"/>
        <v>0.30977193904361511</v>
      </c>
      <c r="AI18" s="254">
        <f t="shared" si="0"/>
        <v>0.28053100000000003</v>
      </c>
      <c r="AJ18" s="254">
        <f t="shared" si="0"/>
        <v>0.29106114754641993</v>
      </c>
      <c r="AK18" s="254">
        <f t="shared" si="0"/>
        <v>0.15246799999999999</v>
      </c>
      <c r="AL18" s="254">
        <f t="shared" si="0"/>
        <v>0.20242258666034044</v>
      </c>
      <c r="AM18" s="276">
        <f t="shared" si="0"/>
        <v>16.461069999999999</v>
      </c>
      <c r="AN18" s="253">
        <f t="shared" si="0"/>
        <v>30.819232691225288</v>
      </c>
      <c r="AO18" s="253">
        <f t="shared" si="0"/>
        <v>2.8267600000000002</v>
      </c>
      <c r="AP18" s="253">
        <f t="shared" si="0"/>
        <v>7.0938380027498669</v>
      </c>
      <c r="AQ18" s="253">
        <f t="shared" si="0"/>
        <v>63.46893</v>
      </c>
      <c r="AR18" s="275">
        <f t="shared" si="0"/>
        <v>38.06344748498806</v>
      </c>
      <c r="AU18" s="24"/>
      <c r="AV18" s="257" t="s">
        <v>264</v>
      </c>
      <c r="AW18" s="256"/>
      <c r="AX18" s="255"/>
      <c r="AY18" s="277">
        <f t="shared" ref="AY18:BN18" si="1">MAX(AY10:AY16)</f>
        <v>159578.88610999999</v>
      </c>
      <c r="AZ18" s="277">
        <f t="shared" si="1"/>
        <v>169888.88610999999</v>
      </c>
      <c r="BA18" s="254">
        <f t="shared" si="1"/>
        <v>0.19067000000000001</v>
      </c>
      <c r="BB18" s="254">
        <f t="shared" si="1"/>
        <v>0.16134879412350056</v>
      </c>
      <c r="BC18" s="254">
        <f t="shared" si="1"/>
        <v>0.22055499999999997</v>
      </c>
      <c r="BD18" s="254">
        <f t="shared" si="1"/>
        <v>0.68387750556792848</v>
      </c>
      <c r="BE18" s="254">
        <f t="shared" si="1"/>
        <v>0.36213099999999998</v>
      </c>
      <c r="BF18" s="254">
        <f t="shared" si="1"/>
        <v>0.36653876959791054</v>
      </c>
      <c r="BG18" s="254">
        <f t="shared" si="1"/>
        <v>0.17795100000000003</v>
      </c>
      <c r="BH18" s="254">
        <f t="shared" si="1"/>
        <v>0.25151357300210986</v>
      </c>
      <c r="BI18" s="276">
        <f t="shared" si="1"/>
        <v>25.128550000000001</v>
      </c>
      <c r="BJ18" s="253">
        <f t="shared" si="1"/>
        <v>24.998032555108455</v>
      </c>
      <c r="BK18" s="253">
        <f t="shared" si="1"/>
        <v>9.3873300000000004</v>
      </c>
      <c r="BL18" s="253">
        <f t="shared" si="1"/>
        <v>9.1627480951179638</v>
      </c>
      <c r="BM18" s="253">
        <f t="shared" si="1"/>
        <v>45.20111</v>
      </c>
      <c r="BN18" s="275">
        <f t="shared" si="1"/>
        <v>54.208209895473338</v>
      </c>
    </row>
    <row r="19" spans="3:66" x14ac:dyDescent="0.25">
      <c r="C19" s="24"/>
      <c r="D19" s="248" t="s">
        <v>263</v>
      </c>
      <c r="E19" s="247"/>
      <c r="F19" s="249"/>
      <c r="G19" s="274">
        <v>35780.484542000006</v>
      </c>
      <c r="H19" s="274">
        <v>31134.384606</v>
      </c>
      <c r="I19" s="246">
        <v>-0.18364625000000001</v>
      </c>
      <c r="J19" s="246">
        <v>-0.4651921833780967</v>
      </c>
      <c r="K19" s="246">
        <v>-0.42519933333333332</v>
      </c>
      <c r="L19" s="246">
        <v>-0.16859531169948225</v>
      </c>
      <c r="M19" s="246">
        <v>0.35013349999999999</v>
      </c>
      <c r="N19" s="246">
        <v>0.63292350390059993</v>
      </c>
      <c r="O19" s="246">
        <v>3.2696249999999989E-2</v>
      </c>
      <c r="P19" s="246">
        <v>0.57142114165197821</v>
      </c>
      <c r="Q19" s="273">
        <v>22.250005000000002</v>
      </c>
      <c r="R19" s="245">
        <v>15.479094661227977</v>
      </c>
      <c r="S19" s="245">
        <v>3.6818733333333333</v>
      </c>
      <c r="T19" s="245">
        <v>7.3241987538713111</v>
      </c>
      <c r="U19" s="245">
        <v>29.4047725</v>
      </c>
      <c r="V19" s="272">
        <v>12.585937617672737</v>
      </c>
      <c r="W19" s="2"/>
      <c r="Y19" s="24"/>
      <c r="Z19" s="248" t="s">
        <v>263</v>
      </c>
      <c r="AA19" s="247"/>
      <c r="AB19" s="249"/>
      <c r="AC19" s="274">
        <f t="shared" ref="AC19:AR19" si="2">AVERAGE(AC10:AC16)</f>
        <v>71835.782454999993</v>
      </c>
      <c r="AD19" s="274">
        <f t="shared" si="2"/>
        <v>86720.26628833334</v>
      </c>
      <c r="AE19" s="246">
        <f t="shared" si="2"/>
        <v>0.10343183333333333</v>
      </c>
      <c r="AF19" s="246">
        <f t="shared" si="2"/>
        <v>9.0083176516546293E-2</v>
      </c>
      <c r="AG19" s="246">
        <f t="shared" si="2"/>
        <v>0.4146725</v>
      </c>
      <c r="AH19" s="246">
        <f t="shared" si="2"/>
        <v>-0.58363705072468697</v>
      </c>
      <c r="AI19" s="246">
        <f t="shared" si="2"/>
        <v>0.13695283333333333</v>
      </c>
      <c r="AJ19" s="246">
        <f t="shared" si="2"/>
        <v>0.15539560335187066</v>
      </c>
      <c r="AK19" s="246">
        <f t="shared" si="2"/>
        <v>5.8402333333333334E-2</v>
      </c>
      <c r="AL19" s="246">
        <f t="shared" si="2"/>
        <v>8.5025162393693843E-2</v>
      </c>
      <c r="AM19" s="273">
        <f t="shared" si="2"/>
        <v>9.1067540000000005</v>
      </c>
      <c r="AN19" s="245">
        <f t="shared" si="2"/>
        <v>17.257650750172328</v>
      </c>
      <c r="AO19" s="245">
        <f t="shared" si="2"/>
        <v>1.6406083333333334</v>
      </c>
      <c r="AP19" s="245">
        <f t="shared" si="2"/>
        <v>2.7139063759951241</v>
      </c>
      <c r="AQ19" s="245">
        <f t="shared" si="2"/>
        <v>20.281439999999996</v>
      </c>
      <c r="AR19" s="272">
        <f t="shared" si="2"/>
        <v>21.594515789762383</v>
      </c>
      <c r="AU19" s="24"/>
      <c r="AV19" s="248" t="s">
        <v>263</v>
      </c>
      <c r="AW19" s="247"/>
      <c r="AX19" s="249"/>
      <c r="AY19" s="274">
        <f t="shared" ref="AY19:BN19" si="3">AVERAGE(AY10:AY16)</f>
        <v>84668.219700000001</v>
      </c>
      <c r="AZ19" s="274">
        <f t="shared" si="3"/>
        <v>98970.553533333354</v>
      </c>
      <c r="BA19" s="246">
        <f t="shared" si="3"/>
        <v>5.7374166666666671E-2</v>
      </c>
      <c r="BB19" s="246">
        <f t="shared" si="3"/>
        <v>7.0353941344448515E-2</v>
      </c>
      <c r="BC19" s="246">
        <f t="shared" si="3"/>
        <v>2.4313833333333337E-2</v>
      </c>
      <c r="BD19" s="246">
        <f t="shared" si="3"/>
        <v>8.1959500237412719E-2</v>
      </c>
      <c r="BE19" s="246">
        <f t="shared" si="3"/>
        <v>0.2477345</v>
      </c>
      <c r="BF19" s="246">
        <f t="shared" si="3"/>
        <v>0.25115620759480345</v>
      </c>
      <c r="BG19" s="246">
        <f t="shared" si="3"/>
        <v>0.12470983333333334</v>
      </c>
      <c r="BH19" s="246">
        <f t="shared" si="3"/>
        <v>0.15695896203933532</v>
      </c>
      <c r="BI19" s="273">
        <f t="shared" si="3"/>
        <v>15.054556666666665</v>
      </c>
      <c r="BJ19" s="245">
        <f t="shared" si="3"/>
        <v>19.917704743955753</v>
      </c>
      <c r="BK19" s="245">
        <f t="shared" si="3"/>
        <v>3.837745</v>
      </c>
      <c r="BL19" s="245">
        <f t="shared" si="3"/>
        <v>5.0890011300458626</v>
      </c>
      <c r="BM19" s="245">
        <f t="shared" si="3"/>
        <v>23.621870000000001</v>
      </c>
      <c r="BN19" s="272">
        <f t="shared" si="3"/>
        <v>32.786853060509863</v>
      </c>
    </row>
    <row r="20" spans="3:66" x14ac:dyDescent="0.25">
      <c r="C20" s="24"/>
      <c r="D20" s="248" t="s">
        <v>262</v>
      </c>
      <c r="E20" s="247"/>
      <c r="F20" s="247"/>
      <c r="G20" s="274">
        <v>13491.59389</v>
      </c>
      <c r="H20" s="274">
        <v>17747.531139999999</v>
      </c>
      <c r="I20" s="246">
        <v>-0.14074300000000001</v>
      </c>
      <c r="J20" s="246">
        <v>-0.47652608909131572</v>
      </c>
      <c r="K20" s="246">
        <v>-0.51808200000000004</v>
      </c>
      <c r="L20" s="246">
        <v>-0.33209813831928375</v>
      </c>
      <c r="M20" s="246">
        <v>0.35013349999999999</v>
      </c>
      <c r="N20" s="246">
        <v>0.46102476690234229</v>
      </c>
      <c r="O20" s="246">
        <v>0.13484649999999998</v>
      </c>
      <c r="P20" s="246">
        <v>0.43445476700997371</v>
      </c>
      <c r="Q20" s="273">
        <v>22.250004999999998</v>
      </c>
      <c r="R20" s="245">
        <v>11.859703208232032</v>
      </c>
      <c r="S20" s="245">
        <v>2.8308200000000001</v>
      </c>
      <c r="T20" s="245">
        <v>7.3241987538713111</v>
      </c>
      <c r="U20" s="245">
        <v>15.893219999999999</v>
      </c>
      <c r="V20" s="272">
        <v>10.16580454608626</v>
      </c>
      <c r="W20" s="2"/>
      <c r="Y20" s="24"/>
      <c r="Z20" s="248" t="s">
        <v>262</v>
      </c>
      <c r="AA20" s="247"/>
      <c r="AB20" s="247"/>
      <c r="AC20" s="274">
        <f t="shared" ref="AC20:AR20" si="4">MEDIAN(AC10:AC16)</f>
        <v>79327.602859999999</v>
      </c>
      <c r="AD20" s="274">
        <f t="shared" si="4"/>
        <v>88943.102860000014</v>
      </c>
      <c r="AE20" s="246">
        <f t="shared" si="4"/>
        <v>7.8764499999999987E-2</v>
      </c>
      <c r="AF20" s="246">
        <f t="shared" si="4"/>
        <v>5.0245350288697144E-2</v>
      </c>
      <c r="AG20" s="246">
        <f t="shared" si="4"/>
        <v>0.43208399999999997</v>
      </c>
      <c r="AH20" s="246">
        <f t="shared" si="4"/>
        <v>-0.18521987642728777</v>
      </c>
      <c r="AI20" s="246">
        <f t="shared" si="4"/>
        <v>0.14763999999999999</v>
      </c>
      <c r="AJ20" s="246">
        <f t="shared" si="4"/>
        <v>0.15568117318519226</v>
      </c>
      <c r="AK20" s="246">
        <f t="shared" si="4"/>
        <v>9.2485999999999985E-2</v>
      </c>
      <c r="AL20" s="246">
        <f t="shared" si="4"/>
        <v>0.10152294620790997</v>
      </c>
      <c r="AM20" s="273">
        <f t="shared" si="4"/>
        <v>10.019970000000001</v>
      </c>
      <c r="AN20" s="245">
        <f t="shared" si="4"/>
        <v>13.415392350311915</v>
      </c>
      <c r="AO20" s="245">
        <f t="shared" si="4"/>
        <v>1.7294399999999999</v>
      </c>
      <c r="AP20" s="245">
        <f t="shared" si="4"/>
        <v>2.1093364343746774</v>
      </c>
      <c r="AQ20" s="245">
        <f t="shared" si="4"/>
        <v>13.61295</v>
      </c>
      <c r="AR20" s="272">
        <f t="shared" si="4"/>
        <v>20.919526956583937</v>
      </c>
      <c r="AU20" s="24"/>
      <c r="AV20" s="248" t="s">
        <v>262</v>
      </c>
      <c r="AW20" s="247"/>
      <c r="AX20" s="247"/>
      <c r="AY20" s="274">
        <f t="shared" ref="AY20:BN20" si="5">MEDIAN(AY10:AY16)</f>
        <v>87747.448625000005</v>
      </c>
      <c r="AZ20" s="274">
        <f t="shared" si="5"/>
        <v>97098.44862499999</v>
      </c>
      <c r="BA20" s="246">
        <f t="shared" si="5"/>
        <v>7.2762500000000008E-2</v>
      </c>
      <c r="BB20" s="246">
        <f t="shared" si="5"/>
        <v>8.4152723173489652E-2</v>
      </c>
      <c r="BC20" s="246">
        <f t="shared" si="5"/>
        <v>0.131942</v>
      </c>
      <c r="BD20" s="246">
        <f t="shared" si="5"/>
        <v>0.13611629906692402</v>
      </c>
      <c r="BE20" s="246">
        <f t="shared" si="5"/>
        <v>0.26306050000000003</v>
      </c>
      <c r="BF20" s="246">
        <f t="shared" si="5"/>
        <v>0.25971190764599195</v>
      </c>
      <c r="BG20" s="246">
        <f t="shared" si="5"/>
        <v>0.14946899999999999</v>
      </c>
      <c r="BH20" s="246">
        <f t="shared" si="5"/>
        <v>0.16356126932180767</v>
      </c>
      <c r="BI20" s="273">
        <f t="shared" si="5"/>
        <v>16.63175</v>
      </c>
      <c r="BJ20" s="245">
        <f t="shared" si="5"/>
        <v>20.342638651042556</v>
      </c>
      <c r="BK20" s="245">
        <f t="shared" si="5"/>
        <v>3.4253300000000002</v>
      </c>
      <c r="BL20" s="245">
        <f t="shared" si="5"/>
        <v>4.2641315921087619</v>
      </c>
      <c r="BM20" s="245">
        <f t="shared" si="5"/>
        <v>24.433759999999999</v>
      </c>
      <c r="BN20" s="272">
        <f t="shared" si="5"/>
        <v>29.67121723202159</v>
      </c>
    </row>
    <row r="21" spans="3:66" ht="15.75" thickBot="1" x14ac:dyDescent="0.3">
      <c r="C21" s="24"/>
      <c r="D21" s="241" t="s">
        <v>261</v>
      </c>
      <c r="E21" s="240"/>
      <c r="F21" s="240"/>
      <c r="G21" s="271">
        <v>9455</v>
      </c>
      <c r="H21" s="271">
        <v>0</v>
      </c>
      <c r="I21" s="239">
        <v>-0.41600399999999998</v>
      </c>
      <c r="J21" s="239">
        <v>-0.56119885426394256</v>
      </c>
      <c r="K21" s="239">
        <v>-0.52275099999999997</v>
      </c>
      <c r="L21" s="239">
        <v>-0.51387804878048771</v>
      </c>
      <c r="M21" s="239">
        <v>0.21172000000000002</v>
      </c>
      <c r="N21" s="239">
        <v>0.29586738536191093</v>
      </c>
      <c r="O21" s="239">
        <v>-0.45750300000000005</v>
      </c>
      <c r="P21" s="239">
        <v>0.21463358554412823</v>
      </c>
      <c r="Q21" s="270">
        <v>5.6998199999999999</v>
      </c>
      <c r="R21" s="238">
        <v>0</v>
      </c>
      <c r="S21" s="238">
        <v>0</v>
      </c>
      <c r="T21" s="238">
        <v>4.4180190915693922</v>
      </c>
      <c r="U21" s="238" t="s">
        <v>13</v>
      </c>
      <c r="V21" s="269">
        <v>7.1754067216031334</v>
      </c>
      <c r="W21" s="2"/>
      <c r="Y21" s="24"/>
      <c r="Z21" s="241" t="s">
        <v>261</v>
      </c>
      <c r="AA21" s="240"/>
      <c r="AB21" s="240"/>
      <c r="AC21" s="271">
        <f t="shared" ref="AC21:AR21" si="6">MIN(AC10:AC16)</f>
        <v>6040.9355599999999</v>
      </c>
      <c r="AD21" s="271">
        <f t="shared" si="6"/>
        <v>5561.8385600000001</v>
      </c>
      <c r="AE21" s="239">
        <f t="shared" si="6"/>
        <v>-7.4287999999999993E-2</v>
      </c>
      <c r="AF21" s="239">
        <f t="shared" si="6"/>
        <v>-1.4799398896709226E-2</v>
      </c>
      <c r="AG21" s="239">
        <f t="shared" si="6"/>
        <v>0.124316</v>
      </c>
      <c r="AH21" s="239">
        <f t="shared" si="6"/>
        <v>-2.5665133721199402</v>
      </c>
      <c r="AI21" s="239">
        <f t="shared" si="6"/>
        <v>-2.9094999999999999E-2</v>
      </c>
      <c r="AJ21" s="239">
        <f t="shared" si="6"/>
        <v>7.5836172983072728E-2</v>
      </c>
      <c r="AK21" s="239">
        <f t="shared" si="6"/>
        <v>-0.14303000000000002</v>
      </c>
      <c r="AL21" s="239">
        <f t="shared" si="6"/>
        <v>-5.4210976329000351E-3</v>
      </c>
      <c r="AM21" s="270">
        <f t="shared" si="6"/>
        <v>0</v>
      </c>
      <c r="AN21" s="238">
        <f t="shared" si="6"/>
        <v>10.442453685118846</v>
      </c>
      <c r="AO21" s="238">
        <f t="shared" si="6"/>
        <v>0</v>
      </c>
      <c r="AP21" s="238">
        <f t="shared" si="6"/>
        <v>0.99377166398030303</v>
      </c>
      <c r="AQ21" s="238">
        <f t="shared" si="6"/>
        <v>0</v>
      </c>
      <c r="AR21" s="269">
        <f t="shared" si="6"/>
        <v>13.436305184315913</v>
      </c>
      <c r="AU21" s="24"/>
      <c r="AV21" s="241" t="s">
        <v>261</v>
      </c>
      <c r="AW21" s="240"/>
      <c r="AX21" s="240"/>
      <c r="AY21" s="271">
        <f t="shared" ref="AY21:BN21" si="7">MIN(AY10:AY16)</f>
        <v>6040.9355599999999</v>
      </c>
      <c r="AZ21" s="271">
        <f t="shared" si="7"/>
        <v>5561.8385600000001</v>
      </c>
      <c r="BA21" s="239">
        <f t="shared" si="7"/>
        <v>-8.3476999999999996E-2</v>
      </c>
      <c r="BB21" s="239">
        <f t="shared" si="7"/>
        <v>-3.6353036963538865E-2</v>
      </c>
      <c r="BC21" s="239">
        <f t="shared" si="7"/>
        <v>-0.342387</v>
      </c>
      <c r="BD21" s="239">
        <f t="shared" si="7"/>
        <v>-0.57771187139860958</v>
      </c>
      <c r="BE21" s="239">
        <f t="shared" si="7"/>
        <v>8.6125000000000007E-2</v>
      </c>
      <c r="BF21" s="239">
        <f t="shared" si="7"/>
        <v>0.10098877292986558</v>
      </c>
      <c r="BG21" s="239">
        <f t="shared" si="7"/>
        <v>-3.1019999999999999E-2</v>
      </c>
      <c r="BH21" s="239">
        <f t="shared" si="7"/>
        <v>2.7997383350577984E-2</v>
      </c>
      <c r="BI21" s="270">
        <f t="shared" si="7"/>
        <v>0</v>
      </c>
      <c r="BJ21" s="238">
        <f t="shared" si="7"/>
        <v>13.364261803244904</v>
      </c>
      <c r="BK21" s="238">
        <f t="shared" si="7"/>
        <v>0</v>
      </c>
      <c r="BL21" s="238">
        <f t="shared" si="7"/>
        <v>2.1552540183700164</v>
      </c>
      <c r="BM21" s="238">
        <f t="shared" si="7"/>
        <v>0</v>
      </c>
      <c r="BN21" s="269">
        <f t="shared" si="7"/>
        <v>19.414044738313191</v>
      </c>
    </row>
    <row r="22" spans="3:66" x14ac:dyDescent="0.25">
      <c r="C22" s="2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Y22" s="24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U22" s="24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</row>
    <row r="23" spans="3:66" ht="16.5" x14ac:dyDescent="0.35">
      <c r="C23" s="24" t="s">
        <v>6</v>
      </c>
      <c r="D23" s="216" t="s">
        <v>298</v>
      </c>
      <c r="E23" s="216"/>
      <c r="F23" s="216"/>
      <c r="G23" s="216" t="s">
        <v>297</v>
      </c>
      <c r="H23" s="216"/>
      <c r="I23" s="216"/>
      <c r="J23" s="216" t="s">
        <v>296</v>
      </c>
      <c r="K23" s="216"/>
      <c r="L23" s="216"/>
      <c r="M23" s="438" t="s">
        <v>300</v>
      </c>
      <c r="N23" s="438"/>
      <c r="O23" s="438"/>
      <c r="P23" s="438" t="s">
        <v>299</v>
      </c>
      <c r="Q23" s="438"/>
      <c r="R23" s="438"/>
      <c r="S23" s="216" t="s">
        <v>295</v>
      </c>
      <c r="T23" s="216"/>
      <c r="U23" s="216" t="s">
        <v>294</v>
      </c>
      <c r="V23" s="216"/>
      <c r="W23" s="2"/>
      <c r="Y23" s="24" t="s">
        <v>6</v>
      </c>
      <c r="Z23" s="216" t="s">
        <v>298</v>
      </c>
      <c r="AA23" s="216"/>
      <c r="AB23" s="216"/>
      <c r="AC23" s="216" t="s">
        <v>297</v>
      </c>
      <c r="AD23" s="216"/>
      <c r="AE23" s="216"/>
      <c r="AF23" s="216" t="s">
        <v>296</v>
      </c>
      <c r="AG23" s="216"/>
      <c r="AH23" s="216"/>
      <c r="AI23" s="216" t="e">
        <f>TEXT(Last_FYE,"yyyy")&amp;"A"&amp;" Leverage Analysis"</f>
        <v>#REF!</v>
      </c>
      <c r="AJ23" s="216"/>
      <c r="AK23" s="216"/>
      <c r="AL23" s="216" t="e">
        <f>TEXT(Last_FYE,"yyyy")&amp;"A"&amp;" Coverage Analysis"</f>
        <v>#REF!</v>
      </c>
      <c r="AM23" s="216"/>
      <c r="AN23" s="216"/>
      <c r="AO23" s="216" t="s">
        <v>295</v>
      </c>
      <c r="AP23" s="216"/>
      <c r="AQ23" s="216" t="s">
        <v>294</v>
      </c>
      <c r="AR23" s="216"/>
      <c r="AU23" s="24" t="s">
        <v>6</v>
      </c>
      <c r="AV23" s="216" t="s">
        <v>298</v>
      </c>
      <c r="AW23" s="216"/>
      <c r="AX23" s="216"/>
      <c r="AY23" s="216" t="s">
        <v>297</v>
      </c>
      <c r="AZ23" s="216"/>
      <c r="BA23" s="216"/>
      <c r="BB23" s="216" t="s">
        <v>296</v>
      </c>
      <c r="BC23" s="216"/>
      <c r="BD23" s="216"/>
      <c r="BE23" s="216" t="e">
        <f>TEXT(Last_FYE,"yyyy")&amp;"A"&amp;" Leverage Analysis"</f>
        <v>#REF!</v>
      </c>
      <c r="BF23" s="216"/>
      <c r="BG23" s="216"/>
      <c r="BH23" s="216" t="e">
        <f>TEXT(Last_FYE,"yyyy")&amp;"A"&amp;" Coverage Analysis"</f>
        <v>#REF!</v>
      </c>
      <c r="BI23" s="216"/>
      <c r="BJ23" s="216"/>
      <c r="BK23" s="216" t="s">
        <v>295</v>
      </c>
      <c r="BL23" s="216"/>
      <c r="BM23" s="216" t="s">
        <v>294</v>
      </c>
      <c r="BN23" s="216"/>
    </row>
    <row r="24" spans="3:66" ht="16.5" x14ac:dyDescent="0.35">
      <c r="C24" s="24"/>
      <c r="D24" s="2"/>
      <c r="E24" s="2"/>
      <c r="F24" s="2"/>
      <c r="G24" s="2"/>
      <c r="H24" s="2"/>
      <c r="I24" s="2"/>
      <c r="J24" s="2"/>
      <c r="K24" s="2"/>
      <c r="L24" s="2"/>
      <c r="M24" s="216" t="s">
        <v>293</v>
      </c>
      <c r="N24" s="216"/>
      <c r="O24" s="216"/>
      <c r="P24" s="2"/>
      <c r="Q24" s="2"/>
      <c r="R24" s="2"/>
      <c r="S24" s="2"/>
      <c r="T24" s="2"/>
      <c r="U24" s="2"/>
      <c r="V24" s="2"/>
      <c r="W24" s="2"/>
      <c r="Y24" s="24"/>
      <c r="Z24" s="2"/>
      <c r="AA24" s="2"/>
      <c r="AB24" s="2"/>
      <c r="AC24" s="2"/>
      <c r="AD24" s="2"/>
      <c r="AE24" s="2"/>
      <c r="AF24" s="2"/>
      <c r="AG24" s="2"/>
      <c r="AH24" s="2"/>
      <c r="AI24" s="216" t="s">
        <v>293</v>
      </c>
      <c r="AJ24" s="216"/>
      <c r="AK24" s="216"/>
      <c r="AL24" s="2"/>
      <c r="AM24" s="2"/>
      <c r="AN24" s="2"/>
      <c r="AO24" s="2"/>
      <c r="AP24" s="2"/>
      <c r="AQ24" s="2"/>
      <c r="AR24" s="2"/>
      <c r="AU24" s="24"/>
      <c r="AV24" s="2"/>
      <c r="AW24" s="2"/>
      <c r="AX24" s="2"/>
      <c r="AY24" s="2"/>
      <c r="AZ24" s="2"/>
      <c r="BA24" s="2"/>
      <c r="BB24" s="2"/>
      <c r="BC24" s="2"/>
      <c r="BD24" s="2"/>
      <c r="BE24" s="216" t="s">
        <v>293</v>
      </c>
      <c r="BF24" s="216"/>
      <c r="BG24" s="216"/>
      <c r="BH24" s="2"/>
      <c r="BI24" s="2"/>
      <c r="BJ24" s="2"/>
      <c r="BK24" s="2"/>
      <c r="BL24" s="2"/>
      <c r="BM24" s="2"/>
      <c r="BN24" s="2"/>
    </row>
    <row r="25" spans="3:66" x14ac:dyDescent="0.25">
      <c r="C25" s="24"/>
      <c r="D25" s="27"/>
      <c r="E25" s="27"/>
      <c r="F25" s="27"/>
      <c r="G25" s="27"/>
      <c r="H25" s="27"/>
      <c r="I25" s="27" t="s">
        <v>292</v>
      </c>
      <c r="J25" s="27"/>
      <c r="K25" s="27"/>
      <c r="L25" s="27"/>
      <c r="M25" s="27"/>
      <c r="N25" s="27"/>
      <c r="O25" s="27"/>
      <c r="P25" s="27" t="s">
        <v>291</v>
      </c>
      <c r="Q25" s="128" t="s">
        <v>290</v>
      </c>
      <c r="R25" s="27" t="s">
        <v>289</v>
      </c>
      <c r="S25" s="27" t="s">
        <v>288</v>
      </c>
      <c r="T25" s="27" t="s">
        <v>197</v>
      </c>
      <c r="U25" s="27"/>
      <c r="V25" s="27"/>
      <c r="W25" s="2"/>
      <c r="Y25" s="24"/>
      <c r="Z25" s="27"/>
      <c r="AA25" s="27"/>
      <c r="AB25" s="27"/>
      <c r="AC25" s="27"/>
      <c r="AD25" s="27"/>
      <c r="AE25" s="27" t="s">
        <v>292</v>
      </c>
      <c r="AF25" s="27"/>
      <c r="AG25" s="27"/>
      <c r="AH25" s="27"/>
      <c r="AI25" s="27"/>
      <c r="AJ25" s="27"/>
      <c r="AK25" s="27"/>
      <c r="AL25" s="27" t="s">
        <v>291</v>
      </c>
      <c r="AM25" s="128" t="s">
        <v>290</v>
      </c>
      <c r="AN25" s="27" t="s">
        <v>289</v>
      </c>
      <c r="AO25" s="27" t="s">
        <v>288</v>
      </c>
      <c r="AP25" s="27" t="s">
        <v>197</v>
      </c>
      <c r="AQ25" s="27"/>
      <c r="AR25" s="27"/>
      <c r="AU25" s="24"/>
      <c r="AV25" s="27"/>
      <c r="AW25" s="27"/>
      <c r="AX25" s="27"/>
      <c r="AY25" s="27"/>
      <c r="AZ25" s="27"/>
      <c r="BA25" s="27" t="s">
        <v>292</v>
      </c>
      <c r="BB25" s="27"/>
      <c r="BC25" s="27"/>
      <c r="BD25" s="27"/>
      <c r="BE25" s="27"/>
      <c r="BF25" s="27"/>
      <c r="BG25" s="27"/>
      <c r="BH25" s="27" t="s">
        <v>291</v>
      </c>
      <c r="BI25" s="128" t="s">
        <v>290</v>
      </c>
      <c r="BJ25" s="27" t="s">
        <v>289</v>
      </c>
      <c r="BK25" s="27" t="s">
        <v>288</v>
      </c>
      <c r="BL25" s="27" t="s">
        <v>197</v>
      </c>
      <c r="BM25" s="27"/>
      <c r="BN25" s="27"/>
    </row>
    <row r="26" spans="3:66" ht="16.5" x14ac:dyDescent="0.35">
      <c r="C26" s="24"/>
      <c r="D26" s="11"/>
      <c r="E26" s="27"/>
      <c r="F26" s="215" t="s">
        <v>23</v>
      </c>
      <c r="G26" s="215" t="s">
        <v>47</v>
      </c>
      <c r="H26" s="215" t="s">
        <v>287</v>
      </c>
      <c r="I26" s="215" t="s">
        <v>286</v>
      </c>
      <c r="J26" s="215" t="s">
        <v>285</v>
      </c>
      <c r="K26" s="215" t="s">
        <v>284</v>
      </c>
      <c r="L26" s="215" t="s">
        <v>283</v>
      </c>
      <c r="M26" s="215" t="s">
        <v>282</v>
      </c>
      <c r="N26" s="215" t="s">
        <v>281</v>
      </c>
      <c r="O26" s="215" t="s">
        <v>280</v>
      </c>
      <c r="P26" s="215" t="s">
        <v>278</v>
      </c>
      <c r="Q26" s="268" t="s">
        <v>279</v>
      </c>
      <c r="R26" s="215" t="s">
        <v>278</v>
      </c>
      <c r="S26" s="215" t="s">
        <v>277</v>
      </c>
      <c r="T26" s="215" t="s">
        <v>277</v>
      </c>
      <c r="U26" s="215" t="s">
        <v>258</v>
      </c>
      <c r="V26" s="215" t="s">
        <v>257</v>
      </c>
      <c r="W26" s="2"/>
      <c r="Y26" s="24"/>
      <c r="Z26" s="11"/>
      <c r="AA26" s="27"/>
      <c r="AB26" s="215" t="s">
        <v>23</v>
      </c>
      <c r="AC26" s="215" t="s">
        <v>47</v>
      </c>
      <c r="AD26" s="215" t="s">
        <v>287</v>
      </c>
      <c r="AE26" s="215" t="s">
        <v>286</v>
      </c>
      <c r="AF26" s="215" t="s">
        <v>285</v>
      </c>
      <c r="AG26" s="215" t="s">
        <v>284</v>
      </c>
      <c r="AH26" s="215" t="s">
        <v>283</v>
      </c>
      <c r="AI26" s="215" t="s">
        <v>282</v>
      </c>
      <c r="AJ26" s="215" t="s">
        <v>281</v>
      </c>
      <c r="AK26" s="215" t="s">
        <v>280</v>
      </c>
      <c r="AL26" s="215" t="s">
        <v>278</v>
      </c>
      <c r="AM26" s="268" t="s">
        <v>279</v>
      </c>
      <c r="AN26" s="215" t="s">
        <v>278</v>
      </c>
      <c r="AO26" s="215" t="s">
        <v>277</v>
      </c>
      <c r="AP26" s="215" t="s">
        <v>277</v>
      </c>
      <c r="AQ26" s="215" t="s">
        <v>258</v>
      </c>
      <c r="AR26" s="215" t="s">
        <v>257</v>
      </c>
      <c r="AU26" s="24"/>
      <c r="AV26" s="11"/>
      <c r="AW26" s="27"/>
      <c r="AX26" s="215" t="s">
        <v>23</v>
      </c>
      <c r="AY26" s="215" t="s">
        <v>47</v>
      </c>
      <c r="AZ26" s="215" t="s">
        <v>287</v>
      </c>
      <c r="BA26" s="215" t="s">
        <v>286</v>
      </c>
      <c r="BB26" s="215" t="s">
        <v>285</v>
      </c>
      <c r="BC26" s="215" t="s">
        <v>284</v>
      </c>
      <c r="BD26" s="215" t="s">
        <v>283</v>
      </c>
      <c r="BE26" s="215" t="s">
        <v>282</v>
      </c>
      <c r="BF26" s="215" t="s">
        <v>281</v>
      </c>
      <c r="BG26" s="215" t="s">
        <v>280</v>
      </c>
      <c r="BH26" s="215" t="s">
        <v>278</v>
      </c>
      <c r="BI26" s="268" t="s">
        <v>279</v>
      </c>
      <c r="BJ26" s="215" t="s">
        <v>278</v>
      </c>
      <c r="BK26" s="215" t="s">
        <v>277</v>
      </c>
      <c r="BL26" s="215" t="s">
        <v>277</v>
      </c>
      <c r="BM26" s="215" t="s">
        <v>258</v>
      </c>
      <c r="BN26" s="215" t="s">
        <v>257</v>
      </c>
    </row>
    <row r="27" spans="3:66" ht="5.0999999999999996" customHeight="1" x14ac:dyDescent="0.25">
      <c r="C27" s="24"/>
      <c r="D27" s="27"/>
      <c r="E27" s="27"/>
      <c r="F27" s="27"/>
      <c r="G27" s="27"/>
      <c r="H27" s="27"/>
      <c r="I27" s="2"/>
      <c r="J27" s="199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"/>
      <c r="Y27" s="24"/>
      <c r="Z27" s="27"/>
      <c r="AA27" s="27"/>
      <c r="AB27" s="27"/>
      <c r="AC27" s="27"/>
      <c r="AD27" s="27"/>
      <c r="AE27" s="2"/>
      <c r="AF27" s="199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U27" s="24"/>
      <c r="AV27" s="27"/>
      <c r="AW27" s="27"/>
      <c r="AX27" s="27"/>
      <c r="AY27" s="27"/>
      <c r="AZ27" s="27"/>
      <c r="BA27" s="2"/>
      <c r="BB27" s="199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</row>
    <row r="28" spans="3:66" x14ac:dyDescent="0.25">
      <c r="C28" s="24"/>
      <c r="D28" s="19" t="s">
        <v>36</v>
      </c>
      <c r="E28" s="20"/>
      <c r="F28" s="263" t="s">
        <v>35</v>
      </c>
      <c r="G28" s="266">
        <v>9.9151000000000003E-2</v>
      </c>
      <c r="H28" s="264">
        <v>1.5491200000000001</v>
      </c>
      <c r="I28" s="266">
        <v>1.2555E-2</v>
      </c>
      <c r="J28" s="267">
        <v>3.9748463703407365E-2</v>
      </c>
      <c r="K28" s="266">
        <v>6.1054999999999998E-2</v>
      </c>
      <c r="L28" s="266">
        <v>1.2982E-2</v>
      </c>
      <c r="M28" s="265">
        <v>0.40637099999999998</v>
      </c>
      <c r="N28" s="265" t="s">
        <v>13</v>
      </c>
      <c r="O28" s="265">
        <v>0.684554</v>
      </c>
      <c r="P28" s="265" t="s">
        <v>13</v>
      </c>
      <c r="Q28" s="265" t="s">
        <v>13</v>
      </c>
      <c r="R28" s="265" t="s">
        <v>13</v>
      </c>
      <c r="S28" s="264">
        <v>0.79859999999999998</v>
      </c>
      <c r="T28" s="264">
        <v>0.89431000000000005</v>
      </c>
      <c r="U28" s="263" t="s">
        <v>266</v>
      </c>
      <c r="V28" s="262" t="s">
        <v>265</v>
      </c>
      <c r="W28" s="2"/>
      <c r="Y28" s="24"/>
      <c r="Z28" s="19" t="e">
        <f>Company_Name</f>
        <v>#REF!</v>
      </c>
      <c r="AA28" s="20"/>
      <c r="AB28" s="263" t="s">
        <v>276</v>
      </c>
      <c r="AC28" s="266">
        <v>0.24602599999999999</v>
      </c>
      <c r="AD28" s="264">
        <v>1.3267899999999999</v>
      </c>
      <c r="AE28" s="266">
        <v>1.5541000000000001E-2</v>
      </c>
      <c r="AF28" s="267">
        <v>0.39441918935110964</v>
      </c>
      <c r="AG28" s="266">
        <v>3.3532639999999998</v>
      </c>
      <c r="AH28" s="266">
        <v>0.153199</v>
      </c>
      <c r="AI28" s="265">
        <v>94.802499999999995</v>
      </c>
      <c r="AJ28" s="265">
        <v>1.9578</v>
      </c>
      <c r="AK28" s="265">
        <v>1824.0083</v>
      </c>
      <c r="AL28" s="265">
        <v>15.353210000000001</v>
      </c>
      <c r="AM28" s="265">
        <v>13.29931</v>
      </c>
      <c r="AN28" s="265">
        <v>12.490830000000001</v>
      </c>
      <c r="AO28" s="264">
        <v>0.27742</v>
      </c>
      <c r="AP28" s="264">
        <v>1.1919900000000001</v>
      </c>
      <c r="AQ28" s="263" t="s">
        <v>267</v>
      </c>
      <c r="AR28" s="262" t="s">
        <v>265</v>
      </c>
      <c r="AU28" s="24"/>
      <c r="AV28" s="19" t="e">
        <f>Company_Name</f>
        <v>#REF!</v>
      </c>
      <c r="AW28" s="20"/>
      <c r="AX28" s="263" t="s">
        <v>276</v>
      </c>
      <c r="AY28" s="266">
        <v>0.24602599999999999</v>
      </c>
      <c r="AZ28" s="264">
        <v>1.3267899999999999</v>
      </c>
      <c r="BA28" s="266">
        <v>1.5541000000000001E-2</v>
      </c>
      <c r="BB28" s="267">
        <v>0.39441918935110964</v>
      </c>
      <c r="BC28" s="266">
        <v>3.3532639999999998</v>
      </c>
      <c r="BD28" s="266">
        <v>0.153199</v>
      </c>
      <c r="BE28" s="265">
        <v>94.802499999999995</v>
      </c>
      <c r="BF28" s="265">
        <v>1.9578</v>
      </c>
      <c r="BG28" s="265">
        <v>1824.0083</v>
      </c>
      <c r="BH28" s="265">
        <v>15.353210000000001</v>
      </c>
      <c r="BI28" s="265">
        <v>13.29931</v>
      </c>
      <c r="BJ28" s="265">
        <v>12.490830000000001</v>
      </c>
      <c r="BK28" s="264">
        <v>0.27742</v>
      </c>
      <c r="BL28" s="264">
        <v>1.1919900000000001</v>
      </c>
      <c r="BM28" s="263" t="s">
        <v>267</v>
      </c>
      <c r="BN28" s="262" t="s">
        <v>265</v>
      </c>
    </row>
    <row r="29" spans="3:66" x14ac:dyDescent="0.25">
      <c r="C29" s="24"/>
      <c r="D29" s="2"/>
      <c r="E29" s="2"/>
      <c r="F29" s="27"/>
      <c r="G29" s="202"/>
      <c r="H29" s="27"/>
      <c r="I29" s="260"/>
      <c r="J29" s="261"/>
      <c r="K29" s="260"/>
      <c r="L29" s="260"/>
      <c r="M29" s="259"/>
      <c r="N29" s="164"/>
      <c r="O29" s="259"/>
      <c r="P29" s="164"/>
      <c r="Q29" s="165"/>
      <c r="R29" s="165"/>
      <c r="S29" s="27"/>
      <c r="T29" s="27"/>
      <c r="U29" s="27"/>
      <c r="V29" s="27"/>
      <c r="W29" s="2"/>
      <c r="Y29" s="24"/>
      <c r="Z29" s="2"/>
      <c r="AA29" s="2"/>
      <c r="AB29" s="27"/>
      <c r="AC29" s="202"/>
      <c r="AD29" s="27"/>
      <c r="AE29" s="260"/>
      <c r="AF29" s="261"/>
      <c r="AG29" s="260"/>
      <c r="AH29" s="260"/>
      <c r="AI29" s="259"/>
      <c r="AJ29" s="164"/>
      <c r="AK29" s="259"/>
      <c r="AL29" s="164"/>
      <c r="AM29" s="165"/>
      <c r="AN29" s="165"/>
      <c r="AO29" s="27"/>
      <c r="AP29" s="27"/>
      <c r="AQ29" s="27"/>
      <c r="AR29" s="27"/>
      <c r="AU29" s="24"/>
      <c r="AV29" s="2"/>
      <c r="AW29" s="2"/>
      <c r="AX29" s="27"/>
      <c r="AY29" s="202"/>
      <c r="AZ29" s="27"/>
      <c r="BA29" s="260"/>
      <c r="BB29" s="261"/>
      <c r="BC29" s="260"/>
      <c r="BD29" s="260"/>
      <c r="BE29" s="259"/>
      <c r="BF29" s="164"/>
      <c r="BG29" s="259"/>
      <c r="BH29" s="164"/>
      <c r="BI29" s="165"/>
      <c r="BJ29" s="165"/>
      <c r="BK29" s="27"/>
      <c r="BL29" s="27"/>
      <c r="BM29" s="27"/>
      <c r="BN29" s="27"/>
    </row>
    <row r="30" spans="3:66" x14ac:dyDescent="0.25">
      <c r="C30" s="24"/>
      <c r="D30" s="2" t="s">
        <v>245</v>
      </c>
      <c r="E30" s="2"/>
      <c r="F30" s="27" t="s">
        <v>199</v>
      </c>
      <c r="G30" s="202">
        <v>0.12224299999999999</v>
      </c>
      <c r="H30" s="201">
        <v>1.65204</v>
      </c>
      <c r="I30" s="202">
        <v>2.8761000000000002E-2</v>
      </c>
      <c r="J30" s="203">
        <v>-0.33191271981476644</v>
      </c>
      <c r="K30" s="202">
        <v>-0.36965400000000004</v>
      </c>
      <c r="L30" s="202">
        <v>-2.3879000000000001E-2</v>
      </c>
      <c r="M30" s="164">
        <v>0.542628</v>
      </c>
      <c r="N30" s="164" t="s">
        <v>13</v>
      </c>
      <c r="O30" s="164">
        <v>1.186407</v>
      </c>
      <c r="P30" s="164" t="s">
        <v>13</v>
      </c>
      <c r="Q30" s="164" t="s">
        <v>13</v>
      </c>
      <c r="R30" s="164" t="s">
        <v>13</v>
      </c>
      <c r="S30" s="201">
        <v>1.0767500000000001</v>
      </c>
      <c r="T30" s="201">
        <v>1.5079199999999999</v>
      </c>
      <c r="U30" s="27" t="s">
        <v>13</v>
      </c>
      <c r="V30" s="27" t="s">
        <v>13</v>
      </c>
      <c r="W30" s="2"/>
      <c r="Y30" s="24"/>
      <c r="Z30" s="2" t="e">
        <f ca="1">Z53</f>
        <v>#NAME?</v>
      </c>
      <c r="AA30" s="2"/>
      <c r="AB30" s="27" t="s">
        <v>242</v>
      </c>
      <c r="AC30" s="202">
        <v>0.14074</v>
      </c>
      <c r="AD30" s="201">
        <v>1.0573999999999999</v>
      </c>
      <c r="AE30" s="202">
        <v>2.3887000000000002E-2</v>
      </c>
      <c r="AF30" s="203">
        <v>0.21877749021799892</v>
      </c>
      <c r="AG30" s="202">
        <v>3.2482000000000004E-2</v>
      </c>
      <c r="AH30" s="202">
        <v>1.7917000000000002E-2</v>
      </c>
      <c r="AI30" s="164">
        <v>31.401499999999999</v>
      </c>
      <c r="AJ30" s="164">
        <v>4.7381599999999997</v>
      </c>
      <c r="AK30" s="164">
        <v>45.775799999999997</v>
      </c>
      <c r="AL30" s="164">
        <v>5.0696000000000003</v>
      </c>
      <c r="AM30" s="164">
        <v>3.79474</v>
      </c>
      <c r="AN30" s="164">
        <v>1.76491</v>
      </c>
      <c r="AO30" s="201">
        <v>0.78071000000000002</v>
      </c>
      <c r="AP30" s="201">
        <v>1.21</v>
      </c>
      <c r="AQ30" s="27" t="s">
        <v>268</v>
      </c>
      <c r="AR30" s="27" t="s">
        <v>270</v>
      </c>
      <c r="AU30" s="24"/>
      <c r="AV30" s="2" t="e">
        <f ca="1">AV53</f>
        <v>#NAME?</v>
      </c>
      <c r="AW30" s="2"/>
      <c r="AX30" s="27" t="s">
        <v>241</v>
      </c>
      <c r="AY30" s="202">
        <v>0.19653999999999999</v>
      </c>
      <c r="AZ30" s="201">
        <v>0.95801999999999998</v>
      </c>
      <c r="BA30" s="202">
        <v>3.0351E-2</v>
      </c>
      <c r="BB30" s="203">
        <v>0.22662902487906014</v>
      </c>
      <c r="BC30" s="202">
        <v>0.46612399999999998</v>
      </c>
      <c r="BD30" s="202">
        <v>0.10926399999999999</v>
      </c>
      <c r="BE30" s="164">
        <v>60.462899999999998</v>
      </c>
      <c r="BF30" s="164">
        <v>2.09659</v>
      </c>
      <c r="BG30" s="164">
        <v>152.92699999999999</v>
      </c>
      <c r="BH30" s="164">
        <v>17.82987</v>
      </c>
      <c r="BI30" s="164">
        <v>14.99244</v>
      </c>
      <c r="BJ30" s="164">
        <v>13.36862</v>
      </c>
      <c r="BK30" s="201">
        <v>1.2424500000000001</v>
      </c>
      <c r="BL30" s="201">
        <v>1.885</v>
      </c>
      <c r="BM30" s="27" t="s">
        <v>272</v>
      </c>
      <c r="BN30" s="27" t="s">
        <v>270</v>
      </c>
    </row>
    <row r="31" spans="3:66" x14ac:dyDescent="0.25">
      <c r="C31" s="24"/>
      <c r="D31" s="2" t="s">
        <v>237</v>
      </c>
      <c r="E31" s="2"/>
      <c r="F31" s="27" t="s">
        <v>234</v>
      </c>
      <c r="G31" s="202">
        <v>0.13830000000000001</v>
      </c>
      <c r="H31" s="201">
        <v>1.2540100000000001</v>
      </c>
      <c r="I31" s="202">
        <v>3.1732999999999997E-2</v>
      </c>
      <c r="J31" s="202">
        <v>2.7917435903217765E-2</v>
      </c>
      <c r="K31" s="202">
        <v>8.8999999999999996E-2</v>
      </c>
      <c r="L31" s="202">
        <v>3.9E-2</v>
      </c>
      <c r="M31" s="164">
        <v>0.71788099999999999</v>
      </c>
      <c r="N31" s="164">
        <v>12.166309999999999</v>
      </c>
      <c r="O31" s="164">
        <v>2.5446119999999999</v>
      </c>
      <c r="P31" s="164">
        <v>3.4837199999999999</v>
      </c>
      <c r="Q31" s="164">
        <v>3.3913700000000002</v>
      </c>
      <c r="R31" s="164">
        <v>2.9700700000000002</v>
      </c>
      <c r="S31" s="201">
        <v>0.57659000000000005</v>
      </c>
      <c r="T31" s="201">
        <v>0.59687999999999997</v>
      </c>
      <c r="U31" s="27" t="s">
        <v>267</v>
      </c>
      <c r="V31" s="27" t="s">
        <v>265</v>
      </c>
      <c r="W31" s="2"/>
      <c r="Y31" s="24"/>
      <c r="Z31" s="2" t="e">
        <f ca="1">Z54</f>
        <v>#NAME?</v>
      </c>
      <c r="AA31" s="2"/>
      <c r="AB31" s="27" t="s">
        <v>233</v>
      </c>
      <c r="AC31" s="202">
        <v>0.14074</v>
      </c>
      <c r="AD31" s="201">
        <v>1.6202799999999999</v>
      </c>
      <c r="AE31" s="202">
        <v>0</v>
      </c>
      <c r="AF31" s="203">
        <v>0.21877749021799892</v>
      </c>
      <c r="AG31" s="202">
        <v>3.2482000000000004E-2</v>
      </c>
      <c r="AH31" s="202">
        <v>-1.6131E-2</v>
      </c>
      <c r="AI31" s="164">
        <v>138.57230000000001</v>
      </c>
      <c r="AJ31" s="164" t="s">
        <v>275</v>
      </c>
      <c r="AK31" s="164" t="s">
        <v>275</v>
      </c>
      <c r="AL31" s="164" t="s">
        <v>275</v>
      </c>
      <c r="AM31" s="164" t="s">
        <v>275</v>
      </c>
      <c r="AN31" s="164" t="s">
        <v>275</v>
      </c>
      <c r="AO31" s="201">
        <v>0.40834999999999999</v>
      </c>
      <c r="AP31" s="201">
        <v>1.3936999999999999</v>
      </c>
      <c r="AQ31" s="27" t="s">
        <v>271</v>
      </c>
      <c r="AR31" s="27" t="s">
        <v>270</v>
      </c>
      <c r="AU31" s="24"/>
      <c r="AV31" s="2" t="e">
        <f ca="1">AV54</f>
        <v>#NAME?</v>
      </c>
      <c r="AW31" s="2"/>
      <c r="AX31" s="27" t="s">
        <v>232</v>
      </c>
      <c r="AY31" s="202">
        <v>0.19653999999999999</v>
      </c>
      <c r="AZ31" s="201">
        <v>1.0765100000000001</v>
      </c>
      <c r="BA31" s="202">
        <v>3.0159999999999996E-3</v>
      </c>
      <c r="BB31" s="203">
        <v>0.22662902487906014</v>
      </c>
      <c r="BC31" s="202">
        <v>2.2750000000000001E-3</v>
      </c>
      <c r="BD31" s="202">
        <v>2.2489999999999997E-3</v>
      </c>
      <c r="BE31" s="164">
        <v>67.793300000000002</v>
      </c>
      <c r="BF31" s="164">
        <v>11.469580000000001</v>
      </c>
      <c r="BG31" s="164">
        <v>210.49520000000001</v>
      </c>
      <c r="BH31" s="164">
        <v>5.1042800000000002</v>
      </c>
      <c r="BI31" s="164">
        <v>2.6646700000000001</v>
      </c>
      <c r="BJ31" s="164" t="s">
        <v>275</v>
      </c>
      <c r="BK31" s="201">
        <v>1.21993</v>
      </c>
      <c r="BL31" s="201">
        <v>1.57684</v>
      </c>
      <c r="BM31" s="27" t="s">
        <v>267</v>
      </c>
      <c r="BN31" s="27" t="s">
        <v>274</v>
      </c>
    </row>
    <row r="32" spans="3:66" x14ac:dyDescent="0.25">
      <c r="C32" s="24"/>
      <c r="D32" s="2" t="s">
        <v>273</v>
      </c>
      <c r="E32" s="2"/>
      <c r="F32" s="27" t="s">
        <v>24</v>
      </c>
      <c r="G32" s="202">
        <v>8.7348999999999996E-2</v>
      </c>
      <c r="H32" s="201">
        <v>1.44373</v>
      </c>
      <c r="I32" s="202">
        <v>4.3570999999999999E-2</v>
      </c>
      <c r="J32" s="202">
        <v>0.19387347881973799</v>
      </c>
      <c r="K32" s="202">
        <v>0.25538100000000002</v>
      </c>
      <c r="L32" s="202">
        <v>0.130797</v>
      </c>
      <c r="M32" s="164">
        <v>0.289906</v>
      </c>
      <c r="N32" s="164" t="s">
        <v>13</v>
      </c>
      <c r="O32" s="164">
        <v>0.40826600000000002</v>
      </c>
      <c r="P32" s="164" t="s">
        <v>13</v>
      </c>
      <c r="Q32" s="164" t="s">
        <v>13</v>
      </c>
      <c r="R32" s="164" t="s">
        <v>13</v>
      </c>
      <c r="S32" s="201" t="s">
        <v>13</v>
      </c>
      <c r="T32" s="201" t="s">
        <v>13</v>
      </c>
      <c r="U32" s="27" t="s">
        <v>272</v>
      </c>
      <c r="V32" s="27" t="s">
        <v>265</v>
      </c>
      <c r="W32" s="2"/>
      <c r="Y32" s="24"/>
      <c r="Z32" s="2" t="e">
        <f ca="1">Z55</f>
        <v>#NAME?</v>
      </c>
      <c r="AA32" s="2"/>
      <c r="AB32" s="27" t="s">
        <v>225</v>
      </c>
      <c r="AC32" s="202">
        <v>0.14074</v>
      </c>
      <c r="AD32" s="201">
        <v>1.00423</v>
      </c>
      <c r="AE32" s="202">
        <v>2.2029999999999998E-2</v>
      </c>
      <c r="AF32" s="203">
        <v>0.21877749021799892</v>
      </c>
      <c r="AG32" s="202">
        <v>0.39946500000000001</v>
      </c>
      <c r="AH32" s="202">
        <v>6.9584000000000007E-2</v>
      </c>
      <c r="AI32" s="205">
        <v>49.722200000000001</v>
      </c>
      <c r="AJ32" s="205">
        <v>1.5284599999999999</v>
      </c>
      <c r="AK32" s="205">
        <v>98.895300000000006</v>
      </c>
      <c r="AL32" s="164">
        <v>10.78947</v>
      </c>
      <c r="AM32" s="164">
        <v>7.6929800000000004</v>
      </c>
      <c r="AN32" s="164">
        <v>7.7719300000000002</v>
      </c>
      <c r="AO32" s="201">
        <v>0.95642000000000005</v>
      </c>
      <c r="AP32" s="201">
        <v>1.0979300000000001</v>
      </c>
      <c r="AQ32" s="27" t="s">
        <v>271</v>
      </c>
      <c r="AR32" s="27" t="s">
        <v>270</v>
      </c>
      <c r="AU32" s="24"/>
      <c r="AV32" s="2" t="e">
        <f ca="1">AV55</f>
        <v>#NAME?</v>
      </c>
      <c r="AW32" s="2"/>
      <c r="AX32" s="27" t="s">
        <v>224</v>
      </c>
      <c r="AY32" s="202">
        <v>0.19078499999999998</v>
      </c>
      <c r="AZ32" s="201">
        <v>1.1858299999999999</v>
      </c>
      <c r="BA32" s="202">
        <v>1.6094000000000001E-2</v>
      </c>
      <c r="BB32" s="203">
        <v>0.20011679501698756</v>
      </c>
      <c r="BC32" s="202">
        <v>0.27636500000000003</v>
      </c>
      <c r="BD32" s="202">
        <v>7.0619000000000001E-2</v>
      </c>
      <c r="BE32" s="205">
        <v>56.602200000000003</v>
      </c>
      <c r="BF32" s="205">
        <v>2.9363700000000001</v>
      </c>
      <c r="BG32" s="205">
        <v>130.4264</v>
      </c>
      <c r="BH32" s="164">
        <v>22.019500000000001</v>
      </c>
      <c r="BI32" s="164">
        <v>19.495819999999998</v>
      </c>
      <c r="BJ32" s="164">
        <v>18.53482</v>
      </c>
      <c r="BK32" s="201">
        <v>1.15815</v>
      </c>
      <c r="BL32" s="201">
        <v>1.4676800000000001</v>
      </c>
      <c r="BM32" s="27" t="s">
        <v>266</v>
      </c>
      <c r="BN32" s="27" t="s">
        <v>265</v>
      </c>
    </row>
    <row r="33" spans="2:66" x14ac:dyDescent="0.25">
      <c r="C33" s="24"/>
      <c r="D33" s="2" t="s">
        <v>269</v>
      </c>
      <c r="E33" s="2"/>
      <c r="F33" s="27" t="s">
        <v>198</v>
      </c>
      <c r="G33" s="202">
        <v>0.243898</v>
      </c>
      <c r="H33" s="201">
        <v>1.69547</v>
      </c>
      <c r="I33" s="202">
        <v>4.5170000000000002E-2</v>
      </c>
      <c r="J33" s="202">
        <v>0.16802015892181518</v>
      </c>
      <c r="K33" s="202">
        <v>0.37116700000000002</v>
      </c>
      <c r="L33" s="202">
        <v>9.0622000000000008E-2</v>
      </c>
      <c r="M33" s="164">
        <v>0.59831299999999998</v>
      </c>
      <c r="N33" s="164">
        <v>1.9103600000000001</v>
      </c>
      <c r="O33" s="164">
        <v>1.4895019999999999</v>
      </c>
      <c r="P33" s="164">
        <v>15.24709</v>
      </c>
      <c r="Q33" s="164">
        <v>15.10521</v>
      </c>
      <c r="R33" s="164">
        <v>14.89068</v>
      </c>
      <c r="S33" s="201">
        <v>2.1054300000000001</v>
      </c>
      <c r="T33" s="201">
        <v>2.1111800000000001</v>
      </c>
      <c r="U33" s="27" t="s">
        <v>268</v>
      </c>
      <c r="V33" s="27" t="s">
        <v>265</v>
      </c>
      <c r="W33" s="2"/>
      <c r="Y33" s="24"/>
      <c r="Z33" s="2" t="e">
        <f ca="1">Z56</f>
        <v>#NAME?</v>
      </c>
      <c r="AA33" s="2"/>
      <c r="AB33" s="27" t="s">
        <v>217</v>
      </c>
      <c r="AC33" s="202">
        <v>0.16356999999999999</v>
      </c>
      <c r="AD33" s="201">
        <v>0.97955999999999999</v>
      </c>
      <c r="AE33" s="202">
        <v>2.8730000000000002E-2</v>
      </c>
      <c r="AF33" s="203">
        <v>0.47399097894209075</v>
      </c>
      <c r="AG33" s="202">
        <v>1.395308</v>
      </c>
      <c r="AH33" s="202">
        <v>0.11113300000000001</v>
      </c>
      <c r="AI33" s="164">
        <v>68.750600000000006</v>
      </c>
      <c r="AJ33" s="164">
        <v>1.2992999999999999</v>
      </c>
      <c r="AK33" s="164">
        <v>220.00659999999999</v>
      </c>
      <c r="AL33" s="164">
        <v>17.299489999999999</v>
      </c>
      <c r="AM33" s="164">
        <v>14.31134</v>
      </c>
      <c r="AN33" s="164">
        <v>15.020300000000001</v>
      </c>
      <c r="AO33" s="201">
        <v>1.05383</v>
      </c>
      <c r="AP33" s="201">
        <v>1.3908</v>
      </c>
      <c r="AQ33" s="27" t="s">
        <v>268</v>
      </c>
      <c r="AR33" s="27" t="s">
        <v>265</v>
      </c>
      <c r="AU33" s="24"/>
      <c r="AV33" s="2" t="e">
        <f ca="1">AV56</f>
        <v>#NAME?</v>
      </c>
      <c r="AW33" s="2"/>
      <c r="AX33" s="27" t="s">
        <v>216</v>
      </c>
      <c r="AY33" s="202">
        <v>0.214669</v>
      </c>
      <c r="AZ33" s="201">
        <v>1.0453399999999999</v>
      </c>
      <c r="BA33" s="202">
        <v>4.7010000000000003E-3</v>
      </c>
      <c r="BB33" s="203">
        <v>6.2702786118550582E-2</v>
      </c>
      <c r="BC33" s="202">
        <v>0.10162599999999999</v>
      </c>
      <c r="BD33" s="202">
        <v>4.5176000000000001E-2</v>
      </c>
      <c r="BE33" s="164">
        <v>48.453000000000003</v>
      </c>
      <c r="BF33" s="164">
        <v>4.8756700000000004</v>
      </c>
      <c r="BG33" s="164">
        <v>93.997900000000001</v>
      </c>
      <c r="BH33" s="164">
        <v>9.2297899999999995</v>
      </c>
      <c r="BI33" s="164">
        <v>9.0872499999999992</v>
      </c>
      <c r="BJ33" s="164">
        <v>6.5376899999999996</v>
      </c>
      <c r="BK33" s="201">
        <v>0.58701999999999999</v>
      </c>
      <c r="BL33" s="201">
        <v>0.71686000000000005</v>
      </c>
      <c r="BM33" s="27" t="s">
        <v>267</v>
      </c>
      <c r="BN33" s="27" t="s">
        <v>265</v>
      </c>
    </row>
    <row r="34" spans="2:66" x14ac:dyDescent="0.25">
      <c r="C34" s="24"/>
      <c r="D34" s="2" t="s">
        <v>212</v>
      </c>
      <c r="E34" s="2"/>
      <c r="F34" s="27" t="s">
        <v>200</v>
      </c>
      <c r="G34" s="202">
        <v>2E-3</v>
      </c>
      <c r="H34" s="201">
        <v>1.28</v>
      </c>
      <c r="I34" s="202">
        <v>5.3999999999999999E-2</v>
      </c>
      <c r="J34" s="202">
        <v>0.59699999999999998</v>
      </c>
      <c r="K34" s="202">
        <v>0.317</v>
      </c>
      <c r="L34" s="202">
        <v>0.254</v>
      </c>
      <c r="M34" s="164" t="s">
        <v>13</v>
      </c>
      <c r="N34" s="164" t="s">
        <v>13</v>
      </c>
      <c r="O34" s="164" t="s">
        <v>13</v>
      </c>
      <c r="P34" s="164" t="s">
        <v>13</v>
      </c>
      <c r="Q34" s="164" t="s">
        <v>13</v>
      </c>
      <c r="R34" s="164" t="s">
        <v>13</v>
      </c>
      <c r="S34" s="164" t="s">
        <v>13</v>
      </c>
      <c r="T34" s="164" t="s">
        <v>13</v>
      </c>
      <c r="U34" s="27" t="s">
        <v>13</v>
      </c>
      <c r="V34" s="27" t="s">
        <v>13</v>
      </c>
      <c r="W34" s="2"/>
      <c r="Y34" s="24"/>
      <c r="Z34" s="2" t="e">
        <f ca="1">Z57</f>
        <v>#NAME?</v>
      </c>
      <c r="AA34" s="2"/>
      <c r="AB34" s="27" t="s">
        <v>208</v>
      </c>
      <c r="AC34" s="202">
        <v>0.14458099999999999</v>
      </c>
      <c r="AD34" s="201">
        <v>0.83875999999999995</v>
      </c>
      <c r="AE34" s="202">
        <v>1.7212999999999999E-2</v>
      </c>
      <c r="AF34" s="203">
        <v>0.17260347844787285</v>
      </c>
      <c r="AG34" s="202">
        <v>0.43554799999999999</v>
      </c>
      <c r="AH34" s="202">
        <v>6.3013E-2</v>
      </c>
      <c r="AI34" s="164">
        <v>61.089399999999998</v>
      </c>
      <c r="AJ34" s="164">
        <v>2.7975400000000001</v>
      </c>
      <c r="AK34" s="164">
        <v>156.99969999999999</v>
      </c>
      <c r="AL34" s="164">
        <v>10.011799999999999</v>
      </c>
      <c r="AM34" s="164">
        <v>7.6172000000000004</v>
      </c>
      <c r="AN34" s="164">
        <v>7.1315299999999997</v>
      </c>
      <c r="AO34" s="201">
        <v>1.2881</v>
      </c>
      <c r="AP34" s="201">
        <v>1.6016699999999999</v>
      </c>
      <c r="AQ34" s="27" t="s">
        <v>267</v>
      </c>
      <c r="AR34" s="27" t="s">
        <v>265</v>
      </c>
      <c r="AU34" s="24"/>
      <c r="AV34" s="2" t="e">
        <f ca="1">AV57</f>
        <v>#NAME?</v>
      </c>
      <c r="AW34" s="2"/>
      <c r="AX34" s="27" t="s">
        <v>206</v>
      </c>
      <c r="AY34" s="202">
        <v>0.14775099999999999</v>
      </c>
      <c r="AZ34" s="201">
        <v>1.5346900000000001</v>
      </c>
      <c r="BA34" s="202">
        <v>1.9279999999999999E-2</v>
      </c>
      <c r="BB34" s="203">
        <v>0.18755553155356769</v>
      </c>
      <c r="BC34" s="202">
        <v>0.27681899999999998</v>
      </c>
      <c r="BD34" s="202">
        <v>8.5174E-2</v>
      </c>
      <c r="BE34" s="164">
        <v>48.6629</v>
      </c>
      <c r="BF34" s="164">
        <v>2.1010200000000001</v>
      </c>
      <c r="BG34" s="164">
        <v>94.790999999999997</v>
      </c>
      <c r="BH34" s="164">
        <v>21.777139999999999</v>
      </c>
      <c r="BI34" s="164">
        <v>18.702860000000001</v>
      </c>
      <c r="BJ34" s="164">
        <v>16.274290000000001</v>
      </c>
      <c r="BK34" s="201">
        <v>1.13656</v>
      </c>
      <c r="BL34" s="201">
        <v>1.5222100000000001</v>
      </c>
      <c r="BM34" s="27" t="s">
        <v>266</v>
      </c>
      <c r="BN34" s="27" t="s">
        <v>265</v>
      </c>
    </row>
    <row r="35" spans="2:66" ht="15.75" thickBot="1" x14ac:dyDescent="0.3">
      <c r="C35" s="24"/>
      <c r="D35" s="2"/>
      <c r="E35" s="2"/>
      <c r="F35" s="27"/>
      <c r="G35" s="202"/>
      <c r="H35" s="27"/>
      <c r="I35" s="260"/>
      <c r="J35" s="260"/>
      <c r="K35" s="260"/>
      <c r="L35" s="260"/>
      <c r="M35" s="259"/>
      <c r="N35" s="27"/>
      <c r="O35" s="258"/>
      <c r="P35" s="164"/>
      <c r="Q35" s="164"/>
      <c r="R35" s="164"/>
      <c r="S35" s="27"/>
      <c r="T35" s="27"/>
      <c r="U35" s="27"/>
      <c r="V35" s="27"/>
      <c r="W35" s="2"/>
      <c r="Y35" s="24"/>
      <c r="Z35" s="2"/>
      <c r="AA35" s="2"/>
      <c r="AB35" s="27"/>
      <c r="AC35" s="202"/>
      <c r="AD35" s="27"/>
      <c r="AE35" s="260"/>
      <c r="AF35" s="260"/>
      <c r="AG35" s="260"/>
      <c r="AH35" s="260"/>
      <c r="AI35" s="259"/>
      <c r="AJ35" s="27"/>
      <c r="AK35" s="258"/>
      <c r="AL35" s="164"/>
      <c r="AM35" s="164"/>
      <c r="AN35" s="164"/>
      <c r="AO35" s="27"/>
      <c r="AP35" s="27"/>
      <c r="AQ35" s="27"/>
      <c r="AR35" s="27"/>
      <c r="AU35" s="24"/>
      <c r="AV35" s="2"/>
      <c r="AW35" s="2"/>
      <c r="AX35" s="27"/>
      <c r="AY35" s="202"/>
      <c r="AZ35" s="27"/>
      <c r="BA35" s="260"/>
      <c r="BB35" s="260"/>
      <c r="BC35" s="260"/>
      <c r="BD35" s="260"/>
      <c r="BE35" s="259"/>
      <c r="BF35" s="27"/>
      <c r="BG35" s="258"/>
      <c r="BH35" s="164"/>
      <c r="BI35" s="164"/>
      <c r="BJ35" s="164"/>
      <c r="BK35" s="27"/>
      <c r="BL35" s="27"/>
      <c r="BM35" s="27"/>
      <c r="BN35" s="27"/>
    </row>
    <row r="36" spans="2:66" x14ac:dyDescent="0.25">
      <c r="C36" s="24"/>
      <c r="D36" s="257" t="s">
        <v>264</v>
      </c>
      <c r="E36" s="256"/>
      <c r="F36" s="255"/>
      <c r="G36" s="254">
        <v>0.243898</v>
      </c>
      <c r="H36" s="252">
        <v>1.69547</v>
      </c>
      <c r="I36" s="254">
        <v>4.5170000000000002E-2</v>
      </c>
      <c r="J36" s="254">
        <v>0.19387347881973799</v>
      </c>
      <c r="K36" s="254">
        <v>0.37116700000000002</v>
      </c>
      <c r="L36" s="254">
        <v>0.130797</v>
      </c>
      <c r="M36" s="253">
        <v>0.71788099999999999</v>
      </c>
      <c r="N36" s="253">
        <v>12.166309999999999</v>
      </c>
      <c r="O36" s="253">
        <v>2.5446119999999999</v>
      </c>
      <c r="P36" s="253">
        <v>15.24709</v>
      </c>
      <c r="Q36" s="253">
        <v>15.10521</v>
      </c>
      <c r="R36" s="253">
        <v>14.89068</v>
      </c>
      <c r="S36" s="252">
        <v>2.1054300000000001</v>
      </c>
      <c r="T36" s="252">
        <v>2.1111800000000001</v>
      </c>
      <c r="U36" s="251"/>
      <c r="V36" s="250"/>
      <c r="W36" s="2"/>
      <c r="Y36" s="24"/>
      <c r="Z36" s="257" t="str">
        <f>Z18</f>
        <v>High</v>
      </c>
      <c r="AA36" s="256"/>
      <c r="AB36" s="255"/>
      <c r="AC36" s="254">
        <f t="shared" ref="AC36:AP36" si="8">MAX(AC28:AC34)</f>
        <v>0.24602599999999999</v>
      </c>
      <c r="AD36" s="252">
        <f t="shared" si="8"/>
        <v>1.6202799999999999</v>
      </c>
      <c r="AE36" s="254">
        <f t="shared" si="8"/>
        <v>2.8730000000000002E-2</v>
      </c>
      <c r="AF36" s="254">
        <f t="shared" si="8"/>
        <v>0.47399097894209075</v>
      </c>
      <c r="AG36" s="254">
        <f t="shared" si="8"/>
        <v>3.3532639999999998</v>
      </c>
      <c r="AH36" s="254">
        <f t="shared" si="8"/>
        <v>0.153199</v>
      </c>
      <c r="AI36" s="253">
        <f t="shared" si="8"/>
        <v>138.57230000000001</v>
      </c>
      <c r="AJ36" s="253">
        <f t="shared" si="8"/>
        <v>4.7381599999999997</v>
      </c>
      <c r="AK36" s="253">
        <f t="shared" si="8"/>
        <v>1824.0083</v>
      </c>
      <c r="AL36" s="253">
        <f t="shared" si="8"/>
        <v>17.299489999999999</v>
      </c>
      <c r="AM36" s="253">
        <f t="shared" si="8"/>
        <v>14.31134</v>
      </c>
      <c r="AN36" s="253">
        <f t="shared" si="8"/>
        <v>15.020300000000001</v>
      </c>
      <c r="AO36" s="252">
        <f t="shared" si="8"/>
        <v>1.2881</v>
      </c>
      <c r="AP36" s="252">
        <f t="shared" si="8"/>
        <v>1.6016699999999999</v>
      </c>
      <c r="AQ36" s="251"/>
      <c r="AR36" s="250"/>
      <c r="AU36" s="24"/>
      <c r="AV36" s="257" t="str">
        <f>AV18</f>
        <v>High</v>
      </c>
      <c r="AW36" s="256"/>
      <c r="AX36" s="255"/>
      <c r="AY36" s="254">
        <f t="shared" ref="AY36:BL36" si="9">MAX(AY28:AY34)</f>
        <v>0.24602599999999999</v>
      </c>
      <c r="AZ36" s="252">
        <f t="shared" si="9"/>
        <v>1.5346900000000001</v>
      </c>
      <c r="BA36" s="254">
        <f t="shared" si="9"/>
        <v>3.0351E-2</v>
      </c>
      <c r="BB36" s="254">
        <f t="shared" si="9"/>
        <v>0.39441918935110964</v>
      </c>
      <c r="BC36" s="254">
        <f t="shared" si="9"/>
        <v>3.3532639999999998</v>
      </c>
      <c r="BD36" s="254">
        <f t="shared" si="9"/>
        <v>0.153199</v>
      </c>
      <c r="BE36" s="253">
        <f t="shared" si="9"/>
        <v>94.802499999999995</v>
      </c>
      <c r="BF36" s="253">
        <f t="shared" si="9"/>
        <v>11.469580000000001</v>
      </c>
      <c r="BG36" s="253">
        <f t="shared" si="9"/>
        <v>1824.0083</v>
      </c>
      <c r="BH36" s="253">
        <f t="shared" si="9"/>
        <v>22.019500000000001</v>
      </c>
      <c r="BI36" s="253">
        <f t="shared" si="9"/>
        <v>19.495819999999998</v>
      </c>
      <c r="BJ36" s="253">
        <f t="shared" si="9"/>
        <v>18.53482</v>
      </c>
      <c r="BK36" s="252">
        <f t="shared" si="9"/>
        <v>1.2424500000000001</v>
      </c>
      <c r="BL36" s="252">
        <f t="shared" si="9"/>
        <v>1.885</v>
      </c>
      <c r="BM36" s="251"/>
      <c r="BN36" s="250"/>
    </row>
    <row r="37" spans="2:66" x14ac:dyDescent="0.25">
      <c r="C37" s="24"/>
      <c r="D37" s="248" t="s">
        <v>263</v>
      </c>
      <c r="E37" s="247"/>
      <c r="F37" s="249"/>
      <c r="G37" s="246">
        <v>0.118358</v>
      </c>
      <c r="H37" s="244">
        <v>1.20905</v>
      </c>
      <c r="I37" s="246">
        <v>2.9847000000000002E-2</v>
      </c>
      <c r="J37" s="246">
        <v>1.1579670766000898E-2</v>
      </c>
      <c r="K37" s="246">
        <v>5.1378800000000002E-2</v>
      </c>
      <c r="L37" s="246">
        <v>3.9508000000000001E-2</v>
      </c>
      <c r="M37" s="245">
        <v>0.42974559999999995</v>
      </c>
      <c r="N37" s="245">
        <v>4.6922233333333336</v>
      </c>
      <c r="O37" s="245">
        <v>1.1257573999999999</v>
      </c>
      <c r="P37" s="245">
        <v>6.2436033333333327</v>
      </c>
      <c r="Q37" s="245">
        <v>6.1655266666666675</v>
      </c>
      <c r="R37" s="245">
        <v>5.9535833333333334</v>
      </c>
      <c r="S37" s="244">
        <v>0.91971000000000003</v>
      </c>
      <c r="T37" s="244">
        <v>1.0149820000000001</v>
      </c>
      <c r="U37" s="243"/>
      <c r="V37" s="242"/>
      <c r="W37" s="2"/>
      <c r="Y37" s="24"/>
      <c r="Z37" s="248" t="str">
        <f>Z19</f>
        <v>Mean</v>
      </c>
      <c r="AA37" s="247"/>
      <c r="AB37" s="249"/>
      <c r="AC37" s="246">
        <f t="shared" ref="AC37:AP37" si="10">AVERAGE(AC28:AC34)</f>
        <v>0.16273283333333333</v>
      </c>
      <c r="AD37" s="244">
        <f t="shared" si="10"/>
        <v>1.1378366666666666</v>
      </c>
      <c r="AE37" s="246">
        <f t="shared" si="10"/>
        <v>1.7900166666666665E-2</v>
      </c>
      <c r="AF37" s="246">
        <f t="shared" si="10"/>
        <v>0.282891019565845</v>
      </c>
      <c r="AG37" s="246">
        <f t="shared" si="10"/>
        <v>0.94142483333333338</v>
      </c>
      <c r="AH37" s="246">
        <f t="shared" si="10"/>
        <v>6.6452499999999998E-2</v>
      </c>
      <c r="AI37" s="245">
        <f t="shared" si="10"/>
        <v>74.056416666666664</v>
      </c>
      <c r="AJ37" s="245">
        <f t="shared" si="10"/>
        <v>2.4642519999999997</v>
      </c>
      <c r="AK37" s="245">
        <f t="shared" si="10"/>
        <v>469.13713999999993</v>
      </c>
      <c r="AL37" s="245">
        <f t="shared" si="10"/>
        <v>11.704713999999999</v>
      </c>
      <c r="AM37" s="245">
        <f t="shared" si="10"/>
        <v>9.3431139999999999</v>
      </c>
      <c r="AN37" s="245">
        <f t="shared" si="10"/>
        <v>8.8358999999999988</v>
      </c>
      <c r="AO37" s="244">
        <f t="shared" si="10"/>
        <v>0.79413833333333328</v>
      </c>
      <c r="AP37" s="244">
        <f t="shared" si="10"/>
        <v>1.3143483333333335</v>
      </c>
      <c r="AQ37" s="243"/>
      <c r="AR37" s="242"/>
      <c r="AU37" s="24"/>
      <c r="AV37" s="248" t="str">
        <f>AV19</f>
        <v>Mean</v>
      </c>
      <c r="AW37" s="247"/>
      <c r="AX37" s="249"/>
      <c r="AY37" s="246">
        <f t="shared" ref="AY37:BL37" si="11">AVERAGE(AY28:AY34)</f>
        <v>0.19871849999999999</v>
      </c>
      <c r="AZ37" s="244">
        <f t="shared" si="11"/>
        <v>1.1878633333333333</v>
      </c>
      <c r="BA37" s="246">
        <f t="shared" si="11"/>
        <v>1.4830500000000002E-2</v>
      </c>
      <c r="BB37" s="246">
        <f t="shared" si="11"/>
        <v>0.21634205863305597</v>
      </c>
      <c r="BC37" s="246">
        <f t="shared" si="11"/>
        <v>0.74607883333333336</v>
      </c>
      <c r="BD37" s="246">
        <f t="shared" si="11"/>
        <v>7.7613500000000002E-2</v>
      </c>
      <c r="BE37" s="245">
        <f t="shared" si="11"/>
        <v>62.796133333333323</v>
      </c>
      <c r="BF37" s="245">
        <f t="shared" si="11"/>
        <v>4.2395050000000003</v>
      </c>
      <c r="BG37" s="245">
        <f t="shared" si="11"/>
        <v>417.77429999999998</v>
      </c>
      <c r="BH37" s="245">
        <f t="shared" si="11"/>
        <v>15.218965000000003</v>
      </c>
      <c r="BI37" s="245">
        <f t="shared" si="11"/>
        <v>13.040391666666666</v>
      </c>
      <c r="BJ37" s="245">
        <f t="shared" si="11"/>
        <v>13.441250000000002</v>
      </c>
      <c r="BK37" s="244">
        <f t="shared" si="11"/>
        <v>0.93692166666666665</v>
      </c>
      <c r="BL37" s="244">
        <f t="shared" si="11"/>
        <v>1.3934300000000002</v>
      </c>
      <c r="BM37" s="243"/>
      <c r="BN37" s="242"/>
    </row>
    <row r="38" spans="2:66" x14ac:dyDescent="0.25">
      <c r="C38" s="24"/>
      <c r="D38" s="248" t="s">
        <v>262</v>
      </c>
      <c r="E38" s="247"/>
      <c r="F38" s="247"/>
      <c r="G38" s="246">
        <v>0.12224299999999999</v>
      </c>
      <c r="H38" s="244">
        <v>1.44373</v>
      </c>
      <c r="I38" s="246">
        <v>3.1732999999999997E-2</v>
      </c>
      <c r="J38" s="246">
        <v>2.7917435903217765E-2</v>
      </c>
      <c r="K38" s="246">
        <v>0</v>
      </c>
      <c r="L38" s="246">
        <v>0</v>
      </c>
      <c r="M38" s="245">
        <v>0.542628</v>
      </c>
      <c r="N38" s="245">
        <v>1.9103600000000001</v>
      </c>
      <c r="O38" s="245">
        <v>1.186407</v>
      </c>
      <c r="P38" s="245">
        <v>3.4837199999999999</v>
      </c>
      <c r="Q38" s="245">
        <v>3.3913700000000002</v>
      </c>
      <c r="R38" s="245">
        <v>2.9700700000000002</v>
      </c>
      <c r="S38" s="244">
        <v>0.83977999999999997</v>
      </c>
      <c r="T38" s="244">
        <v>0.85892999999999997</v>
      </c>
      <c r="U38" s="243"/>
      <c r="V38" s="242"/>
      <c r="W38" s="2"/>
      <c r="Y38" s="24"/>
      <c r="Z38" s="248" t="str">
        <f>Z20</f>
        <v>Median</v>
      </c>
      <c r="AA38" s="247"/>
      <c r="AB38" s="247"/>
      <c r="AC38" s="246">
        <f t="shared" ref="AC38:AP38" si="12">MEDIAN(AC28:AC34)</f>
        <v>0.1426605</v>
      </c>
      <c r="AD38" s="244">
        <f t="shared" si="12"/>
        <v>1.030815</v>
      </c>
      <c r="AE38" s="246">
        <f t="shared" si="12"/>
        <v>1.96215E-2</v>
      </c>
      <c r="AF38" s="246">
        <f t="shared" si="12"/>
        <v>0.21877749021799892</v>
      </c>
      <c r="AG38" s="246">
        <f t="shared" si="12"/>
        <v>0.4175065</v>
      </c>
      <c r="AH38" s="246">
        <f t="shared" si="12"/>
        <v>6.629850000000001E-2</v>
      </c>
      <c r="AI38" s="245">
        <f t="shared" si="12"/>
        <v>64.92</v>
      </c>
      <c r="AJ38" s="245">
        <f t="shared" si="12"/>
        <v>1.9578</v>
      </c>
      <c r="AK38" s="245">
        <f t="shared" si="12"/>
        <v>156.99969999999999</v>
      </c>
      <c r="AL38" s="245">
        <f t="shared" si="12"/>
        <v>10.78947</v>
      </c>
      <c r="AM38" s="245">
        <f t="shared" si="12"/>
        <v>7.6929800000000004</v>
      </c>
      <c r="AN38" s="245">
        <f t="shared" si="12"/>
        <v>7.7719300000000002</v>
      </c>
      <c r="AO38" s="244">
        <f t="shared" si="12"/>
        <v>0.86856500000000003</v>
      </c>
      <c r="AP38" s="244">
        <f t="shared" si="12"/>
        <v>1.3004</v>
      </c>
      <c r="AQ38" s="243"/>
      <c r="AR38" s="242"/>
      <c r="AU38" s="24"/>
      <c r="AV38" s="248" t="str">
        <f>AV20</f>
        <v>Median</v>
      </c>
      <c r="AW38" s="247"/>
      <c r="AX38" s="247"/>
      <c r="AY38" s="246">
        <f t="shared" ref="AY38:BL38" si="13">MEDIAN(AY28:AY34)</f>
        <v>0.19653999999999999</v>
      </c>
      <c r="AZ38" s="244">
        <f t="shared" si="13"/>
        <v>1.13117</v>
      </c>
      <c r="BA38" s="246">
        <f t="shared" si="13"/>
        <v>1.5817500000000002E-2</v>
      </c>
      <c r="BB38" s="246">
        <f t="shared" si="13"/>
        <v>0.21337290994802385</v>
      </c>
      <c r="BC38" s="246">
        <f t="shared" si="13"/>
        <v>0.276592</v>
      </c>
      <c r="BD38" s="246">
        <f t="shared" si="13"/>
        <v>7.7896500000000007E-2</v>
      </c>
      <c r="BE38" s="245">
        <f t="shared" si="13"/>
        <v>58.532550000000001</v>
      </c>
      <c r="BF38" s="245">
        <f t="shared" si="13"/>
        <v>2.5186950000000001</v>
      </c>
      <c r="BG38" s="245">
        <f t="shared" si="13"/>
        <v>141.67669999999998</v>
      </c>
      <c r="BH38" s="245">
        <f t="shared" si="13"/>
        <v>16.591540000000002</v>
      </c>
      <c r="BI38" s="245">
        <f t="shared" si="13"/>
        <v>14.145875</v>
      </c>
      <c r="BJ38" s="245">
        <f t="shared" si="13"/>
        <v>13.36862</v>
      </c>
      <c r="BK38" s="244">
        <f t="shared" si="13"/>
        <v>1.1473550000000001</v>
      </c>
      <c r="BL38" s="244">
        <f t="shared" si="13"/>
        <v>1.494945</v>
      </c>
      <c r="BM38" s="243"/>
      <c r="BN38" s="242"/>
    </row>
    <row r="39" spans="2:66" ht="15.75" thickBot="1" x14ac:dyDescent="0.3">
      <c r="C39" s="24" t="s">
        <v>6</v>
      </c>
      <c r="D39" s="241" t="s">
        <v>261</v>
      </c>
      <c r="E39" s="240"/>
      <c r="F39" s="240"/>
      <c r="G39" s="239">
        <v>0</v>
      </c>
      <c r="H39" s="237">
        <v>0</v>
      </c>
      <c r="I39" s="239">
        <v>0</v>
      </c>
      <c r="J39" s="239">
        <v>-0.33191271981476644</v>
      </c>
      <c r="K39" s="239">
        <v>-0.36965400000000004</v>
      </c>
      <c r="L39" s="239">
        <v>-2.3879000000000001E-2</v>
      </c>
      <c r="M39" s="238" t="s">
        <v>13</v>
      </c>
      <c r="N39" s="238" t="s">
        <v>13</v>
      </c>
      <c r="O39" s="238" t="s">
        <v>13</v>
      </c>
      <c r="P39" s="238" t="s">
        <v>13</v>
      </c>
      <c r="Q39" s="238" t="s">
        <v>13</v>
      </c>
      <c r="R39" s="238" t="s">
        <v>13</v>
      </c>
      <c r="S39" s="238" t="s">
        <v>13</v>
      </c>
      <c r="T39" s="238" t="s">
        <v>13</v>
      </c>
      <c r="U39" s="236"/>
      <c r="V39" s="235"/>
      <c r="W39" s="2"/>
      <c r="Y39" s="24" t="s">
        <v>6</v>
      </c>
      <c r="Z39" s="241" t="str">
        <f>Z21</f>
        <v>Low</v>
      </c>
      <c r="AA39" s="240"/>
      <c r="AB39" s="240"/>
      <c r="AC39" s="239">
        <f t="shared" ref="AC39:AP39" si="14">MIN(AC28:AC34)</f>
        <v>0.14074</v>
      </c>
      <c r="AD39" s="237">
        <f t="shared" si="14"/>
        <v>0.83875999999999995</v>
      </c>
      <c r="AE39" s="239">
        <f t="shared" si="14"/>
        <v>0</v>
      </c>
      <c r="AF39" s="239">
        <f t="shared" si="14"/>
        <v>0.17260347844787285</v>
      </c>
      <c r="AG39" s="239">
        <f t="shared" si="14"/>
        <v>3.2482000000000004E-2</v>
      </c>
      <c r="AH39" s="239">
        <f t="shared" si="14"/>
        <v>-1.6131E-2</v>
      </c>
      <c r="AI39" s="238">
        <f t="shared" si="14"/>
        <v>31.401499999999999</v>
      </c>
      <c r="AJ39" s="238">
        <f t="shared" si="14"/>
        <v>1.2992999999999999</v>
      </c>
      <c r="AK39" s="238">
        <f t="shared" si="14"/>
        <v>45.775799999999997</v>
      </c>
      <c r="AL39" s="238">
        <f t="shared" si="14"/>
        <v>5.0696000000000003</v>
      </c>
      <c r="AM39" s="238">
        <f t="shared" si="14"/>
        <v>3.79474</v>
      </c>
      <c r="AN39" s="238">
        <f t="shared" si="14"/>
        <v>1.76491</v>
      </c>
      <c r="AO39" s="237">
        <f t="shared" si="14"/>
        <v>0.27742</v>
      </c>
      <c r="AP39" s="237">
        <f t="shared" si="14"/>
        <v>1.0979300000000001</v>
      </c>
      <c r="AQ39" s="236"/>
      <c r="AR39" s="235"/>
      <c r="AU39" s="24" t="s">
        <v>6</v>
      </c>
      <c r="AV39" s="241" t="str">
        <f>AV21</f>
        <v>Low</v>
      </c>
      <c r="AW39" s="240"/>
      <c r="AX39" s="240"/>
      <c r="AY39" s="239">
        <f t="shared" ref="AY39:BL39" si="15">MIN(AY28:AY34)</f>
        <v>0.14775099999999999</v>
      </c>
      <c r="AZ39" s="237">
        <f t="shared" si="15"/>
        <v>0.95801999999999998</v>
      </c>
      <c r="BA39" s="239">
        <f t="shared" si="15"/>
        <v>3.0159999999999996E-3</v>
      </c>
      <c r="BB39" s="239">
        <f t="shared" si="15"/>
        <v>6.2702786118550582E-2</v>
      </c>
      <c r="BC39" s="239">
        <f t="shared" si="15"/>
        <v>2.2750000000000001E-3</v>
      </c>
      <c r="BD39" s="239">
        <f t="shared" si="15"/>
        <v>2.2489999999999997E-3</v>
      </c>
      <c r="BE39" s="238">
        <f t="shared" si="15"/>
        <v>48.453000000000003</v>
      </c>
      <c r="BF39" s="238">
        <f t="shared" si="15"/>
        <v>1.9578</v>
      </c>
      <c r="BG39" s="238">
        <f t="shared" si="15"/>
        <v>93.997900000000001</v>
      </c>
      <c r="BH39" s="238">
        <f t="shared" si="15"/>
        <v>5.1042800000000002</v>
      </c>
      <c r="BI39" s="238">
        <f t="shared" si="15"/>
        <v>2.6646700000000001</v>
      </c>
      <c r="BJ39" s="238">
        <f t="shared" si="15"/>
        <v>6.5376899999999996</v>
      </c>
      <c r="BK39" s="237">
        <f t="shared" si="15"/>
        <v>0.27742</v>
      </c>
      <c r="BL39" s="237">
        <f t="shared" si="15"/>
        <v>0.71686000000000005</v>
      </c>
      <c r="BM39" s="236"/>
      <c r="BN39" s="235"/>
    </row>
    <row r="40" spans="2:66" x14ac:dyDescent="0.25">
      <c r="C40" s="24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Y40" s="24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U40" s="24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</row>
    <row r="41" spans="2:66" x14ac:dyDescent="0.25">
      <c r="C41" s="24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Y41" s="24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U41" s="24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</row>
    <row r="42" spans="2:66" ht="15.75" thickBot="1" x14ac:dyDescent="0.3">
      <c r="C42" s="24"/>
      <c r="D42" s="231"/>
      <c r="E42" s="231"/>
      <c r="F42" s="231"/>
      <c r="G42" s="230"/>
      <c r="H42" s="234"/>
      <c r="I42" s="230"/>
      <c r="J42" s="230"/>
      <c r="K42" s="230"/>
      <c r="L42" s="230"/>
      <c r="M42" s="230"/>
      <c r="N42" s="232"/>
      <c r="O42" s="230"/>
      <c r="P42" s="232"/>
      <c r="Q42" s="233"/>
      <c r="R42" s="232"/>
      <c r="S42" s="231"/>
      <c r="T42" s="230"/>
      <c r="U42" s="229"/>
      <c r="V42" s="229"/>
      <c r="W42" s="231"/>
      <c r="Y42" s="24"/>
      <c r="Z42" s="231"/>
      <c r="AA42" s="231"/>
      <c r="AB42" s="231"/>
      <c r="AC42" s="230"/>
      <c r="AD42" s="234"/>
      <c r="AE42" s="230"/>
      <c r="AF42" s="230"/>
      <c r="AG42" s="230"/>
      <c r="AH42" s="230"/>
      <c r="AI42" s="230"/>
      <c r="AJ42" s="232"/>
      <c r="AK42" s="230"/>
      <c r="AL42" s="232"/>
      <c r="AM42" s="233"/>
      <c r="AN42" s="232"/>
      <c r="AO42" s="231"/>
      <c r="AP42" s="230"/>
      <c r="AQ42" s="229"/>
      <c r="AR42" s="229"/>
      <c r="AU42" s="24"/>
      <c r="AV42" s="231"/>
      <c r="AW42" s="231"/>
      <c r="AX42" s="231"/>
      <c r="AY42" s="230"/>
      <c r="AZ42" s="234"/>
      <c r="BA42" s="230"/>
      <c r="BB42" s="230"/>
      <c r="BC42" s="230"/>
      <c r="BD42" s="230"/>
      <c r="BE42" s="230"/>
      <c r="BF42" s="232"/>
      <c r="BG42" s="230"/>
      <c r="BH42" s="232"/>
      <c r="BI42" s="233"/>
      <c r="BJ42" s="232"/>
      <c r="BK42" s="231"/>
      <c r="BL42" s="230"/>
      <c r="BM42" s="229"/>
      <c r="BN42" s="229"/>
    </row>
    <row r="43" spans="2:66" hidden="1" outlineLevel="1" x14ac:dyDescent="0.25">
      <c r="C43" s="24" t="s">
        <v>260</v>
      </c>
      <c r="D43" s="2"/>
      <c r="E43" s="2"/>
      <c r="F43" s="2"/>
      <c r="G43" s="163"/>
      <c r="H43" s="27"/>
      <c r="I43" s="163"/>
      <c r="J43" s="163"/>
      <c r="K43" s="163"/>
      <c r="L43" s="163"/>
      <c r="M43" s="163"/>
      <c r="N43" s="164"/>
      <c r="O43" s="163"/>
      <c r="P43" s="164"/>
      <c r="Q43" s="165"/>
      <c r="R43" s="164"/>
      <c r="S43" s="2"/>
      <c r="T43" s="163"/>
      <c r="U43" s="162"/>
      <c r="V43" s="162"/>
      <c r="W43" s="2"/>
      <c r="Y43" s="24" t="s">
        <v>260</v>
      </c>
      <c r="Z43" s="2"/>
      <c r="AA43" s="2"/>
      <c r="AB43" s="2"/>
      <c r="AC43" s="163"/>
      <c r="AD43" s="27"/>
      <c r="AE43" s="163"/>
      <c r="AF43" s="163"/>
      <c r="AG43" s="163"/>
      <c r="AH43" s="163"/>
      <c r="AI43" s="163"/>
      <c r="AJ43" s="164"/>
      <c r="AK43" s="163"/>
      <c r="AL43" s="164"/>
      <c r="AM43" s="165"/>
      <c r="AN43" s="164"/>
      <c r="AO43" s="2"/>
      <c r="AP43" s="163"/>
      <c r="AQ43" s="162"/>
      <c r="AR43" s="162"/>
      <c r="AU43" s="24" t="s">
        <v>260</v>
      </c>
      <c r="AV43" s="2"/>
      <c r="AW43" s="2"/>
      <c r="AX43" s="2"/>
      <c r="AY43" s="163"/>
      <c r="AZ43" s="27"/>
      <c r="BA43" s="163"/>
      <c r="BB43" s="163"/>
      <c r="BC43" s="163"/>
      <c r="BD43" s="163"/>
      <c r="BE43" s="163"/>
      <c r="BF43" s="164"/>
      <c r="BG43" s="163"/>
      <c r="BH43" s="164"/>
      <c r="BI43" s="165"/>
      <c r="BJ43" s="164"/>
      <c r="BK43" s="2"/>
      <c r="BL43" s="163"/>
      <c r="BM43" s="162"/>
      <c r="BN43" s="162"/>
    </row>
    <row r="44" spans="2:66" hidden="1" outlineLevel="1" x14ac:dyDescent="0.25">
      <c r="B44" s="24"/>
      <c r="C44" s="24"/>
      <c r="D44" s="228" t="s">
        <v>259</v>
      </c>
      <c r="E44" s="227"/>
      <c r="F44" s="2"/>
      <c r="G44" s="163"/>
      <c r="H44" s="27"/>
      <c r="I44" s="163"/>
      <c r="J44" s="163"/>
      <c r="K44" s="163"/>
      <c r="L44"/>
      <c r="M44" s="163"/>
      <c r="N44" s="164"/>
      <c r="O44" s="163"/>
      <c r="P44" s="164"/>
      <c r="Q44" s="165"/>
      <c r="R44" s="164"/>
      <c r="S44" s="2"/>
      <c r="T44" s="163"/>
      <c r="U44" s="162"/>
      <c r="V44" s="162"/>
      <c r="W44" s="2"/>
      <c r="Y44" s="24"/>
      <c r="Z44"/>
      <c r="AA44"/>
      <c r="AB44" s="2"/>
      <c r="AC44" s="163"/>
      <c r="AD44" s="27"/>
      <c r="AE44" s="163"/>
      <c r="AF44" s="163"/>
      <c r="AG44" s="163"/>
      <c r="AH44" s="163"/>
      <c r="AI44" s="163"/>
      <c r="AJ44" s="164"/>
      <c r="AK44" s="163"/>
      <c r="AL44" s="164"/>
      <c r="AM44" s="165"/>
      <c r="AN44" s="164"/>
      <c r="AO44" s="2"/>
      <c r="AP44" s="163"/>
      <c r="AQ44" s="162"/>
      <c r="AR44" s="162"/>
      <c r="AU44" s="24"/>
      <c r="AV44"/>
      <c r="AW44"/>
      <c r="AX44" s="2"/>
      <c r="AY44" s="163"/>
      <c r="AZ44" s="27"/>
      <c r="BA44" s="163"/>
      <c r="BB44" s="163"/>
      <c r="BC44" s="163"/>
      <c r="BD44" s="163"/>
      <c r="BE44" s="163"/>
      <c r="BF44" s="164"/>
      <c r="BG44" s="163"/>
      <c r="BH44" s="164"/>
      <c r="BI44" s="165"/>
      <c r="BJ44" s="164"/>
      <c r="BK44" s="2"/>
      <c r="BL44" s="163"/>
      <c r="BM44" s="162"/>
      <c r="BN44" s="162"/>
    </row>
    <row r="45" spans="2:66" hidden="1" outlineLevel="1" x14ac:dyDescent="0.25">
      <c r="B45"/>
      <c r="C45"/>
      <c r="D45" s="217"/>
      <c r="E45" s="217"/>
      <c r="F45" s="24"/>
      <c r="G45" s="132"/>
      <c r="H45" s="132"/>
      <c r="I45" s="132"/>
      <c r="J45" s="132"/>
      <c r="K45" s="132"/>
      <c r="L45"/>
      <c r="M45" s="132"/>
      <c r="N45" s="132"/>
      <c r="O45" s="132"/>
      <c r="P45" s="132"/>
      <c r="Q45" s="132"/>
      <c r="R45" s="132"/>
      <c r="S45" s="24"/>
      <c r="T45" s="132"/>
      <c r="U45" s="132"/>
      <c r="V45" s="132"/>
      <c r="W45" s="2"/>
      <c r="Y45" s="24"/>
      <c r="Z45" s="217"/>
      <c r="AA45" s="217"/>
      <c r="AB45" s="24"/>
      <c r="AC45" s="132"/>
      <c r="AD45" s="132"/>
      <c r="AE45" s="132"/>
      <c r="AF45" s="132"/>
      <c r="AG45" s="132"/>
      <c r="AH45" s="132"/>
      <c r="AI45" s="132"/>
      <c r="AJ45" s="132"/>
      <c r="AK45" s="132"/>
      <c r="AL45" s="132"/>
      <c r="AM45" s="132"/>
      <c r="AN45" s="132"/>
      <c r="AO45" s="24"/>
      <c r="AP45" s="132"/>
      <c r="AQ45" s="132"/>
      <c r="AR45" s="132"/>
      <c r="AU45" s="24"/>
      <c r="AV45" s="217"/>
      <c r="AW45" s="217"/>
      <c r="AX45" s="24"/>
      <c r="AY45" s="132"/>
      <c r="AZ45" s="132"/>
      <c r="BA45" s="132"/>
      <c r="BB45" s="132"/>
      <c r="BC45" s="132"/>
      <c r="BD45" s="132"/>
      <c r="BE45" s="132"/>
      <c r="BF45" s="132"/>
      <c r="BG45" s="132"/>
      <c r="BH45" s="132"/>
      <c r="BI45" s="132"/>
      <c r="BJ45" s="132"/>
      <c r="BK45" s="24"/>
      <c r="BL45" s="132"/>
      <c r="BM45" s="132"/>
      <c r="BN45" s="132"/>
    </row>
    <row r="46" spans="2:66" ht="16.5" hidden="1" outlineLevel="1" x14ac:dyDescent="0.35">
      <c r="B46"/>
      <c r="C46"/>
      <c r="D46" s="216" t="str">
        <f>D4</f>
        <v>Primary Peer Group</v>
      </c>
      <c r="E46" s="216"/>
      <c r="F46" s="216"/>
      <c r="G46" s="216"/>
      <c r="H46" s="216"/>
      <c r="I46" s="216"/>
      <c r="J46" s="216"/>
      <c r="K46" s="216"/>
      <c r="L46" s="26"/>
      <c r="M46" s="216"/>
      <c r="N46" s="216"/>
      <c r="O46" s="216"/>
      <c r="P46" s="26"/>
      <c r="Q46" s="216"/>
      <c r="R46" s="216"/>
      <c r="S46" s="216"/>
      <c r="T46" s="26"/>
      <c r="U46" s="216"/>
      <c r="V46" s="216"/>
      <c r="W46" s="2"/>
      <c r="Y46" s="24"/>
      <c r="Z46" s="216" t="str">
        <f>Z4</f>
        <v>Defense Peer Group</v>
      </c>
      <c r="AA46" s="216"/>
      <c r="AB46" s="216"/>
      <c r="AC46" s="216"/>
      <c r="AD46" s="216"/>
      <c r="AE46" s="216"/>
      <c r="AF46" s="216"/>
      <c r="AG46" s="216"/>
      <c r="AH46" s="26"/>
      <c r="AI46" s="216"/>
      <c r="AJ46" s="216"/>
      <c r="AK46" s="216"/>
      <c r="AL46" s="26"/>
      <c r="AM46" s="216"/>
      <c r="AN46" s="216"/>
      <c r="AO46" s="216"/>
      <c r="AP46" s="26"/>
      <c r="AQ46" s="216"/>
      <c r="AR46" s="216"/>
      <c r="AU46" s="24"/>
      <c r="AV46" s="216" t="str">
        <f>AV4</f>
        <v>Cap. Goods Peer Group</v>
      </c>
      <c r="AW46" s="216"/>
      <c r="AX46" s="216"/>
      <c r="AY46" s="216"/>
      <c r="AZ46" s="216"/>
      <c r="BA46" s="216"/>
      <c r="BB46" s="216"/>
      <c r="BC46" s="216"/>
      <c r="BD46" s="26"/>
      <c r="BE46" s="216"/>
      <c r="BF46" s="216"/>
      <c r="BG46" s="216"/>
      <c r="BH46" s="26"/>
      <c r="BI46" s="216"/>
      <c r="BJ46" s="216"/>
      <c r="BK46" s="216"/>
      <c r="BL46" s="26"/>
      <c r="BM46" s="216"/>
      <c r="BN46" s="216"/>
    </row>
    <row r="47" spans="2:66" ht="16.5" hidden="1" outlineLevel="1" x14ac:dyDescent="0.35">
      <c r="B47"/>
      <c r="C47"/>
      <c r="D47" s="27"/>
      <c r="E47" s="2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16" t="str">
        <f>Q6</f>
        <v xml:space="preserve">Enterprise Value / </v>
      </c>
      <c r="R47" s="216"/>
      <c r="S47" s="216"/>
      <c r="T47" s="132">
        <f>T6</f>
        <v>0</v>
      </c>
      <c r="U47" s="2"/>
      <c r="V47" s="2"/>
      <c r="W47" s="2"/>
      <c r="Y47" s="24"/>
      <c r="Z47" s="27"/>
      <c r="AA47" s="27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16" t="str">
        <f>AM6</f>
        <v xml:space="preserve">Enterprise Value / </v>
      </c>
      <c r="AN47" s="216"/>
      <c r="AO47" s="216"/>
      <c r="AP47" s="132">
        <f>AP6</f>
        <v>0</v>
      </c>
      <c r="AQ47" s="2"/>
      <c r="AR47" s="2"/>
      <c r="AU47" s="24"/>
      <c r="AV47" s="27"/>
      <c r="AW47" s="27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16" t="str">
        <f>BI6</f>
        <v xml:space="preserve">Enterprise Value / </v>
      </c>
      <c r="BJ47" s="216"/>
      <c r="BK47" s="216"/>
      <c r="BL47" s="132">
        <f>BL6</f>
        <v>0</v>
      </c>
      <c r="BM47" s="2"/>
      <c r="BN47" s="2"/>
    </row>
    <row r="48" spans="2:66" ht="16.5" hidden="1" outlineLevel="1" x14ac:dyDescent="0.35">
      <c r="B48"/>
      <c r="C48"/>
      <c r="D48" s="27"/>
      <c r="E48" s="27"/>
      <c r="F48" s="27"/>
      <c r="G48" s="27" t="str">
        <f t="shared" ref="G48:I49" si="16">G7</f>
        <v xml:space="preserve">Market </v>
      </c>
      <c r="H48" s="27" t="str">
        <f t="shared" si="16"/>
        <v>Enterprise</v>
      </c>
      <c r="I48" s="226" t="str">
        <f t="shared" si="16"/>
        <v>Sales</v>
      </c>
      <c r="J48" s="226"/>
      <c r="K48" s="226" t="str">
        <f>K7</f>
        <v>EPS</v>
      </c>
      <c r="L48" s="226"/>
      <c r="M48" s="226" t="str">
        <f>M7</f>
        <v>EBITDA Margin</v>
      </c>
      <c r="N48" s="226"/>
      <c r="O48" s="226" t="str">
        <f>O7</f>
        <v>Profit Margin</v>
      </c>
      <c r="P48" s="226"/>
      <c r="Q48" s="226" t="str">
        <f>Q7</f>
        <v>EBITDA</v>
      </c>
      <c r="R48" s="226"/>
      <c r="S48" s="226" t="str">
        <f>S7</f>
        <v>Sales</v>
      </c>
      <c r="T48" s="226"/>
      <c r="U48" s="216" t="str">
        <f>U7</f>
        <v>Price / Earnings</v>
      </c>
      <c r="V48" s="216"/>
      <c r="W48" s="2"/>
      <c r="Y48" s="24"/>
      <c r="Z48" s="27"/>
      <c r="AA48" s="27"/>
      <c r="AB48" s="27"/>
      <c r="AC48" s="27" t="str">
        <f t="shared" ref="AC48:AE49" si="17">AC7</f>
        <v xml:space="preserve">Market </v>
      </c>
      <c r="AD48" s="27" t="str">
        <f t="shared" si="17"/>
        <v>Enterprise</v>
      </c>
      <c r="AE48" s="226" t="str">
        <f t="shared" si="17"/>
        <v>Sales</v>
      </c>
      <c r="AF48" s="226"/>
      <c r="AG48" s="226" t="str">
        <f>AG7</f>
        <v>EPS</v>
      </c>
      <c r="AH48" s="226"/>
      <c r="AI48" s="226" t="str">
        <f>AI7</f>
        <v>EBITDA Margin</v>
      </c>
      <c r="AJ48" s="226"/>
      <c r="AK48" s="226" t="str">
        <f>AK7</f>
        <v>Profit Margin</v>
      </c>
      <c r="AL48" s="226"/>
      <c r="AM48" s="226" t="str">
        <f>AM7</f>
        <v>EBITDA</v>
      </c>
      <c r="AN48" s="226"/>
      <c r="AO48" s="226" t="str">
        <f>AO7</f>
        <v>Sales</v>
      </c>
      <c r="AP48" s="226"/>
      <c r="AQ48" s="216" t="str">
        <f>AQ7</f>
        <v>Price / Earnings</v>
      </c>
      <c r="AR48" s="216"/>
      <c r="AU48" s="24"/>
      <c r="AV48" s="27"/>
      <c r="AW48" s="27"/>
      <c r="AX48" s="27"/>
      <c r="AY48" s="27" t="str">
        <f t="shared" ref="AY48:BA49" si="18">AY7</f>
        <v xml:space="preserve">Market </v>
      </c>
      <c r="AZ48" s="27" t="str">
        <f t="shared" si="18"/>
        <v>Enterprise</v>
      </c>
      <c r="BA48" s="226" t="str">
        <f t="shared" si="18"/>
        <v>Sales</v>
      </c>
      <c r="BB48" s="226"/>
      <c r="BC48" s="226" t="str">
        <f>BC7</f>
        <v>EPS</v>
      </c>
      <c r="BD48" s="226"/>
      <c r="BE48" s="226" t="str">
        <f>BE7</f>
        <v>EBITDA Margin</v>
      </c>
      <c r="BF48" s="226"/>
      <c r="BG48" s="226" t="str">
        <f>BG7</f>
        <v>Profit Margin</v>
      </c>
      <c r="BH48" s="226"/>
      <c r="BI48" s="226" t="str">
        <f>BI7</f>
        <v>EBITDA</v>
      </c>
      <c r="BJ48" s="226"/>
      <c r="BK48" s="226" t="str">
        <f>BK7</f>
        <v>Sales</v>
      </c>
      <c r="BL48" s="226"/>
      <c r="BM48" s="216" t="str">
        <f>BM7</f>
        <v>Price / Earnings</v>
      </c>
      <c r="BN48" s="216"/>
    </row>
    <row r="49" spans="2:66" ht="16.5" hidden="1" outlineLevel="1" x14ac:dyDescent="0.35">
      <c r="B49" s="24"/>
      <c r="C49" s="24"/>
      <c r="D49" s="11"/>
      <c r="E49" s="27"/>
      <c r="F49" s="215" t="str">
        <f>F8</f>
        <v>Ticker</v>
      </c>
      <c r="G49" s="215" t="str">
        <f t="shared" si="16"/>
        <v>Cap</v>
      </c>
      <c r="H49" s="215" t="str">
        <f t="shared" si="16"/>
        <v>Value</v>
      </c>
      <c r="I49" s="215" t="str">
        <f t="shared" si="16"/>
        <v>LTM</v>
      </c>
      <c r="J49" s="225">
        <f>J8</f>
        <v>44590</v>
      </c>
      <c r="K49" s="215" t="str">
        <f>K8</f>
        <v>LTM</v>
      </c>
      <c r="L49" s="225">
        <f>L8</f>
        <v>44590</v>
      </c>
      <c r="M49" s="215" t="str">
        <f>M8</f>
        <v>LTM</v>
      </c>
      <c r="N49" s="225">
        <f>N8</f>
        <v>44590</v>
      </c>
      <c r="O49" s="215" t="str">
        <f>O8</f>
        <v>LTM</v>
      </c>
      <c r="P49" s="225">
        <f>P8</f>
        <v>44590</v>
      </c>
      <c r="Q49" s="215" t="str">
        <f>Q8</f>
        <v>LTM</v>
      </c>
      <c r="R49" s="225">
        <f>R8</f>
        <v>44590</v>
      </c>
      <c r="S49" s="215" t="str">
        <f>S8</f>
        <v>LTM</v>
      </c>
      <c r="T49" s="225">
        <f>T8</f>
        <v>44590</v>
      </c>
      <c r="U49" s="215" t="str">
        <f>U8</f>
        <v>LTM</v>
      </c>
      <c r="V49" s="225">
        <f>V8</f>
        <v>44590</v>
      </c>
      <c r="W49" s="2"/>
      <c r="Y49" s="24"/>
      <c r="Z49" s="11"/>
      <c r="AA49" s="27"/>
      <c r="AB49" s="215" t="str">
        <f>AB8</f>
        <v>Ticker</v>
      </c>
      <c r="AC49" s="215" t="str">
        <f t="shared" si="17"/>
        <v>Cap</v>
      </c>
      <c r="AD49" s="215" t="str">
        <f t="shared" si="17"/>
        <v>Value</v>
      </c>
      <c r="AE49" s="215" t="str">
        <f t="shared" si="17"/>
        <v>LTM</v>
      </c>
      <c r="AF49" s="225" t="e">
        <f>AF8</f>
        <v>#REF!</v>
      </c>
      <c r="AG49" s="215" t="str">
        <f>AG8</f>
        <v>LTM</v>
      </c>
      <c r="AH49" s="225">
        <f>AH8</f>
        <v>44590</v>
      </c>
      <c r="AI49" s="215" t="str">
        <f>AI8</f>
        <v>LTM</v>
      </c>
      <c r="AJ49" s="225">
        <f>AJ8</f>
        <v>44590</v>
      </c>
      <c r="AK49" s="215" t="str">
        <f>AK8</f>
        <v>LTM</v>
      </c>
      <c r="AL49" s="225">
        <f>AL8</f>
        <v>44590</v>
      </c>
      <c r="AM49" s="215" t="str">
        <f>AM8</f>
        <v>LTM</v>
      </c>
      <c r="AN49" s="225">
        <f>AN8</f>
        <v>44590</v>
      </c>
      <c r="AO49" s="215" t="str">
        <f>AO8</f>
        <v>LTM</v>
      </c>
      <c r="AP49" s="225">
        <f>AP8</f>
        <v>44590</v>
      </c>
      <c r="AQ49" s="215" t="str">
        <f>AQ8</f>
        <v>LTM</v>
      </c>
      <c r="AR49" s="225">
        <f>AR8</f>
        <v>44590</v>
      </c>
      <c r="AU49" s="24"/>
      <c r="AV49" s="11"/>
      <c r="AW49" s="27"/>
      <c r="AX49" s="215" t="str">
        <f>AX8</f>
        <v>Ticker</v>
      </c>
      <c r="AY49" s="215" t="str">
        <f t="shared" si="18"/>
        <v>Cap</v>
      </c>
      <c r="AZ49" s="215" t="str">
        <f t="shared" si="18"/>
        <v>Value</v>
      </c>
      <c r="BA49" s="215" t="str">
        <f t="shared" si="18"/>
        <v>LTM</v>
      </c>
      <c r="BB49" s="225" t="e">
        <f>BB8</f>
        <v>#REF!</v>
      </c>
      <c r="BC49" s="215" t="str">
        <f>BC8</f>
        <v>LTM</v>
      </c>
      <c r="BD49" s="225">
        <f>BD8</f>
        <v>44590</v>
      </c>
      <c r="BE49" s="215" t="str">
        <f>BE8</f>
        <v>LTM</v>
      </c>
      <c r="BF49" s="225">
        <f>BF8</f>
        <v>44590</v>
      </c>
      <c r="BG49" s="215" t="str">
        <f>BG8</f>
        <v>LTM</v>
      </c>
      <c r="BH49" s="225">
        <f>BH8</f>
        <v>44590</v>
      </c>
      <c r="BI49" s="215" t="str">
        <f>BI8</f>
        <v>LTM</v>
      </c>
      <c r="BJ49" s="225">
        <f>BJ8</f>
        <v>44590</v>
      </c>
      <c r="BK49" s="215" t="str">
        <f>BK8</f>
        <v>LTM</v>
      </c>
      <c r="BL49" s="225">
        <f>BL8</f>
        <v>44590</v>
      </c>
      <c r="BM49" s="215" t="str">
        <f>BM8</f>
        <v>LTM</v>
      </c>
      <c r="BN49" s="225">
        <f>BN8</f>
        <v>44590</v>
      </c>
    </row>
    <row r="50" spans="2:66" ht="5.0999999999999996" hidden="1" customHeight="1" outlineLevel="1" x14ac:dyDescent="0.25">
      <c r="B50" s="24"/>
      <c r="C50" s="24"/>
      <c r="D50" s="27"/>
      <c r="E50" s="27"/>
      <c r="F50" s="27"/>
      <c r="G50" s="27"/>
      <c r="H50" s="27"/>
      <c r="I50" s="199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"/>
      <c r="Y50" s="24"/>
      <c r="Z50" s="27"/>
      <c r="AA50" s="27"/>
      <c r="AB50" s="27"/>
      <c r="AC50" s="27"/>
      <c r="AD50" s="27"/>
      <c r="AE50" s="199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U50" s="24"/>
      <c r="AV50" s="27"/>
      <c r="AW50" s="27"/>
      <c r="AX50" s="27"/>
      <c r="AY50" s="27"/>
      <c r="AZ50" s="27"/>
      <c r="BA50" s="199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</row>
    <row r="51" spans="2:66" hidden="1" outlineLevel="1" x14ac:dyDescent="0.25">
      <c r="B51" s="204" t="str">
        <f>B70</f>
        <v>IQ21401</v>
      </c>
      <c r="C51" s="204"/>
      <c r="D51" s="214" t="e">
        <f ca="1">_xll.ciqfunctions.udf.CIQ($B51, "IQ_COMPANY_NAME",Current_Date)</f>
        <v>#NAME?</v>
      </c>
      <c r="E51" s="213"/>
      <c r="F51" s="208" t="str">
        <f>$E$89</f>
        <v>KKR</v>
      </c>
      <c r="G51" s="224" t="e">
        <f ca="1">_xll.ciqfunctions.udf.CIQ($B51, "IQ_MARKETCAP",Current_Date)</f>
        <v>#NAME?</v>
      </c>
      <c r="H51" s="224" t="e">
        <f ca="1">_xll.ciqfunctions.udf.CIQ($B51, "IQ_TEV",Current_Date)</f>
        <v>#NAME?</v>
      </c>
      <c r="I51" s="212" t="e">
        <f ca="1">_xll.ciqfunctions.udf.CIQ($B51, "IQ_TOTAL_REV_1YR_ANN_GROWTH",IQ_LTM,Current_Date)/100</f>
        <v>#NAME?</v>
      </c>
      <c r="J51" s="212" t="e">
        <f ca="1">_xll.ciqfunctions.udf.CIQ($B51,"IQ_REVENUE_EST",IQ_FY+1)/(_xll.ciqfunctions.udf.CIQ($B51,"IQ_TOTAL_REV",IQ_FY))-1</f>
        <v>#NAME?</v>
      </c>
      <c r="K51" s="212" t="e">
        <f ca="1">_xll.ciqfunctions.udf.CIQ($B51, "IQ_EPS_1YR_ANN_GROWTH",IQ_LTM,Current_Date)/100</f>
        <v>#NAME?</v>
      </c>
      <c r="L51" s="212" t="e">
        <f ca="1">_xll.ciqfunctions.udf.CIQ($B51,"IQ_EPS_EST",IQ_FY+1)/(_xll.ciqfunctions.udf.CIQ($B51,"IQ_DILUT_EPS_INCL",IQ_FY))-1</f>
        <v>#NAME?</v>
      </c>
      <c r="M51" s="212" t="e">
        <f ca="1">_xll.ciqfunctions.udf.CIQ($B51, "IQ_EBITDA_MARGIN",IQ_LTM)/100</f>
        <v>#NAME?</v>
      </c>
      <c r="N51" s="212" t="e">
        <f ca="1">_xll.ciqfunctions.udf.CIQ($B51,"IQ_EBITDA_EST",IQ_FY+1)/(_xll.ciqfunctions.udf.CIQ($B51,"IQ_REVENUE_EST",IQ_FY+1))</f>
        <v>#NAME?</v>
      </c>
      <c r="O51" s="212" t="e">
        <f ca="1">_xll.ciqfunctions.udf.CIQ($B51, "IQ_NI_MARGIN",IQ_LTM)/100</f>
        <v>#NAME?</v>
      </c>
      <c r="P51" s="212" t="e">
        <f ca="1">_xll.ciqfunctions.udf.CIQ($B51,"IQ_NI_EST",IQ_FY+1)/(_xll.ciqfunctions.udf.CIQ($B51,"IQ_REVENUE_EST",IQ_FY+1))</f>
        <v>#NAME?</v>
      </c>
      <c r="Q51" s="210" t="s">
        <v>13</v>
      </c>
      <c r="R51" s="210" t="s">
        <v>13</v>
      </c>
      <c r="S51" s="210" t="s">
        <v>13</v>
      </c>
      <c r="T51" s="210" t="s">
        <v>13</v>
      </c>
      <c r="U51" s="210" t="e">
        <f ca="1">_xll.ciqfunctions.udf.CIQ($B51, "IQ_PE_EXCL",IQ_LTM)</f>
        <v>#NAME?</v>
      </c>
      <c r="V51" s="210" t="e">
        <f ca="1">_xll.ciqfunctions.udf.CIQ($B51, "IQ_MARKETCAP",Current_Date)/_xll.ciqfunctions.udf.CIQ($B51, "IQ_NI_EST",IQ_FY+1)</f>
        <v>#NAME?</v>
      </c>
      <c r="W51" s="2"/>
      <c r="X51" s="204" t="str">
        <f>X70</f>
        <v>IQ21401</v>
      </c>
      <c r="Y51" s="24"/>
      <c r="Z51" s="214" t="e">
        <f>Company_Name</f>
        <v>#REF!</v>
      </c>
      <c r="AA51" s="213"/>
      <c r="AB51" s="208" t="str">
        <f>$E$89</f>
        <v>KKR</v>
      </c>
      <c r="AC51" s="224" t="e">
        <f ca="1">_xll.ciqfunctions.udf.CIQ($X51, "IQ_MARKETCAP",Current_Date)</f>
        <v>#NAME?</v>
      </c>
      <c r="AD51" s="224" t="e">
        <f ca="1">_xll.ciqfunctions.udf.CIQ($X51, "IQ_TEV",Current_Date)</f>
        <v>#NAME?</v>
      </c>
      <c r="AE51" s="212" t="e">
        <f ca="1">_xll.ciqfunctions.udf.CIQ($X51, "IQ_TOTAL_REV_1YR_ANN_GROWTH",IQ_LTM,Current_Date)/100</f>
        <v>#NAME?</v>
      </c>
      <c r="AF51" s="212" t="e">
        <f ca="1">_xll.ciqfunctions.udf.CIQ($X51,"IQ_REVENUE_EST",IQ_FY+1)/(_xll.ciqfunctions.udf.CIQ($X51,"IQ_TOTAL_REV",IQ_FY))-1</f>
        <v>#NAME?</v>
      </c>
      <c r="AG51" s="212" t="e">
        <f ca="1">_xll.ciqfunctions.udf.CIQ($X51, "IQ_EPS_1YR_ANN_GROWTH",IQ_LTM,Current_Date)/100</f>
        <v>#NAME?</v>
      </c>
      <c r="AH51" s="212" t="e">
        <f ca="1">_xll.ciqfunctions.udf.CIQ($X51,"IQ_EPS_EST",IQ_FY+1)/(_xll.ciqfunctions.udf.CIQ($X51,"IQ_DILUT_EPS_INCL",IQ_FY))-1</f>
        <v>#NAME?</v>
      </c>
      <c r="AI51" s="212" t="e">
        <f ca="1">_xll.ciqfunctions.udf.CIQ($X51, "IQ_EBITDA_MARGIN",IQ_LTM)/100</f>
        <v>#NAME?</v>
      </c>
      <c r="AJ51" s="212" t="e">
        <f ca="1">_xll.ciqfunctions.udf.CIQ($X51,"IQ_EBITDA_EST",IQ_FY+1)/(_xll.ciqfunctions.udf.CIQ($X51,"IQ_REVENUE_EST",IQ_FY+1))</f>
        <v>#NAME?</v>
      </c>
      <c r="AK51" s="212" t="e">
        <f ca="1">_xll.ciqfunctions.udf.CIQ($X51, "IQ_NI_MARGIN",IQ_LTM)/100</f>
        <v>#NAME?</v>
      </c>
      <c r="AL51" s="212" t="e">
        <f ca="1">_xll.ciqfunctions.udf.CIQ($X51,"IQ_NI_EST",IQ_FY+1)/(_xll.ciqfunctions.udf.CIQ($X51,"IQ_REVENUE_EST",IQ_FY+1))</f>
        <v>#NAME?</v>
      </c>
      <c r="AM51" s="210" t="e">
        <f ca="1">_xll.ciqfunctions.udf.CIQ($X51, "IQ_TEV_EBITDA",IQ_LTM)</f>
        <v>#NAME?</v>
      </c>
      <c r="AN51" s="210" t="e">
        <f ca="1">_xll.ciqfunctions.udf.CIQ($X51, "IQ_TEV",Current_Date)/_xll.ciqfunctions.udf.CIQ($X51, "IQ_EBITDA_EST",IQ_FY+1)</f>
        <v>#NAME?</v>
      </c>
      <c r="AO51" s="210" t="e">
        <f ca="1">_xll.ciqfunctions.udf.CIQ($X51, "IQ_TEV_TOTAL_REV",IQ_LTM)</f>
        <v>#NAME?</v>
      </c>
      <c r="AP51" s="210" t="e">
        <f ca="1">_xll.ciqfunctions.udf.CIQ($X51, "IQ_TEV",Current_Date)/_xll.ciqfunctions.udf.CIQ($X51, "IQ_REVENUE_EST",IQ_FY+1)</f>
        <v>#NAME?</v>
      </c>
      <c r="AQ51" s="210" t="e">
        <f ca="1">_xll.ciqfunctions.udf.CIQ($X51, "IQ_PE_EXCL",IQ_LTM)</f>
        <v>#NAME?</v>
      </c>
      <c r="AR51" s="223" t="e">
        <f ca="1">_xll.ciqfunctions.udf.CIQ($X51, "IQ_MARKETCAP",Current_Date)/_xll.ciqfunctions.udf.CIQ($X51, "IQ_NI_EST",IQ_FY+1)</f>
        <v>#NAME?</v>
      </c>
      <c r="AT51" s="204" t="str">
        <f>AT70</f>
        <v>IQ21401</v>
      </c>
      <c r="AU51" s="24"/>
      <c r="AV51" s="214" t="e">
        <f>Company_Name</f>
        <v>#REF!</v>
      </c>
      <c r="AW51" s="213"/>
      <c r="AX51" s="208" t="e">
        <f>Ticker</f>
        <v>#REF!</v>
      </c>
      <c r="AY51" s="224" t="e">
        <f ca="1">_xll.ciqfunctions.udf.CIQ($AT51, "IQ_MARKETCAP",Current_Date)</f>
        <v>#NAME?</v>
      </c>
      <c r="AZ51" s="224" t="e">
        <f ca="1">_xll.ciqfunctions.udf.CIQ($AT51, "IQ_TEV",Current_Date)</f>
        <v>#NAME?</v>
      </c>
      <c r="BA51" s="212" t="e">
        <f ca="1">_xll.ciqfunctions.udf.CIQ($AT51, "IQ_TOTAL_REV_1YR_ANN_GROWTH",IQ_LTM,Current_Date)/100</f>
        <v>#NAME?</v>
      </c>
      <c r="BB51" s="212" t="e">
        <f ca="1">_xll.ciqfunctions.udf.CIQ($AT51,"IQ_REVENUE_EST",IQ_FY+1)/(_xll.ciqfunctions.udf.CIQ($AT51,"IQ_TOTAL_REV",IQ_FY))-1</f>
        <v>#NAME?</v>
      </c>
      <c r="BC51" s="212" t="e">
        <f ca="1">_xll.ciqfunctions.udf.CIQ($AT51, "IQ_EPS_1YR_ANN_GROWTH",IQ_LTM,Current_Date)/100</f>
        <v>#NAME?</v>
      </c>
      <c r="BD51" s="212" t="e">
        <f ca="1">_xll.ciqfunctions.udf.CIQ($AT51,"IQ_EPS_EST",IQ_FY+1)/(_xll.ciqfunctions.udf.CIQ($AT51,"IQ_DILUT_EPS_INCL",IQ_FY))-1</f>
        <v>#NAME?</v>
      </c>
      <c r="BE51" s="212" t="e">
        <f ca="1">_xll.ciqfunctions.udf.CIQ($AT51, "IQ_EBITDA_MARGIN",IQ_LTM)/100</f>
        <v>#NAME?</v>
      </c>
      <c r="BF51" s="212" t="e">
        <f ca="1">_xll.ciqfunctions.udf.CIQ($AT51,"IQ_EBITDA_EST",IQ_FY+1)/(_xll.ciqfunctions.udf.CIQ($AT51,"IQ_REVENUE_EST",IQ_FY+1))</f>
        <v>#NAME?</v>
      </c>
      <c r="BG51" s="212" t="e">
        <f ca="1">_xll.ciqfunctions.udf.CIQ($AT51, "IQ_NI_MARGIN",IQ_LTM)/100</f>
        <v>#NAME?</v>
      </c>
      <c r="BH51" s="212" t="e">
        <f ca="1">_xll.ciqfunctions.udf.CIQ($AT51,"IQ_NI_EST",IQ_FY+1)/(_xll.ciqfunctions.udf.CIQ($AT51,"IQ_REVENUE_EST",IQ_FY+1))</f>
        <v>#NAME?</v>
      </c>
      <c r="BI51" s="210" t="e">
        <f ca="1">_xll.ciqfunctions.udf.CIQ($AT51, "IQ_TEV_EBITDA",IQ_LTM)</f>
        <v>#NAME?</v>
      </c>
      <c r="BJ51" s="210" t="e">
        <f ca="1">_xll.ciqfunctions.udf.CIQ($AT51, "IQ_TEV",Current_Date)/_xll.ciqfunctions.udf.CIQ($AT51, "IQ_EBITDA_EST",IQ_FY+1)</f>
        <v>#NAME?</v>
      </c>
      <c r="BK51" s="210" t="e">
        <f ca="1">_xll.ciqfunctions.udf.CIQ($AT51, "IQ_TEV_TOTAL_REV",IQ_LTM)</f>
        <v>#NAME?</v>
      </c>
      <c r="BL51" s="210" t="e">
        <f ca="1">_xll.ciqfunctions.udf.CIQ($AT51, "IQ_TEV",Current_Date)/_xll.ciqfunctions.udf.CIQ($AT51, "IQ_REVENUE_EST",IQ_FY+1)</f>
        <v>#NAME?</v>
      </c>
      <c r="BM51" s="210" t="e">
        <f ca="1">_xll.ciqfunctions.udf.CIQ($AT51, "IQ_PE_EXCL",IQ_LTM)</f>
        <v>#NAME?</v>
      </c>
      <c r="BN51" s="223" t="e">
        <f ca="1">_xll.ciqfunctions.udf.CIQ($AT51, "IQ_MARKETCAP",Current_Date)/_xll.ciqfunctions.udf.CIQ($AT51, "IQ_NI_EST",IQ_FY+1)</f>
        <v>#NAME?</v>
      </c>
    </row>
    <row r="52" spans="2:66" hidden="1" outlineLevel="1" x14ac:dyDescent="0.25">
      <c r="B52" s="204"/>
      <c r="C52" s="204"/>
      <c r="D52" s="2"/>
      <c r="E52" s="2"/>
      <c r="F52" s="27"/>
      <c r="G52" s="27"/>
      <c r="H52" s="27"/>
      <c r="I52" s="199"/>
      <c r="J52" s="199"/>
      <c r="K52" s="221"/>
      <c r="L52" s="221"/>
      <c r="M52" s="221"/>
      <c r="N52" s="221"/>
      <c r="O52" s="220"/>
      <c r="P52" s="220"/>
      <c r="Q52" s="165"/>
      <c r="R52" s="165"/>
      <c r="S52" s="27"/>
      <c r="T52" s="27"/>
      <c r="U52" s="27"/>
      <c r="V52" s="27"/>
      <c r="W52" s="2"/>
      <c r="X52" s="204"/>
      <c r="Y52" s="24"/>
      <c r="Z52" s="2"/>
      <c r="AA52" s="2"/>
      <c r="AB52" s="27"/>
      <c r="AC52" s="222"/>
      <c r="AD52" s="27"/>
      <c r="AE52" s="199"/>
      <c r="AF52" s="200"/>
      <c r="AG52" s="221"/>
      <c r="AH52" s="221"/>
      <c r="AI52" s="220"/>
      <c r="AJ52" s="220"/>
      <c r="AK52" s="220"/>
      <c r="AL52" s="220"/>
      <c r="AM52" s="165"/>
      <c r="AN52" s="165"/>
      <c r="AO52" s="27"/>
      <c r="AP52" s="27"/>
      <c r="AQ52" s="27"/>
      <c r="AR52" s="27"/>
      <c r="AT52" s="204"/>
      <c r="AU52" s="24"/>
      <c r="AV52" s="2"/>
      <c r="AW52" s="2"/>
      <c r="AX52" s="27"/>
      <c r="AY52" s="222"/>
      <c r="AZ52" s="27"/>
      <c r="BA52" s="199"/>
      <c r="BB52" s="200"/>
      <c r="BC52" s="221"/>
      <c r="BD52" s="221"/>
      <c r="BE52" s="220"/>
      <c r="BF52" s="220"/>
      <c r="BG52" s="220"/>
      <c r="BH52" s="220"/>
      <c r="BI52" s="165"/>
      <c r="BJ52" s="165"/>
      <c r="BK52" s="27"/>
      <c r="BL52" s="27"/>
      <c r="BM52" s="27"/>
      <c r="BN52" s="27"/>
    </row>
    <row r="53" spans="2:66" hidden="1" outlineLevel="1" x14ac:dyDescent="0.25">
      <c r="B53" s="204" t="str">
        <f>B72</f>
        <v>IQ18833</v>
      </c>
      <c r="C53" s="204"/>
      <c r="D53" s="2" t="e">
        <f ca="1">_xll.ciqfunctions.udf.CIQ($B53, "IQ_COMPANY_NAME",Current_Date)</f>
        <v>#NAME?</v>
      </c>
      <c r="E53" s="2"/>
      <c r="F53" s="27" t="str">
        <f>F72</f>
        <v>APO</v>
      </c>
      <c r="G53" s="218" t="e">
        <f ca="1">_xll.ciqfunctions.udf.CIQ($B53, "IQ_MARKETCAP",Current_Date)</f>
        <v>#NAME?</v>
      </c>
      <c r="H53" s="218" t="e">
        <f ca="1">_xll.ciqfunctions.udf.CIQ($B53, "IQ_TEV",Current_Date)</f>
        <v>#NAME?</v>
      </c>
      <c r="I53" s="203" t="e">
        <f ca="1">_xll.ciqfunctions.udf.CIQ($B53, "IQ_TOTAL_REV_1YR_ANN_GROWTH",IQ_LTM,Current_Date)/100</f>
        <v>#NAME?</v>
      </c>
      <c r="J53" s="203" t="e">
        <f ca="1">_xll.ciqfunctions.udf.CIQ($B53,"IQ_REVENUE_EST",IQ_FY+1)/(_xll.ciqfunctions.udf.CIQ($B53,"IQ_TOTAL_REV",IQ_FY))-1</f>
        <v>#NAME?</v>
      </c>
      <c r="K53" s="203" t="s">
        <v>13</v>
      </c>
      <c r="L53" s="203" t="e">
        <f ca="1">_xll.ciqfunctions.udf.CIQ($B53,"IQ_EPS_EST",IQ_FY+1)/(_xll.ciqfunctions.udf.CIQ($B53,"IQ_DILUT_EPS_INCL",IQ_FY))-1</f>
        <v>#NAME?</v>
      </c>
      <c r="M53" s="203" t="s">
        <v>13</v>
      </c>
      <c r="N53" s="203" t="e">
        <f ca="1">_xll.ciqfunctions.udf.CIQ($B53,"IQ_EBITDA_EST",IQ_FY+1)/(_xll.ciqfunctions.udf.CIQ($B53,"IQ_REVENUE_EST",IQ_FY+1))</f>
        <v>#NAME?</v>
      </c>
      <c r="O53" s="203" t="e">
        <f ca="1">_xll.ciqfunctions.udf.CIQ($B53, "IQ_NI_MARGIN",IQ_LTM)/100</f>
        <v>#NAME?</v>
      </c>
      <c r="P53" s="203" t="e">
        <f ca="1">_xll.ciqfunctions.udf.CIQ($B53,"IQ_NI_EST",IQ_FY+1)/(_xll.ciqfunctions.udf.CIQ($B53,"IQ_REVENUE_EST",IQ_FY+1))</f>
        <v>#NAME?</v>
      </c>
      <c r="Q53" s="203" t="s">
        <v>13</v>
      </c>
      <c r="R53" s="203" t="s">
        <v>13</v>
      </c>
      <c r="S53" s="203" t="s">
        <v>13</v>
      </c>
      <c r="T53" s="203" t="s">
        <v>13</v>
      </c>
      <c r="U53" s="203" t="s">
        <v>13</v>
      </c>
      <c r="V53" s="164" t="e">
        <f ca="1">_xll.ciqfunctions.udf.CIQ($B53, "IQ_MARKETCAP",Current_Date)/_xll.ciqfunctions.udf.CIQ($B53, "IQ_NI_EST",IQ_FY+1)</f>
        <v>#NAME?</v>
      </c>
      <c r="W53" s="2"/>
      <c r="X53" s="204" t="str">
        <f>X72</f>
        <v>IQ159230</v>
      </c>
      <c r="Y53" s="24"/>
      <c r="Z53" s="2" t="e">
        <f ca="1">_xll.ciqfunctions.udf.CIQ($X53, "IQ_COMPANY_NAME",Current_Date)</f>
        <v>#NAME?</v>
      </c>
      <c r="AA53" s="2"/>
      <c r="AB53" s="27" t="str">
        <f>AB72</f>
        <v>RTX</v>
      </c>
      <c r="AC53" s="218" t="e">
        <f ca="1">_xll.ciqfunctions.udf.CIQ($X53, "IQ_MARKETCAP",Current_Date)</f>
        <v>#NAME?</v>
      </c>
      <c r="AD53" s="218" t="e">
        <f ca="1">_xll.ciqfunctions.udf.CIQ($X53, "IQ_TEV",Current_Date)</f>
        <v>#NAME?</v>
      </c>
      <c r="AE53" s="203" t="e">
        <f ca="1">_xll.ciqfunctions.udf.CIQ($X53, "IQ_TOTAL_REV_1YR_ANN_GROWTH",IQ_LTM,Current_Date)/100</f>
        <v>#NAME?</v>
      </c>
      <c r="AF53" s="203" t="e">
        <f ca="1">_xll.ciqfunctions.udf.CIQ($X53,"IQ_REVENUE_EST",IQ_FY+1)/(_xll.ciqfunctions.udf.CIQ($X53,"IQ_TOTAL_REV",IQ_FY))-1</f>
        <v>#NAME?</v>
      </c>
      <c r="AG53" s="203" t="e">
        <f ca="1">_xll.ciqfunctions.udf.CIQ($X53, "IQ_EPS_1YR_ANN_GROWTH",IQ_LTM,Current_Date)/100</f>
        <v>#NAME?</v>
      </c>
      <c r="AH53" s="203" t="e">
        <f ca="1">_xll.ciqfunctions.udf.CIQ($X53,"IQ_EPS_EST",IQ_FY+1)/(_xll.ciqfunctions.udf.CIQ($X53,"IQ_DILUT_EPS_INCL",IQ_FY))-1</f>
        <v>#NAME?</v>
      </c>
      <c r="AI53" s="203" t="e">
        <f ca="1">_xll.ciqfunctions.udf.CIQ($X53, "IQ_EBITDA_MARGIN",IQ_LTM)/100</f>
        <v>#NAME?</v>
      </c>
      <c r="AJ53" s="203" t="e">
        <f ca="1">_xll.ciqfunctions.udf.CIQ($X53,"IQ_EBITDA_EST",IQ_FY+1)/(_xll.ciqfunctions.udf.CIQ($X53,"IQ_REVENUE_EST",IQ_FY+1))</f>
        <v>#NAME?</v>
      </c>
      <c r="AK53" s="203" t="e">
        <f ca="1">_xll.ciqfunctions.udf.CIQ($X53, "IQ_NI_MARGIN",IQ_LTM)/100</f>
        <v>#NAME?</v>
      </c>
      <c r="AL53" s="203" t="e">
        <f ca="1">_xll.ciqfunctions.udf.CIQ($X53,"IQ_NI_EST",IQ_FY+1)/(_xll.ciqfunctions.udf.CIQ($X53,"IQ_REVENUE_EST",IQ_FY+1))</f>
        <v>#NAME?</v>
      </c>
      <c r="AM53" s="164" t="e">
        <f ca="1">_xll.ciqfunctions.udf.CIQ($X53, "IQ_TEV_EBITDA",IQ_LTM)</f>
        <v>#NAME?</v>
      </c>
      <c r="AN53" s="164" t="e">
        <f ca="1">_xll.ciqfunctions.udf.CIQ($X53, "IQ_TEV",Current_Date)/_xll.ciqfunctions.udf.CIQ($X53, "IQ_EBITDA_EST",IQ_FY+1)</f>
        <v>#NAME?</v>
      </c>
      <c r="AO53" s="164" t="e">
        <f ca="1">_xll.ciqfunctions.udf.CIQ($X53, "IQ_TEV_TOTAL_REV",IQ_LTM)</f>
        <v>#NAME?</v>
      </c>
      <c r="AP53" s="164" t="e">
        <f ca="1">_xll.ciqfunctions.udf.CIQ($X53, "IQ_TEV",Current_Date)/_xll.ciqfunctions.udf.CIQ($X53, "IQ_REVENUE_EST",IQ_FY+1)</f>
        <v>#NAME?</v>
      </c>
      <c r="AQ53" s="164" t="e">
        <f ca="1">_xll.ciqfunctions.udf.CIQ($X53, "IQ_PE_EXCL",IQ_LTM)</f>
        <v>#NAME?</v>
      </c>
      <c r="AR53" s="164" t="e">
        <f ca="1">_xll.ciqfunctions.udf.CIQ($X53, "IQ_MARKETCAP",Current_Date)/_xll.ciqfunctions.udf.CIQ($X53, "IQ_NI_EST",IQ_FY+1)</f>
        <v>#NAME?</v>
      </c>
      <c r="AT53" s="204" t="str">
        <f>AT72</f>
        <v>IQ289194</v>
      </c>
      <c r="AU53" s="24"/>
      <c r="AV53" s="2" t="e">
        <f ca="1">_xll.ciqfunctions.udf.CIQ($AT53, "IQ_COMPANY_NAME",Current_Date)</f>
        <v>#NAME?</v>
      </c>
      <c r="AW53" s="2"/>
      <c r="AX53" s="27" t="str">
        <f>N93</f>
        <v>MMM</v>
      </c>
      <c r="AY53" s="218" t="e">
        <f ca="1">_xll.ciqfunctions.udf.CIQ($AT53, "IQ_MARKETCAP",Current_Date)</f>
        <v>#NAME?</v>
      </c>
      <c r="AZ53" s="218" t="e">
        <f ca="1">_xll.ciqfunctions.udf.CIQ($AT53, "IQ_TEV",Current_Date)</f>
        <v>#NAME?</v>
      </c>
      <c r="BA53" s="203" t="e">
        <f ca="1">_xll.ciqfunctions.udf.CIQ($AT53, "IQ_TOTAL_REV_1YR_ANN_GROWTH",IQ_LTM,Current_Date)/100</f>
        <v>#NAME?</v>
      </c>
      <c r="BB53" s="203" t="e">
        <f ca="1">_xll.ciqfunctions.udf.CIQ($AT53,"IQ_REVENUE_EST",IQ_FY+1)/(_xll.ciqfunctions.udf.CIQ($AT53,"IQ_TOTAL_REV",IQ_FY))-1</f>
        <v>#NAME?</v>
      </c>
      <c r="BC53" s="203" t="e">
        <f ca="1">_xll.ciqfunctions.udf.CIQ($AT53, "IQ_EPS_1YR_ANN_GROWTH",IQ_LTM,Current_Date)/100</f>
        <v>#NAME?</v>
      </c>
      <c r="BD53" s="203" t="e">
        <f ca="1">_xll.ciqfunctions.udf.CIQ($AT53,"IQ_EPS_EST",IQ_FY+1)/(_xll.ciqfunctions.udf.CIQ($AT53,"IQ_DILUT_EPS_INCL",IQ_FY))-1</f>
        <v>#NAME?</v>
      </c>
      <c r="BE53" s="203" t="e">
        <f ca="1">_xll.ciqfunctions.udf.CIQ($AT53, "IQ_EBITDA_MARGIN",IQ_LTM)/100</f>
        <v>#NAME?</v>
      </c>
      <c r="BF53" s="203" t="e">
        <f ca="1">_xll.ciqfunctions.udf.CIQ($AT53,"IQ_EBITDA_EST",IQ_FY+1)/(_xll.ciqfunctions.udf.CIQ($AT53,"IQ_REVENUE_EST",IQ_FY+1))</f>
        <v>#NAME?</v>
      </c>
      <c r="BG53" s="203" t="e">
        <f ca="1">_xll.ciqfunctions.udf.CIQ($AT53, "IQ_NI_MARGIN",IQ_LTM)/100</f>
        <v>#NAME?</v>
      </c>
      <c r="BH53" s="203" t="e">
        <f ca="1">_xll.ciqfunctions.udf.CIQ($AT53,"IQ_NI_EST",IQ_FY+1)/(_xll.ciqfunctions.udf.CIQ($AT53,"IQ_REVENUE_EST",IQ_FY+1))</f>
        <v>#NAME?</v>
      </c>
      <c r="BI53" s="164" t="e">
        <f ca="1">_xll.ciqfunctions.udf.CIQ($AT53, "IQ_TEV_EBITDA",IQ_LTM)</f>
        <v>#NAME?</v>
      </c>
      <c r="BJ53" s="164" t="e">
        <f ca="1">_xll.ciqfunctions.udf.CIQ($AT53, "IQ_TEV",Current_Date)/_xll.ciqfunctions.udf.CIQ($AT53, "IQ_EBITDA_EST",IQ_FY+1)</f>
        <v>#NAME?</v>
      </c>
      <c r="BK53" s="164" t="e">
        <f ca="1">_xll.ciqfunctions.udf.CIQ($AT53, "IQ_TEV_TOTAL_REV",IQ_LTM)</f>
        <v>#NAME?</v>
      </c>
      <c r="BL53" s="164" t="e">
        <f ca="1">_xll.ciqfunctions.udf.CIQ($AT53, "IQ_TEV",Current_Date)/_xll.ciqfunctions.udf.CIQ($AT53, "IQ_REVENUE_EST",IQ_FY+1)</f>
        <v>#NAME?</v>
      </c>
      <c r="BM53" s="164" t="e">
        <f ca="1">_xll.ciqfunctions.udf.CIQ($AT53, "IQ_PE_EXCL",IQ_LTM)</f>
        <v>#NAME?</v>
      </c>
      <c r="BN53" s="164" t="e">
        <f ca="1">_xll.ciqfunctions.udf.CIQ($AT53, "IQ_MARKETCAP",Current_Date)/_xll.ciqfunctions.udf.CIQ($AT53, "IQ_NI_EST",IQ_FY+1)</f>
        <v>#NAME?</v>
      </c>
    </row>
    <row r="54" spans="2:66" hidden="1" outlineLevel="1" x14ac:dyDescent="0.25">
      <c r="B54" s="204" t="str">
        <f>B73</f>
        <v>IQ44707236</v>
      </c>
      <c r="C54" s="204"/>
      <c r="D54" s="2" t="s">
        <v>237</v>
      </c>
      <c r="E54" s="2"/>
      <c r="F54" s="27" t="str">
        <f>F73</f>
        <v>ARCC</v>
      </c>
      <c r="G54" s="218" t="e">
        <f ca="1">_xll.ciqfunctions.udf.CIQ($B54, "IQ_MARKETCAP",Current_Date)</f>
        <v>#NAME?</v>
      </c>
      <c r="H54" s="218" t="e">
        <f ca="1">_xll.ciqfunctions.udf.CIQ($B54, "IQ_TEV",Current_Date)</f>
        <v>#NAME?</v>
      </c>
      <c r="I54" s="203" t="e">
        <f ca="1">_xll.ciqfunctions.udf.CIQ($B54, "IQ_TOTAL_REV_1YR_ANN_GROWTH",IQ_LTM,Current_Date)/100</f>
        <v>#NAME?</v>
      </c>
      <c r="J54" s="203" t="e">
        <f ca="1">_xll.ciqfunctions.udf.CIQ($B54,"IQ_REVENUE_EST",IQ_FY+1)/(_xll.ciqfunctions.udf.CIQ($B54,"IQ_TOTAL_REV",IQ_FY))-1</f>
        <v>#NAME?</v>
      </c>
      <c r="K54" s="203" t="e">
        <f ca="1">_xll.ciqfunctions.udf.CIQ($B54, "IQ_EPS_1YR_ANN_GROWTH",IQ_LTM,Current_Date)/100</f>
        <v>#NAME?</v>
      </c>
      <c r="L54" s="203" t="e">
        <f ca="1">_xll.ciqfunctions.udf.CIQ($B54,"IQ_EPS_EST",IQ_FY+1)/(_xll.ciqfunctions.udf.CIQ($B54,"IQ_DILUT_EPS_INCL",IQ_FY))-1</f>
        <v>#NAME?</v>
      </c>
      <c r="M54" s="203" t="e">
        <f ca="1">_xll.ciqfunctions.udf.CIQ($B54, "IQ_EBITDA_MARGIN",IQ_LTM)/100</f>
        <v>#NAME?</v>
      </c>
      <c r="N54" s="203" t="e">
        <f ca="1">_xll.ciqfunctions.udf.CIQ($B54,"IQ_EBITDA_EST",IQ_FY+1)/(_xll.ciqfunctions.udf.CIQ($B54,"IQ_REVENUE_EST",IQ_FY+1))</f>
        <v>#NAME?</v>
      </c>
      <c r="O54" s="203" t="e">
        <f ca="1">_xll.ciqfunctions.udf.CIQ($B54, "IQ_NI_MARGIN",IQ_LTM)/100</f>
        <v>#NAME?</v>
      </c>
      <c r="P54" s="203" t="e">
        <f ca="1">_xll.ciqfunctions.udf.CIQ($B54,"IQ_NI_EST",IQ_FY+1)/(_xll.ciqfunctions.udf.CIQ($B54,"IQ_REVENUE_EST",IQ_FY+1))</f>
        <v>#NAME?</v>
      </c>
      <c r="Q54" s="164" t="e">
        <f ca="1">_xll.ciqfunctions.udf.CIQ($B54, "IQ_TEV_EBITDA",IQ_LTM)</f>
        <v>#NAME?</v>
      </c>
      <c r="R54" s="164" t="e">
        <f ca="1">_xll.ciqfunctions.udf.CIQ($B54, "IQ_TEV",Current_Date)/_xll.ciqfunctions.udf.CIQ($B54, "IQ_EBITDA_EST",IQ_FY+1)</f>
        <v>#NAME?</v>
      </c>
      <c r="S54" s="164" t="e">
        <f ca="1">_xll.ciqfunctions.udf.CIQ($B54, "IQ_TEV_TOTAL_REV",IQ_LTM)</f>
        <v>#NAME?</v>
      </c>
      <c r="T54" s="164" t="e">
        <f ca="1">_xll.ciqfunctions.udf.CIQ($B54, "IQ_TEV",Current_Date)/_xll.ciqfunctions.udf.CIQ($B54, "IQ_REVENUE_EST",IQ_FY+1)</f>
        <v>#NAME?</v>
      </c>
      <c r="U54" s="164" t="e">
        <f ca="1">_xll.ciqfunctions.udf.CIQ($B54, "IQ_PE_EXCL",IQ_LTM)</f>
        <v>#NAME?</v>
      </c>
      <c r="V54" s="164" t="e">
        <f ca="1">_xll.ciqfunctions.udf.CIQ($B54, "IQ_MARKETCAP",Current_Date)/_xll.ciqfunctions.udf.CIQ($B54, "IQ_NI_EST",IQ_FY+1)</f>
        <v>#NAME?</v>
      </c>
      <c r="W54" s="2"/>
      <c r="X54" s="204" t="str">
        <f>X73</f>
        <v>IQ370857</v>
      </c>
      <c r="Y54" s="24"/>
      <c r="Z54" s="2" t="e">
        <f ca="1">_xll.ciqfunctions.udf.CIQ($X54, "IQ_COMPANY_NAME",Current_Date)</f>
        <v>#NAME?</v>
      </c>
      <c r="AA54" s="2"/>
      <c r="AB54" s="27" t="str">
        <f>AB73</f>
        <v>BA</v>
      </c>
      <c r="AC54" s="218" t="e">
        <f ca="1">_xll.ciqfunctions.udf.CIQ($X54, "IQ_MARKETCAP",Current_Date)</f>
        <v>#NAME?</v>
      </c>
      <c r="AD54" s="218" t="e">
        <f ca="1">_xll.ciqfunctions.udf.CIQ($X54, "IQ_TEV",Current_Date)</f>
        <v>#NAME?</v>
      </c>
      <c r="AE54" s="203" t="e">
        <f ca="1">_xll.ciqfunctions.udf.CIQ($X54, "IQ_TOTAL_REV_1YR_ANN_GROWTH",IQ_LTM,Current_Date)/100</f>
        <v>#NAME?</v>
      </c>
      <c r="AF54" s="203" t="e">
        <f ca="1">_xll.ciqfunctions.udf.CIQ($X54,"IQ_REVENUE_EST",IQ_FY+1)/(_xll.ciqfunctions.udf.CIQ($X54,"IQ_TOTAL_REV",IQ_FY))-1</f>
        <v>#NAME?</v>
      </c>
      <c r="AG54" s="203" t="e">
        <f ca="1">_xll.ciqfunctions.udf.CIQ($X54, "IQ_EPS_1YR_ANN_GROWTH",IQ_LTM,Current_Date)/100</f>
        <v>#NAME?</v>
      </c>
      <c r="AH54" s="203" t="e">
        <f ca="1">_xll.ciqfunctions.udf.CIQ($X54,"IQ_EPS_EST",IQ_FY+1)/(_xll.ciqfunctions.udf.CIQ($X54,"IQ_DILUT_EPS_INCL",IQ_FY))-1</f>
        <v>#NAME?</v>
      </c>
      <c r="AI54" s="203" t="e">
        <f ca="1">_xll.ciqfunctions.udf.CIQ($X54, "IQ_EBITDA_MARGIN",IQ_LTM)/100</f>
        <v>#NAME?</v>
      </c>
      <c r="AJ54" s="203" t="e">
        <f ca="1">_xll.ciqfunctions.udf.CIQ($X54,"IQ_EBITDA_EST",IQ_FY+1)/(_xll.ciqfunctions.udf.CIQ($X54,"IQ_REVENUE_EST",IQ_FY+1))</f>
        <v>#NAME?</v>
      </c>
      <c r="AK54" s="203" t="e">
        <f ca="1">_xll.ciqfunctions.udf.CIQ($X54, "IQ_NI_MARGIN",IQ_LTM)/100</f>
        <v>#NAME?</v>
      </c>
      <c r="AL54" s="203" t="e">
        <f ca="1">_xll.ciqfunctions.udf.CIQ($X54,"IQ_NI_EST",IQ_FY+1)/(_xll.ciqfunctions.udf.CIQ($X54,"IQ_REVENUE_EST",IQ_FY+1))</f>
        <v>#NAME?</v>
      </c>
      <c r="AM54" s="164" t="e">
        <f ca="1">_xll.ciqfunctions.udf.CIQ($X54, "IQ_TEV_EBITDA",IQ_LTM)</f>
        <v>#NAME?</v>
      </c>
      <c r="AN54" s="164" t="e">
        <f ca="1">_xll.ciqfunctions.udf.CIQ($X54, "IQ_TEV",Current_Date)/_xll.ciqfunctions.udf.CIQ($X54, "IQ_EBITDA_EST",IQ_FY+1)</f>
        <v>#NAME?</v>
      </c>
      <c r="AO54" s="164" t="e">
        <f ca="1">_xll.ciqfunctions.udf.CIQ($X54, "IQ_TEV_TOTAL_REV",IQ_LTM)</f>
        <v>#NAME?</v>
      </c>
      <c r="AP54" s="164" t="e">
        <f ca="1">_xll.ciqfunctions.udf.CIQ($X54, "IQ_TEV",Current_Date)/_xll.ciqfunctions.udf.CIQ($X54, "IQ_REVENUE_EST",IQ_FY+1)</f>
        <v>#NAME?</v>
      </c>
      <c r="AQ54" s="164" t="e">
        <f ca="1">_xll.ciqfunctions.udf.CIQ($X54, "IQ_PE_EXCL",IQ_LTM)</f>
        <v>#NAME?</v>
      </c>
      <c r="AR54" s="164" t="e">
        <f ca="1">_xll.ciqfunctions.udf.CIQ($X54, "IQ_MARKETCAP",Current_Date)/_xll.ciqfunctions.udf.CIQ($X54, "IQ_NI_EST",IQ_FY+1)</f>
        <v>#NAME?</v>
      </c>
      <c r="AT54" s="204" t="str">
        <f>AT73</f>
        <v>IQ177031</v>
      </c>
      <c r="AU54" s="24"/>
      <c r="AV54" s="2" t="e">
        <f ca="1">_xll.ciqfunctions.udf.CIQ($AT54, "IQ_COMPANY_NAME",Current_Date)</f>
        <v>#NAME?</v>
      </c>
      <c r="AW54" s="2"/>
      <c r="AX54" s="27" t="str">
        <f>N97</f>
        <v>GE</v>
      </c>
      <c r="AY54" s="218" t="e">
        <f ca="1">_xll.ciqfunctions.udf.CIQ($AT54, "IQ_MARKETCAP",Current_Date)</f>
        <v>#NAME?</v>
      </c>
      <c r="AZ54" s="218" t="e">
        <f ca="1">_xll.ciqfunctions.udf.CIQ($AT54, "IQ_TEV",Current_Date)</f>
        <v>#NAME?</v>
      </c>
      <c r="BA54" s="203" t="e">
        <f ca="1">_xll.ciqfunctions.udf.CIQ($AT54, "IQ_TOTAL_REV_1YR_ANN_GROWTH",IQ_LTM,Current_Date)/100</f>
        <v>#NAME?</v>
      </c>
      <c r="BB54" s="203" t="e">
        <f ca="1">_xll.ciqfunctions.udf.CIQ($AT54,"IQ_REVENUE_EST",IQ_FY+1)/(_xll.ciqfunctions.udf.CIQ($AT54,"IQ_TOTAL_REV",IQ_FY))-1</f>
        <v>#NAME?</v>
      </c>
      <c r="BC54" s="203" t="e">
        <f ca="1">_xll.ciqfunctions.udf.CIQ($AT54, "IQ_EPS_1YR_ANN_GROWTH",IQ_LTM,Current_Date)/100</f>
        <v>#NAME?</v>
      </c>
      <c r="BD54" s="203" t="e">
        <f ca="1">_xll.ciqfunctions.udf.CIQ($AT54,"IQ_EPS_EST",IQ_FY+1)/(_xll.ciqfunctions.udf.CIQ($AT54,"IQ_DILUT_EPS_INCL",IQ_FY))-1</f>
        <v>#NAME?</v>
      </c>
      <c r="BE54" s="203" t="e">
        <f ca="1">_xll.ciqfunctions.udf.CIQ($AT54, "IQ_EBITDA_MARGIN",IQ_LTM)/100</f>
        <v>#NAME?</v>
      </c>
      <c r="BF54" s="203" t="e">
        <f ca="1">_xll.ciqfunctions.udf.CIQ($AT54,"IQ_EBITDA_EST",IQ_FY+1)/(_xll.ciqfunctions.udf.CIQ($AT54,"IQ_REVENUE_EST",IQ_FY+1))</f>
        <v>#NAME?</v>
      </c>
      <c r="BG54" s="203" t="e">
        <f ca="1">_xll.ciqfunctions.udf.CIQ($AT54, "IQ_NI_MARGIN",IQ_LTM)/100</f>
        <v>#NAME?</v>
      </c>
      <c r="BH54" s="203" t="e">
        <f ca="1">_xll.ciqfunctions.udf.CIQ($AT54,"IQ_NI_EST",IQ_FY+1)/(_xll.ciqfunctions.udf.CIQ($AT54,"IQ_REVENUE_EST",IQ_FY+1))</f>
        <v>#NAME?</v>
      </c>
      <c r="BI54" s="164" t="e">
        <f ca="1">_xll.ciqfunctions.udf.CIQ($AT54, "IQ_TEV_EBITDA",IQ_LTM)</f>
        <v>#NAME?</v>
      </c>
      <c r="BJ54" s="164" t="e">
        <f ca="1">_xll.ciqfunctions.udf.CIQ($AT54, "IQ_TEV",Current_Date)/_xll.ciqfunctions.udf.CIQ($AT54, "IQ_EBITDA_EST",IQ_FY+1)</f>
        <v>#NAME?</v>
      </c>
      <c r="BK54" s="164" t="e">
        <f ca="1">_xll.ciqfunctions.udf.CIQ($AT54, "IQ_TEV_TOTAL_REV",IQ_LTM)</f>
        <v>#NAME?</v>
      </c>
      <c r="BL54" s="164" t="e">
        <f ca="1">_xll.ciqfunctions.udf.CIQ($AT54, "IQ_TEV",Current_Date)/_xll.ciqfunctions.udf.CIQ($AT54, "IQ_REVENUE_EST",IQ_FY+1)</f>
        <v>#NAME?</v>
      </c>
      <c r="BM54" s="164" t="e">
        <f ca="1">_xll.ciqfunctions.udf.CIQ($AT54, "IQ_PE_EXCL",IQ_LTM)</f>
        <v>#NAME?</v>
      </c>
      <c r="BN54" s="164" t="e">
        <f ca="1">_xll.ciqfunctions.udf.CIQ($AT54, "IQ_MARKETCAP",Current_Date)/_xll.ciqfunctions.udf.CIQ($AT54, "IQ_NI_EST",IQ_FY+1)</f>
        <v>#NAME?</v>
      </c>
    </row>
    <row r="55" spans="2:66" hidden="1" outlineLevel="1" x14ac:dyDescent="0.25">
      <c r="B55" s="204" t="str">
        <f>B74</f>
        <v>IQ671980</v>
      </c>
      <c r="C55" s="204"/>
      <c r="D55" s="2" t="e">
        <f ca="1">_xll.ciqfunctions.udf.CIQ($B55, "IQ_COMPANY_NAME",Current_Date)</f>
        <v>#NAME?</v>
      </c>
      <c r="E55" s="2"/>
      <c r="F55" s="27" t="str">
        <f>F74</f>
        <v>BX</v>
      </c>
      <c r="G55" s="218">
        <v>113710</v>
      </c>
      <c r="H55" s="218">
        <v>103000</v>
      </c>
      <c r="I55" s="203" t="e">
        <f ca="1">_xll.ciqfunctions.udf.CIQ($B55, "IQ_TOTAL_REV_1YR_ANN_GROWTH",IQ_LTM,Current_Date)/100</f>
        <v>#NAME?</v>
      </c>
      <c r="J55" s="203" t="e">
        <f ca="1">_xll.ciqfunctions.udf.CIQ($B55,"IQ_REVENUE_EST",IQ_FY+1)/(_xll.ciqfunctions.udf.CIQ($B55,"IQ_TOTAL_REV",IQ_FY))-1</f>
        <v>#NAME?</v>
      </c>
      <c r="K55" s="203" t="e">
        <f ca="1">_xll.ciqfunctions.udf.CIQ($B55, "IQ_EPS_1YR_ANN_GROWTH",IQ_LTM,Current_Date)/100</f>
        <v>#NAME?</v>
      </c>
      <c r="L55" s="203" t="e">
        <f ca="1">_xll.ciqfunctions.udf.CIQ($B55,"IQ_EPS_EST",IQ_FY+1)/(_xll.ciqfunctions.udf.CIQ($B55,"IQ_DILUT_EPS_INCL",IQ_FY))-1</f>
        <v>#NAME?</v>
      </c>
      <c r="M55" s="203" t="s">
        <v>13</v>
      </c>
      <c r="N55" s="203" t="e">
        <f ca="1">_xll.ciqfunctions.udf.CIQ($B55,"IQ_EBITDA_EST",IQ_FY+1)/(_xll.ciqfunctions.udf.CIQ($B55,"IQ_REVENUE_EST",IQ_FY+1))</f>
        <v>#NAME?</v>
      </c>
      <c r="O55" s="203" t="e">
        <f ca="1">_xll.ciqfunctions.udf.CIQ($B55, "IQ_NI_MARGIN",IQ_LTM)/100</f>
        <v>#NAME?</v>
      </c>
      <c r="P55" s="203" t="e">
        <f ca="1">_xll.ciqfunctions.udf.CIQ($B55,"IQ_NI_EST",IQ_FY+1)/(_xll.ciqfunctions.udf.CIQ($B55,"IQ_REVENUE_EST",IQ_FY+1))</f>
        <v>#NAME?</v>
      </c>
      <c r="Q55" s="203" t="s">
        <v>13</v>
      </c>
      <c r="R55" s="164" t="e">
        <f ca="1">_xll.ciqfunctions.udf.CIQ($B55, "IQ_TEV",Current_Date)/_xll.ciqfunctions.udf.CIQ($B55, "IQ_EBITDA_EST",IQ_FY+1)</f>
        <v>#NAME?</v>
      </c>
      <c r="S55" s="203" t="s">
        <v>13</v>
      </c>
      <c r="T55" s="203" t="s">
        <v>13</v>
      </c>
      <c r="U55" s="164" t="e">
        <f ca="1">_xll.ciqfunctions.udf.CIQ($B55, "IQ_PE_EXCL",IQ_LTM)</f>
        <v>#NAME?</v>
      </c>
      <c r="V55" s="164" t="e">
        <f ca="1">_xll.ciqfunctions.udf.CIQ($B55, "IQ_MARKETCAP",Current_Date)/_xll.ciqfunctions.udf.CIQ($B55, "IQ_NI_EST",IQ_FY+1)</f>
        <v>#NAME?</v>
      </c>
      <c r="W55" s="2"/>
      <c r="X55" s="204" t="str">
        <f>X74</f>
        <v>IQ363263</v>
      </c>
      <c r="Y55" s="24"/>
      <c r="Z55" s="2" t="e">
        <f ca="1">_xll.ciqfunctions.udf.CIQ($X55, "IQ_COMPANY_NAME",Current_Date)</f>
        <v>#NAME?</v>
      </c>
      <c r="AA55" s="2"/>
      <c r="AB55" s="27" t="str">
        <f>AB74</f>
        <v>HII</v>
      </c>
      <c r="AC55" s="218" t="e">
        <f ca="1">_xll.ciqfunctions.udf.CIQ($X55, "IQ_MARKETCAP",Current_Date)</f>
        <v>#NAME?</v>
      </c>
      <c r="AD55" s="218" t="e">
        <f ca="1">_xll.ciqfunctions.udf.CIQ($X55, "IQ_TEV",Current_Date)</f>
        <v>#NAME?</v>
      </c>
      <c r="AE55" s="203" t="e">
        <f ca="1">_xll.ciqfunctions.udf.CIQ($X55, "IQ_TOTAL_REV_1YR_ANN_GROWTH",IQ_LTM,Current_Date)/100</f>
        <v>#NAME?</v>
      </c>
      <c r="AF55" s="203" t="e">
        <f ca="1">_xll.ciqfunctions.udf.CIQ($X55,"IQ_REVENUE_EST",IQ_FY+1)/(_xll.ciqfunctions.udf.CIQ($X55,"IQ_TOTAL_REV",IQ_FY))-1</f>
        <v>#NAME?</v>
      </c>
      <c r="AG55" s="203" t="e">
        <f ca="1">_xll.ciqfunctions.udf.CIQ($X55, "IQ_EPS_1YR_ANN_GROWTH",IQ_LTM,Current_Date)/100</f>
        <v>#NAME?</v>
      </c>
      <c r="AH55" s="203" t="e">
        <f ca="1">_xll.ciqfunctions.udf.CIQ($X55,"IQ_EPS_EST",IQ_FY+1)/(_xll.ciqfunctions.udf.CIQ($X55,"IQ_DILUT_EPS_INCL",IQ_FY))-1</f>
        <v>#NAME?</v>
      </c>
      <c r="AI55" s="203" t="e">
        <f ca="1">_xll.ciqfunctions.udf.CIQ($X55, "IQ_EBITDA_MARGIN",IQ_LTM)/100</f>
        <v>#NAME?</v>
      </c>
      <c r="AJ55" s="203" t="e">
        <f ca="1">_xll.ciqfunctions.udf.CIQ($X55,"IQ_EBITDA_EST",IQ_FY+1)/(_xll.ciqfunctions.udf.CIQ($X55,"IQ_REVENUE_EST",IQ_FY+1))</f>
        <v>#NAME?</v>
      </c>
      <c r="AK55" s="203" t="e">
        <f ca="1">_xll.ciqfunctions.udf.CIQ($X55, "IQ_NI_MARGIN",IQ_LTM)/100</f>
        <v>#NAME?</v>
      </c>
      <c r="AL55" s="203" t="e">
        <f ca="1">_xll.ciqfunctions.udf.CIQ($X55,"IQ_NI_EST",IQ_FY+1)/(_xll.ciqfunctions.udf.CIQ($X55,"IQ_REVENUE_EST",IQ_FY+1))</f>
        <v>#NAME?</v>
      </c>
      <c r="AM55" s="164" t="e">
        <f ca="1">_xll.ciqfunctions.udf.CIQ($X55, "IQ_TEV_EBITDA",IQ_LTM)</f>
        <v>#NAME?</v>
      </c>
      <c r="AN55" s="164" t="e">
        <f ca="1">_xll.ciqfunctions.udf.CIQ($X55, "IQ_TEV",Current_Date)/_xll.ciqfunctions.udf.CIQ($X55, "IQ_EBITDA_EST",IQ_FY+1)</f>
        <v>#NAME?</v>
      </c>
      <c r="AO55" s="164" t="e">
        <f ca="1">_xll.ciqfunctions.udf.CIQ($X55, "IQ_TEV_TOTAL_REV",IQ_LTM)</f>
        <v>#NAME?</v>
      </c>
      <c r="AP55" s="164" t="e">
        <f ca="1">_xll.ciqfunctions.udf.CIQ($X55, "IQ_TEV",Current_Date)/_xll.ciqfunctions.udf.CIQ($X55, "IQ_REVENUE_EST",IQ_FY+1)</f>
        <v>#NAME?</v>
      </c>
      <c r="AQ55" s="164" t="e">
        <f ca="1">_xll.ciqfunctions.udf.CIQ($X55, "IQ_PE_EXCL",IQ_LTM)</f>
        <v>#NAME?</v>
      </c>
      <c r="AR55" s="164" t="e">
        <f ca="1">_xll.ciqfunctions.udf.CIQ($X55, "IQ_MARKETCAP",Current_Date)/_xll.ciqfunctions.udf.CIQ($X55, "IQ_NI_EST",IQ_FY+1)</f>
        <v>#NAME?</v>
      </c>
      <c r="AT55" s="204" t="str">
        <f>AT74</f>
        <v>IQ1340740</v>
      </c>
      <c r="AU55" s="24"/>
      <c r="AV55" s="2" t="e">
        <f ca="1">_xll.ciqfunctions.udf.CIQ($AT55, "IQ_COMPANY_NAME",Current_Date)</f>
        <v>#NAME?</v>
      </c>
      <c r="AW55" s="2"/>
      <c r="AX55" s="27" t="str">
        <f>N101</f>
        <v>HON</v>
      </c>
      <c r="AY55" s="218" t="e">
        <f ca="1">_xll.ciqfunctions.udf.CIQ($AT55, "IQ_MARKETCAP",Current_Date)</f>
        <v>#NAME?</v>
      </c>
      <c r="AZ55" s="218" t="e">
        <f ca="1">_xll.ciqfunctions.udf.CIQ($AT55, "IQ_TEV",Current_Date)</f>
        <v>#NAME?</v>
      </c>
      <c r="BA55" s="203" t="e">
        <f ca="1">_xll.ciqfunctions.udf.CIQ($AT55, "IQ_TOTAL_REV_1YR_ANN_GROWTH",IQ_LTM,Current_Date)/100</f>
        <v>#NAME?</v>
      </c>
      <c r="BB55" s="203" t="e">
        <f ca="1">_xll.ciqfunctions.udf.CIQ($AT55,"IQ_REVENUE_EST",IQ_FY+1)/(_xll.ciqfunctions.udf.CIQ($AT55,"IQ_TOTAL_REV",IQ_FY))-1</f>
        <v>#NAME?</v>
      </c>
      <c r="BC55" s="203" t="e">
        <f ca="1">_xll.ciqfunctions.udf.CIQ($AT55, "IQ_EPS_1YR_ANN_GROWTH",IQ_LTM,Current_Date)/100</f>
        <v>#NAME?</v>
      </c>
      <c r="BD55" s="203" t="e">
        <f ca="1">_xll.ciqfunctions.udf.CIQ($AT55,"IQ_EPS_EST",IQ_FY+1)/(_xll.ciqfunctions.udf.CIQ($AT55,"IQ_DILUT_EPS_INCL",IQ_FY))-1</f>
        <v>#NAME?</v>
      </c>
      <c r="BE55" s="203" t="e">
        <f ca="1">_xll.ciqfunctions.udf.CIQ($AT55, "IQ_EBITDA_MARGIN",IQ_LTM)/100</f>
        <v>#NAME?</v>
      </c>
      <c r="BF55" s="203" t="e">
        <f ca="1">_xll.ciqfunctions.udf.CIQ($AT55,"IQ_EBITDA_EST",IQ_FY+1)/(_xll.ciqfunctions.udf.CIQ($AT55,"IQ_REVENUE_EST",IQ_FY+1))</f>
        <v>#NAME?</v>
      </c>
      <c r="BG55" s="203" t="e">
        <f ca="1">_xll.ciqfunctions.udf.CIQ($AT55, "IQ_NI_MARGIN",IQ_LTM)/100</f>
        <v>#NAME?</v>
      </c>
      <c r="BH55" s="203" t="e">
        <f ca="1">_xll.ciqfunctions.udf.CIQ($AT55,"IQ_NI_EST",IQ_FY+1)/(_xll.ciqfunctions.udf.CIQ($AT55,"IQ_REVENUE_EST",IQ_FY+1))</f>
        <v>#NAME?</v>
      </c>
      <c r="BI55" s="164" t="e">
        <f ca="1">_xll.ciqfunctions.udf.CIQ($AT55, "IQ_TEV_EBITDA",IQ_LTM)</f>
        <v>#NAME?</v>
      </c>
      <c r="BJ55" s="164" t="e">
        <f ca="1">_xll.ciqfunctions.udf.CIQ($AT55, "IQ_TEV",Current_Date)/_xll.ciqfunctions.udf.CIQ($AT55, "IQ_EBITDA_EST",IQ_FY+1)</f>
        <v>#NAME?</v>
      </c>
      <c r="BK55" s="164" t="e">
        <f ca="1">_xll.ciqfunctions.udf.CIQ($AT55, "IQ_TEV_TOTAL_REV",IQ_LTM)</f>
        <v>#NAME?</v>
      </c>
      <c r="BL55" s="164" t="e">
        <f ca="1">_xll.ciqfunctions.udf.CIQ($AT55, "IQ_TEV",Current_Date)/_xll.ciqfunctions.udf.CIQ($AT55, "IQ_REVENUE_EST",IQ_FY+1)</f>
        <v>#NAME?</v>
      </c>
      <c r="BM55" s="164" t="e">
        <f ca="1">_xll.ciqfunctions.udf.CIQ($AT55, "IQ_PE_EXCL",IQ_LTM)</f>
        <v>#NAME?</v>
      </c>
      <c r="BN55" s="164" t="e">
        <f ca="1">_xll.ciqfunctions.udf.CIQ($AT55, "IQ_MARKETCAP",Current_Date)/_xll.ciqfunctions.udf.CIQ($AT55, "IQ_NI_EST",IQ_FY+1)</f>
        <v>#NAME?</v>
      </c>
    </row>
    <row r="56" spans="2:66" hidden="1" outlineLevel="1" x14ac:dyDescent="0.25">
      <c r="B56" s="204" t="str">
        <f>B75</f>
        <v>IQ23333</v>
      </c>
      <c r="C56" s="204"/>
      <c r="D56" s="2" t="e">
        <f ca="1">_xll.ciqfunctions.udf.CIQ($B56, "IQ_COMPANY_NAME",Current_Date)</f>
        <v>#NAME?</v>
      </c>
      <c r="E56" s="2"/>
      <c r="F56" s="27" t="str">
        <f>F75</f>
        <v>CG</v>
      </c>
      <c r="G56" s="218" t="e">
        <f ca="1">_xll.ciqfunctions.udf.CIQ($B56, "IQ_MARKETCAP",Current_Date)</f>
        <v>#NAME?</v>
      </c>
      <c r="H56" s="218" t="e">
        <f ca="1">_xll.ciqfunctions.udf.CIQ($B56, "IQ_TEV",Current_Date)</f>
        <v>#NAME?</v>
      </c>
      <c r="I56" s="203" t="e">
        <f ca="1">_xll.ciqfunctions.udf.CIQ($B56, "IQ_TOTAL_REV_1YR_ANN_GROWTH",IQ_LTM,Current_Date)/100</f>
        <v>#NAME?</v>
      </c>
      <c r="J56" s="203" t="e">
        <f ca="1">_xll.ciqfunctions.udf.CIQ($B56,"IQ_REVENUE_EST",IQ_FY+1)/(_xll.ciqfunctions.udf.CIQ($B56,"IQ_TOTAL_REV",IQ_FY))-1</f>
        <v>#NAME?</v>
      </c>
      <c r="K56" s="203" t="e">
        <f ca="1">_xll.ciqfunctions.udf.CIQ($B56, "IQ_EPS_1YR_ANN_GROWTH",IQ_LTM,Current_Date)/100</f>
        <v>#NAME?</v>
      </c>
      <c r="L56" s="203" t="e">
        <f ca="1">_xll.ciqfunctions.udf.CIQ($B56,"IQ_EPS_EST",IQ_FY+1)/(_xll.ciqfunctions.udf.CIQ($B56,"IQ_DILUT_EPS_INCL",IQ_FY))-1</f>
        <v>#NAME?</v>
      </c>
      <c r="M56" s="203" t="e">
        <f ca="1">_xll.ciqfunctions.udf.CIQ($B56, "IQ_EBITDA_MARGIN",IQ_LTM)/100</f>
        <v>#NAME?</v>
      </c>
      <c r="N56" s="203" t="e">
        <f ca="1">_xll.ciqfunctions.udf.CIQ($B56,"IQ_EBITDA_EST",IQ_FY+1)/(_xll.ciqfunctions.udf.CIQ($B56,"IQ_REVENUE_EST",IQ_FY+1))</f>
        <v>#NAME?</v>
      </c>
      <c r="O56" s="203" t="e">
        <f ca="1">_xll.ciqfunctions.udf.CIQ($B56, "IQ_NI_MARGIN",IQ_LTM)/100</f>
        <v>#NAME?</v>
      </c>
      <c r="P56" s="203" t="e">
        <f ca="1">_xll.ciqfunctions.udf.CIQ($B56,"IQ_NI_EST",IQ_FY+1)/(_xll.ciqfunctions.udf.CIQ($B56,"IQ_REVENUE_EST",IQ_FY+1))</f>
        <v>#NAME?</v>
      </c>
      <c r="Q56" s="164" t="e">
        <f ca="1">_xll.ciqfunctions.udf.CIQ($B56, "IQ_TEV_EBITDA",IQ_LTM)</f>
        <v>#NAME?</v>
      </c>
      <c r="R56" s="164" t="e">
        <f ca="1">_xll.ciqfunctions.udf.CIQ($B56, "IQ_TEV",Current_Date)/_xll.ciqfunctions.udf.CIQ($B56, "IQ_EBITDA_EST",IQ_FY+1)</f>
        <v>#NAME?</v>
      </c>
      <c r="S56" s="164" t="e">
        <f ca="1">_xll.ciqfunctions.udf.CIQ($B56, "IQ_TEV_TOTAL_REV",IQ_LTM)</f>
        <v>#NAME?</v>
      </c>
      <c r="T56" s="164" t="e">
        <f ca="1">_xll.ciqfunctions.udf.CIQ($B56, "IQ_TEV",Current_Date)/_xll.ciqfunctions.udf.CIQ($B56, "IQ_REVENUE_EST",IQ_FY+1)</f>
        <v>#NAME?</v>
      </c>
      <c r="U56" s="164" t="e">
        <f ca="1">_xll.ciqfunctions.udf.CIQ($B56, "IQ_PE_EXCL",IQ_LTM)</f>
        <v>#NAME?</v>
      </c>
      <c r="V56" s="164" t="e">
        <f ca="1">_xll.ciqfunctions.udf.CIQ($B56, "IQ_MARKETCAP",Current_Date)/_xll.ciqfunctions.udf.CIQ($B56, "IQ_NI_EST",IQ_FY+1)</f>
        <v>#NAME?</v>
      </c>
      <c r="W56" s="2"/>
      <c r="X56" s="204" t="str">
        <f>X75</f>
        <v>IQ285827</v>
      </c>
      <c r="Y56" s="24"/>
      <c r="Z56" s="2" t="e">
        <f ca="1">_xll.ciqfunctions.udf.CIQ($X56, "IQ_COMPANY_NAME",Current_Date)</f>
        <v>#NAME?</v>
      </c>
      <c r="AA56" s="2"/>
      <c r="AB56" s="27" t="str">
        <f>AB75</f>
        <v>LMT</v>
      </c>
      <c r="AC56" s="218" t="e">
        <f ca="1">_xll.ciqfunctions.udf.CIQ($X56, "IQ_MARKETCAP",Current_Date)</f>
        <v>#NAME?</v>
      </c>
      <c r="AD56" s="218" t="e">
        <f ca="1">_xll.ciqfunctions.udf.CIQ($X56, "IQ_TEV",Current_Date)</f>
        <v>#NAME?</v>
      </c>
      <c r="AE56" s="203" t="e">
        <f ca="1">_xll.ciqfunctions.udf.CIQ($X56, "IQ_TOTAL_REV_1YR_ANN_GROWTH",IQ_LTM,Current_Date)/100</f>
        <v>#NAME?</v>
      </c>
      <c r="AF56" s="203" t="e">
        <f ca="1">_xll.ciqfunctions.udf.CIQ($X56,"IQ_REVENUE_EST",IQ_FY+1)/(_xll.ciqfunctions.udf.CIQ($X56,"IQ_TOTAL_REV",IQ_FY))-1</f>
        <v>#NAME?</v>
      </c>
      <c r="AG56" s="203" t="e">
        <f ca="1">_xll.ciqfunctions.udf.CIQ($X56, "IQ_EPS_1YR_ANN_GROWTH",IQ_LTM,Current_Date)/100</f>
        <v>#NAME?</v>
      </c>
      <c r="AH56" s="203" t="e">
        <f ca="1">_xll.ciqfunctions.udf.CIQ($X56,"IQ_EPS_EST",IQ_FY+1)/(_xll.ciqfunctions.udf.CIQ($X56,"IQ_DILUT_EPS_INCL",IQ_FY))-1</f>
        <v>#NAME?</v>
      </c>
      <c r="AI56" s="203" t="e">
        <f ca="1">_xll.ciqfunctions.udf.CIQ($X56, "IQ_EBITDA_MARGIN",IQ_LTM)/100</f>
        <v>#NAME?</v>
      </c>
      <c r="AJ56" s="203" t="e">
        <f ca="1">_xll.ciqfunctions.udf.CIQ($X56,"IQ_EBITDA_EST",IQ_FY+1)/(_xll.ciqfunctions.udf.CIQ($X56,"IQ_REVENUE_EST",IQ_FY+1))</f>
        <v>#NAME?</v>
      </c>
      <c r="AK56" s="203" t="e">
        <f ca="1">_xll.ciqfunctions.udf.CIQ($X56, "IQ_NI_MARGIN",IQ_LTM)/100</f>
        <v>#NAME?</v>
      </c>
      <c r="AL56" s="203" t="e">
        <f ca="1">_xll.ciqfunctions.udf.CIQ($X56,"IQ_NI_EST",IQ_FY+1)/(_xll.ciqfunctions.udf.CIQ($X56,"IQ_REVENUE_EST",IQ_FY+1))</f>
        <v>#NAME?</v>
      </c>
      <c r="AM56" s="164" t="e">
        <f ca="1">_xll.ciqfunctions.udf.CIQ($X56, "IQ_TEV_EBITDA",IQ_LTM)</f>
        <v>#NAME?</v>
      </c>
      <c r="AN56" s="164" t="e">
        <f ca="1">_xll.ciqfunctions.udf.CIQ($X56, "IQ_TEV",Current_Date)/_xll.ciqfunctions.udf.CIQ($X56, "IQ_EBITDA_EST",IQ_FY+1)</f>
        <v>#NAME?</v>
      </c>
      <c r="AO56" s="164" t="e">
        <f ca="1">_xll.ciqfunctions.udf.CIQ($X56, "IQ_TEV_TOTAL_REV",IQ_LTM)</f>
        <v>#NAME?</v>
      </c>
      <c r="AP56" s="164" t="e">
        <f ca="1">_xll.ciqfunctions.udf.CIQ($X56, "IQ_TEV",Current_Date)/_xll.ciqfunctions.udf.CIQ($X56, "IQ_REVENUE_EST",IQ_FY+1)</f>
        <v>#NAME?</v>
      </c>
      <c r="AQ56" s="164" t="e">
        <f ca="1">_xll.ciqfunctions.udf.CIQ($X56, "IQ_PE_EXCL",IQ_LTM)</f>
        <v>#NAME?</v>
      </c>
      <c r="AR56" s="164" t="e">
        <f ca="1">_xll.ciqfunctions.udf.CIQ($X56, "IQ_MARKETCAP",Current_Date)/_xll.ciqfunctions.udf.CIQ($X56, "IQ_NI_EST",IQ_FY+1)</f>
        <v>#NAME?</v>
      </c>
      <c r="AT56" s="204" t="str">
        <f>AT75</f>
        <v>IQ22751</v>
      </c>
      <c r="AU56" s="24"/>
      <c r="AV56" s="2" t="e">
        <f ca="1">_xll.ciqfunctions.udf.CIQ($AT56, "IQ_COMPANY_NAME",Current_Date)</f>
        <v>#NAME?</v>
      </c>
      <c r="AW56" s="2"/>
      <c r="AX56" s="27" t="str">
        <f>N105</f>
        <v>ROP</v>
      </c>
      <c r="AY56" s="218" t="e">
        <f ca="1">_xll.ciqfunctions.udf.CIQ($AT56, "IQ_MARKETCAP",Current_Date)</f>
        <v>#NAME?</v>
      </c>
      <c r="AZ56" s="218" t="e">
        <f ca="1">_xll.ciqfunctions.udf.CIQ($AT56, "IQ_TEV",Current_Date)</f>
        <v>#NAME?</v>
      </c>
      <c r="BA56" s="203" t="e">
        <f ca="1">_xll.ciqfunctions.udf.CIQ($AT56, "IQ_TOTAL_REV_1YR_ANN_GROWTH",IQ_LTM,Current_Date)/100</f>
        <v>#NAME?</v>
      </c>
      <c r="BB56" s="203" t="e">
        <f ca="1">_xll.ciqfunctions.udf.CIQ($AT56,"IQ_REVENUE_EST",IQ_FY+1)/(_xll.ciqfunctions.udf.CIQ($AT56,"IQ_TOTAL_REV",IQ_FY))-1</f>
        <v>#NAME?</v>
      </c>
      <c r="BC56" s="203" t="e">
        <f ca="1">_xll.ciqfunctions.udf.CIQ($AT56, "IQ_EPS_1YR_ANN_GROWTH",IQ_LTM,Current_Date)/100</f>
        <v>#NAME?</v>
      </c>
      <c r="BD56" s="203" t="e">
        <f ca="1">_xll.ciqfunctions.udf.CIQ($AT56,"IQ_EPS_EST",IQ_FY+1)/(_xll.ciqfunctions.udf.CIQ($AT56,"IQ_DILUT_EPS_INCL",IQ_FY))-1</f>
        <v>#NAME?</v>
      </c>
      <c r="BE56" s="203" t="e">
        <f ca="1">_xll.ciqfunctions.udf.CIQ($AT56, "IQ_EBITDA_MARGIN",IQ_LTM)/100</f>
        <v>#NAME?</v>
      </c>
      <c r="BF56" s="203" t="e">
        <f ca="1">_xll.ciqfunctions.udf.CIQ($AT56,"IQ_EBITDA_EST",IQ_FY+1)/(_xll.ciqfunctions.udf.CIQ($AT56,"IQ_REVENUE_EST",IQ_FY+1))</f>
        <v>#NAME?</v>
      </c>
      <c r="BG56" s="203" t="e">
        <f ca="1">_xll.ciqfunctions.udf.CIQ($AT56, "IQ_NI_MARGIN",IQ_LTM)/100</f>
        <v>#NAME?</v>
      </c>
      <c r="BH56" s="203" t="e">
        <f ca="1">_xll.ciqfunctions.udf.CIQ($AT56,"IQ_NI_EST",IQ_FY+1)/(_xll.ciqfunctions.udf.CIQ($AT56,"IQ_REVENUE_EST",IQ_FY+1))</f>
        <v>#NAME?</v>
      </c>
      <c r="BI56" s="164" t="e">
        <f ca="1">_xll.ciqfunctions.udf.CIQ($AT56, "IQ_TEV_EBITDA",IQ_LTM)</f>
        <v>#NAME?</v>
      </c>
      <c r="BJ56" s="164" t="e">
        <f ca="1">_xll.ciqfunctions.udf.CIQ($AT56, "IQ_TEV",Current_Date)/_xll.ciqfunctions.udf.CIQ($AT56, "IQ_EBITDA_EST",IQ_FY+1)</f>
        <v>#NAME?</v>
      </c>
      <c r="BK56" s="164" t="e">
        <f ca="1">_xll.ciqfunctions.udf.CIQ($AT56, "IQ_TEV_TOTAL_REV",IQ_LTM)</f>
        <v>#NAME?</v>
      </c>
      <c r="BL56" s="164" t="e">
        <f ca="1">_xll.ciqfunctions.udf.CIQ($AT56, "IQ_TEV",Current_Date)/_xll.ciqfunctions.udf.CIQ($AT56, "IQ_REVENUE_EST",IQ_FY+1)</f>
        <v>#NAME?</v>
      </c>
      <c r="BM56" s="164" t="e">
        <f ca="1">_xll.ciqfunctions.udf.CIQ($AT56, "IQ_PE_EXCL",IQ_LTM)</f>
        <v>#NAME?</v>
      </c>
      <c r="BN56" s="164" t="e">
        <f ca="1">_xll.ciqfunctions.udf.CIQ($AT56, "IQ_MARKETCAP",Current_Date)/_xll.ciqfunctions.udf.CIQ($AT56, "IQ_NI_EST",IQ_FY+1)</f>
        <v>#NAME?</v>
      </c>
    </row>
    <row r="57" spans="2:66" hidden="1" outlineLevel="1" x14ac:dyDescent="0.25">
      <c r="B57" s="204" t="str">
        <f>B76</f>
        <v>IQ23307</v>
      </c>
      <c r="C57" s="204"/>
      <c r="D57" s="219" t="e">
        <f ca="1">_xll.ciqfunctions.udf.CIQ($B57, "IQ_COMPANY_NAME",Current_Date)</f>
        <v>#NAME?</v>
      </c>
      <c r="E57" s="2"/>
      <c r="F57" s="162" t="str">
        <f>F76</f>
        <v>TPG</v>
      </c>
      <c r="G57" s="218">
        <v>9455</v>
      </c>
      <c r="H57" s="218">
        <v>6765</v>
      </c>
      <c r="I57" s="203" t="s">
        <v>13</v>
      </c>
      <c r="J57" s="203" t="s">
        <v>13</v>
      </c>
      <c r="K57" s="203" t="s">
        <v>13</v>
      </c>
      <c r="L57" s="203" t="s">
        <v>13</v>
      </c>
      <c r="M57" s="203" t="s">
        <v>13</v>
      </c>
      <c r="N57" s="203" t="s">
        <v>13</v>
      </c>
      <c r="O57" s="203" t="s">
        <v>13</v>
      </c>
      <c r="P57" s="203" t="s">
        <v>13</v>
      </c>
      <c r="Q57" s="203" t="s">
        <v>13</v>
      </c>
      <c r="R57" s="203" t="s">
        <v>13</v>
      </c>
      <c r="S57" s="164" t="e">
        <f ca="1">_xll.ciqfunctions.udf.CIQ($B57, "IQ_TEV_TOTAL_REV",IQ_LTM)</f>
        <v>#NAME?</v>
      </c>
      <c r="T57" s="203" t="s">
        <v>13</v>
      </c>
      <c r="U57" s="164" t="e">
        <f ca="1">_xll.ciqfunctions.udf.CIQ($B57, "IQ_PE_EXCL",IQ_LTM)</f>
        <v>#NAME?</v>
      </c>
      <c r="V57" s="164" t="s">
        <v>13</v>
      </c>
      <c r="W57" s="2"/>
      <c r="X57" s="204" t="str">
        <f>X76</f>
        <v>IQ97199</v>
      </c>
      <c r="Y57" s="24"/>
      <c r="Z57" s="219" t="e">
        <f ca="1">_xll.ciqfunctions.udf.CIQ($X57, "IQ_COMPANY_NAME",Current_Date)</f>
        <v>#NAME?</v>
      </c>
      <c r="AA57" s="2"/>
      <c r="AB57" s="162" t="str">
        <f>AB76</f>
        <v>NOC</v>
      </c>
      <c r="AC57" s="218" t="e">
        <f ca="1">_xll.ciqfunctions.udf.CIQ($X57, "IQ_MARKETCAP",Current_Date)</f>
        <v>#NAME?</v>
      </c>
      <c r="AD57" s="218" t="e">
        <f ca="1">_xll.ciqfunctions.udf.CIQ($X57, "IQ_TEV",Current_Date)</f>
        <v>#NAME?</v>
      </c>
      <c r="AE57" s="203" t="e">
        <f ca="1">_xll.ciqfunctions.udf.CIQ($X57, "IQ_TOTAL_REV_1YR_ANN_GROWTH",IQ_LTM,Current_Date)/100</f>
        <v>#NAME?</v>
      </c>
      <c r="AF57" s="203" t="e">
        <f ca="1">_xll.ciqfunctions.udf.CIQ($X57,"IQ_REVENUE_EST",IQ_FY+1)/(_xll.ciqfunctions.udf.CIQ($X57,"IQ_TOTAL_REV",IQ_FY))-1</f>
        <v>#NAME?</v>
      </c>
      <c r="AG57" s="203" t="e">
        <f ca="1">_xll.ciqfunctions.udf.CIQ($X57, "IQ_EPS_1YR_ANN_GROWTH",IQ_LTM,Current_Date)/100</f>
        <v>#NAME?</v>
      </c>
      <c r="AH57" s="203" t="e">
        <f ca="1">_xll.ciqfunctions.udf.CIQ($X57,"IQ_EPS_EST",IQ_FY+1)/(_xll.ciqfunctions.udf.CIQ($X57,"IQ_DILUT_EPS_INCL",IQ_FY))-1</f>
        <v>#NAME?</v>
      </c>
      <c r="AI57" s="203" t="e">
        <f ca="1">_xll.ciqfunctions.udf.CIQ($X57, "IQ_EBITDA_MARGIN",IQ_LTM)/100</f>
        <v>#NAME?</v>
      </c>
      <c r="AJ57" s="203" t="e">
        <f ca="1">_xll.ciqfunctions.udf.CIQ($X57,"IQ_EBITDA_EST",IQ_FY+1)/(_xll.ciqfunctions.udf.CIQ($X57,"IQ_REVENUE_EST",IQ_FY+1))</f>
        <v>#NAME?</v>
      </c>
      <c r="AK57" s="203" t="e">
        <f ca="1">_xll.ciqfunctions.udf.CIQ($X57, "IQ_NI_MARGIN",IQ_LTM)/100</f>
        <v>#NAME?</v>
      </c>
      <c r="AL57" s="203" t="e">
        <f ca="1">_xll.ciqfunctions.udf.CIQ($X57,"IQ_NI_EST",IQ_FY+1)/(_xll.ciqfunctions.udf.CIQ($X57,"IQ_REVENUE_EST",IQ_FY+1))</f>
        <v>#NAME?</v>
      </c>
      <c r="AM57" s="164" t="e">
        <f ca="1">_xll.ciqfunctions.udf.CIQ($X57, "IQ_TEV_EBITDA",IQ_LTM)</f>
        <v>#NAME?</v>
      </c>
      <c r="AN57" s="164" t="e">
        <f ca="1">_xll.ciqfunctions.udf.CIQ($X57, "IQ_TEV",Current_Date)/_xll.ciqfunctions.udf.CIQ($X57, "IQ_EBITDA_EST",IQ_FY+1)</f>
        <v>#NAME?</v>
      </c>
      <c r="AO57" s="164" t="e">
        <f ca="1">_xll.ciqfunctions.udf.CIQ($X57, "IQ_TEV_TOTAL_REV",IQ_LTM)</f>
        <v>#NAME?</v>
      </c>
      <c r="AP57" s="164" t="e">
        <f ca="1">_xll.ciqfunctions.udf.CIQ($X57, "IQ_TEV",Current_Date)/_xll.ciqfunctions.udf.CIQ($X57, "IQ_REVENUE_EST",IQ_FY+1)</f>
        <v>#NAME?</v>
      </c>
      <c r="AQ57" s="164" t="e">
        <f ca="1">_xll.ciqfunctions.udf.CIQ($X57, "IQ_PE_EXCL",IQ_LTM)</f>
        <v>#NAME?</v>
      </c>
      <c r="AR57" s="164" t="e">
        <f ca="1">_xll.ciqfunctions.udf.CIQ($X57, "IQ_MARKETCAP",Current_Date)/_xll.ciqfunctions.udf.CIQ($X57, "IQ_NI_EST",IQ_FY+1)</f>
        <v>#NAME?</v>
      </c>
      <c r="AT57" s="204" t="str">
        <f>AT76</f>
        <v>IQ269231</v>
      </c>
      <c r="AU57" s="24"/>
      <c r="AV57" s="2" t="e">
        <f ca="1">_xll.ciqfunctions.udf.CIQ($AT57, "IQ_COMPANY_NAME",Current_Date)</f>
        <v>#NAME?</v>
      </c>
      <c r="AW57" s="2"/>
      <c r="AX57" s="162" t="str">
        <f>N109</f>
        <v>EMR</v>
      </c>
      <c r="AY57" s="218" t="e">
        <f ca="1">_xll.ciqfunctions.udf.CIQ($AT57, "IQ_MARKETCAP",Current_Date)</f>
        <v>#NAME?</v>
      </c>
      <c r="AZ57" s="218" t="e">
        <f ca="1">_xll.ciqfunctions.udf.CIQ($AT57, "IQ_TEV",Current_Date)</f>
        <v>#NAME?</v>
      </c>
      <c r="BA57" s="203" t="e">
        <f ca="1">_xll.ciqfunctions.udf.CIQ($AT57, "IQ_TOTAL_REV_1YR_ANN_GROWTH",IQ_LTM,Current_Date)/100</f>
        <v>#NAME?</v>
      </c>
      <c r="BB57" s="203" t="e">
        <f ca="1">_xll.ciqfunctions.udf.CIQ($AT57,"IQ_REVENUE_EST",IQ_FY+1)/(_xll.ciqfunctions.udf.CIQ($AT57,"IQ_TOTAL_REV",IQ_FY))-1</f>
        <v>#NAME?</v>
      </c>
      <c r="BC57" s="203" t="e">
        <f ca="1">_xll.ciqfunctions.udf.CIQ($AT57, "IQ_EPS_1YR_ANN_GROWTH",IQ_LTM,Current_Date)/100</f>
        <v>#NAME?</v>
      </c>
      <c r="BD57" s="203" t="e">
        <f ca="1">_xll.ciqfunctions.udf.CIQ($AT57,"IQ_EPS_EST",IQ_FY+1)/(_xll.ciqfunctions.udf.CIQ($AT57,"IQ_DILUT_EPS_INCL",IQ_FY))-1</f>
        <v>#NAME?</v>
      </c>
      <c r="BE57" s="203" t="e">
        <f ca="1">_xll.ciqfunctions.udf.CIQ($AT57, "IQ_EBITDA_MARGIN",IQ_LTM)/100</f>
        <v>#NAME?</v>
      </c>
      <c r="BF57" s="203" t="e">
        <f ca="1">_xll.ciqfunctions.udf.CIQ($AT57,"IQ_EBITDA_EST",IQ_FY+1)/(_xll.ciqfunctions.udf.CIQ($AT57,"IQ_REVENUE_EST",IQ_FY+1))</f>
        <v>#NAME?</v>
      </c>
      <c r="BG57" s="203" t="e">
        <f ca="1">_xll.ciqfunctions.udf.CIQ($AT57, "IQ_NI_MARGIN",IQ_LTM)/100</f>
        <v>#NAME?</v>
      </c>
      <c r="BH57" s="203" t="e">
        <f ca="1">_xll.ciqfunctions.udf.CIQ($AT57,"IQ_NI_EST",IQ_FY+1)/(_xll.ciqfunctions.udf.CIQ($AT57,"IQ_REVENUE_EST",IQ_FY+1))</f>
        <v>#NAME?</v>
      </c>
      <c r="BI57" s="164" t="e">
        <f ca="1">_xll.ciqfunctions.udf.CIQ($AT57, "IQ_TEV_EBITDA",IQ_LTM)</f>
        <v>#NAME?</v>
      </c>
      <c r="BJ57" s="164" t="e">
        <f ca="1">_xll.ciqfunctions.udf.CIQ($AT57, "IQ_TEV",Current_Date)/_xll.ciqfunctions.udf.CIQ($AT57, "IQ_EBITDA_EST",IQ_FY+1)</f>
        <v>#NAME?</v>
      </c>
      <c r="BK57" s="164" t="e">
        <f ca="1">_xll.ciqfunctions.udf.CIQ($AT57, "IQ_TEV_TOTAL_REV",IQ_LTM)</f>
        <v>#NAME?</v>
      </c>
      <c r="BL57" s="164" t="e">
        <f ca="1">_xll.ciqfunctions.udf.CIQ($AT57, "IQ_TEV",Current_Date)/_xll.ciqfunctions.udf.CIQ($AT57, "IQ_REVENUE_EST",IQ_FY+1)</f>
        <v>#NAME?</v>
      </c>
      <c r="BM57" s="164" t="e">
        <f ca="1">_xll.ciqfunctions.udf.CIQ($AT57, "IQ_PE_EXCL",IQ_LTM)</f>
        <v>#NAME?</v>
      </c>
      <c r="BN57" s="164" t="e">
        <f ca="1">_xll.ciqfunctions.udf.CIQ($AT57, "IQ_MARKETCAP",Current_Date)/_xll.ciqfunctions.udf.CIQ($AT57, "IQ_NI_EST",IQ_FY+1)</f>
        <v>#NAME?</v>
      </c>
    </row>
    <row r="58" spans="2:66" ht="15.75" hidden="1" outlineLevel="1" thickBot="1" x14ac:dyDescent="0.3">
      <c r="C58" s="8"/>
      <c r="D58" s="2"/>
      <c r="E58" s="2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198"/>
      <c r="T58" s="27"/>
      <c r="U58" s="27"/>
      <c r="V58" s="27"/>
      <c r="W58" s="2"/>
      <c r="Y58" s="24"/>
      <c r="Z58" s="2"/>
      <c r="AA58" s="2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198"/>
      <c r="AP58" s="27"/>
      <c r="AQ58" s="27"/>
      <c r="AR58" s="27"/>
      <c r="AU58" s="24"/>
      <c r="AV58" s="2"/>
      <c r="AW58" s="2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198"/>
      <c r="BL58" s="27"/>
      <c r="BM58" s="27"/>
      <c r="BN58" s="27"/>
    </row>
    <row r="59" spans="2:66" hidden="1" outlineLevel="1" x14ac:dyDescent="0.25">
      <c r="C59" s="8"/>
      <c r="D59" s="194" t="str">
        <f>D18</f>
        <v>High</v>
      </c>
      <c r="E59" s="193"/>
      <c r="F59" s="192"/>
      <c r="G59" s="191" t="e">
        <f t="shared" ref="G59:V59" ca="1" si="19">MAX(G53:G57)</f>
        <v>#NAME?</v>
      </c>
      <c r="H59" s="191" t="e">
        <f t="shared" ca="1" si="19"/>
        <v>#NAME?</v>
      </c>
      <c r="I59" s="190" t="e">
        <f t="shared" ca="1" si="19"/>
        <v>#NAME?</v>
      </c>
      <c r="J59" s="190" t="e">
        <f t="shared" ca="1" si="19"/>
        <v>#NAME?</v>
      </c>
      <c r="K59" s="190" t="e">
        <f t="shared" ca="1" si="19"/>
        <v>#NAME?</v>
      </c>
      <c r="L59" s="190" t="e">
        <f t="shared" ca="1" si="19"/>
        <v>#NAME?</v>
      </c>
      <c r="M59" s="190" t="e">
        <f t="shared" ca="1" si="19"/>
        <v>#NAME?</v>
      </c>
      <c r="N59" s="190" t="e">
        <f t="shared" ca="1" si="19"/>
        <v>#NAME?</v>
      </c>
      <c r="O59" s="190" t="e">
        <f t="shared" ca="1" si="19"/>
        <v>#NAME?</v>
      </c>
      <c r="P59" s="190" t="e">
        <f t="shared" ca="1" si="19"/>
        <v>#NAME?</v>
      </c>
      <c r="Q59" s="189" t="e">
        <f t="shared" ca="1" si="19"/>
        <v>#NAME?</v>
      </c>
      <c r="R59" s="188" t="e">
        <f t="shared" ca="1" si="19"/>
        <v>#NAME?</v>
      </c>
      <c r="S59" s="188" t="e">
        <f t="shared" ca="1" si="19"/>
        <v>#NAME?</v>
      </c>
      <c r="T59" s="188" t="e">
        <f t="shared" ca="1" si="19"/>
        <v>#NAME?</v>
      </c>
      <c r="U59" s="188" t="e">
        <f t="shared" ca="1" si="19"/>
        <v>#NAME?</v>
      </c>
      <c r="V59" s="187" t="e">
        <f t="shared" ca="1" si="19"/>
        <v>#NAME?</v>
      </c>
      <c r="W59" s="2"/>
      <c r="Y59" s="24"/>
      <c r="Z59" s="194" t="str">
        <f>Z18</f>
        <v>High</v>
      </c>
      <c r="AA59" s="193"/>
      <c r="AB59" s="192"/>
      <c r="AC59" s="191" t="e">
        <f t="shared" ref="AC59:AR59" ca="1" si="20">MAX(AC53:AC57)</f>
        <v>#NAME?</v>
      </c>
      <c r="AD59" s="191" t="e">
        <f t="shared" ca="1" si="20"/>
        <v>#NAME?</v>
      </c>
      <c r="AE59" s="190" t="e">
        <f t="shared" ca="1" si="20"/>
        <v>#NAME?</v>
      </c>
      <c r="AF59" s="190" t="e">
        <f t="shared" ca="1" si="20"/>
        <v>#NAME?</v>
      </c>
      <c r="AG59" s="190" t="e">
        <f t="shared" ca="1" si="20"/>
        <v>#NAME?</v>
      </c>
      <c r="AH59" s="190" t="e">
        <f t="shared" ca="1" si="20"/>
        <v>#NAME?</v>
      </c>
      <c r="AI59" s="190" t="e">
        <f t="shared" ca="1" si="20"/>
        <v>#NAME?</v>
      </c>
      <c r="AJ59" s="190" t="e">
        <f t="shared" ca="1" si="20"/>
        <v>#NAME?</v>
      </c>
      <c r="AK59" s="190" t="e">
        <f t="shared" ca="1" si="20"/>
        <v>#NAME?</v>
      </c>
      <c r="AL59" s="190" t="e">
        <f t="shared" ca="1" si="20"/>
        <v>#NAME?</v>
      </c>
      <c r="AM59" s="189" t="e">
        <f t="shared" ca="1" si="20"/>
        <v>#NAME?</v>
      </c>
      <c r="AN59" s="188" t="e">
        <f t="shared" ca="1" si="20"/>
        <v>#NAME?</v>
      </c>
      <c r="AO59" s="188" t="e">
        <f t="shared" ca="1" si="20"/>
        <v>#NAME?</v>
      </c>
      <c r="AP59" s="188" t="e">
        <f t="shared" ca="1" si="20"/>
        <v>#NAME?</v>
      </c>
      <c r="AQ59" s="188" t="e">
        <f t="shared" ca="1" si="20"/>
        <v>#NAME?</v>
      </c>
      <c r="AR59" s="187" t="e">
        <f t="shared" ca="1" si="20"/>
        <v>#NAME?</v>
      </c>
      <c r="AU59" s="24"/>
      <c r="AV59" s="194" t="str">
        <f>AV18</f>
        <v>High</v>
      </c>
      <c r="AW59" s="193"/>
      <c r="AX59" s="192"/>
      <c r="AY59" s="191" t="e">
        <f t="shared" ref="AY59:BN59" ca="1" si="21">MAX(AY53:AY57)</f>
        <v>#NAME?</v>
      </c>
      <c r="AZ59" s="191" t="e">
        <f t="shared" ca="1" si="21"/>
        <v>#NAME?</v>
      </c>
      <c r="BA59" s="190" t="e">
        <f t="shared" ca="1" si="21"/>
        <v>#NAME?</v>
      </c>
      <c r="BB59" s="190" t="e">
        <f t="shared" ca="1" si="21"/>
        <v>#NAME?</v>
      </c>
      <c r="BC59" s="190" t="e">
        <f t="shared" ca="1" si="21"/>
        <v>#NAME?</v>
      </c>
      <c r="BD59" s="190" t="e">
        <f t="shared" ca="1" si="21"/>
        <v>#NAME?</v>
      </c>
      <c r="BE59" s="190" t="e">
        <f t="shared" ca="1" si="21"/>
        <v>#NAME?</v>
      </c>
      <c r="BF59" s="190" t="e">
        <f t="shared" ca="1" si="21"/>
        <v>#NAME?</v>
      </c>
      <c r="BG59" s="190" t="e">
        <f t="shared" ca="1" si="21"/>
        <v>#NAME?</v>
      </c>
      <c r="BH59" s="190" t="e">
        <f t="shared" ca="1" si="21"/>
        <v>#NAME?</v>
      </c>
      <c r="BI59" s="189" t="e">
        <f t="shared" ca="1" si="21"/>
        <v>#NAME?</v>
      </c>
      <c r="BJ59" s="188" t="e">
        <f t="shared" ca="1" si="21"/>
        <v>#NAME?</v>
      </c>
      <c r="BK59" s="188" t="e">
        <f t="shared" ca="1" si="21"/>
        <v>#NAME?</v>
      </c>
      <c r="BL59" s="188" t="e">
        <f t="shared" ca="1" si="21"/>
        <v>#NAME?</v>
      </c>
      <c r="BM59" s="188" t="e">
        <f t="shared" ca="1" si="21"/>
        <v>#NAME?</v>
      </c>
      <c r="BN59" s="187" t="e">
        <f t="shared" ca="1" si="21"/>
        <v>#NAME?</v>
      </c>
    </row>
    <row r="60" spans="2:66" hidden="1" outlineLevel="1" x14ac:dyDescent="0.25">
      <c r="C60" s="8"/>
      <c r="D60" s="182" t="str">
        <f>D19</f>
        <v>Mean</v>
      </c>
      <c r="E60" s="181"/>
      <c r="F60" s="186"/>
      <c r="G60" s="180" t="e">
        <f t="shared" ref="G60:V60" ca="1" si="22">AVERAGE(G53:G57)</f>
        <v>#NAME?</v>
      </c>
      <c r="H60" s="180" t="e">
        <f t="shared" ca="1" si="22"/>
        <v>#NAME?</v>
      </c>
      <c r="I60" s="179" t="e">
        <f t="shared" ca="1" si="22"/>
        <v>#NAME?</v>
      </c>
      <c r="J60" s="179" t="e">
        <f t="shared" ca="1" si="22"/>
        <v>#NAME?</v>
      </c>
      <c r="K60" s="179" t="e">
        <f t="shared" ca="1" si="22"/>
        <v>#NAME?</v>
      </c>
      <c r="L60" s="179" t="e">
        <f t="shared" ca="1" si="22"/>
        <v>#NAME?</v>
      </c>
      <c r="M60" s="179" t="e">
        <f t="shared" ca="1" si="22"/>
        <v>#NAME?</v>
      </c>
      <c r="N60" s="179" t="e">
        <f t="shared" ca="1" si="22"/>
        <v>#NAME?</v>
      </c>
      <c r="O60" s="179" t="e">
        <f t="shared" ca="1" si="22"/>
        <v>#NAME?</v>
      </c>
      <c r="P60" s="179" t="e">
        <f t="shared" ca="1" si="22"/>
        <v>#NAME?</v>
      </c>
      <c r="Q60" s="178" t="e">
        <f t="shared" ca="1" si="22"/>
        <v>#NAME?</v>
      </c>
      <c r="R60" s="177" t="e">
        <f t="shared" ca="1" si="22"/>
        <v>#NAME?</v>
      </c>
      <c r="S60" s="177" t="e">
        <f t="shared" ca="1" si="22"/>
        <v>#NAME?</v>
      </c>
      <c r="T60" s="177" t="e">
        <f t="shared" ca="1" si="22"/>
        <v>#NAME?</v>
      </c>
      <c r="U60" s="177" t="e">
        <f t="shared" ca="1" si="22"/>
        <v>#NAME?</v>
      </c>
      <c r="V60" s="176" t="e">
        <f t="shared" ca="1" si="22"/>
        <v>#NAME?</v>
      </c>
      <c r="W60" s="2"/>
      <c r="Y60" s="24"/>
      <c r="Z60" s="182" t="str">
        <f>Z19</f>
        <v>Mean</v>
      </c>
      <c r="AA60" s="181"/>
      <c r="AB60" s="186"/>
      <c r="AC60" s="180" t="e">
        <f t="shared" ref="AC60:AR60" ca="1" si="23">AVERAGE(AC53:AC57)</f>
        <v>#NAME?</v>
      </c>
      <c r="AD60" s="180" t="e">
        <f t="shared" ca="1" si="23"/>
        <v>#NAME?</v>
      </c>
      <c r="AE60" s="179" t="e">
        <f t="shared" ca="1" si="23"/>
        <v>#NAME?</v>
      </c>
      <c r="AF60" s="179" t="e">
        <f t="shared" ca="1" si="23"/>
        <v>#NAME?</v>
      </c>
      <c r="AG60" s="179" t="e">
        <f t="shared" ca="1" si="23"/>
        <v>#NAME?</v>
      </c>
      <c r="AH60" s="179" t="e">
        <f t="shared" ca="1" si="23"/>
        <v>#NAME?</v>
      </c>
      <c r="AI60" s="179" t="e">
        <f t="shared" ca="1" si="23"/>
        <v>#NAME?</v>
      </c>
      <c r="AJ60" s="179" t="e">
        <f t="shared" ca="1" si="23"/>
        <v>#NAME?</v>
      </c>
      <c r="AK60" s="179" t="e">
        <f t="shared" ca="1" si="23"/>
        <v>#NAME?</v>
      </c>
      <c r="AL60" s="179" t="e">
        <f t="shared" ca="1" si="23"/>
        <v>#NAME?</v>
      </c>
      <c r="AM60" s="178" t="e">
        <f t="shared" ca="1" si="23"/>
        <v>#NAME?</v>
      </c>
      <c r="AN60" s="177" t="e">
        <f t="shared" ca="1" si="23"/>
        <v>#NAME?</v>
      </c>
      <c r="AO60" s="177" t="e">
        <f t="shared" ca="1" si="23"/>
        <v>#NAME?</v>
      </c>
      <c r="AP60" s="177" t="e">
        <f t="shared" ca="1" si="23"/>
        <v>#NAME?</v>
      </c>
      <c r="AQ60" s="177" t="e">
        <f t="shared" ca="1" si="23"/>
        <v>#NAME?</v>
      </c>
      <c r="AR60" s="176" t="e">
        <f t="shared" ca="1" si="23"/>
        <v>#NAME?</v>
      </c>
      <c r="AU60" s="24"/>
      <c r="AV60" s="182" t="str">
        <f>AV19</f>
        <v>Mean</v>
      </c>
      <c r="AW60" s="181"/>
      <c r="AX60" s="186"/>
      <c r="AY60" s="180" t="e">
        <f t="shared" ref="AY60:BN60" ca="1" si="24">AVERAGE(AY53:AY57)</f>
        <v>#NAME?</v>
      </c>
      <c r="AZ60" s="180" t="e">
        <f t="shared" ca="1" si="24"/>
        <v>#NAME?</v>
      </c>
      <c r="BA60" s="179" t="e">
        <f t="shared" ca="1" si="24"/>
        <v>#NAME?</v>
      </c>
      <c r="BB60" s="179" t="e">
        <f t="shared" ca="1" si="24"/>
        <v>#NAME?</v>
      </c>
      <c r="BC60" s="179" t="e">
        <f t="shared" ca="1" si="24"/>
        <v>#NAME?</v>
      </c>
      <c r="BD60" s="179" t="e">
        <f t="shared" ca="1" si="24"/>
        <v>#NAME?</v>
      </c>
      <c r="BE60" s="179" t="e">
        <f t="shared" ca="1" si="24"/>
        <v>#NAME?</v>
      </c>
      <c r="BF60" s="179" t="e">
        <f t="shared" ca="1" si="24"/>
        <v>#NAME?</v>
      </c>
      <c r="BG60" s="179" t="e">
        <f t="shared" ca="1" si="24"/>
        <v>#NAME?</v>
      </c>
      <c r="BH60" s="179" t="e">
        <f t="shared" ca="1" si="24"/>
        <v>#NAME?</v>
      </c>
      <c r="BI60" s="178" t="e">
        <f t="shared" ca="1" si="24"/>
        <v>#NAME?</v>
      </c>
      <c r="BJ60" s="177" t="e">
        <f t="shared" ca="1" si="24"/>
        <v>#NAME?</v>
      </c>
      <c r="BK60" s="177" t="e">
        <f t="shared" ca="1" si="24"/>
        <v>#NAME?</v>
      </c>
      <c r="BL60" s="177" t="e">
        <f t="shared" ca="1" si="24"/>
        <v>#NAME?</v>
      </c>
      <c r="BM60" s="177" t="e">
        <f t="shared" ca="1" si="24"/>
        <v>#NAME?</v>
      </c>
      <c r="BN60" s="176" t="e">
        <f t="shared" ca="1" si="24"/>
        <v>#NAME?</v>
      </c>
    </row>
    <row r="61" spans="2:66" hidden="1" outlineLevel="1" x14ac:dyDescent="0.25">
      <c r="C61" s="8"/>
      <c r="D61" s="182" t="str">
        <f>D20</f>
        <v>Median</v>
      </c>
      <c r="E61" s="181"/>
      <c r="F61" s="181"/>
      <c r="G61" s="180" t="e">
        <f t="shared" ref="G61:V61" ca="1" si="25">MEDIAN(G53:G57)</f>
        <v>#NAME?</v>
      </c>
      <c r="H61" s="180" t="e">
        <f t="shared" ca="1" si="25"/>
        <v>#NAME?</v>
      </c>
      <c r="I61" s="179" t="e">
        <f t="shared" ca="1" si="25"/>
        <v>#NAME?</v>
      </c>
      <c r="J61" s="179" t="e">
        <f t="shared" ca="1" si="25"/>
        <v>#NAME?</v>
      </c>
      <c r="K61" s="179" t="e">
        <f t="shared" ca="1" si="25"/>
        <v>#NAME?</v>
      </c>
      <c r="L61" s="179" t="e">
        <f t="shared" ca="1" si="25"/>
        <v>#NAME?</v>
      </c>
      <c r="M61" s="179" t="e">
        <f t="shared" ca="1" si="25"/>
        <v>#NAME?</v>
      </c>
      <c r="N61" s="179" t="e">
        <f t="shared" ca="1" si="25"/>
        <v>#NAME?</v>
      </c>
      <c r="O61" s="179" t="e">
        <f t="shared" ca="1" si="25"/>
        <v>#NAME?</v>
      </c>
      <c r="P61" s="179" t="e">
        <f t="shared" ca="1" si="25"/>
        <v>#NAME?</v>
      </c>
      <c r="Q61" s="178" t="e">
        <f t="shared" ca="1" si="25"/>
        <v>#NAME?</v>
      </c>
      <c r="R61" s="177" t="e">
        <f t="shared" ca="1" si="25"/>
        <v>#NAME?</v>
      </c>
      <c r="S61" s="177" t="e">
        <f t="shared" ca="1" si="25"/>
        <v>#NAME?</v>
      </c>
      <c r="T61" s="177" t="e">
        <f t="shared" ca="1" si="25"/>
        <v>#NAME?</v>
      </c>
      <c r="U61" s="177" t="e">
        <f t="shared" ca="1" si="25"/>
        <v>#NAME?</v>
      </c>
      <c r="V61" s="176" t="e">
        <f t="shared" ca="1" si="25"/>
        <v>#NAME?</v>
      </c>
      <c r="W61" s="2"/>
      <c r="Y61" s="24"/>
      <c r="Z61" s="182" t="str">
        <f>Z20</f>
        <v>Median</v>
      </c>
      <c r="AA61" s="181"/>
      <c r="AB61" s="181"/>
      <c r="AC61" s="180" t="e">
        <f t="shared" ref="AC61:AR61" ca="1" si="26">MEDIAN(AC53:AC57)</f>
        <v>#NAME?</v>
      </c>
      <c r="AD61" s="180" t="e">
        <f t="shared" ca="1" si="26"/>
        <v>#NAME?</v>
      </c>
      <c r="AE61" s="179" t="e">
        <f t="shared" ca="1" si="26"/>
        <v>#NAME?</v>
      </c>
      <c r="AF61" s="179" t="e">
        <f t="shared" ca="1" si="26"/>
        <v>#NAME?</v>
      </c>
      <c r="AG61" s="179" t="e">
        <f t="shared" ca="1" si="26"/>
        <v>#NAME?</v>
      </c>
      <c r="AH61" s="179" t="e">
        <f t="shared" ca="1" si="26"/>
        <v>#NAME?</v>
      </c>
      <c r="AI61" s="179" t="e">
        <f t="shared" ca="1" si="26"/>
        <v>#NAME?</v>
      </c>
      <c r="AJ61" s="179" t="e">
        <f t="shared" ca="1" si="26"/>
        <v>#NAME?</v>
      </c>
      <c r="AK61" s="179" t="e">
        <f t="shared" ca="1" si="26"/>
        <v>#NAME?</v>
      </c>
      <c r="AL61" s="179" t="e">
        <f t="shared" ca="1" si="26"/>
        <v>#NAME?</v>
      </c>
      <c r="AM61" s="178" t="e">
        <f t="shared" ca="1" si="26"/>
        <v>#NAME?</v>
      </c>
      <c r="AN61" s="177" t="e">
        <f t="shared" ca="1" si="26"/>
        <v>#NAME?</v>
      </c>
      <c r="AO61" s="177" t="e">
        <f t="shared" ca="1" si="26"/>
        <v>#NAME?</v>
      </c>
      <c r="AP61" s="177" t="e">
        <f t="shared" ca="1" si="26"/>
        <v>#NAME?</v>
      </c>
      <c r="AQ61" s="177" t="e">
        <f t="shared" ca="1" si="26"/>
        <v>#NAME?</v>
      </c>
      <c r="AR61" s="176" t="e">
        <f t="shared" ca="1" si="26"/>
        <v>#NAME?</v>
      </c>
      <c r="AU61" s="24"/>
      <c r="AV61" s="182" t="str">
        <f>AV20</f>
        <v>Median</v>
      </c>
      <c r="AW61" s="181"/>
      <c r="AX61" s="181"/>
      <c r="AY61" s="180" t="e">
        <f t="shared" ref="AY61:BN61" ca="1" si="27">MEDIAN(AY53:AY57)</f>
        <v>#NAME?</v>
      </c>
      <c r="AZ61" s="180" t="e">
        <f t="shared" ca="1" si="27"/>
        <v>#NAME?</v>
      </c>
      <c r="BA61" s="179" t="e">
        <f t="shared" ca="1" si="27"/>
        <v>#NAME?</v>
      </c>
      <c r="BB61" s="179" t="e">
        <f t="shared" ca="1" si="27"/>
        <v>#NAME?</v>
      </c>
      <c r="BC61" s="179" t="e">
        <f t="shared" ca="1" si="27"/>
        <v>#NAME?</v>
      </c>
      <c r="BD61" s="179" t="e">
        <f t="shared" ca="1" si="27"/>
        <v>#NAME?</v>
      </c>
      <c r="BE61" s="179" t="e">
        <f t="shared" ca="1" si="27"/>
        <v>#NAME?</v>
      </c>
      <c r="BF61" s="179" t="e">
        <f t="shared" ca="1" si="27"/>
        <v>#NAME?</v>
      </c>
      <c r="BG61" s="179" t="e">
        <f t="shared" ca="1" si="27"/>
        <v>#NAME?</v>
      </c>
      <c r="BH61" s="179" t="e">
        <f t="shared" ca="1" si="27"/>
        <v>#NAME?</v>
      </c>
      <c r="BI61" s="178" t="e">
        <f t="shared" ca="1" si="27"/>
        <v>#NAME?</v>
      </c>
      <c r="BJ61" s="177" t="e">
        <f t="shared" ca="1" si="27"/>
        <v>#NAME?</v>
      </c>
      <c r="BK61" s="177" t="e">
        <f t="shared" ca="1" si="27"/>
        <v>#NAME?</v>
      </c>
      <c r="BL61" s="177" t="e">
        <f t="shared" ca="1" si="27"/>
        <v>#NAME?</v>
      </c>
      <c r="BM61" s="177" t="e">
        <f t="shared" ca="1" si="27"/>
        <v>#NAME?</v>
      </c>
      <c r="BN61" s="176" t="e">
        <f t="shared" ca="1" si="27"/>
        <v>#NAME?</v>
      </c>
    </row>
    <row r="62" spans="2:66" ht="15.75" hidden="1" outlineLevel="1" thickBot="1" x14ac:dyDescent="0.3">
      <c r="C62" s="8"/>
      <c r="D62" s="172" t="str">
        <f>D21</f>
        <v>Low</v>
      </c>
      <c r="E62" s="171"/>
      <c r="F62" s="171"/>
      <c r="G62" s="170" t="e">
        <f t="shared" ref="G62:V62" ca="1" si="28">MIN(G53:G57)</f>
        <v>#NAME?</v>
      </c>
      <c r="H62" s="170" t="e">
        <f t="shared" ca="1" si="28"/>
        <v>#NAME?</v>
      </c>
      <c r="I62" s="169" t="e">
        <f t="shared" ca="1" si="28"/>
        <v>#NAME?</v>
      </c>
      <c r="J62" s="169" t="e">
        <f t="shared" ca="1" si="28"/>
        <v>#NAME?</v>
      </c>
      <c r="K62" s="169" t="e">
        <f t="shared" ca="1" si="28"/>
        <v>#NAME?</v>
      </c>
      <c r="L62" s="169" t="e">
        <f t="shared" ca="1" si="28"/>
        <v>#NAME?</v>
      </c>
      <c r="M62" s="169" t="e">
        <f t="shared" ca="1" si="28"/>
        <v>#NAME?</v>
      </c>
      <c r="N62" s="169" t="e">
        <f t="shared" ca="1" si="28"/>
        <v>#NAME?</v>
      </c>
      <c r="O62" s="169" t="e">
        <f t="shared" ca="1" si="28"/>
        <v>#NAME?</v>
      </c>
      <c r="P62" s="169" t="e">
        <f t="shared" ca="1" si="28"/>
        <v>#NAME?</v>
      </c>
      <c r="Q62" s="168" t="e">
        <f t="shared" ca="1" si="28"/>
        <v>#NAME?</v>
      </c>
      <c r="R62" s="167" t="e">
        <f t="shared" ca="1" si="28"/>
        <v>#NAME?</v>
      </c>
      <c r="S62" s="167" t="e">
        <f t="shared" ca="1" si="28"/>
        <v>#NAME?</v>
      </c>
      <c r="T62" s="167" t="e">
        <f t="shared" ca="1" si="28"/>
        <v>#NAME?</v>
      </c>
      <c r="U62" s="167" t="e">
        <f t="shared" ca="1" si="28"/>
        <v>#NAME?</v>
      </c>
      <c r="V62" s="166" t="e">
        <f t="shared" ca="1" si="28"/>
        <v>#NAME?</v>
      </c>
      <c r="W62" s="2"/>
      <c r="Y62" s="24"/>
      <c r="Z62" s="172" t="str">
        <f>Z21</f>
        <v>Low</v>
      </c>
      <c r="AA62" s="171"/>
      <c r="AB62" s="171"/>
      <c r="AC62" s="170" t="e">
        <f t="shared" ref="AC62:AR62" ca="1" si="29">MIN(AC53:AC57)</f>
        <v>#NAME?</v>
      </c>
      <c r="AD62" s="170" t="e">
        <f t="shared" ca="1" si="29"/>
        <v>#NAME?</v>
      </c>
      <c r="AE62" s="169" t="e">
        <f t="shared" ca="1" si="29"/>
        <v>#NAME?</v>
      </c>
      <c r="AF62" s="169" t="e">
        <f t="shared" ca="1" si="29"/>
        <v>#NAME?</v>
      </c>
      <c r="AG62" s="169" t="e">
        <f t="shared" ca="1" si="29"/>
        <v>#NAME?</v>
      </c>
      <c r="AH62" s="169" t="e">
        <f t="shared" ca="1" si="29"/>
        <v>#NAME?</v>
      </c>
      <c r="AI62" s="169" t="e">
        <f t="shared" ca="1" si="29"/>
        <v>#NAME?</v>
      </c>
      <c r="AJ62" s="169" t="e">
        <f t="shared" ca="1" si="29"/>
        <v>#NAME?</v>
      </c>
      <c r="AK62" s="169" t="e">
        <f t="shared" ca="1" si="29"/>
        <v>#NAME?</v>
      </c>
      <c r="AL62" s="169" t="e">
        <f t="shared" ca="1" si="29"/>
        <v>#NAME?</v>
      </c>
      <c r="AM62" s="168" t="e">
        <f t="shared" ca="1" si="29"/>
        <v>#NAME?</v>
      </c>
      <c r="AN62" s="167" t="e">
        <f t="shared" ca="1" si="29"/>
        <v>#NAME?</v>
      </c>
      <c r="AO62" s="167" t="e">
        <f t="shared" ca="1" si="29"/>
        <v>#NAME?</v>
      </c>
      <c r="AP62" s="167" t="e">
        <f t="shared" ca="1" si="29"/>
        <v>#NAME?</v>
      </c>
      <c r="AQ62" s="167" t="e">
        <f t="shared" ca="1" si="29"/>
        <v>#NAME?</v>
      </c>
      <c r="AR62" s="166" t="e">
        <f t="shared" ca="1" si="29"/>
        <v>#NAME?</v>
      </c>
      <c r="AU62" s="24"/>
      <c r="AV62" s="172" t="str">
        <f>AV21</f>
        <v>Low</v>
      </c>
      <c r="AW62" s="171"/>
      <c r="AX62" s="171"/>
      <c r="AY62" s="170" t="e">
        <f t="shared" ref="AY62:BN62" ca="1" si="30">MIN(AY53:AY57)</f>
        <v>#NAME?</v>
      </c>
      <c r="AZ62" s="170" t="e">
        <f t="shared" ca="1" si="30"/>
        <v>#NAME?</v>
      </c>
      <c r="BA62" s="169" t="e">
        <f t="shared" ca="1" si="30"/>
        <v>#NAME?</v>
      </c>
      <c r="BB62" s="169" t="e">
        <f t="shared" ca="1" si="30"/>
        <v>#NAME?</v>
      </c>
      <c r="BC62" s="169" t="e">
        <f t="shared" ca="1" si="30"/>
        <v>#NAME?</v>
      </c>
      <c r="BD62" s="169" t="e">
        <f t="shared" ca="1" si="30"/>
        <v>#NAME?</v>
      </c>
      <c r="BE62" s="169" t="e">
        <f t="shared" ca="1" si="30"/>
        <v>#NAME?</v>
      </c>
      <c r="BF62" s="169" t="e">
        <f t="shared" ca="1" si="30"/>
        <v>#NAME?</v>
      </c>
      <c r="BG62" s="169" t="e">
        <f t="shared" ca="1" si="30"/>
        <v>#NAME?</v>
      </c>
      <c r="BH62" s="169" t="e">
        <f t="shared" ca="1" si="30"/>
        <v>#NAME?</v>
      </c>
      <c r="BI62" s="168" t="e">
        <f t="shared" ca="1" si="30"/>
        <v>#NAME?</v>
      </c>
      <c r="BJ62" s="167" t="e">
        <f t="shared" ca="1" si="30"/>
        <v>#NAME?</v>
      </c>
      <c r="BK62" s="167" t="e">
        <f t="shared" ca="1" si="30"/>
        <v>#NAME?</v>
      </c>
      <c r="BL62" s="167" t="e">
        <f t="shared" ca="1" si="30"/>
        <v>#NAME?</v>
      </c>
      <c r="BM62" s="167" t="e">
        <f t="shared" ca="1" si="30"/>
        <v>#NAME?</v>
      </c>
      <c r="BN62" s="166" t="e">
        <f t="shared" ca="1" si="30"/>
        <v>#NAME?</v>
      </c>
    </row>
    <row r="63" spans="2:66" hidden="1" outlineLevel="1" x14ac:dyDescent="0.25">
      <c r="B63" s="24"/>
      <c r="C63" s="24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Y63" s="24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U63" s="24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</row>
    <row r="64" spans="2:66" hidden="1" outlineLevel="1" x14ac:dyDescent="0.25">
      <c r="B64" s="24"/>
      <c r="C64" s="24"/>
      <c r="D64" s="217"/>
      <c r="E64" s="217"/>
      <c r="F64" s="24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5"/>
      <c r="T64" s="132"/>
      <c r="U64" s="132"/>
      <c r="V64" s="132"/>
      <c r="W64" s="2"/>
      <c r="Y64" s="24"/>
      <c r="Z64" s="217"/>
      <c r="AA64" s="217"/>
      <c r="AB64" s="24"/>
      <c r="AC64" s="132"/>
      <c r="AD64" s="132"/>
      <c r="AE64" s="132"/>
      <c r="AF64" s="132"/>
      <c r="AG64" s="132"/>
      <c r="AH64" s="132"/>
      <c r="AI64" s="132"/>
      <c r="AJ64" s="132"/>
      <c r="AK64" s="132"/>
      <c r="AL64" s="132"/>
      <c r="AM64" s="132"/>
      <c r="AN64" s="132"/>
      <c r="AO64" s="5"/>
      <c r="AP64" s="132"/>
      <c r="AQ64" s="132"/>
      <c r="AR64" s="132"/>
      <c r="AU64" s="24"/>
      <c r="AV64" s="217"/>
      <c r="AW64" s="217"/>
      <c r="AX64" s="24"/>
      <c r="AY64" s="132"/>
      <c r="AZ64" s="132"/>
      <c r="BA64" s="132"/>
      <c r="BB64" s="132"/>
      <c r="BC64" s="132"/>
      <c r="BD64" s="132"/>
      <c r="BE64" s="132"/>
      <c r="BF64" s="132"/>
      <c r="BG64" s="132"/>
      <c r="BH64" s="132"/>
      <c r="BI64" s="132"/>
      <c r="BJ64" s="132"/>
      <c r="BK64" s="5"/>
      <c r="BL64" s="132"/>
      <c r="BM64" s="132"/>
      <c r="BN64" s="132"/>
    </row>
    <row r="65" spans="2:66" ht="16.5" hidden="1" outlineLevel="1" x14ac:dyDescent="0.35">
      <c r="B65" s="24"/>
      <c r="C65" s="24"/>
      <c r="D65" s="216" t="str">
        <f>D23</f>
        <v>Company</v>
      </c>
      <c r="E65" s="216"/>
      <c r="F65" s="216"/>
      <c r="G65" s="216" t="str">
        <f>G23</f>
        <v>General Statistics</v>
      </c>
      <c r="H65" s="216"/>
      <c r="I65" s="216"/>
      <c r="J65" s="216" t="str">
        <f>J23</f>
        <v>Returns Analysis</v>
      </c>
      <c r="K65" s="216"/>
      <c r="L65" s="216"/>
      <c r="M65" s="216" t="e">
        <f>#REF!</f>
        <v>#REF!</v>
      </c>
      <c r="N65" s="216"/>
      <c r="O65" s="216"/>
      <c r="P65" s="216" t="e">
        <f>#REF!</f>
        <v>#REF!</v>
      </c>
      <c r="Q65" s="216"/>
      <c r="R65" s="216"/>
      <c r="S65" s="216" t="str">
        <f>S23</f>
        <v>Liquidity Profile</v>
      </c>
      <c r="T65" s="216"/>
      <c r="U65" s="216" t="str">
        <f>U23</f>
        <v>Credit Profile</v>
      </c>
      <c r="V65" s="216"/>
      <c r="W65" s="2"/>
      <c r="Y65" s="24"/>
      <c r="Z65" s="216" t="str">
        <f>Z23</f>
        <v>Company</v>
      </c>
      <c r="AA65" s="216"/>
      <c r="AB65" s="216"/>
      <c r="AC65" s="216" t="str">
        <f>AC23</f>
        <v>General Statistics</v>
      </c>
      <c r="AD65" s="216"/>
      <c r="AE65" s="216"/>
      <c r="AF65" s="216" t="str">
        <f>AF23</f>
        <v>Returns Analysis</v>
      </c>
      <c r="AG65" s="216"/>
      <c r="AH65" s="216"/>
      <c r="AI65" s="216" t="e">
        <f>AI23</f>
        <v>#REF!</v>
      </c>
      <c r="AJ65" s="216"/>
      <c r="AK65" s="216"/>
      <c r="AL65" s="216" t="e">
        <f>AL23</f>
        <v>#REF!</v>
      </c>
      <c r="AM65" s="216"/>
      <c r="AN65" s="216"/>
      <c r="AO65" s="216" t="str">
        <f>AO23</f>
        <v>Liquidity Profile</v>
      </c>
      <c r="AP65" s="216"/>
      <c r="AQ65" s="216" t="str">
        <f>AQ23</f>
        <v>Credit Profile</v>
      </c>
      <c r="AR65" s="216"/>
      <c r="AU65" s="24"/>
      <c r="AV65" s="216" t="str">
        <f>AV23</f>
        <v>Company</v>
      </c>
      <c r="AW65" s="216"/>
      <c r="AX65" s="216"/>
      <c r="AY65" s="216" t="str">
        <f>AY23</f>
        <v>General Statistics</v>
      </c>
      <c r="AZ65" s="216"/>
      <c r="BA65" s="216"/>
      <c r="BB65" s="216" t="str">
        <f>BB23</f>
        <v>Returns Analysis</v>
      </c>
      <c r="BC65" s="216"/>
      <c r="BD65" s="216"/>
      <c r="BE65" s="216" t="e">
        <f>BE23</f>
        <v>#REF!</v>
      </c>
      <c r="BF65" s="216"/>
      <c r="BG65" s="216"/>
      <c r="BH65" s="216" t="e">
        <f>BH23</f>
        <v>#REF!</v>
      </c>
      <c r="BI65" s="216"/>
      <c r="BJ65" s="216"/>
      <c r="BK65" s="216" t="str">
        <f>BK23</f>
        <v>Liquidity Profile</v>
      </c>
      <c r="BL65" s="216"/>
      <c r="BM65" s="216" t="str">
        <f>BM23</f>
        <v>Credit Profile</v>
      </c>
      <c r="BN65" s="216"/>
    </row>
    <row r="66" spans="2:66" ht="16.5" hidden="1" outlineLevel="1" x14ac:dyDescent="0.35">
      <c r="B66" s="24"/>
      <c r="C66" s="24"/>
      <c r="D66" s="2"/>
      <c r="E66" s="2"/>
      <c r="F66" s="2"/>
      <c r="G66" s="2"/>
      <c r="H66" s="2"/>
      <c r="I66" s="2"/>
      <c r="J66" s="2"/>
      <c r="K66" s="2"/>
      <c r="L66" s="2"/>
      <c r="M66" s="216" t="str">
        <f>M24</f>
        <v xml:space="preserve">Total Debt / </v>
      </c>
      <c r="N66" s="216"/>
      <c r="O66" s="216"/>
      <c r="P66" s="2"/>
      <c r="Q66" s="2"/>
      <c r="R66" s="2"/>
      <c r="S66" s="2"/>
      <c r="T66" s="2"/>
      <c r="U66" s="2"/>
      <c r="V66" s="2"/>
      <c r="W66" s="2"/>
      <c r="Y66" s="24"/>
      <c r="Z66" s="2"/>
      <c r="AA66" s="2"/>
      <c r="AB66" s="2"/>
      <c r="AC66" s="2"/>
      <c r="AD66" s="2"/>
      <c r="AE66" s="2"/>
      <c r="AF66" s="2"/>
      <c r="AG66" s="2"/>
      <c r="AH66" s="2"/>
      <c r="AI66" s="216" t="str">
        <f>AI24</f>
        <v xml:space="preserve">Total Debt / </v>
      </c>
      <c r="AJ66" s="216"/>
      <c r="AK66" s="216"/>
      <c r="AL66" s="2"/>
      <c r="AM66" s="2"/>
      <c r="AN66" s="2"/>
      <c r="AO66" s="2"/>
      <c r="AP66" s="2"/>
      <c r="AQ66" s="2"/>
      <c r="AR66" s="2"/>
      <c r="AU66" s="24"/>
      <c r="AV66" s="2"/>
      <c r="AW66" s="2"/>
      <c r="AX66" s="2"/>
      <c r="AY66" s="2"/>
      <c r="AZ66" s="2"/>
      <c r="BA66" s="2"/>
      <c r="BB66" s="2"/>
      <c r="BC66" s="2"/>
      <c r="BD66" s="2"/>
      <c r="BE66" s="216" t="str">
        <f>BE24</f>
        <v xml:space="preserve">Total Debt / </v>
      </c>
      <c r="BF66" s="216"/>
      <c r="BG66" s="216"/>
      <c r="BH66" s="2"/>
      <c r="BI66" s="2"/>
      <c r="BJ66" s="2"/>
      <c r="BK66" s="2"/>
      <c r="BL66" s="2"/>
      <c r="BM66" s="2"/>
      <c r="BN66" s="2"/>
    </row>
    <row r="67" spans="2:66" hidden="1" outlineLevel="1" x14ac:dyDescent="0.25">
      <c r="B67" s="24"/>
      <c r="C67" s="24"/>
      <c r="D67" s="27"/>
      <c r="E67" s="27"/>
      <c r="F67" s="27"/>
      <c r="G67" s="27"/>
      <c r="H67" s="27"/>
      <c r="I67" s="27" t="str">
        <f>I25</f>
        <v>Dividend</v>
      </c>
      <c r="J67" s="27"/>
      <c r="K67" s="27"/>
      <c r="L67" s="27"/>
      <c r="M67" s="27"/>
      <c r="N67" s="27"/>
      <c r="O67" s="27"/>
      <c r="P67" s="27" t="str">
        <f t="shared" ref="P67:T68" si="31">P25</f>
        <v xml:space="preserve">EBITDA / </v>
      </c>
      <c r="Q67" s="27" t="str">
        <f t="shared" si="31"/>
        <v>(EBITDA -</v>
      </c>
      <c r="R67" s="27" t="str">
        <f t="shared" si="31"/>
        <v xml:space="preserve">EBIT / </v>
      </c>
      <c r="S67" s="27" t="str">
        <f t="shared" si="31"/>
        <v>Quick</v>
      </c>
      <c r="T67" s="27" t="str">
        <f t="shared" si="31"/>
        <v>Current</v>
      </c>
      <c r="U67" s="27"/>
      <c r="V67" s="27"/>
      <c r="W67" s="2"/>
      <c r="Y67" s="24"/>
      <c r="Z67" s="27"/>
      <c r="AA67" s="27"/>
      <c r="AB67" s="27"/>
      <c r="AC67" s="27"/>
      <c r="AD67" s="27"/>
      <c r="AE67" s="27" t="str">
        <f>AE25</f>
        <v>Dividend</v>
      </c>
      <c r="AF67" s="27"/>
      <c r="AG67" s="27"/>
      <c r="AH67" s="27"/>
      <c r="AI67" s="27"/>
      <c r="AJ67" s="27"/>
      <c r="AK67" s="27"/>
      <c r="AL67" s="27" t="str">
        <f t="shared" ref="AL67:AP68" si="32">AL25</f>
        <v xml:space="preserve">EBITDA / </v>
      </c>
      <c r="AM67" s="27" t="str">
        <f t="shared" si="32"/>
        <v>(EBITDA -</v>
      </c>
      <c r="AN67" s="27" t="str">
        <f t="shared" si="32"/>
        <v xml:space="preserve">EBIT / </v>
      </c>
      <c r="AO67" s="27" t="str">
        <f t="shared" si="32"/>
        <v>Quick</v>
      </c>
      <c r="AP67" s="27" t="str">
        <f t="shared" si="32"/>
        <v>Current</v>
      </c>
      <c r="AQ67" s="27"/>
      <c r="AR67" s="27"/>
      <c r="AU67" s="24"/>
      <c r="AV67" s="27"/>
      <c r="AW67" s="27"/>
      <c r="AX67" s="27"/>
      <c r="AY67" s="27"/>
      <c r="AZ67" s="27"/>
      <c r="BA67" s="27" t="str">
        <f>BA25</f>
        <v>Dividend</v>
      </c>
      <c r="BB67" s="27"/>
      <c r="BC67" s="27"/>
      <c r="BD67" s="27"/>
      <c r="BE67" s="27"/>
      <c r="BF67" s="27"/>
      <c r="BG67" s="27"/>
      <c r="BH67" s="27" t="str">
        <f t="shared" ref="BH67:BL68" si="33">BH25</f>
        <v xml:space="preserve">EBITDA / </v>
      </c>
      <c r="BI67" s="27" t="str">
        <f t="shared" si="33"/>
        <v>(EBITDA -</v>
      </c>
      <c r="BJ67" s="27" t="str">
        <f t="shared" si="33"/>
        <v xml:space="preserve">EBIT / </v>
      </c>
      <c r="BK67" s="27" t="str">
        <f t="shared" si="33"/>
        <v>Quick</v>
      </c>
      <c r="BL67" s="27" t="str">
        <f t="shared" si="33"/>
        <v>Current</v>
      </c>
      <c r="BM67" s="27"/>
      <c r="BN67" s="27"/>
    </row>
    <row r="68" spans="2:66" ht="16.5" hidden="1" outlineLevel="1" x14ac:dyDescent="0.35">
      <c r="B68" s="24"/>
      <c r="C68" s="24"/>
      <c r="D68" s="11"/>
      <c r="E68" s="27"/>
      <c r="F68" s="215" t="str">
        <f>F26</f>
        <v>Ticker</v>
      </c>
      <c r="G68" s="215" t="str">
        <f>G26</f>
        <v>Tax Rate</v>
      </c>
      <c r="H68" s="215" t="str">
        <f>H26</f>
        <v>Beta</v>
      </c>
      <c r="I68" s="215" t="str">
        <f>I26</f>
        <v>Yield</v>
      </c>
      <c r="J68" s="215" t="str">
        <f t="shared" ref="J68:O68" si="34">J26</f>
        <v>ROIC</v>
      </c>
      <c r="K68" s="215" t="str">
        <f t="shared" si="34"/>
        <v xml:space="preserve">ROE </v>
      </c>
      <c r="L68" s="215" t="str">
        <f t="shared" si="34"/>
        <v>ROA</v>
      </c>
      <c r="M68" s="215" t="str">
        <f t="shared" si="34"/>
        <v>Cap</v>
      </c>
      <c r="N68" s="215" t="str">
        <f t="shared" si="34"/>
        <v>EBITDA</v>
      </c>
      <c r="O68" s="215" t="str">
        <f t="shared" si="34"/>
        <v>Equity</v>
      </c>
      <c r="P68" s="215" t="str">
        <f t="shared" si="31"/>
        <v>Int. Exp.</v>
      </c>
      <c r="Q68" s="215" t="str">
        <f t="shared" si="31"/>
        <v>Capex)/Int.</v>
      </c>
      <c r="R68" s="215" t="str">
        <f t="shared" si="31"/>
        <v>Int. Exp.</v>
      </c>
      <c r="S68" s="215" t="str">
        <f t="shared" si="31"/>
        <v>Ratio</v>
      </c>
      <c r="T68" s="215" t="str">
        <f t="shared" si="31"/>
        <v>Ratio</v>
      </c>
      <c r="U68" s="215" t="s">
        <v>258</v>
      </c>
      <c r="V68" s="215" t="s">
        <v>257</v>
      </c>
      <c r="W68" s="2"/>
      <c r="Y68" s="24"/>
      <c r="Z68" s="11"/>
      <c r="AA68" s="27"/>
      <c r="AB68" s="215" t="str">
        <f>AB26</f>
        <v>Ticker</v>
      </c>
      <c r="AC68" s="215" t="str">
        <f>AC26</f>
        <v>Tax Rate</v>
      </c>
      <c r="AD68" s="215" t="str">
        <f>AD26</f>
        <v>Beta</v>
      </c>
      <c r="AE68" s="215" t="str">
        <f>AE26</f>
        <v>Yield</v>
      </c>
      <c r="AF68" s="215" t="str">
        <f t="shared" ref="AF68:AK68" si="35">AF26</f>
        <v>ROIC</v>
      </c>
      <c r="AG68" s="215" t="str">
        <f t="shared" si="35"/>
        <v xml:space="preserve">ROE </v>
      </c>
      <c r="AH68" s="215" t="str">
        <f t="shared" si="35"/>
        <v>ROA</v>
      </c>
      <c r="AI68" s="215" t="str">
        <f t="shared" si="35"/>
        <v>Cap</v>
      </c>
      <c r="AJ68" s="215" t="str">
        <f t="shared" si="35"/>
        <v>EBITDA</v>
      </c>
      <c r="AK68" s="215" t="str">
        <f t="shared" si="35"/>
        <v>Equity</v>
      </c>
      <c r="AL68" s="215" t="str">
        <f t="shared" si="32"/>
        <v>Int. Exp.</v>
      </c>
      <c r="AM68" s="215" t="str">
        <f t="shared" si="32"/>
        <v>Capex)/Int.</v>
      </c>
      <c r="AN68" s="215" t="str">
        <f t="shared" si="32"/>
        <v>Int. Exp.</v>
      </c>
      <c r="AO68" s="215" t="str">
        <f t="shared" si="32"/>
        <v>Ratio</v>
      </c>
      <c r="AP68" s="215" t="str">
        <f t="shared" si="32"/>
        <v>Ratio</v>
      </c>
      <c r="AQ68" s="215" t="str">
        <f>AQ26</f>
        <v>S&amp;P</v>
      </c>
      <c r="AR68" s="215" t="str">
        <f>AR26</f>
        <v>Outlook</v>
      </c>
      <c r="AU68" s="24"/>
      <c r="AV68" s="11"/>
      <c r="AW68" s="27"/>
      <c r="AX68" s="215" t="str">
        <f>AX26</f>
        <v>Ticker</v>
      </c>
      <c r="AY68" s="215" t="str">
        <f>AY26</f>
        <v>Tax Rate</v>
      </c>
      <c r="AZ68" s="215" t="str">
        <f>AZ26</f>
        <v>Beta</v>
      </c>
      <c r="BA68" s="215" t="str">
        <f>BA26</f>
        <v>Yield</v>
      </c>
      <c r="BB68" s="215" t="str">
        <f t="shared" ref="BB68:BG68" si="36">BB26</f>
        <v>ROIC</v>
      </c>
      <c r="BC68" s="215" t="str">
        <f t="shared" si="36"/>
        <v xml:space="preserve">ROE </v>
      </c>
      <c r="BD68" s="215" t="str">
        <f t="shared" si="36"/>
        <v>ROA</v>
      </c>
      <c r="BE68" s="215" t="str">
        <f t="shared" si="36"/>
        <v>Cap</v>
      </c>
      <c r="BF68" s="215" t="str">
        <f t="shared" si="36"/>
        <v>EBITDA</v>
      </c>
      <c r="BG68" s="215" t="str">
        <f t="shared" si="36"/>
        <v>Equity</v>
      </c>
      <c r="BH68" s="215" t="str">
        <f t="shared" si="33"/>
        <v>Int. Exp.</v>
      </c>
      <c r="BI68" s="215" t="str">
        <f t="shared" si="33"/>
        <v>Capex)/Int.</v>
      </c>
      <c r="BJ68" s="215" t="str">
        <f t="shared" si="33"/>
        <v>Int. Exp.</v>
      </c>
      <c r="BK68" s="215" t="str">
        <f t="shared" si="33"/>
        <v>Ratio</v>
      </c>
      <c r="BL68" s="215" t="str">
        <f t="shared" si="33"/>
        <v>Ratio</v>
      </c>
      <c r="BM68" s="215" t="str">
        <f>BM26</f>
        <v>S&amp;P</v>
      </c>
      <c r="BN68" s="215" t="str">
        <f>BN26</f>
        <v>Outlook</v>
      </c>
    </row>
    <row r="69" spans="2:66" ht="5.0999999999999996" hidden="1" customHeight="1" outlineLevel="1" x14ac:dyDescent="0.25">
      <c r="B69" s="24"/>
      <c r="C69" s="24"/>
      <c r="D69" s="27"/>
      <c r="E69" s="27"/>
      <c r="F69" s="27"/>
      <c r="G69" s="27"/>
      <c r="H69" s="27"/>
      <c r="I69" s="199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"/>
      <c r="Y69" s="24"/>
      <c r="Z69" s="27"/>
      <c r="AA69" s="27"/>
      <c r="AB69" s="27"/>
      <c r="AC69" s="27"/>
      <c r="AD69" s="27"/>
      <c r="AE69" s="199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U69" s="24"/>
      <c r="AV69" s="27"/>
      <c r="AW69" s="27"/>
      <c r="AX69" s="27"/>
      <c r="AY69" s="27"/>
      <c r="AZ69" s="27"/>
      <c r="BA69" s="199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</row>
    <row r="70" spans="2:66" hidden="1" outlineLevel="1" x14ac:dyDescent="0.25">
      <c r="B70" s="204" t="str">
        <f>E90</f>
        <v>IQ21401</v>
      </c>
      <c r="C70" s="204"/>
      <c r="D70" s="214" t="e">
        <f ca="1">D51</f>
        <v>#NAME?</v>
      </c>
      <c r="E70" s="213"/>
      <c r="F70" s="208" t="str">
        <f>F51</f>
        <v>KKR</v>
      </c>
      <c r="G70" s="212" t="e">
        <f ca="1">_xll.ciqfunctions.udf.CIQ($B70, "IQ_EFFECT_TAX_RATE",IQ_FY)/100</f>
        <v>#NAME?</v>
      </c>
      <c r="H70" s="209" t="e">
        <f ca="1">_xll.ciqfunctions.udf.CIQ($B70, "IQ_BETA_5YR",Current_Date)</f>
        <v>#NAME?</v>
      </c>
      <c r="I70" s="211" t="e">
        <f ca="1">_xll.ciqfunctions.udf.CIQ($B70, "IQ_DIVIDEND_YIELD",Current_Date)/100</f>
        <v>#NAME?</v>
      </c>
      <c r="J70" s="211" t="e">
        <f ca="1">(_xll.ciqfunctions.udf.CIQ($B70,"IQ_OPER_INC",IQ_LTM)*(1-G70))/(((_xll.ciqfunctions.udf.CIQ($B70,"IQ_TOTAL_DEBT",IQ_LTM))+_xll.ciqfunctions.udf.CIQ($B70,"IQ_TOTAL_EQUITY",IQ_LTM))-_xll.ciqfunctions.udf.CIQ($B70,"IQ_CASH_EQUIV",IQ_LTM))</f>
        <v>#NAME?</v>
      </c>
      <c r="K70" s="211" t="e">
        <f ca="1">_xll.ciqfunctions.udf.CIQ($B70, "IQ_RETURN_EQUITY",IQ_LTM)/100</f>
        <v>#NAME?</v>
      </c>
      <c r="L70" s="211" t="e">
        <f ca="1">_xll.ciqfunctions.udf.CIQ($B70, "IQ_RETURN_ASSETS",IQ_LTM)/100</f>
        <v>#NAME?</v>
      </c>
      <c r="M70" s="210" t="e">
        <f ca="1">_xll.ciqfunctions.udf.CIQ($B70, "IQ_TOTAL_DEBT_CAPITAL",IQ_FY)/100</f>
        <v>#NAME?</v>
      </c>
      <c r="N70" s="210" t="s">
        <v>13</v>
      </c>
      <c r="O70" s="210" t="e">
        <f ca="1">_xll.ciqfunctions.udf.CIQ($B70, "IQ_TOTAL_DEBT_EQUITY",IQ_FY)/100</f>
        <v>#NAME?</v>
      </c>
      <c r="P70" s="210" t="s">
        <v>13</v>
      </c>
      <c r="Q70" s="210" t="s">
        <v>13</v>
      </c>
      <c r="R70" s="210" t="s">
        <v>13</v>
      </c>
      <c r="S70" s="210" t="e">
        <f ca="1">_xll.ciqfunctions.udf.CIQ($B70, "IQ_QUICK_RATIO",IQ_FY)</f>
        <v>#NAME?</v>
      </c>
      <c r="T70" s="210" t="e">
        <f ca="1">_xll.ciqfunctions.udf.CIQ($B70, "IQ_CURRENT_RATIO",IQ_FY)</f>
        <v>#NAME?</v>
      </c>
      <c r="U70" s="208" t="e">
        <f ca="1">_xll.ciqfunctions.udf.CIQ($B70, "IQ_SP_LC_LT",Current)</f>
        <v>#NAME?</v>
      </c>
      <c r="V70" s="207" t="e">
        <f ca="1">_xll.ciqfunctions.udf.CIQ($B70, "IQ_SP_OUTLOOK_WATCH",Current)</f>
        <v>#NAME?</v>
      </c>
      <c r="W70" s="2"/>
      <c r="X70" s="204" t="str">
        <f>I90</f>
        <v>IQ21401</v>
      </c>
      <c r="Y70" s="24"/>
      <c r="Z70" s="214" t="e">
        <f>Z51</f>
        <v>#REF!</v>
      </c>
      <c r="AA70" s="213"/>
      <c r="AB70" s="208" t="str">
        <f>AB51</f>
        <v>KKR</v>
      </c>
      <c r="AC70" s="211" t="e">
        <f ca="1">_xll.ciqfunctions.udf.CIQ($X70, "IQ_EFFECT_TAX_RATE",IQ_FY)/100</f>
        <v>#NAME?</v>
      </c>
      <c r="AD70" s="209" t="e">
        <f ca="1">_xll.ciqfunctions.udf.CIQ($X70, "IQ_BETA_5YR",Current_Date)</f>
        <v>#NAME?</v>
      </c>
      <c r="AE70" s="211" t="e">
        <f ca="1">_xll.ciqfunctions.udf.CIQ($X70, "IQ_DIVIDEND_YIELD",Current_Date)/100</f>
        <v>#NAME?</v>
      </c>
      <c r="AF70" s="212" t="e">
        <f ca="1">(_xll.ciqfunctions.udf.CIQ($X70,"IQ_OPER_INC",IQ_LTM)*(1-AC70))/(((_xll.ciqfunctions.udf.CIQ($X70,"IQ_TOTAL_DEBT",IQ_LTM))+_xll.ciqfunctions.udf.CIQ($X70,"IQ_TOTAL_EQUITY",IQ_LTM))-_xll.ciqfunctions.udf.CIQ($X70,"IQ_CASH_EQUIV",IQ_LTM))</f>
        <v>#NAME?</v>
      </c>
      <c r="AG70" s="211" t="e">
        <f ca="1">_xll.ciqfunctions.udf.CIQ($X70, "IQ_RETURN_EQUITY",IQ_LTM)/100</f>
        <v>#NAME?</v>
      </c>
      <c r="AH70" s="211" t="e">
        <f ca="1">_xll.ciqfunctions.udf.CIQ($X70, "IQ_RETURN_ASSETS",IQ_LTM)/100</f>
        <v>#NAME?</v>
      </c>
      <c r="AI70" s="210" t="e">
        <f ca="1">_xll.ciqfunctions.udf.CIQ($X70, "IQ_TOTAL_DEBT_CAPITAL",IQ_FY)/100</f>
        <v>#NAME?</v>
      </c>
      <c r="AJ70" s="210" t="e">
        <f ca="1">_xll.ciqfunctions.udf.CIQ($X70, "IQ_TOTAL_DEBT_EBITDA",IQ_FY)</f>
        <v>#NAME?</v>
      </c>
      <c r="AK70" s="210" t="e">
        <f ca="1">_xll.ciqfunctions.udf.CIQ($X70, "IQ_TOTAL_DEBT_EQUITY",IQ_FY)/100</f>
        <v>#NAME?</v>
      </c>
      <c r="AL70" s="210" t="e">
        <f ca="1">_xll.ciqfunctions.udf.CIQ($X70, "IQ_EBITDA_INT",IQ_FY)</f>
        <v>#NAME?</v>
      </c>
      <c r="AM70" s="210" t="e">
        <f ca="1">_xll.ciqfunctions.udf.CIQ($X70, "IQ_EBITDA_CAPEX_INT",IQ_FY)</f>
        <v>#NAME?</v>
      </c>
      <c r="AN70" s="210" t="e">
        <f ca="1">_xll.ciqfunctions.udf.CIQ($X70, "IQ_EBIT_INT",IQ_FY)</f>
        <v>#NAME?</v>
      </c>
      <c r="AO70" s="209" t="e">
        <f ca="1">_xll.ciqfunctions.udf.CIQ($X70, "IQ_QUICK_RATIO",IQ_FY)</f>
        <v>#NAME?</v>
      </c>
      <c r="AP70" s="209" t="e">
        <f ca="1">_xll.ciqfunctions.udf.CIQ($X70, "IQ_CURRENT_RATIO",IQ_FY)</f>
        <v>#NAME?</v>
      </c>
      <c r="AQ70" s="208" t="e">
        <f ca="1">_xll.ciqfunctions.udf.CIQ($X70, "IQ_SP_LC_LT",Current)</f>
        <v>#NAME?</v>
      </c>
      <c r="AR70" s="207" t="e">
        <f ca="1">_xll.ciqfunctions.udf.CIQ($X70, "IQ_SP_OUTLOOK_WATCH",Current)</f>
        <v>#NAME?</v>
      </c>
      <c r="AT70" s="204" t="str">
        <f>N90</f>
        <v>IQ21401</v>
      </c>
      <c r="AU70" s="24">
        <f>AU51</f>
        <v>0</v>
      </c>
      <c r="AV70" s="214" t="e">
        <f>AV51</f>
        <v>#REF!</v>
      </c>
      <c r="AW70" s="213"/>
      <c r="AX70" s="208" t="e">
        <f>AX51</f>
        <v>#REF!</v>
      </c>
      <c r="AY70" s="211" t="e">
        <f ca="1">_xll.ciqfunctions.udf.CIQ($AT70, "IQ_EFFECT_TAX_RATE",IQ_FY)/100</f>
        <v>#NAME?</v>
      </c>
      <c r="AZ70" s="209" t="e">
        <f ca="1">_xll.ciqfunctions.udf.CIQ($AT70, "IQ_BETA_5YR",Current_Date)</f>
        <v>#NAME?</v>
      </c>
      <c r="BA70" s="211" t="e">
        <f ca="1">_xll.ciqfunctions.udf.CIQ($AT70, "IQ_DIVIDEND_YIELD",Current_Date)/100</f>
        <v>#NAME?</v>
      </c>
      <c r="BB70" s="212" t="e">
        <f ca="1">(_xll.ciqfunctions.udf.CIQ($AT70,"IQ_OPER_INC",IQ_LTM)*(1-AY70))/(((_xll.ciqfunctions.udf.CIQ($AT70,"IQ_TOTAL_DEBT",IQ_LTM))+_xll.ciqfunctions.udf.CIQ($AT70,"IQ_TOTAL_EQUITY",IQ_LTM))-_xll.ciqfunctions.udf.CIQ($AT70,"IQ_CASH_EQUIV",IQ_LTM))</f>
        <v>#NAME?</v>
      </c>
      <c r="BC70" s="211" t="e">
        <f ca="1">_xll.ciqfunctions.udf.CIQ($AT70, "IQ_RETURN_EQUITY",IQ_LTM)/100</f>
        <v>#NAME?</v>
      </c>
      <c r="BD70" s="211" t="e">
        <f ca="1">_xll.ciqfunctions.udf.CIQ($AT70, "IQ_RETURN_ASSETS",IQ_LTM)/100</f>
        <v>#NAME?</v>
      </c>
      <c r="BE70" s="210" t="e">
        <f ca="1">_xll.ciqfunctions.udf.CIQ($AT70, "IQ_TOTAL_DEBT_CAPITAL",IQ_FY)/100</f>
        <v>#NAME?</v>
      </c>
      <c r="BF70" s="210" t="e">
        <f ca="1">_xll.ciqfunctions.udf.CIQ($AT70, "IQ_TOTAL_DEBT_EBITDA",IQ_FY)</f>
        <v>#NAME?</v>
      </c>
      <c r="BG70" s="210" t="e">
        <f ca="1">_xll.ciqfunctions.udf.CIQ($AT70, "IQ_TOTAL_DEBT_EQUITY",IQ_FY)/100</f>
        <v>#NAME?</v>
      </c>
      <c r="BH70" s="210" t="e">
        <f ca="1">_xll.ciqfunctions.udf.CIQ($AT70, "IQ_EBITDA_INT",IQ_FY)</f>
        <v>#NAME?</v>
      </c>
      <c r="BI70" s="210" t="e">
        <f ca="1">_xll.ciqfunctions.udf.CIQ($AT70, "IQ_EBITDA_CAPEX_INT",IQ_FY)</f>
        <v>#NAME?</v>
      </c>
      <c r="BJ70" s="210" t="e">
        <f ca="1">_xll.ciqfunctions.udf.CIQ($AT70, "IQ_EBIT_INT",IQ_FY)</f>
        <v>#NAME?</v>
      </c>
      <c r="BK70" s="209" t="e">
        <f ca="1">_xll.ciqfunctions.udf.CIQ($AT70, "IQ_QUICK_RATIO",IQ_FY)</f>
        <v>#NAME?</v>
      </c>
      <c r="BL70" s="209" t="e">
        <f ca="1">_xll.ciqfunctions.udf.CIQ($AT70, "IQ_CURRENT_RATIO",IQ_FY)</f>
        <v>#NAME?</v>
      </c>
      <c r="BM70" s="208" t="e">
        <f ca="1">_xll.ciqfunctions.udf.CIQ($AT70, "IQ_SP_LC_LT",Current)</f>
        <v>#NAME?</v>
      </c>
      <c r="BN70" s="207" t="e">
        <f ca="1">_xll.ciqfunctions.udf.CIQ($AT70, "IQ_SP_OUTLOOK_WATCH",Current)</f>
        <v>#NAME?</v>
      </c>
    </row>
    <row r="71" spans="2:66" hidden="1" outlineLevel="1" x14ac:dyDescent="0.25">
      <c r="B71" s="204"/>
      <c r="C71" s="204"/>
      <c r="D71" s="2"/>
      <c r="E71" s="2"/>
      <c r="F71" s="27"/>
      <c r="G71" s="199"/>
      <c r="H71" s="27"/>
      <c r="I71" s="200"/>
      <c r="J71" s="163"/>
      <c r="K71" s="163"/>
      <c r="L71" s="163"/>
      <c r="M71" s="163"/>
      <c r="N71" s="164"/>
      <c r="O71" s="163"/>
      <c r="P71" s="164"/>
      <c r="Q71" s="165"/>
      <c r="R71" s="165"/>
      <c r="S71" s="163"/>
      <c r="T71" s="163"/>
      <c r="U71" s="206"/>
      <c r="V71" s="206"/>
      <c r="W71" s="2"/>
      <c r="X71" s="204"/>
      <c r="Y71" s="24"/>
      <c r="Z71" s="2"/>
      <c r="AA71" s="2"/>
      <c r="AB71" s="27"/>
      <c r="AC71" s="200"/>
      <c r="AD71" s="27"/>
      <c r="AE71" s="200"/>
      <c r="AF71" s="163"/>
      <c r="AG71" s="163"/>
      <c r="AH71" s="163"/>
      <c r="AI71" s="163"/>
      <c r="AJ71" s="164"/>
      <c r="AK71" s="163"/>
      <c r="AL71" s="164"/>
      <c r="AM71" s="165"/>
      <c r="AN71" s="165"/>
      <c r="AO71" s="27"/>
      <c r="AP71" s="27"/>
      <c r="AQ71" s="206"/>
      <c r="AR71" s="206"/>
      <c r="AT71" s="204"/>
      <c r="AU71" s="24"/>
      <c r="AV71" s="2"/>
      <c r="AW71" s="2"/>
      <c r="AX71" s="27"/>
      <c r="AY71" s="200"/>
      <c r="AZ71" s="27"/>
      <c r="BA71" s="200"/>
      <c r="BB71" s="163"/>
      <c r="BC71" s="163"/>
      <c r="BD71" s="163"/>
      <c r="BE71" s="163"/>
      <c r="BF71" s="164"/>
      <c r="BG71" s="163"/>
      <c r="BH71" s="164"/>
      <c r="BI71" s="165"/>
      <c r="BJ71" s="165"/>
      <c r="BK71" s="27"/>
      <c r="BL71" s="27"/>
      <c r="BM71" s="206"/>
      <c r="BN71" s="206"/>
    </row>
    <row r="72" spans="2:66" hidden="1" outlineLevel="1" x14ac:dyDescent="0.25">
      <c r="B72" s="204" t="str">
        <f>E94</f>
        <v>IQ18833</v>
      </c>
      <c r="C72" s="204"/>
      <c r="D72" s="2" t="e">
        <f ca="1">D53</f>
        <v>#NAME?</v>
      </c>
      <c r="E72" s="2"/>
      <c r="F72" s="27" t="str">
        <f>E93</f>
        <v>APO</v>
      </c>
      <c r="G72" s="203" t="e">
        <f ca="1">_xll.ciqfunctions.udf.CIQ($B72, "IQ_EFFECT_TAX_RATE",IQ_FY)/100</f>
        <v>#NAME?</v>
      </c>
      <c r="H72" s="201" t="e">
        <f ca="1">_xll.ciqfunctions.udf.CIQ($B72, "IQ_BETA_5YR",Current_Date)</f>
        <v>#NAME?</v>
      </c>
      <c r="I72" s="202" t="e">
        <f ca="1">_xll.ciqfunctions.udf.CIQ($B72, "IQ_DIVIDEND_YIELD",Current_Date)/100</f>
        <v>#NAME?</v>
      </c>
      <c r="J72" s="203" t="e">
        <f ca="1">(_xll.ciqfunctions.udf.CIQ($B72,"IQ_OPER_INC",IQ_LTM)*(1-G72))/(((_xll.ciqfunctions.udf.CIQ($B72,"IQ_TOTAL_DEBT",IQ_LTM))+_xll.ciqfunctions.udf.CIQ($B72,"IQ_TOTAL_EQUITY",IQ_LTM))-_xll.ciqfunctions.udf.CIQ($B72,"IQ_CASH_EQUIV",IQ_LTM))</f>
        <v>#NAME?</v>
      </c>
      <c r="K72" s="202" t="e">
        <f ca="1">_xll.ciqfunctions.udf.CIQ($B72, "IQ_RETURN_EQUITY",IQ_LTM)/100</f>
        <v>#NAME?</v>
      </c>
      <c r="L72" s="202" t="e">
        <f ca="1">_xll.ciqfunctions.udf.CIQ($B72, "IQ_RETURN_ASSETS",IQ_LTM)/100</f>
        <v>#NAME?</v>
      </c>
      <c r="M72" s="164" t="e">
        <f ca="1">_xll.ciqfunctions.udf.CIQ($B72, "IQ_TOTAL_DEBT_CAPITAL",IQ_FY)/100</f>
        <v>#NAME?</v>
      </c>
      <c r="N72" s="164" t="s">
        <v>13</v>
      </c>
      <c r="O72" s="164" t="e">
        <f ca="1">_xll.ciqfunctions.udf.CIQ($B72, "IQ_TOTAL_DEBT_EQUITY",IQ_FY)/100</f>
        <v>#NAME?</v>
      </c>
      <c r="P72" s="164" t="s">
        <v>13</v>
      </c>
      <c r="Q72" s="164" t="s">
        <v>13</v>
      </c>
      <c r="R72" s="164" t="s">
        <v>13</v>
      </c>
      <c r="S72" s="164" t="e">
        <f ca="1">_xll.ciqfunctions.udf.CIQ($B72, "IQ_QUICK_RATIO",IQ_FY)</f>
        <v>#NAME?</v>
      </c>
      <c r="T72" s="164" t="e">
        <f ca="1">_xll.ciqfunctions.udf.CIQ($B72, "IQ_CURRENT_RATIO",IQ_FY)</f>
        <v>#NAME?</v>
      </c>
      <c r="U72" s="27" t="e">
        <f ca="1">_xll.ciqfunctions.udf.CIQ($B72, "IQ_SP_LC_LT",Current)</f>
        <v>#NAME?</v>
      </c>
      <c r="V72" s="27" t="e">
        <f ca="1">_xll.ciqfunctions.udf.CIQ($B72, "IQ_SP_OUTLOOK_WATCH",Current)</f>
        <v>#NAME?</v>
      </c>
      <c r="W72" s="2"/>
      <c r="X72" s="204" t="str">
        <f>I94</f>
        <v>IQ159230</v>
      </c>
      <c r="Y72" s="24"/>
      <c r="Z72" s="2" t="e">
        <f ca="1">Z53</f>
        <v>#NAME?</v>
      </c>
      <c r="AA72" s="2"/>
      <c r="AB72" s="27" t="str">
        <f>I93</f>
        <v>RTX</v>
      </c>
      <c r="AC72" s="202" t="e">
        <f ca="1">_xll.ciqfunctions.udf.CIQ($X72, "IQ_EFFECT_TAX_RATE",IQ_FY)/100</f>
        <v>#NAME?</v>
      </c>
      <c r="AD72" s="201" t="e">
        <f ca="1">_xll.ciqfunctions.udf.CIQ($X72, "IQ_BETA_5YR",Current_Date)</f>
        <v>#NAME?</v>
      </c>
      <c r="AE72" s="202" t="e">
        <f ca="1">_xll.ciqfunctions.udf.CIQ($X72, "IQ_DIVIDEND_YIELD",Current_Date)/100</f>
        <v>#NAME?</v>
      </c>
      <c r="AF72" s="203" t="e">
        <f ca="1">(_xll.ciqfunctions.udf.CIQ($X72,"IQ_OPER_INC",IQ_LTM)*(1-AC72))/(((_xll.ciqfunctions.udf.CIQ($X72,"IQ_TOTAL_DEBT",IQ_LTM))+_xll.ciqfunctions.udf.CIQ($X72,"IQ_TOTAL_EQUITY",IQ_LTM))-_xll.ciqfunctions.udf.CIQ($X72,"IQ_CASH_EQUIV",IQ_LTM))</f>
        <v>#NAME?</v>
      </c>
      <c r="AG72" s="202" t="e">
        <f ca="1">_xll.ciqfunctions.udf.CIQ($X72, "IQ_RETURN_EQUITY",IQ_LTM)/100</f>
        <v>#NAME?</v>
      </c>
      <c r="AH72" s="202" t="e">
        <f ca="1">_xll.ciqfunctions.udf.CIQ($X72, "IQ_RETURN_ASSETS",IQ_LTM)/100</f>
        <v>#NAME?</v>
      </c>
      <c r="AI72" s="164" t="e">
        <f ca="1">_xll.ciqfunctions.udf.CIQ($X72, "IQ_TOTAL_DEBT_CAPITAL",IQ_FY)/100</f>
        <v>#NAME?</v>
      </c>
      <c r="AJ72" s="164" t="e">
        <f ca="1">_xll.ciqfunctions.udf.CIQ($X72, "IQ_TOTAL_DEBT_EBITDA",IQ_FY)</f>
        <v>#NAME?</v>
      </c>
      <c r="AK72" s="164" t="e">
        <f ca="1">_xll.ciqfunctions.udf.CIQ($X72, "IQ_TOTAL_DEBT_EQUITY",IQ_FY)/100</f>
        <v>#NAME?</v>
      </c>
      <c r="AL72" s="164" t="e">
        <f ca="1">_xll.ciqfunctions.udf.CIQ($X72, "IQ_EBITDA_INT",IQ_FY)</f>
        <v>#NAME?</v>
      </c>
      <c r="AM72" s="164" t="e">
        <f ca="1">_xll.ciqfunctions.udf.CIQ($X72, "IQ_EBITDA_CAPEX_INT",IQ_FY)</f>
        <v>#NAME?</v>
      </c>
      <c r="AN72" s="164" t="e">
        <f ca="1">_xll.ciqfunctions.udf.CIQ($X72, "IQ_EBIT_INT",IQ_FY)</f>
        <v>#NAME?</v>
      </c>
      <c r="AO72" s="201" t="e">
        <f ca="1">_xll.ciqfunctions.udf.CIQ($X72, "IQ_QUICK_RATIO",IQ_FY)</f>
        <v>#NAME?</v>
      </c>
      <c r="AP72" s="201" t="e">
        <f ca="1">_xll.ciqfunctions.udf.CIQ($X72, "IQ_CURRENT_RATIO",IQ_FY)</f>
        <v>#NAME?</v>
      </c>
      <c r="AQ72" s="27" t="e">
        <f ca="1">_xll.ciqfunctions.udf.CIQ($X72, "IQ_SP_LC_LT",Current)</f>
        <v>#NAME?</v>
      </c>
      <c r="AR72" s="27" t="e">
        <f ca="1">_xll.ciqfunctions.udf.CIQ($X72, "IQ_SP_OUTLOOK_WATCH",Current)</f>
        <v>#NAME?</v>
      </c>
      <c r="AT72" s="204" t="str">
        <f>N94</f>
        <v>IQ289194</v>
      </c>
      <c r="AU72" s="24">
        <f>AU53</f>
        <v>0</v>
      </c>
      <c r="AV72" s="2" t="e">
        <f ca="1">AV53</f>
        <v>#NAME?</v>
      </c>
      <c r="AW72" s="2"/>
      <c r="AX72" s="27" t="str">
        <f>AX53</f>
        <v>MMM</v>
      </c>
      <c r="AY72" s="202" t="e">
        <f ca="1">_xll.ciqfunctions.udf.CIQ($AT72, "IQ_EFFECT_TAX_RATE",IQ_FY)/100</f>
        <v>#NAME?</v>
      </c>
      <c r="AZ72" s="201" t="e">
        <f ca="1">_xll.ciqfunctions.udf.CIQ($AT72, "IQ_BETA_5YR",Current_Date)</f>
        <v>#NAME?</v>
      </c>
      <c r="BA72" s="202" t="e">
        <f ca="1">_xll.ciqfunctions.udf.CIQ($AT72, "IQ_DIVIDEND_YIELD",Current_Date)/100</f>
        <v>#NAME?</v>
      </c>
      <c r="BB72" s="203" t="e">
        <f ca="1">(_xll.ciqfunctions.udf.CIQ($AT72,"IQ_OPER_INC",IQ_LTM)*(1-AY72))/(((_xll.ciqfunctions.udf.CIQ($AT72,"IQ_TOTAL_DEBT",IQ_LTM))+_xll.ciqfunctions.udf.CIQ($AT72,"IQ_TOTAL_EQUITY",IQ_LTM))-_xll.ciqfunctions.udf.CIQ($AT72,"IQ_CASH_EQUIV",IQ_LTM))</f>
        <v>#NAME?</v>
      </c>
      <c r="BC72" s="202" t="e">
        <f ca="1">_xll.ciqfunctions.udf.CIQ($AT72, "IQ_RETURN_EQUITY",IQ_LTM)/100</f>
        <v>#NAME?</v>
      </c>
      <c r="BD72" s="202" t="e">
        <f ca="1">_xll.ciqfunctions.udf.CIQ($AT72, "IQ_RETURN_ASSETS",IQ_LTM)/100</f>
        <v>#NAME?</v>
      </c>
      <c r="BE72" s="164" t="e">
        <f ca="1">_xll.ciqfunctions.udf.CIQ($AT72, "IQ_TOTAL_DEBT_CAPITAL",IQ_FY)/100</f>
        <v>#NAME?</v>
      </c>
      <c r="BF72" s="164" t="e">
        <f ca="1">_xll.ciqfunctions.udf.CIQ($AT72, "IQ_TOTAL_DEBT_EBITDA",IQ_FY)</f>
        <v>#NAME?</v>
      </c>
      <c r="BG72" s="164" t="e">
        <f ca="1">_xll.ciqfunctions.udf.CIQ($AT72, "IQ_TOTAL_DEBT_EQUITY",IQ_FY)/100</f>
        <v>#NAME?</v>
      </c>
      <c r="BH72" s="164" t="e">
        <f ca="1">_xll.ciqfunctions.udf.CIQ($AT72, "IQ_EBITDA_INT",IQ_FY)</f>
        <v>#NAME?</v>
      </c>
      <c r="BI72" s="164" t="e">
        <f ca="1">_xll.ciqfunctions.udf.CIQ($AT72, "IQ_EBITDA_CAPEX_INT",IQ_FY)</f>
        <v>#NAME?</v>
      </c>
      <c r="BJ72" s="164" t="e">
        <f ca="1">_xll.ciqfunctions.udf.CIQ($AT72, "IQ_EBIT_INT",IQ_FY)</f>
        <v>#NAME?</v>
      </c>
      <c r="BK72" s="201" t="e">
        <f ca="1">_xll.ciqfunctions.udf.CIQ($AT72, "IQ_QUICK_RATIO",IQ_FY)</f>
        <v>#NAME?</v>
      </c>
      <c r="BL72" s="201" t="e">
        <f ca="1">_xll.ciqfunctions.udf.CIQ($AT72, "IQ_CURRENT_RATIO",IQ_FY)</f>
        <v>#NAME?</v>
      </c>
      <c r="BM72" s="27" t="e">
        <f ca="1">_xll.ciqfunctions.udf.CIQ($AT72, "IQ_SP_LC_LT",Current)</f>
        <v>#NAME?</v>
      </c>
      <c r="BN72" s="27" t="e">
        <f ca="1">_xll.ciqfunctions.udf.CIQ($AT72, "IQ_SP_OUTLOOK_WATCH",Current)</f>
        <v>#NAME?</v>
      </c>
    </row>
    <row r="73" spans="2:66" hidden="1" outlineLevel="1" x14ac:dyDescent="0.25">
      <c r="B73" s="204" t="str">
        <f>E98</f>
        <v>IQ44707236</v>
      </c>
      <c r="C73" s="204"/>
      <c r="D73" s="2" t="str">
        <f>D54</f>
        <v xml:space="preserve">Ares Capital Corporation </v>
      </c>
      <c r="E73" s="2"/>
      <c r="F73" s="27" t="str">
        <f>E97</f>
        <v>ARCC</v>
      </c>
      <c r="G73" s="203" t="e">
        <f ca="1">_xll.ciqfunctions.udf.CIQ($B73, "IQ_EFFECT_TAX_RATE",IQ_FY)/100</f>
        <v>#NAME?</v>
      </c>
      <c r="H73" s="201" t="e">
        <f ca="1">_xll.ciqfunctions.udf.CIQ($B73, "IQ_BETA_5YR",Current_Date)</f>
        <v>#NAME?</v>
      </c>
      <c r="I73" s="202" t="e">
        <f ca="1">_xll.ciqfunctions.udf.CIQ($B73, "IQ_DIVIDEND_YIELD",Current_Date)/100</f>
        <v>#NAME?</v>
      </c>
      <c r="J73" s="203" t="e">
        <f ca="1">(_xll.ciqfunctions.udf.CIQ($B73,"IQ_OPER_INC",IQ_LTM)*(1-G73))/(((_xll.ciqfunctions.udf.CIQ($B73,"IQ_TOTAL_DEBT",IQ_LTM))+_xll.ciqfunctions.udf.CIQ($B73,"IQ_TOTAL_EQUITY",IQ_LTM))-_xll.ciqfunctions.udf.CIQ($B73,"IQ_CASH_EQUIV",IQ_LTM))</f>
        <v>#NAME?</v>
      </c>
      <c r="K73" s="202" t="e">
        <f ca="1">_xll.ciqfunctions.udf.CIQ($B73, "IQ_RETURN_EQUITY",IQ_LTM)/100</f>
        <v>#NAME?</v>
      </c>
      <c r="L73" s="202" t="e">
        <f ca="1">_xll.ciqfunctions.udf.CIQ($B73, "IQ_RETURN_ASSETS",IQ_LTM)/100</f>
        <v>#NAME?</v>
      </c>
      <c r="M73" s="164" t="e">
        <f ca="1">_xll.ciqfunctions.udf.CIQ($B73, "IQ_TOTAL_DEBT_CAPITAL",IQ_FY)/100</f>
        <v>#NAME?</v>
      </c>
      <c r="N73" s="164" t="e">
        <f ca="1">_xll.ciqfunctions.udf.CIQ($B73, "IQ_TOTAL_DEBT_EBITDA",IQ_FY)</f>
        <v>#NAME?</v>
      </c>
      <c r="O73" s="164" t="e">
        <f ca="1">_xll.ciqfunctions.udf.CIQ($B73, "IQ_TOTAL_DEBT_EQUITY",IQ_FY)/100</f>
        <v>#NAME?</v>
      </c>
      <c r="P73" s="164" t="e">
        <f ca="1">_xll.ciqfunctions.udf.CIQ($B73, "IQ_EBITDA_INT",IQ_FY)</f>
        <v>#NAME?</v>
      </c>
      <c r="Q73" s="164" t="e">
        <f ca="1">_xll.ciqfunctions.udf.CIQ($B73, "IQ_EBITDA_CAPEX_INT",IQ_FY)</f>
        <v>#NAME?</v>
      </c>
      <c r="R73" s="164" t="e">
        <f ca="1">_xll.ciqfunctions.udf.CIQ($B73, "IQ_EBIT_INT",IQ_FY)</f>
        <v>#NAME?</v>
      </c>
      <c r="S73" s="164" t="e">
        <f ca="1">_xll.ciqfunctions.udf.CIQ($B73, "IQ_QUICK_RATIO",IQ_FY)</f>
        <v>#NAME?</v>
      </c>
      <c r="T73" s="164" t="e">
        <f ca="1">_xll.ciqfunctions.udf.CIQ($B73, "IQ_CURRENT_RATIO",IQ_FY)</f>
        <v>#NAME?</v>
      </c>
      <c r="U73" s="27" t="e">
        <f ca="1">_xll.ciqfunctions.udf.CIQ($B73, "IQ_SP_LC_LT",Current)</f>
        <v>#NAME?</v>
      </c>
      <c r="V73" s="27" t="e">
        <f ca="1">_xll.ciqfunctions.udf.CIQ($B73, "IQ_SP_OUTLOOK_WATCH",Current)</f>
        <v>#NAME?</v>
      </c>
      <c r="W73" s="2"/>
      <c r="X73" s="204" t="str">
        <f>I98</f>
        <v>IQ370857</v>
      </c>
      <c r="Y73" s="24"/>
      <c r="Z73" s="2" t="e">
        <f ca="1">Z54</f>
        <v>#NAME?</v>
      </c>
      <c r="AA73" s="2"/>
      <c r="AB73" s="27" t="str">
        <f>I97</f>
        <v>BA</v>
      </c>
      <c r="AC73" s="202" t="e">
        <f ca="1">_xll.ciqfunctions.udf.CIQ($X73, "IQ_EFFECT_TAX_RATE",IQ_FY)/100</f>
        <v>#NAME?</v>
      </c>
      <c r="AD73" s="201" t="e">
        <f ca="1">_xll.ciqfunctions.udf.CIQ($X73, "IQ_BETA_5YR",Current_Date)</f>
        <v>#NAME?</v>
      </c>
      <c r="AE73" s="202" t="e">
        <f ca="1">_xll.ciqfunctions.udf.CIQ($X73, "IQ_DIVIDEND_YIELD",Current_Date)/100</f>
        <v>#NAME?</v>
      </c>
      <c r="AF73" s="203" t="e">
        <f ca="1">(_xll.ciqfunctions.udf.CIQ($X73,"IQ_OPER_INC",IQ_LTM)*(1-AC73))/(((_xll.ciqfunctions.udf.CIQ($X73,"IQ_TOTAL_DEBT",IQ_LTM))+_xll.ciqfunctions.udf.CIQ($X73,"IQ_TOTAL_EQUITY",IQ_LTM))-_xll.ciqfunctions.udf.CIQ($X73,"IQ_CASH_EQUIV",IQ_LTM))</f>
        <v>#NAME?</v>
      </c>
      <c r="AG73" s="202" t="e">
        <f ca="1">_xll.ciqfunctions.udf.CIQ($X73, "IQ_RETURN_EQUITY",IQ_LTM)/100</f>
        <v>#NAME?</v>
      </c>
      <c r="AH73" s="202" t="e">
        <f ca="1">_xll.ciqfunctions.udf.CIQ($X73, "IQ_RETURN_ASSETS",IQ_LTM)/100</f>
        <v>#NAME?</v>
      </c>
      <c r="AI73" s="164" t="e">
        <f ca="1">_xll.ciqfunctions.udf.CIQ($X73, "IQ_TOTAL_DEBT_CAPITAL",IQ_FY)/100</f>
        <v>#NAME?</v>
      </c>
      <c r="AJ73" s="164" t="e">
        <f ca="1">_xll.ciqfunctions.udf.CIQ($X73, "IQ_TOTAL_DEBT_EBITDA",IQ_FY)</f>
        <v>#NAME?</v>
      </c>
      <c r="AK73" s="164" t="e">
        <f ca="1">_xll.ciqfunctions.udf.CIQ($X73, "IQ_TOTAL_DEBT_EQUITY",IQ_FY)/100</f>
        <v>#NAME?</v>
      </c>
      <c r="AL73" s="164" t="e">
        <f ca="1">_xll.ciqfunctions.udf.CIQ($X73, "IQ_EBITDA_INT",IQ_FY)</f>
        <v>#NAME?</v>
      </c>
      <c r="AM73" s="164" t="e">
        <f ca="1">_xll.ciqfunctions.udf.CIQ($X73, "IQ_EBITDA_CAPEX_INT",IQ_FY)</f>
        <v>#NAME?</v>
      </c>
      <c r="AN73" s="164" t="e">
        <f ca="1">_xll.ciqfunctions.udf.CIQ($X73, "IQ_EBIT_INT",IQ_FY)</f>
        <v>#NAME?</v>
      </c>
      <c r="AO73" s="201" t="e">
        <f ca="1">_xll.ciqfunctions.udf.CIQ($X73, "IQ_QUICK_RATIO",IQ_FY)</f>
        <v>#NAME?</v>
      </c>
      <c r="AP73" s="201" t="e">
        <f ca="1">_xll.ciqfunctions.udf.CIQ($X73, "IQ_CURRENT_RATIO",IQ_FY)</f>
        <v>#NAME?</v>
      </c>
      <c r="AQ73" s="27" t="e">
        <f ca="1">_xll.ciqfunctions.udf.CIQ($X73, "IQ_SP_LC_LT",Current)</f>
        <v>#NAME?</v>
      </c>
      <c r="AR73" s="27" t="e">
        <f ca="1">_xll.ciqfunctions.udf.CIQ($X73, "IQ_SP_OUTLOOK_WATCH",Current)</f>
        <v>#NAME?</v>
      </c>
      <c r="AT73" s="204" t="str">
        <f>N98</f>
        <v>IQ177031</v>
      </c>
      <c r="AU73" s="24">
        <f>AU96</f>
        <v>0</v>
      </c>
      <c r="AV73" s="2" t="e">
        <f ca="1">AV54</f>
        <v>#NAME?</v>
      </c>
      <c r="AW73" s="2"/>
      <c r="AX73" s="27" t="str">
        <f>AX54</f>
        <v>GE</v>
      </c>
      <c r="AY73" s="202" t="e">
        <f ca="1">_xll.ciqfunctions.udf.CIQ($AT73, "IQ_EFFECT_TAX_RATE",IQ_FY)/100</f>
        <v>#NAME?</v>
      </c>
      <c r="AZ73" s="201" t="e">
        <f ca="1">_xll.ciqfunctions.udf.CIQ($AT73, "IQ_BETA_5YR",Current_Date)</f>
        <v>#NAME?</v>
      </c>
      <c r="BA73" s="202" t="e">
        <f ca="1">_xll.ciqfunctions.udf.CIQ($AT73, "IQ_DIVIDEND_YIELD",Current_Date)/100</f>
        <v>#NAME?</v>
      </c>
      <c r="BB73" s="203" t="e">
        <f ca="1">(_xll.ciqfunctions.udf.CIQ($AT73,"IQ_OPER_INC",IQ_LTM)*(1-AY73))/(((_xll.ciqfunctions.udf.CIQ($AT73,"IQ_TOTAL_DEBT",IQ_LTM))+_xll.ciqfunctions.udf.CIQ($AT73,"IQ_TOTAL_EQUITY",IQ_LTM))-_xll.ciqfunctions.udf.CIQ($AT73,"IQ_CASH_EQUIV",IQ_LTM))</f>
        <v>#NAME?</v>
      </c>
      <c r="BC73" s="202" t="e">
        <f ca="1">_xll.ciqfunctions.udf.CIQ($AT73, "IQ_RETURN_EQUITY",IQ_LTM)/100</f>
        <v>#NAME?</v>
      </c>
      <c r="BD73" s="202" t="e">
        <f ca="1">_xll.ciqfunctions.udf.CIQ($AT73, "IQ_RETURN_ASSETS",IQ_LTM)/100</f>
        <v>#NAME?</v>
      </c>
      <c r="BE73" s="164" t="e">
        <f ca="1">_xll.ciqfunctions.udf.CIQ($AT73, "IQ_TOTAL_DEBT_CAPITAL",IQ_FY)/100</f>
        <v>#NAME?</v>
      </c>
      <c r="BF73" s="164" t="e">
        <f ca="1">_xll.ciqfunctions.udf.CIQ($AT73, "IQ_TOTAL_DEBT_EBITDA",IQ_FY)</f>
        <v>#NAME?</v>
      </c>
      <c r="BG73" s="164" t="e">
        <f ca="1">_xll.ciqfunctions.udf.CIQ($AT73, "IQ_TOTAL_DEBT_EQUITY",IQ_FY)/100</f>
        <v>#NAME?</v>
      </c>
      <c r="BH73" s="164" t="e">
        <f ca="1">_xll.ciqfunctions.udf.CIQ($AT73, "IQ_EBITDA_INT",IQ_FY)</f>
        <v>#NAME?</v>
      </c>
      <c r="BI73" s="164" t="e">
        <f ca="1">_xll.ciqfunctions.udf.CIQ($AT73, "IQ_EBITDA_CAPEX_INT",IQ_FY)</f>
        <v>#NAME?</v>
      </c>
      <c r="BJ73" s="164" t="e">
        <f ca="1">_xll.ciqfunctions.udf.CIQ($AT73, "IQ_EBIT_INT",IQ_FY)</f>
        <v>#NAME?</v>
      </c>
      <c r="BK73" s="201" t="e">
        <f ca="1">_xll.ciqfunctions.udf.CIQ($AT73, "IQ_QUICK_RATIO",IQ_FY)</f>
        <v>#NAME?</v>
      </c>
      <c r="BL73" s="201" t="e">
        <f ca="1">_xll.ciqfunctions.udf.CIQ($AT73, "IQ_CURRENT_RATIO",IQ_FY)</f>
        <v>#NAME?</v>
      </c>
      <c r="BM73" s="27" t="e">
        <f ca="1">_xll.ciqfunctions.udf.CIQ($AT73, "IQ_SP_LC_LT",Current)</f>
        <v>#NAME?</v>
      </c>
      <c r="BN73" s="27" t="e">
        <f ca="1">_xll.ciqfunctions.udf.CIQ($AT73, "IQ_SP_OUTLOOK_WATCH",Current)</f>
        <v>#NAME?</v>
      </c>
    </row>
    <row r="74" spans="2:66" hidden="1" outlineLevel="1" x14ac:dyDescent="0.25">
      <c r="B74" s="204" t="str">
        <f>E102</f>
        <v>IQ671980</v>
      </c>
      <c r="C74" s="204"/>
      <c r="D74" s="2" t="e">
        <f ca="1">D55</f>
        <v>#NAME?</v>
      </c>
      <c r="E74" s="2"/>
      <c r="F74" s="27" t="str">
        <f>E101</f>
        <v>BX</v>
      </c>
      <c r="G74" s="203" t="e">
        <f ca="1">_xll.ciqfunctions.udf.CIQ($B74, "IQ_EFFECT_TAX_RATE",IQ_FY)/100</f>
        <v>#NAME?</v>
      </c>
      <c r="H74" s="201" t="e">
        <f ca="1">_xll.ciqfunctions.udf.CIQ($B74, "IQ_BETA_5YR",Current_Date)</f>
        <v>#NAME?</v>
      </c>
      <c r="I74" s="202" t="e">
        <f ca="1">_xll.ciqfunctions.udf.CIQ($B74, "IQ_DIVIDEND_YIELD",Current_Date)/100</f>
        <v>#NAME?</v>
      </c>
      <c r="J74" s="203" t="e">
        <f ca="1">(_xll.ciqfunctions.udf.CIQ($B74,"IQ_OPER_INC",IQ_LTM)*(1-G74))/(((_xll.ciqfunctions.udf.CIQ($B74,"IQ_TOTAL_DEBT",IQ_LTM))+_xll.ciqfunctions.udf.CIQ($B74,"IQ_TOTAL_EQUITY",IQ_LTM))-_xll.ciqfunctions.udf.CIQ($B74,"IQ_CASH_EQUIV",IQ_LTM))</f>
        <v>#NAME?</v>
      </c>
      <c r="K74" s="202" t="e">
        <f ca="1">_xll.ciqfunctions.udf.CIQ($B74, "IQ_RETURN_EQUITY",IQ_LTM)/100</f>
        <v>#NAME?</v>
      </c>
      <c r="L74" s="202" t="e">
        <f ca="1">_xll.ciqfunctions.udf.CIQ($B74, "IQ_RETURN_ASSETS",IQ_LTM)/100</f>
        <v>#NAME?</v>
      </c>
      <c r="M74" s="205" t="e">
        <f ca="1">_xll.ciqfunctions.udf.CIQ($B74, "IQ_TOTAL_DEBT_CAPITAL",IQ_FY)/100</f>
        <v>#NAME?</v>
      </c>
      <c r="N74" s="205" t="s">
        <v>13</v>
      </c>
      <c r="O74" s="205" t="e">
        <f ca="1">_xll.ciqfunctions.udf.CIQ($B74, "IQ_TOTAL_DEBT_EQUITY",IQ_FY)/100</f>
        <v>#NAME?</v>
      </c>
      <c r="P74" s="164" t="s">
        <v>13</v>
      </c>
      <c r="Q74" s="164" t="s">
        <v>13</v>
      </c>
      <c r="R74" s="164" t="s">
        <v>13</v>
      </c>
      <c r="S74" s="205" t="e">
        <f ca="1">_xll.ciqfunctions.udf.CIQ($B74, "IQ_QUICK_RATIO",IQ_FY)</f>
        <v>#NAME?</v>
      </c>
      <c r="T74" s="205" t="e">
        <f ca="1">_xll.ciqfunctions.udf.CIQ($B74, "IQ_CURRENT_RATIO",IQ_FY)</f>
        <v>#NAME?</v>
      </c>
      <c r="U74" s="27" t="e">
        <f ca="1">_xll.ciqfunctions.udf.CIQ($B74, "IQ_SP_LC_LT",Current)</f>
        <v>#NAME?</v>
      </c>
      <c r="V74" s="27" t="e">
        <f ca="1">_xll.ciqfunctions.udf.CIQ($B74, "IQ_SP_OUTLOOK_WATCH",Current)</f>
        <v>#NAME?</v>
      </c>
      <c r="W74" s="2"/>
      <c r="X74" s="204" t="str">
        <f>I102</f>
        <v>IQ363263</v>
      </c>
      <c r="Y74" s="24"/>
      <c r="Z74" s="2" t="e">
        <f ca="1">Z55</f>
        <v>#NAME?</v>
      </c>
      <c r="AA74" s="2"/>
      <c r="AB74" s="27" t="str">
        <f>I101</f>
        <v>HII</v>
      </c>
      <c r="AC74" s="202" t="e">
        <f ca="1">_xll.ciqfunctions.udf.CIQ($X74, "IQ_EFFECT_TAX_RATE",IQ_FY)/100</f>
        <v>#NAME?</v>
      </c>
      <c r="AD74" s="201" t="e">
        <f ca="1">_xll.ciqfunctions.udf.CIQ($X74, "IQ_BETA_5YR",Current_Date)</f>
        <v>#NAME?</v>
      </c>
      <c r="AE74" s="202" t="e">
        <f ca="1">_xll.ciqfunctions.udf.CIQ($X74, "IQ_DIVIDEND_YIELD",Current_Date)/100</f>
        <v>#NAME?</v>
      </c>
      <c r="AF74" s="203" t="e">
        <f ca="1">(_xll.ciqfunctions.udf.CIQ($X74,"IQ_OPER_INC",IQ_LTM)*(1-AC74))/(((_xll.ciqfunctions.udf.CIQ($X74,"IQ_TOTAL_DEBT",IQ_LTM))+_xll.ciqfunctions.udf.CIQ($X74,"IQ_TOTAL_EQUITY",IQ_LTM))-_xll.ciqfunctions.udf.CIQ($X74,"IQ_CASH_EQUIV",IQ_LTM))</f>
        <v>#NAME?</v>
      </c>
      <c r="AG74" s="202" t="e">
        <f ca="1">_xll.ciqfunctions.udf.CIQ($X74, "IQ_RETURN_EQUITY",IQ_LTM)/100</f>
        <v>#NAME?</v>
      </c>
      <c r="AH74" s="202" t="e">
        <f ca="1">_xll.ciqfunctions.udf.CIQ($X74, "IQ_RETURN_ASSETS",IQ_LTM)/100</f>
        <v>#NAME?</v>
      </c>
      <c r="AI74" s="205" t="e">
        <f ca="1">_xll.ciqfunctions.udf.CIQ($X74, "IQ_TOTAL_DEBT_CAPITAL",IQ_FY)/100</f>
        <v>#NAME?</v>
      </c>
      <c r="AJ74" s="205" t="e">
        <f ca="1">_xll.ciqfunctions.udf.CIQ($X74, "IQ_TOTAL_DEBT_EBITDA",IQ_FY)</f>
        <v>#NAME?</v>
      </c>
      <c r="AK74" s="205" t="e">
        <f ca="1">_xll.ciqfunctions.udf.CIQ($X74, "IQ_TOTAL_DEBT_EQUITY",IQ_FY)/100</f>
        <v>#NAME?</v>
      </c>
      <c r="AL74" s="164" t="e">
        <f ca="1">_xll.ciqfunctions.udf.CIQ($X74, "IQ_EBITDA_INT",IQ_FY)</f>
        <v>#NAME?</v>
      </c>
      <c r="AM74" s="164" t="e">
        <f ca="1">_xll.ciqfunctions.udf.CIQ($X74, "IQ_EBITDA_CAPEX_INT",IQ_FY)</f>
        <v>#NAME?</v>
      </c>
      <c r="AN74" s="164" t="e">
        <f ca="1">_xll.ciqfunctions.udf.CIQ($X74, "IQ_EBIT_INT",IQ_FY)</f>
        <v>#NAME?</v>
      </c>
      <c r="AO74" s="201" t="e">
        <f ca="1">_xll.ciqfunctions.udf.CIQ($X74, "IQ_QUICK_RATIO",IQ_FY)</f>
        <v>#NAME?</v>
      </c>
      <c r="AP74" s="201" t="e">
        <f ca="1">_xll.ciqfunctions.udf.CIQ($X74, "IQ_CURRENT_RATIO",IQ_FY)</f>
        <v>#NAME?</v>
      </c>
      <c r="AQ74" s="27" t="e">
        <f ca="1">_xll.ciqfunctions.udf.CIQ($X74, "IQ_SP_LC_LT",Current)</f>
        <v>#NAME?</v>
      </c>
      <c r="AR74" s="27" t="e">
        <f ca="1">_xll.ciqfunctions.udf.CIQ($X74, "IQ_SP_OUTLOOK_WATCH",Current)</f>
        <v>#NAME?</v>
      </c>
      <c r="AT74" s="204" t="str">
        <f>N102</f>
        <v>IQ1340740</v>
      </c>
      <c r="AU74" s="24">
        <f>AU100</f>
        <v>0</v>
      </c>
      <c r="AV74" s="2" t="e">
        <f ca="1">AV55</f>
        <v>#NAME?</v>
      </c>
      <c r="AW74" s="2"/>
      <c r="AX74" s="27" t="str">
        <f>AX55</f>
        <v>HON</v>
      </c>
      <c r="AY74" s="202" t="e">
        <f ca="1">_xll.ciqfunctions.udf.CIQ($AT74, "IQ_EFFECT_TAX_RATE",IQ_FY)/100</f>
        <v>#NAME?</v>
      </c>
      <c r="AZ74" s="201" t="e">
        <f ca="1">_xll.ciqfunctions.udf.CIQ($AT74, "IQ_BETA_5YR",Current_Date)</f>
        <v>#NAME?</v>
      </c>
      <c r="BA74" s="202" t="e">
        <f ca="1">_xll.ciqfunctions.udf.CIQ($AT74, "IQ_DIVIDEND_YIELD",Current_Date)/100</f>
        <v>#NAME?</v>
      </c>
      <c r="BB74" s="203" t="e">
        <f ca="1">(_xll.ciqfunctions.udf.CIQ($AT74,"IQ_OPER_INC",IQ_LTM)*(1-AY74))/(((_xll.ciqfunctions.udf.CIQ($AT74,"IQ_TOTAL_DEBT",IQ_LTM))+_xll.ciqfunctions.udf.CIQ($AT74,"IQ_TOTAL_EQUITY",IQ_LTM))-_xll.ciqfunctions.udf.CIQ($AT74,"IQ_CASH_EQUIV",IQ_LTM))</f>
        <v>#NAME?</v>
      </c>
      <c r="BC74" s="202" t="e">
        <f ca="1">_xll.ciqfunctions.udf.CIQ($AT74, "IQ_RETURN_EQUITY",IQ_LTM)/100</f>
        <v>#NAME?</v>
      </c>
      <c r="BD74" s="202" t="e">
        <f ca="1">_xll.ciqfunctions.udf.CIQ($AT74, "IQ_RETURN_ASSETS",IQ_LTM)/100</f>
        <v>#NAME?</v>
      </c>
      <c r="BE74" s="205" t="e">
        <f ca="1">_xll.ciqfunctions.udf.CIQ($AT74, "IQ_TOTAL_DEBT_CAPITAL",IQ_FY)/100</f>
        <v>#NAME?</v>
      </c>
      <c r="BF74" s="205" t="e">
        <f ca="1">_xll.ciqfunctions.udf.CIQ($AT74, "IQ_TOTAL_DEBT_EBITDA",IQ_FY)</f>
        <v>#NAME?</v>
      </c>
      <c r="BG74" s="205" t="e">
        <f ca="1">_xll.ciqfunctions.udf.CIQ($AT74, "IQ_TOTAL_DEBT_EQUITY",IQ_FY)/100</f>
        <v>#NAME?</v>
      </c>
      <c r="BH74" s="164" t="e">
        <f ca="1">_xll.ciqfunctions.udf.CIQ($AT74, "IQ_EBITDA_INT",IQ_FY)</f>
        <v>#NAME?</v>
      </c>
      <c r="BI74" s="164" t="e">
        <f ca="1">_xll.ciqfunctions.udf.CIQ($AT74, "IQ_EBITDA_CAPEX_INT",IQ_FY)</f>
        <v>#NAME?</v>
      </c>
      <c r="BJ74" s="164" t="e">
        <f ca="1">_xll.ciqfunctions.udf.CIQ($AT74, "IQ_EBIT_INT",IQ_FY)</f>
        <v>#NAME?</v>
      </c>
      <c r="BK74" s="201" t="e">
        <f ca="1">_xll.ciqfunctions.udf.CIQ($AT74, "IQ_QUICK_RATIO",IQ_FY)</f>
        <v>#NAME?</v>
      </c>
      <c r="BL74" s="201" t="e">
        <f ca="1">_xll.ciqfunctions.udf.CIQ($AT74, "IQ_CURRENT_RATIO",IQ_FY)</f>
        <v>#NAME?</v>
      </c>
      <c r="BM74" s="27" t="e">
        <f ca="1">_xll.ciqfunctions.udf.CIQ($AT74, "IQ_SP_LC_LT",Current)</f>
        <v>#NAME?</v>
      </c>
      <c r="BN74" s="27" t="e">
        <f ca="1">_xll.ciqfunctions.udf.CIQ($AT74, "IQ_SP_OUTLOOK_WATCH",Current)</f>
        <v>#NAME?</v>
      </c>
    </row>
    <row r="75" spans="2:66" hidden="1" outlineLevel="1" x14ac:dyDescent="0.25">
      <c r="B75" s="204" t="str">
        <f>E106</f>
        <v>IQ23333</v>
      </c>
      <c r="C75" s="204"/>
      <c r="D75" s="2" t="e">
        <f ca="1">D56</f>
        <v>#NAME?</v>
      </c>
      <c r="E75" s="2"/>
      <c r="F75" s="27" t="str">
        <f>E105</f>
        <v>CG</v>
      </c>
      <c r="G75" s="203" t="e">
        <f ca="1">_xll.ciqfunctions.udf.CIQ($B75, "IQ_EFFECT_TAX_RATE",IQ_FY)/100</f>
        <v>#NAME?</v>
      </c>
      <c r="H75" s="201" t="e">
        <f ca="1">_xll.ciqfunctions.udf.CIQ($B75, "IQ_BETA_5YR",Current_Date)</f>
        <v>#NAME?</v>
      </c>
      <c r="I75" s="202" t="e">
        <f ca="1">_xll.ciqfunctions.udf.CIQ($B75, "IQ_DIVIDEND_YIELD",Current_Date)/100</f>
        <v>#NAME?</v>
      </c>
      <c r="J75" s="203" t="e">
        <f ca="1">(_xll.ciqfunctions.udf.CIQ($B75,"IQ_OPER_INC",IQ_LTM)*(1-G75))/(((_xll.ciqfunctions.udf.CIQ($B75,"IQ_TOTAL_DEBT",IQ_LTM))+_xll.ciqfunctions.udf.CIQ($B75,"IQ_TOTAL_EQUITY",IQ_LTM))-_xll.ciqfunctions.udf.CIQ($B75,"IQ_CASH_EQUIV",IQ_LTM))</f>
        <v>#NAME?</v>
      </c>
      <c r="K75" s="202" t="e">
        <f ca="1">_xll.ciqfunctions.udf.CIQ($B75, "IQ_RETURN_EQUITY",IQ_LTM)/100</f>
        <v>#NAME?</v>
      </c>
      <c r="L75" s="202" t="e">
        <f ca="1">_xll.ciqfunctions.udf.CIQ($B75, "IQ_RETURN_ASSETS",IQ_LTM)/100</f>
        <v>#NAME?</v>
      </c>
      <c r="M75" s="164" t="e">
        <f ca="1">_xll.ciqfunctions.udf.CIQ($B75, "IQ_TOTAL_DEBT_CAPITAL",IQ_FY)/100</f>
        <v>#NAME?</v>
      </c>
      <c r="N75" s="164" t="e">
        <f ca="1">_xll.ciqfunctions.udf.CIQ($B75, "IQ_TOTAL_DEBT_EBITDA",IQ_FY)</f>
        <v>#NAME?</v>
      </c>
      <c r="O75" s="164" t="e">
        <f ca="1">_xll.ciqfunctions.udf.CIQ($B75, "IQ_TOTAL_DEBT_EQUITY",IQ_FY)/100</f>
        <v>#NAME?</v>
      </c>
      <c r="P75" s="164" t="e">
        <f ca="1">_xll.ciqfunctions.udf.CIQ($B75, "IQ_EBITDA_INT",IQ_FY)</f>
        <v>#NAME?</v>
      </c>
      <c r="Q75" s="164" t="e">
        <f ca="1">_xll.ciqfunctions.udf.CIQ($B75, "IQ_EBITDA_CAPEX_INT",IQ_FY)</f>
        <v>#NAME?</v>
      </c>
      <c r="R75" s="164" t="e">
        <f ca="1">_xll.ciqfunctions.udf.CIQ($B75, "IQ_EBIT_INT",IQ_FY)</f>
        <v>#NAME?</v>
      </c>
      <c r="S75" s="164" t="e">
        <f ca="1">_xll.ciqfunctions.udf.CIQ($B75, "IQ_QUICK_RATIO",IQ_FY)</f>
        <v>#NAME?</v>
      </c>
      <c r="T75" s="164" t="e">
        <f ca="1">_xll.ciqfunctions.udf.CIQ($B75, "IQ_CURRENT_RATIO",IQ_FY)</f>
        <v>#NAME?</v>
      </c>
      <c r="U75" s="27" t="e">
        <f ca="1">_xll.ciqfunctions.udf.CIQ($B75, "IQ_SP_LC_LT",Current)</f>
        <v>#NAME?</v>
      </c>
      <c r="V75" s="27" t="e">
        <f ca="1">_xll.ciqfunctions.udf.CIQ($B75, "IQ_SP_OUTLOOK_WATCH",Current)</f>
        <v>#NAME?</v>
      </c>
      <c r="W75" s="2"/>
      <c r="X75" s="204" t="str">
        <f>I106</f>
        <v>IQ285827</v>
      </c>
      <c r="Y75" s="24"/>
      <c r="Z75" s="2" t="e">
        <f ca="1">Z56</f>
        <v>#NAME?</v>
      </c>
      <c r="AA75" s="2"/>
      <c r="AB75" s="27" t="str">
        <f>I105</f>
        <v>LMT</v>
      </c>
      <c r="AC75" s="202" t="e">
        <f ca="1">_xll.ciqfunctions.udf.CIQ($X75, "IQ_EFFECT_TAX_RATE",IQ_FY)/100</f>
        <v>#NAME?</v>
      </c>
      <c r="AD75" s="201" t="e">
        <f ca="1">_xll.ciqfunctions.udf.CIQ($X75, "IQ_BETA_5YR",Current_Date)</f>
        <v>#NAME?</v>
      </c>
      <c r="AE75" s="202" t="e">
        <f ca="1">_xll.ciqfunctions.udf.CIQ($X75, "IQ_DIVIDEND_YIELD",Current_Date)/100</f>
        <v>#NAME?</v>
      </c>
      <c r="AF75" s="203" t="e">
        <f ca="1">(_xll.ciqfunctions.udf.CIQ($X75,"IQ_OPER_INC",IQ_LTM)*(1-AC75))/(((_xll.ciqfunctions.udf.CIQ($X75,"IQ_TOTAL_DEBT",IQ_LTM))+_xll.ciqfunctions.udf.CIQ($X75,"IQ_TOTAL_EQUITY",IQ_LTM))-_xll.ciqfunctions.udf.CIQ($X75,"IQ_CASH_EQUIV",IQ_LTM))</f>
        <v>#NAME?</v>
      </c>
      <c r="AG75" s="202" t="e">
        <f ca="1">_xll.ciqfunctions.udf.CIQ($X75, "IQ_RETURN_EQUITY",IQ_LTM)/100</f>
        <v>#NAME?</v>
      </c>
      <c r="AH75" s="202" t="e">
        <f ca="1">_xll.ciqfunctions.udf.CIQ($X75, "IQ_RETURN_ASSETS",IQ_LTM)/100</f>
        <v>#NAME?</v>
      </c>
      <c r="AI75" s="164" t="e">
        <f ca="1">_xll.ciqfunctions.udf.CIQ($X75, "IQ_TOTAL_DEBT_CAPITAL",IQ_FY)/100</f>
        <v>#NAME?</v>
      </c>
      <c r="AJ75" s="164" t="e">
        <f ca="1">_xll.ciqfunctions.udf.CIQ($X75, "IQ_TOTAL_DEBT_EBITDA",IQ_FY)</f>
        <v>#NAME?</v>
      </c>
      <c r="AK75" s="164" t="e">
        <f ca="1">_xll.ciqfunctions.udf.CIQ($X75, "IQ_TOTAL_DEBT_EQUITY",IQ_FY)/100</f>
        <v>#NAME?</v>
      </c>
      <c r="AL75" s="164" t="e">
        <f ca="1">_xll.ciqfunctions.udf.CIQ($X75, "IQ_EBITDA_INT",IQ_FY)</f>
        <v>#NAME?</v>
      </c>
      <c r="AM75" s="164" t="e">
        <f ca="1">_xll.ciqfunctions.udf.CIQ($X75, "IQ_EBITDA_CAPEX_INT",IQ_FY)</f>
        <v>#NAME?</v>
      </c>
      <c r="AN75" s="164" t="e">
        <f ca="1">_xll.ciqfunctions.udf.CIQ($X75, "IQ_EBIT_INT",IQ_FY)</f>
        <v>#NAME?</v>
      </c>
      <c r="AO75" s="201" t="e">
        <f ca="1">_xll.ciqfunctions.udf.CIQ($X75, "IQ_QUICK_RATIO",IQ_FY)</f>
        <v>#NAME?</v>
      </c>
      <c r="AP75" s="201" t="e">
        <f ca="1">_xll.ciqfunctions.udf.CIQ($X75, "IQ_CURRENT_RATIO",IQ_FY)</f>
        <v>#NAME?</v>
      </c>
      <c r="AQ75" s="27" t="e">
        <f ca="1">_xll.ciqfunctions.udf.CIQ($X75, "IQ_SP_LC_LT",Current)</f>
        <v>#NAME?</v>
      </c>
      <c r="AR75" s="27" t="e">
        <f ca="1">_xll.ciqfunctions.udf.CIQ($X75, "IQ_SP_OUTLOOK_WATCH",Current)</f>
        <v>#NAME?</v>
      </c>
      <c r="AT75" s="204" t="str">
        <f>N106</f>
        <v>IQ22751</v>
      </c>
      <c r="AU75" s="24">
        <f>AU104</f>
        <v>0</v>
      </c>
      <c r="AV75" s="2" t="e">
        <f ca="1">AV56</f>
        <v>#NAME?</v>
      </c>
      <c r="AW75" s="2"/>
      <c r="AX75" s="27" t="str">
        <f>AX56</f>
        <v>ROP</v>
      </c>
      <c r="AY75" s="202" t="e">
        <f ca="1">_xll.ciqfunctions.udf.CIQ($AT75, "IQ_EFFECT_TAX_RATE",IQ_FY)/100</f>
        <v>#NAME?</v>
      </c>
      <c r="AZ75" s="201" t="e">
        <f ca="1">_xll.ciqfunctions.udf.CIQ($AT75, "IQ_BETA_5YR",Current_Date)</f>
        <v>#NAME?</v>
      </c>
      <c r="BA75" s="202" t="e">
        <f ca="1">_xll.ciqfunctions.udf.CIQ($AT75, "IQ_DIVIDEND_YIELD",Current_Date)/100</f>
        <v>#NAME?</v>
      </c>
      <c r="BB75" s="203" t="e">
        <f ca="1">(_xll.ciqfunctions.udf.CIQ($AT75,"IQ_OPER_INC",IQ_LTM)*(1-AY75))/(((_xll.ciqfunctions.udf.CIQ($AT75,"IQ_TOTAL_DEBT",IQ_LTM))+_xll.ciqfunctions.udf.CIQ($AT75,"IQ_TOTAL_EQUITY",IQ_LTM))-_xll.ciqfunctions.udf.CIQ($AT75,"IQ_CASH_EQUIV",IQ_LTM))</f>
        <v>#NAME?</v>
      </c>
      <c r="BC75" s="202" t="e">
        <f ca="1">_xll.ciqfunctions.udf.CIQ($AT75, "IQ_RETURN_EQUITY",IQ_LTM)/100</f>
        <v>#NAME?</v>
      </c>
      <c r="BD75" s="202" t="e">
        <f ca="1">_xll.ciqfunctions.udf.CIQ($AT75, "IQ_RETURN_ASSETS",IQ_LTM)/100</f>
        <v>#NAME?</v>
      </c>
      <c r="BE75" s="164" t="e">
        <f ca="1">_xll.ciqfunctions.udf.CIQ($AT75, "IQ_TOTAL_DEBT_CAPITAL",IQ_FY)/100</f>
        <v>#NAME?</v>
      </c>
      <c r="BF75" s="164" t="e">
        <f ca="1">_xll.ciqfunctions.udf.CIQ($AT75, "IQ_TOTAL_DEBT_EBITDA",IQ_FY)</f>
        <v>#NAME?</v>
      </c>
      <c r="BG75" s="164" t="e">
        <f ca="1">_xll.ciqfunctions.udf.CIQ($AT75, "IQ_TOTAL_DEBT_EQUITY",IQ_FY)/100</f>
        <v>#NAME?</v>
      </c>
      <c r="BH75" s="164" t="e">
        <f ca="1">_xll.ciqfunctions.udf.CIQ($AT75, "IQ_EBITDA_INT",IQ_FY)</f>
        <v>#NAME?</v>
      </c>
      <c r="BI75" s="164" t="e">
        <f ca="1">_xll.ciqfunctions.udf.CIQ($AT75, "IQ_EBITDA_CAPEX_INT",IQ_FY)</f>
        <v>#NAME?</v>
      </c>
      <c r="BJ75" s="164" t="e">
        <f ca="1">_xll.ciqfunctions.udf.CIQ($AT75, "IQ_EBIT_INT",IQ_FY)</f>
        <v>#NAME?</v>
      </c>
      <c r="BK75" s="201" t="e">
        <f ca="1">_xll.ciqfunctions.udf.CIQ($AT75, "IQ_QUICK_RATIO",IQ_FY)</f>
        <v>#NAME?</v>
      </c>
      <c r="BL75" s="201" t="e">
        <f ca="1">_xll.ciqfunctions.udf.CIQ($AT75, "IQ_CURRENT_RATIO",IQ_FY)</f>
        <v>#NAME?</v>
      </c>
      <c r="BM75" s="27" t="e">
        <f ca="1">_xll.ciqfunctions.udf.CIQ($AT75, "IQ_SP_LC_LT",Current)</f>
        <v>#NAME?</v>
      </c>
      <c r="BN75" s="27" t="e">
        <f ca="1">_xll.ciqfunctions.udf.CIQ($AT75, "IQ_SP_OUTLOOK_WATCH",Current)</f>
        <v>#NAME?</v>
      </c>
    </row>
    <row r="76" spans="2:66" hidden="1" outlineLevel="1" x14ac:dyDescent="0.25">
      <c r="B76" s="204" t="str">
        <f>E110</f>
        <v>IQ23307</v>
      </c>
      <c r="C76" s="204"/>
      <c r="D76" s="2" t="e">
        <f ca="1">D57</f>
        <v>#NAME?</v>
      </c>
      <c r="E76" s="2"/>
      <c r="F76" s="27" t="str">
        <f>E109</f>
        <v>TPG</v>
      </c>
      <c r="G76" s="203" t="e">
        <f ca="1">_xll.ciqfunctions.udf.CIQ($B76, "IQ_EFFECT_TAX_RATE",IQ_FY)/100</f>
        <v>#NAME?</v>
      </c>
      <c r="H76" s="201" t="e">
        <f ca="1">_xll.ciqfunctions.udf.CIQ($B76, "IQ_BETA_5YR",Current_Date)</f>
        <v>#NAME?</v>
      </c>
      <c r="I76" s="202" t="e">
        <f ca="1">_xll.ciqfunctions.udf.CIQ($B76, "IQ_DIVIDEND_YIELD",Current_Date)/100</f>
        <v>#NAME?</v>
      </c>
      <c r="J76" s="203">
        <v>0</v>
      </c>
      <c r="K76" s="202" t="e">
        <f ca="1">_xll.ciqfunctions.udf.CIQ($B76, "IQ_RETURN_EQUITY",IQ_LTM)/100</f>
        <v>#NAME?</v>
      </c>
      <c r="L76" s="202" t="e">
        <f ca="1">_xll.ciqfunctions.udf.CIQ($B76, "IQ_RETURN_ASSETS",IQ_LTM)/100</f>
        <v>#NAME?</v>
      </c>
      <c r="M76" s="164" t="e">
        <f ca="1">_xll.ciqfunctions.udf.CIQ($B76, "IQ_TOTAL_DEBT_CAPITAL",IQ_FY)/100</f>
        <v>#NAME?</v>
      </c>
      <c r="N76" s="164" t="e">
        <f ca="1">_xll.ciqfunctions.udf.CIQ($B76, "IQ_TOTAL_DEBT_EBITDA",IQ_FY)</f>
        <v>#NAME?</v>
      </c>
      <c r="O76" s="164" t="e">
        <f ca="1">_xll.ciqfunctions.udf.CIQ($B76, "IQ_TOTAL_DEBT_EQUITY",IQ_FY)/100</f>
        <v>#NAME?</v>
      </c>
      <c r="P76" s="164" t="e">
        <f ca="1">_xll.ciqfunctions.udf.CIQ($B76, "IQ_EBITDA_INT",IQ_FY)</f>
        <v>#NAME?</v>
      </c>
      <c r="Q76" s="164" t="e">
        <f ca="1">_xll.ciqfunctions.udf.CIQ($B76, "IQ_EBITDA_CAPEX_INT",IQ_FY)</f>
        <v>#NAME?</v>
      </c>
      <c r="R76" s="164" t="e">
        <f ca="1">_xll.ciqfunctions.udf.CIQ($B76, "IQ_EBIT_INT",IQ_FY)</f>
        <v>#NAME?</v>
      </c>
      <c r="S76" s="164" t="e">
        <f ca="1">_xll.ciqfunctions.udf.CIQ($B76, "IQ_QUICK_RATIO",IQ_FY)</f>
        <v>#NAME?</v>
      </c>
      <c r="T76" s="164" t="e">
        <f ca="1">_xll.ciqfunctions.udf.CIQ($B76, "IQ_CURRENT_RATIO",IQ_FY)</f>
        <v>#NAME?</v>
      </c>
      <c r="U76" s="27" t="e">
        <f ca="1">_xll.ciqfunctions.udf.CIQ($B76, "IQ_SP_LC_LT",Current)</f>
        <v>#NAME?</v>
      </c>
      <c r="V76" s="27" t="e">
        <f ca="1">_xll.ciqfunctions.udf.CIQ($B76, "IQ_SP_OUTLOOK_WATCH",Current)</f>
        <v>#NAME?</v>
      </c>
      <c r="W76" s="2"/>
      <c r="X76" s="204" t="str">
        <f>I110</f>
        <v>IQ97199</v>
      </c>
      <c r="Y76" s="24"/>
      <c r="Z76" s="2" t="e">
        <f ca="1">Z57</f>
        <v>#NAME?</v>
      </c>
      <c r="AA76" s="2"/>
      <c r="AB76" s="27" t="str">
        <f>I109</f>
        <v>NOC</v>
      </c>
      <c r="AC76" s="202" t="e">
        <f ca="1">_xll.ciqfunctions.udf.CIQ($X76, "IQ_EFFECT_TAX_RATE",IQ_FY)/100</f>
        <v>#NAME?</v>
      </c>
      <c r="AD76" s="201" t="e">
        <f ca="1">_xll.ciqfunctions.udf.CIQ($X76, "IQ_BETA_5YR",Current_Date)</f>
        <v>#NAME?</v>
      </c>
      <c r="AE76" s="202" t="e">
        <f ca="1">_xll.ciqfunctions.udf.CIQ($X76, "IQ_DIVIDEND_YIELD",Current_Date)/100</f>
        <v>#NAME?</v>
      </c>
      <c r="AF76" s="203" t="e">
        <f ca="1">(_xll.ciqfunctions.udf.CIQ($X76,"IQ_OPER_INC",IQ_LTM)*(1-AC76))/(((_xll.ciqfunctions.udf.CIQ($X76,"IQ_TOTAL_DEBT",IQ_LTM))+_xll.ciqfunctions.udf.CIQ($X76,"IQ_TOTAL_EQUITY",IQ_LTM))-_xll.ciqfunctions.udf.CIQ($X76,"IQ_CASH_EQUIV",IQ_LTM))</f>
        <v>#NAME?</v>
      </c>
      <c r="AG76" s="202" t="e">
        <f ca="1">_xll.ciqfunctions.udf.CIQ($X76, "IQ_RETURN_EQUITY",IQ_LTM)/100</f>
        <v>#NAME?</v>
      </c>
      <c r="AH76" s="202" t="e">
        <f ca="1">_xll.ciqfunctions.udf.CIQ($X76, "IQ_RETURN_ASSETS",IQ_LTM)/100</f>
        <v>#NAME?</v>
      </c>
      <c r="AI76" s="164" t="e">
        <f ca="1">_xll.ciqfunctions.udf.CIQ($X76, "IQ_TOTAL_DEBT_CAPITAL",IQ_FY)/100</f>
        <v>#NAME?</v>
      </c>
      <c r="AJ76" s="164" t="e">
        <f ca="1">_xll.ciqfunctions.udf.CIQ($X76, "IQ_TOTAL_DEBT_EBITDA",IQ_FY)</f>
        <v>#NAME?</v>
      </c>
      <c r="AK76" s="164" t="e">
        <f ca="1">_xll.ciqfunctions.udf.CIQ($X76, "IQ_TOTAL_DEBT_EQUITY",IQ_FY)/100</f>
        <v>#NAME?</v>
      </c>
      <c r="AL76" s="164" t="e">
        <f ca="1">_xll.ciqfunctions.udf.CIQ($X76, "IQ_EBITDA_INT",IQ_FY)</f>
        <v>#NAME?</v>
      </c>
      <c r="AM76" s="164" t="e">
        <f ca="1">_xll.ciqfunctions.udf.CIQ($X76, "IQ_EBITDA_CAPEX_INT",IQ_FY)</f>
        <v>#NAME?</v>
      </c>
      <c r="AN76" s="164" t="e">
        <f ca="1">_xll.ciqfunctions.udf.CIQ($X76, "IQ_EBIT_INT",IQ_FY)</f>
        <v>#NAME?</v>
      </c>
      <c r="AO76" s="201" t="e">
        <f ca="1">_xll.ciqfunctions.udf.CIQ($X76, "IQ_QUICK_RATIO",IQ_FY)</f>
        <v>#NAME?</v>
      </c>
      <c r="AP76" s="201" t="e">
        <f ca="1">_xll.ciqfunctions.udf.CIQ($X76, "IQ_CURRENT_RATIO",IQ_FY)</f>
        <v>#NAME?</v>
      </c>
      <c r="AQ76" s="27" t="e">
        <f ca="1">_xll.ciqfunctions.udf.CIQ($X76, "IQ_SP_LC_LT",Current)</f>
        <v>#NAME?</v>
      </c>
      <c r="AR76" s="27" t="e">
        <f ca="1">_xll.ciqfunctions.udf.CIQ($X76, "IQ_SP_OUTLOOK_WATCH",Current)</f>
        <v>#NAME?</v>
      </c>
      <c r="AT76" s="204" t="str">
        <f>N110</f>
        <v>IQ269231</v>
      </c>
      <c r="AU76" s="24">
        <f>AU108</f>
        <v>0</v>
      </c>
      <c r="AV76" s="2" t="e">
        <f ca="1">AV57</f>
        <v>#NAME?</v>
      </c>
      <c r="AW76" s="2"/>
      <c r="AX76" s="27" t="str">
        <f>AX57</f>
        <v>EMR</v>
      </c>
      <c r="AY76" s="202" t="e">
        <f ca="1">_xll.ciqfunctions.udf.CIQ($AT76, "IQ_EFFECT_TAX_RATE",IQ_FY)/100</f>
        <v>#NAME?</v>
      </c>
      <c r="AZ76" s="201" t="e">
        <f ca="1">_xll.ciqfunctions.udf.CIQ($AT76, "IQ_BETA_5YR",Current_Date)</f>
        <v>#NAME?</v>
      </c>
      <c r="BA76" s="202" t="e">
        <f ca="1">_xll.ciqfunctions.udf.CIQ($AT76, "IQ_DIVIDEND_YIELD",Current_Date)/100</f>
        <v>#NAME?</v>
      </c>
      <c r="BB76" s="203" t="e">
        <f ca="1">(_xll.ciqfunctions.udf.CIQ($AT76,"IQ_OPER_INC",IQ_LTM)*(1-AY76))/(((_xll.ciqfunctions.udf.CIQ($AT76,"IQ_TOTAL_DEBT",IQ_LTM))+_xll.ciqfunctions.udf.CIQ($AT76,"IQ_TOTAL_EQUITY",IQ_LTM))-_xll.ciqfunctions.udf.CIQ($AT76,"IQ_CASH_EQUIV",IQ_LTM))</f>
        <v>#NAME?</v>
      </c>
      <c r="BC76" s="202" t="e">
        <f ca="1">_xll.ciqfunctions.udf.CIQ($AT76, "IQ_RETURN_EQUITY",IQ_LTM)/100</f>
        <v>#NAME?</v>
      </c>
      <c r="BD76" s="202" t="e">
        <f ca="1">_xll.ciqfunctions.udf.CIQ($AT76, "IQ_RETURN_ASSETS",IQ_LTM)/100</f>
        <v>#NAME?</v>
      </c>
      <c r="BE76" s="164" t="e">
        <f ca="1">_xll.ciqfunctions.udf.CIQ($AT76, "IQ_TOTAL_DEBT_CAPITAL",IQ_FY)/100</f>
        <v>#NAME?</v>
      </c>
      <c r="BF76" s="164" t="e">
        <f ca="1">_xll.ciqfunctions.udf.CIQ($AT76, "IQ_TOTAL_DEBT_EBITDA",IQ_FY)</f>
        <v>#NAME?</v>
      </c>
      <c r="BG76" s="164" t="e">
        <f ca="1">_xll.ciqfunctions.udf.CIQ($AT76, "IQ_TOTAL_DEBT_EQUITY",IQ_FY)/100</f>
        <v>#NAME?</v>
      </c>
      <c r="BH76" s="164" t="e">
        <f ca="1">_xll.ciqfunctions.udf.CIQ($AT76, "IQ_EBITDA_INT",IQ_FY)</f>
        <v>#NAME?</v>
      </c>
      <c r="BI76" s="164" t="e">
        <f ca="1">_xll.ciqfunctions.udf.CIQ($AT76, "IQ_EBITDA_CAPEX_INT",IQ_FY)</f>
        <v>#NAME?</v>
      </c>
      <c r="BJ76" s="164" t="e">
        <f ca="1">_xll.ciqfunctions.udf.CIQ($AT76, "IQ_EBIT_INT",IQ_FY)</f>
        <v>#NAME?</v>
      </c>
      <c r="BK76" s="201" t="e">
        <f ca="1">_xll.ciqfunctions.udf.CIQ($AT76, "IQ_QUICK_RATIO",IQ_FY)</f>
        <v>#NAME?</v>
      </c>
      <c r="BL76" s="201" t="e">
        <f ca="1">_xll.ciqfunctions.udf.CIQ($AT76, "IQ_CURRENT_RATIO",IQ_FY)</f>
        <v>#NAME?</v>
      </c>
      <c r="BM76" s="27" t="e">
        <f ca="1">_xll.ciqfunctions.udf.CIQ($AT76, "IQ_SP_LC_LT",Current)</f>
        <v>#NAME?</v>
      </c>
      <c r="BN76" s="27" t="e">
        <f ca="1">_xll.ciqfunctions.udf.CIQ($AT76, "IQ_SP_OUTLOOK_WATCH",Current)</f>
        <v>#NAME?</v>
      </c>
    </row>
    <row r="77" spans="2:66" ht="15.75" hidden="1" outlineLevel="1" thickBot="1" x14ac:dyDescent="0.3">
      <c r="C77" s="8"/>
      <c r="D77" s="65"/>
      <c r="E77" s="2"/>
      <c r="F77" s="27"/>
      <c r="G77" s="200"/>
      <c r="H77" s="27"/>
      <c r="I77" s="200"/>
      <c r="J77" s="27"/>
      <c r="K77" s="27"/>
      <c r="L77" s="27"/>
      <c r="M77" s="27"/>
      <c r="N77" s="27"/>
      <c r="O77" s="199"/>
      <c r="P77" s="164"/>
      <c r="Q77" s="164"/>
      <c r="R77" s="164"/>
      <c r="S77" s="198"/>
      <c r="T77" s="27"/>
      <c r="U77" s="197"/>
      <c r="V77" s="197"/>
      <c r="W77" s="2"/>
      <c r="Y77" s="24"/>
      <c r="Z77" s="65"/>
      <c r="AA77" s="2"/>
      <c r="AB77" s="27"/>
      <c r="AC77" s="200"/>
      <c r="AD77" s="27"/>
      <c r="AE77" s="200"/>
      <c r="AF77" s="27"/>
      <c r="AG77" s="27"/>
      <c r="AH77" s="27"/>
      <c r="AI77" s="27"/>
      <c r="AJ77" s="27"/>
      <c r="AK77" s="199"/>
      <c r="AL77" s="164"/>
      <c r="AM77" s="164"/>
      <c r="AN77" s="164"/>
      <c r="AO77" s="198"/>
      <c r="AP77" s="27"/>
      <c r="AQ77" s="197"/>
      <c r="AR77" s="197"/>
      <c r="AU77" s="24"/>
      <c r="AV77" s="65"/>
      <c r="AW77" s="2"/>
      <c r="AX77" s="27"/>
      <c r="AY77" s="200"/>
      <c r="AZ77" s="27"/>
      <c r="BA77" s="200"/>
      <c r="BB77" s="27"/>
      <c r="BC77" s="27"/>
      <c r="BD77" s="27"/>
      <c r="BE77" s="27"/>
      <c r="BF77" s="27"/>
      <c r="BG77" s="199"/>
      <c r="BH77" s="164"/>
      <c r="BI77" s="164"/>
      <c r="BJ77" s="164"/>
      <c r="BK77" s="198"/>
      <c r="BL77" s="27"/>
      <c r="BM77" s="197"/>
      <c r="BN77" s="197"/>
    </row>
    <row r="78" spans="2:66" hidden="1" outlineLevel="1" x14ac:dyDescent="0.25">
      <c r="B78" s="24"/>
      <c r="C78" s="24"/>
      <c r="D78" s="194" t="str">
        <f>D36</f>
        <v>High</v>
      </c>
      <c r="E78" s="193"/>
      <c r="F78" s="192"/>
      <c r="G78" s="196" t="e">
        <f t="shared" ref="G78:T78" ca="1" si="37">MAX(G72:G76)</f>
        <v>#NAME?</v>
      </c>
      <c r="H78" s="195" t="e">
        <f t="shared" ca="1" si="37"/>
        <v>#NAME?</v>
      </c>
      <c r="I78" s="190" t="e">
        <f t="shared" ca="1" si="37"/>
        <v>#NAME?</v>
      </c>
      <c r="J78" s="190" t="e">
        <f t="shared" ca="1" si="37"/>
        <v>#NAME?</v>
      </c>
      <c r="K78" s="190" t="e">
        <f t="shared" ca="1" si="37"/>
        <v>#NAME?</v>
      </c>
      <c r="L78" s="190" t="e">
        <f t="shared" ca="1" si="37"/>
        <v>#NAME?</v>
      </c>
      <c r="M78" s="189" t="e">
        <f t="shared" ca="1" si="37"/>
        <v>#NAME?</v>
      </c>
      <c r="N78" s="190" t="e">
        <f t="shared" ca="1" si="37"/>
        <v>#NAME?</v>
      </c>
      <c r="O78" s="190" t="e">
        <f t="shared" ca="1" si="37"/>
        <v>#NAME?</v>
      </c>
      <c r="P78" s="189" t="e">
        <f t="shared" ca="1" si="37"/>
        <v>#NAME?</v>
      </c>
      <c r="Q78" s="189" t="e">
        <f t="shared" ca="1" si="37"/>
        <v>#NAME?</v>
      </c>
      <c r="R78" s="189" t="e">
        <f t="shared" ca="1" si="37"/>
        <v>#NAME?</v>
      </c>
      <c r="S78" s="189" t="e">
        <f t="shared" ca="1" si="37"/>
        <v>#NAME?</v>
      </c>
      <c r="T78" s="189" t="e">
        <f t="shared" ca="1" si="37"/>
        <v>#NAME?</v>
      </c>
      <c r="U78" s="188"/>
      <c r="V78" s="187"/>
      <c r="W78" s="2"/>
      <c r="Y78" s="24"/>
      <c r="Z78" s="194" t="str">
        <f>Z36</f>
        <v>High</v>
      </c>
      <c r="AA78" s="193"/>
      <c r="AB78" s="192"/>
      <c r="AC78" s="191" t="e">
        <f t="shared" ref="AC78:AP78" ca="1" si="38">MAX(AC72:AC76)</f>
        <v>#NAME?</v>
      </c>
      <c r="AD78" s="195" t="e">
        <f t="shared" ca="1" si="38"/>
        <v>#NAME?</v>
      </c>
      <c r="AE78" s="190" t="e">
        <f t="shared" ca="1" si="38"/>
        <v>#NAME?</v>
      </c>
      <c r="AF78" s="190" t="e">
        <f t="shared" ca="1" si="38"/>
        <v>#NAME?</v>
      </c>
      <c r="AG78" s="190" t="e">
        <f t="shared" ca="1" si="38"/>
        <v>#NAME?</v>
      </c>
      <c r="AH78" s="190" t="e">
        <f t="shared" ca="1" si="38"/>
        <v>#NAME?</v>
      </c>
      <c r="AI78" s="189" t="e">
        <f t="shared" ca="1" si="38"/>
        <v>#NAME?</v>
      </c>
      <c r="AJ78" s="190" t="e">
        <f t="shared" ca="1" si="38"/>
        <v>#NAME?</v>
      </c>
      <c r="AK78" s="188" t="e">
        <f t="shared" ca="1" si="38"/>
        <v>#NAME?</v>
      </c>
      <c r="AL78" s="188" t="e">
        <f t="shared" ca="1" si="38"/>
        <v>#NAME?</v>
      </c>
      <c r="AM78" s="188" t="e">
        <f t="shared" ca="1" si="38"/>
        <v>#NAME?</v>
      </c>
      <c r="AN78" s="188" t="e">
        <f t="shared" ca="1" si="38"/>
        <v>#NAME?</v>
      </c>
      <c r="AO78" s="188" t="e">
        <f t="shared" ca="1" si="38"/>
        <v>#NAME?</v>
      </c>
      <c r="AP78" s="188" t="e">
        <f t="shared" ca="1" si="38"/>
        <v>#NAME?</v>
      </c>
      <c r="AQ78" s="188"/>
      <c r="AR78" s="187"/>
      <c r="AU78" s="24"/>
      <c r="AV78" s="194" t="str">
        <f>AV36</f>
        <v>High</v>
      </c>
      <c r="AW78" s="193"/>
      <c r="AX78" s="192"/>
      <c r="AY78" s="191" t="e">
        <f t="shared" ref="AY78:BL78" ca="1" si="39">MAX(AY72:AY76)</f>
        <v>#NAME?</v>
      </c>
      <c r="AZ78" s="191" t="e">
        <f t="shared" ca="1" si="39"/>
        <v>#NAME?</v>
      </c>
      <c r="BA78" s="190" t="e">
        <f t="shared" ca="1" si="39"/>
        <v>#NAME?</v>
      </c>
      <c r="BB78" s="190" t="e">
        <f t="shared" ca="1" si="39"/>
        <v>#NAME?</v>
      </c>
      <c r="BC78" s="190" t="e">
        <f t="shared" ca="1" si="39"/>
        <v>#NAME?</v>
      </c>
      <c r="BD78" s="190" t="e">
        <f t="shared" ca="1" si="39"/>
        <v>#NAME?</v>
      </c>
      <c r="BE78" s="190" t="e">
        <f t="shared" ca="1" si="39"/>
        <v>#NAME?</v>
      </c>
      <c r="BF78" s="190" t="e">
        <f t="shared" ca="1" si="39"/>
        <v>#NAME?</v>
      </c>
      <c r="BG78" s="190" t="e">
        <f t="shared" ca="1" si="39"/>
        <v>#NAME?</v>
      </c>
      <c r="BH78" s="190" t="e">
        <f t="shared" ca="1" si="39"/>
        <v>#NAME?</v>
      </c>
      <c r="BI78" s="189" t="e">
        <f t="shared" ca="1" si="39"/>
        <v>#NAME?</v>
      </c>
      <c r="BJ78" s="188" t="e">
        <f t="shared" ca="1" si="39"/>
        <v>#NAME?</v>
      </c>
      <c r="BK78" s="188" t="e">
        <f t="shared" ca="1" si="39"/>
        <v>#NAME?</v>
      </c>
      <c r="BL78" s="188" t="e">
        <f t="shared" ca="1" si="39"/>
        <v>#NAME?</v>
      </c>
      <c r="BM78" s="188"/>
      <c r="BN78" s="187"/>
    </row>
    <row r="79" spans="2:66" hidden="1" outlineLevel="1" x14ac:dyDescent="0.25">
      <c r="B79" s="24"/>
      <c r="C79" s="24"/>
      <c r="D79" s="182" t="str">
        <f>D37</f>
        <v>Mean</v>
      </c>
      <c r="E79" s="181"/>
      <c r="F79" s="186"/>
      <c r="G79" s="185" t="e">
        <f t="shared" ref="G79:T79" ca="1" si="40">AVERAGE(G72:G76)</f>
        <v>#NAME?</v>
      </c>
      <c r="H79" s="183" t="e">
        <f t="shared" ca="1" si="40"/>
        <v>#NAME?</v>
      </c>
      <c r="I79" s="179" t="e">
        <f t="shared" ca="1" si="40"/>
        <v>#NAME?</v>
      </c>
      <c r="J79" s="179" t="e">
        <f t="shared" ca="1" si="40"/>
        <v>#NAME?</v>
      </c>
      <c r="K79" s="179" t="e">
        <f t="shared" ca="1" si="40"/>
        <v>#NAME?</v>
      </c>
      <c r="L79" s="179" t="e">
        <f t="shared" ca="1" si="40"/>
        <v>#NAME?</v>
      </c>
      <c r="M79" s="184" t="e">
        <f t="shared" ca="1" si="40"/>
        <v>#NAME?</v>
      </c>
      <c r="N79" s="179" t="e">
        <f t="shared" ca="1" si="40"/>
        <v>#NAME?</v>
      </c>
      <c r="O79" s="179" t="e">
        <f t="shared" ca="1" si="40"/>
        <v>#NAME?</v>
      </c>
      <c r="P79" s="184" t="e">
        <f t="shared" ca="1" si="40"/>
        <v>#NAME?</v>
      </c>
      <c r="Q79" s="184" t="e">
        <f t="shared" ca="1" si="40"/>
        <v>#NAME?</v>
      </c>
      <c r="R79" s="184" t="e">
        <f t="shared" ca="1" si="40"/>
        <v>#NAME?</v>
      </c>
      <c r="S79" s="184" t="e">
        <f t="shared" ca="1" si="40"/>
        <v>#NAME?</v>
      </c>
      <c r="T79" s="184" t="e">
        <f t="shared" ca="1" si="40"/>
        <v>#NAME?</v>
      </c>
      <c r="U79" s="177"/>
      <c r="V79" s="176"/>
      <c r="W79" s="2"/>
      <c r="Y79" s="24"/>
      <c r="Z79" s="182" t="str">
        <f>Z37</f>
        <v>Mean</v>
      </c>
      <c r="AA79" s="181"/>
      <c r="AB79" s="186"/>
      <c r="AC79" s="180" t="e">
        <f t="shared" ref="AC79:AP79" ca="1" si="41">AVERAGE(AC72:AC76)</f>
        <v>#NAME?</v>
      </c>
      <c r="AD79" s="183" t="e">
        <f t="shared" ca="1" si="41"/>
        <v>#NAME?</v>
      </c>
      <c r="AE79" s="179" t="e">
        <f t="shared" ca="1" si="41"/>
        <v>#NAME?</v>
      </c>
      <c r="AF79" s="179" t="e">
        <f t="shared" ca="1" si="41"/>
        <v>#NAME?</v>
      </c>
      <c r="AG79" s="179" t="e">
        <f t="shared" ca="1" si="41"/>
        <v>#NAME?</v>
      </c>
      <c r="AH79" s="179" t="e">
        <f t="shared" ca="1" si="41"/>
        <v>#NAME?</v>
      </c>
      <c r="AI79" s="178" t="e">
        <f t="shared" ca="1" si="41"/>
        <v>#NAME?</v>
      </c>
      <c r="AJ79" s="179" t="e">
        <f t="shared" ca="1" si="41"/>
        <v>#NAME?</v>
      </c>
      <c r="AK79" s="177" t="e">
        <f t="shared" ca="1" si="41"/>
        <v>#NAME?</v>
      </c>
      <c r="AL79" s="177" t="e">
        <f t="shared" ca="1" si="41"/>
        <v>#NAME?</v>
      </c>
      <c r="AM79" s="177" t="e">
        <f t="shared" ca="1" si="41"/>
        <v>#NAME?</v>
      </c>
      <c r="AN79" s="177" t="e">
        <f t="shared" ca="1" si="41"/>
        <v>#NAME?</v>
      </c>
      <c r="AO79" s="177" t="e">
        <f t="shared" ca="1" si="41"/>
        <v>#NAME?</v>
      </c>
      <c r="AP79" s="177" t="e">
        <f t="shared" ca="1" si="41"/>
        <v>#NAME?</v>
      </c>
      <c r="AQ79" s="177"/>
      <c r="AR79" s="176"/>
      <c r="AU79" s="24"/>
      <c r="AV79" s="182" t="str">
        <f>AV37</f>
        <v>Mean</v>
      </c>
      <c r="AW79" s="181"/>
      <c r="AX79" s="186"/>
      <c r="AY79" s="180" t="e">
        <f t="shared" ref="AY79:BL79" ca="1" si="42">AVERAGE(AY72:AY76)</f>
        <v>#NAME?</v>
      </c>
      <c r="AZ79" s="180" t="e">
        <f t="shared" ca="1" si="42"/>
        <v>#NAME?</v>
      </c>
      <c r="BA79" s="179" t="e">
        <f t="shared" ca="1" si="42"/>
        <v>#NAME?</v>
      </c>
      <c r="BB79" s="179" t="e">
        <f t="shared" ca="1" si="42"/>
        <v>#NAME?</v>
      </c>
      <c r="BC79" s="179" t="e">
        <f t="shared" ca="1" si="42"/>
        <v>#NAME?</v>
      </c>
      <c r="BD79" s="179" t="e">
        <f t="shared" ca="1" si="42"/>
        <v>#NAME?</v>
      </c>
      <c r="BE79" s="179" t="e">
        <f t="shared" ca="1" si="42"/>
        <v>#NAME?</v>
      </c>
      <c r="BF79" s="179" t="e">
        <f t="shared" ca="1" si="42"/>
        <v>#NAME?</v>
      </c>
      <c r="BG79" s="179" t="e">
        <f t="shared" ca="1" si="42"/>
        <v>#NAME?</v>
      </c>
      <c r="BH79" s="179" t="e">
        <f t="shared" ca="1" si="42"/>
        <v>#NAME?</v>
      </c>
      <c r="BI79" s="178" t="e">
        <f t="shared" ca="1" si="42"/>
        <v>#NAME?</v>
      </c>
      <c r="BJ79" s="177" t="e">
        <f t="shared" ca="1" si="42"/>
        <v>#NAME?</v>
      </c>
      <c r="BK79" s="177" t="e">
        <f t="shared" ca="1" si="42"/>
        <v>#NAME?</v>
      </c>
      <c r="BL79" s="177" t="e">
        <f t="shared" ca="1" si="42"/>
        <v>#NAME?</v>
      </c>
      <c r="BM79" s="177"/>
      <c r="BN79" s="176"/>
    </row>
    <row r="80" spans="2:66" hidden="1" outlineLevel="1" x14ac:dyDescent="0.25">
      <c r="B80" s="24"/>
      <c r="C80" s="24"/>
      <c r="D80" s="182" t="str">
        <f>D38</f>
        <v>Median</v>
      </c>
      <c r="E80" s="181"/>
      <c r="F80" s="181"/>
      <c r="G80" s="185" t="e">
        <f t="shared" ref="G80:T80" ca="1" si="43">MEDIAN(G72:G76)</f>
        <v>#NAME?</v>
      </c>
      <c r="H80" s="183" t="e">
        <f t="shared" ca="1" si="43"/>
        <v>#NAME?</v>
      </c>
      <c r="I80" s="179" t="e">
        <f t="shared" ca="1" si="43"/>
        <v>#NAME?</v>
      </c>
      <c r="J80" s="179" t="e">
        <f t="shared" ca="1" si="43"/>
        <v>#NAME?</v>
      </c>
      <c r="K80" s="179" t="e">
        <f t="shared" ca="1" si="43"/>
        <v>#NAME?</v>
      </c>
      <c r="L80" s="179" t="e">
        <f t="shared" ca="1" si="43"/>
        <v>#NAME?</v>
      </c>
      <c r="M80" s="184" t="e">
        <f t="shared" ca="1" si="43"/>
        <v>#NAME?</v>
      </c>
      <c r="N80" s="179" t="e">
        <f t="shared" ca="1" si="43"/>
        <v>#NAME?</v>
      </c>
      <c r="O80" s="179" t="e">
        <f t="shared" ca="1" si="43"/>
        <v>#NAME?</v>
      </c>
      <c r="P80" s="184" t="e">
        <f t="shared" ca="1" si="43"/>
        <v>#NAME?</v>
      </c>
      <c r="Q80" s="184" t="e">
        <f t="shared" ca="1" si="43"/>
        <v>#NAME?</v>
      </c>
      <c r="R80" s="184" t="e">
        <f t="shared" ca="1" si="43"/>
        <v>#NAME?</v>
      </c>
      <c r="S80" s="184" t="e">
        <f t="shared" ca="1" si="43"/>
        <v>#NAME?</v>
      </c>
      <c r="T80" s="184" t="e">
        <f t="shared" ca="1" si="43"/>
        <v>#NAME?</v>
      </c>
      <c r="U80" s="177"/>
      <c r="V80" s="176"/>
      <c r="W80" s="2"/>
      <c r="Y80" s="24"/>
      <c r="Z80" s="182" t="str">
        <f>Z38</f>
        <v>Median</v>
      </c>
      <c r="AA80" s="181"/>
      <c r="AB80" s="181"/>
      <c r="AC80" s="180" t="e">
        <f t="shared" ref="AC80:AP80" ca="1" si="44">MEDIAN(AC72:AC76)</f>
        <v>#NAME?</v>
      </c>
      <c r="AD80" s="183" t="e">
        <f t="shared" ca="1" si="44"/>
        <v>#NAME?</v>
      </c>
      <c r="AE80" s="179" t="e">
        <f t="shared" ca="1" si="44"/>
        <v>#NAME?</v>
      </c>
      <c r="AF80" s="179" t="e">
        <f t="shared" ca="1" si="44"/>
        <v>#NAME?</v>
      </c>
      <c r="AG80" s="179" t="e">
        <f t="shared" ca="1" si="44"/>
        <v>#NAME?</v>
      </c>
      <c r="AH80" s="179" t="e">
        <f t="shared" ca="1" si="44"/>
        <v>#NAME?</v>
      </c>
      <c r="AI80" s="178" t="e">
        <f t="shared" ca="1" si="44"/>
        <v>#NAME?</v>
      </c>
      <c r="AJ80" s="179" t="e">
        <f t="shared" ca="1" si="44"/>
        <v>#NAME?</v>
      </c>
      <c r="AK80" s="177" t="e">
        <f t="shared" ca="1" si="44"/>
        <v>#NAME?</v>
      </c>
      <c r="AL80" s="177" t="e">
        <f t="shared" ca="1" si="44"/>
        <v>#NAME?</v>
      </c>
      <c r="AM80" s="177" t="e">
        <f t="shared" ca="1" si="44"/>
        <v>#NAME?</v>
      </c>
      <c r="AN80" s="177" t="e">
        <f t="shared" ca="1" si="44"/>
        <v>#NAME?</v>
      </c>
      <c r="AO80" s="177" t="e">
        <f t="shared" ca="1" si="44"/>
        <v>#NAME?</v>
      </c>
      <c r="AP80" s="177" t="e">
        <f t="shared" ca="1" si="44"/>
        <v>#NAME?</v>
      </c>
      <c r="AQ80" s="177"/>
      <c r="AR80" s="176"/>
      <c r="AU80" s="24"/>
      <c r="AV80" s="182" t="str">
        <f>AV38</f>
        <v>Median</v>
      </c>
      <c r="AW80" s="181"/>
      <c r="AX80" s="181"/>
      <c r="AY80" s="180" t="e">
        <f t="shared" ref="AY80:BL80" ca="1" si="45">MEDIAN(AY72:AY76)</f>
        <v>#NAME?</v>
      </c>
      <c r="AZ80" s="180" t="e">
        <f t="shared" ca="1" si="45"/>
        <v>#NAME?</v>
      </c>
      <c r="BA80" s="179" t="e">
        <f t="shared" ca="1" si="45"/>
        <v>#NAME?</v>
      </c>
      <c r="BB80" s="179" t="e">
        <f t="shared" ca="1" si="45"/>
        <v>#NAME?</v>
      </c>
      <c r="BC80" s="179" t="e">
        <f t="shared" ca="1" si="45"/>
        <v>#NAME?</v>
      </c>
      <c r="BD80" s="179" t="e">
        <f t="shared" ca="1" si="45"/>
        <v>#NAME?</v>
      </c>
      <c r="BE80" s="179" t="e">
        <f t="shared" ca="1" si="45"/>
        <v>#NAME?</v>
      </c>
      <c r="BF80" s="179" t="e">
        <f t="shared" ca="1" si="45"/>
        <v>#NAME?</v>
      </c>
      <c r="BG80" s="179" t="e">
        <f t="shared" ca="1" si="45"/>
        <v>#NAME?</v>
      </c>
      <c r="BH80" s="179" t="e">
        <f t="shared" ca="1" si="45"/>
        <v>#NAME?</v>
      </c>
      <c r="BI80" s="178" t="e">
        <f t="shared" ca="1" si="45"/>
        <v>#NAME?</v>
      </c>
      <c r="BJ80" s="177" t="e">
        <f t="shared" ca="1" si="45"/>
        <v>#NAME?</v>
      </c>
      <c r="BK80" s="177" t="e">
        <f t="shared" ca="1" si="45"/>
        <v>#NAME?</v>
      </c>
      <c r="BL80" s="177" t="e">
        <f t="shared" ca="1" si="45"/>
        <v>#NAME?</v>
      </c>
      <c r="BM80" s="177"/>
      <c r="BN80" s="176"/>
    </row>
    <row r="81" spans="2:66" ht="15.75" hidden="1" outlineLevel="1" thickBot="1" x14ac:dyDescent="0.3">
      <c r="B81" s="24"/>
      <c r="C81" s="24"/>
      <c r="D81" s="172" t="str">
        <f>D39</f>
        <v>Low</v>
      </c>
      <c r="E81" s="171"/>
      <c r="F81" s="171"/>
      <c r="G81" s="175" t="e">
        <f t="shared" ref="G81:T81" ca="1" si="46">MIN(G72:G76)</f>
        <v>#NAME?</v>
      </c>
      <c r="H81" s="173" t="e">
        <f t="shared" ca="1" si="46"/>
        <v>#NAME?</v>
      </c>
      <c r="I81" s="169" t="e">
        <f t="shared" ca="1" si="46"/>
        <v>#NAME?</v>
      </c>
      <c r="J81" s="169" t="e">
        <f t="shared" ca="1" si="46"/>
        <v>#NAME?</v>
      </c>
      <c r="K81" s="169" t="e">
        <f t="shared" ca="1" si="46"/>
        <v>#NAME?</v>
      </c>
      <c r="L81" s="169" t="e">
        <f t="shared" ca="1" si="46"/>
        <v>#NAME?</v>
      </c>
      <c r="M81" s="174" t="e">
        <f t="shared" ca="1" si="46"/>
        <v>#NAME?</v>
      </c>
      <c r="N81" s="169" t="e">
        <f t="shared" ca="1" si="46"/>
        <v>#NAME?</v>
      </c>
      <c r="O81" s="169" t="e">
        <f t="shared" ca="1" si="46"/>
        <v>#NAME?</v>
      </c>
      <c r="P81" s="174" t="e">
        <f t="shared" ca="1" si="46"/>
        <v>#NAME?</v>
      </c>
      <c r="Q81" s="174" t="e">
        <f t="shared" ca="1" si="46"/>
        <v>#NAME?</v>
      </c>
      <c r="R81" s="174" t="e">
        <f t="shared" ca="1" si="46"/>
        <v>#NAME?</v>
      </c>
      <c r="S81" s="174" t="e">
        <f t="shared" ca="1" si="46"/>
        <v>#NAME?</v>
      </c>
      <c r="T81" s="174" t="e">
        <f t="shared" ca="1" si="46"/>
        <v>#NAME?</v>
      </c>
      <c r="U81" s="167"/>
      <c r="V81" s="166"/>
      <c r="W81" s="2"/>
      <c r="Y81" s="24"/>
      <c r="Z81" s="172" t="str">
        <f>Z39</f>
        <v>Low</v>
      </c>
      <c r="AA81" s="171"/>
      <c r="AB81" s="171"/>
      <c r="AC81" s="170" t="e">
        <f t="shared" ref="AC81:AP81" ca="1" si="47">MIN(AC72:AC76)</f>
        <v>#NAME?</v>
      </c>
      <c r="AD81" s="173" t="e">
        <f t="shared" ca="1" si="47"/>
        <v>#NAME?</v>
      </c>
      <c r="AE81" s="169" t="e">
        <f t="shared" ca="1" si="47"/>
        <v>#NAME?</v>
      </c>
      <c r="AF81" s="169" t="e">
        <f t="shared" ca="1" si="47"/>
        <v>#NAME?</v>
      </c>
      <c r="AG81" s="169" t="e">
        <f t="shared" ca="1" si="47"/>
        <v>#NAME?</v>
      </c>
      <c r="AH81" s="169" t="e">
        <f t="shared" ca="1" si="47"/>
        <v>#NAME?</v>
      </c>
      <c r="AI81" s="168" t="e">
        <f t="shared" ca="1" si="47"/>
        <v>#NAME?</v>
      </c>
      <c r="AJ81" s="169" t="e">
        <f t="shared" ca="1" si="47"/>
        <v>#NAME?</v>
      </c>
      <c r="AK81" s="167" t="e">
        <f t="shared" ca="1" si="47"/>
        <v>#NAME?</v>
      </c>
      <c r="AL81" s="167" t="e">
        <f t="shared" ca="1" si="47"/>
        <v>#NAME?</v>
      </c>
      <c r="AM81" s="167" t="e">
        <f t="shared" ca="1" si="47"/>
        <v>#NAME?</v>
      </c>
      <c r="AN81" s="167" t="e">
        <f t="shared" ca="1" si="47"/>
        <v>#NAME?</v>
      </c>
      <c r="AO81" s="167" t="e">
        <f t="shared" ca="1" si="47"/>
        <v>#NAME?</v>
      </c>
      <c r="AP81" s="167" t="e">
        <f t="shared" ca="1" si="47"/>
        <v>#NAME?</v>
      </c>
      <c r="AQ81" s="167"/>
      <c r="AR81" s="166"/>
      <c r="AU81" s="24"/>
      <c r="AV81" s="172" t="str">
        <f>AV39</f>
        <v>Low</v>
      </c>
      <c r="AW81" s="171"/>
      <c r="AX81" s="171"/>
      <c r="AY81" s="170" t="e">
        <f t="shared" ref="AY81:BL81" ca="1" si="48">MIN(AY72:AY76)</f>
        <v>#NAME?</v>
      </c>
      <c r="AZ81" s="170" t="e">
        <f t="shared" ca="1" si="48"/>
        <v>#NAME?</v>
      </c>
      <c r="BA81" s="169" t="e">
        <f t="shared" ca="1" si="48"/>
        <v>#NAME?</v>
      </c>
      <c r="BB81" s="169" t="e">
        <f t="shared" ca="1" si="48"/>
        <v>#NAME?</v>
      </c>
      <c r="BC81" s="169" t="e">
        <f t="shared" ca="1" si="48"/>
        <v>#NAME?</v>
      </c>
      <c r="BD81" s="169" t="e">
        <f t="shared" ca="1" si="48"/>
        <v>#NAME?</v>
      </c>
      <c r="BE81" s="169" t="e">
        <f t="shared" ca="1" si="48"/>
        <v>#NAME?</v>
      </c>
      <c r="BF81" s="169" t="e">
        <f t="shared" ca="1" si="48"/>
        <v>#NAME?</v>
      </c>
      <c r="BG81" s="169" t="e">
        <f t="shared" ca="1" si="48"/>
        <v>#NAME?</v>
      </c>
      <c r="BH81" s="169" t="e">
        <f t="shared" ca="1" si="48"/>
        <v>#NAME?</v>
      </c>
      <c r="BI81" s="168" t="e">
        <f t="shared" ca="1" si="48"/>
        <v>#NAME?</v>
      </c>
      <c r="BJ81" s="167" t="e">
        <f t="shared" ca="1" si="48"/>
        <v>#NAME?</v>
      </c>
      <c r="BK81" s="167" t="e">
        <f t="shared" ca="1" si="48"/>
        <v>#NAME?</v>
      </c>
      <c r="BL81" s="167" t="e">
        <f t="shared" ca="1" si="48"/>
        <v>#NAME?</v>
      </c>
      <c r="BM81" s="167"/>
      <c r="BN81" s="166"/>
    </row>
    <row r="82" spans="2:66" hidden="1" outlineLevel="1" x14ac:dyDescent="0.25">
      <c r="B82" s="24"/>
      <c r="C82" s="24"/>
      <c r="D82" s="2"/>
      <c r="E82" s="2"/>
      <c r="F82" s="2"/>
      <c r="G82" s="163"/>
      <c r="H82" s="27"/>
      <c r="I82" s="163"/>
      <c r="J82" s="163"/>
      <c r="K82" s="163"/>
      <c r="L82" s="163"/>
      <c r="M82" s="163"/>
      <c r="N82" s="164"/>
      <c r="O82" s="163"/>
      <c r="P82" s="164"/>
      <c r="Q82" s="165"/>
      <c r="R82" s="164"/>
      <c r="S82" s="2"/>
      <c r="T82" s="163"/>
      <c r="U82" s="162"/>
      <c r="V82" s="162"/>
      <c r="W82" s="2"/>
      <c r="Y82" s="24"/>
      <c r="Z82" s="2"/>
      <c r="AA82" s="2"/>
      <c r="AB82" s="2"/>
      <c r="AC82" s="163"/>
      <c r="AD82" s="27"/>
      <c r="AE82" s="163"/>
      <c r="AF82" s="163"/>
      <c r="AG82" s="163"/>
      <c r="AH82" s="163"/>
      <c r="AI82" s="163"/>
      <c r="AJ82" s="164"/>
      <c r="AK82" s="163"/>
      <c r="AL82" s="164"/>
      <c r="AM82" s="165"/>
      <c r="AN82" s="164"/>
      <c r="AO82" s="2"/>
      <c r="AP82" s="163"/>
      <c r="AQ82" s="162"/>
      <c r="AR82" s="162"/>
      <c r="AU82" s="24"/>
      <c r="AV82" s="2"/>
      <c r="AW82" s="2"/>
      <c r="AX82" s="2"/>
      <c r="AY82" s="163"/>
      <c r="AZ82" s="27"/>
      <c r="BA82" s="163"/>
      <c r="BB82" s="163"/>
      <c r="BC82" s="163"/>
      <c r="BD82" s="163"/>
      <c r="BE82" s="163"/>
      <c r="BF82" s="164"/>
      <c r="BG82" s="163"/>
      <c r="BH82" s="164"/>
      <c r="BI82" s="165"/>
      <c r="BJ82" s="164"/>
      <c r="BK82" s="2"/>
      <c r="BL82" s="163"/>
      <c r="BM82" s="162"/>
      <c r="BN82" s="162"/>
    </row>
    <row r="83" spans="2:66" hidden="1" outlineLevel="1" x14ac:dyDescent="0.25">
      <c r="B83" s="24"/>
      <c r="C83" s="24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Y83" s="24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</row>
    <row r="84" spans="2:66" ht="15.75" hidden="1" outlineLevel="1" thickBot="1" x14ac:dyDescent="0.3">
      <c r="B84" s="24" t="s">
        <v>6</v>
      </c>
      <c r="C84" s="24"/>
      <c r="D84" s="161" t="s">
        <v>256</v>
      </c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2"/>
      <c r="X84" s="2"/>
      <c r="Y84" s="2"/>
    </row>
    <row r="85" spans="2:66" hidden="1" outlineLevel="1" x14ac:dyDescent="0.25">
      <c r="B85" s="24"/>
      <c r="C85" s="24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2:66" ht="15" hidden="1" customHeight="1" outlineLevel="1" x14ac:dyDescent="0.25">
      <c r="B86" s="24"/>
      <c r="C86" s="24"/>
      <c r="D86" s="19" t="str">
        <f>S88</f>
        <v>Primary Peer Group</v>
      </c>
      <c r="E86" s="21"/>
      <c r="F86" s="160" t="s">
        <v>6</v>
      </c>
      <c r="G86" s="19" t="str">
        <f>S89</f>
        <v>Defense Peer Group</v>
      </c>
      <c r="H86" s="20"/>
      <c r="I86" s="20"/>
      <c r="J86" s="21"/>
      <c r="K86" s="2"/>
      <c r="L86" s="19" t="str">
        <f>S90</f>
        <v>Cap. Goods Peer Group</v>
      </c>
      <c r="M86" s="20"/>
      <c r="N86" s="20"/>
      <c r="O86" s="21"/>
      <c r="P86" s="2"/>
      <c r="Q86" s="19" t="s">
        <v>255</v>
      </c>
      <c r="R86" s="20"/>
      <c r="S86" s="20"/>
      <c r="T86" s="21"/>
      <c r="U86" s="2"/>
      <c r="V86" s="2"/>
      <c r="W86" s="2"/>
    </row>
    <row r="87" spans="2:66" ht="15" hidden="1" customHeight="1" outlineLevel="1" x14ac:dyDescent="0.25">
      <c r="B87" s="24"/>
      <c r="C87" s="24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85"/>
      <c r="U87" s="2"/>
      <c r="V87" s="2"/>
      <c r="W87" s="2"/>
      <c r="X87" s="2"/>
      <c r="Y87" s="2"/>
    </row>
    <row r="88" spans="2:66" ht="15" hidden="1" customHeight="1" outlineLevel="1" x14ac:dyDescent="0.25">
      <c r="B88" s="24"/>
      <c r="C88" s="24"/>
      <c r="D88" s="84" t="s">
        <v>253</v>
      </c>
      <c r="E88" s="159" t="s">
        <v>254</v>
      </c>
      <c r="F88" s="2"/>
      <c r="G88" s="84" t="s">
        <v>253</v>
      </c>
      <c r="H88" s="85"/>
      <c r="I88" s="85" t="e">
        <f>Company_Name</f>
        <v>#REF!</v>
      </c>
      <c r="J88" s="155"/>
      <c r="K88" s="2"/>
      <c r="L88" s="84" t="s">
        <v>253</v>
      </c>
      <c r="M88" s="85"/>
      <c r="N88" s="85" t="e">
        <f>Company_Name</f>
        <v>#REF!</v>
      </c>
      <c r="O88" s="155"/>
      <c r="P88" s="2"/>
      <c r="Q88" s="84" t="s">
        <v>252</v>
      </c>
      <c r="R88" s="85"/>
      <c r="S88" s="158" t="s">
        <v>251</v>
      </c>
      <c r="T88" s="155"/>
      <c r="U88" s="2"/>
      <c r="V88" s="2"/>
      <c r="W88" s="2"/>
    </row>
    <row r="89" spans="2:66" ht="15" hidden="1" customHeight="1" outlineLevel="1" x14ac:dyDescent="0.25">
      <c r="B89" s="24"/>
      <c r="C89" s="24"/>
      <c r="D89" s="78" t="s">
        <v>207</v>
      </c>
      <c r="E89" s="154" t="s">
        <v>35</v>
      </c>
      <c r="F89" s="2"/>
      <c r="G89" s="78" t="s">
        <v>207</v>
      </c>
      <c r="H89" s="2"/>
      <c r="I89" s="2" t="e">
        <f>Ticker</f>
        <v>#REF!</v>
      </c>
      <c r="J89" s="79"/>
      <c r="K89" s="2"/>
      <c r="L89" s="78" t="s">
        <v>207</v>
      </c>
      <c r="M89" s="2"/>
      <c r="N89" s="2" t="e">
        <f>Ticker</f>
        <v>#REF!</v>
      </c>
      <c r="O89" s="79"/>
      <c r="P89" s="2"/>
      <c r="Q89" s="78" t="s">
        <v>250</v>
      </c>
      <c r="R89" s="2"/>
      <c r="S89" s="153" t="s">
        <v>249</v>
      </c>
      <c r="T89" s="79"/>
      <c r="U89" s="2"/>
      <c r="V89" s="2"/>
      <c r="W89" s="2"/>
    </row>
    <row r="90" spans="2:66" ht="15" hidden="1" customHeight="1" outlineLevel="1" x14ac:dyDescent="0.25">
      <c r="B90" s="24"/>
      <c r="C90" s="24"/>
      <c r="D90" s="80" t="s">
        <v>203</v>
      </c>
      <c r="E90" s="152" t="s">
        <v>248</v>
      </c>
      <c r="F90" s="2"/>
      <c r="G90" s="80" t="s">
        <v>203</v>
      </c>
      <c r="H90" s="65"/>
      <c r="I90" s="69" t="str">
        <f>$E$90</f>
        <v>IQ21401</v>
      </c>
      <c r="J90" s="81"/>
      <c r="K90" s="2"/>
      <c r="L90" s="80" t="s">
        <v>203</v>
      </c>
      <c r="M90" s="65"/>
      <c r="N90" s="69" t="str">
        <f>$E$90</f>
        <v>IQ21401</v>
      </c>
      <c r="O90" s="81"/>
      <c r="P90" s="2"/>
      <c r="Q90" s="80" t="s">
        <v>247</v>
      </c>
      <c r="R90" s="65"/>
      <c r="S90" s="151" t="s">
        <v>246</v>
      </c>
      <c r="T90" s="81"/>
      <c r="U90" s="2"/>
      <c r="V90" s="2"/>
      <c r="W90" s="2"/>
    </row>
    <row r="91" spans="2:66" ht="15" hidden="1" customHeight="1" outlineLevel="1" x14ac:dyDescent="0.25">
      <c r="B91" s="24"/>
      <c r="C91" s="24"/>
      <c r="D91"/>
      <c r="E91"/>
      <c r="F91" s="2"/>
      <c r="G91"/>
      <c r="H91"/>
      <c r="I91"/>
      <c r="J91"/>
      <c r="K91" s="2"/>
      <c r="L91"/>
      <c r="M91"/>
      <c r="N91"/>
      <c r="O91"/>
      <c r="P91" s="2"/>
      <c r="Q91" s="2"/>
      <c r="R91" s="2"/>
      <c r="S91" s="2"/>
      <c r="T91" s="2"/>
      <c r="U91" s="2"/>
      <c r="V91" s="2"/>
      <c r="W91" s="2"/>
    </row>
    <row r="92" spans="2:66" ht="15" hidden="1" customHeight="1" outlineLevel="1" x14ac:dyDescent="0.25">
      <c r="B92" s="24"/>
      <c r="C92" s="24"/>
      <c r="D92" s="84" t="s">
        <v>210</v>
      </c>
      <c r="E92" s="159" t="s">
        <v>245</v>
      </c>
      <c r="F92" s="2"/>
      <c r="G92" s="84" t="s">
        <v>210</v>
      </c>
      <c r="H92" s="85"/>
      <c r="I92" s="158" t="s">
        <v>244</v>
      </c>
      <c r="J92" s="155"/>
      <c r="K92" s="2"/>
      <c r="L92" s="84" t="s">
        <v>210</v>
      </c>
      <c r="M92" s="85"/>
      <c r="N92" s="158" t="s">
        <v>243</v>
      </c>
      <c r="O92" s="155"/>
      <c r="P92" s="2"/>
      <c r="Q92" s="2"/>
      <c r="R92" s="2"/>
      <c r="S92" s="2"/>
      <c r="T92" s="2"/>
      <c r="U92" s="2"/>
      <c r="V92" s="2"/>
      <c r="W92" s="2"/>
    </row>
    <row r="93" spans="2:66" ht="15" hidden="1" customHeight="1" outlineLevel="1" x14ac:dyDescent="0.25">
      <c r="B93" s="24"/>
      <c r="C93" s="24"/>
      <c r="D93" s="78" t="s">
        <v>207</v>
      </c>
      <c r="E93" s="154" t="s">
        <v>199</v>
      </c>
      <c r="F93" s="2"/>
      <c r="G93" s="78" t="s">
        <v>207</v>
      </c>
      <c r="H93" s="2"/>
      <c r="I93" s="153" t="s">
        <v>242</v>
      </c>
      <c r="J93" s="79"/>
      <c r="K93" s="2"/>
      <c r="L93" s="78" t="s">
        <v>207</v>
      </c>
      <c r="M93" s="2"/>
      <c r="N93" s="153" t="s">
        <v>241</v>
      </c>
      <c r="O93" s="79"/>
      <c r="P93" s="2"/>
      <c r="Q93" s="2"/>
      <c r="R93" s="2"/>
      <c r="S93" s="2"/>
      <c r="T93" s="2"/>
      <c r="U93" s="2"/>
      <c r="V93" s="2"/>
      <c r="W93" s="2"/>
    </row>
    <row r="94" spans="2:66" ht="15" hidden="1" customHeight="1" outlineLevel="1" x14ac:dyDescent="0.25">
      <c r="B94" s="24"/>
      <c r="C94" s="24"/>
      <c r="D94" s="80" t="s">
        <v>203</v>
      </c>
      <c r="E94" s="152" t="s">
        <v>240</v>
      </c>
      <c r="F94" s="2"/>
      <c r="G94" s="80" t="s">
        <v>203</v>
      </c>
      <c r="H94" s="65"/>
      <c r="I94" s="151" t="s">
        <v>239</v>
      </c>
      <c r="J94" s="81"/>
      <c r="K94" s="2"/>
      <c r="L94" s="80" t="s">
        <v>203</v>
      </c>
      <c r="M94" s="65"/>
      <c r="N94" s="151" t="s">
        <v>238</v>
      </c>
      <c r="O94" s="81"/>
      <c r="P94" s="2"/>
      <c r="Q94" s="2"/>
      <c r="R94" s="2"/>
      <c r="S94" s="2"/>
      <c r="T94" s="2"/>
      <c r="U94" s="2"/>
      <c r="V94" s="2"/>
      <c r="W94" s="2"/>
    </row>
    <row r="95" spans="2:66" ht="15" hidden="1" customHeight="1" outlineLevel="1" x14ac:dyDescent="0.25">
      <c r="B95" s="24"/>
      <c r="C95" s="24"/>
      <c r="D95"/>
      <c r="E95"/>
      <c r="F95" s="2"/>
      <c r="G95"/>
      <c r="H95"/>
      <c r="I95"/>
      <c r="J95"/>
      <c r="K95" s="2"/>
      <c r="L95"/>
      <c r="M95"/>
      <c r="N95"/>
      <c r="O95"/>
      <c r="P95" s="2"/>
      <c r="Q95" s="2"/>
      <c r="R95" s="2"/>
      <c r="S95" s="2"/>
      <c r="T95" s="2"/>
      <c r="U95" s="2"/>
      <c r="V95" s="2"/>
      <c r="W95" s="2"/>
    </row>
    <row r="96" spans="2:66" ht="15" hidden="1" customHeight="1" outlineLevel="1" x14ac:dyDescent="0.25">
      <c r="B96" s="24"/>
      <c r="C96" s="24"/>
      <c r="D96" s="84" t="s">
        <v>210</v>
      </c>
      <c r="E96" s="159" t="s">
        <v>237</v>
      </c>
      <c r="F96" s="2"/>
      <c r="G96" s="84" t="s">
        <v>210</v>
      </c>
      <c r="H96" s="85"/>
      <c r="I96" s="158" t="s">
        <v>236</v>
      </c>
      <c r="J96" s="155"/>
      <c r="K96" s="2"/>
      <c r="L96" s="84" t="s">
        <v>210</v>
      </c>
      <c r="M96" s="85"/>
      <c r="N96" s="158" t="s">
        <v>235</v>
      </c>
      <c r="O96" s="155"/>
      <c r="P96" s="2"/>
      <c r="Q96" s="2"/>
      <c r="R96" s="2"/>
      <c r="S96" s="2"/>
      <c r="T96" s="2"/>
      <c r="U96" s="2"/>
      <c r="V96" s="2"/>
      <c r="W96" s="2"/>
    </row>
    <row r="97" spans="2:25" ht="15" hidden="1" customHeight="1" outlineLevel="1" x14ac:dyDescent="0.25">
      <c r="B97" s="24"/>
      <c r="C97" s="24"/>
      <c r="D97" s="78" t="s">
        <v>207</v>
      </c>
      <c r="E97" s="154" t="s">
        <v>234</v>
      </c>
      <c r="F97" s="2"/>
      <c r="G97" s="78" t="s">
        <v>207</v>
      </c>
      <c r="H97" s="2"/>
      <c r="I97" s="153" t="s">
        <v>233</v>
      </c>
      <c r="J97" s="79"/>
      <c r="K97" s="2"/>
      <c r="L97" s="78" t="s">
        <v>207</v>
      </c>
      <c r="M97" s="2"/>
      <c r="N97" s="153" t="s">
        <v>232</v>
      </c>
      <c r="O97" s="79"/>
      <c r="P97" s="2"/>
      <c r="Q97" s="2"/>
      <c r="R97" s="2"/>
      <c r="S97" s="2"/>
      <c r="T97" s="2"/>
      <c r="U97" s="2"/>
      <c r="V97" s="2"/>
      <c r="W97" s="2"/>
    </row>
    <row r="98" spans="2:25" ht="15" hidden="1" customHeight="1" outlineLevel="1" x14ac:dyDescent="0.25">
      <c r="B98" s="24"/>
      <c r="C98" s="24"/>
      <c r="D98" s="80" t="s">
        <v>203</v>
      </c>
      <c r="E98" s="152" t="s">
        <v>231</v>
      </c>
      <c r="F98" s="2"/>
      <c r="G98" s="80" t="s">
        <v>203</v>
      </c>
      <c r="H98" s="65"/>
      <c r="I98" s="151" t="s">
        <v>230</v>
      </c>
      <c r="J98" s="81"/>
      <c r="K98" s="2"/>
      <c r="L98" s="80" t="s">
        <v>203</v>
      </c>
      <c r="M98" s="65"/>
      <c r="N98" s="151" t="s">
        <v>229</v>
      </c>
      <c r="O98" s="81"/>
      <c r="P98" s="2"/>
      <c r="Q98" s="2"/>
      <c r="R98" s="2"/>
      <c r="S98" s="2"/>
      <c r="T98" s="2"/>
      <c r="U98" s="2"/>
      <c r="V98" s="2"/>
      <c r="W98" s="2"/>
    </row>
    <row r="99" spans="2:25" ht="15" hidden="1" customHeight="1" outlineLevel="1" x14ac:dyDescent="0.25">
      <c r="B99" s="24"/>
      <c r="C99" s="24"/>
      <c r="F99" s="2"/>
      <c r="K99" s="2"/>
      <c r="P99" s="2"/>
      <c r="Q99" s="2"/>
      <c r="R99" s="2"/>
      <c r="S99" s="2"/>
      <c r="T99" s="2"/>
      <c r="U99" s="2"/>
      <c r="V99" s="2"/>
      <c r="W99" s="2"/>
    </row>
    <row r="100" spans="2:25" ht="15" hidden="1" customHeight="1" outlineLevel="1" x14ac:dyDescent="0.25">
      <c r="B100" s="24"/>
      <c r="C100" s="24"/>
      <c r="D100" s="84" t="s">
        <v>210</v>
      </c>
      <c r="E100" s="159" t="s">
        <v>228</v>
      </c>
      <c r="F100" s="2"/>
      <c r="G100" s="84" t="s">
        <v>210</v>
      </c>
      <c r="H100" s="85"/>
      <c r="I100" s="158" t="s">
        <v>227</v>
      </c>
      <c r="J100" s="155"/>
      <c r="K100" s="2"/>
      <c r="L100" s="84" t="s">
        <v>210</v>
      </c>
      <c r="M100" s="85"/>
      <c r="N100" s="158" t="s">
        <v>226</v>
      </c>
      <c r="O100" s="155"/>
      <c r="P100" s="2"/>
      <c r="Q100" s="2"/>
      <c r="R100" s="2"/>
      <c r="S100" s="2"/>
      <c r="T100" s="2"/>
      <c r="U100" s="2"/>
      <c r="V100" s="2"/>
      <c r="W100" s="2"/>
    </row>
    <row r="101" spans="2:25" ht="15" hidden="1" customHeight="1" outlineLevel="1" x14ac:dyDescent="0.25">
      <c r="B101" s="24"/>
      <c r="C101" s="24"/>
      <c r="D101" s="78" t="s">
        <v>207</v>
      </c>
      <c r="E101" s="154" t="s">
        <v>24</v>
      </c>
      <c r="F101" s="2"/>
      <c r="G101" s="78" t="s">
        <v>207</v>
      </c>
      <c r="H101" s="24"/>
      <c r="I101" s="153" t="s">
        <v>225</v>
      </c>
      <c r="J101" s="79"/>
      <c r="K101" s="2"/>
      <c r="L101" s="78" t="s">
        <v>207</v>
      </c>
      <c r="M101" s="24"/>
      <c r="N101" s="153" t="s">
        <v>224</v>
      </c>
      <c r="O101" s="79"/>
      <c r="P101" s="2"/>
      <c r="Q101" s="2"/>
      <c r="R101" s="2"/>
      <c r="S101" s="2"/>
      <c r="T101" s="2"/>
      <c r="U101" s="2"/>
      <c r="V101" s="2"/>
      <c r="W101" s="2"/>
    </row>
    <row r="102" spans="2:25" ht="15" hidden="1" customHeight="1" outlineLevel="1" x14ac:dyDescent="0.25">
      <c r="B102" s="24"/>
      <c r="C102" s="24"/>
      <c r="D102" s="80" t="s">
        <v>203</v>
      </c>
      <c r="E102" s="152" t="s">
        <v>223</v>
      </c>
      <c r="F102" s="2"/>
      <c r="G102" s="80" t="s">
        <v>203</v>
      </c>
      <c r="H102" s="65"/>
      <c r="I102" s="151" t="s">
        <v>222</v>
      </c>
      <c r="J102" s="81"/>
      <c r="K102" s="2"/>
      <c r="L102" s="80" t="s">
        <v>203</v>
      </c>
      <c r="M102" s="65"/>
      <c r="N102" s="151" t="s">
        <v>221</v>
      </c>
      <c r="O102" s="81"/>
      <c r="P102" s="2"/>
      <c r="Q102" s="2"/>
      <c r="R102" s="2"/>
      <c r="S102" s="2"/>
      <c r="T102" s="2"/>
      <c r="U102" s="2"/>
      <c r="V102" s="2"/>
      <c r="W102" s="2"/>
    </row>
    <row r="103" spans="2:25" ht="15" hidden="1" customHeight="1" outlineLevel="1" x14ac:dyDescent="0.25">
      <c r="B103" s="24"/>
      <c r="C103" s="24"/>
      <c r="F103" s="2"/>
      <c r="K103" s="2"/>
      <c r="P103" s="2"/>
      <c r="Q103" s="2"/>
      <c r="R103" s="2"/>
      <c r="S103" s="2"/>
      <c r="T103" s="2"/>
      <c r="U103" s="2"/>
      <c r="V103" s="2"/>
      <c r="W103" s="2"/>
    </row>
    <row r="104" spans="2:25" ht="15" hidden="1" customHeight="1" outlineLevel="1" x14ac:dyDescent="0.25">
      <c r="B104" s="24"/>
      <c r="C104" s="24"/>
      <c r="D104" s="84" t="s">
        <v>210</v>
      </c>
      <c r="E104" s="159" t="s">
        <v>220</v>
      </c>
      <c r="F104" s="2"/>
      <c r="G104" s="84" t="s">
        <v>210</v>
      </c>
      <c r="H104" s="85"/>
      <c r="I104" s="158" t="s">
        <v>219</v>
      </c>
      <c r="J104" s="155"/>
      <c r="K104" s="2"/>
      <c r="L104" s="84" t="s">
        <v>210</v>
      </c>
      <c r="M104" s="85"/>
      <c r="N104" s="158" t="s">
        <v>218</v>
      </c>
      <c r="O104" s="155"/>
      <c r="P104" s="2"/>
      <c r="Q104" s="2"/>
      <c r="R104" s="2"/>
      <c r="S104" s="2"/>
      <c r="T104" s="2"/>
      <c r="U104" s="2"/>
      <c r="V104" s="2"/>
      <c r="W104" s="2"/>
    </row>
    <row r="105" spans="2:25" ht="15" hidden="1" customHeight="1" outlineLevel="1" x14ac:dyDescent="0.25">
      <c r="B105" s="24"/>
      <c r="C105" s="24"/>
      <c r="D105" s="78" t="s">
        <v>207</v>
      </c>
      <c r="E105" s="154" t="s">
        <v>198</v>
      </c>
      <c r="F105" s="2"/>
      <c r="G105" s="78" t="s">
        <v>207</v>
      </c>
      <c r="H105" s="2"/>
      <c r="I105" s="153" t="s">
        <v>217</v>
      </c>
      <c r="J105" s="79"/>
      <c r="K105" s="2"/>
      <c r="L105" s="78" t="s">
        <v>207</v>
      </c>
      <c r="M105" s="2"/>
      <c r="N105" s="153" t="s">
        <v>216</v>
      </c>
      <c r="O105" s="79"/>
      <c r="P105" s="2"/>
      <c r="Q105" s="2"/>
      <c r="R105" s="2"/>
      <c r="S105" s="2"/>
      <c r="T105" s="2"/>
      <c r="U105" s="2"/>
      <c r="V105" s="2"/>
      <c r="W105" s="2"/>
    </row>
    <row r="106" spans="2:25" ht="15" hidden="1" customHeight="1" outlineLevel="1" x14ac:dyDescent="0.25">
      <c r="B106" s="24"/>
      <c r="C106" s="24"/>
      <c r="D106" s="80" t="s">
        <v>203</v>
      </c>
      <c r="E106" s="152" t="s">
        <v>215</v>
      </c>
      <c r="F106" s="2"/>
      <c r="G106" s="80" t="s">
        <v>203</v>
      </c>
      <c r="H106" s="65"/>
      <c r="I106" s="151" t="s">
        <v>214</v>
      </c>
      <c r="J106" s="81"/>
      <c r="K106" s="2"/>
      <c r="L106" s="80" t="s">
        <v>203</v>
      </c>
      <c r="M106" s="65"/>
      <c r="N106" s="151" t="s">
        <v>213</v>
      </c>
      <c r="O106" s="81"/>
      <c r="P106" s="2"/>
      <c r="Q106" s="2"/>
      <c r="R106" s="2"/>
      <c r="S106" s="2"/>
      <c r="T106" s="2"/>
      <c r="U106" s="2"/>
      <c r="V106" s="2"/>
      <c r="W106" s="2"/>
    </row>
    <row r="107" spans="2:25" ht="15" hidden="1" customHeight="1" outlineLevel="1" x14ac:dyDescent="0.25">
      <c r="B107" s="24"/>
      <c r="C107" s="24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2:25" ht="15" hidden="1" customHeight="1" outlineLevel="1" x14ac:dyDescent="0.25">
      <c r="B108" s="24"/>
      <c r="C108" s="24"/>
      <c r="D108" s="84" t="s">
        <v>210</v>
      </c>
      <c r="E108" s="157" t="s">
        <v>212</v>
      </c>
      <c r="F108" s="2"/>
      <c r="G108" s="84" t="s">
        <v>210</v>
      </c>
      <c r="H108" s="85"/>
      <c r="I108" s="156" t="s">
        <v>211</v>
      </c>
      <c r="J108" s="155"/>
      <c r="K108" s="2"/>
      <c r="L108" s="84" t="s">
        <v>210</v>
      </c>
      <c r="M108" s="85"/>
      <c r="N108" s="156" t="s">
        <v>209</v>
      </c>
      <c r="O108" s="155"/>
      <c r="P108" s="2"/>
      <c r="Q108" s="2"/>
      <c r="R108" s="2"/>
      <c r="S108" s="2"/>
      <c r="T108" s="2"/>
      <c r="U108" s="2"/>
      <c r="V108" s="2"/>
      <c r="W108" s="2"/>
    </row>
    <row r="109" spans="2:25" ht="15" hidden="1" customHeight="1" outlineLevel="1" x14ac:dyDescent="0.25">
      <c r="B109" s="24"/>
      <c r="C109" s="24"/>
      <c r="D109" s="78" t="s">
        <v>207</v>
      </c>
      <c r="E109" s="154" t="s">
        <v>200</v>
      </c>
      <c r="F109" s="2"/>
      <c r="G109" s="78" t="s">
        <v>207</v>
      </c>
      <c r="H109" s="2"/>
      <c r="I109" s="153" t="s">
        <v>208</v>
      </c>
      <c r="J109" s="79"/>
      <c r="K109" s="2"/>
      <c r="L109" s="78" t="s">
        <v>207</v>
      </c>
      <c r="M109" s="2"/>
      <c r="N109" s="153" t="s">
        <v>206</v>
      </c>
      <c r="O109" s="79"/>
      <c r="P109" s="2"/>
      <c r="Q109" s="2"/>
      <c r="R109" s="2"/>
      <c r="S109" s="2"/>
      <c r="T109" s="2"/>
      <c r="U109" s="2"/>
      <c r="V109" s="2"/>
      <c r="W109" s="2"/>
    </row>
    <row r="110" spans="2:25" ht="15" hidden="1" customHeight="1" outlineLevel="1" x14ac:dyDescent="0.25">
      <c r="B110" s="24"/>
      <c r="C110" s="24"/>
      <c r="D110" s="80" t="s">
        <v>203</v>
      </c>
      <c r="E110" s="152" t="s">
        <v>205</v>
      </c>
      <c r="F110" s="2"/>
      <c r="G110" s="80" t="s">
        <v>203</v>
      </c>
      <c r="H110" s="65"/>
      <c r="I110" s="151" t="s">
        <v>204</v>
      </c>
      <c r="J110" s="81"/>
      <c r="K110" s="2"/>
      <c r="L110" s="80" t="s">
        <v>203</v>
      </c>
      <c r="M110" s="65"/>
      <c r="N110" s="151" t="s">
        <v>202</v>
      </c>
      <c r="O110" s="81"/>
      <c r="P110" s="2"/>
      <c r="Q110" s="2"/>
      <c r="R110" s="2"/>
      <c r="S110" s="2"/>
      <c r="T110" s="2"/>
      <c r="U110" s="2"/>
      <c r="V110" s="2"/>
      <c r="W110" s="2"/>
    </row>
    <row r="111" spans="2:25" hidden="1" outlineLevel="1" x14ac:dyDescent="0.25">
      <c r="B111" s="24"/>
      <c r="C111" s="24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2:25" collapsed="1" x14ac:dyDescent="0.25">
      <c r="B112" s="24"/>
      <c r="C112" s="2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2:66" x14ac:dyDescent="0.2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</row>
    <row r="114" spans="2:66" x14ac:dyDescent="0.25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</row>
    <row r="115" spans="2:66" x14ac:dyDescent="0.2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</row>
    <row r="116" spans="2:66" x14ac:dyDescent="0.2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</row>
    <row r="117" spans="2:66" x14ac:dyDescent="0.25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</row>
    <row r="118" spans="2:66" x14ac:dyDescent="0.25">
      <c r="C118" s="24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 s="2"/>
      <c r="T118" s="2"/>
      <c r="U118" s="2"/>
      <c r="V118" s="2"/>
      <c r="W118" s="2"/>
      <c r="X118" s="2"/>
      <c r="Y118" s="2"/>
    </row>
    <row r="119" spans="2:66" x14ac:dyDescent="0.25">
      <c r="C119" s="24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 s="2"/>
      <c r="T119" s="2"/>
      <c r="U119" s="2"/>
      <c r="V119" s="2"/>
      <c r="W119" s="2"/>
      <c r="X119" s="2"/>
      <c r="Y119" s="2"/>
    </row>
    <row r="120" spans="2:66" x14ac:dyDescent="0.25">
      <c r="C120" s="24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 s="2"/>
      <c r="T120" s="2"/>
      <c r="U120" s="2"/>
      <c r="V120" s="2"/>
      <c r="W120" s="2"/>
      <c r="X120" s="2"/>
      <c r="Y120" s="2"/>
    </row>
    <row r="121" spans="2:66" x14ac:dyDescent="0.25">
      <c r="C121" s="24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 s="2"/>
      <c r="T121" s="2"/>
      <c r="U121" s="2"/>
      <c r="V121" s="2"/>
      <c r="W121" s="2"/>
      <c r="X121" s="2"/>
      <c r="Y121" s="2"/>
    </row>
    <row r="122" spans="2:66" x14ac:dyDescent="0.25">
      <c r="C122" s="24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 s="2"/>
      <c r="T122" s="2"/>
      <c r="U122" s="2"/>
      <c r="V122" s="2"/>
      <c r="W122" s="2"/>
      <c r="X122" s="2"/>
      <c r="Y122" s="2"/>
    </row>
    <row r="123" spans="2:66" x14ac:dyDescent="0.25">
      <c r="C123" s="24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 s="2"/>
      <c r="T123" s="2"/>
      <c r="U123" s="2"/>
      <c r="V123" s="2"/>
      <c r="W123" s="2"/>
      <c r="X123" s="2"/>
      <c r="Y123" s="2"/>
    </row>
    <row r="124" spans="2:66" x14ac:dyDescent="0.25">
      <c r="C124" s="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 s="2"/>
      <c r="T124" s="2"/>
      <c r="U124" s="2"/>
      <c r="V124" s="2"/>
      <c r="W124" s="2"/>
      <c r="X124" s="2"/>
      <c r="Y124" s="2"/>
    </row>
    <row r="125" spans="2:66" x14ac:dyDescent="0.25">
      <c r="C125" s="24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 s="2"/>
      <c r="T125" s="2"/>
      <c r="U125" s="2"/>
      <c r="V125" s="2"/>
      <c r="W125" s="2"/>
      <c r="X125" s="2"/>
      <c r="Y125" s="2"/>
    </row>
    <row r="126" spans="2:66" x14ac:dyDescent="0.25"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2:66" x14ac:dyDescent="0.25"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</sheetData>
  <mergeCells count="2">
    <mergeCell ref="M23:O23"/>
    <mergeCell ref="P23:R23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9D60D-8FE0-410F-8AC8-7585E0C45B6A}">
  <sheetPr codeName="Sheet11"/>
  <dimension ref="A1:AB29"/>
  <sheetViews>
    <sheetView showGridLines="0" zoomScale="80" zoomScaleNormal="80" workbookViewId="0">
      <pane ySplit="7" topLeftCell="A8" activePane="bottomLeft" state="frozen"/>
      <selection activeCell="B13" sqref="B13"/>
      <selection pane="bottomLeft"/>
    </sheetView>
  </sheetViews>
  <sheetFormatPr defaultColWidth="9.28515625" defaultRowHeight="12.75" outlineLevelRow="1" x14ac:dyDescent="0.2"/>
  <cols>
    <col min="1" max="1" width="33.5703125" style="292" customWidth="1"/>
    <col min="2" max="2" width="9.28515625" style="292" bestFit="1" customWidth="1"/>
    <col min="3" max="3" width="7.7109375" style="292" bestFit="1" customWidth="1"/>
    <col min="4" max="4" width="44.42578125" style="292" customWidth="1"/>
    <col min="5" max="5" width="12.28515625" style="292" bestFit="1" customWidth="1"/>
    <col min="6" max="6" width="18.5703125" style="292" customWidth="1"/>
    <col min="7" max="8" width="9.28515625" style="293"/>
    <col min="9" max="9" width="14.42578125" style="293" bestFit="1" customWidth="1"/>
    <col min="10" max="10" width="29" style="293" bestFit="1" customWidth="1"/>
    <col min="11" max="11" width="34.5703125" style="293" bestFit="1" customWidth="1"/>
    <col min="12" max="12" width="48.5703125" style="293" bestFit="1" customWidth="1"/>
    <col min="13" max="13" width="32" style="293" bestFit="1" customWidth="1"/>
    <col min="14" max="19" width="9.28515625" style="293"/>
    <col min="20" max="256" width="9.28515625" style="292"/>
    <col min="257" max="257" width="33.5703125" style="292" customWidth="1"/>
    <col min="258" max="258" width="9.28515625" style="292"/>
    <col min="259" max="259" width="7.7109375" style="292" bestFit="1" customWidth="1"/>
    <col min="260" max="260" width="44.42578125" style="292" customWidth="1"/>
    <col min="261" max="261" width="12.28515625" style="292" bestFit="1" customWidth="1"/>
    <col min="262" max="262" width="18.5703125" style="292" customWidth="1"/>
    <col min="263" max="512" width="9.28515625" style="292"/>
    <col min="513" max="513" width="33.5703125" style="292" customWidth="1"/>
    <col min="514" max="514" width="9.28515625" style="292"/>
    <col min="515" max="515" width="7.7109375" style="292" bestFit="1" customWidth="1"/>
    <col min="516" max="516" width="44.42578125" style="292" customWidth="1"/>
    <col min="517" max="517" width="12.28515625" style="292" bestFit="1" customWidth="1"/>
    <col min="518" max="518" width="18.5703125" style="292" customWidth="1"/>
    <col min="519" max="768" width="9.28515625" style="292"/>
    <col min="769" max="769" width="33.5703125" style="292" customWidth="1"/>
    <col min="770" max="770" width="9.28515625" style="292"/>
    <col min="771" max="771" width="7.7109375" style="292" bestFit="1" customWidth="1"/>
    <col min="772" max="772" width="44.42578125" style="292" customWidth="1"/>
    <col min="773" max="773" width="12.28515625" style="292" bestFit="1" customWidth="1"/>
    <col min="774" max="774" width="18.5703125" style="292" customWidth="1"/>
    <col min="775" max="1024" width="9.28515625" style="292"/>
    <col min="1025" max="1025" width="33.5703125" style="292" customWidth="1"/>
    <col min="1026" max="1026" width="9.28515625" style="292"/>
    <col min="1027" max="1027" width="7.7109375" style="292" bestFit="1" customWidth="1"/>
    <col min="1028" max="1028" width="44.42578125" style="292" customWidth="1"/>
    <col min="1029" max="1029" width="12.28515625" style="292" bestFit="1" customWidth="1"/>
    <col min="1030" max="1030" width="18.5703125" style="292" customWidth="1"/>
    <col min="1031" max="1280" width="9.28515625" style="292"/>
    <col min="1281" max="1281" width="33.5703125" style="292" customWidth="1"/>
    <col min="1282" max="1282" width="9.28515625" style="292"/>
    <col min="1283" max="1283" width="7.7109375" style="292" bestFit="1" customWidth="1"/>
    <col min="1284" max="1284" width="44.42578125" style="292" customWidth="1"/>
    <col min="1285" max="1285" width="12.28515625" style="292" bestFit="1" customWidth="1"/>
    <col min="1286" max="1286" width="18.5703125" style="292" customWidth="1"/>
    <col min="1287" max="1536" width="9.28515625" style="292"/>
    <col min="1537" max="1537" width="33.5703125" style="292" customWidth="1"/>
    <col min="1538" max="1538" width="9.28515625" style="292"/>
    <col min="1539" max="1539" width="7.7109375" style="292" bestFit="1" customWidth="1"/>
    <col min="1540" max="1540" width="44.42578125" style="292" customWidth="1"/>
    <col min="1541" max="1541" width="12.28515625" style="292" bestFit="1" customWidth="1"/>
    <col min="1542" max="1542" width="18.5703125" style="292" customWidth="1"/>
    <col min="1543" max="1792" width="9.28515625" style="292"/>
    <col min="1793" max="1793" width="33.5703125" style="292" customWidth="1"/>
    <col min="1794" max="1794" width="9.28515625" style="292"/>
    <col min="1795" max="1795" width="7.7109375" style="292" bestFit="1" customWidth="1"/>
    <col min="1796" max="1796" width="44.42578125" style="292" customWidth="1"/>
    <col min="1797" max="1797" width="12.28515625" style="292" bestFit="1" customWidth="1"/>
    <col min="1798" max="1798" width="18.5703125" style="292" customWidth="1"/>
    <col min="1799" max="2048" width="9.28515625" style="292"/>
    <col min="2049" max="2049" width="33.5703125" style="292" customWidth="1"/>
    <col min="2050" max="2050" width="9.28515625" style="292"/>
    <col min="2051" max="2051" width="7.7109375" style="292" bestFit="1" customWidth="1"/>
    <col min="2052" max="2052" width="44.42578125" style="292" customWidth="1"/>
    <col min="2053" max="2053" width="12.28515625" style="292" bestFit="1" customWidth="1"/>
    <col min="2054" max="2054" width="18.5703125" style="292" customWidth="1"/>
    <col min="2055" max="2304" width="9.28515625" style="292"/>
    <col min="2305" max="2305" width="33.5703125" style="292" customWidth="1"/>
    <col min="2306" max="2306" width="9.28515625" style="292"/>
    <col min="2307" max="2307" width="7.7109375" style="292" bestFit="1" customWidth="1"/>
    <col min="2308" max="2308" width="44.42578125" style="292" customWidth="1"/>
    <col min="2309" max="2309" width="12.28515625" style="292" bestFit="1" customWidth="1"/>
    <col min="2310" max="2310" width="18.5703125" style="292" customWidth="1"/>
    <col min="2311" max="2560" width="9.28515625" style="292"/>
    <col min="2561" max="2561" width="33.5703125" style="292" customWidth="1"/>
    <col min="2562" max="2562" width="9.28515625" style="292"/>
    <col min="2563" max="2563" width="7.7109375" style="292" bestFit="1" customWidth="1"/>
    <col min="2564" max="2564" width="44.42578125" style="292" customWidth="1"/>
    <col min="2565" max="2565" width="12.28515625" style="292" bestFit="1" customWidth="1"/>
    <col min="2566" max="2566" width="18.5703125" style="292" customWidth="1"/>
    <col min="2567" max="2816" width="9.28515625" style="292"/>
    <col min="2817" max="2817" width="33.5703125" style="292" customWidth="1"/>
    <col min="2818" max="2818" width="9.28515625" style="292"/>
    <col min="2819" max="2819" width="7.7109375" style="292" bestFit="1" customWidth="1"/>
    <col min="2820" max="2820" width="44.42578125" style="292" customWidth="1"/>
    <col min="2821" max="2821" width="12.28515625" style="292" bestFit="1" customWidth="1"/>
    <col min="2822" max="2822" width="18.5703125" style="292" customWidth="1"/>
    <col min="2823" max="3072" width="9.28515625" style="292"/>
    <col min="3073" max="3073" width="33.5703125" style="292" customWidth="1"/>
    <col min="3074" max="3074" width="9.28515625" style="292"/>
    <col min="3075" max="3075" width="7.7109375" style="292" bestFit="1" customWidth="1"/>
    <col min="3076" max="3076" width="44.42578125" style="292" customWidth="1"/>
    <col min="3077" max="3077" width="12.28515625" style="292" bestFit="1" customWidth="1"/>
    <col min="3078" max="3078" width="18.5703125" style="292" customWidth="1"/>
    <col min="3079" max="3328" width="9.28515625" style="292"/>
    <col min="3329" max="3329" width="33.5703125" style="292" customWidth="1"/>
    <col min="3330" max="3330" width="9.28515625" style="292"/>
    <col min="3331" max="3331" width="7.7109375" style="292" bestFit="1" customWidth="1"/>
    <col min="3332" max="3332" width="44.42578125" style="292" customWidth="1"/>
    <col min="3333" max="3333" width="12.28515625" style="292" bestFit="1" customWidth="1"/>
    <col min="3334" max="3334" width="18.5703125" style="292" customWidth="1"/>
    <col min="3335" max="3584" width="9.28515625" style="292"/>
    <col min="3585" max="3585" width="33.5703125" style="292" customWidth="1"/>
    <col min="3586" max="3586" width="9.28515625" style="292"/>
    <col min="3587" max="3587" width="7.7109375" style="292" bestFit="1" customWidth="1"/>
    <col min="3588" max="3588" width="44.42578125" style="292" customWidth="1"/>
    <col min="3589" max="3589" width="12.28515625" style="292" bestFit="1" customWidth="1"/>
    <col min="3590" max="3590" width="18.5703125" style="292" customWidth="1"/>
    <col min="3591" max="3840" width="9.28515625" style="292"/>
    <col min="3841" max="3841" width="33.5703125" style="292" customWidth="1"/>
    <col min="3842" max="3842" width="9.28515625" style="292"/>
    <col min="3843" max="3843" width="7.7109375" style="292" bestFit="1" customWidth="1"/>
    <col min="3844" max="3844" width="44.42578125" style="292" customWidth="1"/>
    <col min="3845" max="3845" width="12.28515625" style="292" bestFit="1" customWidth="1"/>
    <col min="3846" max="3846" width="18.5703125" style="292" customWidth="1"/>
    <col min="3847" max="4096" width="9.28515625" style="292"/>
    <col min="4097" max="4097" width="33.5703125" style="292" customWidth="1"/>
    <col min="4098" max="4098" width="9.28515625" style="292"/>
    <col min="4099" max="4099" width="7.7109375" style="292" bestFit="1" customWidth="1"/>
    <col min="4100" max="4100" width="44.42578125" style="292" customWidth="1"/>
    <col min="4101" max="4101" width="12.28515625" style="292" bestFit="1" customWidth="1"/>
    <col min="4102" max="4102" width="18.5703125" style="292" customWidth="1"/>
    <col min="4103" max="4352" width="9.28515625" style="292"/>
    <col min="4353" max="4353" width="33.5703125" style="292" customWidth="1"/>
    <col min="4354" max="4354" width="9.28515625" style="292"/>
    <col min="4355" max="4355" width="7.7109375" style="292" bestFit="1" customWidth="1"/>
    <col min="4356" max="4356" width="44.42578125" style="292" customWidth="1"/>
    <col min="4357" max="4357" width="12.28515625" style="292" bestFit="1" customWidth="1"/>
    <col min="4358" max="4358" width="18.5703125" style="292" customWidth="1"/>
    <col min="4359" max="4608" width="9.28515625" style="292"/>
    <col min="4609" max="4609" width="33.5703125" style="292" customWidth="1"/>
    <col min="4610" max="4610" width="9.28515625" style="292"/>
    <col min="4611" max="4611" width="7.7109375" style="292" bestFit="1" customWidth="1"/>
    <col min="4612" max="4612" width="44.42578125" style="292" customWidth="1"/>
    <col min="4613" max="4613" width="12.28515625" style="292" bestFit="1" customWidth="1"/>
    <col min="4614" max="4614" width="18.5703125" style="292" customWidth="1"/>
    <col min="4615" max="4864" width="9.28515625" style="292"/>
    <col min="4865" max="4865" width="33.5703125" style="292" customWidth="1"/>
    <col min="4866" max="4866" width="9.28515625" style="292"/>
    <col min="4867" max="4867" width="7.7109375" style="292" bestFit="1" customWidth="1"/>
    <col min="4868" max="4868" width="44.42578125" style="292" customWidth="1"/>
    <col min="4869" max="4869" width="12.28515625" style="292" bestFit="1" customWidth="1"/>
    <col min="4870" max="4870" width="18.5703125" style="292" customWidth="1"/>
    <col min="4871" max="5120" width="9.28515625" style="292"/>
    <col min="5121" max="5121" width="33.5703125" style="292" customWidth="1"/>
    <col min="5122" max="5122" width="9.28515625" style="292"/>
    <col min="5123" max="5123" width="7.7109375" style="292" bestFit="1" customWidth="1"/>
    <col min="5124" max="5124" width="44.42578125" style="292" customWidth="1"/>
    <col min="5125" max="5125" width="12.28515625" style="292" bestFit="1" customWidth="1"/>
    <col min="5126" max="5126" width="18.5703125" style="292" customWidth="1"/>
    <col min="5127" max="5376" width="9.28515625" style="292"/>
    <col min="5377" max="5377" width="33.5703125" style="292" customWidth="1"/>
    <col min="5378" max="5378" width="9.28515625" style="292"/>
    <col min="5379" max="5379" width="7.7109375" style="292" bestFit="1" customWidth="1"/>
    <col min="5380" max="5380" width="44.42578125" style="292" customWidth="1"/>
    <col min="5381" max="5381" width="12.28515625" style="292" bestFit="1" customWidth="1"/>
    <col min="5382" max="5382" width="18.5703125" style="292" customWidth="1"/>
    <col min="5383" max="5632" width="9.28515625" style="292"/>
    <col min="5633" max="5633" width="33.5703125" style="292" customWidth="1"/>
    <col min="5634" max="5634" width="9.28515625" style="292"/>
    <col min="5635" max="5635" width="7.7109375" style="292" bestFit="1" customWidth="1"/>
    <col min="5636" max="5636" width="44.42578125" style="292" customWidth="1"/>
    <col min="5637" max="5637" width="12.28515625" style="292" bestFit="1" customWidth="1"/>
    <col min="5638" max="5638" width="18.5703125" style="292" customWidth="1"/>
    <col min="5639" max="5888" width="9.28515625" style="292"/>
    <col min="5889" max="5889" width="33.5703125" style="292" customWidth="1"/>
    <col min="5890" max="5890" width="9.28515625" style="292"/>
    <col min="5891" max="5891" width="7.7109375" style="292" bestFit="1" customWidth="1"/>
    <col min="5892" max="5892" width="44.42578125" style="292" customWidth="1"/>
    <col min="5893" max="5893" width="12.28515625" style="292" bestFit="1" customWidth="1"/>
    <col min="5894" max="5894" width="18.5703125" style="292" customWidth="1"/>
    <col min="5895" max="6144" width="9.28515625" style="292"/>
    <col min="6145" max="6145" width="33.5703125" style="292" customWidth="1"/>
    <col min="6146" max="6146" width="9.28515625" style="292"/>
    <col min="6147" max="6147" width="7.7109375" style="292" bestFit="1" customWidth="1"/>
    <col min="6148" max="6148" width="44.42578125" style="292" customWidth="1"/>
    <col min="6149" max="6149" width="12.28515625" style="292" bestFit="1" customWidth="1"/>
    <col min="6150" max="6150" width="18.5703125" style="292" customWidth="1"/>
    <col min="6151" max="6400" width="9.28515625" style="292"/>
    <col min="6401" max="6401" width="33.5703125" style="292" customWidth="1"/>
    <col min="6402" max="6402" width="9.28515625" style="292"/>
    <col min="6403" max="6403" width="7.7109375" style="292" bestFit="1" customWidth="1"/>
    <col min="6404" max="6404" width="44.42578125" style="292" customWidth="1"/>
    <col min="6405" max="6405" width="12.28515625" style="292" bestFit="1" customWidth="1"/>
    <col min="6406" max="6406" width="18.5703125" style="292" customWidth="1"/>
    <col min="6407" max="6656" width="9.28515625" style="292"/>
    <col min="6657" max="6657" width="33.5703125" style="292" customWidth="1"/>
    <col min="6658" max="6658" width="9.28515625" style="292"/>
    <col min="6659" max="6659" width="7.7109375" style="292" bestFit="1" customWidth="1"/>
    <col min="6660" max="6660" width="44.42578125" style="292" customWidth="1"/>
    <col min="6661" max="6661" width="12.28515625" style="292" bestFit="1" customWidth="1"/>
    <col min="6662" max="6662" width="18.5703125" style="292" customWidth="1"/>
    <col min="6663" max="6912" width="9.28515625" style="292"/>
    <col min="6913" max="6913" width="33.5703125" style="292" customWidth="1"/>
    <col min="6914" max="6914" width="9.28515625" style="292"/>
    <col min="6915" max="6915" width="7.7109375" style="292" bestFit="1" customWidth="1"/>
    <col min="6916" max="6916" width="44.42578125" style="292" customWidth="1"/>
    <col min="6917" max="6917" width="12.28515625" style="292" bestFit="1" customWidth="1"/>
    <col min="6918" max="6918" width="18.5703125" style="292" customWidth="1"/>
    <col min="6919" max="7168" width="9.28515625" style="292"/>
    <col min="7169" max="7169" width="33.5703125" style="292" customWidth="1"/>
    <col min="7170" max="7170" width="9.28515625" style="292"/>
    <col min="7171" max="7171" width="7.7109375" style="292" bestFit="1" customWidth="1"/>
    <col min="7172" max="7172" width="44.42578125" style="292" customWidth="1"/>
    <col min="7173" max="7173" width="12.28515625" style="292" bestFit="1" customWidth="1"/>
    <col min="7174" max="7174" width="18.5703125" style="292" customWidth="1"/>
    <col min="7175" max="7424" width="9.28515625" style="292"/>
    <col min="7425" max="7425" width="33.5703125" style="292" customWidth="1"/>
    <col min="7426" max="7426" width="9.28515625" style="292"/>
    <col min="7427" max="7427" width="7.7109375" style="292" bestFit="1" customWidth="1"/>
    <col min="7428" max="7428" width="44.42578125" style="292" customWidth="1"/>
    <col min="7429" max="7429" width="12.28515625" style="292" bestFit="1" customWidth="1"/>
    <col min="7430" max="7430" width="18.5703125" style="292" customWidth="1"/>
    <col min="7431" max="7680" width="9.28515625" style="292"/>
    <col min="7681" max="7681" width="33.5703125" style="292" customWidth="1"/>
    <col min="7682" max="7682" width="9.28515625" style="292"/>
    <col min="7683" max="7683" width="7.7109375" style="292" bestFit="1" customWidth="1"/>
    <col min="7684" max="7684" width="44.42578125" style="292" customWidth="1"/>
    <col min="7685" max="7685" width="12.28515625" style="292" bestFit="1" customWidth="1"/>
    <col min="7686" max="7686" width="18.5703125" style="292" customWidth="1"/>
    <col min="7687" max="7936" width="9.28515625" style="292"/>
    <col min="7937" max="7937" width="33.5703125" style="292" customWidth="1"/>
    <col min="7938" max="7938" width="9.28515625" style="292"/>
    <col min="7939" max="7939" width="7.7109375" style="292" bestFit="1" customWidth="1"/>
    <col min="7940" max="7940" width="44.42578125" style="292" customWidth="1"/>
    <col min="7941" max="7941" width="12.28515625" style="292" bestFit="1" customWidth="1"/>
    <col min="7942" max="7942" width="18.5703125" style="292" customWidth="1"/>
    <col min="7943" max="8192" width="9.28515625" style="292"/>
    <col min="8193" max="8193" width="33.5703125" style="292" customWidth="1"/>
    <col min="8194" max="8194" width="9.28515625" style="292"/>
    <col min="8195" max="8195" width="7.7109375" style="292" bestFit="1" customWidth="1"/>
    <col min="8196" max="8196" width="44.42578125" style="292" customWidth="1"/>
    <col min="8197" max="8197" width="12.28515625" style="292" bestFit="1" customWidth="1"/>
    <col min="8198" max="8198" width="18.5703125" style="292" customWidth="1"/>
    <col min="8199" max="8448" width="9.28515625" style="292"/>
    <col min="8449" max="8449" width="33.5703125" style="292" customWidth="1"/>
    <col min="8450" max="8450" width="9.28515625" style="292"/>
    <col min="8451" max="8451" width="7.7109375" style="292" bestFit="1" customWidth="1"/>
    <col min="8452" max="8452" width="44.42578125" style="292" customWidth="1"/>
    <col min="8453" max="8453" width="12.28515625" style="292" bestFit="1" customWidth="1"/>
    <col min="8454" max="8454" width="18.5703125" style="292" customWidth="1"/>
    <col min="8455" max="8704" width="9.28515625" style="292"/>
    <col min="8705" max="8705" width="33.5703125" style="292" customWidth="1"/>
    <col min="8706" max="8706" width="9.28515625" style="292"/>
    <col min="8707" max="8707" width="7.7109375" style="292" bestFit="1" customWidth="1"/>
    <col min="8708" max="8708" width="44.42578125" style="292" customWidth="1"/>
    <col min="8709" max="8709" width="12.28515625" style="292" bestFit="1" customWidth="1"/>
    <col min="8710" max="8710" width="18.5703125" style="292" customWidth="1"/>
    <col min="8711" max="8960" width="9.28515625" style="292"/>
    <col min="8961" max="8961" width="33.5703125" style="292" customWidth="1"/>
    <col min="8962" max="8962" width="9.28515625" style="292"/>
    <col min="8963" max="8963" width="7.7109375" style="292" bestFit="1" customWidth="1"/>
    <col min="8964" max="8964" width="44.42578125" style="292" customWidth="1"/>
    <col min="8965" max="8965" width="12.28515625" style="292" bestFit="1" customWidth="1"/>
    <col min="8966" max="8966" width="18.5703125" style="292" customWidth="1"/>
    <col min="8967" max="9216" width="9.28515625" style="292"/>
    <col min="9217" max="9217" width="33.5703125" style="292" customWidth="1"/>
    <col min="9218" max="9218" width="9.28515625" style="292"/>
    <col min="9219" max="9219" width="7.7109375" style="292" bestFit="1" customWidth="1"/>
    <col min="9220" max="9220" width="44.42578125" style="292" customWidth="1"/>
    <col min="9221" max="9221" width="12.28515625" style="292" bestFit="1" customWidth="1"/>
    <col min="9222" max="9222" width="18.5703125" style="292" customWidth="1"/>
    <col min="9223" max="9472" width="9.28515625" style="292"/>
    <col min="9473" max="9473" width="33.5703125" style="292" customWidth="1"/>
    <col min="9474" max="9474" width="9.28515625" style="292"/>
    <col min="9475" max="9475" width="7.7109375" style="292" bestFit="1" customWidth="1"/>
    <col min="9476" max="9476" width="44.42578125" style="292" customWidth="1"/>
    <col min="9477" max="9477" width="12.28515625" style="292" bestFit="1" customWidth="1"/>
    <col min="9478" max="9478" width="18.5703125" style="292" customWidth="1"/>
    <col min="9479" max="9728" width="9.28515625" style="292"/>
    <col min="9729" max="9729" width="33.5703125" style="292" customWidth="1"/>
    <col min="9730" max="9730" width="9.28515625" style="292"/>
    <col min="9731" max="9731" width="7.7109375" style="292" bestFit="1" customWidth="1"/>
    <col min="9732" max="9732" width="44.42578125" style="292" customWidth="1"/>
    <col min="9733" max="9733" width="12.28515625" style="292" bestFit="1" customWidth="1"/>
    <col min="9734" max="9734" width="18.5703125" style="292" customWidth="1"/>
    <col min="9735" max="9984" width="9.28515625" style="292"/>
    <col min="9985" max="9985" width="33.5703125" style="292" customWidth="1"/>
    <col min="9986" max="9986" width="9.28515625" style="292"/>
    <col min="9987" max="9987" width="7.7109375" style="292" bestFit="1" customWidth="1"/>
    <col min="9988" max="9988" width="44.42578125" style="292" customWidth="1"/>
    <col min="9989" max="9989" width="12.28515625" style="292" bestFit="1" customWidth="1"/>
    <col min="9990" max="9990" width="18.5703125" style="292" customWidth="1"/>
    <col min="9991" max="10240" width="9.28515625" style="292"/>
    <col min="10241" max="10241" width="33.5703125" style="292" customWidth="1"/>
    <col min="10242" max="10242" width="9.28515625" style="292"/>
    <col min="10243" max="10243" width="7.7109375" style="292" bestFit="1" customWidth="1"/>
    <col min="10244" max="10244" width="44.42578125" style="292" customWidth="1"/>
    <col min="10245" max="10245" width="12.28515625" style="292" bestFit="1" customWidth="1"/>
    <col min="10246" max="10246" width="18.5703125" style="292" customWidth="1"/>
    <col min="10247" max="10496" width="9.28515625" style="292"/>
    <col min="10497" max="10497" width="33.5703125" style="292" customWidth="1"/>
    <col min="10498" max="10498" width="9.28515625" style="292"/>
    <col min="10499" max="10499" width="7.7109375" style="292" bestFit="1" customWidth="1"/>
    <col min="10500" max="10500" width="44.42578125" style="292" customWidth="1"/>
    <col min="10501" max="10501" width="12.28515625" style="292" bestFit="1" customWidth="1"/>
    <col min="10502" max="10502" width="18.5703125" style="292" customWidth="1"/>
    <col min="10503" max="10752" width="9.28515625" style="292"/>
    <col min="10753" max="10753" width="33.5703125" style="292" customWidth="1"/>
    <col min="10754" max="10754" width="9.28515625" style="292"/>
    <col min="10755" max="10755" width="7.7109375" style="292" bestFit="1" customWidth="1"/>
    <col min="10756" max="10756" width="44.42578125" style="292" customWidth="1"/>
    <col min="10757" max="10757" width="12.28515625" style="292" bestFit="1" customWidth="1"/>
    <col min="10758" max="10758" width="18.5703125" style="292" customWidth="1"/>
    <col min="10759" max="11008" width="9.28515625" style="292"/>
    <col min="11009" max="11009" width="33.5703125" style="292" customWidth="1"/>
    <col min="11010" max="11010" width="9.28515625" style="292"/>
    <col min="11011" max="11011" width="7.7109375" style="292" bestFit="1" customWidth="1"/>
    <col min="11012" max="11012" width="44.42578125" style="292" customWidth="1"/>
    <col min="11013" max="11013" width="12.28515625" style="292" bestFit="1" customWidth="1"/>
    <col min="11014" max="11014" width="18.5703125" style="292" customWidth="1"/>
    <col min="11015" max="11264" width="9.28515625" style="292"/>
    <col min="11265" max="11265" width="33.5703125" style="292" customWidth="1"/>
    <col min="11266" max="11266" width="9.28515625" style="292"/>
    <col min="11267" max="11267" width="7.7109375" style="292" bestFit="1" customWidth="1"/>
    <col min="11268" max="11268" width="44.42578125" style="292" customWidth="1"/>
    <col min="11269" max="11269" width="12.28515625" style="292" bestFit="1" customWidth="1"/>
    <col min="11270" max="11270" width="18.5703125" style="292" customWidth="1"/>
    <col min="11271" max="11520" width="9.28515625" style="292"/>
    <col min="11521" max="11521" width="33.5703125" style="292" customWidth="1"/>
    <col min="11522" max="11522" width="9.28515625" style="292"/>
    <col min="11523" max="11523" width="7.7109375" style="292" bestFit="1" customWidth="1"/>
    <col min="11524" max="11524" width="44.42578125" style="292" customWidth="1"/>
    <col min="11525" max="11525" width="12.28515625" style="292" bestFit="1" customWidth="1"/>
    <col min="11526" max="11526" width="18.5703125" style="292" customWidth="1"/>
    <col min="11527" max="11776" width="9.28515625" style="292"/>
    <col min="11777" max="11777" width="33.5703125" style="292" customWidth="1"/>
    <col min="11778" max="11778" width="9.28515625" style="292"/>
    <col min="11779" max="11779" width="7.7109375" style="292" bestFit="1" customWidth="1"/>
    <col min="11780" max="11780" width="44.42578125" style="292" customWidth="1"/>
    <col min="11781" max="11781" width="12.28515625" style="292" bestFit="1" customWidth="1"/>
    <col min="11782" max="11782" width="18.5703125" style="292" customWidth="1"/>
    <col min="11783" max="12032" width="9.28515625" style="292"/>
    <col min="12033" max="12033" width="33.5703125" style="292" customWidth="1"/>
    <col min="12034" max="12034" width="9.28515625" style="292"/>
    <col min="12035" max="12035" width="7.7109375" style="292" bestFit="1" customWidth="1"/>
    <col min="12036" max="12036" width="44.42578125" style="292" customWidth="1"/>
    <col min="12037" max="12037" width="12.28515625" style="292" bestFit="1" customWidth="1"/>
    <col min="12038" max="12038" width="18.5703125" style="292" customWidth="1"/>
    <col min="12039" max="12288" width="9.28515625" style="292"/>
    <col min="12289" max="12289" width="33.5703125" style="292" customWidth="1"/>
    <col min="12290" max="12290" width="9.28515625" style="292"/>
    <col min="12291" max="12291" width="7.7109375" style="292" bestFit="1" customWidth="1"/>
    <col min="12292" max="12292" width="44.42578125" style="292" customWidth="1"/>
    <col min="12293" max="12293" width="12.28515625" style="292" bestFit="1" customWidth="1"/>
    <col min="12294" max="12294" width="18.5703125" style="292" customWidth="1"/>
    <col min="12295" max="12544" width="9.28515625" style="292"/>
    <col min="12545" max="12545" width="33.5703125" style="292" customWidth="1"/>
    <col min="12546" max="12546" width="9.28515625" style="292"/>
    <col min="12547" max="12547" width="7.7109375" style="292" bestFit="1" customWidth="1"/>
    <col min="12548" max="12548" width="44.42578125" style="292" customWidth="1"/>
    <col min="12549" max="12549" width="12.28515625" style="292" bestFit="1" customWidth="1"/>
    <col min="12550" max="12550" width="18.5703125" style="292" customWidth="1"/>
    <col min="12551" max="12800" width="9.28515625" style="292"/>
    <col min="12801" max="12801" width="33.5703125" style="292" customWidth="1"/>
    <col min="12802" max="12802" width="9.28515625" style="292"/>
    <col min="12803" max="12803" width="7.7109375" style="292" bestFit="1" customWidth="1"/>
    <col min="12804" max="12804" width="44.42578125" style="292" customWidth="1"/>
    <col min="12805" max="12805" width="12.28515625" style="292" bestFit="1" customWidth="1"/>
    <col min="12806" max="12806" width="18.5703125" style="292" customWidth="1"/>
    <col min="12807" max="13056" width="9.28515625" style="292"/>
    <col min="13057" max="13057" width="33.5703125" style="292" customWidth="1"/>
    <col min="13058" max="13058" width="9.28515625" style="292"/>
    <col min="13059" max="13059" width="7.7109375" style="292" bestFit="1" customWidth="1"/>
    <col min="13060" max="13060" width="44.42578125" style="292" customWidth="1"/>
    <col min="13061" max="13061" width="12.28515625" style="292" bestFit="1" customWidth="1"/>
    <col min="13062" max="13062" width="18.5703125" style="292" customWidth="1"/>
    <col min="13063" max="13312" width="9.28515625" style="292"/>
    <col min="13313" max="13313" width="33.5703125" style="292" customWidth="1"/>
    <col min="13314" max="13314" width="9.28515625" style="292"/>
    <col min="13315" max="13315" width="7.7109375" style="292" bestFit="1" customWidth="1"/>
    <col min="13316" max="13316" width="44.42578125" style="292" customWidth="1"/>
    <col min="13317" max="13317" width="12.28515625" style="292" bestFit="1" customWidth="1"/>
    <col min="13318" max="13318" width="18.5703125" style="292" customWidth="1"/>
    <col min="13319" max="13568" width="9.28515625" style="292"/>
    <col min="13569" max="13569" width="33.5703125" style="292" customWidth="1"/>
    <col min="13570" max="13570" width="9.28515625" style="292"/>
    <col min="13571" max="13571" width="7.7109375" style="292" bestFit="1" customWidth="1"/>
    <col min="13572" max="13572" width="44.42578125" style="292" customWidth="1"/>
    <col min="13573" max="13573" width="12.28515625" style="292" bestFit="1" customWidth="1"/>
    <col min="13574" max="13574" width="18.5703125" style="292" customWidth="1"/>
    <col min="13575" max="13824" width="9.28515625" style="292"/>
    <col min="13825" max="13825" width="33.5703125" style="292" customWidth="1"/>
    <col min="13826" max="13826" width="9.28515625" style="292"/>
    <col min="13827" max="13827" width="7.7109375" style="292" bestFit="1" customWidth="1"/>
    <col min="13828" max="13828" width="44.42578125" style="292" customWidth="1"/>
    <col min="13829" max="13829" width="12.28515625" style="292" bestFit="1" customWidth="1"/>
    <col min="13830" max="13830" width="18.5703125" style="292" customWidth="1"/>
    <col min="13831" max="14080" width="9.28515625" style="292"/>
    <col min="14081" max="14081" width="33.5703125" style="292" customWidth="1"/>
    <col min="14082" max="14082" width="9.28515625" style="292"/>
    <col min="14083" max="14083" width="7.7109375" style="292" bestFit="1" customWidth="1"/>
    <col min="14084" max="14084" width="44.42578125" style="292" customWidth="1"/>
    <col min="14085" max="14085" width="12.28515625" style="292" bestFit="1" customWidth="1"/>
    <col min="14086" max="14086" width="18.5703125" style="292" customWidth="1"/>
    <col min="14087" max="14336" width="9.28515625" style="292"/>
    <col min="14337" max="14337" width="33.5703125" style="292" customWidth="1"/>
    <col min="14338" max="14338" width="9.28515625" style="292"/>
    <col min="14339" max="14339" width="7.7109375" style="292" bestFit="1" customWidth="1"/>
    <col min="14340" max="14340" width="44.42578125" style="292" customWidth="1"/>
    <col min="14341" max="14341" width="12.28515625" style="292" bestFit="1" customWidth="1"/>
    <col min="14342" max="14342" width="18.5703125" style="292" customWidth="1"/>
    <col min="14343" max="14592" width="9.28515625" style="292"/>
    <col min="14593" max="14593" width="33.5703125" style="292" customWidth="1"/>
    <col min="14594" max="14594" width="9.28515625" style="292"/>
    <col min="14595" max="14595" width="7.7109375" style="292" bestFit="1" customWidth="1"/>
    <col min="14596" max="14596" width="44.42578125" style="292" customWidth="1"/>
    <col min="14597" max="14597" width="12.28515625" style="292" bestFit="1" customWidth="1"/>
    <col min="14598" max="14598" width="18.5703125" style="292" customWidth="1"/>
    <col min="14599" max="14848" width="9.28515625" style="292"/>
    <col min="14849" max="14849" width="33.5703125" style="292" customWidth="1"/>
    <col min="14850" max="14850" width="9.28515625" style="292"/>
    <col min="14851" max="14851" width="7.7109375" style="292" bestFit="1" customWidth="1"/>
    <col min="14852" max="14852" width="44.42578125" style="292" customWidth="1"/>
    <col min="14853" max="14853" width="12.28515625" style="292" bestFit="1" customWidth="1"/>
    <col min="14854" max="14854" width="18.5703125" style="292" customWidth="1"/>
    <col min="14855" max="15104" width="9.28515625" style="292"/>
    <col min="15105" max="15105" width="33.5703125" style="292" customWidth="1"/>
    <col min="15106" max="15106" width="9.28515625" style="292"/>
    <col min="15107" max="15107" width="7.7109375" style="292" bestFit="1" customWidth="1"/>
    <col min="15108" max="15108" width="44.42578125" style="292" customWidth="1"/>
    <col min="15109" max="15109" width="12.28515625" style="292" bestFit="1" customWidth="1"/>
    <col min="15110" max="15110" width="18.5703125" style="292" customWidth="1"/>
    <col min="15111" max="15360" width="9.28515625" style="292"/>
    <col min="15361" max="15361" width="33.5703125" style="292" customWidth="1"/>
    <col min="15362" max="15362" width="9.28515625" style="292"/>
    <col min="15363" max="15363" width="7.7109375" style="292" bestFit="1" customWidth="1"/>
    <col min="15364" max="15364" width="44.42578125" style="292" customWidth="1"/>
    <col min="15365" max="15365" width="12.28515625" style="292" bestFit="1" customWidth="1"/>
    <col min="15366" max="15366" width="18.5703125" style="292" customWidth="1"/>
    <col min="15367" max="15616" width="9.28515625" style="292"/>
    <col min="15617" max="15617" width="33.5703125" style="292" customWidth="1"/>
    <col min="15618" max="15618" width="9.28515625" style="292"/>
    <col min="15619" max="15619" width="7.7109375" style="292" bestFit="1" customWidth="1"/>
    <col min="15620" max="15620" width="44.42578125" style="292" customWidth="1"/>
    <col min="15621" max="15621" width="12.28515625" style="292" bestFit="1" customWidth="1"/>
    <col min="15622" max="15622" width="18.5703125" style="292" customWidth="1"/>
    <col min="15623" max="15872" width="9.28515625" style="292"/>
    <col min="15873" max="15873" width="33.5703125" style="292" customWidth="1"/>
    <col min="15874" max="15874" width="9.28515625" style="292"/>
    <col min="15875" max="15875" width="7.7109375" style="292" bestFit="1" customWidth="1"/>
    <col min="15876" max="15876" width="44.42578125" style="292" customWidth="1"/>
    <col min="15877" max="15877" width="12.28515625" style="292" bestFit="1" customWidth="1"/>
    <col min="15878" max="15878" width="18.5703125" style="292" customWidth="1"/>
    <col min="15879" max="16128" width="9.28515625" style="292"/>
    <col min="16129" max="16129" width="33.5703125" style="292" customWidth="1"/>
    <col min="16130" max="16130" width="9.28515625" style="292"/>
    <col min="16131" max="16131" width="7.7109375" style="292" bestFit="1" customWidth="1"/>
    <col min="16132" max="16132" width="44.42578125" style="292" customWidth="1"/>
    <col min="16133" max="16133" width="12.28515625" style="292" bestFit="1" customWidth="1"/>
    <col min="16134" max="16134" width="18.5703125" style="292" customWidth="1"/>
    <col min="16135" max="16384" width="9.28515625" style="292"/>
  </cols>
  <sheetData>
    <row r="1" spans="1:28" x14ac:dyDescent="0.2">
      <c r="A1" s="292" t="s">
        <v>470</v>
      </c>
      <c r="K1" s="293">
        <v>1</v>
      </c>
      <c r="AB1" s="301" t="e">
        <f ca="1">_xll.ciqfunctions.udf.CIQ("3304","iq_ev_over_ltm_ebitda")</f>
        <v>#NAME?</v>
      </c>
    </row>
    <row r="2" spans="1:28" x14ac:dyDescent="0.2">
      <c r="A2" s="292" t="s">
        <v>469</v>
      </c>
      <c r="K2" s="293">
        <f>K1+1</f>
        <v>2</v>
      </c>
    </row>
    <row r="3" spans="1:28" x14ac:dyDescent="0.2">
      <c r="A3" s="292" t="s">
        <v>468</v>
      </c>
      <c r="K3" s="293">
        <f>K2+1</f>
        <v>3</v>
      </c>
    </row>
    <row r="4" spans="1:28" x14ac:dyDescent="0.2">
      <c r="A4" s="292" t="s">
        <v>467</v>
      </c>
      <c r="K4" s="293">
        <f>K3+1</f>
        <v>4</v>
      </c>
    </row>
    <row r="5" spans="1:28" x14ac:dyDescent="0.2">
      <c r="K5" s="293">
        <f>K4+1</f>
        <v>5</v>
      </c>
    </row>
    <row r="6" spans="1:28" x14ac:dyDescent="0.2">
      <c r="A6" s="292" t="s">
        <v>466</v>
      </c>
    </row>
    <row r="7" spans="1:28" ht="25.5" customHeight="1" x14ac:dyDescent="0.2">
      <c r="A7" s="439" t="s">
        <v>465</v>
      </c>
      <c r="B7" s="439"/>
      <c r="C7" s="439"/>
      <c r="D7" s="439"/>
      <c r="E7" s="439"/>
      <c r="F7" s="439"/>
    </row>
    <row r="8" spans="1:28" ht="32.1" customHeight="1" x14ac:dyDescent="0.55000000000000004">
      <c r="A8" s="300" t="s">
        <v>464</v>
      </c>
      <c r="B8" s="300"/>
      <c r="C8" s="299"/>
      <c r="D8" s="299"/>
      <c r="E8" s="299"/>
      <c r="F8" s="299"/>
      <c r="I8" s="292"/>
      <c r="J8" s="292"/>
      <c r="K8" s="292"/>
      <c r="L8" s="292"/>
      <c r="M8" s="292"/>
      <c r="N8" s="292"/>
      <c r="O8" s="292"/>
      <c r="P8" s="292"/>
      <c r="Q8" s="292"/>
      <c r="R8" s="292"/>
      <c r="S8" s="292"/>
    </row>
    <row r="9" spans="1:28" x14ac:dyDescent="0.2">
      <c r="I9" s="292"/>
      <c r="J9" s="292"/>
      <c r="K9" s="292"/>
      <c r="L9" s="292"/>
      <c r="M9" s="292"/>
      <c r="N9" s="292"/>
      <c r="O9" s="292"/>
      <c r="P9" s="292"/>
      <c r="Q9" s="292"/>
      <c r="R9" s="292"/>
      <c r="S9" s="292"/>
    </row>
    <row r="10" spans="1:28" x14ac:dyDescent="0.2">
      <c r="A10" s="298"/>
      <c r="B10" s="298" t="s">
        <v>463</v>
      </c>
      <c r="C10" s="298" t="s">
        <v>462</v>
      </c>
      <c r="D10" s="298"/>
      <c r="E10" s="298"/>
      <c r="F10" s="298"/>
      <c r="I10" s="292"/>
      <c r="J10" s="292"/>
      <c r="K10" s="292"/>
      <c r="L10" s="292"/>
      <c r="M10" s="292"/>
      <c r="N10" s="292"/>
      <c r="O10" s="292"/>
      <c r="P10" s="292"/>
      <c r="Q10" s="292"/>
      <c r="R10" s="292"/>
      <c r="S10" s="292"/>
    </row>
    <row r="11" spans="1:28" x14ac:dyDescent="0.2">
      <c r="A11" s="297" t="s">
        <v>461</v>
      </c>
      <c r="B11" s="297" t="s">
        <v>460</v>
      </c>
      <c r="C11" s="297" t="s">
        <v>459</v>
      </c>
      <c r="D11" s="297" t="s">
        <v>458</v>
      </c>
      <c r="E11" s="297" t="s">
        <v>457</v>
      </c>
      <c r="F11" s="297" t="s">
        <v>23</v>
      </c>
      <c r="I11" s="292"/>
      <c r="J11" s="292">
        <f>I11+1</f>
        <v>1</v>
      </c>
      <c r="K11" s="292">
        <f>J11+1</f>
        <v>2</v>
      </c>
      <c r="L11" s="292">
        <f>K11+1</f>
        <v>3</v>
      </c>
      <c r="M11" s="292">
        <f>L11+1</f>
        <v>4</v>
      </c>
      <c r="N11" s="292">
        <f>M11+1</f>
        <v>5</v>
      </c>
      <c r="P11" s="293">
        <f>O11+1</f>
        <v>1</v>
      </c>
      <c r="Q11" s="293">
        <f>P11+1</f>
        <v>2</v>
      </c>
      <c r="R11" s="293">
        <f>Q11+1</f>
        <v>3</v>
      </c>
      <c r="S11" s="293">
        <f>R11+1</f>
        <v>4</v>
      </c>
      <c r="T11" s="293">
        <f>S11+1</f>
        <v>5</v>
      </c>
    </row>
    <row r="12" spans="1:28" hidden="1" outlineLevel="1" x14ac:dyDescent="0.2">
      <c r="A12" s="295" t="s">
        <v>456</v>
      </c>
      <c r="B12" s="296" t="e">
        <f ca="1">IF(I12="","",IFERROR(MATCH(A12,$J12:N12,0),"NO"))</f>
        <v>#NAME?</v>
      </c>
      <c r="C12" s="295">
        <v>1</v>
      </c>
      <c r="D12" s="292" t="str">
        <f t="shared" ref="D12:D29" si="0">IF(INDEX($J12:$N12,,MATCH($C12,$J$11:$N$11,0))=0,"No Result",INDEX($J12:$N12,,MATCH($C12,$J$11:$N$11,0)))</f>
        <v>No Result</v>
      </c>
      <c r="E12" s="292" t="str">
        <f t="shared" ref="E12:E29" si="1">IF(INDEX($P12:$T12,,MATCH($C12,$P$11:$T$11,0))=0,"",INDEX($P12:$T12,,MATCH($C12,$P$11:$T$11,0)))</f>
        <v/>
      </c>
      <c r="F12" s="294" t="e">
        <f ca="1">IF(OR(_xll.ciqfunctions.udf.CIQ($E12,"IQ_COMPANY_TICKER")=0,_xll.ciqfunctions.udf.CIQ($E12,"IQ_COMPANY_TICKER")="(Invalid Identifier)"),"-",_xll.ciqfunctions.udf.CIQ($E12,"IQ_COMPANY_TICKER"))</f>
        <v>#NAME?</v>
      </c>
      <c r="I12" s="292" t="e">
        <f ca="1">_xll.ciqfunctions.udf.CIQRANGEA($A12,"IQ_COMPANY_NAME_QUICK_MATCH",1,5,,,,,,,"NAME")</f>
        <v>#NAME?</v>
      </c>
      <c r="J12" s="292"/>
      <c r="K12" s="292"/>
      <c r="L12" s="292"/>
      <c r="M12" s="292"/>
      <c r="O12" s="293" t="e">
        <f ca="1">_xll.ciqfunctions.udf.CIQRANGEA($A12,"IQ_COMPANY_ID_QUICK_MATCH",1,5,,,,,,,"ID")</f>
        <v>#NAME?</v>
      </c>
      <c r="T12" s="293"/>
    </row>
    <row r="13" spans="1:28" collapsed="1" x14ac:dyDescent="0.2">
      <c r="A13" s="295" t="s">
        <v>455</v>
      </c>
      <c r="B13" s="296" t="e">
        <f ca="1">IF(I13="","",IFERROR(MATCH(A13,$J13:N13,0),"NO"))</f>
        <v>#NAME?</v>
      </c>
      <c r="C13" s="295">
        <v>1</v>
      </c>
      <c r="D13" s="292" t="str">
        <f t="shared" si="0"/>
        <v>KKR &amp; Co. Inc.</v>
      </c>
      <c r="E13" s="292" t="str">
        <f t="shared" si="1"/>
        <v>IQ21401</v>
      </c>
      <c r="F13" s="294" t="e">
        <f ca="1">IF(OR(_xll.ciqfunctions.udf.CIQ($E13,"IQ_COMPANY_TICKER")=0,_xll.ciqfunctions.udf.CIQ($E13,"IQ_COMPANY_TICKER")="(Invalid Identifier)"),"-",_xll.ciqfunctions.udf.CIQ($E13,"IQ_COMPANY_TICKER"))</f>
        <v>#NAME?</v>
      </c>
      <c r="I13" s="292" t="e">
        <f ca="1">_xll.ciqfunctions.udf.CIQRANGEA($A13,"IQ_COMPANY_NAME_QUICK_MATCH",1,5,,,,,,,"NAME")</f>
        <v>#NAME?</v>
      </c>
      <c r="J13" s="292" t="s">
        <v>36</v>
      </c>
      <c r="K13" s="292" t="s">
        <v>454</v>
      </c>
      <c r="L13" s="292" t="s">
        <v>453</v>
      </c>
      <c r="M13" s="292" t="s">
        <v>452</v>
      </c>
      <c r="N13" s="293" t="s">
        <v>451</v>
      </c>
      <c r="O13" s="293" t="e">
        <f ca="1">_xll.ciqfunctions.udf.CIQRANGEA($A13,"IQ_COMPANY_ID_QUICK_MATCH",1,5,,,,,,,"ID")</f>
        <v>#NAME?</v>
      </c>
      <c r="P13" s="293" t="s">
        <v>248</v>
      </c>
      <c r="Q13" s="293" t="s">
        <v>450</v>
      </c>
      <c r="R13" s="293" t="s">
        <v>449</v>
      </c>
      <c r="S13" s="293" t="s">
        <v>448</v>
      </c>
      <c r="T13" s="293" t="s">
        <v>447</v>
      </c>
    </row>
    <row r="14" spans="1:28" x14ac:dyDescent="0.2">
      <c r="A14" s="295" t="s">
        <v>199</v>
      </c>
      <c r="B14" s="296" t="e">
        <f ca="1">IF(I14="","",IFERROR(MATCH(A14,$J14:N14,0),"NO"))</f>
        <v>#NAME?</v>
      </c>
      <c r="C14" s="295">
        <v>1</v>
      </c>
      <c r="D14" s="292" t="str">
        <f t="shared" si="0"/>
        <v>Apollo Global Management, Inc.</v>
      </c>
      <c r="E14" s="292" t="str">
        <f t="shared" si="1"/>
        <v>IQ18833</v>
      </c>
      <c r="F14" s="294" t="e">
        <f ca="1">IF(OR(_xll.ciqfunctions.udf.CIQ($E14,"IQ_COMPANY_TICKER")=0,_xll.ciqfunctions.udf.CIQ($E14,"IQ_COMPANY_TICKER")="(Invalid Identifier)"),"-",_xll.ciqfunctions.udf.CIQ($E14,"IQ_COMPANY_TICKER"))</f>
        <v>#NAME?</v>
      </c>
      <c r="I14" s="292" t="e">
        <f ca="1">_xll.ciqfunctions.udf.CIQRANGEA($A14,"IQ_COMPANY_NAME_QUICK_MATCH",1,5,,,,,,,"NAME")</f>
        <v>#NAME?</v>
      </c>
      <c r="J14" s="292" t="s">
        <v>245</v>
      </c>
      <c r="K14" s="292" t="s">
        <v>446</v>
      </c>
      <c r="L14" s="292" t="s">
        <v>445</v>
      </c>
      <c r="M14" s="292" t="s">
        <v>444</v>
      </c>
      <c r="N14" s="293" t="s">
        <v>443</v>
      </c>
      <c r="O14" s="293" t="e">
        <f ca="1">_xll.ciqfunctions.udf.CIQRANGEA($A14,"IQ_COMPANY_ID_QUICK_MATCH",1,5,,,,,,,"ID")</f>
        <v>#NAME?</v>
      </c>
      <c r="P14" s="293" t="s">
        <v>240</v>
      </c>
      <c r="Q14" s="293" t="s">
        <v>442</v>
      </c>
      <c r="R14" s="293" t="s">
        <v>441</v>
      </c>
      <c r="S14" s="293" t="s">
        <v>440</v>
      </c>
      <c r="T14" s="293" t="s">
        <v>439</v>
      </c>
    </row>
    <row r="15" spans="1:28" x14ac:dyDescent="0.2">
      <c r="A15" s="295" t="s">
        <v>438</v>
      </c>
      <c r="B15" s="296" t="e">
        <f ca="1">IF(I15="","",IFERROR(MATCH(A15,$J15:N15,0),"NO"))</f>
        <v>#NAME?</v>
      </c>
      <c r="C15" s="295">
        <v>1</v>
      </c>
      <c r="D15" s="292" t="str">
        <f t="shared" si="0"/>
        <v>Ares Capital Corporation</v>
      </c>
      <c r="E15" s="292" t="str">
        <f t="shared" si="1"/>
        <v>IQ9771238</v>
      </c>
      <c r="F15" s="294" t="e">
        <f ca="1">IF(OR(_xll.ciqfunctions.udf.CIQ($E15,"IQ_COMPANY_TICKER")=0,_xll.ciqfunctions.udf.CIQ($E15,"IQ_COMPANY_TICKER")="(Invalid Identifier)"),"-",_xll.ciqfunctions.udf.CIQ($E15,"IQ_COMPANY_TICKER"))</f>
        <v>#NAME?</v>
      </c>
      <c r="I15" s="292" t="e">
        <f ca="1">_xll.ciqfunctions.udf.CIQRANGEA($A15,"IQ_COMPANY_NAME_QUICK_MATCH",1,5,,,,,,,"NAME")</f>
        <v>#NAME?</v>
      </c>
      <c r="J15" s="292" t="s">
        <v>438</v>
      </c>
      <c r="K15" s="292" t="s">
        <v>437</v>
      </c>
      <c r="L15" s="292" t="s">
        <v>436</v>
      </c>
      <c r="M15" s="292" t="s">
        <v>435</v>
      </c>
      <c r="N15" s="293" t="s">
        <v>434</v>
      </c>
      <c r="O15" s="293" t="e">
        <f ca="1">_xll.ciqfunctions.udf.CIQRANGEA($A15,"IQ_COMPANY_ID_QUICK_MATCH",1,5,,,,,,,"ID")</f>
        <v>#NAME?</v>
      </c>
      <c r="P15" s="293" t="s">
        <v>433</v>
      </c>
      <c r="Q15" s="293" t="s">
        <v>432</v>
      </c>
      <c r="R15" s="293" t="s">
        <v>431</v>
      </c>
      <c r="S15" s="293" t="s">
        <v>430</v>
      </c>
      <c r="T15" s="293" t="s">
        <v>429</v>
      </c>
    </row>
    <row r="16" spans="1:28" x14ac:dyDescent="0.2">
      <c r="A16" s="295" t="s">
        <v>24</v>
      </c>
      <c r="B16" s="296" t="e">
        <f ca="1">IF(I16="","",IFERROR(MATCH(A16,$J16:N16,0),"NO"))</f>
        <v>#NAME?</v>
      </c>
      <c r="C16" s="295">
        <v>1</v>
      </c>
      <c r="D16" s="292" t="str">
        <f t="shared" si="0"/>
        <v>Blackstone Inc.</v>
      </c>
      <c r="E16" s="292" t="str">
        <f t="shared" si="1"/>
        <v>IQ671980</v>
      </c>
      <c r="F16" s="294" t="e">
        <f ca="1">IF(OR(_xll.ciqfunctions.udf.CIQ($E16,"IQ_COMPANY_TICKER")=0,_xll.ciqfunctions.udf.CIQ($E16,"IQ_COMPANY_TICKER")="(Invalid Identifier)"),"-",_xll.ciqfunctions.udf.CIQ($E16,"IQ_COMPANY_TICKER"))</f>
        <v>#NAME?</v>
      </c>
      <c r="I16" s="292" t="e">
        <f ca="1">_xll.ciqfunctions.udf.CIQRANGEA($A16,"IQ_COMPANY_NAME_QUICK_MATCH",1,5,,,,,,,"NAME")</f>
        <v>#NAME?</v>
      </c>
      <c r="J16" s="292" t="s">
        <v>273</v>
      </c>
      <c r="K16" s="292" t="s">
        <v>428</v>
      </c>
      <c r="L16" s="292" t="s">
        <v>427</v>
      </c>
      <c r="M16" s="292" t="s">
        <v>426</v>
      </c>
      <c r="N16" s="293" t="s">
        <v>425</v>
      </c>
      <c r="O16" s="293" t="e">
        <f ca="1">_xll.ciqfunctions.udf.CIQRANGEA($A16,"IQ_COMPANY_ID_QUICK_MATCH",1,5,,,,,,,"ID")</f>
        <v>#NAME?</v>
      </c>
      <c r="P16" s="293" t="s">
        <v>223</v>
      </c>
      <c r="Q16" s="293" t="s">
        <v>424</v>
      </c>
      <c r="R16" s="293" t="s">
        <v>423</v>
      </c>
      <c r="S16" s="293" t="s">
        <v>422</v>
      </c>
      <c r="T16" s="293" t="s">
        <v>421</v>
      </c>
    </row>
    <row r="17" spans="1:20" x14ac:dyDescent="0.2">
      <c r="A17" s="159" t="s">
        <v>420</v>
      </c>
      <c r="B17" s="296" t="e">
        <f ca="1">IF(I17="","",IFERROR(MATCH(A17,$J17:N17,0),"NO"))</f>
        <v>#NAME?</v>
      </c>
      <c r="C17" s="295">
        <v>1</v>
      </c>
      <c r="D17" s="292" t="str">
        <f t="shared" si="0"/>
        <v>The Carlyle Group Inc.</v>
      </c>
      <c r="E17" s="292" t="str">
        <f t="shared" si="1"/>
        <v>IQ23333</v>
      </c>
      <c r="F17" s="294" t="e">
        <f ca="1">IF(OR(_xll.ciqfunctions.udf.CIQ($E17,"IQ_COMPANY_TICKER")=0,_xll.ciqfunctions.udf.CIQ($E17,"IQ_COMPANY_TICKER")="(Invalid Identifier)"),"-",_xll.ciqfunctions.udf.CIQ($E17,"IQ_COMPANY_TICKER"))</f>
        <v>#NAME?</v>
      </c>
      <c r="I17" s="292" t="e">
        <f ca="1">_xll.ciqfunctions.udf.CIQRANGEA($A17,"IQ_COMPANY_NAME_QUICK_MATCH",1,5,,,,,,,"NAME")</f>
        <v>#NAME?</v>
      </c>
      <c r="J17" s="292" t="s">
        <v>269</v>
      </c>
      <c r="K17" s="292" t="s">
        <v>420</v>
      </c>
      <c r="L17" s="292" t="s">
        <v>419</v>
      </c>
      <c r="M17" s="292" t="s">
        <v>418</v>
      </c>
      <c r="N17" s="293" t="s">
        <v>417</v>
      </c>
      <c r="O17" s="293" t="e">
        <f ca="1">_xll.ciqfunctions.udf.CIQRANGEA($A17,"IQ_COMPANY_ID_QUICK_MATCH",1,5,,,,,,,"ID")</f>
        <v>#NAME?</v>
      </c>
      <c r="P17" s="293" t="s">
        <v>215</v>
      </c>
      <c r="Q17" s="293" t="s">
        <v>416</v>
      </c>
      <c r="R17" s="293" t="s">
        <v>415</v>
      </c>
      <c r="S17" s="293" t="s">
        <v>414</v>
      </c>
      <c r="T17" s="293" t="s">
        <v>413</v>
      </c>
    </row>
    <row r="18" spans="1:20" x14ac:dyDescent="0.2">
      <c r="A18" s="295" t="s">
        <v>200</v>
      </c>
      <c r="B18" s="296" t="e">
        <f ca="1">IF(I18="","",IFERROR(MATCH(A18,$J18:N18,0),"NO"))</f>
        <v>#NAME?</v>
      </c>
      <c r="C18" s="295">
        <v>1</v>
      </c>
      <c r="D18" s="292" t="str">
        <f t="shared" si="0"/>
        <v>TPG Capital, L.P.</v>
      </c>
      <c r="E18" s="292" t="str">
        <f t="shared" si="1"/>
        <v>IQ23307</v>
      </c>
      <c r="F18" s="294" t="e">
        <f ca="1">IF(OR(_xll.ciqfunctions.udf.CIQ($E18,"IQ_COMPANY_TICKER")=0,_xll.ciqfunctions.udf.CIQ($E18,"IQ_COMPANY_TICKER")="(Invalid Identifier)"),"-",_xll.ciqfunctions.udf.CIQ($E18,"IQ_COMPANY_TICKER"))</f>
        <v>#NAME?</v>
      </c>
      <c r="I18" s="292" t="e">
        <f ca="1">_xll.ciqfunctions.udf.CIQRANGEA($A18,"IQ_COMPANY_NAME_QUICK_MATCH",1,5,,,,,,,"NAME")</f>
        <v>#NAME?</v>
      </c>
      <c r="J18" s="292" t="s">
        <v>212</v>
      </c>
      <c r="K18" s="292" t="s">
        <v>412</v>
      </c>
      <c r="L18" s="292" t="s">
        <v>411</v>
      </c>
      <c r="M18" s="292" t="s">
        <v>410</v>
      </c>
      <c r="N18" s="293" t="s">
        <v>409</v>
      </c>
      <c r="O18" s="293" t="e">
        <f ca="1">_xll.ciqfunctions.udf.CIQRANGEA($A18,"IQ_COMPANY_ID_QUICK_MATCH",1,5,,,,,,,"ID")</f>
        <v>#NAME?</v>
      </c>
      <c r="P18" s="293" t="s">
        <v>205</v>
      </c>
      <c r="Q18" s="293" t="s">
        <v>408</v>
      </c>
      <c r="R18" s="293" t="s">
        <v>407</v>
      </c>
      <c r="S18" s="293" t="s">
        <v>406</v>
      </c>
      <c r="T18" s="293" t="s">
        <v>405</v>
      </c>
    </row>
    <row r="19" spans="1:20" x14ac:dyDescent="0.2">
      <c r="A19" s="295" t="s">
        <v>404</v>
      </c>
      <c r="B19" s="296" t="e">
        <f ca="1">IF(I19="","",IFERROR(MATCH(A19,$J19:N19,0),"NO"))</f>
        <v>#NAME?</v>
      </c>
      <c r="C19" s="295">
        <v>1</v>
      </c>
      <c r="D19" s="292" t="str">
        <f t="shared" si="0"/>
        <v>8common Limited</v>
      </c>
      <c r="E19" s="292" t="str">
        <f t="shared" si="1"/>
        <v>IQ266500775</v>
      </c>
      <c r="F19" s="294" t="e">
        <f ca="1">IF(OR(_xll.ciqfunctions.udf.CIQ($E19,"IQ_COMPANY_TICKER")=0,_xll.ciqfunctions.udf.CIQ($E19,"IQ_COMPANY_TICKER")="(Invalid Identifier)"),"-",_xll.ciqfunctions.udf.CIQ($E19,"IQ_COMPANY_TICKER"))</f>
        <v>#NAME?</v>
      </c>
      <c r="I19" s="292" t="e">
        <f ca="1">_xll.ciqfunctions.udf.CIQRANGEA($A19,"IQ_COMPANY_NAME_QUICK_MATCH",1,5,,,,,,,"NAME")</f>
        <v>#NAME?</v>
      </c>
      <c r="J19" s="292" t="s">
        <v>403</v>
      </c>
      <c r="K19" s="292" t="s">
        <v>402</v>
      </c>
      <c r="L19" s="292"/>
      <c r="M19" s="292"/>
      <c r="O19" s="293" t="e">
        <f ca="1">_xll.ciqfunctions.udf.CIQRANGEA($A19,"IQ_COMPANY_ID_QUICK_MATCH",1,5,,,,,,,"ID")</f>
        <v>#NAME?</v>
      </c>
      <c r="P19" s="293" t="s">
        <v>401</v>
      </c>
      <c r="Q19" s="293" t="s">
        <v>400</v>
      </c>
      <c r="T19" s="293"/>
    </row>
    <row r="20" spans="1:20" x14ac:dyDescent="0.2">
      <c r="A20" s="295" t="s">
        <v>399</v>
      </c>
      <c r="B20" s="296" t="e">
        <f ca="1">IF(I20="","",IFERROR(MATCH(A20,$J20:N20,0),"NO"))</f>
        <v>#NAME?</v>
      </c>
      <c r="C20" s="295">
        <v>1</v>
      </c>
      <c r="D20" s="292" t="str">
        <f t="shared" si="0"/>
        <v>Oracle Corporation</v>
      </c>
      <c r="E20" s="292" t="str">
        <f t="shared" si="1"/>
        <v>IQ22247</v>
      </c>
      <c r="F20" s="294" t="e">
        <f ca="1">IF(OR(_xll.ciqfunctions.udf.CIQ($E20,"IQ_COMPANY_TICKER")=0,_xll.ciqfunctions.udf.CIQ($E20,"IQ_COMPANY_TICKER")="(Invalid Identifier)"),"-",_xll.ciqfunctions.udf.CIQ($E20,"IQ_COMPANY_TICKER"))</f>
        <v>#NAME?</v>
      </c>
      <c r="I20" s="292" t="e">
        <f ca="1">_xll.ciqfunctions.udf.CIQRANGEA($A20,"IQ_COMPANY_NAME_QUICK_MATCH",1,5,,,,,,,"NAME")</f>
        <v>#NAME?</v>
      </c>
      <c r="J20" s="292" t="s">
        <v>398</v>
      </c>
      <c r="K20" s="292" t="s">
        <v>397</v>
      </c>
      <c r="L20" s="292" t="s">
        <v>396</v>
      </c>
      <c r="M20" s="292" t="s">
        <v>395</v>
      </c>
      <c r="N20" s="293" t="s">
        <v>394</v>
      </c>
      <c r="O20" s="293" t="e">
        <f ca="1">_xll.ciqfunctions.udf.CIQRANGEA($A20,"IQ_COMPANY_ID_QUICK_MATCH",1,5,,,,,,,"ID")</f>
        <v>#NAME?</v>
      </c>
      <c r="P20" s="293" t="s">
        <v>393</v>
      </c>
      <c r="Q20" s="293" t="s">
        <v>392</v>
      </c>
      <c r="R20" s="293" t="s">
        <v>391</v>
      </c>
      <c r="S20" s="293" t="s">
        <v>390</v>
      </c>
      <c r="T20" s="293" t="s">
        <v>389</v>
      </c>
    </row>
    <row r="21" spans="1:20" x14ac:dyDescent="0.2">
      <c r="A21" s="295" t="s">
        <v>388</v>
      </c>
      <c r="B21" s="296" t="e">
        <f ca="1">IF(I21="","",IFERROR(MATCH(A21,$J21:N21,0),"NO"))</f>
        <v>#NAME?</v>
      </c>
      <c r="C21" s="295">
        <v>1</v>
      </c>
      <c r="D21" s="292" t="str">
        <f t="shared" si="0"/>
        <v>Citrix Systems, Inc.</v>
      </c>
      <c r="E21" s="292" t="str">
        <f t="shared" si="1"/>
        <v>IQ26524</v>
      </c>
      <c r="F21" s="294" t="e">
        <f ca="1">IF(OR(_xll.ciqfunctions.udf.CIQ($E21,"IQ_COMPANY_TICKER")=0,_xll.ciqfunctions.udf.CIQ($E21,"IQ_COMPANY_TICKER")="(Invalid Identifier)"),"-",_xll.ciqfunctions.udf.CIQ($E21,"IQ_COMPANY_TICKER"))</f>
        <v>#NAME?</v>
      </c>
      <c r="I21" s="292" t="e">
        <f ca="1">_xll.ciqfunctions.udf.CIQRANGEA($A21,"IQ_COMPANY_NAME_QUICK_MATCH",1,5,,,,,,,"NAME")</f>
        <v>#NAME?</v>
      </c>
      <c r="J21" s="292" t="s">
        <v>387</v>
      </c>
      <c r="K21" s="292" t="s">
        <v>386</v>
      </c>
      <c r="L21" s="292" t="s">
        <v>385</v>
      </c>
      <c r="M21" s="292" t="s">
        <v>384</v>
      </c>
      <c r="N21" s="293" t="s">
        <v>383</v>
      </c>
      <c r="O21" s="293" t="e">
        <f ca="1">_xll.ciqfunctions.udf.CIQRANGEA($A21,"IQ_COMPANY_ID_QUICK_MATCH",1,5,,,,,,,"ID")</f>
        <v>#NAME?</v>
      </c>
      <c r="P21" s="293" t="s">
        <v>382</v>
      </c>
      <c r="Q21" s="293" t="s">
        <v>381</v>
      </c>
      <c r="R21" s="293" t="s">
        <v>380</v>
      </c>
      <c r="S21" s="293" t="s">
        <v>379</v>
      </c>
      <c r="T21" s="293" t="s">
        <v>378</v>
      </c>
    </row>
    <row r="22" spans="1:20" x14ac:dyDescent="0.2">
      <c r="A22" s="295" t="s">
        <v>377</v>
      </c>
      <c r="B22" s="296" t="e">
        <f ca="1">IF(I22="","",IFERROR(MATCH(A22,$J22:N22,0),"NO"))</f>
        <v>#NAME?</v>
      </c>
      <c r="C22" s="295">
        <v>1</v>
      </c>
      <c r="D22" s="292" t="str">
        <f t="shared" si="0"/>
        <v>Cyren Ltd.</v>
      </c>
      <c r="E22" s="292" t="str">
        <f t="shared" si="1"/>
        <v>IQ26767</v>
      </c>
      <c r="F22" s="294" t="e">
        <f ca="1">IF(OR(_xll.ciqfunctions.udf.CIQ($E22,"IQ_COMPANY_TICKER")=0,_xll.ciqfunctions.udf.CIQ($E22,"IQ_COMPANY_TICKER")="(Invalid Identifier)"),"-",_xll.ciqfunctions.udf.CIQ($E22,"IQ_COMPANY_TICKER"))</f>
        <v>#NAME?</v>
      </c>
      <c r="I22" s="292" t="e">
        <f ca="1">_xll.ciqfunctions.udf.CIQRANGEA($A22,"IQ_COMPANY_NAME_QUICK_MATCH",1,5,,,,,,,"NAME")</f>
        <v>#NAME?</v>
      </c>
      <c r="J22" s="292" t="s">
        <v>376</v>
      </c>
      <c r="K22" s="292" t="s">
        <v>375</v>
      </c>
      <c r="L22" s="292" t="s">
        <v>374</v>
      </c>
      <c r="M22" s="292" t="s">
        <v>373</v>
      </c>
      <c r="N22" s="293" t="s">
        <v>372</v>
      </c>
      <c r="O22" s="293" t="e">
        <f ca="1">_xll.ciqfunctions.udf.CIQRANGEA($A22,"IQ_COMPANY_ID_QUICK_MATCH",1,5,,,,,,,"ID")</f>
        <v>#NAME?</v>
      </c>
      <c r="P22" s="293" t="s">
        <v>371</v>
      </c>
      <c r="Q22" s="293" t="s">
        <v>370</v>
      </c>
      <c r="R22" s="293" t="s">
        <v>369</v>
      </c>
      <c r="S22" s="293" t="s">
        <v>368</v>
      </c>
      <c r="T22" s="293" t="s">
        <v>367</v>
      </c>
    </row>
    <row r="23" spans="1:20" x14ac:dyDescent="0.2">
      <c r="A23" s="295" t="s">
        <v>366</v>
      </c>
      <c r="B23" s="296" t="e">
        <f ca="1">IF(I23="","",IFERROR(MATCH(A23,$J23:N23,0),"NO"))</f>
        <v>#NAME?</v>
      </c>
      <c r="C23" s="295">
        <v>1</v>
      </c>
      <c r="D23" s="292" t="str">
        <f t="shared" si="0"/>
        <v>Commvault Systems, Inc.</v>
      </c>
      <c r="E23" s="292" t="str">
        <f t="shared" si="1"/>
        <v>IQ26789</v>
      </c>
      <c r="F23" s="294" t="e">
        <f ca="1">IF(OR(_xll.ciqfunctions.udf.CIQ($E23,"IQ_COMPANY_TICKER")=0,_xll.ciqfunctions.udf.CIQ($E23,"IQ_COMPANY_TICKER")="(Invalid Identifier)"),"-",_xll.ciqfunctions.udf.CIQ($E23,"IQ_COMPANY_TICKER"))</f>
        <v>#NAME?</v>
      </c>
      <c r="I23" s="292" t="e">
        <f ca="1">_xll.ciqfunctions.udf.CIQRANGEA($A23,"IQ_COMPANY_NAME_QUICK_MATCH",1,5,,,,,,,"NAME")</f>
        <v>#NAME?</v>
      </c>
      <c r="J23" s="292" t="s">
        <v>365</v>
      </c>
      <c r="K23" s="292" t="s">
        <v>364</v>
      </c>
      <c r="L23" s="292" t="s">
        <v>363</v>
      </c>
      <c r="M23" s="292" t="s">
        <v>362</v>
      </c>
      <c r="N23" s="293" t="s">
        <v>361</v>
      </c>
      <c r="O23" s="293" t="e">
        <f ca="1">_xll.ciqfunctions.udf.CIQRANGEA($A23,"IQ_COMPANY_ID_QUICK_MATCH",1,5,,,,,,,"ID")</f>
        <v>#NAME?</v>
      </c>
      <c r="P23" s="293" t="s">
        <v>360</v>
      </c>
      <c r="Q23" s="293" t="s">
        <v>359</v>
      </c>
      <c r="R23" s="293" t="s">
        <v>358</v>
      </c>
      <c r="S23" s="293" t="s">
        <v>357</v>
      </c>
      <c r="T23" s="293" t="s">
        <v>356</v>
      </c>
    </row>
    <row r="24" spans="1:20" x14ac:dyDescent="0.2">
      <c r="A24" s="295" t="s">
        <v>355</v>
      </c>
      <c r="B24" s="296" t="e">
        <f ca="1">IF(I24="","",IFERROR(MATCH(A24,$J24:N24,0),"NO"))</f>
        <v>#NAME?</v>
      </c>
      <c r="C24" s="295">
        <v>1</v>
      </c>
      <c r="D24" s="292" t="str">
        <f t="shared" si="0"/>
        <v>eGain Corporation</v>
      </c>
      <c r="E24" s="292" t="str">
        <f t="shared" si="1"/>
        <v>IQ27928</v>
      </c>
      <c r="F24" s="294" t="e">
        <f ca="1">IF(OR(_xll.ciqfunctions.udf.CIQ($E24,"IQ_COMPANY_TICKER")=0,_xll.ciqfunctions.udf.CIQ($E24,"IQ_COMPANY_TICKER")="(Invalid Identifier)"),"-",_xll.ciqfunctions.udf.CIQ($E24,"IQ_COMPANY_TICKER"))</f>
        <v>#NAME?</v>
      </c>
      <c r="I24" s="292" t="e">
        <f ca="1">_xll.ciqfunctions.udf.CIQRANGEA($A24,"IQ_COMPANY_NAME_QUICK_MATCH",1,5,,,,,,,"NAME")</f>
        <v>#NAME?</v>
      </c>
      <c r="J24" s="292" t="s">
        <v>355</v>
      </c>
      <c r="K24" s="292" t="s">
        <v>354</v>
      </c>
      <c r="L24" s="292" t="s">
        <v>353</v>
      </c>
      <c r="M24" s="292" t="s">
        <v>352</v>
      </c>
      <c r="N24" s="293" t="s">
        <v>351</v>
      </c>
      <c r="O24" s="293" t="e">
        <f ca="1">_xll.ciqfunctions.udf.CIQRANGEA($A24,"IQ_COMPANY_ID_QUICK_MATCH",1,5,,,,,,,"ID")</f>
        <v>#NAME?</v>
      </c>
      <c r="P24" s="293" t="s">
        <v>350</v>
      </c>
      <c r="Q24" s="293" t="s">
        <v>349</v>
      </c>
      <c r="R24" s="293" t="s">
        <v>348</v>
      </c>
      <c r="S24" s="293" t="s">
        <v>347</v>
      </c>
      <c r="T24" s="293" t="s">
        <v>346</v>
      </c>
    </row>
    <row r="25" spans="1:20" x14ac:dyDescent="0.2">
      <c r="A25" s="295" t="s">
        <v>345</v>
      </c>
      <c r="B25" s="296" t="e">
        <f ca="1">IF(I25="","",IFERROR(MATCH(A25,$J25:N25,0),"NO"))</f>
        <v>#NAME?</v>
      </c>
      <c r="C25" s="295">
        <v>1</v>
      </c>
      <c r="D25" s="292" t="str">
        <f t="shared" si="0"/>
        <v>Harmonic Inc.</v>
      </c>
      <c r="E25" s="292" t="str">
        <f t="shared" si="1"/>
        <v>IQ29282</v>
      </c>
      <c r="F25" s="294" t="e">
        <f ca="1">IF(OR(_xll.ciqfunctions.udf.CIQ($E25,"IQ_COMPANY_TICKER")=0,_xll.ciqfunctions.udf.CIQ($E25,"IQ_COMPANY_TICKER")="(Invalid Identifier)"),"-",_xll.ciqfunctions.udf.CIQ($E25,"IQ_COMPANY_TICKER"))</f>
        <v>#NAME?</v>
      </c>
      <c r="I25" s="292" t="e">
        <f ca="1">_xll.ciqfunctions.udf.CIQRANGEA($A25,"IQ_COMPANY_NAME_QUICK_MATCH",1,5,,,,,,,"NAME")</f>
        <v>#NAME?</v>
      </c>
      <c r="J25" s="292" t="s">
        <v>344</v>
      </c>
      <c r="K25" s="292" t="s">
        <v>343</v>
      </c>
      <c r="L25" s="292" t="s">
        <v>342</v>
      </c>
      <c r="M25" s="292" t="s">
        <v>341</v>
      </c>
      <c r="N25" s="293" t="s">
        <v>340</v>
      </c>
      <c r="O25" s="293" t="e">
        <f ca="1">_xll.ciqfunctions.udf.CIQRANGEA($A25,"IQ_COMPANY_ID_QUICK_MATCH",1,5,,,,,,,"ID")</f>
        <v>#NAME?</v>
      </c>
      <c r="P25" s="293" t="s">
        <v>339</v>
      </c>
      <c r="Q25" s="293" t="s">
        <v>338</v>
      </c>
      <c r="R25" s="293" t="s">
        <v>337</v>
      </c>
      <c r="S25" s="293" t="s">
        <v>336</v>
      </c>
      <c r="T25" s="293" t="s">
        <v>335</v>
      </c>
    </row>
    <row r="26" spans="1:20" x14ac:dyDescent="0.2">
      <c r="A26" s="295" t="s">
        <v>334</v>
      </c>
      <c r="B26" s="296" t="e">
        <f ca="1">IF(I26="","",IFERROR(MATCH(A26,$J26:N26,0),"NO"))</f>
        <v>#NAME?</v>
      </c>
      <c r="C26" s="295">
        <v>1</v>
      </c>
      <c r="D26" s="292" t="str">
        <f t="shared" si="0"/>
        <v>NetApp, Inc.</v>
      </c>
      <c r="E26" s="292" t="str">
        <f t="shared" si="1"/>
        <v>IQ32052</v>
      </c>
      <c r="F26" s="294" t="e">
        <f ca="1">IF(OR(_xll.ciqfunctions.udf.CIQ($E26,"IQ_COMPANY_TICKER")=0,_xll.ciqfunctions.udf.CIQ($E26,"IQ_COMPANY_TICKER")="(Invalid Identifier)"),"-",_xll.ciqfunctions.udf.CIQ($E26,"IQ_COMPANY_TICKER"))</f>
        <v>#NAME?</v>
      </c>
      <c r="I26" s="292" t="e">
        <f ca="1">_xll.ciqfunctions.udf.CIQRANGEA($A26,"IQ_COMPANY_NAME_QUICK_MATCH",1,5,,,,,,,"NAME")</f>
        <v>#NAME?</v>
      </c>
      <c r="J26" s="292" t="s">
        <v>333</v>
      </c>
      <c r="K26" s="292" t="s">
        <v>332</v>
      </c>
      <c r="L26" s="292" t="s">
        <v>331</v>
      </c>
      <c r="M26" s="292" t="s">
        <v>330</v>
      </c>
      <c r="N26" s="293" t="s">
        <v>329</v>
      </c>
      <c r="O26" s="293" t="e">
        <f ca="1">_xll.ciqfunctions.udf.CIQRANGEA($A26,"IQ_COMPANY_ID_QUICK_MATCH",1,5,,,,,,,"ID")</f>
        <v>#NAME?</v>
      </c>
      <c r="P26" s="293" t="s">
        <v>328</v>
      </c>
      <c r="Q26" s="293" t="s">
        <v>327</v>
      </c>
      <c r="R26" s="293" t="s">
        <v>326</v>
      </c>
      <c r="S26" s="293" t="s">
        <v>325</v>
      </c>
      <c r="T26" s="293" t="s">
        <v>324</v>
      </c>
    </row>
    <row r="27" spans="1:20" x14ac:dyDescent="0.2">
      <c r="A27" s="295" t="s">
        <v>323</v>
      </c>
      <c r="B27" s="296" t="e">
        <f ca="1">IF(I27="","",IFERROR(MATCH(A27,$J27:N27,0),"NO"))</f>
        <v>#NAME?</v>
      </c>
      <c r="C27" s="295">
        <v>1</v>
      </c>
      <c r="D27" s="292" t="str">
        <f t="shared" si="0"/>
        <v>Inseego Corp.</v>
      </c>
      <c r="E27" s="292" t="str">
        <f t="shared" si="1"/>
        <v>IQ32261</v>
      </c>
      <c r="F27" s="294" t="e">
        <f ca="1">IF(OR(_xll.ciqfunctions.udf.CIQ($E27,"IQ_COMPANY_TICKER")=0,_xll.ciqfunctions.udf.CIQ($E27,"IQ_COMPANY_TICKER")="(Invalid Identifier)"),"-",_xll.ciqfunctions.udf.CIQ($E27,"IQ_COMPANY_TICKER"))</f>
        <v>#NAME?</v>
      </c>
      <c r="I27" s="292" t="e">
        <f ca="1">_xll.ciqfunctions.udf.CIQRANGEA($A27,"IQ_COMPANY_NAME_QUICK_MATCH",1,5,,,,,,,"NAME")</f>
        <v>#NAME?</v>
      </c>
      <c r="J27" s="292" t="s">
        <v>322</v>
      </c>
      <c r="K27" s="292" t="s">
        <v>321</v>
      </c>
      <c r="L27" s="292"/>
      <c r="M27" s="292"/>
      <c r="O27" s="293" t="e">
        <f ca="1">_xll.ciqfunctions.udf.CIQRANGEA($A27,"IQ_COMPANY_ID_QUICK_MATCH",1,5,,,,,,,"ID")</f>
        <v>#NAME?</v>
      </c>
      <c r="P27" s="293" t="s">
        <v>320</v>
      </c>
      <c r="Q27" s="293" t="s">
        <v>319</v>
      </c>
      <c r="T27" s="293"/>
    </row>
    <row r="28" spans="1:20" x14ac:dyDescent="0.2">
      <c r="A28" s="295" t="s">
        <v>318</v>
      </c>
      <c r="B28" s="296" t="e">
        <f ca="1">IF(I28="","",IFERROR(MATCH(A28,$J28:N28,0),"NO"))</f>
        <v>#NAME?</v>
      </c>
      <c r="C28" s="295">
        <v>1</v>
      </c>
      <c r="D28" s="292" t="str">
        <f t="shared" si="0"/>
        <v>Intouch Insight Ltd.</v>
      </c>
      <c r="E28" s="292" t="str">
        <f t="shared" si="1"/>
        <v>IQ3160034</v>
      </c>
      <c r="F28" s="294" t="e">
        <f ca="1">IF(OR(_xll.ciqfunctions.udf.CIQ($E28,"IQ_COMPANY_TICKER")=0,_xll.ciqfunctions.udf.CIQ($E28,"IQ_COMPANY_TICKER")="(Invalid Identifier)"),"-",_xll.ciqfunctions.udf.CIQ($E28,"IQ_COMPANY_TICKER"))</f>
        <v>#NAME?</v>
      </c>
      <c r="I28" s="292" t="e">
        <f ca="1">_xll.ciqfunctions.udf.CIQRANGEA($A28,"IQ_COMPANY_NAME_QUICK_MATCH",1,5,,,,,,,"NAME")</f>
        <v>#NAME?</v>
      </c>
      <c r="J28" s="292" t="s">
        <v>317</v>
      </c>
      <c r="K28" s="292" t="s">
        <v>316</v>
      </c>
      <c r="L28" s="292"/>
      <c r="M28" s="292"/>
      <c r="O28" s="293" t="e">
        <f ca="1">_xll.ciqfunctions.udf.CIQRANGEA($A28,"IQ_COMPANY_ID_QUICK_MATCH",1,5,,,,,,,"ID")</f>
        <v>#NAME?</v>
      </c>
      <c r="P28" s="293" t="s">
        <v>315</v>
      </c>
      <c r="Q28" s="293" t="s">
        <v>314</v>
      </c>
      <c r="T28" s="293"/>
    </row>
    <row r="29" spans="1:20" x14ac:dyDescent="0.2">
      <c r="A29" s="295" t="s">
        <v>313</v>
      </c>
      <c r="B29" s="296" t="e">
        <f ca="1">IF(I29="","",IFERROR(MATCH(A29,$J29:N29,0),"NO"))</f>
        <v>#NAME?</v>
      </c>
      <c r="C29" s="295">
        <v>1</v>
      </c>
      <c r="D29" s="292" t="str">
        <f t="shared" si="0"/>
        <v>VPN Technologies Inc.</v>
      </c>
      <c r="E29" s="292" t="str">
        <f t="shared" si="1"/>
        <v>IQ282167789</v>
      </c>
      <c r="F29" s="294" t="e">
        <f ca="1">IF(OR(_xll.ciqfunctions.udf.CIQ($E29,"IQ_COMPANY_TICKER")=0,_xll.ciqfunctions.udf.CIQ($E29,"IQ_COMPANY_TICKER")="(Invalid Identifier)"),"-",_xll.ciqfunctions.udf.CIQ($E29,"IQ_COMPANY_TICKER"))</f>
        <v>#NAME?</v>
      </c>
      <c r="I29" s="292" t="e">
        <f ca="1">_xll.ciqfunctions.udf.CIQRANGEA($A29,"IQ_COMPANY_NAME_QUICK_MATCH",1,5,,,,,,,"NAME")</f>
        <v>#NAME?</v>
      </c>
      <c r="J29" s="292" t="s">
        <v>312</v>
      </c>
      <c r="K29" s="292"/>
      <c r="L29" s="292"/>
      <c r="M29" s="292"/>
      <c r="O29" s="293" t="e">
        <f ca="1">_xll.ciqfunctions.udf.CIQRANGEA($A29,"IQ_COMPANY_ID_QUICK_MATCH",1,5,,,,,,,"ID")</f>
        <v>#NAME?</v>
      </c>
      <c r="P29" s="293" t="s">
        <v>311</v>
      </c>
      <c r="T29" s="293"/>
    </row>
  </sheetData>
  <mergeCells count="1">
    <mergeCell ref="A7:F7"/>
  </mergeCells>
  <conditionalFormatting sqref="D12:D29">
    <cfRule type="cellIs" dxfId="0" priority="1" stopIfTrue="1" operator="equal">
      <formula>"No Result"</formula>
    </cfRule>
  </conditionalFormatting>
  <dataValidations count="1">
    <dataValidation type="list" allowBlank="1" showInputMessage="1" showErrorMessage="1" sqref="C65547:C65565 IY65547:IY65565 SU65547:SU65565 ACQ65547:ACQ65565 AMM65547:AMM65565 AWI65547:AWI65565 BGE65547:BGE65565 BQA65547:BQA65565 BZW65547:BZW65565 CJS65547:CJS65565 CTO65547:CTO65565 DDK65547:DDK65565 DNG65547:DNG65565 DXC65547:DXC65565 EGY65547:EGY65565 EQU65547:EQU65565 FAQ65547:FAQ65565 FKM65547:FKM65565 FUI65547:FUI65565 GEE65547:GEE65565 GOA65547:GOA65565 GXW65547:GXW65565 HHS65547:HHS65565 HRO65547:HRO65565 IBK65547:IBK65565 ILG65547:ILG65565 IVC65547:IVC65565 JEY65547:JEY65565 JOU65547:JOU65565 JYQ65547:JYQ65565 KIM65547:KIM65565 KSI65547:KSI65565 LCE65547:LCE65565 LMA65547:LMA65565 LVW65547:LVW65565 MFS65547:MFS65565 MPO65547:MPO65565 MZK65547:MZK65565 NJG65547:NJG65565 NTC65547:NTC65565 OCY65547:OCY65565 OMU65547:OMU65565 OWQ65547:OWQ65565 PGM65547:PGM65565 PQI65547:PQI65565 QAE65547:QAE65565 QKA65547:QKA65565 QTW65547:QTW65565 RDS65547:RDS65565 RNO65547:RNO65565 RXK65547:RXK65565 SHG65547:SHG65565 SRC65547:SRC65565 TAY65547:TAY65565 TKU65547:TKU65565 TUQ65547:TUQ65565 UEM65547:UEM65565 UOI65547:UOI65565 UYE65547:UYE65565 VIA65547:VIA65565 VRW65547:VRW65565 WBS65547:WBS65565 WLO65547:WLO65565 WVK65547:WVK65565 C131083:C131101 IY131083:IY131101 SU131083:SU131101 ACQ131083:ACQ131101 AMM131083:AMM131101 AWI131083:AWI131101 BGE131083:BGE131101 BQA131083:BQA131101 BZW131083:BZW131101 CJS131083:CJS131101 CTO131083:CTO131101 DDK131083:DDK131101 DNG131083:DNG131101 DXC131083:DXC131101 EGY131083:EGY131101 EQU131083:EQU131101 FAQ131083:FAQ131101 FKM131083:FKM131101 FUI131083:FUI131101 GEE131083:GEE131101 GOA131083:GOA131101 GXW131083:GXW131101 HHS131083:HHS131101 HRO131083:HRO131101 IBK131083:IBK131101 ILG131083:ILG131101 IVC131083:IVC131101 JEY131083:JEY131101 JOU131083:JOU131101 JYQ131083:JYQ131101 KIM131083:KIM131101 KSI131083:KSI131101 LCE131083:LCE131101 LMA131083:LMA131101 LVW131083:LVW131101 MFS131083:MFS131101 MPO131083:MPO131101 MZK131083:MZK131101 NJG131083:NJG131101 NTC131083:NTC131101 OCY131083:OCY131101 OMU131083:OMU131101 OWQ131083:OWQ131101 PGM131083:PGM131101 PQI131083:PQI131101 QAE131083:QAE131101 QKA131083:QKA131101 QTW131083:QTW131101 RDS131083:RDS131101 RNO131083:RNO131101 RXK131083:RXK131101 SHG131083:SHG131101 SRC131083:SRC131101 TAY131083:TAY131101 TKU131083:TKU131101 TUQ131083:TUQ131101 UEM131083:UEM131101 UOI131083:UOI131101 UYE131083:UYE131101 VIA131083:VIA131101 VRW131083:VRW131101 WBS131083:WBS131101 WLO131083:WLO131101 WVK131083:WVK131101 C196619:C196637 IY196619:IY196637 SU196619:SU196637 ACQ196619:ACQ196637 AMM196619:AMM196637 AWI196619:AWI196637 BGE196619:BGE196637 BQA196619:BQA196637 BZW196619:BZW196637 CJS196619:CJS196637 CTO196619:CTO196637 DDK196619:DDK196637 DNG196619:DNG196637 DXC196619:DXC196637 EGY196619:EGY196637 EQU196619:EQU196637 FAQ196619:FAQ196637 FKM196619:FKM196637 FUI196619:FUI196637 GEE196619:GEE196637 GOA196619:GOA196637 GXW196619:GXW196637 HHS196619:HHS196637 HRO196619:HRO196637 IBK196619:IBK196637 ILG196619:ILG196637 IVC196619:IVC196637 JEY196619:JEY196637 JOU196619:JOU196637 JYQ196619:JYQ196637 KIM196619:KIM196637 KSI196619:KSI196637 LCE196619:LCE196637 LMA196619:LMA196637 LVW196619:LVW196637 MFS196619:MFS196637 MPO196619:MPO196637 MZK196619:MZK196637 NJG196619:NJG196637 NTC196619:NTC196637 OCY196619:OCY196637 OMU196619:OMU196637 OWQ196619:OWQ196637 PGM196619:PGM196637 PQI196619:PQI196637 QAE196619:QAE196637 QKA196619:QKA196637 QTW196619:QTW196637 RDS196619:RDS196637 RNO196619:RNO196637 RXK196619:RXK196637 SHG196619:SHG196637 SRC196619:SRC196637 TAY196619:TAY196637 TKU196619:TKU196637 TUQ196619:TUQ196637 UEM196619:UEM196637 UOI196619:UOI196637 UYE196619:UYE196637 VIA196619:VIA196637 VRW196619:VRW196637 WBS196619:WBS196637 WLO196619:WLO196637 WVK196619:WVK196637 C262155:C262173 IY262155:IY262173 SU262155:SU262173 ACQ262155:ACQ262173 AMM262155:AMM262173 AWI262155:AWI262173 BGE262155:BGE262173 BQA262155:BQA262173 BZW262155:BZW262173 CJS262155:CJS262173 CTO262155:CTO262173 DDK262155:DDK262173 DNG262155:DNG262173 DXC262155:DXC262173 EGY262155:EGY262173 EQU262155:EQU262173 FAQ262155:FAQ262173 FKM262155:FKM262173 FUI262155:FUI262173 GEE262155:GEE262173 GOA262155:GOA262173 GXW262155:GXW262173 HHS262155:HHS262173 HRO262155:HRO262173 IBK262155:IBK262173 ILG262155:ILG262173 IVC262155:IVC262173 JEY262155:JEY262173 JOU262155:JOU262173 JYQ262155:JYQ262173 KIM262155:KIM262173 KSI262155:KSI262173 LCE262155:LCE262173 LMA262155:LMA262173 LVW262155:LVW262173 MFS262155:MFS262173 MPO262155:MPO262173 MZK262155:MZK262173 NJG262155:NJG262173 NTC262155:NTC262173 OCY262155:OCY262173 OMU262155:OMU262173 OWQ262155:OWQ262173 PGM262155:PGM262173 PQI262155:PQI262173 QAE262155:QAE262173 QKA262155:QKA262173 QTW262155:QTW262173 RDS262155:RDS262173 RNO262155:RNO262173 RXK262155:RXK262173 SHG262155:SHG262173 SRC262155:SRC262173 TAY262155:TAY262173 TKU262155:TKU262173 TUQ262155:TUQ262173 UEM262155:UEM262173 UOI262155:UOI262173 UYE262155:UYE262173 VIA262155:VIA262173 VRW262155:VRW262173 WBS262155:WBS262173 WLO262155:WLO262173 WVK262155:WVK262173 C327691:C327709 IY327691:IY327709 SU327691:SU327709 ACQ327691:ACQ327709 AMM327691:AMM327709 AWI327691:AWI327709 BGE327691:BGE327709 BQA327691:BQA327709 BZW327691:BZW327709 CJS327691:CJS327709 CTO327691:CTO327709 DDK327691:DDK327709 DNG327691:DNG327709 DXC327691:DXC327709 EGY327691:EGY327709 EQU327691:EQU327709 FAQ327691:FAQ327709 FKM327691:FKM327709 FUI327691:FUI327709 GEE327691:GEE327709 GOA327691:GOA327709 GXW327691:GXW327709 HHS327691:HHS327709 HRO327691:HRO327709 IBK327691:IBK327709 ILG327691:ILG327709 IVC327691:IVC327709 JEY327691:JEY327709 JOU327691:JOU327709 JYQ327691:JYQ327709 KIM327691:KIM327709 KSI327691:KSI327709 LCE327691:LCE327709 LMA327691:LMA327709 LVW327691:LVW327709 MFS327691:MFS327709 MPO327691:MPO327709 MZK327691:MZK327709 NJG327691:NJG327709 NTC327691:NTC327709 OCY327691:OCY327709 OMU327691:OMU327709 OWQ327691:OWQ327709 PGM327691:PGM327709 PQI327691:PQI327709 QAE327691:QAE327709 QKA327691:QKA327709 QTW327691:QTW327709 RDS327691:RDS327709 RNO327691:RNO327709 RXK327691:RXK327709 SHG327691:SHG327709 SRC327691:SRC327709 TAY327691:TAY327709 TKU327691:TKU327709 TUQ327691:TUQ327709 UEM327691:UEM327709 UOI327691:UOI327709 UYE327691:UYE327709 VIA327691:VIA327709 VRW327691:VRW327709 WBS327691:WBS327709 WLO327691:WLO327709 WVK327691:WVK327709 C393227:C393245 IY393227:IY393245 SU393227:SU393245 ACQ393227:ACQ393245 AMM393227:AMM393245 AWI393227:AWI393245 BGE393227:BGE393245 BQA393227:BQA393245 BZW393227:BZW393245 CJS393227:CJS393245 CTO393227:CTO393245 DDK393227:DDK393245 DNG393227:DNG393245 DXC393227:DXC393245 EGY393227:EGY393245 EQU393227:EQU393245 FAQ393227:FAQ393245 FKM393227:FKM393245 FUI393227:FUI393245 GEE393227:GEE393245 GOA393227:GOA393245 GXW393227:GXW393245 HHS393227:HHS393245 HRO393227:HRO393245 IBK393227:IBK393245 ILG393227:ILG393245 IVC393227:IVC393245 JEY393227:JEY393245 JOU393227:JOU393245 JYQ393227:JYQ393245 KIM393227:KIM393245 KSI393227:KSI393245 LCE393227:LCE393245 LMA393227:LMA393245 LVW393227:LVW393245 MFS393227:MFS393245 MPO393227:MPO393245 MZK393227:MZK393245 NJG393227:NJG393245 NTC393227:NTC393245 OCY393227:OCY393245 OMU393227:OMU393245 OWQ393227:OWQ393245 PGM393227:PGM393245 PQI393227:PQI393245 QAE393227:QAE393245 QKA393227:QKA393245 QTW393227:QTW393245 RDS393227:RDS393245 RNO393227:RNO393245 RXK393227:RXK393245 SHG393227:SHG393245 SRC393227:SRC393245 TAY393227:TAY393245 TKU393227:TKU393245 TUQ393227:TUQ393245 UEM393227:UEM393245 UOI393227:UOI393245 UYE393227:UYE393245 VIA393227:VIA393245 VRW393227:VRW393245 WBS393227:WBS393245 WLO393227:WLO393245 WVK393227:WVK393245 C458763:C458781 IY458763:IY458781 SU458763:SU458781 ACQ458763:ACQ458781 AMM458763:AMM458781 AWI458763:AWI458781 BGE458763:BGE458781 BQA458763:BQA458781 BZW458763:BZW458781 CJS458763:CJS458781 CTO458763:CTO458781 DDK458763:DDK458781 DNG458763:DNG458781 DXC458763:DXC458781 EGY458763:EGY458781 EQU458763:EQU458781 FAQ458763:FAQ458781 FKM458763:FKM458781 FUI458763:FUI458781 GEE458763:GEE458781 GOA458763:GOA458781 GXW458763:GXW458781 HHS458763:HHS458781 HRO458763:HRO458781 IBK458763:IBK458781 ILG458763:ILG458781 IVC458763:IVC458781 JEY458763:JEY458781 JOU458763:JOU458781 JYQ458763:JYQ458781 KIM458763:KIM458781 KSI458763:KSI458781 LCE458763:LCE458781 LMA458763:LMA458781 LVW458763:LVW458781 MFS458763:MFS458781 MPO458763:MPO458781 MZK458763:MZK458781 NJG458763:NJG458781 NTC458763:NTC458781 OCY458763:OCY458781 OMU458763:OMU458781 OWQ458763:OWQ458781 PGM458763:PGM458781 PQI458763:PQI458781 QAE458763:QAE458781 QKA458763:QKA458781 QTW458763:QTW458781 RDS458763:RDS458781 RNO458763:RNO458781 RXK458763:RXK458781 SHG458763:SHG458781 SRC458763:SRC458781 TAY458763:TAY458781 TKU458763:TKU458781 TUQ458763:TUQ458781 UEM458763:UEM458781 UOI458763:UOI458781 UYE458763:UYE458781 VIA458763:VIA458781 VRW458763:VRW458781 WBS458763:WBS458781 WLO458763:WLO458781 WVK458763:WVK458781 C524299:C524317 IY524299:IY524317 SU524299:SU524317 ACQ524299:ACQ524317 AMM524299:AMM524317 AWI524299:AWI524317 BGE524299:BGE524317 BQA524299:BQA524317 BZW524299:BZW524317 CJS524299:CJS524317 CTO524299:CTO524317 DDK524299:DDK524317 DNG524299:DNG524317 DXC524299:DXC524317 EGY524299:EGY524317 EQU524299:EQU524317 FAQ524299:FAQ524317 FKM524299:FKM524317 FUI524299:FUI524317 GEE524299:GEE524317 GOA524299:GOA524317 GXW524299:GXW524317 HHS524299:HHS524317 HRO524299:HRO524317 IBK524299:IBK524317 ILG524299:ILG524317 IVC524299:IVC524317 JEY524299:JEY524317 JOU524299:JOU524317 JYQ524299:JYQ524317 KIM524299:KIM524317 KSI524299:KSI524317 LCE524299:LCE524317 LMA524299:LMA524317 LVW524299:LVW524317 MFS524299:MFS524317 MPO524299:MPO524317 MZK524299:MZK524317 NJG524299:NJG524317 NTC524299:NTC524317 OCY524299:OCY524317 OMU524299:OMU524317 OWQ524299:OWQ524317 PGM524299:PGM524317 PQI524299:PQI524317 QAE524299:QAE524317 QKA524299:QKA524317 QTW524299:QTW524317 RDS524299:RDS524317 RNO524299:RNO524317 RXK524299:RXK524317 SHG524299:SHG524317 SRC524299:SRC524317 TAY524299:TAY524317 TKU524299:TKU524317 TUQ524299:TUQ524317 UEM524299:UEM524317 UOI524299:UOI524317 UYE524299:UYE524317 VIA524299:VIA524317 VRW524299:VRW524317 WBS524299:WBS524317 WLO524299:WLO524317 WVK524299:WVK524317 C589835:C589853 IY589835:IY589853 SU589835:SU589853 ACQ589835:ACQ589853 AMM589835:AMM589853 AWI589835:AWI589853 BGE589835:BGE589853 BQA589835:BQA589853 BZW589835:BZW589853 CJS589835:CJS589853 CTO589835:CTO589853 DDK589835:DDK589853 DNG589835:DNG589853 DXC589835:DXC589853 EGY589835:EGY589853 EQU589835:EQU589853 FAQ589835:FAQ589853 FKM589835:FKM589853 FUI589835:FUI589853 GEE589835:GEE589853 GOA589835:GOA589853 GXW589835:GXW589853 HHS589835:HHS589853 HRO589835:HRO589853 IBK589835:IBK589853 ILG589835:ILG589853 IVC589835:IVC589853 JEY589835:JEY589853 JOU589835:JOU589853 JYQ589835:JYQ589853 KIM589835:KIM589853 KSI589835:KSI589853 LCE589835:LCE589853 LMA589835:LMA589853 LVW589835:LVW589853 MFS589835:MFS589853 MPO589835:MPO589853 MZK589835:MZK589853 NJG589835:NJG589853 NTC589835:NTC589853 OCY589835:OCY589853 OMU589835:OMU589853 OWQ589835:OWQ589853 PGM589835:PGM589853 PQI589835:PQI589853 QAE589835:QAE589853 QKA589835:QKA589853 QTW589835:QTW589853 RDS589835:RDS589853 RNO589835:RNO589853 RXK589835:RXK589853 SHG589835:SHG589853 SRC589835:SRC589853 TAY589835:TAY589853 TKU589835:TKU589853 TUQ589835:TUQ589853 UEM589835:UEM589853 UOI589835:UOI589853 UYE589835:UYE589853 VIA589835:VIA589853 VRW589835:VRW589853 WBS589835:WBS589853 WLO589835:WLO589853 WVK589835:WVK589853 C655371:C655389 IY655371:IY655389 SU655371:SU655389 ACQ655371:ACQ655389 AMM655371:AMM655389 AWI655371:AWI655389 BGE655371:BGE655389 BQA655371:BQA655389 BZW655371:BZW655389 CJS655371:CJS655389 CTO655371:CTO655389 DDK655371:DDK655389 DNG655371:DNG655389 DXC655371:DXC655389 EGY655371:EGY655389 EQU655371:EQU655389 FAQ655371:FAQ655389 FKM655371:FKM655389 FUI655371:FUI655389 GEE655371:GEE655389 GOA655371:GOA655389 GXW655371:GXW655389 HHS655371:HHS655389 HRO655371:HRO655389 IBK655371:IBK655389 ILG655371:ILG655389 IVC655371:IVC655389 JEY655371:JEY655389 JOU655371:JOU655389 JYQ655371:JYQ655389 KIM655371:KIM655389 KSI655371:KSI655389 LCE655371:LCE655389 LMA655371:LMA655389 LVW655371:LVW655389 MFS655371:MFS655389 MPO655371:MPO655389 MZK655371:MZK655389 NJG655371:NJG655389 NTC655371:NTC655389 OCY655371:OCY655389 OMU655371:OMU655389 OWQ655371:OWQ655389 PGM655371:PGM655389 PQI655371:PQI655389 QAE655371:QAE655389 QKA655371:QKA655389 QTW655371:QTW655389 RDS655371:RDS655389 RNO655371:RNO655389 RXK655371:RXK655389 SHG655371:SHG655389 SRC655371:SRC655389 TAY655371:TAY655389 TKU655371:TKU655389 TUQ655371:TUQ655389 UEM655371:UEM655389 UOI655371:UOI655389 UYE655371:UYE655389 VIA655371:VIA655389 VRW655371:VRW655389 WBS655371:WBS655389 WLO655371:WLO655389 WVK655371:WVK655389 C720907:C720925 IY720907:IY720925 SU720907:SU720925 ACQ720907:ACQ720925 AMM720907:AMM720925 AWI720907:AWI720925 BGE720907:BGE720925 BQA720907:BQA720925 BZW720907:BZW720925 CJS720907:CJS720925 CTO720907:CTO720925 DDK720907:DDK720925 DNG720907:DNG720925 DXC720907:DXC720925 EGY720907:EGY720925 EQU720907:EQU720925 FAQ720907:FAQ720925 FKM720907:FKM720925 FUI720907:FUI720925 GEE720907:GEE720925 GOA720907:GOA720925 GXW720907:GXW720925 HHS720907:HHS720925 HRO720907:HRO720925 IBK720907:IBK720925 ILG720907:ILG720925 IVC720907:IVC720925 JEY720907:JEY720925 JOU720907:JOU720925 JYQ720907:JYQ720925 KIM720907:KIM720925 KSI720907:KSI720925 LCE720907:LCE720925 LMA720907:LMA720925 LVW720907:LVW720925 MFS720907:MFS720925 MPO720907:MPO720925 MZK720907:MZK720925 NJG720907:NJG720925 NTC720907:NTC720925 OCY720907:OCY720925 OMU720907:OMU720925 OWQ720907:OWQ720925 PGM720907:PGM720925 PQI720907:PQI720925 QAE720907:QAE720925 QKA720907:QKA720925 QTW720907:QTW720925 RDS720907:RDS720925 RNO720907:RNO720925 RXK720907:RXK720925 SHG720907:SHG720925 SRC720907:SRC720925 TAY720907:TAY720925 TKU720907:TKU720925 TUQ720907:TUQ720925 UEM720907:UEM720925 UOI720907:UOI720925 UYE720907:UYE720925 VIA720907:VIA720925 VRW720907:VRW720925 WBS720907:WBS720925 WLO720907:WLO720925 WVK720907:WVK720925 C786443:C786461 IY786443:IY786461 SU786443:SU786461 ACQ786443:ACQ786461 AMM786443:AMM786461 AWI786443:AWI786461 BGE786443:BGE786461 BQA786443:BQA786461 BZW786443:BZW786461 CJS786443:CJS786461 CTO786443:CTO786461 DDK786443:DDK786461 DNG786443:DNG786461 DXC786443:DXC786461 EGY786443:EGY786461 EQU786443:EQU786461 FAQ786443:FAQ786461 FKM786443:FKM786461 FUI786443:FUI786461 GEE786443:GEE786461 GOA786443:GOA786461 GXW786443:GXW786461 HHS786443:HHS786461 HRO786443:HRO786461 IBK786443:IBK786461 ILG786443:ILG786461 IVC786443:IVC786461 JEY786443:JEY786461 JOU786443:JOU786461 JYQ786443:JYQ786461 KIM786443:KIM786461 KSI786443:KSI786461 LCE786443:LCE786461 LMA786443:LMA786461 LVW786443:LVW786461 MFS786443:MFS786461 MPO786443:MPO786461 MZK786443:MZK786461 NJG786443:NJG786461 NTC786443:NTC786461 OCY786443:OCY786461 OMU786443:OMU786461 OWQ786443:OWQ786461 PGM786443:PGM786461 PQI786443:PQI786461 QAE786443:QAE786461 QKA786443:QKA786461 QTW786443:QTW786461 RDS786443:RDS786461 RNO786443:RNO786461 RXK786443:RXK786461 SHG786443:SHG786461 SRC786443:SRC786461 TAY786443:TAY786461 TKU786443:TKU786461 TUQ786443:TUQ786461 UEM786443:UEM786461 UOI786443:UOI786461 UYE786443:UYE786461 VIA786443:VIA786461 VRW786443:VRW786461 WBS786443:WBS786461 WLO786443:WLO786461 WVK786443:WVK786461 C851979:C851997 IY851979:IY851997 SU851979:SU851997 ACQ851979:ACQ851997 AMM851979:AMM851997 AWI851979:AWI851997 BGE851979:BGE851997 BQA851979:BQA851997 BZW851979:BZW851997 CJS851979:CJS851997 CTO851979:CTO851997 DDK851979:DDK851997 DNG851979:DNG851997 DXC851979:DXC851997 EGY851979:EGY851997 EQU851979:EQU851997 FAQ851979:FAQ851997 FKM851979:FKM851997 FUI851979:FUI851997 GEE851979:GEE851997 GOA851979:GOA851997 GXW851979:GXW851997 HHS851979:HHS851997 HRO851979:HRO851997 IBK851979:IBK851997 ILG851979:ILG851997 IVC851979:IVC851997 JEY851979:JEY851997 JOU851979:JOU851997 JYQ851979:JYQ851997 KIM851979:KIM851997 KSI851979:KSI851997 LCE851979:LCE851997 LMA851979:LMA851997 LVW851979:LVW851997 MFS851979:MFS851997 MPO851979:MPO851997 MZK851979:MZK851997 NJG851979:NJG851997 NTC851979:NTC851997 OCY851979:OCY851997 OMU851979:OMU851997 OWQ851979:OWQ851997 PGM851979:PGM851997 PQI851979:PQI851997 QAE851979:QAE851997 QKA851979:QKA851997 QTW851979:QTW851997 RDS851979:RDS851997 RNO851979:RNO851997 RXK851979:RXK851997 SHG851979:SHG851997 SRC851979:SRC851997 TAY851979:TAY851997 TKU851979:TKU851997 TUQ851979:TUQ851997 UEM851979:UEM851997 UOI851979:UOI851997 UYE851979:UYE851997 VIA851979:VIA851997 VRW851979:VRW851997 WBS851979:WBS851997 WLO851979:WLO851997 WVK851979:WVK851997 C917515:C917533 IY917515:IY917533 SU917515:SU917533 ACQ917515:ACQ917533 AMM917515:AMM917533 AWI917515:AWI917533 BGE917515:BGE917533 BQA917515:BQA917533 BZW917515:BZW917533 CJS917515:CJS917533 CTO917515:CTO917533 DDK917515:DDK917533 DNG917515:DNG917533 DXC917515:DXC917533 EGY917515:EGY917533 EQU917515:EQU917533 FAQ917515:FAQ917533 FKM917515:FKM917533 FUI917515:FUI917533 GEE917515:GEE917533 GOA917515:GOA917533 GXW917515:GXW917533 HHS917515:HHS917533 HRO917515:HRO917533 IBK917515:IBK917533 ILG917515:ILG917533 IVC917515:IVC917533 JEY917515:JEY917533 JOU917515:JOU917533 JYQ917515:JYQ917533 KIM917515:KIM917533 KSI917515:KSI917533 LCE917515:LCE917533 LMA917515:LMA917533 LVW917515:LVW917533 MFS917515:MFS917533 MPO917515:MPO917533 MZK917515:MZK917533 NJG917515:NJG917533 NTC917515:NTC917533 OCY917515:OCY917533 OMU917515:OMU917533 OWQ917515:OWQ917533 PGM917515:PGM917533 PQI917515:PQI917533 QAE917515:QAE917533 QKA917515:QKA917533 QTW917515:QTW917533 RDS917515:RDS917533 RNO917515:RNO917533 RXK917515:RXK917533 SHG917515:SHG917533 SRC917515:SRC917533 TAY917515:TAY917533 TKU917515:TKU917533 TUQ917515:TUQ917533 UEM917515:UEM917533 UOI917515:UOI917533 UYE917515:UYE917533 VIA917515:VIA917533 VRW917515:VRW917533 WBS917515:WBS917533 WLO917515:WLO917533 WVK917515:WVK917533 C983051:C983069 IY983051:IY983069 SU983051:SU983069 ACQ983051:ACQ983069 AMM983051:AMM983069 AWI983051:AWI983069 BGE983051:BGE983069 BQA983051:BQA983069 BZW983051:BZW983069 CJS983051:CJS983069 CTO983051:CTO983069 DDK983051:DDK983069 DNG983051:DNG983069 DXC983051:DXC983069 EGY983051:EGY983069 EQU983051:EQU983069 FAQ983051:FAQ983069 FKM983051:FKM983069 FUI983051:FUI983069 GEE983051:GEE983069 GOA983051:GOA983069 GXW983051:GXW983069 HHS983051:HHS983069 HRO983051:HRO983069 IBK983051:IBK983069 ILG983051:ILG983069 IVC983051:IVC983069 JEY983051:JEY983069 JOU983051:JOU983069 JYQ983051:JYQ983069 KIM983051:KIM983069 KSI983051:KSI983069 LCE983051:LCE983069 LMA983051:LMA983069 LVW983051:LVW983069 MFS983051:MFS983069 MPO983051:MPO983069 MZK983051:MZK983069 NJG983051:NJG983069 NTC983051:NTC983069 OCY983051:OCY983069 OMU983051:OMU983069 OWQ983051:OWQ983069 PGM983051:PGM983069 PQI983051:PQI983069 QAE983051:QAE983069 QKA983051:QKA983069 QTW983051:QTW983069 RDS983051:RDS983069 RNO983051:RNO983069 RXK983051:RXK983069 SHG983051:SHG983069 SRC983051:SRC983069 TAY983051:TAY983069 TKU983051:TKU983069 TUQ983051:TUQ983069 UEM983051:UEM983069 UOI983051:UOI983069 UYE983051:UYE983069 VIA983051:VIA983069 VRW983051:VRW983069 WBS983051:WBS983069 WLO983051:WLO983069 WVK983051:WVK983069 WVK12:WVK29 WLO12:WLO29 WBS12:WBS29 VRW12:VRW29 VIA12:VIA29 UYE12:UYE29 UOI12:UOI29 UEM12:UEM29 TUQ12:TUQ29 TKU12:TKU29 TAY12:TAY29 SRC12:SRC29 SHG12:SHG29 RXK12:RXK29 RNO12:RNO29 RDS12:RDS29 QTW12:QTW29 QKA12:QKA29 QAE12:QAE29 PQI12:PQI29 PGM12:PGM29 OWQ12:OWQ29 OMU12:OMU29 OCY12:OCY29 NTC12:NTC29 NJG12:NJG29 MZK12:MZK29 MPO12:MPO29 MFS12:MFS29 LVW12:LVW29 LMA12:LMA29 LCE12:LCE29 KSI12:KSI29 KIM12:KIM29 JYQ12:JYQ29 JOU12:JOU29 JEY12:JEY29 IVC12:IVC29 ILG12:ILG29 IBK12:IBK29 HRO12:HRO29 HHS12:HHS29 GXW12:GXW29 GOA12:GOA29 GEE12:GEE29 FUI12:FUI29 FKM12:FKM29 FAQ12:FAQ29 EQU12:EQU29 EGY12:EGY29 DXC12:DXC29 DNG12:DNG29 DDK12:DDK29 CTO12:CTO29 CJS12:CJS29 BZW12:BZW29 BQA12:BQA29 BGE12:BGE29 AWI12:AWI29 AMM12:AMM29 ACQ12:ACQ29 SU12:SU29 IY12:IY29 C12:C29" xr:uid="{62DB2D88-70F7-4619-92CB-D507E35A0C16}">
      <formula1>$K$1:$K$5</formula1>
    </dataValidation>
  </dataValidations>
  <pageMargins left="0.75" right="0.75" top="1" bottom="1" header="0.5" footer="0.5"/>
  <pageSetup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3313" r:id="rId4" name="CommandButton1">
          <controlPr defaultSize="0" autoLine="0" r:id="rId5">
            <anchor moveWithCells="1">
              <from>
                <xdr:col>4</xdr:col>
                <xdr:colOff>142875</xdr:colOff>
                <xdr:row>1</xdr:row>
                <xdr:rowOff>28575</xdr:rowOff>
              </from>
              <to>
                <xdr:col>5</xdr:col>
                <xdr:colOff>971550</xdr:colOff>
                <xdr:row>3</xdr:row>
                <xdr:rowOff>152400</xdr:rowOff>
              </to>
            </anchor>
          </controlPr>
        </control>
      </mc:Choice>
      <mc:Fallback>
        <control shapeId="13313" r:id="rId4" name="CommandButton1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C0C1D-7D95-4042-8625-1565EB90E56E}">
  <sheetPr codeName="Sheet9"/>
  <dimension ref="A1:AI90"/>
  <sheetViews>
    <sheetView showGridLines="0" zoomScale="80" zoomScaleNormal="80" workbookViewId="0"/>
  </sheetViews>
  <sheetFormatPr defaultRowHeight="15" outlineLevelCol="1" x14ac:dyDescent="0.25"/>
  <cols>
    <col min="1" max="1" width="4.85546875" customWidth="1"/>
    <col min="2" max="2" width="24.5703125" bestFit="1" customWidth="1"/>
    <col min="5" max="5" width="9.5703125" bestFit="1" customWidth="1"/>
    <col min="6" max="6" width="16.28515625" bestFit="1" customWidth="1"/>
    <col min="7" max="7" width="16.7109375" bestFit="1" customWidth="1"/>
    <col min="9" max="9" width="5.5703125" hidden="1" customWidth="1" outlineLevel="1"/>
    <col min="10" max="10" width="7.7109375" bestFit="1" customWidth="1" collapsed="1"/>
    <col min="11" max="11" width="6.42578125" bestFit="1" customWidth="1"/>
    <col min="12" max="12" width="12.7109375" customWidth="1"/>
    <col min="13" max="13" width="8" customWidth="1"/>
    <col min="14" max="14" width="14" bestFit="1" customWidth="1"/>
    <col min="15" max="15" width="15.7109375" customWidth="1"/>
    <col min="16" max="16" width="17.28515625" customWidth="1"/>
    <col min="17" max="17" width="5.7109375" bestFit="1" customWidth="1"/>
    <col min="18" max="18" width="16.7109375" customWidth="1"/>
    <col min="19" max="19" width="22.140625" customWidth="1"/>
    <col min="20" max="20" width="18.85546875" customWidth="1"/>
    <col min="21" max="21" width="17.42578125" customWidth="1"/>
    <col min="22" max="22" width="10" customWidth="1"/>
    <col min="23" max="23" width="6.85546875" bestFit="1" customWidth="1"/>
    <col min="24" max="24" width="28.85546875" bestFit="1" customWidth="1"/>
    <col min="25" max="25" width="20.28515625" bestFit="1" customWidth="1"/>
    <col min="26" max="26" width="14" bestFit="1" customWidth="1"/>
    <col min="27" max="27" width="23" bestFit="1" customWidth="1"/>
    <col min="28" max="28" width="2.42578125" bestFit="1" customWidth="1"/>
    <col min="29" max="29" width="5.7109375" bestFit="1" customWidth="1"/>
    <col min="30" max="30" width="28.85546875" bestFit="1" customWidth="1"/>
    <col min="31" max="31" width="20.28515625" bestFit="1" customWidth="1"/>
    <col min="32" max="32" width="14" bestFit="1" customWidth="1"/>
    <col min="33" max="33" width="23" bestFit="1" customWidth="1"/>
    <col min="34" max="34" width="2.42578125" bestFit="1" customWidth="1"/>
  </cols>
  <sheetData>
    <row r="1" spans="1:35" x14ac:dyDescent="0.25">
      <c r="A1" s="109"/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</row>
    <row r="2" spans="1:35" x14ac:dyDescent="0.25">
      <c r="A2" s="109"/>
      <c r="B2" s="135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x14ac:dyDescent="0.25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36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2"/>
    </row>
    <row r="4" spans="1:35" x14ac:dyDescent="0.25">
      <c r="A4" s="109"/>
      <c r="B4" s="138" t="s">
        <v>14</v>
      </c>
      <c r="C4" s="138"/>
      <c r="D4" s="138"/>
      <c r="E4" s="138"/>
      <c r="F4" s="137"/>
      <c r="G4" s="137"/>
      <c r="H4" s="137"/>
      <c r="I4" s="109"/>
      <c r="J4" s="139"/>
      <c r="K4" s="138"/>
      <c r="L4" s="138"/>
      <c r="M4" s="138" t="s">
        <v>190</v>
      </c>
      <c r="N4" s="138"/>
      <c r="O4" s="138"/>
      <c r="P4" s="138"/>
      <c r="Q4" s="138"/>
      <c r="R4" s="138"/>
      <c r="S4" s="138" t="s">
        <v>191</v>
      </c>
      <c r="T4" s="138"/>
      <c r="U4" s="138"/>
      <c r="V4" s="138"/>
      <c r="W4" s="138"/>
      <c r="X4" s="137"/>
      <c r="Y4" s="132"/>
      <c r="Z4" s="132"/>
      <c r="AA4" s="132"/>
      <c r="AB4" s="132"/>
      <c r="AC4" s="131"/>
      <c r="AD4" s="132"/>
      <c r="AE4" s="132"/>
      <c r="AF4" s="132"/>
      <c r="AG4" s="132"/>
      <c r="AH4" s="132"/>
      <c r="AI4" s="2"/>
    </row>
    <row r="5" spans="1:35" x14ac:dyDescent="0.25">
      <c r="A5" s="109"/>
      <c r="B5" s="138" t="str">
        <f>Cover!F13</f>
        <v>KKR &amp; Co., Inc.</v>
      </c>
      <c r="C5" s="138"/>
      <c r="D5" s="138"/>
      <c r="E5" s="138"/>
      <c r="F5" s="137"/>
      <c r="G5" s="137"/>
      <c r="H5" s="137"/>
      <c r="I5" s="109"/>
      <c r="J5" s="139"/>
      <c r="K5" s="140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2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2"/>
    </row>
    <row r="6" spans="1:35" x14ac:dyDescent="0.25">
      <c r="A6" s="109"/>
      <c r="B6" s="143" t="s">
        <v>192</v>
      </c>
      <c r="C6" s="143"/>
      <c r="D6" s="143"/>
      <c r="E6" s="143"/>
      <c r="F6" s="109"/>
      <c r="G6" s="109"/>
      <c r="H6" s="109"/>
      <c r="I6" s="109"/>
      <c r="J6" s="109"/>
      <c r="K6" s="140" t="s">
        <v>35</v>
      </c>
      <c r="L6" s="141" t="s">
        <v>199</v>
      </c>
      <c r="M6" s="141" t="s">
        <v>201</v>
      </c>
      <c r="N6" s="141" t="s">
        <v>24</v>
      </c>
      <c r="O6" s="141" t="s">
        <v>198</v>
      </c>
      <c r="P6" s="141" t="s">
        <v>200</v>
      </c>
      <c r="Q6" s="141"/>
      <c r="R6" s="140" t="s">
        <v>35</v>
      </c>
      <c r="S6" s="141" t="s">
        <v>199</v>
      </c>
      <c r="T6" s="141" t="s">
        <v>24</v>
      </c>
      <c r="U6" s="141" t="s">
        <v>198</v>
      </c>
      <c r="V6" s="141" t="s">
        <v>200</v>
      </c>
      <c r="W6" s="141"/>
      <c r="X6" s="142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2"/>
    </row>
    <row r="7" spans="1:35" x14ac:dyDescent="0.25">
      <c r="A7" s="109"/>
      <c r="B7" s="109"/>
      <c r="C7" s="109"/>
      <c r="D7" s="109" t="s">
        <v>190</v>
      </c>
      <c r="E7" s="109" t="s">
        <v>191</v>
      </c>
      <c r="F7" s="109"/>
      <c r="G7" s="109"/>
      <c r="H7" s="109"/>
      <c r="I7" s="144">
        <v>2004</v>
      </c>
      <c r="J7" s="142" t="str">
        <f>"1Q"&amp;RIGHT(I7,2)</f>
        <v>1Q04</v>
      </c>
      <c r="K7" s="109"/>
      <c r="L7" s="109"/>
      <c r="M7" s="109"/>
      <c r="N7" s="109"/>
      <c r="O7" s="109"/>
      <c r="P7" s="109"/>
      <c r="Q7" s="145"/>
      <c r="R7" s="146"/>
      <c r="S7" s="147"/>
      <c r="T7" s="147"/>
      <c r="U7" s="147"/>
      <c r="V7" s="147"/>
      <c r="W7" s="147"/>
      <c r="X7" s="147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2"/>
    </row>
    <row r="8" spans="1:35" x14ac:dyDescent="0.25">
      <c r="A8" s="109"/>
      <c r="B8" s="109" t="s">
        <v>193</v>
      </c>
      <c r="C8" s="109"/>
      <c r="D8" s="148">
        <f>AVERAGE(K77:K80)</f>
        <v>28.000474999999998</v>
      </c>
      <c r="E8" s="148">
        <f>AVERAGE(L78:L81)</f>
        <v>16.650275000000001</v>
      </c>
      <c r="F8" s="148"/>
      <c r="G8" s="148"/>
      <c r="H8" s="148"/>
      <c r="I8" s="142">
        <f>I7</f>
        <v>2004</v>
      </c>
      <c r="J8" s="142" t="str">
        <f>"2Q"&amp;RIGHT(I8,2)</f>
        <v>2Q04</v>
      </c>
      <c r="K8" s="109"/>
      <c r="L8" s="109"/>
      <c r="M8" s="109"/>
      <c r="N8" s="109"/>
      <c r="O8" s="109"/>
      <c r="P8" s="109"/>
      <c r="Q8" s="145"/>
      <c r="R8" s="146"/>
      <c r="S8" s="147"/>
      <c r="T8" s="147"/>
      <c r="U8" s="147"/>
      <c r="V8" s="147"/>
      <c r="W8" s="147"/>
      <c r="X8" s="147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2"/>
    </row>
    <row r="9" spans="1:35" x14ac:dyDescent="0.25">
      <c r="A9" s="109"/>
      <c r="B9" s="109" t="s">
        <v>194</v>
      </c>
      <c r="C9" s="109"/>
      <c r="D9" s="148">
        <f>AVERAGE(L74:L81)</f>
        <v>25.8864625</v>
      </c>
      <c r="E9" s="148">
        <f>AVERAGE(R73:R80)</f>
        <v>15.2467875</v>
      </c>
      <c r="F9" s="148"/>
      <c r="G9" s="148"/>
      <c r="H9" s="148"/>
      <c r="I9" s="142">
        <f>I8</f>
        <v>2004</v>
      </c>
      <c r="J9" s="142" t="str">
        <f>"3Q"&amp;RIGHT(I9,2)</f>
        <v>3Q04</v>
      </c>
      <c r="K9" s="109"/>
      <c r="L9" s="109"/>
      <c r="M9" s="109"/>
      <c r="N9" s="109"/>
      <c r="O9" s="109"/>
      <c r="P9" s="109"/>
      <c r="Q9" s="145"/>
      <c r="R9" s="146"/>
      <c r="S9" s="147"/>
      <c r="T9" s="147"/>
      <c r="U9" s="147"/>
      <c r="V9" s="147"/>
      <c r="W9" s="147"/>
      <c r="X9" s="147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2"/>
    </row>
    <row r="10" spans="1:35" x14ac:dyDescent="0.25">
      <c r="A10" s="109"/>
      <c r="B10" s="109" t="s">
        <v>195</v>
      </c>
      <c r="C10" s="109"/>
      <c r="D10" s="148">
        <f>AVERAGE(K81:K81)</f>
        <v>35</v>
      </c>
      <c r="E10" s="148">
        <f>AVERAGE(R70:R79)</f>
        <v>17.660739999999997</v>
      </c>
      <c r="F10" s="148"/>
      <c r="G10" s="148"/>
      <c r="H10" s="148"/>
      <c r="I10" s="142">
        <f>I9</f>
        <v>2004</v>
      </c>
      <c r="J10" s="142" t="str">
        <f>"4Q"&amp;RIGHT(I10,2)</f>
        <v>4Q04</v>
      </c>
      <c r="K10" s="109"/>
      <c r="L10" s="109"/>
      <c r="M10" s="109"/>
      <c r="N10" s="109"/>
      <c r="O10" s="109"/>
      <c r="P10" s="109"/>
      <c r="Q10" s="145"/>
      <c r="R10" s="146"/>
      <c r="S10" s="147"/>
      <c r="T10" s="147"/>
      <c r="U10" s="147"/>
      <c r="V10" s="147"/>
      <c r="W10" s="147"/>
      <c r="X10" s="147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2"/>
    </row>
    <row r="11" spans="1:35" x14ac:dyDescent="0.25">
      <c r="A11" s="109"/>
      <c r="B11" s="109" t="s">
        <v>196</v>
      </c>
      <c r="C11" s="109"/>
      <c r="D11" s="148">
        <f>AVERAGE(L60:M81)</f>
        <v>27.236827777777783</v>
      </c>
      <c r="E11" s="148">
        <f>AVERAGE(R62:R81)</f>
        <v>15.728285</v>
      </c>
      <c r="F11" s="148"/>
      <c r="G11" s="148"/>
      <c r="H11" s="148"/>
      <c r="I11" s="142">
        <f>I10+1</f>
        <v>2005</v>
      </c>
      <c r="J11" s="142" t="str">
        <f>"1Q"&amp;RIGHT(I11,2)</f>
        <v>1Q05</v>
      </c>
      <c r="K11" s="109"/>
      <c r="L11" s="109"/>
      <c r="M11" s="109"/>
      <c r="N11" s="109"/>
      <c r="O11" s="109"/>
      <c r="P11" s="109"/>
      <c r="Q11" s="145"/>
      <c r="R11" s="146"/>
      <c r="S11" s="147"/>
      <c r="T11" s="147"/>
      <c r="U11" s="147"/>
      <c r="V11" s="147"/>
      <c r="W11" s="147"/>
      <c r="X11" s="147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2"/>
    </row>
    <row r="12" spans="1:35" x14ac:dyDescent="0.25">
      <c r="A12" s="109"/>
      <c r="B12" s="138"/>
      <c r="C12" s="138"/>
      <c r="D12" s="138"/>
      <c r="E12" s="138"/>
      <c r="F12" s="137"/>
      <c r="G12" s="137"/>
      <c r="H12" s="109"/>
      <c r="I12" s="142">
        <f>I11</f>
        <v>2005</v>
      </c>
      <c r="J12" s="142" t="str">
        <f>"2Q"&amp;RIGHT(I12,2)</f>
        <v>2Q05</v>
      </c>
      <c r="K12" s="109"/>
      <c r="L12" s="109"/>
      <c r="M12" s="109"/>
      <c r="N12" s="109"/>
      <c r="O12" s="109"/>
      <c r="P12" s="109"/>
      <c r="Q12" s="145"/>
      <c r="R12" s="146"/>
      <c r="S12" s="147"/>
      <c r="T12" s="147"/>
      <c r="U12" s="147"/>
      <c r="V12" s="147"/>
      <c r="W12" s="147"/>
      <c r="X12" s="147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2"/>
    </row>
    <row r="13" spans="1:35" x14ac:dyDescent="0.25">
      <c r="A13" s="109"/>
      <c r="B13" s="143" t="s">
        <v>192</v>
      </c>
      <c r="C13" s="143"/>
      <c r="D13" s="143"/>
      <c r="E13" s="143"/>
      <c r="F13" s="109"/>
      <c r="G13" s="109"/>
      <c r="H13" s="109"/>
      <c r="I13" s="142">
        <f>I12</f>
        <v>2005</v>
      </c>
      <c r="J13" s="142" t="str">
        <f>"3Q"&amp;RIGHT(I13,2)</f>
        <v>3Q05</v>
      </c>
      <c r="K13" s="109"/>
      <c r="L13" s="109"/>
      <c r="M13" s="109"/>
      <c r="N13" s="109"/>
      <c r="O13" s="109"/>
      <c r="P13" s="109"/>
      <c r="Q13" s="145"/>
      <c r="R13" s="146"/>
      <c r="S13" s="147"/>
      <c r="T13" s="147"/>
      <c r="U13" s="147"/>
      <c r="V13" s="147"/>
      <c r="W13" s="147"/>
      <c r="X13" s="147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2"/>
    </row>
    <row r="14" spans="1:35" x14ac:dyDescent="0.25">
      <c r="A14" s="109"/>
      <c r="B14" s="109"/>
      <c r="C14" s="109"/>
      <c r="D14" s="109" t="s">
        <v>190</v>
      </c>
      <c r="E14" s="109" t="s">
        <v>191</v>
      </c>
      <c r="F14" s="109"/>
      <c r="G14" s="109"/>
      <c r="H14" s="148"/>
      <c r="I14" s="142">
        <f>I13</f>
        <v>2005</v>
      </c>
      <c r="J14" s="142" t="str">
        <f>"4Q"&amp;RIGHT(I14,2)</f>
        <v>4Q05</v>
      </c>
      <c r="K14" s="109"/>
      <c r="L14" s="109"/>
      <c r="M14" s="109"/>
      <c r="N14" s="109"/>
      <c r="O14" s="109"/>
      <c r="P14" s="109"/>
      <c r="Q14" s="145"/>
      <c r="R14" s="146"/>
      <c r="S14" s="147"/>
      <c r="T14" s="147"/>
      <c r="U14" s="147"/>
      <c r="V14" s="147"/>
      <c r="W14" s="147"/>
      <c r="X14" s="147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2"/>
    </row>
    <row r="15" spans="1:35" x14ac:dyDescent="0.25">
      <c r="A15" s="109"/>
      <c r="B15" s="109" t="s">
        <v>193</v>
      </c>
      <c r="C15" s="109"/>
      <c r="D15" s="148">
        <f>AVERAGE(L77:P81)</f>
        <v>17.09592</v>
      </c>
      <c r="E15" s="148">
        <f>AVERAGE(R77:W81)</f>
        <v>14.48428</v>
      </c>
      <c r="F15" s="148"/>
      <c r="G15" s="148"/>
      <c r="H15" s="148"/>
      <c r="I15" s="142">
        <f>I14+1</f>
        <v>2006</v>
      </c>
      <c r="J15" s="142" t="str">
        <f>"1Q"&amp;RIGHT(I15,2)</f>
        <v>1Q06</v>
      </c>
      <c r="K15" s="109"/>
      <c r="L15" s="109"/>
      <c r="M15" s="109"/>
      <c r="N15" s="109"/>
      <c r="O15" s="109"/>
      <c r="P15" s="109"/>
      <c r="Q15" s="145"/>
      <c r="R15" s="146"/>
      <c r="S15" s="147"/>
      <c r="T15" s="147"/>
      <c r="U15" s="147"/>
      <c r="V15" s="147"/>
      <c r="W15" s="147"/>
      <c r="X15" s="147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2"/>
    </row>
    <row r="16" spans="1:35" x14ac:dyDescent="0.25">
      <c r="A16" s="109"/>
      <c r="B16" s="109" t="s">
        <v>194</v>
      </c>
      <c r="C16" s="109"/>
      <c r="D16" s="148">
        <f>AVERAGE(L76:Q81)</f>
        <v>15.880091666666667</v>
      </c>
      <c r="E16" s="148">
        <f>AVERAGE(S74:W79)</f>
        <v>18.452225925925923</v>
      </c>
      <c r="F16" s="148"/>
      <c r="G16" s="148"/>
      <c r="H16" s="148"/>
      <c r="I16" s="142">
        <f>I15</f>
        <v>2006</v>
      </c>
      <c r="J16" s="142" t="str">
        <f>"2Q"&amp;RIGHT(I16,2)</f>
        <v>2Q06</v>
      </c>
      <c r="K16" s="109"/>
      <c r="L16" s="109"/>
      <c r="M16" s="109"/>
      <c r="N16" s="109"/>
      <c r="O16" s="109"/>
      <c r="P16" s="109"/>
      <c r="Q16" s="145"/>
      <c r="R16" s="146"/>
      <c r="S16" s="147"/>
      <c r="T16" s="147"/>
      <c r="U16" s="147"/>
      <c r="V16" s="147"/>
      <c r="W16" s="147"/>
      <c r="X16" s="147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2"/>
    </row>
    <row r="17" spans="1:35" x14ac:dyDescent="0.25">
      <c r="A17" s="109"/>
      <c r="B17" s="109" t="s">
        <v>195</v>
      </c>
      <c r="C17" s="109"/>
      <c r="D17" s="148">
        <f>AVERAGE(L72:Q81)</f>
        <v>17.591671052631579</v>
      </c>
      <c r="E17" s="148">
        <f>AVERAGE(S70:W79)</f>
        <v>20.100860465116273</v>
      </c>
      <c r="F17" s="148"/>
      <c r="G17" s="148"/>
      <c r="H17" s="148"/>
      <c r="I17" s="142">
        <f>I16</f>
        <v>2006</v>
      </c>
      <c r="J17" s="142" t="str">
        <f>"3Q"&amp;RIGHT(I17,2)</f>
        <v>3Q06</v>
      </c>
      <c r="K17" s="109"/>
      <c r="L17" s="109"/>
      <c r="M17" s="109"/>
      <c r="N17" s="109"/>
      <c r="O17" s="109"/>
      <c r="P17" s="109"/>
      <c r="Q17" s="145"/>
      <c r="R17" s="146"/>
      <c r="S17" s="147"/>
      <c r="T17" s="147"/>
      <c r="U17" s="147"/>
      <c r="V17" s="147"/>
      <c r="W17" s="147"/>
      <c r="X17" s="147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2"/>
    </row>
    <row r="18" spans="1:35" x14ac:dyDescent="0.25">
      <c r="A18" s="109"/>
      <c r="B18" s="109" t="s">
        <v>196</v>
      </c>
      <c r="C18" s="109"/>
      <c r="D18" s="148">
        <f>AVERAGE(L63:P81)</f>
        <v>22.26531690140845</v>
      </c>
      <c r="E18" s="148">
        <f>AVERAGE(R63:W81)</f>
        <v>17.621624999999995</v>
      </c>
      <c r="F18" s="148"/>
      <c r="G18" s="148"/>
      <c r="H18" s="148"/>
      <c r="I18" s="142">
        <f>I17</f>
        <v>2006</v>
      </c>
      <c r="J18" s="142" t="str">
        <f>"4Q"&amp;RIGHT(I18,2)</f>
        <v>4Q06</v>
      </c>
      <c r="K18" s="109"/>
      <c r="L18" s="109"/>
      <c r="M18" s="109"/>
      <c r="N18" s="109"/>
      <c r="O18" s="109"/>
      <c r="P18" s="109"/>
      <c r="Q18" s="145"/>
      <c r="R18" s="146"/>
      <c r="S18" s="147"/>
      <c r="T18" s="147"/>
      <c r="U18" s="147"/>
      <c r="V18" s="147"/>
      <c r="W18" s="147"/>
      <c r="X18" s="147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2"/>
    </row>
    <row r="19" spans="1:35" x14ac:dyDescent="0.25">
      <c r="A19" s="109"/>
      <c r="B19" s="109"/>
      <c r="C19" s="109"/>
      <c r="D19" s="109"/>
      <c r="E19" s="109"/>
      <c r="F19" s="109"/>
      <c r="G19" s="109"/>
      <c r="H19" s="148"/>
      <c r="I19" s="142">
        <f>I18+1</f>
        <v>2007</v>
      </c>
      <c r="J19" s="142" t="str">
        <f>"1Q"&amp;RIGHT(I19,2)</f>
        <v>1Q07</v>
      </c>
      <c r="K19" s="109"/>
      <c r="L19" s="109"/>
      <c r="M19" s="109"/>
      <c r="N19" s="109"/>
      <c r="O19" s="109"/>
      <c r="P19" s="109"/>
      <c r="Q19" s="145"/>
      <c r="R19" s="109"/>
      <c r="S19" s="109"/>
      <c r="T19" s="109"/>
      <c r="U19" s="109">
        <v>14.5677</v>
      </c>
      <c r="V19" s="109"/>
      <c r="W19" s="109"/>
      <c r="X19" s="147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2"/>
    </row>
    <row r="20" spans="1:35" x14ac:dyDescent="0.25">
      <c r="A20" s="109"/>
      <c r="B20" s="109"/>
      <c r="C20" s="109"/>
      <c r="D20" s="109"/>
      <c r="E20" s="109"/>
      <c r="F20" s="109"/>
      <c r="G20" s="109"/>
      <c r="H20" s="148"/>
      <c r="I20" s="142">
        <f>I19</f>
        <v>2007</v>
      </c>
      <c r="J20" s="142" t="str">
        <f>"2Q"&amp;RIGHT(I20,2)</f>
        <v>2Q07</v>
      </c>
      <c r="K20" s="109"/>
      <c r="L20" s="109"/>
      <c r="M20" s="109"/>
      <c r="N20" s="109"/>
      <c r="O20" s="109"/>
      <c r="P20" s="109"/>
      <c r="Q20" s="145"/>
      <c r="R20" s="109"/>
      <c r="S20" s="109"/>
      <c r="T20" s="109"/>
      <c r="U20" s="109">
        <v>13.6374</v>
      </c>
      <c r="V20" s="109"/>
      <c r="W20" s="109"/>
      <c r="X20" s="147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2"/>
    </row>
    <row r="21" spans="1:35" x14ac:dyDescent="0.25">
      <c r="A21" s="109"/>
      <c r="B21" s="109"/>
      <c r="C21" s="109"/>
      <c r="D21" s="148"/>
      <c r="E21" s="148"/>
      <c r="F21" s="148"/>
      <c r="G21" s="148"/>
      <c r="H21" s="148"/>
      <c r="I21" s="142">
        <f>I20</f>
        <v>2007</v>
      </c>
      <c r="J21" s="142" t="str">
        <f>"3Q"&amp;RIGHT(I21,2)</f>
        <v>3Q07</v>
      </c>
      <c r="K21" s="109"/>
      <c r="L21" s="109"/>
      <c r="M21" s="109"/>
      <c r="N21" s="109"/>
      <c r="O21" s="109"/>
      <c r="P21" s="109"/>
      <c r="Q21" s="145"/>
      <c r="R21" s="109"/>
      <c r="S21" s="109"/>
      <c r="T21" s="109"/>
      <c r="U21" s="109">
        <v>16.556000000000001</v>
      </c>
      <c r="V21" s="109"/>
      <c r="W21" s="109"/>
      <c r="X21" s="147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2"/>
    </row>
    <row r="22" spans="1:35" x14ac:dyDescent="0.25">
      <c r="A22" s="109"/>
      <c r="B22" s="109"/>
      <c r="C22" s="109"/>
      <c r="D22" s="148"/>
      <c r="E22" s="148"/>
      <c r="F22" s="148"/>
      <c r="G22" s="148"/>
      <c r="H22" s="148"/>
      <c r="I22" s="142">
        <f>I21</f>
        <v>2007</v>
      </c>
      <c r="J22" s="142" t="str">
        <f>"4Q"&amp;RIGHT(I22,2)</f>
        <v>4Q07</v>
      </c>
      <c r="K22" s="109"/>
      <c r="L22" s="109"/>
      <c r="M22" s="109"/>
      <c r="N22" s="109"/>
      <c r="O22" s="109"/>
      <c r="P22" s="109"/>
      <c r="Q22" s="145"/>
      <c r="R22" s="109"/>
      <c r="S22" s="109"/>
      <c r="T22" s="109"/>
      <c r="U22" s="109">
        <v>36.384999999999998</v>
      </c>
      <c r="V22" s="109"/>
      <c r="W22" s="109"/>
      <c r="X22" s="147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2"/>
    </row>
    <row r="23" spans="1:35" x14ac:dyDescent="0.25">
      <c r="A23" s="109"/>
      <c r="B23" s="109"/>
      <c r="C23" s="109"/>
      <c r="D23" s="148"/>
      <c r="E23" s="148"/>
      <c r="F23" s="148"/>
      <c r="G23" s="148"/>
      <c r="H23" s="148"/>
      <c r="I23" s="142">
        <f>I22+1</f>
        <v>2008</v>
      </c>
      <c r="J23" s="142" t="str">
        <f>"1Q"&amp;RIGHT(I23,2)</f>
        <v>1Q08</v>
      </c>
      <c r="K23" s="109"/>
      <c r="L23" s="109"/>
      <c r="M23" s="109"/>
      <c r="N23" s="109"/>
      <c r="O23" s="109"/>
      <c r="P23" s="109"/>
      <c r="Q23" s="145"/>
      <c r="R23" s="109"/>
      <c r="S23" s="109"/>
      <c r="T23" s="109"/>
      <c r="U23" s="109">
        <v>38.588200000000001</v>
      </c>
      <c r="V23" s="109"/>
      <c r="W23" s="109"/>
      <c r="X23" s="147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2"/>
    </row>
    <row r="24" spans="1:35" x14ac:dyDescent="0.25">
      <c r="A24" s="109"/>
      <c r="B24" s="109"/>
      <c r="C24" s="109"/>
      <c r="D24" s="148"/>
      <c r="E24" s="148"/>
      <c r="F24" s="148"/>
      <c r="G24" s="148"/>
      <c r="H24" s="148"/>
      <c r="I24" s="142">
        <f>I23</f>
        <v>2008</v>
      </c>
      <c r="J24" s="142" t="str">
        <f>"2Q"&amp;RIGHT(I24,2)</f>
        <v>2Q08</v>
      </c>
      <c r="K24" s="109"/>
      <c r="L24" s="109"/>
      <c r="M24" s="109"/>
      <c r="N24" s="109"/>
      <c r="O24" s="109"/>
      <c r="P24" s="109"/>
      <c r="Q24" s="145"/>
      <c r="R24" s="109"/>
      <c r="S24" s="109"/>
      <c r="T24" s="109"/>
      <c r="U24" s="109">
        <v>43.570399999999999</v>
      </c>
      <c r="V24" s="109"/>
      <c r="W24" s="109"/>
      <c r="X24" s="147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2"/>
    </row>
    <row r="25" spans="1:35" x14ac:dyDescent="0.25">
      <c r="A25" s="109"/>
      <c r="B25" s="109"/>
      <c r="C25" s="109"/>
      <c r="D25" s="148"/>
      <c r="E25" s="148"/>
      <c r="F25" s="148"/>
      <c r="G25" s="148"/>
      <c r="H25" s="148"/>
      <c r="I25" s="142">
        <f>I24</f>
        <v>2008</v>
      </c>
      <c r="J25" s="142" t="str">
        <f>"3Q"&amp;RIGHT(I25,2)</f>
        <v>3Q08</v>
      </c>
      <c r="K25" s="109"/>
      <c r="L25" s="109"/>
      <c r="M25" s="109"/>
      <c r="N25" s="109"/>
      <c r="O25" s="109"/>
      <c r="P25" s="109"/>
      <c r="Q25" s="145"/>
      <c r="R25" s="109"/>
      <c r="S25" s="109"/>
      <c r="T25" s="109"/>
      <c r="U25" s="109">
        <v>23.3202</v>
      </c>
      <c r="V25" s="109"/>
      <c r="W25" s="109"/>
      <c r="X25" s="147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2"/>
    </row>
    <row r="26" spans="1:35" x14ac:dyDescent="0.25">
      <c r="A26" s="109"/>
      <c r="B26" s="109"/>
      <c r="C26" s="109"/>
      <c r="D26" s="148"/>
      <c r="E26" s="148"/>
      <c r="F26" s="148"/>
      <c r="G26" s="148"/>
      <c r="H26" s="109"/>
      <c r="I26" s="142">
        <f>I25</f>
        <v>2008</v>
      </c>
      <c r="J26" s="142" t="str">
        <f>"4Q"&amp;RIGHT(I26,2)</f>
        <v>4Q08</v>
      </c>
      <c r="K26" s="109"/>
      <c r="L26" s="109"/>
      <c r="M26" s="109"/>
      <c r="N26" s="109"/>
      <c r="O26" s="109"/>
      <c r="P26" s="109"/>
      <c r="Q26" s="145"/>
      <c r="R26" s="109"/>
      <c r="S26" s="109"/>
      <c r="T26" s="109"/>
      <c r="U26" s="109">
        <v>33.902700000000003</v>
      </c>
      <c r="V26" s="109"/>
      <c r="W26" s="109"/>
      <c r="X26" s="147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2"/>
    </row>
    <row r="27" spans="1:35" x14ac:dyDescent="0.25">
      <c r="A27" s="109"/>
      <c r="B27" s="109"/>
      <c r="C27" s="109"/>
      <c r="D27" s="148"/>
      <c r="E27" s="148"/>
      <c r="F27" s="148"/>
      <c r="G27" s="148"/>
      <c r="H27" s="137"/>
      <c r="I27" s="142">
        <f>I26+1</f>
        <v>2009</v>
      </c>
      <c r="J27" s="142" t="str">
        <f>"1Q"&amp;RIGHT(I27,2)</f>
        <v>1Q09</v>
      </c>
      <c r="K27" s="109"/>
      <c r="L27" s="109"/>
      <c r="M27" s="109"/>
      <c r="N27" s="109"/>
      <c r="O27" s="109"/>
      <c r="P27" s="109"/>
      <c r="Q27" s="145"/>
      <c r="R27" s="109"/>
      <c r="S27" s="109"/>
      <c r="T27" s="109"/>
      <c r="U27" s="109">
        <v>37.348500000000001</v>
      </c>
      <c r="V27" s="109"/>
      <c r="W27" s="109"/>
      <c r="X27" s="147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2"/>
    </row>
    <row r="28" spans="1:35" x14ac:dyDescent="0.25">
      <c r="A28" s="109"/>
      <c r="B28" s="109"/>
      <c r="C28" s="109"/>
      <c r="D28" s="148"/>
      <c r="E28" s="148"/>
      <c r="F28" s="148"/>
      <c r="G28" s="148"/>
      <c r="H28" s="109"/>
      <c r="I28" s="142">
        <f>I27</f>
        <v>2009</v>
      </c>
      <c r="J28" s="142" t="str">
        <f>"2Q"&amp;RIGHT(I28,2)</f>
        <v>2Q09</v>
      </c>
      <c r="K28" s="109"/>
      <c r="L28" s="109"/>
      <c r="M28" s="109"/>
      <c r="N28" s="109">
        <v>20.878</v>
      </c>
      <c r="O28" s="109"/>
      <c r="P28" s="109"/>
      <c r="Q28" s="145"/>
      <c r="R28" s="109"/>
      <c r="S28" s="109"/>
      <c r="T28" s="109"/>
      <c r="U28" s="109">
        <v>25.090499999999999</v>
      </c>
      <c r="V28" s="109"/>
      <c r="W28" s="109"/>
      <c r="X28" s="147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2"/>
    </row>
    <row r="29" spans="1:35" x14ac:dyDescent="0.25">
      <c r="A29" s="109"/>
      <c r="B29" s="109"/>
      <c r="C29" s="109"/>
      <c r="D29" s="148"/>
      <c r="E29" s="148"/>
      <c r="F29" s="148"/>
      <c r="G29" s="148"/>
      <c r="H29" s="109"/>
      <c r="I29" s="142">
        <f>I28</f>
        <v>2009</v>
      </c>
      <c r="J29" s="142" t="str">
        <f>"3Q"&amp;RIGHT(I29,2)</f>
        <v>3Q09</v>
      </c>
      <c r="K29" s="109"/>
      <c r="L29" s="109"/>
      <c r="M29" s="109"/>
      <c r="N29" s="109">
        <v>24.625</v>
      </c>
      <c r="O29" s="109"/>
      <c r="P29" s="109"/>
      <c r="Q29" s="145"/>
      <c r="R29" s="109"/>
      <c r="S29" s="109"/>
      <c r="T29" s="109"/>
      <c r="U29" s="109">
        <v>13.2447</v>
      </c>
      <c r="V29" s="109"/>
      <c r="W29" s="109"/>
      <c r="X29" s="147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2"/>
    </row>
    <row r="30" spans="1:35" x14ac:dyDescent="0.25">
      <c r="A30" s="109"/>
      <c r="B30" s="109"/>
      <c r="C30" s="109"/>
      <c r="D30" s="148"/>
      <c r="E30" s="148"/>
      <c r="F30" s="148"/>
      <c r="G30" s="148"/>
      <c r="H30" s="148"/>
      <c r="I30" s="142">
        <f>I29</f>
        <v>2009</v>
      </c>
      <c r="J30" s="142" t="str">
        <f>"4Q"&amp;RIGHT(I30,2)</f>
        <v>4Q09</v>
      </c>
      <c r="K30" s="109"/>
      <c r="L30" s="109"/>
      <c r="M30" s="109"/>
      <c r="N30" s="109">
        <v>20.200399999999998</v>
      </c>
      <c r="O30" s="109"/>
      <c r="P30" s="109"/>
      <c r="Q30" s="145"/>
      <c r="R30" s="109"/>
      <c r="S30" s="109"/>
      <c r="T30" s="109"/>
      <c r="U30" s="109">
        <v>8.1698000000000004</v>
      </c>
      <c r="V30" s="109"/>
      <c r="W30" s="109"/>
      <c r="X30" s="147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2"/>
    </row>
    <row r="31" spans="1:35" x14ac:dyDescent="0.25">
      <c r="A31" s="109"/>
      <c r="B31" s="109"/>
      <c r="C31" s="109"/>
      <c r="D31" s="148"/>
      <c r="E31" s="148"/>
      <c r="F31" s="148"/>
      <c r="G31" s="148"/>
      <c r="H31" s="148"/>
      <c r="I31" s="142">
        <f>I30+1</f>
        <v>2010</v>
      </c>
      <c r="J31" s="142" t="str">
        <f>"1Q"&amp;RIGHT(I31,2)</f>
        <v>1Q10</v>
      </c>
      <c r="K31" s="109"/>
      <c r="L31" s="109"/>
      <c r="M31" s="109"/>
      <c r="N31" s="109">
        <v>18.7636</v>
      </c>
      <c r="O31" s="109"/>
      <c r="P31" s="109"/>
      <c r="Q31" s="145"/>
      <c r="R31" s="109">
        <v>4.6329000000000002</v>
      </c>
      <c r="S31" s="109"/>
      <c r="T31" s="109"/>
      <c r="U31" s="109">
        <v>12.0753</v>
      </c>
      <c r="V31" s="109"/>
      <c r="W31" s="109"/>
      <c r="X31" s="147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2"/>
    </row>
    <row r="32" spans="1:35" x14ac:dyDescent="0.25">
      <c r="A32" s="109"/>
      <c r="B32" s="109"/>
      <c r="C32" s="109"/>
      <c r="D32" s="148"/>
      <c r="E32" s="148"/>
      <c r="F32" s="148"/>
      <c r="G32" s="148"/>
      <c r="H32" s="148"/>
      <c r="I32" s="142">
        <f>I31</f>
        <v>2010</v>
      </c>
      <c r="J32" s="142" t="str">
        <f>"2Q"&amp;RIGHT(I32,2)</f>
        <v>2Q10</v>
      </c>
      <c r="K32" s="109"/>
      <c r="L32" s="109"/>
      <c r="M32" s="109"/>
      <c r="N32" s="109">
        <v>4.1435000000000004</v>
      </c>
      <c r="O32" s="109"/>
      <c r="P32" s="109"/>
      <c r="Q32" s="145"/>
      <c r="R32" s="109">
        <v>6.0606</v>
      </c>
      <c r="S32" s="109"/>
      <c r="T32" s="109"/>
      <c r="U32" s="109">
        <v>12.562799999999999</v>
      </c>
      <c r="V32" s="109"/>
      <c r="W32" s="109"/>
      <c r="X32" s="147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2"/>
    </row>
    <row r="33" spans="1:35" x14ac:dyDescent="0.25">
      <c r="A33" s="109"/>
      <c r="B33" s="109"/>
      <c r="C33" s="109"/>
      <c r="D33" s="109"/>
      <c r="E33" s="109"/>
      <c r="F33" s="109"/>
      <c r="G33" s="109"/>
      <c r="H33" s="148"/>
      <c r="I33" s="142">
        <f>I32</f>
        <v>2010</v>
      </c>
      <c r="J33" s="142" t="str">
        <f>"3Q"&amp;RIGHT(I33,2)</f>
        <v>3Q10</v>
      </c>
      <c r="K33" s="109">
        <v>9.1166999999999998</v>
      </c>
      <c r="L33" s="109"/>
      <c r="M33" s="109"/>
      <c r="N33" s="109">
        <v>5.3235000000000001</v>
      </c>
      <c r="O33" s="109"/>
      <c r="P33" s="109"/>
      <c r="Q33" s="145"/>
      <c r="R33" s="109">
        <v>7.8742999999999999</v>
      </c>
      <c r="S33" s="109"/>
      <c r="T33" s="109"/>
      <c r="U33" s="109">
        <v>11.074</v>
      </c>
      <c r="V33" s="109"/>
      <c r="W33" s="109"/>
      <c r="X33" s="147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2"/>
    </row>
    <row r="34" spans="1:35" x14ac:dyDescent="0.25">
      <c r="A34" s="109"/>
      <c r="B34" s="137"/>
      <c r="C34" s="137"/>
      <c r="D34" s="137"/>
      <c r="E34" s="137"/>
      <c r="F34" s="137"/>
      <c r="G34" s="137"/>
      <c r="H34" s="109"/>
      <c r="I34" s="142">
        <f>I33</f>
        <v>2010</v>
      </c>
      <c r="J34" s="142" t="str">
        <f>"4Q"&amp;RIGHT(I34,2)</f>
        <v>4Q10</v>
      </c>
      <c r="K34" s="109">
        <v>8.9179999999999993</v>
      </c>
      <c r="L34" s="109"/>
      <c r="M34" s="109"/>
      <c r="N34" s="109">
        <v>4.4976000000000003</v>
      </c>
      <c r="O34" s="109"/>
      <c r="P34" s="109"/>
      <c r="Q34" s="145"/>
      <c r="R34" s="109">
        <v>6.39</v>
      </c>
      <c r="S34" s="109">
        <v>6.3609</v>
      </c>
      <c r="T34" s="109"/>
      <c r="U34" s="109">
        <v>9.3369</v>
      </c>
      <c r="V34" s="109"/>
      <c r="W34" s="109"/>
      <c r="X34" s="147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2"/>
    </row>
    <row r="35" spans="1:35" x14ac:dyDescent="0.25">
      <c r="A35" s="109"/>
      <c r="B35" s="109"/>
      <c r="C35" s="109"/>
      <c r="D35" s="109"/>
      <c r="E35" s="109"/>
      <c r="F35" s="109"/>
      <c r="G35" s="109"/>
      <c r="H35" s="109"/>
      <c r="I35" s="142">
        <f>I34+1</f>
        <v>2011</v>
      </c>
      <c r="J35" s="142" t="str">
        <f>"1Q"&amp;RIGHT(I35,2)</f>
        <v>1Q11</v>
      </c>
      <c r="K35" s="109">
        <v>14.857100000000001</v>
      </c>
      <c r="L35" s="109"/>
      <c r="M35" s="109"/>
      <c r="N35" s="109">
        <v>4.6666999999999996</v>
      </c>
      <c r="O35" s="109"/>
      <c r="P35" s="109"/>
      <c r="Q35" s="145"/>
      <c r="R35" s="109">
        <v>7.6696</v>
      </c>
      <c r="S35" s="109">
        <v>6.3365999999999998</v>
      </c>
      <c r="T35" s="109"/>
      <c r="U35" s="109">
        <v>6.8491</v>
      </c>
      <c r="V35" s="109"/>
      <c r="W35" s="109"/>
      <c r="X35" s="147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2"/>
    </row>
    <row r="36" spans="1:35" x14ac:dyDescent="0.25">
      <c r="A36" s="109"/>
      <c r="B36" s="109"/>
      <c r="C36" s="109"/>
      <c r="D36" s="109"/>
      <c r="E36" s="109"/>
      <c r="F36" s="109"/>
      <c r="G36" s="109"/>
      <c r="H36" s="148"/>
      <c r="I36" s="142">
        <f>I35</f>
        <v>2011</v>
      </c>
      <c r="J36" s="142" t="str">
        <f>"2Q"&amp;RIGHT(I36,2)</f>
        <v>2Q11</v>
      </c>
      <c r="K36" s="109">
        <v>320.75</v>
      </c>
      <c r="L36" s="109"/>
      <c r="M36" s="109"/>
      <c r="N36" s="109">
        <v>12.0845</v>
      </c>
      <c r="O36" s="109"/>
      <c r="P36" s="109"/>
      <c r="Q36" s="145"/>
      <c r="R36" s="109">
        <v>12.628</v>
      </c>
      <c r="S36" s="109">
        <v>81.104299999999995</v>
      </c>
      <c r="T36" s="109"/>
      <c r="U36" s="109">
        <v>11.737500000000001</v>
      </c>
      <c r="V36" s="109"/>
      <c r="W36" s="109"/>
      <c r="X36" s="147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2"/>
    </row>
    <row r="37" spans="1:35" x14ac:dyDescent="0.25">
      <c r="A37" s="109"/>
      <c r="B37" s="109"/>
      <c r="C37" s="109"/>
      <c r="D37" s="148"/>
      <c r="E37" s="148"/>
      <c r="F37" s="148"/>
      <c r="G37" s="148"/>
      <c r="H37" s="148"/>
      <c r="I37" s="142">
        <f>I36</f>
        <v>2011</v>
      </c>
      <c r="J37" s="142" t="str">
        <f>"3Q"&amp;RIGHT(I37,2)</f>
        <v>3Q11</v>
      </c>
      <c r="K37" s="109">
        <v>164.77780000000001</v>
      </c>
      <c r="L37" s="109"/>
      <c r="M37" s="109"/>
      <c r="N37" s="109">
        <v>34.287700000000001</v>
      </c>
      <c r="O37" s="109"/>
      <c r="P37" s="109"/>
      <c r="Q37" s="145"/>
      <c r="R37" s="109">
        <v>6.9821</v>
      </c>
      <c r="S37" s="109">
        <v>6.0176999999999996</v>
      </c>
      <c r="T37" s="109"/>
      <c r="U37" s="109">
        <v>8.9258000000000006</v>
      </c>
      <c r="V37" s="109"/>
      <c r="W37" s="109"/>
      <c r="X37" s="147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2"/>
    </row>
    <row r="38" spans="1:35" x14ac:dyDescent="0.25">
      <c r="A38" s="109"/>
      <c r="B38" s="109"/>
      <c r="C38" s="109"/>
      <c r="D38" s="148"/>
      <c r="E38" s="148"/>
      <c r="F38" s="148"/>
      <c r="G38" s="148"/>
      <c r="H38" s="148"/>
      <c r="I38" s="142">
        <f>I37</f>
        <v>2011</v>
      </c>
      <c r="J38" s="142" t="str">
        <f>"4Q"&amp;RIGHT(I38,2)</f>
        <v>4Q11</v>
      </c>
      <c r="K38" s="109">
        <v>26.306100000000001</v>
      </c>
      <c r="L38" s="109"/>
      <c r="M38" s="109"/>
      <c r="N38" s="109">
        <v>27.038699999999999</v>
      </c>
      <c r="O38" s="109"/>
      <c r="P38" s="109"/>
      <c r="Q38" s="145"/>
      <c r="R38" s="109">
        <v>5.9183000000000003</v>
      </c>
      <c r="S38" s="109">
        <v>4.6165000000000003</v>
      </c>
      <c r="T38" s="109"/>
      <c r="U38" s="109">
        <v>8.3642000000000003</v>
      </c>
      <c r="V38" s="109">
        <v>9.8463999999999992</v>
      </c>
      <c r="W38" s="109"/>
      <c r="X38" s="147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2"/>
    </row>
    <row r="39" spans="1:35" x14ac:dyDescent="0.25">
      <c r="A39" s="109"/>
      <c r="B39" s="109"/>
      <c r="C39" s="109"/>
      <c r="D39" s="148"/>
      <c r="E39" s="148"/>
      <c r="F39" s="148"/>
      <c r="G39" s="148"/>
      <c r="H39" s="148"/>
      <c r="I39" s="142">
        <f>I38+1</f>
        <v>2012</v>
      </c>
      <c r="J39" s="142" t="str">
        <f>"1Q"&amp;RIGHT(I39,2)</f>
        <v>1Q12</v>
      </c>
      <c r="K39" s="109">
        <v>7.2995000000000001</v>
      </c>
      <c r="L39" s="109"/>
      <c r="M39" s="109"/>
      <c r="N39" s="109">
        <v>29.573799999999999</v>
      </c>
      <c r="O39" s="109"/>
      <c r="P39" s="109"/>
      <c r="Q39" s="145"/>
      <c r="R39" s="109">
        <v>5.6634000000000002</v>
      </c>
      <c r="S39" s="109">
        <v>6.5271999999999997</v>
      </c>
      <c r="T39" s="109"/>
      <c r="U39" s="109">
        <v>9.5757999999999992</v>
      </c>
      <c r="V39" s="109">
        <v>11.4886</v>
      </c>
      <c r="W39" s="109"/>
      <c r="X39" s="147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2"/>
    </row>
    <row r="40" spans="1:35" x14ac:dyDescent="0.25">
      <c r="A40" s="109"/>
      <c r="B40" s="109"/>
      <c r="C40" s="109"/>
      <c r="D40" s="148"/>
      <c r="E40" s="148"/>
      <c r="F40" s="148"/>
      <c r="G40" s="148"/>
      <c r="H40" s="148"/>
      <c r="I40" s="142">
        <f>I39</f>
        <v>2012</v>
      </c>
      <c r="J40" s="142" t="str">
        <f>"2Q"&amp;RIGHT(I40,2)</f>
        <v>2Q12</v>
      </c>
      <c r="K40" s="109">
        <v>6.8296000000000001</v>
      </c>
      <c r="L40" s="109">
        <v>15.269500000000001</v>
      </c>
      <c r="M40" s="109"/>
      <c r="N40" s="109">
        <v>8.9702999999999999</v>
      </c>
      <c r="O40" s="109"/>
      <c r="P40" s="109"/>
      <c r="Q40" s="145"/>
      <c r="R40" s="109">
        <v>5.3289</v>
      </c>
      <c r="S40" s="109">
        <v>6.7079000000000004</v>
      </c>
      <c r="T40" s="109"/>
      <c r="U40" s="109">
        <v>9.3544999999999998</v>
      </c>
      <c r="V40" s="109">
        <v>12.490399999999999</v>
      </c>
      <c r="W40" s="109"/>
      <c r="X40" s="147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2"/>
    </row>
    <row r="41" spans="1:35" x14ac:dyDescent="0.25">
      <c r="A41" s="109"/>
      <c r="B41" s="109"/>
      <c r="C41" s="109"/>
      <c r="D41" s="109"/>
      <c r="E41" s="109"/>
      <c r="F41" s="109"/>
      <c r="G41" s="109"/>
      <c r="H41" s="148"/>
      <c r="I41" s="142">
        <f>I40</f>
        <v>2012</v>
      </c>
      <c r="J41" s="142" t="str">
        <f>"3Q"&amp;RIGHT(I41,2)</f>
        <v>3Q12</v>
      </c>
      <c r="K41" s="109">
        <v>9.1132000000000009</v>
      </c>
      <c r="L41" s="109">
        <v>7.5138999999999996</v>
      </c>
      <c r="M41" s="109"/>
      <c r="N41" s="109">
        <v>11.0009</v>
      </c>
      <c r="O41" s="109">
        <v>15.3202</v>
      </c>
      <c r="P41" s="109"/>
      <c r="Q41" s="145"/>
      <c r="R41" s="109">
        <v>8.2635000000000005</v>
      </c>
      <c r="S41" s="109">
        <v>6.5715000000000003</v>
      </c>
      <c r="T41" s="109"/>
      <c r="U41" s="109">
        <v>8.6631</v>
      </c>
      <c r="V41" s="109">
        <v>10.4925</v>
      </c>
      <c r="W41" s="109"/>
      <c r="X41" s="147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2"/>
    </row>
    <row r="42" spans="1:35" x14ac:dyDescent="0.25">
      <c r="A42" s="109"/>
      <c r="B42" s="109"/>
      <c r="C42" s="109"/>
      <c r="D42" s="109"/>
      <c r="E42" s="109"/>
      <c r="F42" s="109"/>
      <c r="G42" s="109"/>
      <c r="H42" s="148"/>
      <c r="I42" s="142">
        <f>I41</f>
        <v>2012</v>
      </c>
      <c r="J42" s="142" t="str">
        <f>"4Q"&amp;RIGHT(I42,2)</f>
        <v>4Q12</v>
      </c>
      <c r="K42" s="109">
        <v>12.364800000000001</v>
      </c>
      <c r="L42" s="109">
        <v>6.7317999999999998</v>
      </c>
      <c r="M42" s="109"/>
      <c r="N42" s="109">
        <v>10.155799999999999</v>
      </c>
      <c r="O42" s="109">
        <v>10.1267</v>
      </c>
      <c r="P42" s="109"/>
      <c r="Q42" s="145"/>
      <c r="R42" s="109">
        <v>7.9019000000000004</v>
      </c>
      <c r="S42" s="109">
        <v>6.2842000000000002</v>
      </c>
      <c r="T42" s="109"/>
      <c r="U42" s="109">
        <v>8.9791000000000007</v>
      </c>
      <c r="V42" s="109">
        <v>8.5036000000000005</v>
      </c>
      <c r="W42" s="109"/>
      <c r="X42" s="147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2"/>
    </row>
    <row r="43" spans="1:35" x14ac:dyDescent="0.25">
      <c r="A43" s="109"/>
      <c r="B43" s="109"/>
      <c r="C43" s="109"/>
      <c r="D43" s="148"/>
      <c r="E43" s="148"/>
      <c r="F43" s="148"/>
      <c r="G43" s="148"/>
      <c r="H43" s="148"/>
      <c r="I43" s="142">
        <f>I42+1</f>
        <v>2013</v>
      </c>
      <c r="J43" s="142" t="str">
        <f>"1Q"&amp;RIGHT(I43,2)</f>
        <v>1Q13</v>
      </c>
      <c r="K43" s="109">
        <v>11.693199999999999</v>
      </c>
      <c r="L43" s="109">
        <v>6.7933000000000003</v>
      </c>
      <c r="M43" s="109"/>
      <c r="N43" s="109">
        <v>12.1325</v>
      </c>
      <c r="O43" s="109">
        <v>8.7273999999999994</v>
      </c>
      <c r="P43" s="109"/>
      <c r="Q43" s="145"/>
      <c r="R43" s="109">
        <v>9.5190000000000001</v>
      </c>
      <c r="S43" s="109">
        <v>7.7830000000000004</v>
      </c>
      <c r="T43" s="109"/>
      <c r="U43" s="109">
        <v>10.216900000000001</v>
      </c>
      <c r="V43" s="109">
        <v>9.5259</v>
      </c>
      <c r="W43" s="109"/>
      <c r="X43" s="147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2"/>
    </row>
    <row r="44" spans="1:35" x14ac:dyDescent="0.25">
      <c r="A44" s="109"/>
      <c r="B44" s="109"/>
      <c r="C44" s="109"/>
      <c r="D44" s="148"/>
      <c r="E44" s="148"/>
      <c r="F44" s="148"/>
      <c r="G44" s="148"/>
      <c r="H44" s="148"/>
      <c r="I44" s="142">
        <f>I43</f>
        <v>2013</v>
      </c>
      <c r="J44" s="142" t="str">
        <f>"2Q"&amp;RIGHT(I44,2)</f>
        <v>2Q13</v>
      </c>
      <c r="K44" s="109">
        <v>10.6288</v>
      </c>
      <c r="L44" s="109">
        <v>7.9622000000000002</v>
      </c>
      <c r="M44" s="109"/>
      <c r="N44" s="109">
        <v>12.102600000000001</v>
      </c>
      <c r="O44" s="109">
        <v>9.4939</v>
      </c>
      <c r="P44" s="109"/>
      <c r="Q44" s="145"/>
      <c r="R44" s="109">
        <v>10.037100000000001</v>
      </c>
      <c r="S44" s="109">
        <v>7.3103999999999996</v>
      </c>
      <c r="T44" s="109"/>
      <c r="U44" s="109">
        <v>12.9955</v>
      </c>
      <c r="V44" s="109">
        <v>14.090199999999999</v>
      </c>
      <c r="W44" s="109"/>
      <c r="X44" s="147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2"/>
    </row>
    <row r="45" spans="1:35" x14ac:dyDescent="0.25">
      <c r="A45" s="109"/>
      <c r="B45" s="109"/>
      <c r="C45" s="109"/>
      <c r="D45" s="148"/>
      <c r="E45" s="148"/>
      <c r="F45" s="148"/>
      <c r="G45" s="148"/>
      <c r="H45" s="148"/>
      <c r="I45" s="142">
        <f>I44</f>
        <v>2013</v>
      </c>
      <c r="J45" s="142" t="str">
        <f>"3Q"&amp;RIGHT(I45,2)</f>
        <v>3Q13</v>
      </c>
      <c r="K45" s="109">
        <v>10.1511</v>
      </c>
      <c r="L45" s="109">
        <v>11.777799999999999</v>
      </c>
      <c r="M45" s="109"/>
      <c r="N45" s="109">
        <v>11.8713</v>
      </c>
      <c r="O45" s="109">
        <v>8.8160000000000007</v>
      </c>
      <c r="P45" s="109"/>
      <c r="Q45" s="145"/>
      <c r="R45" s="109">
        <v>9.1690000000000005</v>
      </c>
      <c r="S45" s="109">
        <v>10.607100000000001</v>
      </c>
      <c r="T45" s="109"/>
      <c r="U45" s="109">
        <v>10.509</v>
      </c>
      <c r="V45" s="109">
        <v>11.6281</v>
      </c>
      <c r="W45" s="109"/>
      <c r="X45" s="147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2"/>
    </row>
    <row r="46" spans="1:35" x14ac:dyDescent="0.25">
      <c r="A46" s="109"/>
      <c r="B46" s="109"/>
      <c r="C46" s="109"/>
      <c r="D46" s="148"/>
      <c r="E46" s="148"/>
      <c r="F46" s="148"/>
      <c r="G46" s="148"/>
      <c r="H46" s="148"/>
      <c r="I46" s="142">
        <f>I45</f>
        <v>2013</v>
      </c>
      <c r="J46" s="142" t="str">
        <f>"4Q"&amp;RIGHT(I46,2)</f>
        <v>4Q13</v>
      </c>
      <c r="K46" s="109">
        <v>9.2509999999999994</v>
      </c>
      <c r="L46" s="109">
        <v>10.2288</v>
      </c>
      <c r="M46" s="109"/>
      <c r="N46" s="109">
        <v>10.1256</v>
      </c>
      <c r="O46" s="109">
        <v>8.0105000000000004</v>
      </c>
      <c r="P46" s="109"/>
      <c r="Q46" s="145"/>
      <c r="R46" s="109">
        <v>8.6584000000000003</v>
      </c>
      <c r="S46" s="109">
        <v>10.4367</v>
      </c>
      <c r="T46" s="109">
        <v>12.2949</v>
      </c>
      <c r="U46" s="109">
        <v>10.232799999999999</v>
      </c>
      <c r="V46" s="109">
        <v>11.346500000000001</v>
      </c>
      <c r="W46" s="109"/>
      <c r="X46" s="147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2"/>
    </row>
    <row r="47" spans="1:35" x14ac:dyDescent="0.25">
      <c r="A47" s="109"/>
      <c r="B47" s="109"/>
      <c r="C47" s="109"/>
      <c r="D47" s="148"/>
      <c r="E47" s="148"/>
      <c r="F47" s="148"/>
      <c r="G47" s="148"/>
      <c r="H47" s="148"/>
      <c r="I47" s="142">
        <f>I46+1</f>
        <v>2014</v>
      </c>
      <c r="J47" s="142" t="str">
        <f>"1Q"&amp;RIGHT(I47,2)</f>
        <v>1Q14</v>
      </c>
      <c r="K47" s="109">
        <v>10.2765</v>
      </c>
      <c r="L47" s="109">
        <v>15.5817</v>
      </c>
      <c r="M47" s="109"/>
      <c r="N47" s="109">
        <v>9.2652000000000001</v>
      </c>
      <c r="O47" s="109">
        <v>8.2091999999999992</v>
      </c>
      <c r="P47" s="109"/>
      <c r="Q47" s="145"/>
      <c r="R47" s="109">
        <v>8.7520000000000007</v>
      </c>
      <c r="S47" s="109">
        <v>10.3697</v>
      </c>
      <c r="T47" s="109">
        <v>11.9617</v>
      </c>
      <c r="U47" s="109">
        <v>7.8905000000000003</v>
      </c>
      <c r="V47" s="109">
        <v>10.6355</v>
      </c>
      <c r="W47" s="109"/>
      <c r="X47" s="147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2"/>
    </row>
    <row r="48" spans="1:35" x14ac:dyDescent="0.25">
      <c r="A48" s="109"/>
      <c r="B48" s="109"/>
      <c r="C48" s="109"/>
      <c r="D48" s="148"/>
      <c r="E48" s="148"/>
      <c r="F48" s="148"/>
      <c r="G48" s="148"/>
      <c r="H48" s="109"/>
      <c r="I48" s="142">
        <f>I47</f>
        <v>2014</v>
      </c>
      <c r="J48" s="142" t="str">
        <f>"2Q"&amp;RIGHT(I48,2)</f>
        <v>2Q14</v>
      </c>
      <c r="K48" s="109">
        <v>18.1328</v>
      </c>
      <c r="L48" s="109">
        <v>36.843800000000002</v>
      </c>
      <c r="M48" s="109"/>
      <c r="N48" s="109">
        <v>9.9330999999999996</v>
      </c>
      <c r="O48" s="109">
        <v>9.6507000000000005</v>
      </c>
      <c r="P48" s="109"/>
      <c r="Q48" s="145"/>
      <c r="R48" s="109">
        <v>9.8346999999999998</v>
      </c>
      <c r="S48" s="109">
        <v>14.422000000000001</v>
      </c>
      <c r="T48" s="109">
        <v>12.696300000000001</v>
      </c>
      <c r="U48" s="109">
        <v>10.3911</v>
      </c>
      <c r="V48" s="109">
        <v>10.585100000000001</v>
      </c>
      <c r="W48" s="109"/>
      <c r="X48" s="147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2"/>
    </row>
    <row r="49" spans="1:35" x14ac:dyDescent="0.25">
      <c r="A49" s="109"/>
      <c r="B49" s="109"/>
      <c r="C49" s="109"/>
      <c r="D49" s="148"/>
      <c r="E49" s="148"/>
      <c r="F49" s="148"/>
      <c r="G49" s="148"/>
      <c r="H49" s="137"/>
      <c r="I49" s="142">
        <f>I48</f>
        <v>2014</v>
      </c>
      <c r="J49" s="142" t="str">
        <f>"3Q"&amp;RIGHT(I49,2)</f>
        <v>3Q14</v>
      </c>
      <c r="K49" s="109">
        <v>19.008299999999998</v>
      </c>
      <c r="L49" s="109">
        <v>45.094799999999999</v>
      </c>
      <c r="M49" s="109"/>
      <c r="N49" s="109">
        <v>9.8007000000000009</v>
      </c>
      <c r="O49" s="109">
        <v>11.268000000000001</v>
      </c>
      <c r="P49" s="109"/>
      <c r="Q49" s="145"/>
      <c r="R49" s="109">
        <v>8.8274000000000008</v>
      </c>
      <c r="S49" s="109">
        <v>10.7409</v>
      </c>
      <c r="T49" s="109">
        <v>10.8675</v>
      </c>
      <c r="U49" s="109">
        <v>10.239699999999999</v>
      </c>
      <c r="V49" s="109">
        <v>10.5406</v>
      </c>
      <c r="W49" s="109"/>
      <c r="X49" s="147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2"/>
    </row>
    <row r="50" spans="1:35" x14ac:dyDescent="0.25">
      <c r="A50" s="109"/>
      <c r="B50" s="109"/>
      <c r="C50" s="109"/>
      <c r="D50" s="148"/>
      <c r="E50" s="148"/>
      <c r="F50" s="148"/>
      <c r="G50" s="148"/>
      <c r="H50" s="109"/>
      <c r="I50" s="142">
        <f>I49</f>
        <v>2014</v>
      </c>
      <c r="J50" s="142" t="str">
        <f>"4Q"&amp;RIGHT(I50,2)</f>
        <v>4Q14</v>
      </c>
      <c r="K50" s="109">
        <v>14.741899999999999</v>
      </c>
      <c r="L50" s="109">
        <v>45.878500000000003</v>
      </c>
      <c r="M50" s="109"/>
      <c r="N50" s="109">
        <v>12.450100000000001</v>
      </c>
      <c r="O50" s="109">
        <v>15.2309</v>
      </c>
      <c r="P50" s="109"/>
      <c r="Q50" s="145"/>
      <c r="R50" s="109">
        <v>8.8668999999999993</v>
      </c>
      <c r="S50" s="109">
        <v>13.090999999999999</v>
      </c>
      <c r="T50" s="109">
        <v>11.321899999999999</v>
      </c>
      <c r="U50" s="109">
        <v>10.006399999999999</v>
      </c>
      <c r="V50" s="109">
        <v>10.5708</v>
      </c>
      <c r="W50" s="109"/>
      <c r="X50" s="147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2"/>
    </row>
    <row r="51" spans="1:35" x14ac:dyDescent="0.25">
      <c r="A51" s="109"/>
      <c r="B51" s="109"/>
      <c r="C51" s="109"/>
      <c r="D51" s="148"/>
      <c r="E51" s="148"/>
      <c r="F51" s="148"/>
      <c r="G51" s="148"/>
      <c r="H51" s="109"/>
      <c r="I51" s="142">
        <f>I50+1</f>
        <v>2015</v>
      </c>
      <c r="J51" s="142" t="str">
        <f>"1Q"&amp;RIGHT(I51,2)</f>
        <v>1Q15</v>
      </c>
      <c r="K51" s="109">
        <v>18.042999999999999</v>
      </c>
      <c r="L51" s="109">
        <v>23.187000000000001</v>
      </c>
      <c r="M51" s="109"/>
      <c r="N51" s="109">
        <v>13.7765</v>
      </c>
      <c r="O51" s="109">
        <v>28.9148</v>
      </c>
      <c r="P51" s="109"/>
      <c r="Q51" s="145"/>
      <c r="R51" s="109">
        <v>6.4962999999999997</v>
      </c>
      <c r="S51" s="109">
        <v>11.997199999999999</v>
      </c>
      <c r="T51" s="109">
        <v>12.986599999999999</v>
      </c>
      <c r="U51" s="109">
        <v>9.5571000000000002</v>
      </c>
      <c r="V51" s="109">
        <v>7.7670000000000003</v>
      </c>
      <c r="W51" s="109"/>
      <c r="X51" s="147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2"/>
    </row>
    <row r="52" spans="1:35" x14ac:dyDescent="0.25">
      <c r="A52" s="109"/>
      <c r="B52" s="109"/>
      <c r="C52" s="109"/>
      <c r="D52" s="148"/>
      <c r="E52" s="148"/>
      <c r="F52" s="148"/>
      <c r="G52" s="148"/>
      <c r="H52" s="148"/>
      <c r="I52" s="142">
        <f>I51</f>
        <v>2015</v>
      </c>
      <c r="J52" s="142" t="str">
        <f>"2Q"&amp;RIGHT(I52,2)</f>
        <v>2Q15</v>
      </c>
      <c r="K52" s="109">
        <v>15.59</v>
      </c>
      <c r="L52" s="109">
        <v>20.0458</v>
      </c>
      <c r="M52" s="109"/>
      <c r="N52" s="109">
        <v>22.838200000000001</v>
      </c>
      <c r="O52" s="109">
        <v>35.189799999999998</v>
      </c>
      <c r="P52" s="109"/>
      <c r="Q52" s="145"/>
      <c r="R52" s="109">
        <v>9.1437000000000008</v>
      </c>
      <c r="S52" s="109">
        <v>11.8316</v>
      </c>
      <c r="T52" s="109">
        <v>12.480700000000001</v>
      </c>
      <c r="U52" s="109">
        <v>12.9438</v>
      </c>
      <c r="V52" s="109">
        <v>11.604799999999999</v>
      </c>
      <c r="W52" s="109"/>
      <c r="X52" s="147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2"/>
    </row>
    <row r="53" spans="1:35" x14ac:dyDescent="0.25">
      <c r="A53" s="109"/>
      <c r="B53" s="109"/>
      <c r="C53" s="109"/>
      <c r="D53" s="148"/>
      <c r="E53" s="148"/>
      <c r="F53" s="148"/>
      <c r="G53" s="148"/>
      <c r="H53" s="148"/>
      <c r="I53" s="142">
        <f>I52</f>
        <v>2015</v>
      </c>
      <c r="J53" s="142" t="str">
        <f>"3Q"&amp;RIGHT(I53,2)</f>
        <v>3Q15</v>
      </c>
      <c r="K53" s="109">
        <v>14.5</v>
      </c>
      <c r="L53" s="109">
        <v>42.0167</v>
      </c>
      <c r="M53" s="109"/>
      <c r="N53" s="109">
        <v>75.599100000000007</v>
      </c>
      <c r="O53" s="109">
        <v>37.960799999999999</v>
      </c>
      <c r="P53" s="109"/>
      <c r="Q53" s="145"/>
      <c r="R53" s="109">
        <v>13.3789</v>
      </c>
      <c r="S53" s="109">
        <v>12.9795</v>
      </c>
      <c r="T53" s="109">
        <v>11.2491</v>
      </c>
      <c r="U53" s="109">
        <v>11.741300000000001</v>
      </c>
      <c r="V53" s="109">
        <v>12.6822</v>
      </c>
      <c r="W53" s="109"/>
      <c r="X53" s="147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2"/>
    </row>
    <row r="54" spans="1:35" x14ac:dyDescent="0.25">
      <c r="A54" s="109"/>
      <c r="B54" s="109"/>
      <c r="C54" s="109"/>
      <c r="D54" s="148"/>
      <c r="E54" s="148"/>
      <c r="F54" s="148"/>
      <c r="G54" s="148"/>
      <c r="H54" s="148"/>
      <c r="I54" s="142">
        <f>I53</f>
        <v>2015</v>
      </c>
      <c r="J54" s="142" t="str">
        <f>"4Q"&amp;RIGHT(I54,2)</f>
        <v>4Q15</v>
      </c>
      <c r="K54" s="109"/>
      <c r="L54" s="109">
        <v>15.001300000000001</v>
      </c>
      <c r="M54" s="109"/>
      <c r="N54" s="109">
        <v>67.408699999999996</v>
      </c>
      <c r="O54" s="109"/>
      <c r="P54" s="109"/>
      <c r="Q54" s="145"/>
      <c r="R54" s="109">
        <v>19.775600000000001</v>
      </c>
      <c r="S54" s="109">
        <v>15.667</v>
      </c>
      <c r="T54" s="109">
        <v>13.5611</v>
      </c>
      <c r="U54" s="109">
        <v>10.420400000000001</v>
      </c>
      <c r="V54" s="109">
        <v>11.263</v>
      </c>
      <c r="W54" s="109"/>
      <c r="X54" s="147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2"/>
    </row>
    <row r="55" spans="1:35" x14ac:dyDescent="0.25">
      <c r="A55" s="109"/>
      <c r="B55" s="109"/>
      <c r="C55" s="109"/>
      <c r="D55" s="109"/>
      <c r="E55" s="109"/>
      <c r="F55" s="109"/>
      <c r="G55" s="109"/>
      <c r="H55" s="148"/>
      <c r="I55" s="142">
        <f>I54+1</f>
        <v>2016</v>
      </c>
      <c r="J55" s="142" t="str">
        <f>"1Q"&amp;RIGHT(I55,2)</f>
        <v>1Q16</v>
      </c>
      <c r="K55" s="109">
        <v>54.846200000000003</v>
      </c>
      <c r="L55" s="109">
        <v>13.1988</v>
      </c>
      <c r="M55" s="109"/>
      <c r="N55" s="109">
        <v>21.156099999999999</v>
      </c>
      <c r="O55" s="109">
        <v>31.6432</v>
      </c>
      <c r="P55" s="109"/>
      <c r="Q55" s="145"/>
      <c r="R55" s="109">
        <v>24.292999999999999</v>
      </c>
      <c r="S55" s="109">
        <v>10.7096</v>
      </c>
      <c r="T55" s="109">
        <v>14.3528</v>
      </c>
      <c r="U55" s="109">
        <v>12.2095</v>
      </c>
      <c r="V55" s="109">
        <v>11.6281</v>
      </c>
      <c r="W55" s="109"/>
      <c r="X55" s="147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2"/>
    </row>
    <row r="56" spans="1:35" x14ac:dyDescent="0.25">
      <c r="A56" s="109"/>
      <c r="B56" s="137"/>
      <c r="C56" s="137"/>
      <c r="D56" s="137"/>
      <c r="E56" s="137"/>
      <c r="F56" s="137"/>
      <c r="G56" s="137"/>
      <c r="H56" s="109"/>
      <c r="I56" s="142">
        <f>I55</f>
        <v>2016</v>
      </c>
      <c r="J56" s="142" t="str">
        <f>"2Q"&amp;RIGHT(I56,2)</f>
        <v>2Q16</v>
      </c>
      <c r="K56" s="109">
        <v>28.5</v>
      </c>
      <c r="L56" s="109">
        <v>8.4696999999999996</v>
      </c>
      <c r="M56" s="109"/>
      <c r="N56" s="109">
        <v>16.614000000000001</v>
      </c>
      <c r="O56" s="109">
        <v>79.304000000000002</v>
      </c>
      <c r="P56" s="109"/>
      <c r="Q56" s="145"/>
      <c r="R56" s="109">
        <v>21.375</v>
      </c>
      <c r="S56" s="109">
        <v>10.702</v>
      </c>
      <c r="T56" s="109">
        <v>14.4687</v>
      </c>
      <c r="U56" s="109">
        <v>13.882899999999999</v>
      </c>
      <c r="V56" s="109">
        <v>13.4598</v>
      </c>
      <c r="W56" s="109"/>
      <c r="X56" s="147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2"/>
    </row>
    <row r="57" spans="1:35" x14ac:dyDescent="0.25">
      <c r="A57" s="109"/>
      <c r="B57" s="109"/>
      <c r="C57" s="109"/>
      <c r="D57" s="109"/>
      <c r="E57" s="109"/>
      <c r="F57" s="109"/>
      <c r="G57" s="109"/>
      <c r="H57" s="109"/>
      <c r="I57" s="142">
        <f>I56</f>
        <v>2016</v>
      </c>
      <c r="J57" s="142" t="str">
        <f>"3Q"&amp;RIGHT(I57,2)</f>
        <v>3Q16</v>
      </c>
      <c r="K57" s="109">
        <v>10.1844</v>
      </c>
      <c r="L57" s="109">
        <v>8.7696000000000005</v>
      </c>
      <c r="M57" s="109"/>
      <c r="N57" s="109">
        <v>14.4885</v>
      </c>
      <c r="O57" s="109">
        <v>14.305300000000001</v>
      </c>
      <c r="P57" s="109"/>
      <c r="Q57" s="145"/>
      <c r="R57" s="109">
        <v>8.8926999999999996</v>
      </c>
      <c r="S57" s="109">
        <v>10.5831</v>
      </c>
      <c r="T57" s="109">
        <v>10.527799999999999</v>
      </c>
      <c r="U57" s="109">
        <v>10.2982</v>
      </c>
      <c r="V57" s="109">
        <v>9.4771000000000001</v>
      </c>
      <c r="W57" s="109"/>
      <c r="X57" s="147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2"/>
    </row>
    <row r="58" spans="1:35" x14ac:dyDescent="0.25">
      <c r="A58" s="109"/>
      <c r="B58" s="109"/>
      <c r="C58" s="109"/>
      <c r="D58" s="109"/>
      <c r="E58" s="109"/>
      <c r="F58" s="109"/>
      <c r="G58" s="109"/>
      <c r="H58" s="148"/>
      <c r="I58" s="142">
        <f>I57</f>
        <v>2016</v>
      </c>
      <c r="J58" s="142" t="str">
        <f>"4Q"&amp;RIGHT(I58,2)</f>
        <v>4Q16</v>
      </c>
      <c r="K58" s="109">
        <v>7.7178000000000004</v>
      </c>
      <c r="L58" s="109">
        <v>11.5695</v>
      </c>
      <c r="M58" s="109"/>
      <c r="N58" s="109">
        <v>16.717099999999999</v>
      </c>
      <c r="O58" s="109">
        <v>12.160299999999999</v>
      </c>
      <c r="P58" s="109"/>
      <c r="Q58" s="145"/>
      <c r="R58" s="109">
        <v>8.2119</v>
      </c>
      <c r="S58" s="109">
        <v>10.244</v>
      </c>
      <c r="T58" s="109">
        <v>9.9283000000000001</v>
      </c>
      <c r="U58" s="109">
        <v>11.464399999999999</v>
      </c>
      <c r="V58" s="109">
        <v>7.8465999999999996</v>
      </c>
      <c r="W58" s="109"/>
      <c r="X58" s="147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  <c r="AI58" s="2"/>
    </row>
    <row r="59" spans="1:35" x14ac:dyDescent="0.25">
      <c r="A59" s="109"/>
      <c r="B59" s="109"/>
      <c r="C59" s="109"/>
      <c r="D59" s="148"/>
      <c r="E59" s="148"/>
      <c r="F59" s="148"/>
      <c r="G59" s="148"/>
      <c r="H59" s="148"/>
      <c r="I59" s="142">
        <f>I58+1</f>
        <v>2017</v>
      </c>
      <c r="J59" s="142" t="str">
        <f>"1Q"&amp;RIGHT(I59,2)</f>
        <v>1Q17</v>
      </c>
      <c r="K59" s="109">
        <v>10.2677</v>
      </c>
      <c r="L59" s="109">
        <v>10.9383</v>
      </c>
      <c r="M59" s="109"/>
      <c r="N59" s="109">
        <v>16.438199999999998</v>
      </c>
      <c r="O59" s="109">
        <v>12.3573</v>
      </c>
      <c r="P59" s="109"/>
      <c r="Q59" s="145"/>
      <c r="R59" s="109">
        <v>7.7565999999999997</v>
      </c>
      <c r="S59" s="109">
        <v>12.265700000000001</v>
      </c>
      <c r="T59" s="109">
        <v>10.157999999999999</v>
      </c>
      <c r="U59" s="109">
        <v>11.9009</v>
      </c>
      <c r="V59" s="109">
        <v>8.3806999999999992</v>
      </c>
      <c r="W59" s="109"/>
      <c r="X59" s="147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2"/>
    </row>
    <row r="60" spans="1:35" x14ac:dyDescent="0.25">
      <c r="A60" s="109"/>
      <c r="B60" s="109"/>
      <c r="C60" s="109"/>
      <c r="D60" s="148"/>
      <c r="E60" s="148"/>
      <c r="F60" s="148"/>
      <c r="G60" s="148"/>
      <c r="H60" s="148"/>
      <c r="I60" s="142">
        <f>I59</f>
        <v>2017</v>
      </c>
      <c r="J60" s="142" t="str">
        <f>"2Q"&amp;RIGHT(I60,2)</f>
        <v>2Q17</v>
      </c>
      <c r="K60" s="109">
        <v>11.5665</v>
      </c>
      <c r="L60" s="109">
        <v>19.208400000000001</v>
      </c>
      <c r="M60" s="109"/>
      <c r="N60" s="109">
        <v>18.928599999999999</v>
      </c>
      <c r="O60" s="109">
        <v>7.8285999999999998</v>
      </c>
      <c r="P60" s="109">
        <v>11.5665</v>
      </c>
      <c r="Q60" s="145"/>
      <c r="R60" s="109">
        <v>8.5889000000000006</v>
      </c>
      <c r="S60" s="109">
        <v>11.224</v>
      </c>
      <c r="T60" s="109">
        <v>11.007199999999999</v>
      </c>
      <c r="U60" s="109">
        <v>11.399100000000001</v>
      </c>
      <c r="V60" s="109">
        <v>7.9707999999999997</v>
      </c>
      <c r="W60" s="109"/>
      <c r="X60" s="147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2"/>
    </row>
    <row r="61" spans="1:35" x14ac:dyDescent="0.25">
      <c r="A61" s="109"/>
      <c r="B61" s="109"/>
      <c r="C61" s="109"/>
      <c r="D61" s="148"/>
      <c r="E61" s="148"/>
      <c r="F61" s="148"/>
      <c r="G61" s="148"/>
      <c r="H61" s="148"/>
      <c r="I61" s="142">
        <f>I60</f>
        <v>2017</v>
      </c>
      <c r="J61" s="142" t="str">
        <f>"3Q"&amp;RIGHT(I61,2)</f>
        <v>3Q17</v>
      </c>
      <c r="K61" s="109">
        <v>12.524900000000001</v>
      </c>
      <c r="L61" s="109">
        <v>26.607399999999998</v>
      </c>
      <c r="M61" s="109"/>
      <c r="N61" s="109">
        <v>20.132999999999999</v>
      </c>
      <c r="O61" s="109">
        <v>9.3407</v>
      </c>
      <c r="P61" s="109">
        <v>12.524900000000001</v>
      </c>
      <c r="Q61" s="145"/>
      <c r="R61" s="109">
        <v>8.1987000000000005</v>
      </c>
      <c r="S61" s="109">
        <v>9.5858000000000008</v>
      </c>
      <c r="T61" s="109">
        <v>12.097200000000001</v>
      </c>
      <c r="U61" s="109">
        <v>10.6111</v>
      </c>
      <c r="V61" s="109">
        <v>8.3300999999999998</v>
      </c>
      <c r="W61" s="109"/>
      <c r="X61" s="147"/>
      <c r="Y61" s="133"/>
      <c r="Z61" s="133"/>
      <c r="AA61" s="133"/>
      <c r="AB61" s="133"/>
      <c r="AC61" s="133"/>
      <c r="AD61" s="133"/>
      <c r="AE61" s="133"/>
      <c r="AF61" s="133"/>
      <c r="AG61" s="133"/>
      <c r="AH61" s="133"/>
      <c r="AI61" s="2"/>
    </row>
    <row r="62" spans="1:35" x14ac:dyDescent="0.25">
      <c r="A62" s="109"/>
      <c r="B62" s="109"/>
      <c r="C62" s="109"/>
      <c r="D62" s="148"/>
      <c r="E62" s="148"/>
      <c r="F62" s="148"/>
      <c r="G62" s="148"/>
      <c r="H62" s="148"/>
      <c r="I62" s="142">
        <f>I61</f>
        <v>2017</v>
      </c>
      <c r="J62" s="142" t="str">
        <f>"4Q"&amp;RIGHT(I62,2)</f>
        <v>4Q17</v>
      </c>
      <c r="K62" s="109">
        <v>12.0204</v>
      </c>
      <c r="L62" s="109">
        <v>35.9375</v>
      </c>
      <c r="M62" s="109"/>
      <c r="N62" s="109">
        <v>18.015799999999999</v>
      </c>
      <c r="O62" s="109">
        <v>9.5215999999999994</v>
      </c>
      <c r="P62" s="109">
        <v>12.0204</v>
      </c>
      <c r="Q62" s="145"/>
      <c r="R62" s="109">
        <v>11.661199999999999</v>
      </c>
      <c r="S62" s="109">
        <v>16.087800000000001</v>
      </c>
      <c r="T62" s="109">
        <v>12.4925</v>
      </c>
      <c r="U62" s="109">
        <v>11.055</v>
      </c>
      <c r="V62" s="109">
        <v>9.1928999999999998</v>
      </c>
      <c r="W62" s="109"/>
      <c r="X62" s="147"/>
      <c r="Y62" s="133"/>
      <c r="Z62" s="133"/>
      <c r="AA62" s="133"/>
      <c r="AB62" s="133"/>
      <c r="AC62" s="133"/>
      <c r="AD62" s="133"/>
      <c r="AE62" s="133"/>
      <c r="AF62" s="133"/>
      <c r="AG62" s="133"/>
      <c r="AH62" s="133"/>
      <c r="AI62" s="2"/>
    </row>
    <row r="63" spans="1:35" x14ac:dyDescent="0.25">
      <c r="A63" s="109"/>
      <c r="B63" s="109"/>
      <c r="C63" s="109"/>
      <c r="D63" s="109"/>
      <c r="E63" s="109"/>
      <c r="F63" s="109"/>
      <c r="G63" s="109"/>
      <c r="H63" s="148"/>
      <c r="I63" s="142">
        <f>I62+1</f>
        <v>2018</v>
      </c>
      <c r="J63" s="142" t="str">
        <f>"1Q"&amp;RIGHT(I63,2)</f>
        <v>1Q18</v>
      </c>
      <c r="K63" s="109">
        <v>9.2840000000000007</v>
      </c>
      <c r="L63" s="109">
        <v>54.222000000000001</v>
      </c>
      <c r="M63" s="109"/>
      <c r="N63" s="109">
        <v>24.160900000000002</v>
      </c>
      <c r="O63" s="109">
        <v>10.3529</v>
      </c>
      <c r="P63" s="109">
        <v>9.2840000000000007</v>
      </c>
      <c r="Q63" s="145"/>
      <c r="R63" s="109">
        <v>16.270900000000001</v>
      </c>
      <c r="S63" s="109">
        <v>22.972100000000001</v>
      </c>
      <c r="T63" s="109">
        <v>15.193199999999999</v>
      </c>
      <c r="U63" s="109">
        <v>12.335599999999999</v>
      </c>
      <c r="V63" s="109">
        <v>9.0020000000000007</v>
      </c>
      <c r="W63" s="109"/>
      <c r="X63" s="147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2"/>
    </row>
    <row r="64" spans="1:35" x14ac:dyDescent="0.25">
      <c r="A64" s="109"/>
      <c r="B64" s="109"/>
      <c r="C64" s="109"/>
      <c r="D64" s="109"/>
      <c r="E64" s="109"/>
      <c r="F64" s="109"/>
      <c r="G64" s="109"/>
      <c r="H64" s="148"/>
      <c r="I64" s="142">
        <f>I63</f>
        <v>2018</v>
      </c>
      <c r="J64" s="142" t="str">
        <f>"2Q"&amp;RIGHT(I64,2)</f>
        <v>2Q18</v>
      </c>
      <c r="K64" s="109">
        <v>9.7828999999999997</v>
      </c>
      <c r="L64" s="109">
        <v>37.916200000000003</v>
      </c>
      <c r="M64" s="109"/>
      <c r="N64" s="109">
        <v>24.237300000000001</v>
      </c>
      <c r="O64" s="109">
        <v>13.3538</v>
      </c>
      <c r="P64" s="109">
        <v>9.7828999999999997</v>
      </c>
      <c r="Q64" s="145"/>
      <c r="R64" s="109">
        <v>10.3207</v>
      </c>
      <c r="S64" s="109">
        <v>20.7439</v>
      </c>
      <c r="T64" s="109">
        <v>12.8841</v>
      </c>
      <c r="U64" s="109">
        <v>10.142899999999999</v>
      </c>
      <c r="V64" s="109">
        <v>8.7112999999999996</v>
      </c>
      <c r="W64" s="109"/>
      <c r="X64" s="147"/>
      <c r="Y64" s="133"/>
      <c r="Z64" s="133"/>
      <c r="AA64" s="133"/>
      <c r="AB64" s="133"/>
      <c r="AC64" s="133"/>
      <c r="AD64" s="133"/>
      <c r="AE64" s="133"/>
      <c r="AF64" s="133"/>
      <c r="AG64" s="133"/>
      <c r="AH64" s="133"/>
      <c r="AI64" s="2"/>
    </row>
    <row r="65" spans="1:35" x14ac:dyDescent="0.25">
      <c r="A65" s="109"/>
      <c r="B65" s="109"/>
      <c r="C65" s="109"/>
      <c r="D65" s="148"/>
      <c r="E65" s="148"/>
      <c r="F65" s="148"/>
      <c r="G65" s="148"/>
      <c r="H65" s="148"/>
      <c r="I65" s="142">
        <f>I64</f>
        <v>2018</v>
      </c>
      <c r="J65" s="142" t="str">
        <f>"3Q"&amp;RIGHT(I65,2)</f>
        <v>3Q18</v>
      </c>
      <c r="K65" s="109">
        <v>7.9451000000000001</v>
      </c>
      <c r="L65" s="109">
        <v>42.795400000000001</v>
      </c>
      <c r="M65" s="109"/>
      <c r="N65" s="109">
        <v>24.543900000000001</v>
      </c>
      <c r="O65" s="109">
        <v>8.5873000000000008</v>
      </c>
      <c r="P65" s="109">
        <v>7.9451000000000001</v>
      </c>
      <c r="Q65" s="145"/>
      <c r="R65" s="109">
        <v>13.4382</v>
      </c>
      <c r="S65" s="109">
        <v>10.1073</v>
      </c>
      <c r="T65" s="109">
        <v>14.8782</v>
      </c>
      <c r="U65" s="109">
        <v>13.6976</v>
      </c>
      <c r="V65" s="109">
        <v>9.2556999999999992</v>
      </c>
      <c r="W65" s="109"/>
      <c r="X65" s="147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2"/>
    </row>
    <row r="66" spans="1:35" x14ac:dyDescent="0.25">
      <c r="A66" s="109"/>
      <c r="B66" s="109"/>
      <c r="C66" s="109"/>
      <c r="D66" s="148"/>
      <c r="E66" s="148"/>
      <c r="F66" s="148"/>
      <c r="G66" s="148"/>
      <c r="H66" s="148"/>
      <c r="I66" s="142">
        <f>I65</f>
        <v>2018</v>
      </c>
      <c r="J66" s="142" t="str">
        <f>"4Q"&amp;RIGHT(I66,2)</f>
        <v>4Q18</v>
      </c>
      <c r="K66" s="109">
        <v>9.6083999999999996</v>
      </c>
      <c r="L66" s="109">
        <v>27.349699999999999</v>
      </c>
      <c r="M66" s="109"/>
      <c r="N66" s="109">
        <v>29.398599999999998</v>
      </c>
      <c r="O66" s="109">
        <v>7.8125</v>
      </c>
      <c r="P66" s="109">
        <v>9.6083999999999996</v>
      </c>
      <c r="Q66" s="145"/>
      <c r="R66" s="109">
        <v>14.821099999999999</v>
      </c>
      <c r="S66" s="109">
        <v>14.1327</v>
      </c>
      <c r="T66" s="109">
        <v>16.883900000000001</v>
      </c>
      <c r="U66" s="109">
        <v>19.196200000000001</v>
      </c>
      <c r="V66" s="109">
        <v>13.394500000000001</v>
      </c>
      <c r="W66" s="109"/>
      <c r="X66" s="147"/>
      <c r="Y66" s="133"/>
      <c r="Z66" s="133"/>
      <c r="AA66" s="133"/>
      <c r="AB66" s="133"/>
      <c r="AC66" s="133"/>
      <c r="AD66" s="133"/>
      <c r="AE66" s="133"/>
      <c r="AF66" s="133"/>
      <c r="AG66" s="133"/>
      <c r="AH66" s="133"/>
      <c r="AI66" s="2"/>
    </row>
    <row r="67" spans="1:35" x14ac:dyDescent="0.25">
      <c r="A67" s="109"/>
      <c r="B67" s="109"/>
      <c r="C67" s="109"/>
      <c r="D67" s="148"/>
      <c r="E67" s="148"/>
      <c r="F67" s="148"/>
      <c r="G67" s="148"/>
      <c r="H67" s="148"/>
      <c r="I67" s="142">
        <f>I66+1</f>
        <v>2019</v>
      </c>
      <c r="J67" s="142" t="str">
        <f>"1Q"&amp;RIGHT(I67,2)</f>
        <v>1Q19</v>
      </c>
      <c r="K67" s="109">
        <v>13.9992</v>
      </c>
      <c r="L67" s="109">
        <v>17.764399999999998</v>
      </c>
      <c r="M67" s="109"/>
      <c r="N67" s="109">
        <v>21.6737</v>
      </c>
      <c r="O67" s="109">
        <v>7.7248000000000001</v>
      </c>
      <c r="P67" s="109">
        <v>13.9992</v>
      </c>
      <c r="Q67" s="145"/>
      <c r="R67" s="109">
        <v>15.821999999999999</v>
      </c>
      <c r="S67" s="109">
        <v>16.011900000000001</v>
      </c>
      <c r="T67" s="109">
        <v>18.2879</v>
      </c>
      <c r="U67" s="109">
        <v>21.355499999999999</v>
      </c>
      <c r="V67" s="109">
        <v>15.323700000000001</v>
      </c>
      <c r="W67" s="109"/>
      <c r="X67" s="147"/>
      <c r="Y67" s="133"/>
      <c r="Z67" s="133"/>
      <c r="AA67" s="133"/>
      <c r="AB67" s="133"/>
      <c r="AC67" s="133"/>
      <c r="AD67" s="133"/>
      <c r="AE67" s="133"/>
      <c r="AF67" s="133"/>
      <c r="AG67" s="133"/>
      <c r="AH67" s="133"/>
      <c r="AI67" s="2"/>
    </row>
    <row r="68" spans="1:35" x14ac:dyDescent="0.25">
      <c r="A68" s="109"/>
      <c r="B68" s="109"/>
      <c r="C68" s="109"/>
      <c r="D68" s="148"/>
      <c r="E68" s="148"/>
      <c r="F68" s="148"/>
      <c r="G68" s="148"/>
      <c r="H68" s="148"/>
      <c r="I68" s="142">
        <f>I67</f>
        <v>2019</v>
      </c>
      <c r="J68" s="142" t="str">
        <f>"2Q"&amp;RIGHT(I68,2)</f>
        <v>2Q19</v>
      </c>
      <c r="K68" s="109">
        <v>8.1754999999999995</v>
      </c>
      <c r="L68" s="109">
        <v>12.260400000000001</v>
      </c>
      <c r="M68" s="109"/>
      <c r="N68" s="109">
        <v>18.963200000000001</v>
      </c>
      <c r="O68" s="109">
        <v>9.5813000000000006</v>
      </c>
      <c r="P68" s="109">
        <v>8.1754999999999995</v>
      </c>
      <c r="Q68" s="145"/>
      <c r="R68" s="109">
        <v>17.078499999999998</v>
      </c>
      <c r="S68" s="109">
        <v>20.6358</v>
      </c>
      <c r="T68" s="109">
        <v>23.667100000000001</v>
      </c>
      <c r="U68" s="109">
        <v>24.7303</v>
      </c>
      <c r="V68" s="109">
        <v>19.2788</v>
      </c>
      <c r="W68" s="109"/>
      <c r="X68" s="147"/>
      <c r="Y68" s="133"/>
      <c r="Z68" s="133"/>
      <c r="AA68" s="133"/>
      <c r="AB68" s="133"/>
      <c r="AC68" s="133"/>
      <c r="AD68" s="133"/>
      <c r="AE68" s="133"/>
      <c r="AF68" s="133"/>
      <c r="AG68" s="133"/>
      <c r="AH68" s="133"/>
      <c r="AI68" s="2"/>
    </row>
    <row r="69" spans="1:35" x14ac:dyDescent="0.25">
      <c r="A69" s="109"/>
      <c r="B69" s="109"/>
      <c r="C69" s="109"/>
      <c r="D69" s="148"/>
      <c r="E69" s="148"/>
      <c r="F69" s="148"/>
      <c r="G69" s="148"/>
      <c r="H69" s="148"/>
      <c r="I69" s="142">
        <f>I68</f>
        <v>2019</v>
      </c>
      <c r="J69" s="142" t="str">
        <f>"3Q"&amp;RIGHT(I69,2)</f>
        <v>3Q19</v>
      </c>
      <c r="K69" s="109">
        <v>6.8723000000000001</v>
      </c>
      <c r="L69" s="109">
        <v>9.1097999999999999</v>
      </c>
      <c r="M69" s="109"/>
      <c r="N69" s="109">
        <v>69.6751</v>
      </c>
      <c r="O69" s="109">
        <v>65.394999999999996</v>
      </c>
      <c r="P69" s="109">
        <v>6.8723000000000001</v>
      </c>
      <c r="Q69" s="145"/>
      <c r="R69" s="109">
        <v>13.046099999999999</v>
      </c>
      <c r="S69" s="109">
        <v>13.735099999999999</v>
      </c>
      <c r="T69" s="109">
        <v>16.994499999999999</v>
      </c>
      <c r="U69" s="109">
        <v>16.625299999999999</v>
      </c>
      <c r="V69" s="109">
        <v>11.317299999999999</v>
      </c>
      <c r="W69" s="109"/>
      <c r="X69" s="147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2"/>
    </row>
    <row r="70" spans="1:35" x14ac:dyDescent="0.25">
      <c r="A70" s="109"/>
      <c r="B70" s="109"/>
      <c r="C70" s="109"/>
      <c r="D70" s="148"/>
      <c r="E70" s="148"/>
      <c r="F70" s="148"/>
      <c r="G70" s="148"/>
      <c r="H70" s="109"/>
      <c r="I70" s="142">
        <f>I69</f>
        <v>2019</v>
      </c>
      <c r="J70" s="142" t="str">
        <f>"4Q"&amp;RIGHT(I70,2)</f>
        <v>4Q19</v>
      </c>
      <c r="K70" s="109">
        <v>103.6356</v>
      </c>
      <c r="L70" s="109"/>
      <c r="M70" s="109"/>
      <c r="N70" s="109">
        <v>56.966000000000001</v>
      </c>
      <c r="O70" s="109">
        <v>82.430899999999994</v>
      </c>
      <c r="P70" s="109">
        <v>103.6356</v>
      </c>
      <c r="Q70" s="145"/>
      <c r="R70" s="109">
        <v>21.340699999999998</v>
      </c>
      <c r="S70" s="109">
        <v>26.315200000000001</v>
      </c>
      <c r="T70" s="109">
        <v>23.659099999999999</v>
      </c>
      <c r="U70" s="109">
        <v>27.612100000000002</v>
      </c>
      <c r="V70" s="109">
        <v>18.889600000000002</v>
      </c>
      <c r="W70" s="109"/>
      <c r="X70" s="147"/>
      <c r="Y70" s="133"/>
      <c r="Z70" s="133"/>
      <c r="AA70" s="133"/>
      <c r="AB70" s="133"/>
      <c r="AC70" s="133"/>
      <c r="AD70" s="133"/>
      <c r="AE70" s="133"/>
      <c r="AF70" s="133"/>
      <c r="AG70" s="133"/>
      <c r="AH70" s="133"/>
      <c r="AI70" s="2"/>
    </row>
    <row r="71" spans="1:35" x14ac:dyDescent="0.25">
      <c r="A71" s="109"/>
      <c r="B71" s="109"/>
      <c r="C71" s="109"/>
      <c r="D71" s="148"/>
      <c r="E71" s="148"/>
      <c r="F71" s="148"/>
      <c r="G71" s="148"/>
      <c r="H71" s="137"/>
      <c r="I71" s="142">
        <f>I70+1</f>
        <v>2020</v>
      </c>
      <c r="J71" s="142" t="str">
        <f>"1Q"&amp;RIGHT(I71,2)</f>
        <v>1Q20</v>
      </c>
      <c r="K71" s="109">
        <v>20.81</v>
      </c>
      <c r="L71" s="109"/>
      <c r="M71" s="109"/>
      <c r="N71" s="109">
        <v>45.965899999999998</v>
      </c>
      <c r="O71" s="109"/>
      <c r="P71" s="109">
        <v>20.81</v>
      </c>
      <c r="Q71" s="145"/>
      <c r="R71" s="109">
        <v>22.069400000000002</v>
      </c>
      <c r="S71" s="109">
        <v>23.7149</v>
      </c>
      <c r="T71" s="109">
        <v>24.088200000000001</v>
      </c>
      <c r="U71" s="109">
        <v>26.218</v>
      </c>
      <c r="V71" s="109">
        <v>14.452299999999999</v>
      </c>
      <c r="W71" s="109"/>
      <c r="X71" s="147"/>
      <c r="Y71" s="133"/>
      <c r="Z71" s="133"/>
      <c r="AA71" s="133"/>
      <c r="AB71" s="133"/>
      <c r="AC71" s="133"/>
      <c r="AD71" s="133"/>
      <c r="AE71" s="133"/>
      <c r="AF71" s="133"/>
      <c r="AG71" s="133"/>
      <c r="AH71" s="133"/>
      <c r="AI71" s="2"/>
    </row>
    <row r="72" spans="1:35" x14ac:dyDescent="0.25">
      <c r="A72" s="109"/>
      <c r="B72" s="109"/>
      <c r="C72" s="109"/>
      <c r="D72" s="148"/>
      <c r="E72" s="148"/>
      <c r="F72" s="148"/>
      <c r="G72" s="148"/>
      <c r="H72" s="109"/>
      <c r="I72" s="142">
        <f>I71</f>
        <v>2020</v>
      </c>
      <c r="J72" s="142" t="str">
        <f>"2Q"&amp;RIGHT(I72,2)</f>
        <v>2Q20</v>
      </c>
      <c r="K72" s="109">
        <v>12.6044</v>
      </c>
      <c r="L72" s="109"/>
      <c r="M72" s="109"/>
      <c r="N72" s="109">
        <v>37.831800000000001</v>
      </c>
      <c r="O72" s="109">
        <v>29.376200000000001</v>
      </c>
      <c r="P72" s="109">
        <v>12.6044</v>
      </c>
      <c r="Q72" s="145"/>
      <c r="R72" s="109">
        <v>23.972799999999999</v>
      </c>
      <c r="S72" s="109">
        <v>27.211099999999998</v>
      </c>
      <c r="T72" s="109">
        <v>26.7178</v>
      </c>
      <c r="U72" s="109">
        <v>27.923300000000001</v>
      </c>
      <c r="V72" s="109">
        <v>17.418299999999999</v>
      </c>
      <c r="W72" s="109"/>
      <c r="X72" s="147"/>
      <c r="Y72" s="133"/>
      <c r="Z72" s="133"/>
      <c r="AA72" s="133"/>
      <c r="AB72" s="133"/>
      <c r="AC72" s="133"/>
      <c r="AD72" s="133"/>
      <c r="AE72" s="133"/>
      <c r="AF72" s="133"/>
      <c r="AG72" s="133"/>
      <c r="AH72" s="133"/>
      <c r="AI72" s="2"/>
    </row>
    <row r="73" spans="1:35" x14ac:dyDescent="0.25">
      <c r="A73" s="109"/>
      <c r="B73" s="109"/>
      <c r="C73" s="109"/>
      <c r="D73" s="148"/>
      <c r="E73" s="148"/>
      <c r="F73" s="148"/>
      <c r="G73" s="148"/>
      <c r="H73" s="109"/>
      <c r="I73" s="142">
        <f>I72</f>
        <v>2020</v>
      </c>
      <c r="J73" s="142" t="str">
        <f>"3Q"&amp;RIGHT(I73,2)</f>
        <v>3Q20</v>
      </c>
      <c r="K73" s="109">
        <v>5.9493</v>
      </c>
      <c r="L73" s="109"/>
      <c r="M73" s="109"/>
      <c r="N73" s="109">
        <v>13.008699999999999</v>
      </c>
      <c r="O73" s="109">
        <v>6.9821</v>
      </c>
      <c r="P73" s="109">
        <v>5.9493</v>
      </c>
      <c r="Q73" s="145"/>
      <c r="R73" s="109">
        <v>19.4467</v>
      </c>
      <c r="S73" s="109">
        <v>17.366099999999999</v>
      </c>
      <c r="T73" s="109">
        <v>24.5746</v>
      </c>
      <c r="U73" s="109">
        <v>23.555599999999998</v>
      </c>
      <c r="V73" s="109">
        <v>16.410699999999999</v>
      </c>
      <c r="W73" s="109"/>
      <c r="X73" s="147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2"/>
    </row>
    <row r="74" spans="1:35" x14ac:dyDescent="0.25">
      <c r="A74" s="109"/>
      <c r="B74" s="109"/>
      <c r="C74" s="109"/>
      <c r="D74" s="148"/>
      <c r="E74" s="148"/>
      <c r="F74" s="148"/>
      <c r="G74" s="148"/>
      <c r="H74" s="148"/>
      <c r="I74" s="142">
        <f>I73</f>
        <v>2020</v>
      </c>
      <c r="J74" s="142" t="str">
        <f>"4Q"&amp;RIGHT(I74,2)</f>
        <v>4Q20</v>
      </c>
      <c r="K74" s="109">
        <v>6.5594999999999999</v>
      </c>
      <c r="L74" s="109">
        <v>120.3588</v>
      </c>
      <c r="M74" s="109"/>
      <c r="N74" s="109">
        <v>14.5557</v>
      </c>
      <c r="O74" s="109">
        <v>6.1726999999999999</v>
      </c>
      <c r="P74" s="109">
        <v>6.5594999999999999</v>
      </c>
      <c r="Q74" s="145"/>
      <c r="R74" s="109">
        <v>19.029900000000001</v>
      </c>
      <c r="S74" s="109">
        <v>21.3599</v>
      </c>
      <c r="T74" s="109">
        <v>28.605499999999999</v>
      </c>
      <c r="U74" s="109">
        <v>26.7972</v>
      </c>
      <c r="V74" s="109">
        <v>18.6069</v>
      </c>
      <c r="W74" s="109"/>
      <c r="X74" s="147"/>
      <c r="Y74" s="133"/>
      <c r="Z74" s="133"/>
      <c r="AA74" s="133"/>
      <c r="AB74" s="133"/>
      <c r="AC74" s="133"/>
      <c r="AD74" s="133"/>
      <c r="AE74" s="133"/>
      <c r="AF74" s="133"/>
      <c r="AG74" s="133"/>
      <c r="AH74" s="133"/>
      <c r="AI74" s="2"/>
    </row>
    <row r="75" spans="1:35" x14ac:dyDescent="0.25">
      <c r="A75" s="109"/>
      <c r="B75" s="109"/>
      <c r="C75" s="109"/>
      <c r="D75" s="148"/>
      <c r="E75" s="148"/>
      <c r="F75" s="148"/>
      <c r="G75" s="148"/>
      <c r="H75" s="148"/>
      <c r="I75" s="142">
        <f>I74+1</f>
        <v>2021</v>
      </c>
      <c r="J75" s="142" t="str">
        <f>"1Q"&amp;RIGHT(I75,2)</f>
        <v>1Q21</v>
      </c>
      <c r="K75" s="109">
        <v>6.7419000000000002</v>
      </c>
      <c r="L75" s="109">
        <v>5.9398999999999997</v>
      </c>
      <c r="M75" s="109"/>
      <c r="N75" s="109">
        <v>15.5222</v>
      </c>
      <c r="O75" s="109">
        <v>5.7580999999999998</v>
      </c>
      <c r="P75" s="109">
        <v>6.7419000000000002</v>
      </c>
      <c r="Q75" s="145"/>
      <c r="R75" s="109">
        <v>16.716100000000001</v>
      </c>
      <c r="S75" s="109">
        <v>15.639900000000001</v>
      </c>
      <c r="T75" s="109">
        <v>29.818300000000001</v>
      </c>
      <c r="U75" s="109">
        <v>30.9497</v>
      </c>
      <c r="V75" s="109">
        <v>14.592599999999999</v>
      </c>
      <c r="W75" s="109"/>
      <c r="X75" s="147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2"/>
    </row>
    <row r="76" spans="1:35" x14ac:dyDescent="0.25">
      <c r="A76" s="109"/>
      <c r="B76" s="109"/>
      <c r="C76" s="109"/>
      <c r="D76" s="148"/>
      <c r="E76" s="148"/>
      <c r="F76" s="148"/>
      <c r="G76" s="148"/>
      <c r="H76" s="148"/>
      <c r="I76" s="142">
        <f>I75</f>
        <v>2021</v>
      </c>
      <c r="J76" s="142" t="str">
        <f>"2Q"&amp;RIGHT(I76,2)</f>
        <v>2Q21</v>
      </c>
      <c r="K76" s="109">
        <v>10.0686</v>
      </c>
      <c r="L76" s="109">
        <v>7.0917000000000003</v>
      </c>
      <c r="M76" s="109"/>
      <c r="N76" s="109">
        <v>15.5932</v>
      </c>
      <c r="O76" s="109">
        <v>6.4503000000000004</v>
      </c>
      <c r="P76" s="109">
        <v>10.0686</v>
      </c>
      <c r="Q76" s="145"/>
      <c r="R76" s="109">
        <v>18.578600000000002</v>
      </c>
      <c r="S76" s="109">
        <v>15.5563</v>
      </c>
      <c r="T76" s="109">
        <v>33.2121</v>
      </c>
      <c r="U76" s="109">
        <v>29.642600000000002</v>
      </c>
      <c r="V76" s="109">
        <v>13.280099999999999</v>
      </c>
      <c r="W76" s="109"/>
      <c r="X76" s="147"/>
      <c r="Y76" s="133"/>
      <c r="Z76" s="133"/>
      <c r="AA76" s="133"/>
      <c r="AB76" s="133"/>
      <c r="AC76" s="133"/>
      <c r="AD76" s="133"/>
      <c r="AE76" s="133"/>
      <c r="AF76" s="133"/>
      <c r="AG76" s="133"/>
      <c r="AH76" s="133"/>
      <c r="AI76" s="2"/>
    </row>
    <row r="77" spans="1:35" x14ac:dyDescent="0.25">
      <c r="A77" s="109"/>
      <c r="B77" s="109"/>
      <c r="C77" s="109"/>
      <c r="D77" s="109"/>
      <c r="E77" s="109"/>
      <c r="F77" s="109"/>
      <c r="G77" s="109"/>
      <c r="H77" s="148"/>
      <c r="I77" s="142">
        <f>I76</f>
        <v>2021</v>
      </c>
      <c r="J77" s="142" t="str">
        <f>"3Q"&amp;RIGHT(I77,2)</f>
        <v>3Q21</v>
      </c>
      <c r="K77" s="109">
        <v>12.675599999999999</v>
      </c>
      <c r="L77" s="109">
        <v>7.1002000000000001</v>
      </c>
      <c r="M77" s="109"/>
      <c r="N77" s="109">
        <v>16.9452</v>
      </c>
      <c r="O77" s="109">
        <v>6.3578000000000001</v>
      </c>
      <c r="P77" s="109">
        <v>12.675599999999999</v>
      </c>
      <c r="Q77" s="145"/>
      <c r="R77" s="109">
        <v>13.657999999999999</v>
      </c>
      <c r="S77" s="109">
        <v>11.520200000000001</v>
      </c>
      <c r="T77" s="109">
        <v>24.2622</v>
      </c>
      <c r="U77" s="109">
        <v>24.110199999999999</v>
      </c>
      <c r="V77" s="109">
        <v>11.473100000000001</v>
      </c>
      <c r="W77" s="109">
        <v>18.445499999999999</v>
      </c>
      <c r="X77" s="147"/>
      <c r="Y77" s="133"/>
      <c r="Z77" s="133"/>
      <c r="AA77" s="133"/>
      <c r="AB77" s="133"/>
      <c r="AC77" s="133"/>
      <c r="AD77" s="133"/>
      <c r="AE77" s="133"/>
      <c r="AF77" s="133"/>
      <c r="AG77" s="133"/>
      <c r="AH77" s="133"/>
      <c r="AI77" s="2"/>
    </row>
    <row r="78" spans="1:35" x14ac:dyDescent="0.25">
      <c r="A78" s="109"/>
      <c r="B78" s="109"/>
      <c r="C78" s="109"/>
      <c r="D78" s="109"/>
      <c r="E78" s="109"/>
      <c r="F78" s="109"/>
      <c r="G78" s="109"/>
      <c r="H78" s="109"/>
      <c r="I78" s="142">
        <f>I77</f>
        <v>2021</v>
      </c>
      <c r="J78" s="142" t="str">
        <f>"4Q"&amp;RIGHT(I78,2)</f>
        <v>4Q21</v>
      </c>
      <c r="K78" s="109">
        <v>33.156500000000001</v>
      </c>
      <c r="L78" s="109">
        <v>9.2339000000000002</v>
      </c>
      <c r="M78" s="109"/>
      <c r="N78" s="109">
        <v>16.223199999999999</v>
      </c>
      <c r="O78" s="109">
        <v>5.4828999999999999</v>
      </c>
      <c r="P78" s="109">
        <v>33.156500000000001</v>
      </c>
      <c r="Q78" s="145"/>
      <c r="R78" s="109">
        <v>10.850899999999999</v>
      </c>
      <c r="S78" s="109">
        <v>8.5351999999999997</v>
      </c>
      <c r="T78" s="109">
        <v>17.6584</v>
      </c>
      <c r="U78" s="109">
        <v>15.949299999999999</v>
      </c>
      <c r="V78" s="109">
        <v>7.9969999999999999</v>
      </c>
      <c r="W78" s="109">
        <v>14.2491</v>
      </c>
      <c r="X78" s="147"/>
      <c r="Y78" s="133"/>
      <c r="Z78" s="133"/>
      <c r="AA78" s="133"/>
      <c r="AB78" s="133"/>
      <c r="AC78" s="133"/>
      <c r="AD78" s="133"/>
      <c r="AE78" s="133"/>
      <c r="AF78" s="133"/>
      <c r="AG78" s="133"/>
      <c r="AH78" s="133"/>
      <c r="AI78" s="2"/>
    </row>
    <row r="79" spans="1:35" x14ac:dyDescent="0.25">
      <c r="A79" s="109"/>
      <c r="B79" s="109"/>
      <c r="C79" s="109"/>
      <c r="D79" s="109"/>
      <c r="E79" s="109"/>
      <c r="F79" s="109"/>
      <c r="G79" s="109"/>
      <c r="H79" s="109"/>
      <c r="I79" s="142">
        <f>I78+1</f>
        <v>2022</v>
      </c>
      <c r="J79" s="142" t="str">
        <f>"1Q"&amp;RIGHT(I79,2)</f>
        <v>1Q22</v>
      </c>
      <c r="K79" s="109">
        <v>30.8</v>
      </c>
      <c r="L79" s="109">
        <v>17.967600000000001</v>
      </c>
      <c r="M79" s="109"/>
      <c r="N79" s="109">
        <v>23.0672</v>
      </c>
      <c r="O79" s="109">
        <v>4.4749999999999996</v>
      </c>
      <c r="P79" s="109">
        <v>30.8</v>
      </c>
      <c r="Q79" s="145"/>
      <c r="R79" s="109">
        <v>10.9443</v>
      </c>
      <c r="S79" s="109">
        <v>8.9046000000000003</v>
      </c>
      <c r="T79" s="109">
        <v>19.3111</v>
      </c>
      <c r="U79" s="109">
        <v>16.136500000000002</v>
      </c>
      <c r="V79" s="109">
        <v>6.4166999999999996</v>
      </c>
      <c r="W79" s="109">
        <v>15.1799</v>
      </c>
      <c r="X79" s="147"/>
      <c r="Y79" s="133"/>
      <c r="Z79" s="133"/>
      <c r="AA79" s="133"/>
      <c r="AB79" s="133"/>
      <c r="AC79" s="133"/>
      <c r="AD79" s="133"/>
      <c r="AE79" s="133"/>
      <c r="AF79" s="133"/>
      <c r="AG79" s="133"/>
      <c r="AH79" s="133"/>
      <c r="AI79" s="2"/>
    </row>
    <row r="80" spans="1:35" x14ac:dyDescent="0.25">
      <c r="A80" s="109"/>
      <c r="B80" s="109"/>
      <c r="C80" s="109"/>
      <c r="D80" s="109"/>
      <c r="E80" s="109"/>
      <c r="F80" s="109"/>
      <c r="G80" s="109"/>
      <c r="H80" s="148"/>
      <c r="I80" s="142">
        <f>I79</f>
        <v>2022</v>
      </c>
      <c r="J80" s="142" t="str">
        <f>"2Q"&amp;RIGHT(I80,2)</f>
        <v>2Q22</v>
      </c>
      <c r="K80" s="109">
        <v>35.369799999999998</v>
      </c>
      <c r="L80" s="109">
        <v>14.3996</v>
      </c>
      <c r="M80" s="109"/>
      <c r="N80" s="109">
        <v>25.6798</v>
      </c>
      <c r="O80" s="109">
        <v>4.9840999999999998</v>
      </c>
      <c r="P80" s="109">
        <v>35.369799999999998</v>
      </c>
      <c r="Q80" s="145"/>
      <c r="R80" s="109">
        <v>12.7498</v>
      </c>
      <c r="S80" s="109">
        <v>10.863099999999999</v>
      </c>
      <c r="T80" s="109">
        <v>24.050699999999999</v>
      </c>
      <c r="U80" s="109">
        <v>18.061599999999999</v>
      </c>
      <c r="V80" s="109">
        <v>7.2366000000000001</v>
      </c>
      <c r="W80" s="109">
        <v>16.501300000000001</v>
      </c>
      <c r="X80" s="147"/>
      <c r="Y80" s="133"/>
      <c r="Z80" s="133"/>
      <c r="AA80" s="133"/>
      <c r="AB80" s="133"/>
      <c r="AC80" s="133"/>
      <c r="AD80" s="133"/>
      <c r="AE80" s="133"/>
      <c r="AF80" s="133"/>
      <c r="AG80" s="133"/>
      <c r="AH80" s="133"/>
      <c r="AI80" s="2"/>
    </row>
    <row r="81" spans="1:35" x14ac:dyDescent="0.25">
      <c r="A81" s="109"/>
      <c r="B81" s="109"/>
      <c r="C81" s="109"/>
      <c r="D81" s="109"/>
      <c r="E81" s="109"/>
      <c r="F81" s="109"/>
      <c r="G81" s="109"/>
      <c r="H81" s="148"/>
      <c r="I81" s="109"/>
      <c r="J81" s="142" t="s">
        <v>197</v>
      </c>
      <c r="K81" s="148">
        <v>35</v>
      </c>
      <c r="L81" s="148">
        <v>25</v>
      </c>
      <c r="M81" s="109"/>
      <c r="N81" s="148">
        <v>14</v>
      </c>
      <c r="O81" s="148">
        <v>4</v>
      </c>
      <c r="P81" s="148">
        <v>35</v>
      </c>
      <c r="Q81" s="145"/>
      <c r="R81" s="109">
        <f>R80</f>
        <v>12.7498</v>
      </c>
      <c r="S81" s="109">
        <f t="shared" ref="S81:W81" si="0">S80</f>
        <v>10.863099999999999</v>
      </c>
      <c r="T81" s="109">
        <f t="shared" si="0"/>
        <v>24.050699999999999</v>
      </c>
      <c r="U81" s="109">
        <f t="shared" si="0"/>
        <v>18.061599999999999</v>
      </c>
      <c r="V81" s="109">
        <f t="shared" si="0"/>
        <v>7.2366000000000001</v>
      </c>
      <c r="W81" s="109">
        <f t="shared" si="0"/>
        <v>16.501300000000001</v>
      </c>
      <c r="X81" s="147"/>
      <c r="Y81" s="133"/>
      <c r="Z81" s="133"/>
      <c r="AA81" s="133"/>
      <c r="AB81" s="133"/>
      <c r="AC81" s="133"/>
      <c r="AD81" s="133"/>
      <c r="AE81" s="133"/>
      <c r="AF81" s="133"/>
      <c r="AG81" s="133"/>
      <c r="AH81" s="133"/>
      <c r="AI81" s="2"/>
    </row>
    <row r="82" spans="1:35" x14ac:dyDescent="0.25">
      <c r="A82" s="109"/>
      <c r="B82" s="109"/>
      <c r="C82" s="109"/>
      <c r="D82" s="109"/>
      <c r="E82" s="109"/>
      <c r="F82" s="109"/>
      <c r="G82" s="109"/>
      <c r="H82" s="148"/>
      <c r="I82" s="109"/>
      <c r="J82" s="109"/>
      <c r="K82" s="149"/>
      <c r="L82" s="149"/>
      <c r="M82" s="109"/>
      <c r="N82" s="149"/>
      <c r="O82" s="149"/>
      <c r="P82" s="149"/>
      <c r="Q82" s="149"/>
      <c r="R82" s="109"/>
      <c r="S82" s="109"/>
      <c r="T82" s="109"/>
      <c r="U82" s="109"/>
      <c r="V82" s="109"/>
      <c r="W82" s="109"/>
      <c r="X82" s="109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1:35" x14ac:dyDescent="0.25">
      <c r="A83" s="109"/>
      <c r="B83" s="109"/>
      <c r="C83" s="109"/>
      <c r="D83" s="109"/>
      <c r="E83" s="109"/>
      <c r="F83" s="109"/>
      <c r="G83" s="109"/>
      <c r="H83" s="148"/>
      <c r="I83" s="109"/>
      <c r="J83" s="109"/>
      <c r="K83" s="149"/>
      <c r="L83" s="149"/>
      <c r="M83" s="149"/>
      <c r="N83" s="149"/>
      <c r="O83" s="149"/>
      <c r="P83" s="149"/>
      <c r="Q83" s="109"/>
      <c r="R83" s="109"/>
      <c r="S83" s="109"/>
      <c r="T83" s="109"/>
      <c r="U83" s="109"/>
      <c r="V83" s="109"/>
      <c r="W83" s="109"/>
      <c r="X83" s="109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spans="1:35" x14ac:dyDescent="0.25">
      <c r="A84" s="109"/>
      <c r="B84" s="109"/>
      <c r="C84" s="109"/>
      <c r="D84" s="109"/>
      <c r="E84" s="109"/>
      <c r="F84" s="109"/>
      <c r="G84" s="109"/>
      <c r="H84" s="148"/>
      <c r="I84" s="109"/>
      <c r="J84" s="109"/>
      <c r="K84" s="149"/>
      <c r="L84" s="149"/>
      <c r="M84" s="149"/>
      <c r="N84" s="149"/>
      <c r="O84" s="149"/>
      <c r="P84" s="149"/>
      <c r="Q84" s="109"/>
      <c r="R84" s="109"/>
      <c r="S84" s="109"/>
      <c r="T84" s="109"/>
      <c r="U84" s="109"/>
      <c r="V84" s="109"/>
      <c r="W84" s="109"/>
      <c r="X84" s="109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spans="1:35" x14ac:dyDescent="0.25">
      <c r="H85" s="129"/>
      <c r="I85" s="2"/>
      <c r="J85" s="27"/>
      <c r="K85" s="130"/>
      <c r="L85" s="130"/>
      <c r="M85" s="130"/>
      <c r="N85" s="130"/>
      <c r="O85" s="130"/>
      <c r="P85" s="130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spans="1:35" x14ac:dyDescent="0.25">
      <c r="H86" s="129"/>
      <c r="I86" s="2"/>
      <c r="J86" s="27"/>
      <c r="K86" s="130"/>
      <c r="L86" s="130"/>
      <c r="M86" s="130"/>
      <c r="N86" s="130"/>
      <c r="O86" s="130"/>
      <c r="P86" s="130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spans="1:35" x14ac:dyDescent="0.25">
      <c r="H87" s="129"/>
      <c r="I87" s="2"/>
      <c r="J87" s="27"/>
      <c r="K87" s="130"/>
      <c r="L87" s="130"/>
      <c r="M87" s="130"/>
      <c r="N87" s="130"/>
      <c r="O87" s="130"/>
      <c r="P87" s="130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spans="1:35" x14ac:dyDescent="0.25">
      <c r="H88" s="2"/>
      <c r="I88" s="2"/>
      <c r="J88" s="27"/>
      <c r="K88" s="130"/>
      <c r="L88" s="130"/>
      <c r="M88" s="130"/>
      <c r="N88" s="130"/>
      <c r="O88" s="130"/>
      <c r="P88" s="130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spans="1:35" x14ac:dyDescent="0.25">
      <c r="H89" s="2"/>
      <c r="I89" s="2"/>
      <c r="J89" s="27"/>
      <c r="K89" s="130"/>
      <c r="L89" s="130"/>
      <c r="M89" s="130"/>
      <c r="N89" s="130"/>
      <c r="O89" s="130"/>
      <c r="P89" s="130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spans="1:35" x14ac:dyDescent="0.25">
      <c r="H90" s="2"/>
      <c r="I90" s="2"/>
      <c r="J90" s="27"/>
      <c r="K90" s="130"/>
      <c r="L90" s="130"/>
      <c r="M90" s="130"/>
      <c r="N90" s="130"/>
      <c r="O90" s="130"/>
      <c r="P90" s="130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15B5-D8EE-4B97-A394-174B7AFE2BC3}">
  <sheetPr codeName="Sheet10"/>
  <dimension ref="A1:I56"/>
  <sheetViews>
    <sheetView showGridLines="0" zoomScale="80" zoomScaleNormal="80" workbookViewId="0"/>
  </sheetViews>
  <sheetFormatPr defaultRowHeight="15" x14ac:dyDescent="0.25"/>
  <cols>
    <col min="1" max="1" width="5.42578125" customWidth="1"/>
    <col min="2" max="2" width="20.7109375" bestFit="1" customWidth="1"/>
    <col min="3" max="3" width="20.42578125" bestFit="1" customWidth="1"/>
    <col min="4" max="4" width="13.85546875" bestFit="1" customWidth="1"/>
  </cols>
  <sheetData>
    <row r="1" spans="1:9" x14ac:dyDescent="0.25">
      <c r="A1" s="1"/>
    </row>
    <row r="3" spans="1:9" x14ac:dyDescent="0.25">
      <c r="B3" s="29" t="s">
        <v>471</v>
      </c>
      <c r="C3" s="47"/>
      <c r="D3" s="47"/>
      <c r="E3" s="47"/>
      <c r="F3" s="47"/>
      <c r="G3" s="47"/>
      <c r="H3" s="47"/>
      <c r="I3" s="47"/>
    </row>
    <row r="4" spans="1:9" s="450" customFormat="1" x14ac:dyDescent="0.25">
      <c r="B4" s="449"/>
    </row>
    <row r="5" spans="1:9" x14ac:dyDescent="0.25">
      <c r="B5" s="109">
        <v>2023</v>
      </c>
      <c r="C5" s="452">
        <f>Model!I47</f>
        <v>3.4160831607942006</v>
      </c>
    </row>
    <row r="6" spans="1:9" x14ac:dyDescent="0.25">
      <c r="B6" s="109">
        <v>2024</v>
      </c>
      <c r="C6" s="452">
        <f>Model!N47</f>
        <v>4.6022774298707736</v>
      </c>
    </row>
    <row r="7" spans="1:9" x14ac:dyDescent="0.25">
      <c r="B7" s="109">
        <v>2025</v>
      </c>
      <c r="C7" s="452">
        <f>Model!S47</f>
        <v>4.7885928077322424</v>
      </c>
    </row>
    <row r="8" spans="1:9" x14ac:dyDescent="0.25">
      <c r="B8" s="109" t="s">
        <v>524</v>
      </c>
      <c r="C8" s="452">
        <f>Model!X47</f>
        <v>6.1996572366997444</v>
      </c>
    </row>
    <row r="9" spans="1:9" x14ac:dyDescent="0.25">
      <c r="B9" s="109" t="s">
        <v>525</v>
      </c>
      <c r="C9" s="452">
        <f>Model!AC47</f>
        <v>7.5083552886606029</v>
      </c>
    </row>
    <row r="10" spans="1:9" x14ac:dyDescent="0.25">
      <c r="B10" s="109" t="s">
        <v>526</v>
      </c>
      <c r="C10" s="452">
        <f>Model!AD47</f>
        <v>8.6551182613766393</v>
      </c>
    </row>
    <row r="11" spans="1:9" x14ac:dyDescent="0.25">
      <c r="B11" s="109" t="s">
        <v>527</v>
      </c>
      <c r="C11" s="452">
        <f>Model!AE47</f>
        <v>9.7739773203795952</v>
      </c>
    </row>
    <row r="12" spans="1:9" x14ac:dyDescent="0.25">
      <c r="C12" s="302"/>
    </row>
    <row r="13" spans="1:9" x14ac:dyDescent="0.25">
      <c r="B13" s="29" t="s">
        <v>472</v>
      </c>
      <c r="C13" s="47"/>
      <c r="D13" s="47"/>
      <c r="E13" s="47"/>
      <c r="F13" s="47"/>
      <c r="G13" s="47"/>
      <c r="H13" s="47"/>
      <c r="I13" s="47"/>
    </row>
    <row r="14" spans="1:9" s="450" customFormat="1" x14ac:dyDescent="0.25">
      <c r="A14"/>
      <c r="B14" s="449"/>
    </row>
    <row r="15" spans="1:9" x14ac:dyDescent="0.25">
      <c r="B15" s="109">
        <v>2023</v>
      </c>
      <c r="C15" s="451">
        <f>Model!I45</f>
        <v>2.6779164569847271</v>
      </c>
    </row>
    <row r="16" spans="1:9" x14ac:dyDescent="0.25">
      <c r="B16" s="109">
        <v>2024</v>
      </c>
      <c r="C16" s="451">
        <f>Model!N45</f>
        <v>3.6551777551004112</v>
      </c>
    </row>
    <row r="17" spans="2:9" x14ac:dyDescent="0.25">
      <c r="B17" s="109">
        <v>2025</v>
      </c>
      <c r="C17" s="451">
        <f>Model!S45</f>
        <v>4.1286016875760518</v>
      </c>
    </row>
    <row r="18" spans="2:9" x14ac:dyDescent="0.25">
      <c r="B18" s="109" t="s">
        <v>524</v>
      </c>
      <c r="C18" s="451">
        <f>Model!X45</f>
        <v>4.9955237955658918</v>
      </c>
    </row>
    <row r="19" spans="2:9" x14ac:dyDescent="0.25">
      <c r="B19" s="109" t="s">
        <v>525</v>
      </c>
      <c r="C19" s="451">
        <f>Model!AC45</f>
        <v>5.8959654999574305</v>
      </c>
    </row>
    <row r="20" spans="2:9" x14ac:dyDescent="0.25">
      <c r="B20" s="109" t="s">
        <v>526</v>
      </c>
      <c r="C20" s="451">
        <f>Model!AD45</f>
        <v>6.499756305823519</v>
      </c>
    </row>
    <row r="21" spans="2:9" x14ac:dyDescent="0.25">
      <c r="B21" s="109" t="s">
        <v>527</v>
      </c>
      <c r="C21" s="451">
        <f>Model!AE45</f>
        <v>7.3731441123545594</v>
      </c>
    </row>
    <row r="23" spans="2:9" x14ac:dyDescent="0.25">
      <c r="B23" s="29" t="s">
        <v>473</v>
      </c>
      <c r="C23" s="47"/>
      <c r="D23" s="47"/>
      <c r="E23" s="47"/>
      <c r="F23" s="47"/>
      <c r="G23" s="47"/>
      <c r="H23" s="47"/>
      <c r="I23" s="47"/>
    </row>
    <row r="25" spans="2:9" x14ac:dyDescent="0.25">
      <c r="B25" s="2"/>
      <c r="C25" s="27" t="s">
        <v>4</v>
      </c>
      <c r="D25" s="27" t="s">
        <v>5</v>
      </c>
    </row>
    <row r="26" spans="2:9" x14ac:dyDescent="0.25">
      <c r="B26" s="109">
        <v>2023</v>
      </c>
      <c r="C26" s="453">
        <f>SUM(Model!I34,Model!I24)</f>
        <v>3369872</v>
      </c>
      <c r="D26" s="453">
        <f>Model!I31</f>
        <v>816637</v>
      </c>
    </row>
    <row r="27" spans="2:9" x14ac:dyDescent="0.25">
      <c r="B27" s="109">
        <v>2024</v>
      </c>
      <c r="C27" s="453">
        <f>SUM(Model!N24,Model!N34)</f>
        <v>4407265</v>
      </c>
      <c r="D27" s="453">
        <f>Model!N31</f>
        <v>1014546</v>
      </c>
    </row>
    <row r="28" spans="2:9" x14ac:dyDescent="0.25">
      <c r="B28" s="109">
        <v>2025</v>
      </c>
      <c r="C28" s="453">
        <f>SUM(Model!S34,Model!S24)</f>
        <v>4711080</v>
      </c>
      <c r="D28" s="453">
        <f>Model!S31</f>
        <v>1109395</v>
      </c>
    </row>
    <row r="29" spans="2:9" x14ac:dyDescent="0.25">
      <c r="B29" s="109" t="s">
        <v>524</v>
      </c>
      <c r="C29" s="453">
        <f>SUM(Model!X34,Model!X24)</f>
        <v>6669658.0300152423</v>
      </c>
      <c r="D29" s="453">
        <f>Model!X31</f>
        <v>846423.98222721205</v>
      </c>
    </row>
    <row r="30" spans="2:9" x14ac:dyDescent="0.25">
      <c r="B30" s="109" t="s">
        <v>525</v>
      </c>
      <c r="C30" s="453">
        <f>SUM(Model!AC24,Model!AC34)</f>
        <v>8095105.168637746</v>
      </c>
      <c r="D30" s="453">
        <f>Model!AC31</f>
        <v>985782.05880122678</v>
      </c>
    </row>
    <row r="31" spans="2:9" x14ac:dyDescent="0.25">
      <c r="B31" s="109" t="s">
        <v>526</v>
      </c>
      <c r="C31" s="453">
        <f>SUM(Model!AD24,Model!AD34)</f>
        <v>9292857.6467999294</v>
      </c>
      <c r="D31" s="453">
        <f>Model!AD31</f>
        <v>1045852.7436366298</v>
      </c>
    </row>
    <row r="32" spans="2:9" x14ac:dyDescent="0.25">
      <c r="B32" s="109" t="s">
        <v>527</v>
      </c>
      <c r="C32" s="453">
        <f>SUM(Model!AE24,Model!AE34)</f>
        <v>10167876.825229915</v>
      </c>
      <c r="D32" s="453">
        <f>Model!AE31</f>
        <v>1183790.7484380018</v>
      </c>
    </row>
    <row r="56" spans="2:2" x14ac:dyDescent="0.25">
      <c r="B56" s="24"/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Cover</vt:lpstr>
      <vt:lpstr>Revenue Build</vt:lpstr>
      <vt:lpstr>Model</vt:lpstr>
      <vt:lpstr>Segment Analysis</vt:lpstr>
      <vt:lpstr>Drivers</vt:lpstr>
      <vt:lpstr>Funds</vt:lpstr>
      <vt:lpstr>Valuation</vt:lpstr>
      <vt:lpstr>Comparables</vt:lpstr>
      <vt:lpstr>CIQ ID Locater</vt:lpstr>
      <vt:lpstr>Multiples Data</vt:lpstr>
      <vt:lpstr>Charts</vt:lpstr>
      <vt:lpstr>Case_Scenario</vt:lpstr>
      <vt:lpstr>Last_FYE</vt:lpstr>
      <vt:lpstr>Share_Price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KKR &amp; Co., Inc. (KKR)_Valuation Workbook (10-Mar-2026)</dc:title>
  <dc:creator>Spring 2026 Financials and Real Estate</dc:creator>
  <cp:keywords>KKR &amp; Co., Inc. (KKR)_Valuation Workbook (10-Mar-2026)</cp:keywords>
  <cp:lastModifiedBy>Keal Brown</cp:lastModifiedBy>
  <cp:lastPrinted>2026-03-10T14:36:56Z</cp:lastPrinted>
  <dcterms:created xsi:type="dcterms:W3CDTF">2022-10-29T21:58:23Z</dcterms:created>
  <dcterms:modified xsi:type="dcterms:W3CDTF">2026-03-11T04:43:19Z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{E479E83D-6CBE-422D-BA6B-8E31F0CFF131}</vt:lpwstr>
  </property>
</Properties>
</file>